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adminwindesheim.sharepoint.com/sites/O365-NextGenResilience/Gedeelde documenten/General/Data/ResilienceScan/"/>
    </mc:Choice>
  </mc:AlternateContent>
  <xr:revisionPtr revIDLastSave="6816" documentId="11_DD47C473AC325ECB7D59B2275E6DB29B4102D6D4" xr6:coauthVersionLast="47" xr6:coauthVersionMax="47" xr10:uidLastSave="{F271F807-B316-4A24-8970-43D224050E26}"/>
  <bookViews>
    <workbookView xWindow="14880" yWindow="4224" windowWidth="25692" windowHeight="11988" xr2:uid="{00000000-000D-0000-FFFF-FFFF00000000}"/>
  </bookViews>
  <sheets>
    <sheet name="MasterData" sheetId="1" r:id="rId1"/>
  </sheets>
  <definedNames>
    <definedName name="CountUncheckedRows">MasterData!$E$1</definedName>
    <definedName name="MasterData">Tabel1[]</definedName>
    <definedName name="Progress">MasterData!$C$1</definedName>
    <definedName name="ResilienceScanMasterData">Tabel1[]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R3" i="1" l="1"/>
  <c r="FR4" i="1"/>
  <c r="FR5" i="1"/>
  <c r="FR6" i="1"/>
  <c r="FR7" i="1"/>
  <c r="FR8" i="1"/>
  <c r="FR9" i="1"/>
  <c r="FR10" i="1"/>
  <c r="FR11" i="1"/>
  <c r="FR12" i="1"/>
  <c r="FR13" i="1"/>
  <c r="FR14" i="1"/>
  <c r="FR15" i="1"/>
  <c r="FR16" i="1"/>
  <c r="FR17" i="1"/>
  <c r="FR18" i="1"/>
  <c r="FR19" i="1"/>
  <c r="FR20" i="1"/>
  <c r="FR21" i="1"/>
  <c r="FR22" i="1"/>
  <c r="FR23" i="1"/>
  <c r="FR24" i="1"/>
  <c r="FR25" i="1"/>
  <c r="FR26" i="1"/>
  <c r="FR27" i="1"/>
  <c r="FR28" i="1"/>
  <c r="FR29" i="1"/>
  <c r="FR30" i="1"/>
  <c r="FR31" i="1"/>
  <c r="FR32" i="1"/>
  <c r="FR33" i="1"/>
  <c r="FR34" i="1"/>
  <c r="FR35" i="1"/>
  <c r="FR36" i="1"/>
  <c r="FR37" i="1"/>
  <c r="FR38" i="1"/>
  <c r="FR39" i="1"/>
  <c r="FR40" i="1"/>
  <c r="FR41" i="1"/>
  <c r="FR42" i="1"/>
  <c r="FR43" i="1"/>
  <c r="FR44" i="1"/>
  <c r="FR45" i="1"/>
  <c r="FR46" i="1"/>
  <c r="FR47" i="1"/>
  <c r="FR48" i="1"/>
  <c r="FR49" i="1"/>
  <c r="FR50" i="1"/>
  <c r="FR51" i="1"/>
  <c r="FR52" i="1"/>
  <c r="FR53" i="1"/>
  <c r="FR54" i="1"/>
  <c r="FR55" i="1"/>
  <c r="FR56" i="1"/>
  <c r="FR57" i="1"/>
  <c r="FR58" i="1"/>
  <c r="FR59" i="1"/>
  <c r="FR60" i="1"/>
  <c r="FR61" i="1"/>
  <c r="FR62" i="1"/>
  <c r="FR63" i="1"/>
  <c r="FR64" i="1"/>
  <c r="FR65" i="1"/>
  <c r="FR66" i="1"/>
  <c r="FR67" i="1"/>
  <c r="FR68" i="1"/>
  <c r="FR69" i="1"/>
  <c r="FR70" i="1"/>
  <c r="FR71" i="1"/>
  <c r="FR72" i="1"/>
  <c r="FR73" i="1"/>
  <c r="FR74" i="1"/>
  <c r="FR75" i="1"/>
  <c r="FR76" i="1"/>
  <c r="FR77" i="1"/>
  <c r="FR78" i="1"/>
  <c r="FR79" i="1"/>
  <c r="FR80" i="1"/>
  <c r="FR81" i="1"/>
  <c r="FR82" i="1"/>
  <c r="FR83" i="1"/>
  <c r="FR84" i="1"/>
  <c r="FR85" i="1"/>
  <c r="FR86" i="1"/>
  <c r="FR87" i="1"/>
  <c r="FR88" i="1"/>
  <c r="FR89" i="1"/>
  <c r="FR90" i="1"/>
  <c r="FR91" i="1"/>
  <c r="FR92" i="1"/>
  <c r="FR93" i="1"/>
  <c r="FR94" i="1"/>
  <c r="FR95" i="1"/>
  <c r="FR96" i="1"/>
  <c r="FR97" i="1"/>
  <c r="FR98" i="1"/>
  <c r="FR99" i="1"/>
  <c r="FR100" i="1"/>
  <c r="FR101" i="1"/>
  <c r="FR102" i="1"/>
  <c r="FR103" i="1"/>
  <c r="FR104" i="1"/>
  <c r="FR105" i="1"/>
  <c r="FR106" i="1"/>
  <c r="FR107" i="1"/>
  <c r="FR108" i="1"/>
  <c r="FR109" i="1"/>
  <c r="FR110" i="1"/>
  <c r="FR111" i="1"/>
  <c r="FR112" i="1"/>
  <c r="FR113" i="1"/>
  <c r="FR114" i="1"/>
  <c r="FR115" i="1"/>
  <c r="FR116" i="1"/>
  <c r="FR117" i="1"/>
  <c r="FR118" i="1"/>
  <c r="FR119" i="1"/>
  <c r="FR120" i="1"/>
  <c r="FR121" i="1"/>
  <c r="FR122" i="1"/>
  <c r="FR123" i="1"/>
  <c r="FR124" i="1"/>
  <c r="FR125" i="1"/>
  <c r="FR126" i="1"/>
  <c r="FR127" i="1"/>
  <c r="FR128" i="1"/>
  <c r="FR129" i="1"/>
  <c r="FR130" i="1"/>
  <c r="FR131" i="1"/>
  <c r="FR132" i="1"/>
  <c r="FR133" i="1"/>
  <c r="FR134" i="1"/>
  <c r="FR135" i="1"/>
  <c r="FR136" i="1"/>
  <c r="FR137" i="1"/>
  <c r="FR138" i="1"/>
  <c r="FR139" i="1"/>
  <c r="FR140" i="1"/>
  <c r="FR141" i="1"/>
  <c r="FR142" i="1"/>
  <c r="FR143" i="1"/>
  <c r="FR144" i="1"/>
  <c r="FR145" i="1"/>
  <c r="FR146" i="1"/>
  <c r="FR147" i="1"/>
  <c r="FR148" i="1"/>
  <c r="FR149" i="1"/>
  <c r="FR150" i="1"/>
  <c r="FR151" i="1"/>
  <c r="FR152" i="1"/>
  <c r="FR153" i="1"/>
  <c r="FR154" i="1"/>
  <c r="FR155" i="1"/>
  <c r="FR156" i="1"/>
  <c r="FR157" i="1"/>
  <c r="FR158" i="1"/>
  <c r="FR159" i="1"/>
  <c r="FR160" i="1"/>
  <c r="FR161" i="1"/>
  <c r="FR162" i="1"/>
  <c r="FR163" i="1"/>
  <c r="FR164" i="1"/>
  <c r="FR165" i="1"/>
  <c r="FR166" i="1"/>
  <c r="FR167" i="1"/>
  <c r="FR168" i="1"/>
  <c r="FR169" i="1"/>
  <c r="FR170" i="1"/>
  <c r="FR171" i="1"/>
  <c r="FR172" i="1"/>
  <c r="FR173" i="1"/>
  <c r="FR174" i="1"/>
  <c r="FR175" i="1"/>
  <c r="FR176" i="1"/>
  <c r="FR177" i="1"/>
  <c r="FR178" i="1"/>
  <c r="FR179" i="1"/>
  <c r="FR180" i="1"/>
  <c r="FR181" i="1"/>
  <c r="FR182" i="1"/>
  <c r="FR183" i="1"/>
  <c r="FR184" i="1"/>
  <c r="FR185" i="1"/>
  <c r="FR186" i="1"/>
  <c r="FR187" i="1"/>
  <c r="FR188" i="1"/>
  <c r="FR189" i="1"/>
  <c r="FR190" i="1"/>
  <c r="FR191" i="1"/>
  <c r="FR192" i="1"/>
  <c r="FR193" i="1"/>
  <c r="FR194" i="1"/>
  <c r="FR195" i="1"/>
  <c r="FR196" i="1"/>
  <c r="FR197" i="1"/>
  <c r="FR198" i="1"/>
  <c r="FR199" i="1"/>
  <c r="FR200" i="1"/>
  <c r="FR201" i="1"/>
  <c r="FR202" i="1"/>
  <c r="FR203" i="1"/>
  <c r="FR204" i="1"/>
  <c r="FR205" i="1"/>
  <c r="FR206" i="1"/>
  <c r="FR207" i="1"/>
  <c r="FR208" i="1"/>
  <c r="FR209" i="1"/>
  <c r="FR210" i="1"/>
  <c r="FR211" i="1"/>
  <c r="FR212" i="1"/>
  <c r="FR213" i="1"/>
  <c r="FR214" i="1"/>
  <c r="FR215" i="1"/>
  <c r="FR216" i="1"/>
  <c r="FR217" i="1"/>
  <c r="FR218" i="1"/>
  <c r="FR219" i="1"/>
  <c r="FR220" i="1"/>
  <c r="FR221" i="1"/>
  <c r="FR222" i="1"/>
  <c r="FR223" i="1"/>
  <c r="FR224" i="1"/>
  <c r="FR225" i="1"/>
  <c r="FR226" i="1"/>
  <c r="FR227" i="1"/>
  <c r="FR228" i="1"/>
  <c r="FR229" i="1"/>
  <c r="FR230" i="1"/>
  <c r="FR231" i="1"/>
  <c r="FR232" i="1"/>
  <c r="FR233" i="1"/>
  <c r="FR234" i="1"/>
  <c r="FR235" i="1"/>
  <c r="FR236" i="1"/>
  <c r="FR237" i="1"/>
  <c r="FR238" i="1"/>
  <c r="FR239" i="1"/>
  <c r="FR240" i="1"/>
  <c r="FR241" i="1"/>
  <c r="FR242" i="1"/>
  <c r="FR243" i="1"/>
  <c r="FR244" i="1"/>
  <c r="FR245" i="1"/>
  <c r="FR246" i="1"/>
  <c r="FR247" i="1"/>
  <c r="FR248" i="1"/>
  <c r="FR249" i="1"/>
  <c r="FR250" i="1"/>
  <c r="FR251" i="1"/>
  <c r="FR252" i="1"/>
  <c r="FR253" i="1"/>
  <c r="FR254" i="1"/>
  <c r="FR255" i="1"/>
  <c r="FR256" i="1"/>
  <c r="FR257" i="1"/>
  <c r="FR258" i="1"/>
  <c r="FR259" i="1"/>
  <c r="FR260" i="1"/>
  <c r="FR261" i="1"/>
  <c r="FR262" i="1"/>
  <c r="FR263" i="1"/>
  <c r="FR264" i="1"/>
  <c r="FR265" i="1"/>
  <c r="FR266" i="1"/>
  <c r="FR267" i="1"/>
  <c r="FR268" i="1"/>
  <c r="FR269" i="1"/>
  <c r="FR270" i="1"/>
  <c r="FR271" i="1"/>
  <c r="FR272" i="1"/>
  <c r="FR273" i="1"/>
  <c r="FR274" i="1"/>
  <c r="FR275" i="1"/>
  <c r="FR276" i="1"/>
  <c r="FR277" i="1"/>
  <c r="FR278" i="1"/>
  <c r="FR279" i="1"/>
  <c r="FR280" i="1"/>
  <c r="FR281" i="1"/>
  <c r="FR282" i="1"/>
  <c r="FR283" i="1"/>
  <c r="FR284" i="1"/>
  <c r="FR285" i="1"/>
  <c r="FR286" i="1"/>
  <c r="FR287" i="1"/>
  <c r="FR288" i="1"/>
  <c r="FR289" i="1"/>
  <c r="FR290" i="1"/>
  <c r="FR291" i="1"/>
  <c r="FR292" i="1"/>
  <c r="FR293" i="1"/>
  <c r="FR294" i="1"/>
  <c r="FR295" i="1"/>
  <c r="FR296" i="1"/>
  <c r="FR297" i="1"/>
  <c r="FR298" i="1"/>
  <c r="FR299" i="1"/>
  <c r="FR300" i="1"/>
  <c r="FR301" i="1"/>
  <c r="FR302" i="1"/>
  <c r="FR303" i="1"/>
  <c r="FR304" i="1"/>
  <c r="FR305" i="1"/>
  <c r="FR306" i="1"/>
  <c r="FR307" i="1"/>
  <c r="FR308" i="1"/>
  <c r="FR309" i="1"/>
  <c r="FR310" i="1"/>
  <c r="FR311" i="1"/>
  <c r="FR312" i="1"/>
  <c r="FR313" i="1"/>
  <c r="FR314" i="1"/>
  <c r="FR315" i="1"/>
  <c r="FR316" i="1"/>
  <c r="FR317" i="1"/>
  <c r="FR318" i="1"/>
  <c r="FR319" i="1"/>
  <c r="FR320" i="1"/>
  <c r="FR321" i="1"/>
  <c r="FR322" i="1"/>
  <c r="FR323" i="1"/>
  <c r="FR324" i="1"/>
  <c r="FR325" i="1"/>
  <c r="FR326" i="1"/>
  <c r="FR327" i="1"/>
  <c r="FR328" i="1"/>
  <c r="FR329" i="1"/>
  <c r="FR330" i="1"/>
  <c r="FR331" i="1"/>
  <c r="FR332" i="1"/>
  <c r="FR333" i="1"/>
  <c r="FR334" i="1"/>
  <c r="FR335" i="1"/>
  <c r="FR336" i="1"/>
  <c r="FR337" i="1"/>
  <c r="FR338" i="1"/>
  <c r="FR339" i="1"/>
  <c r="FR340" i="1"/>
  <c r="FR341" i="1"/>
  <c r="FR342" i="1"/>
  <c r="FR343" i="1"/>
  <c r="FR344" i="1"/>
  <c r="FR345" i="1"/>
  <c r="FR346" i="1"/>
  <c r="FR347" i="1"/>
  <c r="FR348" i="1"/>
  <c r="FR349" i="1"/>
  <c r="FR350" i="1"/>
  <c r="FR351" i="1"/>
  <c r="FR352" i="1"/>
  <c r="FR353" i="1"/>
  <c r="FR354" i="1"/>
  <c r="FR355" i="1"/>
  <c r="FR356" i="1"/>
  <c r="FR357" i="1"/>
  <c r="FR358" i="1"/>
  <c r="FR359" i="1"/>
  <c r="FR360" i="1"/>
  <c r="FR361" i="1"/>
  <c r="FR362" i="1"/>
  <c r="FR363" i="1"/>
  <c r="FR364" i="1"/>
  <c r="FR365" i="1"/>
  <c r="FR366" i="1"/>
  <c r="FR367" i="1"/>
  <c r="FR368" i="1"/>
  <c r="FR369" i="1"/>
  <c r="FR370" i="1"/>
  <c r="FR371" i="1"/>
  <c r="FR372" i="1"/>
  <c r="FR373" i="1"/>
  <c r="FR374" i="1"/>
  <c r="FR375" i="1"/>
  <c r="FR376" i="1"/>
  <c r="FR377" i="1"/>
  <c r="FR378" i="1"/>
  <c r="FR379" i="1"/>
  <c r="FR380" i="1"/>
  <c r="FR381" i="1"/>
  <c r="FR382" i="1"/>
  <c r="FR383" i="1"/>
  <c r="FR384" i="1"/>
  <c r="FR385" i="1"/>
  <c r="FR386" i="1"/>
  <c r="FR387" i="1"/>
  <c r="FR388" i="1"/>
  <c r="FR389" i="1"/>
  <c r="FR390" i="1"/>
  <c r="FR391" i="1"/>
  <c r="FR392" i="1"/>
  <c r="FR393" i="1"/>
  <c r="FR394" i="1"/>
  <c r="FR395" i="1"/>
  <c r="FR396" i="1"/>
  <c r="FR397" i="1"/>
  <c r="FR398" i="1"/>
  <c r="FR399" i="1"/>
  <c r="FR400" i="1"/>
  <c r="FR401" i="1"/>
  <c r="FR402" i="1"/>
  <c r="FR403" i="1"/>
  <c r="FR404" i="1"/>
  <c r="FR405" i="1"/>
  <c r="FR406" i="1"/>
  <c r="FR407" i="1"/>
  <c r="FR408" i="1"/>
  <c r="FR409" i="1"/>
  <c r="FR410" i="1"/>
  <c r="FR411" i="1"/>
  <c r="FR412" i="1"/>
  <c r="FR413" i="1"/>
  <c r="FR414" i="1"/>
  <c r="FR415" i="1"/>
  <c r="FR416" i="1"/>
  <c r="FR417" i="1"/>
  <c r="FR418" i="1"/>
  <c r="FR419" i="1"/>
  <c r="FR420" i="1"/>
  <c r="FR421" i="1"/>
  <c r="FR422" i="1"/>
  <c r="FR423" i="1"/>
  <c r="FR424" i="1"/>
  <c r="FR425" i="1"/>
  <c r="FR426" i="1"/>
  <c r="FR427" i="1"/>
  <c r="FR428" i="1"/>
  <c r="FR429" i="1"/>
  <c r="FR430" i="1"/>
  <c r="FR431" i="1"/>
  <c r="FR432" i="1"/>
  <c r="FR433" i="1"/>
  <c r="FR434" i="1"/>
  <c r="FR435" i="1"/>
  <c r="FR436" i="1"/>
  <c r="FR437" i="1"/>
  <c r="FR438" i="1"/>
  <c r="FR439" i="1"/>
  <c r="FR440" i="1"/>
  <c r="FR441" i="1"/>
  <c r="FR442" i="1"/>
  <c r="FR443" i="1"/>
  <c r="FR444" i="1"/>
  <c r="FR445" i="1"/>
  <c r="FR446" i="1"/>
  <c r="FR447" i="1"/>
  <c r="FR448" i="1"/>
  <c r="FR449" i="1"/>
  <c r="FR450" i="1"/>
  <c r="FR451" i="1"/>
  <c r="FR452" i="1"/>
  <c r="FR453" i="1"/>
  <c r="FR454" i="1"/>
  <c r="FR455" i="1"/>
  <c r="FR456" i="1"/>
  <c r="FR457" i="1"/>
  <c r="FR458" i="1"/>
  <c r="FR459" i="1"/>
  <c r="FR460" i="1"/>
  <c r="FR461" i="1"/>
  <c r="FR462" i="1"/>
  <c r="FR463" i="1"/>
  <c r="FR464" i="1"/>
  <c r="FR465" i="1"/>
  <c r="FR466" i="1"/>
  <c r="FR467" i="1"/>
  <c r="FR468" i="1"/>
  <c r="FR469" i="1"/>
  <c r="FR470" i="1"/>
  <c r="FR471" i="1"/>
  <c r="FR472" i="1"/>
  <c r="FR473" i="1"/>
  <c r="FR474" i="1"/>
  <c r="FR475" i="1"/>
  <c r="FR476" i="1"/>
  <c r="FR477" i="1"/>
  <c r="FR478" i="1"/>
  <c r="FR479" i="1"/>
  <c r="FR480" i="1"/>
  <c r="FR481" i="1"/>
  <c r="FR482" i="1"/>
  <c r="FR483" i="1"/>
  <c r="FR484" i="1"/>
  <c r="FR485" i="1"/>
  <c r="FR486" i="1"/>
  <c r="FR487" i="1"/>
  <c r="FR488" i="1"/>
  <c r="FR489" i="1"/>
  <c r="FR490" i="1"/>
  <c r="FR491" i="1"/>
  <c r="FR492" i="1"/>
  <c r="FR493" i="1"/>
  <c r="FR494" i="1"/>
  <c r="FR495" i="1"/>
  <c r="FR496" i="1"/>
  <c r="FR497" i="1"/>
  <c r="FR498" i="1"/>
  <c r="FR499" i="1"/>
  <c r="FR500" i="1"/>
  <c r="FR501" i="1"/>
  <c r="FR502" i="1"/>
  <c r="FR503" i="1"/>
  <c r="FR504" i="1"/>
  <c r="FR505" i="1"/>
  <c r="FR506" i="1"/>
  <c r="FR507" i="1"/>
  <c r="FR508" i="1"/>
  <c r="FR509" i="1"/>
  <c r="FR510" i="1"/>
  <c r="FR511" i="1"/>
  <c r="FR512" i="1"/>
  <c r="FR513" i="1"/>
  <c r="FR514" i="1"/>
  <c r="FR515" i="1"/>
  <c r="FR516" i="1"/>
  <c r="FR517" i="1"/>
  <c r="FR518" i="1"/>
  <c r="FR519" i="1"/>
  <c r="FR520" i="1"/>
  <c r="FR521" i="1"/>
  <c r="FR522" i="1"/>
  <c r="FR523" i="1"/>
  <c r="FR524" i="1"/>
  <c r="FR525" i="1"/>
  <c r="FR526" i="1"/>
  <c r="FR527" i="1"/>
  <c r="FR528" i="1"/>
  <c r="FR529" i="1"/>
  <c r="FR530" i="1"/>
  <c r="FR531" i="1"/>
  <c r="FR532" i="1"/>
  <c r="FR533" i="1"/>
  <c r="FR534" i="1"/>
  <c r="FR535" i="1"/>
  <c r="FR536" i="1"/>
  <c r="FR537" i="1"/>
  <c r="FR538" i="1"/>
  <c r="FR539" i="1"/>
  <c r="FR540" i="1"/>
  <c r="FR541" i="1"/>
  <c r="FR542" i="1"/>
  <c r="FR543" i="1"/>
  <c r="FR544" i="1"/>
  <c r="FR545" i="1"/>
  <c r="FR546" i="1"/>
  <c r="FR547" i="1"/>
  <c r="FR548" i="1"/>
  <c r="FR549" i="1"/>
  <c r="FR550" i="1"/>
  <c r="FR551" i="1"/>
  <c r="FR552" i="1"/>
  <c r="FR553" i="1"/>
  <c r="FR554" i="1"/>
  <c r="FR555" i="1"/>
  <c r="FR556" i="1"/>
  <c r="FR557" i="1"/>
  <c r="FR558" i="1"/>
  <c r="FR559" i="1"/>
  <c r="FR560" i="1"/>
  <c r="FR561" i="1"/>
  <c r="FR562" i="1"/>
  <c r="FR563" i="1"/>
  <c r="FR564" i="1"/>
  <c r="FR565" i="1"/>
  <c r="FR566" i="1"/>
  <c r="FR567" i="1"/>
  <c r="FP3" i="1"/>
  <c r="FP4" i="1"/>
  <c r="FP5" i="1"/>
  <c r="FP6" i="1"/>
  <c r="FP7" i="1"/>
  <c r="FP8" i="1"/>
  <c r="FP9" i="1"/>
  <c r="FP10" i="1"/>
  <c r="FP11" i="1"/>
  <c r="FP12" i="1"/>
  <c r="FP13" i="1"/>
  <c r="FP14" i="1"/>
  <c r="FP15" i="1"/>
  <c r="FP16" i="1"/>
  <c r="FP17" i="1"/>
  <c r="FP18" i="1"/>
  <c r="FP19" i="1"/>
  <c r="FP20" i="1"/>
  <c r="FP21" i="1"/>
  <c r="FP22" i="1"/>
  <c r="FP23" i="1"/>
  <c r="FP24" i="1"/>
  <c r="FP25" i="1"/>
  <c r="FP26" i="1"/>
  <c r="FP27" i="1"/>
  <c r="FP28" i="1"/>
  <c r="FP29" i="1"/>
  <c r="FP30" i="1"/>
  <c r="FP31" i="1"/>
  <c r="FP32" i="1"/>
  <c r="FP33" i="1"/>
  <c r="FP34" i="1"/>
  <c r="FP35" i="1"/>
  <c r="FP36" i="1"/>
  <c r="FP37" i="1"/>
  <c r="FP38" i="1"/>
  <c r="FP39" i="1"/>
  <c r="FP40" i="1"/>
  <c r="FP41" i="1"/>
  <c r="FP42" i="1"/>
  <c r="FP43" i="1"/>
  <c r="FP44" i="1"/>
  <c r="FP45" i="1"/>
  <c r="FP46" i="1"/>
  <c r="FP47" i="1"/>
  <c r="FP48" i="1"/>
  <c r="FP49" i="1"/>
  <c r="FP50" i="1"/>
  <c r="FP51" i="1"/>
  <c r="FP52" i="1"/>
  <c r="FP53" i="1"/>
  <c r="FP54" i="1"/>
  <c r="FP55" i="1"/>
  <c r="FP56" i="1"/>
  <c r="FP57" i="1"/>
  <c r="FP58" i="1"/>
  <c r="FP59" i="1"/>
  <c r="FP60" i="1"/>
  <c r="FP61" i="1"/>
  <c r="FP62" i="1"/>
  <c r="FP63" i="1"/>
  <c r="FP64" i="1"/>
  <c r="FP65" i="1"/>
  <c r="FP66" i="1"/>
  <c r="FP67" i="1"/>
  <c r="FP68" i="1"/>
  <c r="FP69" i="1"/>
  <c r="FP70" i="1"/>
  <c r="FP71" i="1"/>
  <c r="FP72" i="1"/>
  <c r="FP73" i="1"/>
  <c r="FP74" i="1"/>
  <c r="FP75" i="1"/>
  <c r="FP76" i="1"/>
  <c r="FP77" i="1"/>
  <c r="FP78" i="1"/>
  <c r="FP79" i="1"/>
  <c r="FP80" i="1"/>
  <c r="FP81" i="1"/>
  <c r="FP82" i="1"/>
  <c r="FP83" i="1"/>
  <c r="FP84" i="1"/>
  <c r="FP85" i="1"/>
  <c r="FP86" i="1"/>
  <c r="FP87" i="1"/>
  <c r="FP88" i="1"/>
  <c r="FP89" i="1"/>
  <c r="FP90" i="1"/>
  <c r="FP91" i="1"/>
  <c r="FP92" i="1"/>
  <c r="FP93" i="1"/>
  <c r="FP94" i="1"/>
  <c r="FP95" i="1"/>
  <c r="FP96" i="1"/>
  <c r="FP97" i="1"/>
  <c r="FP98" i="1"/>
  <c r="FP99" i="1"/>
  <c r="FP100" i="1"/>
  <c r="FP101" i="1"/>
  <c r="FP102" i="1"/>
  <c r="FP103" i="1"/>
  <c r="FP104" i="1"/>
  <c r="FP105" i="1"/>
  <c r="FP106" i="1"/>
  <c r="FP107" i="1"/>
  <c r="FP108" i="1"/>
  <c r="FP109" i="1"/>
  <c r="FP110" i="1"/>
  <c r="FP111" i="1"/>
  <c r="FP112" i="1"/>
  <c r="FP113" i="1"/>
  <c r="FP114" i="1"/>
  <c r="FP115" i="1"/>
  <c r="FP116" i="1"/>
  <c r="FP117" i="1"/>
  <c r="FP118" i="1"/>
  <c r="FP119" i="1"/>
  <c r="FP120" i="1"/>
  <c r="FP121" i="1"/>
  <c r="FP122" i="1"/>
  <c r="FP123" i="1"/>
  <c r="FP124" i="1"/>
  <c r="FP125" i="1"/>
  <c r="FP126" i="1"/>
  <c r="FP127" i="1"/>
  <c r="FP128" i="1"/>
  <c r="FP129" i="1"/>
  <c r="FP130" i="1"/>
  <c r="FP131" i="1"/>
  <c r="FP132" i="1"/>
  <c r="FP133" i="1"/>
  <c r="FP134" i="1"/>
  <c r="FP135" i="1"/>
  <c r="FP136" i="1"/>
  <c r="FP137" i="1"/>
  <c r="FP138" i="1"/>
  <c r="FP139" i="1"/>
  <c r="FP140" i="1"/>
  <c r="FP141" i="1"/>
  <c r="FP142" i="1"/>
  <c r="FP143" i="1"/>
  <c r="FP144" i="1"/>
  <c r="FP145" i="1"/>
  <c r="FP146" i="1"/>
  <c r="FP147" i="1"/>
  <c r="FP148" i="1"/>
  <c r="FP149" i="1"/>
  <c r="FP150" i="1"/>
  <c r="FP151" i="1"/>
  <c r="FP152" i="1"/>
  <c r="FP153" i="1"/>
  <c r="FP154" i="1"/>
  <c r="FP155" i="1"/>
  <c r="FP156" i="1"/>
  <c r="FP157" i="1"/>
  <c r="FP158" i="1"/>
  <c r="FP159" i="1"/>
  <c r="FP160" i="1"/>
  <c r="FP161" i="1"/>
  <c r="FP162" i="1"/>
  <c r="FP163" i="1"/>
  <c r="FP164" i="1"/>
  <c r="FP165" i="1"/>
  <c r="FP166" i="1"/>
  <c r="FP167" i="1"/>
  <c r="FP168" i="1"/>
  <c r="FP169" i="1"/>
  <c r="FP170" i="1"/>
  <c r="FP171" i="1"/>
  <c r="FP172" i="1"/>
  <c r="FP173" i="1"/>
  <c r="FP174" i="1"/>
  <c r="FP175" i="1"/>
  <c r="FP176" i="1"/>
  <c r="FP177" i="1"/>
  <c r="FP178" i="1"/>
  <c r="FP179" i="1"/>
  <c r="FP180" i="1"/>
  <c r="FP181" i="1"/>
  <c r="FP182" i="1"/>
  <c r="FP183" i="1"/>
  <c r="FP184" i="1"/>
  <c r="FP185" i="1"/>
  <c r="FP186" i="1"/>
  <c r="FP187" i="1"/>
  <c r="FP188" i="1"/>
  <c r="FP189" i="1"/>
  <c r="FP190" i="1"/>
  <c r="FP191" i="1"/>
  <c r="FP192" i="1"/>
  <c r="FP193" i="1"/>
  <c r="FP194" i="1"/>
  <c r="FP195" i="1"/>
  <c r="FP196" i="1"/>
  <c r="FP197" i="1"/>
  <c r="FP198" i="1"/>
  <c r="FP199" i="1"/>
  <c r="FP200" i="1"/>
  <c r="FP201" i="1"/>
  <c r="FP202" i="1"/>
  <c r="FP203" i="1"/>
  <c r="FP204" i="1"/>
  <c r="FP205" i="1"/>
  <c r="FP206" i="1"/>
  <c r="FP207" i="1"/>
  <c r="FP208" i="1"/>
  <c r="FP209" i="1"/>
  <c r="FP210" i="1"/>
  <c r="FP211" i="1"/>
  <c r="FP212" i="1"/>
  <c r="FP213" i="1"/>
  <c r="FP214" i="1"/>
  <c r="FP215" i="1"/>
  <c r="FP216" i="1"/>
  <c r="FP217" i="1"/>
  <c r="FP218" i="1"/>
  <c r="FP219" i="1"/>
  <c r="FP220" i="1"/>
  <c r="FP221" i="1"/>
  <c r="FP222" i="1"/>
  <c r="FP223" i="1"/>
  <c r="FP224" i="1"/>
  <c r="FP225" i="1"/>
  <c r="FP226" i="1"/>
  <c r="FP227" i="1"/>
  <c r="FP228" i="1"/>
  <c r="FP229" i="1"/>
  <c r="FP230" i="1"/>
  <c r="FP231" i="1"/>
  <c r="FP232" i="1"/>
  <c r="FP233" i="1"/>
  <c r="FP234" i="1"/>
  <c r="FP235" i="1"/>
  <c r="FP236" i="1"/>
  <c r="FP237" i="1"/>
  <c r="FP238" i="1"/>
  <c r="FP239" i="1"/>
  <c r="FP240" i="1"/>
  <c r="FP241" i="1"/>
  <c r="FP242" i="1"/>
  <c r="FP243" i="1"/>
  <c r="FP244" i="1"/>
  <c r="FP245" i="1"/>
  <c r="FP246" i="1"/>
  <c r="FP247" i="1"/>
  <c r="FP248" i="1"/>
  <c r="FP249" i="1"/>
  <c r="FP250" i="1"/>
  <c r="FP251" i="1"/>
  <c r="FP252" i="1"/>
  <c r="FP253" i="1"/>
  <c r="FP254" i="1"/>
  <c r="FP255" i="1"/>
  <c r="FP256" i="1"/>
  <c r="FP257" i="1"/>
  <c r="FP258" i="1"/>
  <c r="FP259" i="1"/>
  <c r="FP260" i="1"/>
  <c r="FP261" i="1"/>
  <c r="FP262" i="1"/>
  <c r="FP263" i="1"/>
  <c r="FP264" i="1"/>
  <c r="FP265" i="1"/>
  <c r="FP266" i="1"/>
  <c r="FP267" i="1"/>
  <c r="FP268" i="1"/>
  <c r="FP269" i="1"/>
  <c r="FP270" i="1"/>
  <c r="FP271" i="1"/>
  <c r="FP272" i="1"/>
  <c r="FP273" i="1"/>
  <c r="FP274" i="1"/>
  <c r="FP275" i="1"/>
  <c r="FP276" i="1"/>
  <c r="FP277" i="1"/>
  <c r="FP278" i="1"/>
  <c r="FP279" i="1"/>
  <c r="FP280" i="1"/>
  <c r="FP281" i="1"/>
  <c r="FP282" i="1"/>
  <c r="FP283" i="1"/>
  <c r="FP284" i="1"/>
  <c r="FP285" i="1"/>
  <c r="FP286" i="1"/>
  <c r="FP287" i="1"/>
  <c r="FP288" i="1"/>
  <c r="FP289" i="1"/>
  <c r="FP290" i="1"/>
  <c r="FP291" i="1"/>
  <c r="FP292" i="1"/>
  <c r="FP293" i="1"/>
  <c r="FP294" i="1"/>
  <c r="FP295" i="1"/>
  <c r="FP296" i="1"/>
  <c r="FP297" i="1"/>
  <c r="FP298" i="1"/>
  <c r="FP299" i="1"/>
  <c r="FP300" i="1"/>
  <c r="FP301" i="1"/>
  <c r="FP302" i="1"/>
  <c r="FP303" i="1"/>
  <c r="FP304" i="1"/>
  <c r="FP305" i="1"/>
  <c r="FP306" i="1"/>
  <c r="FP307" i="1"/>
  <c r="FP308" i="1"/>
  <c r="FP309" i="1"/>
  <c r="FP310" i="1"/>
  <c r="FP311" i="1"/>
  <c r="FP312" i="1"/>
  <c r="FP313" i="1"/>
  <c r="FP314" i="1"/>
  <c r="FP315" i="1"/>
  <c r="FP316" i="1"/>
  <c r="FP317" i="1"/>
  <c r="FP318" i="1"/>
  <c r="FP319" i="1"/>
  <c r="FP320" i="1"/>
  <c r="FP321" i="1"/>
  <c r="FP322" i="1"/>
  <c r="FP323" i="1"/>
  <c r="FP324" i="1"/>
  <c r="FP325" i="1"/>
  <c r="FP326" i="1"/>
  <c r="FP327" i="1"/>
  <c r="FP328" i="1"/>
  <c r="FP329" i="1"/>
  <c r="FP330" i="1"/>
  <c r="FP331" i="1"/>
  <c r="FP332" i="1"/>
  <c r="FP333" i="1"/>
  <c r="FP334" i="1"/>
  <c r="FP335" i="1"/>
  <c r="FP336" i="1"/>
  <c r="FP337" i="1"/>
  <c r="FP338" i="1"/>
  <c r="FP339" i="1"/>
  <c r="FP340" i="1"/>
  <c r="FP341" i="1"/>
  <c r="FP342" i="1"/>
  <c r="FP343" i="1"/>
  <c r="FP344" i="1"/>
  <c r="FP345" i="1"/>
  <c r="FP346" i="1"/>
  <c r="FP347" i="1"/>
  <c r="FP348" i="1"/>
  <c r="FP349" i="1"/>
  <c r="FP350" i="1"/>
  <c r="FP351" i="1"/>
  <c r="FP352" i="1"/>
  <c r="FP353" i="1"/>
  <c r="FP354" i="1"/>
  <c r="FP355" i="1"/>
  <c r="FP356" i="1"/>
  <c r="FP357" i="1"/>
  <c r="FP358" i="1"/>
  <c r="FP359" i="1"/>
  <c r="FP360" i="1"/>
  <c r="FP361" i="1"/>
  <c r="FP362" i="1"/>
  <c r="FP363" i="1"/>
  <c r="FP364" i="1"/>
  <c r="FP365" i="1"/>
  <c r="FP366" i="1"/>
  <c r="FP367" i="1"/>
  <c r="FP368" i="1"/>
  <c r="FP369" i="1"/>
  <c r="FP370" i="1"/>
  <c r="FP371" i="1"/>
  <c r="FP372" i="1"/>
  <c r="FP373" i="1"/>
  <c r="FP374" i="1"/>
  <c r="FP375" i="1"/>
  <c r="FP376" i="1"/>
  <c r="FP377" i="1"/>
  <c r="FP378" i="1"/>
  <c r="FP379" i="1"/>
  <c r="FP380" i="1"/>
  <c r="FP381" i="1"/>
  <c r="FP382" i="1"/>
  <c r="FP383" i="1"/>
  <c r="FP384" i="1"/>
  <c r="FP385" i="1"/>
  <c r="FP386" i="1"/>
  <c r="FP387" i="1"/>
  <c r="FP388" i="1"/>
  <c r="FP389" i="1"/>
  <c r="FP390" i="1"/>
  <c r="FP391" i="1"/>
  <c r="FP392" i="1"/>
  <c r="FP393" i="1"/>
  <c r="FP394" i="1"/>
  <c r="FP395" i="1"/>
  <c r="FP396" i="1"/>
  <c r="FP397" i="1"/>
  <c r="FP398" i="1"/>
  <c r="FP399" i="1"/>
  <c r="FP400" i="1"/>
  <c r="FP401" i="1"/>
  <c r="FP402" i="1"/>
  <c r="FP403" i="1"/>
  <c r="FP404" i="1"/>
  <c r="FP405" i="1"/>
  <c r="FP406" i="1"/>
  <c r="FP407" i="1"/>
  <c r="FP408" i="1"/>
  <c r="FP409" i="1"/>
  <c r="FP410" i="1"/>
  <c r="FP411" i="1"/>
  <c r="FP412" i="1"/>
  <c r="FP413" i="1"/>
  <c r="FP414" i="1"/>
  <c r="FP415" i="1"/>
  <c r="FP416" i="1"/>
  <c r="FP417" i="1"/>
  <c r="FP418" i="1"/>
  <c r="FP419" i="1"/>
  <c r="FP420" i="1"/>
  <c r="FP421" i="1"/>
  <c r="FP422" i="1"/>
  <c r="FP423" i="1"/>
  <c r="FP424" i="1"/>
  <c r="FP425" i="1"/>
  <c r="FP426" i="1"/>
  <c r="FP427" i="1"/>
  <c r="FP428" i="1"/>
  <c r="FP429" i="1"/>
  <c r="FP430" i="1"/>
  <c r="FP431" i="1"/>
  <c r="FP432" i="1"/>
  <c r="FP433" i="1"/>
  <c r="FP434" i="1"/>
  <c r="FP435" i="1"/>
  <c r="FP436" i="1"/>
  <c r="FP437" i="1"/>
  <c r="FP438" i="1"/>
  <c r="FP439" i="1"/>
  <c r="FP440" i="1"/>
  <c r="FP441" i="1"/>
  <c r="FP442" i="1"/>
  <c r="FP443" i="1"/>
  <c r="FP444" i="1"/>
  <c r="FP445" i="1"/>
  <c r="FP446" i="1"/>
  <c r="FP447" i="1"/>
  <c r="FP448" i="1"/>
  <c r="FP449" i="1"/>
  <c r="FP450" i="1"/>
  <c r="FP451" i="1"/>
  <c r="FP452" i="1"/>
  <c r="FP453" i="1"/>
  <c r="FP454" i="1"/>
  <c r="FP455" i="1"/>
  <c r="FP456" i="1"/>
  <c r="FP457" i="1"/>
  <c r="FP458" i="1"/>
  <c r="FP459" i="1"/>
  <c r="FP460" i="1"/>
  <c r="FP461" i="1"/>
  <c r="FP462" i="1"/>
  <c r="FP463" i="1"/>
  <c r="FP464" i="1"/>
  <c r="FP465" i="1"/>
  <c r="FP466" i="1"/>
  <c r="FP467" i="1"/>
  <c r="FP468" i="1"/>
  <c r="FP469" i="1"/>
  <c r="FP470" i="1"/>
  <c r="FP471" i="1"/>
  <c r="FP472" i="1"/>
  <c r="FP473" i="1"/>
  <c r="FP474" i="1"/>
  <c r="FP475" i="1"/>
  <c r="FP476" i="1"/>
  <c r="FP477" i="1"/>
  <c r="FP478" i="1"/>
  <c r="FP479" i="1"/>
  <c r="FP480" i="1"/>
  <c r="FP481" i="1"/>
  <c r="FP482" i="1"/>
  <c r="FP483" i="1"/>
  <c r="FP484" i="1"/>
  <c r="FP485" i="1"/>
  <c r="FP486" i="1"/>
  <c r="FP487" i="1"/>
  <c r="FP488" i="1"/>
  <c r="FP489" i="1"/>
  <c r="FP490" i="1"/>
  <c r="FP491" i="1"/>
  <c r="FP492" i="1"/>
  <c r="FP493" i="1"/>
  <c r="FP494" i="1"/>
  <c r="FP495" i="1"/>
  <c r="FP496" i="1"/>
  <c r="FP497" i="1"/>
  <c r="FP498" i="1"/>
  <c r="FP499" i="1"/>
  <c r="FP500" i="1"/>
  <c r="FP501" i="1"/>
  <c r="FP502" i="1"/>
  <c r="FP503" i="1"/>
  <c r="FP504" i="1"/>
  <c r="FP505" i="1"/>
  <c r="FP506" i="1"/>
  <c r="FP507" i="1"/>
  <c r="FP508" i="1"/>
  <c r="FP509" i="1"/>
  <c r="FP510" i="1"/>
  <c r="FP511" i="1"/>
  <c r="FP512" i="1"/>
  <c r="FP513" i="1"/>
  <c r="FP514" i="1"/>
  <c r="FP515" i="1"/>
  <c r="FP516" i="1"/>
  <c r="FP517" i="1"/>
  <c r="FP518" i="1"/>
  <c r="FP519" i="1"/>
  <c r="FP520" i="1"/>
  <c r="FP521" i="1"/>
  <c r="FP522" i="1"/>
  <c r="FP523" i="1"/>
  <c r="FP524" i="1"/>
  <c r="FP525" i="1"/>
  <c r="FP526" i="1"/>
  <c r="FP527" i="1"/>
  <c r="FP528" i="1"/>
  <c r="FP529" i="1"/>
  <c r="FP530" i="1"/>
  <c r="FP531" i="1"/>
  <c r="FP532" i="1"/>
  <c r="FP533" i="1"/>
  <c r="FP534" i="1"/>
  <c r="FP535" i="1"/>
  <c r="FP536" i="1"/>
  <c r="FP537" i="1"/>
  <c r="FP538" i="1"/>
  <c r="FP539" i="1"/>
  <c r="FP540" i="1"/>
  <c r="FP541" i="1"/>
  <c r="FP542" i="1"/>
  <c r="FP543" i="1"/>
  <c r="FP544" i="1"/>
  <c r="FP545" i="1"/>
  <c r="FP546" i="1"/>
  <c r="FP547" i="1"/>
  <c r="FP548" i="1"/>
  <c r="FP549" i="1"/>
  <c r="FP550" i="1"/>
  <c r="FP551" i="1"/>
  <c r="FP552" i="1"/>
  <c r="FP553" i="1"/>
  <c r="FP554" i="1"/>
  <c r="FP555" i="1"/>
  <c r="FP556" i="1"/>
  <c r="FP557" i="1"/>
  <c r="FP558" i="1"/>
  <c r="FP559" i="1"/>
  <c r="FP560" i="1"/>
  <c r="FP561" i="1"/>
  <c r="FP562" i="1"/>
  <c r="FP563" i="1"/>
  <c r="FP564" i="1"/>
  <c r="FP565" i="1"/>
  <c r="FP566" i="1"/>
  <c r="FP567" i="1"/>
  <c r="FM3" i="1"/>
  <c r="FM4" i="1"/>
  <c r="FM5" i="1"/>
  <c r="FM6" i="1"/>
  <c r="FM7" i="1"/>
  <c r="FM8" i="1"/>
  <c r="FM9" i="1"/>
  <c r="FM10" i="1"/>
  <c r="FM11" i="1"/>
  <c r="FM12" i="1"/>
  <c r="FM13" i="1"/>
  <c r="FM14" i="1"/>
  <c r="FM15" i="1"/>
  <c r="FM16" i="1"/>
  <c r="FM17" i="1"/>
  <c r="FM18" i="1"/>
  <c r="FT18" i="1" s="1"/>
  <c r="FM19" i="1"/>
  <c r="FM20" i="1"/>
  <c r="FM21" i="1"/>
  <c r="FM22" i="1"/>
  <c r="FM23" i="1"/>
  <c r="FM24" i="1"/>
  <c r="FM25" i="1"/>
  <c r="FM26" i="1"/>
  <c r="FM27" i="1"/>
  <c r="FM28" i="1"/>
  <c r="FM29" i="1"/>
  <c r="FM30" i="1"/>
  <c r="FM31" i="1"/>
  <c r="FM32" i="1"/>
  <c r="FM33" i="1"/>
  <c r="FM34" i="1"/>
  <c r="FM35" i="1"/>
  <c r="FM36" i="1"/>
  <c r="FM37" i="1"/>
  <c r="FM38" i="1"/>
  <c r="FT38" i="1" s="1"/>
  <c r="FM39" i="1"/>
  <c r="FM40" i="1"/>
  <c r="FM41" i="1"/>
  <c r="FM42" i="1"/>
  <c r="FM43" i="1"/>
  <c r="FM44" i="1"/>
  <c r="FM45" i="1"/>
  <c r="FM46" i="1"/>
  <c r="FM47" i="1"/>
  <c r="FT47" i="1" s="1"/>
  <c r="FM48" i="1"/>
  <c r="FM49" i="1"/>
  <c r="FM50" i="1"/>
  <c r="FM51" i="1"/>
  <c r="FM52" i="1"/>
  <c r="FM53" i="1"/>
  <c r="FM54" i="1"/>
  <c r="FM55" i="1"/>
  <c r="FM56" i="1"/>
  <c r="FM57" i="1"/>
  <c r="FM58" i="1"/>
  <c r="FT58" i="1" s="1"/>
  <c r="FM59" i="1"/>
  <c r="FM60" i="1"/>
  <c r="FM61" i="1"/>
  <c r="FM62" i="1"/>
  <c r="FM63" i="1"/>
  <c r="FM64" i="1"/>
  <c r="FM65" i="1"/>
  <c r="FM66" i="1"/>
  <c r="FM67" i="1"/>
  <c r="FM68" i="1"/>
  <c r="FM69" i="1"/>
  <c r="FM70" i="1"/>
  <c r="FM71" i="1"/>
  <c r="FM72" i="1"/>
  <c r="FM73" i="1"/>
  <c r="FM74" i="1"/>
  <c r="FM75" i="1"/>
  <c r="FM76" i="1"/>
  <c r="FM77" i="1"/>
  <c r="FM78" i="1"/>
  <c r="FT78" i="1" s="1"/>
  <c r="FM79" i="1"/>
  <c r="FM80" i="1"/>
  <c r="FM81" i="1"/>
  <c r="FM82" i="1"/>
  <c r="FM83" i="1"/>
  <c r="FM84" i="1"/>
  <c r="FM85" i="1"/>
  <c r="FM86" i="1"/>
  <c r="FM87" i="1"/>
  <c r="FM88" i="1"/>
  <c r="FM89" i="1"/>
  <c r="FM90" i="1"/>
  <c r="FM91" i="1"/>
  <c r="FM92" i="1"/>
  <c r="FM93" i="1"/>
  <c r="FM94" i="1"/>
  <c r="FM95" i="1"/>
  <c r="FM96" i="1"/>
  <c r="FM97" i="1"/>
  <c r="FM98" i="1"/>
  <c r="FT98" i="1" s="1"/>
  <c r="FM99" i="1"/>
  <c r="FM100" i="1"/>
  <c r="FM101" i="1"/>
  <c r="FM102" i="1"/>
  <c r="FM103" i="1"/>
  <c r="FM104" i="1"/>
  <c r="FM105" i="1"/>
  <c r="FM106" i="1"/>
  <c r="FM107" i="1"/>
  <c r="FM108" i="1"/>
  <c r="FM109" i="1"/>
  <c r="FM110" i="1"/>
  <c r="FM111" i="1"/>
  <c r="FM112" i="1"/>
  <c r="FM113" i="1"/>
  <c r="FM114" i="1"/>
  <c r="FM115" i="1"/>
  <c r="FM116" i="1"/>
  <c r="FM117" i="1"/>
  <c r="FM118" i="1"/>
  <c r="FT118" i="1" s="1"/>
  <c r="FM119" i="1"/>
  <c r="FM120" i="1"/>
  <c r="FM121" i="1"/>
  <c r="FM122" i="1"/>
  <c r="FM123" i="1"/>
  <c r="FM124" i="1"/>
  <c r="FM125" i="1"/>
  <c r="FM126" i="1"/>
  <c r="FM127" i="1"/>
  <c r="FM128" i="1"/>
  <c r="FM129" i="1"/>
  <c r="FM130" i="1"/>
  <c r="FM131" i="1"/>
  <c r="FM132" i="1"/>
  <c r="FM133" i="1"/>
  <c r="FM134" i="1"/>
  <c r="FM135" i="1"/>
  <c r="FM136" i="1"/>
  <c r="FM137" i="1"/>
  <c r="FM138" i="1"/>
  <c r="FT138" i="1" s="1"/>
  <c r="FM139" i="1"/>
  <c r="FM140" i="1"/>
  <c r="FM141" i="1"/>
  <c r="FM142" i="1"/>
  <c r="FM143" i="1"/>
  <c r="FM144" i="1"/>
  <c r="FM145" i="1"/>
  <c r="FM146" i="1"/>
  <c r="FM147" i="1"/>
  <c r="FM148" i="1"/>
  <c r="FM149" i="1"/>
  <c r="FM150" i="1"/>
  <c r="FM151" i="1"/>
  <c r="FM152" i="1"/>
  <c r="FM153" i="1"/>
  <c r="FM154" i="1"/>
  <c r="FM155" i="1"/>
  <c r="FM156" i="1"/>
  <c r="FM157" i="1"/>
  <c r="FM158" i="1"/>
  <c r="FT158" i="1" s="1"/>
  <c r="FM159" i="1"/>
  <c r="FM160" i="1"/>
  <c r="FM161" i="1"/>
  <c r="FM162" i="1"/>
  <c r="FM163" i="1"/>
  <c r="FM164" i="1"/>
  <c r="FM165" i="1"/>
  <c r="FM166" i="1"/>
  <c r="FM167" i="1"/>
  <c r="FM168" i="1"/>
  <c r="FM169" i="1"/>
  <c r="FM170" i="1"/>
  <c r="FM171" i="1"/>
  <c r="FM172" i="1"/>
  <c r="FM173" i="1"/>
  <c r="FM174" i="1"/>
  <c r="FM175" i="1"/>
  <c r="FM176" i="1"/>
  <c r="FM177" i="1"/>
  <c r="FM178" i="1"/>
  <c r="FM179" i="1"/>
  <c r="FM180" i="1"/>
  <c r="FM181" i="1"/>
  <c r="FM182" i="1"/>
  <c r="FM183" i="1"/>
  <c r="FM184" i="1"/>
  <c r="FM185" i="1"/>
  <c r="FM186" i="1"/>
  <c r="FM187" i="1"/>
  <c r="FM188" i="1"/>
  <c r="FM189" i="1"/>
  <c r="FM190" i="1"/>
  <c r="FM191" i="1"/>
  <c r="FM192" i="1"/>
  <c r="FM193" i="1"/>
  <c r="FM194" i="1"/>
  <c r="FM195" i="1"/>
  <c r="FM196" i="1"/>
  <c r="FM197" i="1"/>
  <c r="FM198" i="1"/>
  <c r="FM199" i="1"/>
  <c r="FM200" i="1"/>
  <c r="FM201" i="1"/>
  <c r="FM202" i="1"/>
  <c r="FM203" i="1"/>
  <c r="FM204" i="1"/>
  <c r="FM205" i="1"/>
  <c r="FM206" i="1"/>
  <c r="FM207" i="1"/>
  <c r="FM208" i="1"/>
  <c r="FM209" i="1"/>
  <c r="FM210" i="1"/>
  <c r="FM211" i="1"/>
  <c r="FM212" i="1"/>
  <c r="FM213" i="1"/>
  <c r="FM214" i="1"/>
  <c r="FM215" i="1"/>
  <c r="FM216" i="1"/>
  <c r="FM217" i="1"/>
  <c r="FM218" i="1"/>
  <c r="FM219" i="1"/>
  <c r="FM220" i="1"/>
  <c r="FM221" i="1"/>
  <c r="FM222" i="1"/>
  <c r="FM223" i="1"/>
  <c r="FM224" i="1"/>
  <c r="FM225" i="1"/>
  <c r="FM226" i="1"/>
  <c r="FM227" i="1"/>
  <c r="FM228" i="1"/>
  <c r="FM229" i="1"/>
  <c r="FM230" i="1"/>
  <c r="FM231" i="1"/>
  <c r="FM232" i="1"/>
  <c r="FM233" i="1"/>
  <c r="FM234" i="1"/>
  <c r="FM235" i="1"/>
  <c r="FM236" i="1"/>
  <c r="FM237" i="1"/>
  <c r="FM238" i="1"/>
  <c r="FM239" i="1"/>
  <c r="FM240" i="1"/>
  <c r="FM241" i="1"/>
  <c r="FM242" i="1"/>
  <c r="FM243" i="1"/>
  <c r="FM244" i="1"/>
  <c r="FM245" i="1"/>
  <c r="FM246" i="1"/>
  <c r="FM247" i="1"/>
  <c r="FM248" i="1"/>
  <c r="FM249" i="1"/>
  <c r="FM250" i="1"/>
  <c r="FM251" i="1"/>
  <c r="FM252" i="1"/>
  <c r="FM253" i="1"/>
  <c r="FM254" i="1"/>
  <c r="FM255" i="1"/>
  <c r="FM256" i="1"/>
  <c r="FM257" i="1"/>
  <c r="FM258" i="1"/>
  <c r="FM259" i="1"/>
  <c r="FM260" i="1"/>
  <c r="FM261" i="1"/>
  <c r="FM262" i="1"/>
  <c r="FM263" i="1"/>
  <c r="FM264" i="1"/>
  <c r="FM265" i="1"/>
  <c r="FM266" i="1"/>
  <c r="FM267" i="1"/>
  <c r="FM268" i="1"/>
  <c r="FM269" i="1"/>
  <c r="FM270" i="1"/>
  <c r="FM271" i="1"/>
  <c r="FM272" i="1"/>
  <c r="FM273" i="1"/>
  <c r="FM274" i="1"/>
  <c r="FM275" i="1"/>
  <c r="FM276" i="1"/>
  <c r="FM277" i="1"/>
  <c r="FM278" i="1"/>
  <c r="FM279" i="1"/>
  <c r="FM280" i="1"/>
  <c r="FM281" i="1"/>
  <c r="FM282" i="1"/>
  <c r="FM283" i="1"/>
  <c r="FM284" i="1"/>
  <c r="FM285" i="1"/>
  <c r="FM286" i="1"/>
  <c r="FM287" i="1"/>
  <c r="FM288" i="1"/>
  <c r="FM289" i="1"/>
  <c r="FM290" i="1"/>
  <c r="FM291" i="1"/>
  <c r="FM292" i="1"/>
  <c r="FM293" i="1"/>
  <c r="FM294" i="1"/>
  <c r="FM295" i="1"/>
  <c r="FM296" i="1"/>
  <c r="FM297" i="1"/>
  <c r="FM298" i="1"/>
  <c r="FM299" i="1"/>
  <c r="FM300" i="1"/>
  <c r="FM301" i="1"/>
  <c r="FM302" i="1"/>
  <c r="FM303" i="1"/>
  <c r="FM304" i="1"/>
  <c r="FM305" i="1"/>
  <c r="FM306" i="1"/>
  <c r="FM307" i="1"/>
  <c r="FM308" i="1"/>
  <c r="FM309" i="1"/>
  <c r="FM310" i="1"/>
  <c r="FM311" i="1"/>
  <c r="FM312" i="1"/>
  <c r="FM313" i="1"/>
  <c r="FM314" i="1"/>
  <c r="FM315" i="1"/>
  <c r="FM316" i="1"/>
  <c r="FM317" i="1"/>
  <c r="FM318" i="1"/>
  <c r="FM319" i="1"/>
  <c r="FM320" i="1"/>
  <c r="FM321" i="1"/>
  <c r="FM322" i="1"/>
  <c r="FM323" i="1"/>
  <c r="FM324" i="1"/>
  <c r="FM325" i="1"/>
  <c r="FM326" i="1"/>
  <c r="FM327" i="1"/>
  <c r="FM328" i="1"/>
  <c r="FM329" i="1"/>
  <c r="FM330" i="1"/>
  <c r="FM331" i="1"/>
  <c r="FM332" i="1"/>
  <c r="FM333" i="1"/>
  <c r="FM334" i="1"/>
  <c r="FM335" i="1"/>
  <c r="FM336" i="1"/>
  <c r="FM337" i="1"/>
  <c r="FM338" i="1"/>
  <c r="FM339" i="1"/>
  <c r="FM340" i="1"/>
  <c r="FM341" i="1"/>
  <c r="FM342" i="1"/>
  <c r="FM343" i="1"/>
  <c r="FM344" i="1"/>
  <c r="FM345" i="1"/>
  <c r="FM346" i="1"/>
  <c r="FM347" i="1"/>
  <c r="FM348" i="1"/>
  <c r="FM349" i="1"/>
  <c r="FM350" i="1"/>
  <c r="FM351" i="1"/>
  <c r="FM352" i="1"/>
  <c r="FM353" i="1"/>
  <c r="FM354" i="1"/>
  <c r="FM355" i="1"/>
  <c r="FM356" i="1"/>
  <c r="FM357" i="1"/>
  <c r="FM358" i="1"/>
  <c r="FM359" i="1"/>
  <c r="FM360" i="1"/>
  <c r="FM361" i="1"/>
  <c r="FM362" i="1"/>
  <c r="FM363" i="1"/>
  <c r="FM364" i="1"/>
  <c r="FM365" i="1"/>
  <c r="FM366" i="1"/>
  <c r="FM367" i="1"/>
  <c r="FM368" i="1"/>
  <c r="FM369" i="1"/>
  <c r="FM370" i="1"/>
  <c r="FM371" i="1"/>
  <c r="FM372" i="1"/>
  <c r="FM373" i="1"/>
  <c r="FM374" i="1"/>
  <c r="FM375" i="1"/>
  <c r="FM376" i="1"/>
  <c r="FM377" i="1"/>
  <c r="FM378" i="1"/>
  <c r="FM379" i="1"/>
  <c r="FM380" i="1"/>
  <c r="FM381" i="1"/>
  <c r="FM382" i="1"/>
  <c r="FM383" i="1"/>
  <c r="FM384" i="1"/>
  <c r="FM385" i="1"/>
  <c r="FM386" i="1"/>
  <c r="FM387" i="1"/>
  <c r="FM388" i="1"/>
  <c r="FM389" i="1"/>
  <c r="FM390" i="1"/>
  <c r="FM391" i="1"/>
  <c r="FM392" i="1"/>
  <c r="FM393" i="1"/>
  <c r="FM394" i="1"/>
  <c r="FM395" i="1"/>
  <c r="FM396" i="1"/>
  <c r="FM397" i="1"/>
  <c r="FM398" i="1"/>
  <c r="FM399" i="1"/>
  <c r="FM400" i="1"/>
  <c r="FM401" i="1"/>
  <c r="FM402" i="1"/>
  <c r="FM403" i="1"/>
  <c r="FM404" i="1"/>
  <c r="FM405" i="1"/>
  <c r="FM406" i="1"/>
  <c r="FM407" i="1"/>
  <c r="FM408" i="1"/>
  <c r="FM409" i="1"/>
  <c r="FM410" i="1"/>
  <c r="FM411" i="1"/>
  <c r="FM412" i="1"/>
  <c r="FM413" i="1"/>
  <c r="FM414" i="1"/>
  <c r="FM415" i="1"/>
  <c r="FM416" i="1"/>
  <c r="FM417" i="1"/>
  <c r="FM418" i="1"/>
  <c r="FM419" i="1"/>
  <c r="FM420" i="1"/>
  <c r="FM421" i="1"/>
  <c r="FM422" i="1"/>
  <c r="FM423" i="1"/>
  <c r="FM424" i="1"/>
  <c r="FM425" i="1"/>
  <c r="FM426" i="1"/>
  <c r="FM427" i="1"/>
  <c r="FM428" i="1"/>
  <c r="FM429" i="1"/>
  <c r="FM430" i="1"/>
  <c r="FM431" i="1"/>
  <c r="FM432" i="1"/>
  <c r="FM433" i="1"/>
  <c r="FM434" i="1"/>
  <c r="FM435" i="1"/>
  <c r="FM436" i="1"/>
  <c r="FM437" i="1"/>
  <c r="FM438" i="1"/>
  <c r="FM439" i="1"/>
  <c r="FM440" i="1"/>
  <c r="FM441" i="1"/>
  <c r="FM442" i="1"/>
  <c r="FM443" i="1"/>
  <c r="FM444" i="1"/>
  <c r="FM445" i="1"/>
  <c r="FM446" i="1"/>
  <c r="FM447" i="1"/>
  <c r="FM448" i="1"/>
  <c r="FM449" i="1"/>
  <c r="FM450" i="1"/>
  <c r="FM451" i="1"/>
  <c r="FM452" i="1"/>
  <c r="FM453" i="1"/>
  <c r="FM454" i="1"/>
  <c r="FM455" i="1"/>
  <c r="FM456" i="1"/>
  <c r="FM457" i="1"/>
  <c r="FM458" i="1"/>
  <c r="FM459" i="1"/>
  <c r="FM460" i="1"/>
  <c r="FM461" i="1"/>
  <c r="FM462" i="1"/>
  <c r="FM463" i="1"/>
  <c r="FM464" i="1"/>
  <c r="FM465" i="1"/>
  <c r="FM466" i="1"/>
  <c r="FM467" i="1"/>
  <c r="FM468" i="1"/>
  <c r="FM469" i="1"/>
  <c r="FM470" i="1"/>
  <c r="FM471" i="1"/>
  <c r="FM472" i="1"/>
  <c r="FM473" i="1"/>
  <c r="FM474" i="1"/>
  <c r="FM475" i="1"/>
  <c r="FM476" i="1"/>
  <c r="FM477" i="1"/>
  <c r="FM478" i="1"/>
  <c r="FM479" i="1"/>
  <c r="FM480" i="1"/>
  <c r="FM481" i="1"/>
  <c r="FM482" i="1"/>
  <c r="FM483" i="1"/>
  <c r="FM484" i="1"/>
  <c r="FM485" i="1"/>
  <c r="FM486" i="1"/>
  <c r="FM487" i="1"/>
  <c r="FM488" i="1"/>
  <c r="FM489" i="1"/>
  <c r="FM490" i="1"/>
  <c r="FM491" i="1"/>
  <c r="FM492" i="1"/>
  <c r="FM493" i="1"/>
  <c r="FM494" i="1"/>
  <c r="FM495" i="1"/>
  <c r="FM496" i="1"/>
  <c r="FM497" i="1"/>
  <c r="FM498" i="1"/>
  <c r="FM499" i="1"/>
  <c r="FM500" i="1"/>
  <c r="FM501" i="1"/>
  <c r="FM502" i="1"/>
  <c r="FM503" i="1"/>
  <c r="FM504" i="1"/>
  <c r="FM505" i="1"/>
  <c r="FM506" i="1"/>
  <c r="FM507" i="1"/>
  <c r="FM508" i="1"/>
  <c r="FM509" i="1"/>
  <c r="FM510" i="1"/>
  <c r="FM511" i="1"/>
  <c r="FM512" i="1"/>
  <c r="FM513" i="1"/>
  <c r="FM514" i="1"/>
  <c r="FM515" i="1"/>
  <c r="FM516" i="1"/>
  <c r="FM517" i="1"/>
  <c r="FM518" i="1"/>
  <c r="FM519" i="1"/>
  <c r="FM520" i="1"/>
  <c r="FM521" i="1"/>
  <c r="FM522" i="1"/>
  <c r="FM523" i="1"/>
  <c r="FM524" i="1"/>
  <c r="FM525" i="1"/>
  <c r="FM526" i="1"/>
  <c r="FM527" i="1"/>
  <c r="FM528" i="1"/>
  <c r="FM529" i="1"/>
  <c r="FM530" i="1"/>
  <c r="FM531" i="1"/>
  <c r="FM532" i="1"/>
  <c r="FM533" i="1"/>
  <c r="FM534" i="1"/>
  <c r="FM535" i="1"/>
  <c r="FM536" i="1"/>
  <c r="FM537" i="1"/>
  <c r="FM538" i="1"/>
  <c r="FM539" i="1"/>
  <c r="FM540" i="1"/>
  <c r="FM541" i="1"/>
  <c r="FM542" i="1"/>
  <c r="FM543" i="1"/>
  <c r="FM544" i="1"/>
  <c r="FM545" i="1"/>
  <c r="FM546" i="1"/>
  <c r="FM547" i="1"/>
  <c r="FM548" i="1"/>
  <c r="FM549" i="1"/>
  <c r="FM550" i="1"/>
  <c r="FM551" i="1"/>
  <c r="FM552" i="1"/>
  <c r="FM553" i="1"/>
  <c r="FM554" i="1"/>
  <c r="FM555" i="1"/>
  <c r="FM556" i="1"/>
  <c r="FM557" i="1"/>
  <c r="FM558" i="1"/>
  <c r="FM559" i="1"/>
  <c r="FM560" i="1"/>
  <c r="FM561" i="1"/>
  <c r="FM562" i="1"/>
  <c r="FM563" i="1"/>
  <c r="FM564" i="1"/>
  <c r="FM565" i="1"/>
  <c r="FM566" i="1"/>
  <c r="FM567" i="1"/>
  <c r="FG3" i="1"/>
  <c r="FG4" i="1"/>
  <c r="FG5" i="1"/>
  <c r="FG6" i="1"/>
  <c r="FG7" i="1"/>
  <c r="FG8" i="1"/>
  <c r="FG9" i="1"/>
  <c r="FG10" i="1"/>
  <c r="FG11" i="1"/>
  <c r="FG12" i="1"/>
  <c r="FG13" i="1"/>
  <c r="FG14" i="1"/>
  <c r="FG15" i="1"/>
  <c r="FG16" i="1"/>
  <c r="FG17" i="1"/>
  <c r="FG18" i="1"/>
  <c r="FG19" i="1"/>
  <c r="FG20" i="1"/>
  <c r="FG21" i="1"/>
  <c r="FG22" i="1"/>
  <c r="FG23" i="1"/>
  <c r="FG24" i="1"/>
  <c r="FG25" i="1"/>
  <c r="FG26" i="1"/>
  <c r="FG27" i="1"/>
  <c r="FG28" i="1"/>
  <c r="FG29" i="1"/>
  <c r="FG30" i="1"/>
  <c r="FG31" i="1"/>
  <c r="FG32" i="1"/>
  <c r="FG33" i="1"/>
  <c r="FG34" i="1"/>
  <c r="FG35" i="1"/>
  <c r="FG36" i="1"/>
  <c r="FG37" i="1"/>
  <c r="FG38" i="1"/>
  <c r="FG39" i="1"/>
  <c r="FG40" i="1"/>
  <c r="FG41" i="1"/>
  <c r="FG42" i="1"/>
  <c r="FG43" i="1"/>
  <c r="FG44" i="1"/>
  <c r="FG45" i="1"/>
  <c r="FG46" i="1"/>
  <c r="FG47" i="1"/>
  <c r="FG48" i="1"/>
  <c r="FG49" i="1"/>
  <c r="FG50" i="1"/>
  <c r="FG51" i="1"/>
  <c r="FG52" i="1"/>
  <c r="FG53" i="1"/>
  <c r="FG54" i="1"/>
  <c r="FG55" i="1"/>
  <c r="FG56" i="1"/>
  <c r="FG57" i="1"/>
  <c r="FG58" i="1"/>
  <c r="FG59" i="1"/>
  <c r="FG60" i="1"/>
  <c r="FG61" i="1"/>
  <c r="FG62" i="1"/>
  <c r="FG63" i="1"/>
  <c r="FG64" i="1"/>
  <c r="FG65" i="1"/>
  <c r="FG66" i="1"/>
  <c r="FG67" i="1"/>
  <c r="FG68" i="1"/>
  <c r="FG69" i="1"/>
  <c r="FG70" i="1"/>
  <c r="FG71" i="1"/>
  <c r="FG72" i="1"/>
  <c r="FG73" i="1"/>
  <c r="FG74" i="1"/>
  <c r="FG75" i="1"/>
  <c r="FG76" i="1"/>
  <c r="FG77" i="1"/>
  <c r="FG78" i="1"/>
  <c r="FG79" i="1"/>
  <c r="FG80" i="1"/>
  <c r="FG81" i="1"/>
  <c r="FG82" i="1"/>
  <c r="FG83" i="1"/>
  <c r="FG84" i="1"/>
  <c r="FG85" i="1"/>
  <c r="FG86" i="1"/>
  <c r="FG87" i="1"/>
  <c r="FG88" i="1"/>
  <c r="FG89" i="1"/>
  <c r="FG90" i="1"/>
  <c r="FG91" i="1"/>
  <c r="FG92" i="1"/>
  <c r="FG93" i="1"/>
  <c r="FG94" i="1"/>
  <c r="FG95" i="1"/>
  <c r="FG96" i="1"/>
  <c r="FG97" i="1"/>
  <c r="FG98" i="1"/>
  <c r="FG99" i="1"/>
  <c r="FG100" i="1"/>
  <c r="FG101" i="1"/>
  <c r="FG102" i="1"/>
  <c r="FG103" i="1"/>
  <c r="FG104" i="1"/>
  <c r="FG105" i="1"/>
  <c r="FG106" i="1"/>
  <c r="FG107" i="1"/>
  <c r="FG108" i="1"/>
  <c r="FG109" i="1"/>
  <c r="FG110" i="1"/>
  <c r="FG111" i="1"/>
  <c r="FG112" i="1"/>
  <c r="FG113" i="1"/>
  <c r="FG114" i="1"/>
  <c r="FG115" i="1"/>
  <c r="FG116" i="1"/>
  <c r="FG117" i="1"/>
  <c r="FG118" i="1"/>
  <c r="FG119" i="1"/>
  <c r="FG120" i="1"/>
  <c r="FG121" i="1"/>
  <c r="FG122" i="1"/>
  <c r="FG123" i="1"/>
  <c r="FG124" i="1"/>
  <c r="FG125" i="1"/>
  <c r="FG126" i="1"/>
  <c r="FG127" i="1"/>
  <c r="FG128" i="1"/>
  <c r="FG129" i="1"/>
  <c r="FG130" i="1"/>
  <c r="FG131" i="1"/>
  <c r="FG132" i="1"/>
  <c r="FG133" i="1"/>
  <c r="FG134" i="1"/>
  <c r="FG135" i="1"/>
  <c r="FG136" i="1"/>
  <c r="FG137" i="1"/>
  <c r="FG138" i="1"/>
  <c r="FG139" i="1"/>
  <c r="FG140" i="1"/>
  <c r="FG141" i="1"/>
  <c r="FG142" i="1"/>
  <c r="FG143" i="1"/>
  <c r="FG144" i="1"/>
  <c r="FG145" i="1"/>
  <c r="FG146" i="1"/>
  <c r="FG147" i="1"/>
  <c r="FG148" i="1"/>
  <c r="FG149" i="1"/>
  <c r="FG150" i="1"/>
  <c r="FG151" i="1"/>
  <c r="FG152" i="1"/>
  <c r="FG153" i="1"/>
  <c r="FG154" i="1"/>
  <c r="FG155" i="1"/>
  <c r="FG156" i="1"/>
  <c r="FG157" i="1"/>
  <c r="FG158" i="1"/>
  <c r="FG159" i="1"/>
  <c r="FG160" i="1"/>
  <c r="FG161" i="1"/>
  <c r="FG162" i="1"/>
  <c r="FG163" i="1"/>
  <c r="FG164" i="1"/>
  <c r="FG165" i="1"/>
  <c r="FG166" i="1"/>
  <c r="FG167" i="1"/>
  <c r="FG168" i="1"/>
  <c r="FG169" i="1"/>
  <c r="FG170" i="1"/>
  <c r="FG171" i="1"/>
  <c r="FG172" i="1"/>
  <c r="FG173" i="1"/>
  <c r="FG174" i="1"/>
  <c r="FG175" i="1"/>
  <c r="FG176" i="1"/>
  <c r="FG177" i="1"/>
  <c r="FG178" i="1"/>
  <c r="FG179" i="1"/>
  <c r="FG180" i="1"/>
  <c r="FG181" i="1"/>
  <c r="FG182" i="1"/>
  <c r="FG183" i="1"/>
  <c r="FG184" i="1"/>
  <c r="FG185" i="1"/>
  <c r="FG186" i="1"/>
  <c r="FG187" i="1"/>
  <c r="FG188" i="1"/>
  <c r="FG189" i="1"/>
  <c r="FG190" i="1"/>
  <c r="FG191" i="1"/>
  <c r="FG192" i="1"/>
  <c r="FG193" i="1"/>
  <c r="FG194" i="1"/>
  <c r="FG195" i="1"/>
  <c r="FG196" i="1"/>
  <c r="FG197" i="1"/>
  <c r="FG198" i="1"/>
  <c r="FG199" i="1"/>
  <c r="FG200" i="1"/>
  <c r="FG201" i="1"/>
  <c r="FG202" i="1"/>
  <c r="FG203" i="1"/>
  <c r="FG204" i="1"/>
  <c r="FG205" i="1"/>
  <c r="FG206" i="1"/>
  <c r="FG207" i="1"/>
  <c r="FG208" i="1"/>
  <c r="FG209" i="1"/>
  <c r="FG210" i="1"/>
  <c r="FG211" i="1"/>
  <c r="FG212" i="1"/>
  <c r="FG213" i="1"/>
  <c r="FG214" i="1"/>
  <c r="FG215" i="1"/>
  <c r="FG216" i="1"/>
  <c r="FG217" i="1"/>
  <c r="FG218" i="1"/>
  <c r="FG219" i="1"/>
  <c r="FG220" i="1"/>
  <c r="FG221" i="1"/>
  <c r="FG222" i="1"/>
  <c r="FG223" i="1"/>
  <c r="FG224" i="1"/>
  <c r="FG225" i="1"/>
  <c r="FG226" i="1"/>
  <c r="FG227" i="1"/>
  <c r="FG228" i="1"/>
  <c r="FG229" i="1"/>
  <c r="FG230" i="1"/>
  <c r="FG231" i="1"/>
  <c r="FG232" i="1"/>
  <c r="FG233" i="1"/>
  <c r="FG234" i="1"/>
  <c r="FG235" i="1"/>
  <c r="FG236" i="1"/>
  <c r="FG237" i="1"/>
  <c r="FG238" i="1"/>
  <c r="FG239" i="1"/>
  <c r="FG240" i="1"/>
  <c r="FG241" i="1"/>
  <c r="FG242" i="1"/>
  <c r="FG243" i="1"/>
  <c r="FG244" i="1"/>
  <c r="FG245" i="1"/>
  <c r="FG246" i="1"/>
  <c r="FG247" i="1"/>
  <c r="FG248" i="1"/>
  <c r="FG249" i="1"/>
  <c r="FG250" i="1"/>
  <c r="FG251" i="1"/>
  <c r="FG252" i="1"/>
  <c r="FG253" i="1"/>
  <c r="FG254" i="1"/>
  <c r="FG255" i="1"/>
  <c r="FG256" i="1"/>
  <c r="FG257" i="1"/>
  <c r="FG258" i="1"/>
  <c r="FG259" i="1"/>
  <c r="FG260" i="1"/>
  <c r="FG261" i="1"/>
  <c r="FG262" i="1"/>
  <c r="FG263" i="1"/>
  <c r="FG264" i="1"/>
  <c r="FG265" i="1"/>
  <c r="FG266" i="1"/>
  <c r="FG267" i="1"/>
  <c r="FG268" i="1"/>
  <c r="FG269" i="1"/>
  <c r="FG270" i="1"/>
  <c r="FG271" i="1"/>
  <c r="FG272" i="1"/>
  <c r="FG273" i="1"/>
  <c r="FG274" i="1"/>
  <c r="FG275" i="1"/>
  <c r="FG276" i="1"/>
  <c r="FG277" i="1"/>
  <c r="FG278" i="1"/>
  <c r="FG279" i="1"/>
  <c r="FG280" i="1"/>
  <c r="FG281" i="1"/>
  <c r="FG282" i="1"/>
  <c r="FG283" i="1"/>
  <c r="FG284" i="1"/>
  <c r="FG285" i="1"/>
  <c r="FG286" i="1"/>
  <c r="FG287" i="1"/>
  <c r="FG288" i="1"/>
  <c r="FG289" i="1"/>
  <c r="FG290" i="1"/>
  <c r="FG291" i="1"/>
  <c r="FG292" i="1"/>
  <c r="FG293" i="1"/>
  <c r="FG294" i="1"/>
  <c r="FG295" i="1"/>
  <c r="FG296" i="1"/>
  <c r="FG297" i="1"/>
  <c r="FG298" i="1"/>
  <c r="FG299" i="1"/>
  <c r="FG300" i="1"/>
  <c r="FG301" i="1"/>
  <c r="FG302" i="1"/>
  <c r="FG303" i="1"/>
  <c r="FG304" i="1"/>
  <c r="FG305" i="1"/>
  <c r="FG306" i="1"/>
  <c r="FG307" i="1"/>
  <c r="FG308" i="1"/>
  <c r="FG309" i="1"/>
  <c r="FG310" i="1"/>
  <c r="FG311" i="1"/>
  <c r="FG312" i="1"/>
  <c r="FG313" i="1"/>
  <c r="FG314" i="1"/>
  <c r="FG315" i="1"/>
  <c r="FG316" i="1"/>
  <c r="FG317" i="1"/>
  <c r="FG318" i="1"/>
  <c r="FG319" i="1"/>
  <c r="FG320" i="1"/>
  <c r="FG321" i="1"/>
  <c r="FG322" i="1"/>
  <c r="FG323" i="1"/>
  <c r="FG324" i="1"/>
  <c r="FG325" i="1"/>
  <c r="FG326" i="1"/>
  <c r="FG327" i="1"/>
  <c r="FG328" i="1"/>
  <c r="FG329" i="1"/>
  <c r="FG330" i="1"/>
  <c r="FG331" i="1"/>
  <c r="FG332" i="1"/>
  <c r="FG333" i="1"/>
  <c r="FG334" i="1"/>
  <c r="FG335" i="1"/>
  <c r="FG336" i="1"/>
  <c r="FG337" i="1"/>
  <c r="FG338" i="1"/>
  <c r="FG339" i="1"/>
  <c r="FG340" i="1"/>
  <c r="FG341" i="1"/>
  <c r="FG342" i="1"/>
  <c r="FG343" i="1"/>
  <c r="FG344" i="1"/>
  <c r="FG345" i="1"/>
  <c r="FG346" i="1"/>
  <c r="FG347" i="1"/>
  <c r="FG348" i="1"/>
  <c r="FG349" i="1"/>
  <c r="FG350" i="1"/>
  <c r="FG351" i="1"/>
  <c r="FG352" i="1"/>
  <c r="FG353" i="1"/>
  <c r="FG354" i="1"/>
  <c r="FG355" i="1"/>
  <c r="FG356" i="1"/>
  <c r="FG357" i="1"/>
  <c r="FG358" i="1"/>
  <c r="FG359" i="1"/>
  <c r="FG360" i="1"/>
  <c r="FG361" i="1"/>
  <c r="FG362" i="1"/>
  <c r="FG363" i="1"/>
  <c r="FG364" i="1"/>
  <c r="FG365" i="1"/>
  <c r="FG366" i="1"/>
  <c r="FG367" i="1"/>
  <c r="FG368" i="1"/>
  <c r="FG369" i="1"/>
  <c r="FG370" i="1"/>
  <c r="FG371" i="1"/>
  <c r="FG372" i="1"/>
  <c r="FG373" i="1"/>
  <c r="FG374" i="1"/>
  <c r="FG375" i="1"/>
  <c r="FG376" i="1"/>
  <c r="FG377" i="1"/>
  <c r="FG378" i="1"/>
  <c r="FG379" i="1"/>
  <c r="FG380" i="1"/>
  <c r="FG381" i="1"/>
  <c r="FG382" i="1"/>
  <c r="FG383" i="1"/>
  <c r="FG384" i="1"/>
  <c r="FG385" i="1"/>
  <c r="FG386" i="1"/>
  <c r="FG387" i="1"/>
  <c r="FG388" i="1"/>
  <c r="FG389" i="1"/>
  <c r="FG390" i="1"/>
  <c r="FG391" i="1"/>
  <c r="FG392" i="1"/>
  <c r="FG393" i="1"/>
  <c r="FG394" i="1"/>
  <c r="FG395" i="1"/>
  <c r="FG396" i="1"/>
  <c r="FG397" i="1"/>
  <c r="FG398" i="1"/>
  <c r="FG399" i="1"/>
  <c r="FG400" i="1"/>
  <c r="FG401" i="1"/>
  <c r="FG402" i="1"/>
  <c r="FG403" i="1"/>
  <c r="FG404" i="1"/>
  <c r="FG405" i="1"/>
  <c r="FG406" i="1"/>
  <c r="FG407" i="1"/>
  <c r="FG408" i="1"/>
  <c r="FG409" i="1"/>
  <c r="FG410" i="1"/>
  <c r="FG411" i="1"/>
  <c r="FG412" i="1"/>
  <c r="FG413" i="1"/>
  <c r="FG414" i="1"/>
  <c r="FG415" i="1"/>
  <c r="FG416" i="1"/>
  <c r="FG417" i="1"/>
  <c r="FG418" i="1"/>
  <c r="FG419" i="1"/>
  <c r="FG420" i="1"/>
  <c r="FG421" i="1"/>
  <c r="FG422" i="1"/>
  <c r="FG423" i="1"/>
  <c r="FG424" i="1"/>
  <c r="FG425" i="1"/>
  <c r="FG426" i="1"/>
  <c r="FG427" i="1"/>
  <c r="FG428" i="1"/>
  <c r="FG429" i="1"/>
  <c r="FG430" i="1"/>
  <c r="FG431" i="1"/>
  <c r="FG432" i="1"/>
  <c r="FG433" i="1"/>
  <c r="FG434" i="1"/>
  <c r="FG435" i="1"/>
  <c r="FG436" i="1"/>
  <c r="FG437" i="1"/>
  <c r="FG438" i="1"/>
  <c r="FG439" i="1"/>
  <c r="FG440" i="1"/>
  <c r="FG441" i="1"/>
  <c r="FG442" i="1"/>
  <c r="FG443" i="1"/>
  <c r="FG444" i="1"/>
  <c r="FG445" i="1"/>
  <c r="FG446" i="1"/>
  <c r="FG447" i="1"/>
  <c r="FG448" i="1"/>
  <c r="FG449" i="1"/>
  <c r="FG450" i="1"/>
  <c r="FG451" i="1"/>
  <c r="FG452" i="1"/>
  <c r="FG453" i="1"/>
  <c r="FG454" i="1"/>
  <c r="FG455" i="1"/>
  <c r="FG456" i="1"/>
  <c r="FG457" i="1"/>
  <c r="FG458" i="1"/>
  <c r="FG459" i="1"/>
  <c r="FG460" i="1"/>
  <c r="FG461" i="1"/>
  <c r="FG462" i="1"/>
  <c r="FG463" i="1"/>
  <c r="FG464" i="1"/>
  <c r="FG465" i="1"/>
  <c r="FG466" i="1"/>
  <c r="FG467" i="1"/>
  <c r="FG468" i="1"/>
  <c r="FG469" i="1"/>
  <c r="FG470" i="1"/>
  <c r="FG471" i="1"/>
  <c r="FG472" i="1"/>
  <c r="FG473" i="1"/>
  <c r="FG474" i="1"/>
  <c r="FG475" i="1"/>
  <c r="FG476" i="1"/>
  <c r="FG477" i="1"/>
  <c r="FG478" i="1"/>
  <c r="FG479" i="1"/>
  <c r="FG480" i="1"/>
  <c r="FG481" i="1"/>
  <c r="FG482" i="1"/>
  <c r="FG483" i="1"/>
  <c r="FG484" i="1"/>
  <c r="FG485" i="1"/>
  <c r="FG486" i="1"/>
  <c r="FG487" i="1"/>
  <c r="FG488" i="1"/>
  <c r="FG489" i="1"/>
  <c r="FG490" i="1"/>
  <c r="FG491" i="1"/>
  <c r="FG492" i="1"/>
  <c r="FG493" i="1"/>
  <c r="FG494" i="1"/>
  <c r="FG495" i="1"/>
  <c r="FG496" i="1"/>
  <c r="FG497" i="1"/>
  <c r="FG498" i="1"/>
  <c r="FG499" i="1"/>
  <c r="FG500" i="1"/>
  <c r="FG501" i="1"/>
  <c r="FG502" i="1"/>
  <c r="FG503" i="1"/>
  <c r="FG504" i="1"/>
  <c r="FG505" i="1"/>
  <c r="FG506" i="1"/>
  <c r="FG507" i="1"/>
  <c r="FG508" i="1"/>
  <c r="FG509" i="1"/>
  <c r="FG510" i="1"/>
  <c r="FG511" i="1"/>
  <c r="FG512" i="1"/>
  <c r="FG513" i="1"/>
  <c r="FG514" i="1"/>
  <c r="FG515" i="1"/>
  <c r="FG516" i="1"/>
  <c r="FG517" i="1"/>
  <c r="FG518" i="1"/>
  <c r="FG519" i="1"/>
  <c r="FG520" i="1"/>
  <c r="FG521" i="1"/>
  <c r="FG522" i="1"/>
  <c r="FG523" i="1"/>
  <c r="FG524" i="1"/>
  <c r="FG525" i="1"/>
  <c r="FG526" i="1"/>
  <c r="FG527" i="1"/>
  <c r="FG528" i="1"/>
  <c r="FG529" i="1"/>
  <c r="FG530" i="1"/>
  <c r="FG531" i="1"/>
  <c r="FG532" i="1"/>
  <c r="FG533" i="1"/>
  <c r="FG534" i="1"/>
  <c r="FG535" i="1"/>
  <c r="FG536" i="1"/>
  <c r="FG537" i="1"/>
  <c r="FG538" i="1"/>
  <c r="FG539" i="1"/>
  <c r="FG540" i="1"/>
  <c r="FG541" i="1"/>
  <c r="FG542" i="1"/>
  <c r="FG543" i="1"/>
  <c r="FG544" i="1"/>
  <c r="FG545" i="1"/>
  <c r="FG546" i="1"/>
  <c r="FG547" i="1"/>
  <c r="FG548" i="1"/>
  <c r="FG549" i="1"/>
  <c r="FG550" i="1"/>
  <c r="FG551" i="1"/>
  <c r="FG552" i="1"/>
  <c r="FG553" i="1"/>
  <c r="FG554" i="1"/>
  <c r="FG555" i="1"/>
  <c r="FG556" i="1"/>
  <c r="FG557" i="1"/>
  <c r="FG558" i="1"/>
  <c r="FG559" i="1"/>
  <c r="FG560" i="1"/>
  <c r="FG561" i="1"/>
  <c r="FG562" i="1"/>
  <c r="FG563" i="1"/>
  <c r="FG564" i="1"/>
  <c r="FG565" i="1"/>
  <c r="FG566" i="1"/>
  <c r="FG567" i="1"/>
  <c r="FE3" i="1"/>
  <c r="FE4" i="1"/>
  <c r="FE5" i="1"/>
  <c r="FE6" i="1"/>
  <c r="FE7" i="1"/>
  <c r="FE8" i="1"/>
  <c r="FE9" i="1"/>
  <c r="FE10" i="1"/>
  <c r="FE11" i="1"/>
  <c r="FE12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3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94" i="1"/>
  <c r="FE95" i="1"/>
  <c r="FE96" i="1"/>
  <c r="FE97" i="1"/>
  <c r="FE98" i="1"/>
  <c r="FE99" i="1"/>
  <c r="FE100" i="1"/>
  <c r="FE101" i="1"/>
  <c r="FE102" i="1"/>
  <c r="FE103" i="1"/>
  <c r="FE104" i="1"/>
  <c r="FE105" i="1"/>
  <c r="FE106" i="1"/>
  <c r="FE107" i="1"/>
  <c r="FE108" i="1"/>
  <c r="FE109" i="1"/>
  <c r="FE110" i="1"/>
  <c r="FE111" i="1"/>
  <c r="FE112" i="1"/>
  <c r="FE113" i="1"/>
  <c r="FE114" i="1"/>
  <c r="FE115" i="1"/>
  <c r="FE116" i="1"/>
  <c r="FE117" i="1"/>
  <c r="FE118" i="1"/>
  <c r="FE119" i="1"/>
  <c r="FE120" i="1"/>
  <c r="FE121" i="1"/>
  <c r="FE122" i="1"/>
  <c r="FE123" i="1"/>
  <c r="FE124" i="1"/>
  <c r="FE125" i="1"/>
  <c r="FE126" i="1"/>
  <c r="FE127" i="1"/>
  <c r="FE128" i="1"/>
  <c r="FE129" i="1"/>
  <c r="FE130" i="1"/>
  <c r="FE131" i="1"/>
  <c r="FE132" i="1"/>
  <c r="FE133" i="1"/>
  <c r="FE134" i="1"/>
  <c r="FE135" i="1"/>
  <c r="FE136" i="1"/>
  <c r="FE137" i="1"/>
  <c r="FE138" i="1"/>
  <c r="FE139" i="1"/>
  <c r="FE140" i="1"/>
  <c r="FE141" i="1"/>
  <c r="FE142" i="1"/>
  <c r="FE143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156" i="1"/>
  <c r="FE157" i="1"/>
  <c r="FE158" i="1"/>
  <c r="FE159" i="1"/>
  <c r="FE160" i="1"/>
  <c r="FE161" i="1"/>
  <c r="FE162" i="1"/>
  <c r="FE163" i="1"/>
  <c r="FE164" i="1"/>
  <c r="FE165" i="1"/>
  <c r="FE166" i="1"/>
  <c r="FE167" i="1"/>
  <c r="FE168" i="1"/>
  <c r="FE169" i="1"/>
  <c r="FE170" i="1"/>
  <c r="FE171" i="1"/>
  <c r="FE172" i="1"/>
  <c r="FE173" i="1"/>
  <c r="FE174" i="1"/>
  <c r="FE175" i="1"/>
  <c r="FE176" i="1"/>
  <c r="FE177" i="1"/>
  <c r="FE178" i="1"/>
  <c r="FE179" i="1"/>
  <c r="FE180" i="1"/>
  <c r="FE181" i="1"/>
  <c r="FE182" i="1"/>
  <c r="FE183" i="1"/>
  <c r="FE184" i="1"/>
  <c r="FE185" i="1"/>
  <c r="FE186" i="1"/>
  <c r="FE187" i="1"/>
  <c r="FE188" i="1"/>
  <c r="FE189" i="1"/>
  <c r="FE190" i="1"/>
  <c r="FE191" i="1"/>
  <c r="FE192" i="1"/>
  <c r="FE193" i="1"/>
  <c r="FE194" i="1"/>
  <c r="FE195" i="1"/>
  <c r="FE196" i="1"/>
  <c r="FE197" i="1"/>
  <c r="FE198" i="1"/>
  <c r="FE199" i="1"/>
  <c r="FE200" i="1"/>
  <c r="FE201" i="1"/>
  <c r="FE202" i="1"/>
  <c r="FE203" i="1"/>
  <c r="FE204" i="1"/>
  <c r="FE205" i="1"/>
  <c r="FE206" i="1"/>
  <c r="FE207" i="1"/>
  <c r="FE208" i="1"/>
  <c r="FE209" i="1"/>
  <c r="FE210" i="1"/>
  <c r="FE211" i="1"/>
  <c r="FE212" i="1"/>
  <c r="FE213" i="1"/>
  <c r="FE214" i="1"/>
  <c r="FE215" i="1"/>
  <c r="FE216" i="1"/>
  <c r="FE217" i="1"/>
  <c r="FE218" i="1"/>
  <c r="FE219" i="1"/>
  <c r="FE220" i="1"/>
  <c r="FE221" i="1"/>
  <c r="FE222" i="1"/>
  <c r="FE223" i="1"/>
  <c r="FE224" i="1"/>
  <c r="FE225" i="1"/>
  <c r="FE226" i="1"/>
  <c r="FE227" i="1"/>
  <c r="FE228" i="1"/>
  <c r="FE229" i="1"/>
  <c r="FE230" i="1"/>
  <c r="FE231" i="1"/>
  <c r="FE232" i="1"/>
  <c r="FE233" i="1"/>
  <c r="FE234" i="1"/>
  <c r="FE235" i="1"/>
  <c r="FE236" i="1"/>
  <c r="FE237" i="1"/>
  <c r="FE238" i="1"/>
  <c r="FE239" i="1"/>
  <c r="FE240" i="1"/>
  <c r="FE241" i="1"/>
  <c r="FE242" i="1"/>
  <c r="FE243" i="1"/>
  <c r="FE244" i="1"/>
  <c r="FE245" i="1"/>
  <c r="FE246" i="1"/>
  <c r="FE247" i="1"/>
  <c r="FE248" i="1"/>
  <c r="FE249" i="1"/>
  <c r="FE250" i="1"/>
  <c r="FE251" i="1"/>
  <c r="FE252" i="1"/>
  <c r="FE253" i="1"/>
  <c r="FE254" i="1"/>
  <c r="FE255" i="1"/>
  <c r="FE256" i="1"/>
  <c r="FE257" i="1"/>
  <c r="FE258" i="1"/>
  <c r="FE259" i="1"/>
  <c r="FE260" i="1"/>
  <c r="FE261" i="1"/>
  <c r="FE262" i="1"/>
  <c r="FE263" i="1"/>
  <c r="FE264" i="1"/>
  <c r="FE265" i="1"/>
  <c r="FE266" i="1"/>
  <c r="FE267" i="1"/>
  <c r="FE268" i="1"/>
  <c r="FE269" i="1"/>
  <c r="FE270" i="1"/>
  <c r="FE271" i="1"/>
  <c r="FE272" i="1"/>
  <c r="FE273" i="1"/>
  <c r="FE274" i="1"/>
  <c r="FE275" i="1"/>
  <c r="FE276" i="1"/>
  <c r="FE277" i="1"/>
  <c r="FE278" i="1"/>
  <c r="FE279" i="1"/>
  <c r="FE280" i="1"/>
  <c r="FE281" i="1"/>
  <c r="FE282" i="1"/>
  <c r="FE283" i="1"/>
  <c r="FE284" i="1"/>
  <c r="FE285" i="1"/>
  <c r="FE286" i="1"/>
  <c r="FE287" i="1"/>
  <c r="FE288" i="1"/>
  <c r="FE289" i="1"/>
  <c r="FE290" i="1"/>
  <c r="FE291" i="1"/>
  <c r="FE292" i="1"/>
  <c r="FE293" i="1"/>
  <c r="FE294" i="1"/>
  <c r="FE295" i="1"/>
  <c r="FE296" i="1"/>
  <c r="FE297" i="1"/>
  <c r="FE298" i="1"/>
  <c r="FE299" i="1"/>
  <c r="FE300" i="1"/>
  <c r="FE301" i="1"/>
  <c r="FE302" i="1"/>
  <c r="FE303" i="1"/>
  <c r="FE304" i="1"/>
  <c r="FE305" i="1"/>
  <c r="FE306" i="1"/>
  <c r="FE307" i="1"/>
  <c r="FE308" i="1"/>
  <c r="FE309" i="1"/>
  <c r="FE310" i="1"/>
  <c r="FE311" i="1"/>
  <c r="FE312" i="1"/>
  <c r="FE313" i="1"/>
  <c r="FE314" i="1"/>
  <c r="FE315" i="1"/>
  <c r="FE316" i="1"/>
  <c r="FE317" i="1"/>
  <c r="FE318" i="1"/>
  <c r="FE319" i="1"/>
  <c r="FE320" i="1"/>
  <c r="FE321" i="1"/>
  <c r="FE322" i="1"/>
  <c r="FE323" i="1"/>
  <c r="FE324" i="1"/>
  <c r="FE325" i="1"/>
  <c r="FE326" i="1"/>
  <c r="FE327" i="1"/>
  <c r="FE328" i="1"/>
  <c r="FE329" i="1"/>
  <c r="FE330" i="1"/>
  <c r="FE331" i="1"/>
  <c r="FE332" i="1"/>
  <c r="FE333" i="1"/>
  <c r="FE334" i="1"/>
  <c r="FE335" i="1"/>
  <c r="FE336" i="1"/>
  <c r="FE337" i="1"/>
  <c r="FE338" i="1"/>
  <c r="FE339" i="1"/>
  <c r="FE340" i="1"/>
  <c r="FE341" i="1"/>
  <c r="FE342" i="1"/>
  <c r="FE343" i="1"/>
  <c r="FE344" i="1"/>
  <c r="FE345" i="1"/>
  <c r="FE346" i="1"/>
  <c r="FE347" i="1"/>
  <c r="FE348" i="1"/>
  <c r="FE349" i="1"/>
  <c r="FE350" i="1"/>
  <c r="FE351" i="1"/>
  <c r="FE352" i="1"/>
  <c r="FE353" i="1"/>
  <c r="FE354" i="1"/>
  <c r="FE355" i="1"/>
  <c r="FE356" i="1"/>
  <c r="FE357" i="1"/>
  <c r="FE358" i="1"/>
  <c r="FE359" i="1"/>
  <c r="FE360" i="1"/>
  <c r="FE361" i="1"/>
  <c r="FE362" i="1"/>
  <c r="FE363" i="1"/>
  <c r="FE364" i="1"/>
  <c r="FE365" i="1"/>
  <c r="FE366" i="1"/>
  <c r="FE367" i="1"/>
  <c r="FE368" i="1"/>
  <c r="FE369" i="1"/>
  <c r="FE370" i="1"/>
  <c r="FE371" i="1"/>
  <c r="FE372" i="1"/>
  <c r="FE373" i="1"/>
  <c r="FE374" i="1"/>
  <c r="FE375" i="1"/>
  <c r="FE376" i="1"/>
  <c r="FE377" i="1"/>
  <c r="FE378" i="1"/>
  <c r="FE379" i="1"/>
  <c r="FE380" i="1"/>
  <c r="FE381" i="1"/>
  <c r="FE382" i="1"/>
  <c r="FE383" i="1"/>
  <c r="FE384" i="1"/>
  <c r="FE385" i="1"/>
  <c r="FE386" i="1"/>
  <c r="FE387" i="1"/>
  <c r="FE388" i="1"/>
  <c r="FE389" i="1"/>
  <c r="FE390" i="1"/>
  <c r="FE391" i="1"/>
  <c r="FE392" i="1"/>
  <c r="FE393" i="1"/>
  <c r="FE394" i="1"/>
  <c r="FE395" i="1"/>
  <c r="FE396" i="1"/>
  <c r="FE397" i="1"/>
  <c r="FE398" i="1"/>
  <c r="FE399" i="1"/>
  <c r="FE400" i="1"/>
  <c r="FE401" i="1"/>
  <c r="FE402" i="1"/>
  <c r="FE403" i="1"/>
  <c r="FE404" i="1"/>
  <c r="FE405" i="1"/>
  <c r="FE406" i="1"/>
  <c r="FE407" i="1"/>
  <c r="FE408" i="1"/>
  <c r="FE409" i="1"/>
  <c r="FE410" i="1"/>
  <c r="FE411" i="1"/>
  <c r="FE412" i="1"/>
  <c r="FE413" i="1"/>
  <c r="FE414" i="1"/>
  <c r="FE415" i="1"/>
  <c r="FE416" i="1"/>
  <c r="FE417" i="1"/>
  <c r="FE418" i="1"/>
  <c r="FE419" i="1"/>
  <c r="FE420" i="1"/>
  <c r="FE421" i="1"/>
  <c r="FE422" i="1"/>
  <c r="FE423" i="1"/>
  <c r="FE424" i="1"/>
  <c r="FE425" i="1"/>
  <c r="FE426" i="1"/>
  <c r="FE427" i="1"/>
  <c r="FE428" i="1"/>
  <c r="FE429" i="1"/>
  <c r="FE430" i="1"/>
  <c r="FE431" i="1"/>
  <c r="FE432" i="1"/>
  <c r="FE433" i="1"/>
  <c r="FE434" i="1"/>
  <c r="FE435" i="1"/>
  <c r="FE436" i="1"/>
  <c r="FE437" i="1"/>
  <c r="FE438" i="1"/>
  <c r="FE439" i="1"/>
  <c r="FE440" i="1"/>
  <c r="FE441" i="1"/>
  <c r="FE442" i="1"/>
  <c r="FE443" i="1"/>
  <c r="FE444" i="1"/>
  <c r="FE445" i="1"/>
  <c r="FE446" i="1"/>
  <c r="FE447" i="1"/>
  <c r="FE448" i="1"/>
  <c r="FE449" i="1"/>
  <c r="FE450" i="1"/>
  <c r="FE451" i="1"/>
  <c r="FE452" i="1"/>
  <c r="FE453" i="1"/>
  <c r="FE454" i="1"/>
  <c r="FE455" i="1"/>
  <c r="FE456" i="1"/>
  <c r="FE457" i="1"/>
  <c r="FE458" i="1"/>
  <c r="FE459" i="1"/>
  <c r="FE460" i="1"/>
  <c r="FE461" i="1"/>
  <c r="FE462" i="1"/>
  <c r="FE463" i="1"/>
  <c r="FE464" i="1"/>
  <c r="FE465" i="1"/>
  <c r="FE466" i="1"/>
  <c r="FE467" i="1"/>
  <c r="FE468" i="1"/>
  <c r="FE469" i="1"/>
  <c r="FE470" i="1"/>
  <c r="FE471" i="1"/>
  <c r="FE472" i="1"/>
  <c r="FE473" i="1"/>
  <c r="FE474" i="1"/>
  <c r="FE475" i="1"/>
  <c r="FE476" i="1"/>
  <c r="FE477" i="1"/>
  <c r="FE478" i="1"/>
  <c r="FE479" i="1"/>
  <c r="FE480" i="1"/>
  <c r="FE481" i="1"/>
  <c r="FE482" i="1"/>
  <c r="FE483" i="1"/>
  <c r="FE484" i="1"/>
  <c r="FE485" i="1"/>
  <c r="FE486" i="1"/>
  <c r="FE487" i="1"/>
  <c r="FE488" i="1"/>
  <c r="FE489" i="1"/>
  <c r="FE490" i="1"/>
  <c r="FE491" i="1"/>
  <c r="FE492" i="1"/>
  <c r="FE493" i="1"/>
  <c r="FE494" i="1"/>
  <c r="FE495" i="1"/>
  <c r="FE496" i="1"/>
  <c r="FE497" i="1"/>
  <c r="FE498" i="1"/>
  <c r="FE499" i="1"/>
  <c r="FE500" i="1"/>
  <c r="FE501" i="1"/>
  <c r="FE502" i="1"/>
  <c r="FE503" i="1"/>
  <c r="FE504" i="1"/>
  <c r="FE505" i="1"/>
  <c r="FE506" i="1"/>
  <c r="FE507" i="1"/>
  <c r="FE508" i="1"/>
  <c r="FE509" i="1"/>
  <c r="FE510" i="1"/>
  <c r="FE511" i="1"/>
  <c r="FE512" i="1"/>
  <c r="FE513" i="1"/>
  <c r="FE514" i="1"/>
  <c r="FE515" i="1"/>
  <c r="FE516" i="1"/>
  <c r="FE517" i="1"/>
  <c r="FE518" i="1"/>
  <c r="FE519" i="1"/>
  <c r="FE520" i="1"/>
  <c r="FE521" i="1"/>
  <c r="FE522" i="1"/>
  <c r="FE523" i="1"/>
  <c r="FE524" i="1"/>
  <c r="FE525" i="1"/>
  <c r="FE526" i="1"/>
  <c r="FE527" i="1"/>
  <c r="FE528" i="1"/>
  <c r="FE529" i="1"/>
  <c r="FE530" i="1"/>
  <c r="FE531" i="1"/>
  <c r="FE532" i="1"/>
  <c r="FE533" i="1"/>
  <c r="FE534" i="1"/>
  <c r="FE535" i="1"/>
  <c r="FE536" i="1"/>
  <c r="FE537" i="1"/>
  <c r="FE538" i="1"/>
  <c r="FE539" i="1"/>
  <c r="FE540" i="1"/>
  <c r="FE541" i="1"/>
  <c r="FE542" i="1"/>
  <c r="FE543" i="1"/>
  <c r="FE544" i="1"/>
  <c r="FE545" i="1"/>
  <c r="FE546" i="1"/>
  <c r="FE547" i="1"/>
  <c r="FE548" i="1"/>
  <c r="FE549" i="1"/>
  <c r="FE550" i="1"/>
  <c r="FE551" i="1"/>
  <c r="FE552" i="1"/>
  <c r="FE553" i="1"/>
  <c r="FE554" i="1"/>
  <c r="FE555" i="1"/>
  <c r="FE556" i="1"/>
  <c r="FE557" i="1"/>
  <c r="FE558" i="1"/>
  <c r="FE559" i="1"/>
  <c r="FE560" i="1"/>
  <c r="FE561" i="1"/>
  <c r="FE562" i="1"/>
  <c r="FE563" i="1"/>
  <c r="FE564" i="1"/>
  <c r="FE565" i="1"/>
  <c r="FE566" i="1"/>
  <c r="FE567" i="1"/>
  <c r="FB3" i="1"/>
  <c r="FB4" i="1"/>
  <c r="FB5" i="1"/>
  <c r="FB6" i="1"/>
  <c r="FB7" i="1"/>
  <c r="FB8" i="1"/>
  <c r="FB9" i="1"/>
  <c r="FB10" i="1"/>
  <c r="FB11" i="1"/>
  <c r="FB12" i="1"/>
  <c r="FB13" i="1"/>
  <c r="FB14" i="1"/>
  <c r="FB15" i="1"/>
  <c r="FB16" i="1"/>
  <c r="FB17" i="1"/>
  <c r="FB18" i="1"/>
  <c r="FB19" i="1"/>
  <c r="FB20" i="1"/>
  <c r="FB21" i="1"/>
  <c r="FB22" i="1"/>
  <c r="FB23" i="1"/>
  <c r="FB24" i="1"/>
  <c r="FB25" i="1"/>
  <c r="FB26" i="1"/>
  <c r="FB27" i="1"/>
  <c r="FB28" i="1"/>
  <c r="FB29" i="1"/>
  <c r="FB30" i="1"/>
  <c r="FB31" i="1"/>
  <c r="FB32" i="1"/>
  <c r="FB33" i="1"/>
  <c r="FB34" i="1"/>
  <c r="FB35" i="1"/>
  <c r="FB36" i="1"/>
  <c r="FB37" i="1"/>
  <c r="FB38" i="1"/>
  <c r="FB39" i="1"/>
  <c r="FB40" i="1"/>
  <c r="FB41" i="1"/>
  <c r="FB42" i="1"/>
  <c r="FB43" i="1"/>
  <c r="FB44" i="1"/>
  <c r="FB45" i="1"/>
  <c r="FB46" i="1"/>
  <c r="FB47" i="1"/>
  <c r="FB48" i="1"/>
  <c r="FB49" i="1"/>
  <c r="FB50" i="1"/>
  <c r="FB51" i="1"/>
  <c r="FB52" i="1"/>
  <c r="FB53" i="1"/>
  <c r="FB54" i="1"/>
  <c r="FB55" i="1"/>
  <c r="FB56" i="1"/>
  <c r="FB57" i="1"/>
  <c r="FB58" i="1"/>
  <c r="FB59" i="1"/>
  <c r="FB60" i="1"/>
  <c r="FB61" i="1"/>
  <c r="FB62" i="1"/>
  <c r="FB63" i="1"/>
  <c r="FB64" i="1"/>
  <c r="FB65" i="1"/>
  <c r="FB66" i="1"/>
  <c r="FB67" i="1"/>
  <c r="FB68" i="1"/>
  <c r="FB69" i="1"/>
  <c r="FB70" i="1"/>
  <c r="FB71" i="1"/>
  <c r="FB72" i="1"/>
  <c r="FB73" i="1"/>
  <c r="FB74" i="1"/>
  <c r="FB75" i="1"/>
  <c r="FB76" i="1"/>
  <c r="FB77" i="1"/>
  <c r="FB78" i="1"/>
  <c r="FB79" i="1"/>
  <c r="FB80" i="1"/>
  <c r="FB81" i="1"/>
  <c r="FB82" i="1"/>
  <c r="FB83" i="1"/>
  <c r="FB84" i="1"/>
  <c r="FB85" i="1"/>
  <c r="FB86" i="1"/>
  <c r="FB87" i="1"/>
  <c r="FB88" i="1"/>
  <c r="FB89" i="1"/>
  <c r="FB90" i="1"/>
  <c r="FB91" i="1"/>
  <c r="FB92" i="1"/>
  <c r="FB93" i="1"/>
  <c r="FB94" i="1"/>
  <c r="FB95" i="1"/>
  <c r="FB96" i="1"/>
  <c r="FB97" i="1"/>
  <c r="FB98" i="1"/>
  <c r="FB99" i="1"/>
  <c r="FB100" i="1"/>
  <c r="FB101" i="1"/>
  <c r="FB102" i="1"/>
  <c r="FB103" i="1"/>
  <c r="FB104" i="1"/>
  <c r="FB105" i="1"/>
  <c r="FB106" i="1"/>
  <c r="FB107" i="1"/>
  <c r="FB108" i="1"/>
  <c r="FB109" i="1"/>
  <c r="FB110" i="1"/>
  <c r="FB111" i="1"/>
  <c r="FB112" i="1"/>
  <c r="FB113" i="1"/>
  <c r="FB114" i="1"/>
  <c r="FB115" i="1"/>
  <c r="FB116" i="1"/>
  <c r="FB117" i="1"/>
  <c r="FB118" i="1"/>
  <c r="FB119" i="1"/>
  <c r="FB120" i="1"/>
  <c r="FB121" i="1"/>
  <c r="FB122" i="1"/>
  <c r="FB123" i="1"/>
  <c r="FB124" i="1"/>
  <c r="FB125" i="1"/>
  <c r="FB126" i="1"/>
  <c r="FB127" i="1"/>
  <c r="FB128" i="1"/>
  <c r="FB129" i="1"/>
  <c r="FB130" i="1"/>
  <c r="FB131" i="1"/>
  <c r="FB132" i="1"/>
  <c r="FB133" i="1"/>
  <c r="FB134" i="1"/>
  <c r="FB135" i="1"/>
  <c r="FB136" i="1"/>
  <c r="FB137" i="1"/>
  <c r="FB138" i="1"/>
  <c r="FB139" i="1"/>
  <c r="FB140" i="1"/>
  <c r="FB141" i="1"/>
  <c r="FB142" i="1"/>
  <c r="FB143" i="1"/>
  <c r="FB144" i="1"/>
  <c r="FB145" i="1"/>
  <c r="FB146" i="1"/>
  <c r="FB147" i="1"/>
  <c r="FB148" i="1"/>
  <c r="FB149" i="1"/>
  <c r="FB150" i="1"/>
  <c r="FB151" i="1"/>
  <c r="FB152" i="1"/>
  <c r="FB153" i="1"/>
  <c r="FB154" i="1"/>
  <c r="FB155" i="1"/>
  <c r="FB156" i="1"/>
  <c r="FB157" i="1"/>
  <c r="FB158" i="1"/>
  <c r="FB159" i="1"/>
  <c r="FB160" i="1"/>
  <c r="FB161" i="1"/>
  <c r="FB162" i="1"/>
  <c r="FB163" i="1"/>
  <c r="FB164" i="1"/>
  <c r="FB165" i="1"/>
  <c r="FB166" i="1"/>
  <c r="FB167" i="1"/>
  <c r="FB168" i="1"/>
  <c r="FB169" i="1"/>
  <c r="FB170" i="1"/>
  <c r="FB171" i="1"/>
  <c r="FB172" i="1"/>
  <c r="FB173" i="1"/>
  <c r="FB174" i="1"/>
  <c r="FB175" i="1"/>
  <c r="FB176" i="1"/>
  <c r="FB177" i="1"/>
  <c r="FB178" i="1"/>
  <c r="FB179" i="1"/>
  <c r="FB180" i="1"/>
  <c r="FB181" i="1"/>
  <c r="FB182" i="1"/>
  <c r="FB183" i="1"/>
  <c r="FB184" i="1"/>
  <c r="FB185" i="1"/>
  <c r="FB186" i="1"/>
  <c r="FB187" i="1"/>
  <c r="FB188" i="1"/>
  <c r="FB189" i="1"/>
  <c r="FB190" i="1"/>
  <c r="FB191" i="1"/>
  <c r="FB192" i="1"/>
  <c r="FB193" i="1"/>
  <c r="FB194" i="1"/>
  <c r="FB195" i="1"/>
  <c r="FB196" i="1"/>
  <c r="FB197" i="1"/>
  <c r="FB198" i="1"/>
  <c r="FB199" i="1"/>
  <c r="FB200" i="1"/>
  <c r="FB201" i="1"/>
  <c r="FB202" i="1"/>
  <c r="FB203" i="1"/>
  <c r="FB204" i="1"/>
  <c r="FB205" i="1"/>
  <c r="FB206" i="1"/>
  <c r="FB207" i="1"/>
  <c r="FB208" i="1"/>
  <c r="FB209" i="1"/>
  <c r="FB210" i="1"/>
  <c r="FB211" i="1"/>
  <c r="FB212" i="1"/>
  <c r="FB213" i="1"/>
  <c r="FB214" i="1"/>
  <c r="FB215" i="1"/>
  <c r="FB216" i="1"/>
  <c r="FB217" i="1"/>
  <c r="FB218" i="1"/>
  <c r="FB219" i="1"/>
  <c r="FB220" i="1"/>
  <c r="FB221" i="1"/>
  <c r="FB222" i="1"/>
  <c r="FB223" i="1"/>
  <c r="FB224" i="1"/>
  <c r="FB225" i="1"/>
  <c r="FB226" i="1"/>
  <c r="FB227" i="1"/>
  <c r="FB228" i="1"/>
  <c r="FB229" i="1"/>
  <c r="FB230" i="1"/>
  <c r="FB231" i="1"/>
  <c r="FB232" i="1"/>
  <c r="FB233" i="1"/>
  <c r="FB234" i="1"/>
  <c r="FB235" i="1"/>
  <c r="FB236" i="1"/>
  <c r="FB237" i="1"/>
  <c r="FB238" i="1"/>
  <c r="FB239" i="1"/>
  <c r="FB240" i="1"/>
  <c r="FB241" i="1"/>
  <c r="FB242" i="1"/>
  <c r="FB243" i="1"/>
  <c r="FB244" i="1"/>
  <c r="FB245" i="1"/>
  <c r="FB246" i="1"/>
  <c r="FB247" i="1"/>
  <c r="FB248" i="1"/>
  <c r="FB249" i="1"/>
  <c r="FB250" i="1"/>
  <c r="FB251" i="1"/>
  <c r="FB252" i="1"/>
  <c r="FB253" i="1"/>
  <c r="FB254" i="1"/>
  <c r="FB255" i="1"/>
  <c r="FB256" i="1"/>
  <c r="FB257" i="1"/>
  <c r="FB258" i="1"/>
  <c r="FB259" i="1"/>
  <c r="FB260" i="1"/>
  <c r="FB261" i="1"/>
  <c r="FB262" i="1"/>
  <c r="FB263" i="1"/>
  <c r="FB264" i="1"/>
  <c r="FB265" i="1"/>
  <c r="FB266" i="1"/>
  <c r="FB267" i="1"/>
  <c r="FB268" i="1"/>
  <c r="FB269" i="1"/>
  <c r="FB270" i="1"/>
  <c r="FB271" i="1"/>
  <c r="FB272" i="1"/>
  <c r="FB273" i="1"/>
  <c r="FB274" i="1"/>
  <c r="FB275" i="1"/>
  <c r="FB276" i="1"/>
  <c r="FB277" i="1"/>
  <c r="FB278" i="1"/>
  <c r="FB279" i="1"/>
  <c r="FB280" i="1"/>
  <c r="FB281" i="1"/>
  <c r="FB282" i="1"/>
  <c r="FB283" i="1"/>
  <c r="FB284" i="1"/>
  <c r="FB285" i="1"/>
  <c r="FB286" i="1"/>
  <c r="FB287" i="1"/>
  <c r="FB288" i="1"/>
  <c r="FB289" i="1"/>
  <c r="FB290" i="1"/>
  <c r="FB291" i="1"/>
  <c r="FB292" i="1"/>
  <c r="FB293" i="1"/>
  <c r="FB294" i="1"/>
  <c r="FB295" i="1"/>
  <c r="FB296" i="1"/>
  <c r="FB297" i="1"/>
  <c r="FB298" i="1"/>
  <c r="FB299" i="1"/>
  <c r="FB300" i="1"/>
  <c r="FB301" i="1"/>
  <c r="FB302" i="1"/>
  <c r="FB303" i="1"/>
  <c r="FB304" i="1"/>
  <c r="FB305" i="1"/>
  <c r="FB306" i="1"/>
  <c r="FB307" i="1"/>
  <c r="FB308" i="1"/>
  <c r="FB309" i="1"/>
  <c r="FB310" i="1"/>
  <c r="FB311" i="1"/>
  <c r="FB312" i="1"/>
  <c r="FB313" i="1"/>
  <c r="FB314" i="1"/>
  <c r="FB315" i="1"/>
  <c r="FB316" i="1"/>
  <c r="FB317" i="1"/>
  <c r="FB318" i="1"/>
  <c r="FB319" i="1"/>
  <c r="FB320" i="1"/>
  <c r="FB321" i="1"/>
  <c r="FB322" i="1"/>
  <c r="FB323" i="1"/>
  <c r="FB324" i="1"/>
  <c r="FB325" i="1"/>
  <c r="FB326" i="1"/>
  <c r="FB327" i="1"/>
  <c r="FB328" i="1"/>
  <c r="FB329" i="1"/>
  <c r="FB330" i="1"/>
  <c r="FB331" i="1"/>
  <c r="FB332" i="1"/>
  <c r="FB333" i="1"/>
  <c r="FB334" i="1"/>
  <c r="FB335" i="1"/>
  <c r="FB336" i="1"/>
  <c r="FB337" i="1"/>
  <c r="FB338" i="1"/>
  <c r="FB339" i="1"/>
  <c r="FB340" i="1"/>
  <c r="FB341" i="1"/>
  <c r="FB342" i="1"/>
  <c r="FB343" i="1"/>
  <c r="FB344" i="1"/>
  <c r="FB345" i="1"/>
  <c r="FB346" i="1"/>
  <c r="FB347" i="1"/>
  <c r="FB348" i="1"/>
  <c r="FB349" i="1"/>
  <c r="FB350" i="1"/>
  <c r="FB351" i="1"/>
  <c r="FB352" i="1"/>
  <c r="FB353" i="1"/>
  <c r="FB354" i="1"/>
  <c r="FB355" i="1"/>
  <c r="FB356" i="1"/>
  <c r="FB357" i="1"/>
  <c r="FB358" i="1"/>
  <c r="FB359" i="1"/>
  <c r="FB360" i="1"/>
  <c r="FB361" i="1"/>
  <c r="FB362" i="1"/>
  <c r="FB363" i="1"/>
  <c r="FB364" i="1"/>
  <c r="FB365" i="1"/>
  <c r="FB366" i="1"/>
  <c r="FB367" i="1"/>
  <c r="FB368" i="1"/>
  <c r="FB369" i="1"/>
  <c r="FB370" i="1"/>
  <c r="FB371" i="1"/>
  <c r="FB372" i="1"/>
  <c r="FB373" i="1"/>
  <c r="FB374" i="1"/>
  <c r="FB375" i="1"/>
  <c r="FB376" i="1"/>
  <c r="FB377" i="1"/>
  <c r="FB378" i="1"/>
  <c r="FB379" i="1"/>
  <c r="FB380" i="1"/>
  <c r="FB381" i="1"/>
  <c r="FB382" i="1"/>
  <c r="FB383" i="1"/>
  <c r="FB384" i="1"/>
  <c r="FB385" i="1"/>
  <c r="FB386" i="1"/>
  <c r="FB387" i="1"/>
  <c r="FB388" i="1"/>
  <c r="FB389" i="1"/>
  <c r="FB390" i="1"/>
  <c r="FB391" i="1"/>
  <c r="FB392" i="1"/>
  <c r="FB393" i="1"/>
  <c r="FB394" i="1"/>
  <c r="FB395" i="1"/>
  <c r="FB396" i="1"/>
  <c r="FB397" i="1"/>
  <c r="FB398" i="1"/>
  <c r="FB399" i="1"/>
  <c r="FB400" i="1"/>
  <c r="FB401" i="1"/>
  <c r="FB402" i="1"/>
  <c r="FB403" i="1"/>
  <c r="FB404" i="1"/>
  <c r="FB405" i="1"/>
  <c r="FB406" i="1"/>
  <c r="FB407" i="1"/>
  <c r="FB408" i="1"/>
  <c r="FB409" i="1"/>
  <c r="FB410" i="1"/>
  <c r="FB411" i="1"/>
  <c r="FB412" i="1"/>
  <c r="FB413" i="1"/>
  <c r="FB414" i="1"/>
  <c r="FB415" i="1"/>
  <c r="FB416" i="1"/>
  <c r="FB417" i="1"/>
  <c r="FB418" i="1"/>
  <c r="FB419" i="1"/>
  <c r="FB420" i="1"/>
  <c r="FB421" i="1"/>
  <c r="FB422" i="1"/>
  <c r="FB423" i="1"/>
  <c r="FB424" i="1"/>
  <c r="FB425" i="1"/>
  <c r="FB426" i="1"/>
  <c r="FB427" i="1"/>
  <c r="FB428" i="1"/>
  <c r="FB429" i="1"/>
  <c r="FB430" i="1"/>
  <c r="FB431" i="1"/>
  <c r="FB432" i="1"/>
  <c r="FB433" i="1"/>
  <c r="FB434" i="1"/>
  <c r="FB435" i="1"/>
  <c r="FB436" i="1"/>
  <c r="FB437" i="1"/>
  <c r="FB438" i="1"/>
  <c r="FB439" i="1"/>
  <c r="FB440" i="1"/>
  <c r="FB441" i="1"/>
  <c r="FB442" i="1"/>
  <c r="FB443" i="1"/>
  <c r="FB444" i="1"/>
  <c r="FB445" i="1"/>
  <c r="FB446" i="1"/>
  <c r="FB447" i="1"/>
  <c r="FB448" i="1"/>
  <c r="FB449" i="1"/>
  <c r="FB450" i="1"/>
  <c r="FB451" i="1"/>
  <c r="FB452" i="1"/>
  <c r="FB453" i="1"/>
  <c r="FB454" i="1"/>
  <c r="FB455" i="1"/>
  <c r="FB456" i="1"/>
  <c r="FB457" i="1"/>
  <c r="FB458" i="1"/>
  <c r="FB459" i="1"/>
  <c r="FB460" i="1"/>
  <c r="FB461" i="1"/>
  <c r="FB462" i="1"/>
  <c r="FB463" i="1"/>
  <c r="FB464" i="1"/>
  <c r="FB465" i="1"/>
  <c r="FB466" i="1"/>
  <c r="FB467" i="1"/>
  <c r="FB468" i="1"/>
  <c r="FB469" i="1"/>
  <c r="FB470" i="1"/>
  <c r="FB471" i="1"/>
  <c r="FB472" i="1"/>
  <c r="FB473" i="1"/>
  <c r="FB474" i="1"/>
  <c r="FB475" i="1"/>
  <c r="FB476" i="1"/>
  <c r="FB477" i="1"/>
  <c r="FB478" i="1"/>
  <c r="FB479" i="1"/>
  <c r="FB480" i="1"/>
  <c r="FB481" i="1"/>
  <c r="FB482" i="1"/>
  <c r="FB483" i="1"/>
  <c r="FB484" i="1"/>
  <c r="FB485" i="1"/>
  <c r="FB486" i="1"/>
  <c r="FB487" i="1"/>
  <c r="FB488" i="1"/>
  <c r="FB489" i="1"/>
  <c r="FB490" i="1"/>
  <c r="FB491" i="1"/>
  <c r="FB492" i="1"/>
  <c r="FB493" i="1"/>
  <c r="FB494" i="1"/>
  <c r="FB495" i="1"/>
  <c r="FB496" i="1"/>
  <c r="FB497" i="1"/>
  <c r="FB498" i="1"/>
  <c r="FB499" i="1"/>
  <c r="FB500" i="1"/>
  <c r="FB501" i="1"/>
  <c r="FB502" i="1"/>
  <c r="FB503" i="1"/>
  <c r="FB504" i="1"/>
  <c r="FB505" i="1"/>
  <c r="FB506" i="1"/>
  <c r="FB507" i="1"/>
  <c r="FB508" i="1"/>
  <c r="FB509" i="1"/>
  <c r="FB510" i="1"/>
  <c r="FB511" i="1"/>
  <c r="FB512" i="1"/>
  <c r="FB513" i="1"/>
  <c r="FB514" i="1"/>
  <c r="FB515" i="1"/>
  <c r="FB516" i="1"/>
  <c r="FB517" i="1"/>
  <c r="FB518" i="1"/>
  <c r="FB519" i="1"/>
  <c r="FB520" i="1"/>
  <c r="FB521" i="1"/>
  <c r="FB522" i="1"/>
  <c r="FB523" i="1"/>
  <c r="FB524" i="1"/>
  <c r="FB525" i="1"/>
  <c r="FB526" i="1"/>
  <c r="FB527" i="1"/>
  <c r="FB528" i="1"/>
  <c r="FB529" i="1"/>
  <c r="FB530" i="1"/>
  <c r="FB531" i="1"/>
  <c r="FB532" i="1"/>
  <c r="FB533" i="1"/>
  <c r="FB534" i="1"/>
  <c r="FB535" i="1"/>
  <c r="FB536" i="1"/>
  <c r="FB537" i="1"/>
  <c r="FB538" i="1"/>
  <c r="FB539" i="1"/>
  <c r="FB540" i="1"/>
  <c r="FB541" i="1"/>
  <c r="FB542" i="1"/>
  <c r="FB543" i="1"/>
  <c r="FB544" i="1"/>
  <c r="FB545" i="1"/>
  <c r="FI545" i="1" s="1"/>
  <c r="FB546" i="1"/>
  <c r="FB547" i="1"/>
  <c r="FB548" i="1"/>
  <c r="FB549" i="1"/>
  <c r="FB550" i="1"/>
  <c r="FB551" i="1"/>
  <c r="FB552" i="1"/>
  <c r="FB553" i="1"/>
  <c r="FB554" i="1"/>
  <c r="FB555" i="1"/>
  <c r="FB556" i="1"/>
  <c r="FB557" i="1"/>
  <c r="FB558" i="1"/>
  <c r="FB559" i="1"/>
  <c r="FB560" i="1"/>
  <c r="FB561" i="1"/>
  <c r="FB562" i="1"/>
  <c r="FB563" i="1"/>
  <c r="FB564" i="1"/>
  <c r="FB565" i="1"/>
  <c r="FI565" i="1" s="1"/>
  <c r="FB566" i="1"/>
  <c r="FB567" i="1"/>
  <c r="EV3" i="1"/>
  <c r="EV4" i="1"/>
  <c r="EV5" i="1"/>
  <c r="EV6" i="1"/>
  <c r="EV7" i="1"/>
  <c r="EV8" i="1"/>
  <c r="EV9" i="1"/>
  <c r="EV10" i="1"/>
  <c r="EV11" i="1"/>
  <c r="EV12" i="1"/>
  <c r="EV13" i="1"/>
  <c r="EV14" i="1"/>
  <c r="EV15" i="1"/>
  <c r="EV16" i="1"/>
  <c r="EV17" i="1"/>
  <c r="EV18" i="1"/>
  <c r="EV19" i="1"/>
  <c r="EV20" i="1"/>
  <c r="EV21" i="1"/>
  <c r="EV22" i="1"/>
  <c r="EV23" i="1"/>
  <c r="EV24" i="1"/>
  <c r="EV25" i="1"/>
  <c r="EV26" i="1"/>
  <c r="EV27" i="1"/>
  <c r="EV28" i="1"/>
  <c r="EV29" i="1"/>
  <c r="EV30" i="1"/>
  <c r="EV31" i="1"/>
  <c r="EV32" i="1"/>
  <c r="EV33" i="1"/>
  <c r="EV34" i="1"/>
  <c r="EV35" i="1"/>
  <c r="EV36" i="1"/>
  <c r="EV37" i="1"/>
  <c r="EV38" i="1"/>
  <c r="EV39" i="1"/>
  <c r="EV40" i="1"/>
  <c r="EV41" i="1"/>
  <c r="EV42" i="1"/>
  <c r="EV43" i="1"/>
  <c r="EV44" i="1"/>
  <c r="EV45" i="1"/>
  <c r="EV46" i="1"/>
  <c r="EV47" i="1"/>
  <c r="EV48" i="1"/>
  <c r="EV49" i="1"/>
  <c r="EV50" i="1"/>
  <c r="EV51" i="1"/>
  <c r="EV52" i="1"/>
  <c r="EV53" i="1"/>
  <c r="EV54" i="1"/>
  <c r="EV55" i="1"/>
  <c r="EV56" i="1"/>
  <c r="EV57" i="1"/>
  <c r="EV58" i="1"/>
  <c r="EV59" i="1"/>
  <c r="EV60" i="1"/>
  <c r="EV61" i="1"/>
  <c r="EV62" i="1"/>
  <c r="EV63" i="1"/>
  <c r="EV64" i="1"/>
  <c r="EV65" i="1"/>
  <c r="EV66" i="1"/>
  <c r="EV67" i="1"/>
  <c r="EV68" i="1"/>
  <c r="EV69" i="1"/>
  <c r="EV70" i="1"/>
  <c r="EV71" i="1"/>
  <c r="EV72" i="1"/>
  <c r="EV73" i="1"/>
  <c r="EV74" i="1"/>
  <c r="EV75" i="1"/>
  <c r="EV76" i="1"/>
  <c r="EV77" i="1"/>
  <c r="EV78" i="1"/>
  <c r="EV79" i="1"/>
  <c r="EV80" i="1"/>
  <c r="EV81" i="1"/>
  <c r="EV82" i="1"/>
  <c r="EV83" i="1"/>
  <c r="EV84" i="1"/>
  <c r="EV85" i="1"/>
  <c r="EV86" i="1"/>
  <c r="EV87" i="1"/>
  <c r="EV88" i="1"/>
  <c r="EV89" i="1"/>
  <c r="EV90" i="1"/>
  <c r="EV91" i="1"/>
  <c r="EV92" i="1"/>
  <c r="EV93" i="1"/>
  <c r="EV94" i="1"/>
  <c r="EV95" i="1"/>
  <c r="EV96" i="1"/>
  <c r="EV97" i="1"/>
  <c r="EV98" i="1"/>
  <c r="EV99" i="1"/>
  <c r="EV100" i="1"/>
  <c r="EV101" i="1"/>
  <c r="EV102" i="1"/>
  <c r="EV103" i="1"/>
  <c r="EV104" i="1"/>
  <c r="EV105" i="1"/>
  <c r="EV106" i="1"/>
  <c r="EV107" i="1"/>
  <c r="EV108" i="1"/>
  <c r="EV109" i="1"/>
  <c r="EV110" i="1"/>
  <c r="EV111" i="1"/>
  <c r="EV112" i="1"/>
  <c r="EV113" i="1"/>
  <c r="EV114" i="1"/>
  <c r="EV115" i="1"/>
  <c r="EV116" i="1"/>
  <c r="EV117" i="1"/>
  <c r="EV118" i="1"/>
  <c r="EV119" i="1"/>
  <c r="EV120" i="1"/>
  <c r="EV121" i="1"/>
  <c r="EV122" i="1"/>
  <c r="EV123" i="1"/>
  <c r="EV124" i="1"/>
  <c r="EV125" i="1"/>
  <c r="EV126" i="1"/>
  <c r="EV127" i="1"/>
  <c r="EV128" i="1"/>
  <c r="EV129" i="1"/>
  <c r="EV130" i="1"/>
  <c r="EV131" i="1"/>
  <c r="EV132" i="1"/>
  <c r="EV133" i="1"/>
  <c r="EV134" i="1"/>
  <c r="EV135" i="1"/>
  <c r="EV136" i="1"/>
  <c r="EV137" i="1"/>
  <c r="EV138" i="1"/>
  <c r="EV139" i="1"/>
  <c r="EV140" i="1"/>
  <c r="EV141" i="1"/>
  <c r="EV142" i="1"/>
  <c r="EV143" i="1"/>
  <c r="EV144" i="1"/>
  <c r="EV145" i="1"/>
  <c r="EV146" i="1"/>
  <c r="EV147" i="1"/>
  <c r="EV148" i="1"/>
  <c r="EV149" i="1"/>
  <c r="EV150" i="1"/>
  <c r="EV151" i="1"/>
  <c r="EV152" i="1"/>
  <c r="EV153" i="1"/>
  <c r="EV154" i="1"/>
  <c r="EV155" i="1"/>
  <c r="EV156" i="1"/>
  <c r="EV157" i="1"/>
  <c r="EV158" i="1"/>
  <c r="EV159" i="1"/>
  <c r="EV160" i="1"/>
  <c r="EV161" i="1"/>
  <c r="EV162" i="1"/>
  <c r="EV163" i="1"/>
  <c r="EV164" i="1"/>
  <c r="EV165" i="1"/>
  <c r="EV166" i="1"/>
  <c r="EV167" i="1"/>
  <c r="EV168" i="1"/>
  <c r="EV169" i="1"/>
  <c r="EV170" i="1"/>
  <c r="EV171" i="1"/>
  <c r="EV172" i="1"/>
  <c r="EV173" i="1"/>
  <c r="EV174" i="1"/>
  <c r="EV175" i="1"/>
  <c r="EV176" i="1"/>
  <c r="EV177" i="1"/>
  <c r="EV178" i="1"/>
  <c r="EV179" i="1"/>
  <c r="EV180" i="1"/>
  <c r="EV181" i="1"/>
  <c r="EV182" i="1"/>
  <c r="EV183" i="1"/>
  <c r="EV184" i="1"/>
  <c r="EV185" i="1"/>
  <c r="EV186" i="1"/>
  <c r="EV187" i="1"/>
  <c r="EV188" i="1"/>
  <c r="EV189" i="1"/>
  <c r="EV190" i="1"/>
  <c r="EV191" i="1"/>
  <c r="EV192" i="1"/>
  <c r="EV193" i="1"/>
  <c r="EV194" i="1"/>
  <c r="EV195" i="1"/>
  <c r="EV196" i="1"/>
  <c r="EV197" i="1"/>
  <c r="EV198" i="1"/>
  <c r="EV199" i="1"/>
  <c r="EV200" i="1"/>
  <c r="EV201" i="1"/>
  <c r="EV202" i="1"/>
  <c r="EV203" i="1"/>
  <c r="EV204" i="1"/>
  <c r="EV205" i="1"/>
  <c r="EV206" i="1"/>
  <c r="EV207" i="1"/>
  <c r="EV208" i="1"/>
  <c r="EV209" i="1"/>
  <c r="EV210" i="1"/>
  <c r="EV211" i="1"/>
  <c r="EV212" i="1"/>
  <c r="EV213" i="1"/>
  <c r="EV214" i="1"/>
  <c r="EV215" i="1"/>
  <c r="EV216" i="1"/>
  <c r="EV217" i="1"/>
  <c r="EV218" i="1"/>
  <c r="EV219" i="1"/>
  <c r="EV220" i="1"/>
  <c r="EV221" i="1"/>
  <c r="EV222" i="1"/>
  <c r="EV223" i="1"/>
  <c r="EV224" i="1"/>
  <c r="EV225" i="1"/>
  <c r="EV226" i="1"/>
  <c r="EV227" i="1"/>
  <c r="EV228" i="1"/>
  <c r="EV229" i="1"/>
  <c r="EV230" i="1"/>
  <c r="EV231" i="1"/>
  <c r="EV232" i="1"/>
  <c r="EV233" i="1"/>
  <c r="EV234" i="1"/>
  <c r="EV235" i="1"/>
  <c r="EV236" i="1"/>
  <c r="EV237" i="1"/>
  <c r="EV238" i="1"/>
  <c r="EV239" i="1"/>
  <c r="EV240" i="1"/>
  <c r="EV241" i="1"/>
  <c r="EV242" i="1"/>
  <c r="EV243" i="1"/>
  <c r="EV244" i="1"/>
  <c r="EV245" i="1"/>
  <c r="EV246" i="1"/>
  <c r="EV247" i="1"/>
  <c r="EV248" i="1"/>
  <c r="EV249" i="1"/>
  <c r="EV250" i="1"/>
  <c r="EV251" i="1"/>
  <c r="EV252" i="1"/>
  <c r="EV253" i="1"/>
  <c r="EV254" i="1"/>
  <c r="EV255" i="1"/>
  <c r="EV256" i="1"/>
  <c r="EV257" i="1"/>
  <c r="EV258" i="1"/>
  <c r="EV259" i="1"/>
  <c r="EV260" i="1"/>
  <c r="EV261" i="1"/>
  <c r="EV262" i="1"/>
  <c r="EV263" i="1"/>
  <c r="EV264" i="1"/>
  <c r="EV265" i="1"/>
  <c r="EV266" i="1"/>
  <c r="EV267" i="1"/>
  <c r="EV268" i="1"/>
  <c r="EV269" i="1"/>
  <c r="EV270" i="1"/>
  <c r="EV271" i="1"/>
  <c r="EV272" i="1"/>
  <c r="EV273" i="1"/>
  <c r="EV274" i="1"/>
  <c r="EV275" i="1"/>
  <c r="EV276" i="1"/>
  <c r="EV277" i="1"/>
  <c r="EV278" i="1"/>
  <c r="EV279" i="1"/>
  <c r="EV280" i="1"/>
  <c r="EV281" i="1"/>
  <c r="EV282" i="1"/>
  <c r="EV283" i="1"/>
  <c r="EV284" i="1"/>
  <c r="EV285" i="1"/>
  <c r="EV286" i="1"/>
  <c r="EV287" i="1"/>
  <c r="EV288" i="1"/>
  <c r="EV289" i="1"/>
  <c r="EV290" i="1"/>
  <c r="EV291" i="1"/>
  <c r="EV292" i="1"/>
  <c r="EV293" i="1"/>
  <c r="EV294" i="1"/>
  <c r="EV295" i="1"/>
  <c r="EV296" i="1"/>
  <c r="EV297" i="1"/>
  <c r="EV298" i="1"/>
  <c r="EV299" i="1"/>
  <c r="EV300" i="1"/>
  <c r="EV301" i="1"/>
  <c r="EV302" i="1"/>
  <c r="EV303" i="1"/>
  <c r="EV304" i="1"/>
  <c r="EV305" i="1"/>
  <c r="EV306" i="1"/>
  <c r="EV307" i="1"/>
  <c r="EV308" i="1"/>
  <c r="EV309" i="1"/>
  <c r="EV310" i="1"/>
  <c r="EV311" i="1"/>
  <c r="EV312" i="1"/>
  <c r="EV313" i="1"/>
  <c r="EV314" i="1"/>
  <c r="EV315" i="1"/>
  <c r="EV316" i="1"/>
  <c r="EV317" i="1"/>
  <c r="EV318" i="1"/>
  <c r="EV319" i="1"/>
  <c r="EV320" i="1"/>
  <c r="EV321" i="1"/>
  <c r="EV322" i="1"/>
  <c r="EV323" i="1"/>
  <c r="EV324" i="1"/>
  <c r="EV325" i="1"/>
  <c r="EV326" i="1"/>
  <c r="EV327" i="1"/>
  <c r="EV328" i="1"/>
  <c r="EV329" i="1"/>
  <c r="EV330" i="1"/>
  <c r="EV331" i="1"/>
  <c r="EV332" i="1"/>
  <c r="EV333" i="1"/>
  <c r="EV334" i="1"/>
  <c r="EV335" i="1"/>
  <c r="EV336" i="1"/>
  <c r="EV337" i="1"/>
  <c r="EV338" i="1"/>
  <c r="EV339" i="1"/>
  <c r="EV340" i="1"/>
  <c r="EV341" i="1"/>
  <c r="EV342" i="1"/>
  <c r="EV343" i="1"/>
  <c r="EV344" i="1"/>
  <c r="EV345" i="1"/>
  <c r="EV346" i="1"/>
  <c r="EV347" i="1"/>
  <c r="EV348" i="1"/>
  <c r="EV349" i="1"/>
  <c r="EV350" i="1"/>
  <c r="EV351" i="1"/>
  <c r="EV352" i="1"/>
  <c r="EV353" i="1"/>
  <c r="EV354" i="1"/>
  <c r="EV355" i="1"/>
  <c r="EV356" i="1"/>
  <c r="EV357" i="1"/>
  <c r="EV358" i="1"/>
  <c r="EV359" i="1"/>
  <c r="EV360" i="1"/>
  <c r="EV361" i="1"/>
  <c r="EV362" i="1"/>
  <c r="EV363" i="1"/>
  <c r="EV364" i="1"/>
  <c r="EV365" i="1"/>
  <c r="EV366" i="1"/>
  <c r="EV367" i="1"/>
  <c r="EV368" i="1"/>
  <c r="EV369" i="1"/>
  <c r="EV370" i="1"/>
  <c r="EV371" i="1"/>
  <c r="EV372" i="1"/>
  <c r="EV373" i="1"/>
  <c r="EV374" i="1"/>
  <c r="EV375" i="1"/>
  <c r="EV376" i="1"/>
  <c r="EV377" i="1"/>
  <c r="EV378" i="1"/>
  <c r="EV379" i="1"/>
  <c r="EV380" i="1"/>
  <c r="EV381" i="1"/>
  <c r="EV382" i="1"/>
  <c r="EV383" i="1"/>
  <c r="EV384" i="1"/>
  <c r="EV385" i="1"/>
  <c r="EV386" i="1"/>
  <c r="EV387" i="1"/>
  <c r="EV388" i="1"/>
  <c r="EV389" i="1"/>
  <c r="EV390" i="1"/>
  <c r="EV391" i="1"/>
  <c r="EV392" i="1"/>
  <c r="EV393" i="1"/>
  <c r="EV394" i="1"/>
  <c r="EV395" i="1"/>
  <c r="EV396" i="1"/>
  <c r="EV397" i="1"/>
  <c r="EV398" i="1"/>
  <c r="EV399" i="1"/>
  <c r="EV400" i="1"/>
  <c r="EV401" i="1"/>
  <c r="EV402" i="1"/>
  <c r="EV403" i="1"/>
  <c r="EV404" i="1"/>
  <c r="EV405" i="1"/>
  <c r="EV406" i="1"/>
  <c r="EV407" i="1"/>
  <c r="EV408" i="1"/>
  <c r="EV409" i="1"/>
  <c r="EV410" i="1"/>
  <c r="EV411" i="1"/>
  <c r="EV412" i="1"/>
  <c r="EV413" i="1"/>
  <c r="EV414" i="1"/>
  <c r="EV415" i="1"/>
  <c r="EV416" i="1"/>
  <c r="EV417" i="1"/>
  <c r="EV418" i="1"/>
  <c r="EV419" i="1"/>
  <c r="EV420" i="1"/>
  <c r="EV421" i="1"/>
  <c r="EV422" i="1"/>
  <c r="EV423" i="1"/>
  <c r="EV424" i="1"/>
  <c r="EV425" i="1"/>
  <c r="EV426" i="1"/>
  <c r="EV427" i="1"/>
  <c r="EV428" i="1"/>
  <c r="EV429" i="1"/>
  <c r="EV430" i="1"/>
  <c r="EV431" i="1"/>
  <c r="EV432" i="1"/>
  <c r="EV433" i="1"/>
  <c r="EV434" i="1"/>
  <c r="EV435" i="1"/>
  <c r="EV436" i="1"/>
  <c r="EV437" i="1"/>
  <c r="EV438" i="1"/>
  <c r="EV439" i="1"/>
  <c r="EV440" i="1"/>
  <c r="EV441" i="1"/>
  <c r="EV442" i="1"/>
  <c r="EV443" i="1"/>
  <c r="EV444" i="1"/>
  <c r="EV445" i="1"/>
  <c r="EV446" i="1"/>
  <c r="EV447" i="1"/>
  <c r="EV448" i="1"/>
  <c r="EV449" i="1"/>
  <c r="EV450" i="1"/>
  <c r="EV451" i="1"/>
  <c r="EV452" i="1"/>
  <c r="EV453" i="1"/>
  <c r="EV454" i="1"/>
  <c r="EV455" i="1"/>
  <c r="EV456" i="1"/>
  <c r="EV457" i="1"/>
  <c r="EV458" i="1"/>
  <c r="EV459" i="1"/>
  <c r="EV460" i="1"/>
  <c r="EV461" i="1"/>
  <c r="EV462" i="1"/>
  <c r="EV463" i="1"/>
  <c r="EV464" i="1"/>
  <c r="EV465" i="1"/>
  <c r="EV466" i="1"/>
  <c r="EV467" i="1"/>
  <c r="EV468" i="1"/>
  <c r="EV469" i="1"/>
  <c r="EV470" i="1"/>
  <c r="EV471" i="1"/>
  <c r="EV472" i="1"/>
  <c r="EV473" i="1"/>
  <c r="EV474" i="1"/>
  <c r="EV475" i="1"/>
  <c r="EV476" i="1"/>
  <c r="EV477" i="1"/>
  <c r="EV478" i="1"/>
  <c r="EV479" i="1"/>
  <c r="EV480" i="1"/>
  <c r="EV481" i="1"/>
  <c r="EV482" i="1"/>
  <c r="EV483" i="1"/>
  <c r="EV484" i="1"/>
  <c r="EV485" i="1"/>
  <c r="EV486" i="1"/>
  <c r="EV487" i="1"/>
  <c r="EV488" i="1"/>
  <c r="EV489" i="1"/>
  <c r="EV490" i="1"/>
  <c r="EV491" i="1"/>
  <c r="EV492" i="1"/>
  <c r="EV493" i="1"/>
  <c r="EV494" i="1"/>
  <c r="EV495" i="1"/>
  <c r="EV496" i="1"/>
  <c r="EV497" i="1"/>
  <c r="EV498" i="1"/>
  <c r="EV499" i="1"/>
  <c r="EV500" i="1"/>
  <c r="EV501" i="1"/>
  <c r="EV502" i="1"/>
  <c r="EV503" i="1"/>
  <c r="EV504" i="1"/>
  <c r="EV505" i="1"/>
  <c r="EV506" i="1"/>
  <c r="EV507" i="1"/>
  <c r="EV508" i="1"/>
  <c r="EV509" i="1"/>
  <c r="EV510" i="1"/>
  <c r="EV511" i="1"/>
  <c r="EV512" i="1"/>
  <c r="EV513" i="1"/>
  <c r="EV514" i="1"/>
  <c r="EV515" i="1"/>
  <c r="EV516" i="1"/>
  <c r="EV517" i="1"/>
  <c r="EV518" i="1"/>
  <c r="EV519" i="1"/>
  <c r="EV520" i="1"/>
  <c r="EV521" i="1"/>
  <c r="EV522" i="1"/>
  <c r="EV523" i="1"/>
  <c r="EV524" i="1"/>
  <c r="EV525" i="1"/>
  <c r="EV526" i="1"/>
  <c r="EV527" i="1"/>
  <c r="EV528" i="1"/>
  <c r="EV529" i="1"/>
  <c r="EV530" i="1"/>
  <c r="EV531" i="1"/>
  <c r="EV532" i="1"/>
  <c r="EV533" i="1"/>
  <c r="EV534" i="1"/>
  <c r="EV535" i="1"/>
  <c r="EV536" i="1"/>
  <c r="EV537" i="1"/>
  <c r="EV538" i="1"/>
  <c r="EV539" i="1"/>
  <c r="EV540" i="1"/>
  <c r="EV541" i="1"/>
  <c r="EV542" i="1"/>
  <c r="EV543" i="1"/>
  <c r="EV544" i="1"/>
  <c r="EV545" i="1"/>
  <c r="EV546" i="1"/>
  <c r="EV547" i="1"/>
  <c r="EV548" i="1"/>
  <c r="EV549" i="1"/>
  <c r="EV550" i="1"/>
  <c r="EV551" i="1"/>
  <c r="EV552" i="1"/>
  <c r="EV553" i="1"/>
  <c r="EV554" i="1"/>
  <c r="EV555" i="1"/>
  <c r="EV556" i="1"/>
  <c r="EV557" i="1"/>
  <c r="EV558" i="1"/>
  <c r="EV559" i="1"/>
  <c r="EV560" i="1"/>
  <c r="EV561" i="1"/>
  <c r="EV562" i="1"/>
  <c r="EV563" i="1"/>
  <c r="EV564" i="1"/>
  <c r="EV565" i="1"/>
  <c r="EV566" i="1"/>
  <c r="EV567" i="1"/>
  <c r="ES3" i="1"/>
  <c r="ES4" i="1"/>
  <c r="ES5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3" i="1"/>
  <c r="ES34" i="1"/>
  <c r="ES35" i="1"/>
  <c r="ES36" i="1"/>
  <c r="ES37" i="1"/>
  <c r="ES38" i="1"/>
  <c r="ES39" i="1"/>
  <c r="ES40" i="1"/>
  <c r="ES41" i="1"/>
  <c r="ES42" i="1"/>
  <c r="ES43" i="1"/>
  <c r="ES44" i="1"/>
  <c r="ES45" i="1"/>
  <c r="ES46" i="1"/>
  <c r="ES47" i="1"/>
  <c r="ES48" i="1"/>
  <c r="ES49" i="1"/>
  <c r="ES50" i="1"/>
  <c r="ES51" i="1"/>
  <c r="ES52" i="1"/>
  <c r="ES53" i="1"/>
  <c r="ES54" i="1"/>
  <c r="ES55" i="1"/>
  <c r="ES56" i="1"/>
  <c r="ES57" i="1"/>
  <c r="ES58" i="1"/>
  <c r="ES59" i="1"/>
  <c r="ES60" i="1"/>
  <c r="ES61" i="1"/>
  <c r="ES62" i="1"/>
  <c r="ES63" i="1"/>
  <c r="ES64" i="1"/>
  <c r="ES65" i="1"/>
  <c r="ES66" i="1"/>
  <c r="ES67" i="1"/>
  <c r="ES68" i="1"/>
  <c r="ES69" i="1"/>
  <c r="ES70" i="1"/>
  <c r="ES71" i="1"/>
  <c r="ES72" i="1"/>
  <c r="ES73" i="1"/>
  <c r="ES74" i="1"/>
  <c r="ES75" i="1"/>
  <c r="ES76" i="1"/>
  <c r="ES77" i="1"/>
  <c r="ES78" i="1"/>
  <c r="ES79" i="1"/>
  <c r="ES80" i="1"/>
  <c r="ES81" i="1"/>
  <c r="ES82" i="1"/>
  <c r="ES83" i="1"/>
  <c r="ES84" i="1"/>
  <c r="ES85" i="1"/>
  <c r="ES86" i="1"/>
  <c r="ES87" i="1"/>
  <c r="ES88" i="1"/>
  <c r="ES89" i="1"/>
  <c r="ES90" i="1"/>
  <c r="ES91" i="1"/>
  <c r="ES92" i="1"/>
  <c r="ES93" i="1"/>
  <c r="ES94" i="1"/>
  <c r="ES95" i="1"/>
  <c r="ES96" i="1"/>
  <c r="ES97" i="1"/>
  <c r="ES98" i="1"/>
  <c r="ES99" i="1"/>
  <c r="ES100" i="1"/>
  <c r="ES101" i="1"/>
  <c r="ES102" i="1"/>
  <c r="ES103" i="1"/>
  <c r="ES104" i="1"/>
  <c r="ES105" i="1"/>
  <c r="ES106" i="1"/>
  <c r="ES107" i="1"/>
  <c r="ES108" i="1"/>
  <c r="ES109" i="1"/>
  <c r="ES110" i="1"/>
  <c r="ES111" i="1"/>
  <c r="ES112" i="1"/>
  <c r="ES113" i="1"/>
  <c r="ES114" i="1"/>
  <c r="ES115" i="1"/>
  <c r="ES116" i="1"/>
  <c r="ES117" i="1"/>
  <c r="ES118" i="1"/>
  <c r="ES119" i="1"/>
  <c r="ES120" i="1"/>
  <c r="ES121" i="1"/>
  <c r="ES122" i="1"/>
  <c r="ES123" i="1"/>
  <c r="ES124" i="1"/>
  <c r="ES125" i="1"/>
  <c r="ES126" i="1"/>
  <c r="ES127" i="1"/>
  <c r="ES128" i="1"/>
  <c r="ES129" i="1"/>
  <c r="ES130" i="1"/>
  <c r="ES131" i="1"/>
  <c r="ES132" i="1"/>
  <c r="ES133" i="1"/>
  <c r="ES134" i="1"/>
  <c r="ES135" i="1"/>
  <c r="ES136" i="1"/>
  <c r="ES137" i="1"/>
  <c r="ES138" i="1"/>
  <c r="ES139" i="1"/>
  <c r="ES140" i="1"/>
  <c r="ES141" i="1"/>
  <c r="ES142" i="1"/>
  <c r="ES143" i="1"/>
  <c r="ES144" i="1"/>
  <c r="ES145" i="1"/>
  <c r="ES146" i="1"/>
  <c r="ES147" i="1"/>
  <c r="ES148" i="1"/>
  <c r="ES149" i="1"/>
  <c r="ES150" i="1"/>
  <c r="ES151" i="1"/>
  <c r="ES152" i="1"/>
  <c r="ES153" i="1"/>
  <c r="ES154" i="1"/>
  <c r="ES155" i="1"/>
  <c r="ES156" i="1"/>
  <c r="ES157" i="1"/>
  <c r="ES158" i="1"/>
  <c r="ES159" i="1"/>
  <c r="ES160" i="1"/>
  <c r="ES161" i="1"/>
  <c r="ES162" i="1"/>
  <c r="ES163" i="1"/>
  <c r="ES164" i="1"/>
  <c r="ES165" i="1"/>
  <c r="ES166" i="1"/>
  <c r="ES167" i="1"/>
  <c r="ES168" i="1"/>
  <c r="ES169" i="1"/>
  <c r="ES170" i="1"/>
  <c r="ES171" i="1"/>
  <c r="ES172" i="1"/>
  <c r="ES173" i="1"/>
  <c r="ES174" i="1"/>
  <c r="ES175" i="1"/>
  <c r="ES176" i="1"/>
  <c r="ES177" i="1"/>
  <c r="ES178" i="1"/>
  <c r="ES179" i="1"/>
  <c r="ES180" i="1"/>
  <c r="ES181" i="1"/>
  <c r="ES182" i="1"/>
  <c r="ES183" i="1"/>
  <c r="ES184" i="1"/>
  <c r="ES185" i="1"/>
  <c r="ES186" i="1"/>
  <c r="ES187" i="1"/>
  <c r="ES188" i="1"/>
  <c r="ES189" i="1"/>
  <c r="ES190" i="1"/>
  <c r="ES191" i="1"/>
  <c r="ES192" i="1"/>
  <c r="ES193" i="1"/>
  <c r="ES194" i="1"/>
  <c r="ES195" i="1"/>
  <c r="ES196" i="1"/>
  <c r="ES197" i="1"/>
  <c r="ES198" i="1"/>
  <c r="ES199" i="1"/>
  <c r="ES200" i="1"/>
  <c r="ES201" i="1"/>
  <c r="ES202" i="1"/>
  <c r="ES203" i="1"/>
  <c r="ES204" i="1"/>
  <c r="ES205" i="1"/>
  <c r="ES206" i="1"/>
  <c r="ES207" i="1"/>
  <c r="ES208" i="1"/>
  <c r="ES209" i="1"/>
  <c r="ES210" i="1"/>
  <c r="ES211" i="1"/>
  <c r="ES212" i="1"/>
  <c r="ES213" i="1"/>
  <c r="ES214" i="1"/>
  <c r="ES215" i="1"/>
  <c r="ES216" i="1"/>
  <c r="ES217" i="1"/>
  <c r="ES218" i="1"/>
  <c r="ES219" i="1"/>
  <c r="ES220" i="1"/>
  <c r="ES221" i="1"/>
  <c r="ES222" i="1"/>
  <c r="ES223" i="1"/>
  <c r="ES224" i="1"/>
  <c r="ES225" i="1"/>
  <c r="ES226" i="1"/>
  <c r="ES227" i="1"/>
  <c r="ES228" i="1"/>
  <c r="ES229" i="1"/>
  <c r="ES230" i="1"/>
  <c r="ES231" i="1"/>
  <c r="ES232" i="1"/>
  <c r="ES233" i="1"/>
  <c r="ES234" i="1"/>
  <c r="ES235" i="1"/>
  <c r="ES236" i="1"/>
  <c r="ES237" i="1"/>
  <c r="ES238" i="1"/>
  <c r="ES239" i="1"/>
  <c r="ES240" i="1"/>
  <c r="ES241" i="1"/>
  <c r="ES242" i="1"/>
  <c r="ES243" i="1"/>
  <c r="ES244" i="1"/>
  <c r="ES245" i="1"/>
  <c r="ES246" i="1"/>
  <c r="ES247" i="1"/>
  <c r="ES248" i="1"/>
  <c r="ES249" i="1"/>
  <c r="ES250" i="1"/>
  <c r="ES251" i="1"/>
  <c r="ES252" i="1"/>
  <c r="ES253" i="1"/>
  <c r="ES254" i="1"/>
  <c r="ES255" i="1"/>
  <c r="ES256" i="1"/>
  <c r="ES257" i="1"/>
  <c r="ES258" i="1"/>
  <c r="ES259" i="1"/>
  <c r="ES260" i="1"/>
  <c r="ES261" i="1"/>
  <c r="ES262" i="1"/>
  <c r="ES263" i="1"/>
  <c r="ES264" i="1"/>
  <c r="ES265" i="1"/>
  <c r="ES266" i="1"/>
  <c r="ES267" i="1"/>
  <c r="ES268" i="1"/>
  <c r="ES269" i="1"/>
  <c r="ES270" i="1"/>
  <c r="ES271" i="1"/>
  <c r="ES272" i="1"/>
  <c r="ES273" i="1"/>
  <c r="ES274" i="1"/>
  <c r="ES275" i="1"/>
  <c r="ES276" i="1"/>
  <c r="ES277" i="1"/>
  <c r="ES278" i="1"/>
  <c r="ES279" i="1"/>
  <c r="ES280" i="1"/>
  <c r="ES281" i="1"/>
  <c r="ES282" i="1"/>
  <c r="ES283" i="1"/>
  <c r="ES284" i="1"/>
  <c r="ES285" i="1"/>
  <c r="ES286" i="1"/>
  <c r="ES287" i="1"/>
  <c r="ES288" i="1"/>
  <c r="ES289" i="1"/>
  <c r="ES290" i="1"/>
  <c r="ES291" i="1"/>
  <c r="ES292" i="1"/>
  <c r="ES293" i="1"/>
  <c r="ES294" i="1"/>
  <c r="ES295" i="1"/>
  <c r="ES296" i="1"/>
  <c r="ES297" i="1"/>
  <c r="ES298" i="1"/>
  <c r="ES299" i="1"/>
  <c r="ES300" i="1"/>
  <c r="ES301" i="1"/>
  <c r="ES302" i="1"/>
  <c r="ES303" i="1"/>
  <c r="ES304" i="1"/>
  <c r="ES305" i="1"/>
  <c r="ES306" i="1"/>
  <c r="ES307" i="1"/>
  <c r="ES308" i="1"/>
  <c r="ES309" i="1"/>
  <c r="ES310" i="1"/>
  <c r="ES311" i="1"/>
  <c r="ES312" i="1"/>
  <c r="ES313" i="1"/>
  <c r="ES314" i="1"/>
  <c r="ES315" i="1"/>
  <c r="ES316" i="1"/>
  <c r="ES317" i="1"/>
  <c r="ES318" i="1"/>
  <c r="ES319" i="1"/>
  <c r="ES320" i="1"/>
  <c r="ES321" i="1"/>
  <c r="ES322" i="1"/>
  <c r="ES323" i="1"/>
  <c r="ES324" i="1"/>
  <c r="ES325" i="1"/>
  <c r="ES326" i="1"/>
  <c r="ES327" i="1"/>
  <c r="ES328" i="1"/>
  <c r="ES329" i="1"/>
  <c r="ES330" i="1"/>
  <c r="ES331" i="1"/>
  <c r="ES332" i="1"/>
  <c r="ES333" i="1"/>
  <c r="ES334" i="1"/>
  <c r="ES335" i="1"/>
  <c r="ES336" i="1"/>
  <c r="ES337" i="1"/>
  <c r="ES338" i="1"/>
  <c r="ES339" i="1"/>
  <c r="ES340" i="1"/>
  <c r="ES341" i="1"/>
  <c r="ES342" i="1"/>
  <c r="ES343" i="1"/>
  <c r="ES344" i="1"/>
  <c r="ES345" i="1"/>
  <c r="ES346" i="1"/>
  <c r="ES347" i="1"/>
  <c r="ES348" i="1"/>
  <c r="ES349" i="1"/>
  <c r="ES350" i="1"/>
  <c r="ES351" i="1"/>
  <c r="ES352" i="1"/>
  <c r="ES353" i="1"/>
  <c r="ES354" i="1"/>
  <c r="ES355" i="1"/>
  <c r="ES356" i="1"/>
  <c r="ES357" i="1"/>
  <c r="ES358" i="1"/>
  <c r="ES359" i="1"/>
  <c r="ES360" i="1"/>
  <c r="ES361" i="1"/>
  <c r="ES362" i="1"/>
  <c r="ES363" i="1"/>
  <c r="ES364" i="1"/>
  <c r="ES365" i="1"/>
  <c r="ES366" i="1"/>
  <c r="ES367" i="1"/>
  <c r="ES368" i="1"/>
  <c r="ES369" i="1"/>
  <c r="ES370" i="1"/>
  <c r="ES371" i="1"/>
  <c r="ES372" i="1"/>
  <c r="ES373" i="1"/>
  <c r="ES374" i="1"/>
  <c r="ES375" i="1"/>
  <c r="ES376" i="1"/>
  <c r="ES377" i="1"/>
  <c r="ES378" i="1"/>
  <c r="ES379" i="1"/>
  <c r="ES380" i="1"/>
  <c r="ES381" i="1"/>
  <c r="ES382" i="1"/>
  <c r="ES383" i="1"/>
  <c r="ES384" i="1"/>
  <c r="ES385" i="1"/>
  <c r="ES386" i="1"/>
  <c r="ES387" i="1"/>
  <c r="ES388" i="1"/>
  <c r="ES389" i="1"/>
  <c r="ES390" i="1"/>
  <c r="ES391" i="1"/>
  <c r="ES392" i="1"/>
  <c r="ES393" i="1"/>
  <c r="ES394" i="1"/>
  <c r="ES395" i="1"/>
  <c r="ES396" i="1"/>
  <c r="ES397" i="1"/>
  <c r="ES398" i="1"/>
  <c r="ES399" i="1"/>
  <c r="ES400" i="1"/>
  <c r="ES401" i="1"/>
  <c r="ES402" i="1"/>
  <c r="ES403" i="1"/>
  <c r="ES404" i="1"/>
  <c r="ES405" i="1"/>
  <c r="ES406" i="1"/>
  <c r="ES407" i="1"/>
  <c r="ES408" i="1"/>
  <c r="ES409" i="1"/>
  <c r="ES410" i="1"/>
  <c r="ES411" i="1"/>
  <c r="ES412" i="1"/>
  <c r="ES413" i="1"/>
  <c r="ES414" i="1"/>
  <c r="ES415" i="1"/>
  <c r="ES416" i="1"/>
  <c r="ES417" i="1"/>
  <c r="ES418" i="1"/>
  <c r="ES419" i="1"/>
  <c r="ES420" i="1"/>
  <c r="ES421" i="1"/>
  <c r="ES422" i="1"/>
  <c r="ES423" i="1"/>
  <c r="ES424" i="1"/>
  <c r="ES425" i="1"/>
  <c r="ES426" i="1"/>
  <c r="ES427" i="1"/>
  <c r="ES428" i="1"/>
  <c r="ES429" i="1"/>
  <c r="ES430" i="1"/>
  <c r="ES431" i="1"/>
  <c r="ES432" i="1"/>
  <c r="ES433" i="1"/>
  <c r="ES434" i="1"/>
  <c r="ES435" i="1"/>
  <c r="ES436" i="1"/>
  <c r="ES437" i="1"/>
  <c r="ES438" i="1"/>
  <c r="ES439" i="1"/>
  <c r="ES440" i="1"/>
  <c r="ES441" i="1"/>
  <c r="ES442" i="1"/>
  <c r="ES443" i="1"/>
  <c r="ES444" i="1"/>
  <c r="ES445" i="1"/>
  <c r="ES446" i="1"/>
  <c r="ES447" i="1"/>
  <c r="ES448" i="1"/>
  <c r="ES449" i="1"/>
  <c r="ES450" i="1"/>
  <c r="ES451" i="1"/>
  <c r="ES452" i="1"/>
  <c r="ES453" i="1"/>
  <c r="ES454" i="1"/>
  <c r="ES455" i="1"/>
  <c r="ES456" i="1"/>
  <c r="ES457" i="1"/>
  <c r="ES458" i="1"/>
  <c r="ES459" i="1"/>
  <c r="ES460" i="1"/>
  <c r="ES461" i="1"/>
  <c r="ES462" i="1"/>
  <c r="ES463" i="1"/>
  <c r="ES464" i="1"/>
  <c r="ES465" i="1"/>
  <c r="ES466" i="1"/>
  <c r="ES467" i="1"/>
  <c r="ES468" i="1"/>
  <c r="ES469" i="1"/>
  <c r="ES470" i="1"/>
  <c r="ES471" i="1"/>
  <c r="ES472" i="1"/>
  <c r="ES473" i="1"/>
  <c r="ES474" i="1"/>
  <c r="ES475" i="1"/>
  <c r="ES476" i="1"/>
  <c r="ES477" i="1"/>
  <c r="ES478" i="1"/>
  <c r="ES479" i="1"/>
  <c r="ES480" i="1"/>
  <c r="ES481" i="1"/>
  <c r="ES482" i="1"/>
  <c r="ES483" i="1"/>
  <c r="ES484" i="1"/>
  <c r="ES485" i="1"/>
  <c r="ES486" i="1"/>
  <c r="ES487" i="1"/>
  <c r="ES488" i="1"/>
  <c r="ES489" i="1"/>
  <c r="ES490" i="1"/>
  <c r="ES491" i="1"/>
  <c r="ES492" i="1"/>
  <c r="ES493" i="1"/>
  <c r="ES494" i="1"/>
  <c r="ES495" i="1"/>
  <c r="ES496" i="1"/>
  <c r="ES497" i="1"/>
  <c r="ES498" i="1"/>
  <c r="ES499" i="1"/>
  <c r="ES500" i="1"/>
  <c r="ES501" i="1"/>
  <c r="ES502" i="1"/>
  <c r="ES503" i="1"/>
  <c r="ES504" i="1"/>
  <c r="ES505" i="1"/>
  <c r="ES506" i="1"/>
  <c r="ES507" i="1"/>
  <c r="ES508" i="1"/>
  <c r="ES509" i="1"/>
  <c r="ES510" i="1"/>
  <c r="ES511" i="1"/>
  <c r="ES512" i="1"/>
  <c r="ES513" i="1"/>
  <c r="ES514" i="1"/>
  <c r="ES515" i="1"/>
  <c r="ES516" i="1"/>
  <c r="ES517" i="1"/>
  <c r="ES518" i="1"/>
  <c r="ES519" i="1"/>
  <c r="ES520" i="1"/>
  <c r="ES521" i="1"/>
  <c r="ES522" i="1"/>
  <c r="ES523" i="1"/>
  <c r="ES524" i="1"/>
  <c r="ES525" i="1"/>
  <c r="ES526" i="1"/>
  <c r="ES527" i="1"/>
  <c r="ES528" i="1"/>
  <c r="ES529" i="1"/>
  <c r="ES530" i="1"/>
  <c r="ES531" i="1"/>
  <c r="ES532" i="1"/>
  <c r="ES533" i="1"/>
  <c r="ES534" i="1"/>
  <c r="ES535" i="1"/>
  <c r="ES536" i="1"/>
  <c r="ES537" i="1"/>
  <c r="ES538" i="1"/>
  <c r="ES539" i="1"/>
  <c r="ES540" i="1"/>
  <c r="ES541" i="1"/>
  <c r="ES542" i="1"/>
  <c r="ES543" i="1"/>
  <c r="ES544" i="1"/>
  <c r="ES545" i="1"/>
  <c r="ES546" i="1"/>
  <c r="ES547" i="1"/>
  <c r="ES548" i="1"/>
  <c r="ES549" i="1"/>
  <c r="ES550" i="1"/>
  <c r="ES551" i="1"/>
  <c r="ES552" i="1"/>
  <c r="ES553" i="1"/>
  <c r="ES554" i="1"/>
  <c r="ES555" i="1"/>
  <c r="ES556" i="1"/>
  <c r="ES557" i="1"/>
  <c r="ES558" i="1"/>
  <c r="ES559" i="1"/>
  <c r="ES560" i="1"/>
  <c r="ES561" i="1"/>
  <c r="ES562" i="1"/>
  <c r="ES563" i="1"/>
  <c r="ES564" i="1"/>
  <c r="ES565" i="1"/>
  <c r="ES566" i="1"/>
  <c r="ES567" i="1"/>
  <c r="EQ3" i="1"/>
  <c r="EQ4" i="1"/>
  <c r="EQ5" i="1"/>
  <c r="EQ6" i="1"/>
  <c r="EQ7" i="1"/>
  <c r="EQ8" i="1"/>
  <c r="EQ9" i="1"/>
  <c r="EQ10" i="1"/>
  <c r="EQ11" i="1"/>
  <c r="EQ12" i="1"/>
  <c r="EQ13" i="1"/>
  <c r="EQ14" i="1"/>
  <c r="EQ15" i="1"/>
  <c r="EQ16" i="1"/>
  <c r="EQ17" i="1"/>
  <c r="EQ18" i="1"/>
  <c r="EQ19" i="1"/>
  <c r="EQ20" i="1"/>
  <c r="EQ21" i="1"/>
  <c r="EQ22" i="1"/>
  <c r="EQ23" i="1"/>
  <c r="EQ24" i="1"/>
  <c r="EQ25" i="1"/>
  <c r="EQ26" i="1"/>
  <c r="EQ27" i="1"/>
  <c r="EQ28" i="1"/>
  <c r="EQ29" i="1"/>
  <c r="EQ30" i="1"/>
  <c r="EQ31" i="1"/>
  <c r="EQ32" i="1"/>
  <c r="EQ33" i="1"/>
  <c r="EQ34" i="1"/>
  <c r="EQ35" i="1"/>
  <c r="EQ36" i="1"/>
  <c r="EQ37" i="1"/>
  <c r="EQ38" i="1"/>
  <c r="EQ39" i="1"/>
  <c r="EQ40" i="1"/>
  <c r="EQ41" i="1"/>
  <c r="EQ42" i="1"/>
  <c r="EQ43" i="1"/>
  <c r="EQ44" i="1"/>
  <c r="EQ45" i="1"/>
  <c r="EQ46" i="1"/>
  <c r="EQ47" i="1"/>
  <c r="EQ48" i="1"/>
  <c r="EQ49" i="1"/>
  <c r="EQ50" i="1"/>
  <c r="EQ51" i="1"/>
  <c r="EQ52" i="1"/>
  <c r="EQ53" i="1"/>
  <c r="EQ54" i="1"/>
  <c r="EQ55" i="1"/>
  <c r="EQ56" i="1"/>
  <c r="EQ57" i="1"/>
  <c r="EQ58" i="1"/>
  <c r="EQ59" i="1"/>
  <c r="EQ60" i="1"/>
  <c r="EQ61" i="1"/>
  <c r="EQ62" i="1"/>
  <c r="EQ63" i="1"/>
  <c r="EQ64" i="1"/>
  <c r="EQ65" i="1"/>
  <c r="EQ66" i="1"/>
  <c r="EQ67" i="1"/>
  <c r="EQ68" i="1"/>
  <c r="EQ69" i="1"/>
  <c r="EQ70" i="1"/>
  <c r="EQ71" i="1"/>
  <c r="EQ72" i="1"/>
  <c r="EQ73" i="1"/>
  <c r="EQ74" i="1"/>
  <c r="EQ75" i="1"/>
  <c r="EQ76" i="1"/>
  <c r="EQ77" i="1"/>
  <c r="EQ78" i="1"/>
  <c r="EQ79" i="1"/>
  <c r="EQ80" i="1"/>
  <c r="EQ81" i="1"/>
  <c r="EQ82" i="1"/>
  <c r="EQ83" i="1"/>
  <c r="EQ84" i="1"/>
  <c r="EQ85" i="1"/>
  <c r="EQ86" i="1"/>
  <c r="EQ87" i="1"/>
  <c r="EQ88" i="1"/>
  <c r="EQ89" i="1"/>
  <c r="EQ90" i="1"/>
  <c r="EQ91" i="1"/>
  <c r="EQ92" i="1"/>
  <c r="EQ93" i="1"/>
  <c r="EQ94" i="1"/>
  <c r="EQ95" i="1"/>
  <c r="EQ96" i="1"/>
  <c r="EQ97" i="1"/>
  <c r="EQ98" i="1"/>
  <c r="EQ99" i="1"/>
  <c r="EQ100" i="1"/>
  <c r="EQ101" i="1"/>
  <c r="EQ102" i="1"/>
  <c r="EQ103" i="1"/>
  <c r="EQ104" i="1"/>
  <c r="EQ105" i="1"/>
  <c r="EQ106" i="1"/>
  <c r="EQ107" i="1"/>
  <c r="EQ108" i="1"/>
  <c r="EQ109" i="1"/>
  <c r="EQ110" i="1"/>
  <c r="EQ111" i="1"/>
  <c r="EQ112" i="1"/>
  <c r="EQ113" i="1"/>
  <c r="EQ114" i="1"/>
  <c r="EQ115" i="1"/>
  <c r="EQ116" i="1"/>
  <c r="EQ117" i="1"/>
  <c r="EQ118" i="1"/>
  <c r="EQ119" i="1"/>
  <c r="EQ120" i="1"/>
  <c r="EQ121" i="1"/>
  <c r="EQ122" i="1"/>
  <c r="EQ123" i="1"/>
  <c r="EQ124" i="1"/>
  <c r="EQ125" i="1"/>
  <c r="EQ126" i="1"/>
  <c r="EQ127" i="1"/>
  <c r="EQ128" i="1"/>
  <c r="EQ129" i="1"/>
  <c r="EQ130" i="1"/>
  <c r="EQ131" i="1"/>
  <c r="EQ132" i="1"/>
  <c r="EQ133" i="1"/>
  <c r="EQ134" i="1"/>
  <c r="EQ135" i="1"/>
  <c r="EQ136" i="1"/>
  <c r="EQ137" i="1"/>
  <c r="EQ138" i="1"/>
  <c r="EQ139" i="1"/>
  <c r="EQ140" i="1"/>
  <c r="EQ141" i="1"/>
  <c r="EQ142" i="1"/>
  <c r="EQ143" i="1"/>
  <c r="EQ144" i="1"/>
  <c r="EQ145" i="1"/>
  <c r="EQ146" i="1"/>
  <c r="EQ147" i="1"/>
  <c r="EQ148" i="1"/>
  <c r="EQ149" i="1"/>
  <c r="EQ150" i="1"/>
  <c r="EQ151" i="1"/>
  <c r="EQ152" i="1"/>
  <c r="EQ153" i="1"/>
  <c r="EQ154" i="1"/>
  <c r="EQ155" i="1"/>
  <c r="EQ156" i="1"/>
  <c r="EQ157" i="1"/>
  <c r="EQ158" i="1"/>
  <c r="EQ159" i="1"/>
  <c r="EQ160" i="1"/>
  <c r="EQ161" i="1"/>
  <c r="EQ162" i="1"/>
  <c r="EQ163" i="1"/>
  <c r="EQ164" i="1"/>
  <c r="EQ165" i="1"/>
  <c r="EQ166" i="1"/>
  <c r="EQ167" i="1"/>
  <c r="EQ168" i="1"/>
  <c r="EQ169" i="1"/>
  <c r="EQ170" i="1"/>
  <c r="EQ171" i="1"/>
  <c r="EQ172" i="1"/>
  <c r="EQ173" i="1"/>
  <c r="EQ174" i="1"/>
  <c r="EQ175" i="1"/>
  <c r="EQ176" i="1"/>
  <c r="EQ177" i="1"/>
  <c r="EQ178" i="1"/>
  <c r="EQ179" i="1"/>
  <c r="EQ180" i="1"/>
  <c r="EQ181" i="1"/>
  <c r="EQ182" i="1"/>
  <c r="EQ183" i="1"/>
  <c r="EQ184" i="1"/>
  <c r="EQ185" i="1"/>
  <c r="EQ186" i="1"/>
  <c r="EQ187" i="1"/>
  <c r="EQ188" i="1"/>
  <c r="EQ189" i="1"/>
  <c r="EQ190" i="1"/>
  <c r="EQ191" i="1"/>
  <c r="EQ192" i="1"/>
  <c r="EQ193" i="1"/>
  <c r="EQ194" i="1"/>
  <c r="EQ195" i="1"/>
  <c r="EQ196" i="1"/>
  <c r="EQ197" i="1"/>
  <c r="EQ198" i="1"/>
  <c r="EQ199" i="1"/>
  <c r="EQ200" i="1"/>
  <c r="EQ201" i="1"/>
  <c r="EQ202" i="1"/>
  <c r="EQ203" i="1"/>
  <c r="EQ204" i="1"/>
  <c r="EQ205" i="1"/>
  <c r="EQ206" i="1"/>
  <c r="EQ207" i="1"/>
  <c r="EQ208" i="1"/>
  <c r="EQ209" i="1"/>
  <c r="EQ210" i="1"/>
  <c r="EQ211" i="1"/>
  <c r="EQ212" i="1"/>
  <c r="EQ213" i="1"/>
  <c r="EQ214" i="1"/>
  <c r="EQ215" i="1"/>
  <c r="EQ216" i="1"/>
  <c r="EQ217" i="1"/>
  <c r="EQ218" i="1"/>
  <c r="EQ219" i="1"/>
  <c r="EQ220" i="1"/>
  <c r="EQ221" i="1"/>
  <c r="EQ222" i="1"/>
  <c r="EQ223" i="1"/>
  <c r="EQ224" i="1"/>
  <c r="EQ225" i="1"/>
  <c r="EQ226" i="1"/>
  <c r="EQ227" i="1"/>
  <c r="EQ228" i="1"/>
  <c r="EQ229" i="1"/>
  <c r="EQ230" i="1"/>
  <c r="EQ231" i="1"/>
  <c r="EQ232" i="1"/>
  <c r="EQ233" i="1"/>
  <c r="EQ234" i="1"/>
  <c r="EQ235" i="1"/>
  <c r="EQ236" i="1"/>
  <c r="EQ237" i="1"/>
  <c r="EQ238" i="1"/>
  <c r="EQ239" i="1"/>
  <c r="EQ240" i="1"/>
  <c r="EQ241" i="1"/>
  <c r="EQ242" i="1"/>
  <c r="EQ243" i="1"/>
  <c r="EQ244" i="1"/>
  <c r="EQ245" i="1"/>
  <c r="EQ246" i="1"/>
  <c r="EQ247" i="1"/>
  <c r="EQ248" i="1"/>
  <c r="EQ249" i="1"/>
  <c r="EQ250" i="1"/>
  <c r="EQ251" i="1"/>
  <c r="EQ252" i="1"/>
  <c r="EQ253" i="1"/>
  <c r="EQ254" i="1"/>
  <c r="EQ255" i="1"/>
  <c r="EQ256" i="1"/>
  <c r="EQ257" i="1"/>
  <c r="EQ258" i="1"/>
  <c r="EQ259" i="1"/>
  <c r="EQ260" i="1"/>
  <c r="EQ261" i="1"/>
  <c r="EQ262" i="1"/>
  <c r="EQ263" i="1"/>
  <c r="EQ264" i="1"/>
  <c r="EQ265" i="1"/>
  <c r="EQ266" i="1"/>
  <c r="EQ267" i="1"/>
  <c r="EQ268" i="1"/>
  <c r="EQ269" i="1"/>
  <c r="EQ270" i="1"/>
  <c r="EQ271" i="1"/>
  <c r="EQ272" i="1"/>
  <c r="EQ273" i="1"/>
  <c r="EQ274" i="1"/>
  <c r="EQ275" i="1"/>
  <c r="EQ276" i="1"/>
  <c r="EQ277" i="1"/>
  <c r="EQ278" i="1"/>
  <c r="EQ279" i="1"/>
  <c r="EQ280" i="1"/>
  <c r="EQ281" i="1"/>
  <c r="EQ282" i="1"/>
  <c r="EQ283" i="1"/>
  <c r="EQ284" i="1"/>
  <c r="EQ285" i="1"/>
  <c r="EQ286" i="1"/>
  <c r="EQ287" i="1"/>
  <c r="EQ288" i="1"/>
  <c r="EQ289" i="1"/>
  <c r="EQ290" i="1"/>
  <c r="EQ291" i="1"/>
  <c r="EQ292" i="1"/>
  <c r="EQ293" i="1"/>
  <c r="EQ294" i="1"/>
  <c r="EQ295" i="1"/>
  <c r="EQ296" i="1"/>
  <c r="EQ297" i="1"/>
  <c r="EQ298" i="1"/>
  <c r="EQ299" i="1"/>
  <c r="EQ300" i="1"/>
  <c r="EQ301" i="1"/>
  <c r="EQ302" i="1"/>
  <c r="EQ303" i="1"/>
  <c r="EQ304" i="1"/>
  <c r="EQ305" i="1"/>
  <c r="EQ306" i="1"/>
  <c r="EQ307" i="1"/>
  <c r="EQ308" i="1"/>
  <c r="EQ309" i="1"/>
  <c r="EQ310" i="1"/>
  <c r="EQ311" i="1"/>
  <c r="EQ312" i="1"/>
  <c r="EQ313" i="1"/>
  <c r="EQ314" i="1"/>
  <c r="EQ315" i="1"/>
  <c r="EQ316" i="1"/>
  <c r="EQ317" i="1"/>
  <c r="EQ318" i="1"/>
  <c r="EQ319" i="1"/>
  <c r="EQ320" i="1"/>
  <c r="EQ321" i="1"/>
  <c r="EQ322" i="1"/>
  <c r="EQ323" i="1"/>
  <c r="EQ324" i="1"/>
  <c r="EQ325" i="1"/>
  <c r="EQ326" i="1"/>
  <c r="EQ327" i="1"/>
  <c r="EQ328" i="1"/>
  <c r="EQ329" i="1"/>
  <c r="EQ330" i="1"/>
  <c r="EQ331" i="1"/>
  <c r="EQ332" i="1"/>
  <c r="EQ333" i="1"/>
  <c r="EQ334" i="1"/>
  <c r="EQ335" i="1"/>
  <c r="EQ336" i="1"/>
  <c r="EQ337" i="1"/>
  <c r="EQ338" i="1"/>
  <c r="EQ339" i="1"/>
  <c r="EQ340" i="1"/>
  <c r="EQ341" i="1"/>
  <c r="EQ342" i="1"/>
  <c r="EQ343" i="1"/>
  <c r="EQ344" i="1"/>
  <c r="EQ345" i="1"/>
  <c r="EQ346" i="1"/>
  <c r="EQ347" i="1"/>
  <c r="EQ348" i="1"/>
  <c r="EQ349" i="1"/>
  <c r="EQ350" i="1"/>
  <c r="EQ351" i="1"/>
  <c r="EQ352" i="1"/>
  <c r="EQ353" i="1"/>
  <c r="EQ354" i="1"/>
  <c r="EQ355" i="1"/>
  <c r="EQ356" i="1"/>
  <c r="EQ357" i="1"/>
  <c r="EQ358" i="1"/>
  <c r="EQ359" i="1"/>
  <c r="EQ360" i="1"/>
  <c r="EQ361" i="1"/>
  <c r="EQ362" i="1"/>
  <c r="EQ363" i="1"/>
  <c r="EQ364" i="1"/>
  <c r="EQ365" i="1"/>
  <c r="EQ366" i="1"/>
  <c r="EQ367" i="1"/>
  <c r="EQ368" i="1"/>
  <c r="EQ369" i="1"/>
  <c r="EQ370" i="1"/>
  <c r="EQ371" i="1"/>
  <c r="EQ372" i="1"/>
  <c r="EQ373" i="1"/>
  <c r="EQ374" i="1"/>
  <c r="EQ375" i="1"/>
  <c r="EQ376" i="1"/>
  <c r="EQ377" i="1"/>
  <c r="EQ378" i="1"/>
  <c r="EQ379" i="1"/>
  <c r="EQ380" i="1"/>
  <c r="EQ381" i="1"/>
  <c r="EQ382" i="1"/>
  <c r="EQ383" i="1"/>
  <c r="EQ384" i="1"/>
  <c r="EQ385" i="1"/>
  <c r="EQ386" i="1"/>
  <c r="EQ387" i="1"/>
  <c r="EQ388" i="1"/>
  <c r="EQ389" i="1"/>
  <c r="EQ390" i="1"/>
  <c r="EQ391" i="1"/>
  <c r="EQ392" i="1"/>
  <c r="EQ393" i="1"/>
  <c r="EQ394" i="1"/>
  <c r="EQ395" i="1"/>
  <c r="EQ396" i="1"/>
  <c r="EQ397" i="1"/>
  <c r="EQ398" i="1"/>
  <c r="EQ399" i="1"/>
  <c r="EQ400" i="1"/>
  <c r="EQ401" i="1"/>
  <c r="EQ402" i="1"/>
  <c r="EQ403" i="1"/>
  <c r="EQ404" i="1"/>
  <c r="EQ405" i="1"/>
  <c r="EQ406" i="1"/>
  <c r="EQ407" i="1"/>
  <c r="EQ408" i="1"/>
  <c r="EQ409" i="1"/>
  <c r="EQ410" i="1"/>
  <c r="EQ411" i="1"/>
  <c r="EQ412" i="1"/>
  <c r="EQ413" i="1"/>
  <c r="EQ414" i="1"/>
  <c r="EQ415" i="1"/>
  <c r="EQ416" i="1"/>
  <c r="EQ417" i="1"/>
  <c r="EQ418" i="1"/>
  <c r="EQ419" i="1"/>
  <c r="EQ420" i="1"/>
  <c r="EQ421" i="1"/>
  <c r="EQ422" i="1"/>
  <c r="EQ423" i="1"/>
  <c r="EQ424" i="1"/>
  <c r="EQ425" i="1"/>
  <c r="EQ426" i="1"/>
  <c r="EQ427" i="1"/>
  <c r="EQ428" i="1"/>
  <c r="EQ429" i="1"/>
  <c r="EQ430" i="1"/>
  <c r="EQ431" i="1"/>
  <c r="EQ432" i="1"/>
  <c r="EQ433" i="1"/>
  <c r="EQ434" i="1"/>
  <c r="EQ435" i="1"/>
  <c r="EQ436" i="1"/>
  <c r="EQ437" i="1"/>
  <c r="EQ438" i="1"/>
  <c r="EQ439" i="1"/>
  <c r="EQ440" i="1"/>
  <c r="EQ441" i="1"/>
  <c r="EQ442" i="1"/>
  <c r="EQ443" i="1"/>
  <c r="EQ444" i="1"/>
  <c r="EQ445" i="1"/>
  <c r="EQ446" i="1"/>
  <c r="EQ447" i="1"/>
  <c r="EQ448" i="1"/>
  <c r="EQ449" i="1"/>
  <c r="EQ450" i="1"/>
  <c r="EQ451" i="1"/>
  <c r="EQ452" i="1"/>
  <c r="EQ453" i="1"/>
  <c r="EQ454" i="1"/>
  <c r="EQ455" i="1"/>
  <c r="EQ456" i="1"/>
  <c r="EQ457" i="1"/>
  <c r="EQ458" i="1"/>
  <c r="EQ459" i="1"/>
  <c r="EQ460" i="1"/>
  <c r="EQ461" i="1"/>
  <c r="EQ462" i="1"/>
  <c r="EQ463" i="1"/>
  <c r="EQ464" i="1"/>
  <c r="EQ465" i="1"/>
  <c r="EQ466" i="1"/>
  <c r="EQ467" i="1"/>
  <c r="EQ468" i="1"/>
  <c r="EQ469" i="1"/>
  <c r="EQ470" i="1"/>
  <c r="EQ471" i="1"/>
  <c r="EQ472" i="1"/>
  <c r="EQ473" i="1"/>
  <c r="EQ474" i="1"/>
  <c r="EQ475" i="1"/>
  <c r="EQ476" i="1"/>
  <c r="EQ477" i="1"/>
  <c r="EQ478" i="1"/>
  <c r="EQ479" i="1"/>
  <c r="EQ480" i="1"/>
  <c r="EQ481" i="1"/>
  <c r="EQ482" i="1"/>
  <c r="EQ483" i="1"/>
  <c r="EQ484" i="1"/>
  <c r="EQ485" i="1"/>
  <c r="EQ486" i="1"/>
  <c r="EQ487" i="1"/>
  <c r="EQ488" i="1"/>
  <c r="EQ489" i="1"/>
  <c r="EQ490" i="1"/>
  <c r="EQ491" i="1"/>
  <c r="EQ492" i="1"/>
  <c r="EQ493" i="1"/>
  <c r="EQ494" i="1"/>
  <c r="EQ495" i="1"/>
  <c r="EQ496" i="1"/>
  <c r="EQ497" i="1"/>
  <c r="EQ498" i="1"/>
  <c r="EQ499" i="1"/>
  <c r="EQ500" i="1"/>
  <c r="EQ501" i="1"/>
  <c r="EQ502" i="1"/>
  <c r="EQ503" i="1"/>
  <c r="EQ504" i="1"/>
  <c r="EQ505" i="1"/>
  <c r="EQ506" i="1"/>
  <c r="EQ507" i="1"/>
  <c r="EQ508" i="1"/>
  <c r="EQ509" i="1"/>
  <c r="EQ510" i="1"/>
  <c r="EQ511" i="1"/>
  <c r="EQ512" i="1"/>
  <c r="EQ513" i="1"/>
  <c r="EQ514" i="1"/>
  <c r="EQ515" i="1"/>
  <c r="EQ516" i="1"/>
  <c r="EQ517" i="1"/>
  <c r="EQ518" i="1"/>
  <c r="EQ519" i="1"/>
  <c r="EQ520" i="1"/>
  <c r="EQ521" i="1"/>
  <c r="EQ522" i="1"/>
  <c r="EQ523" i="1"/>
  <c r="EQ524" i="1"/>
  <c r="EQ525" i="1"/>
  <c r="EQ526" i="1"/>
  <c r="EQ527" i="1"/>
  <c r="EQ528" i="1"/>
  <c r="EQ529" i="1"/>
  <c r="EQ530" i="1"/>
  <c r="EQ531" i="1"/>
  <c r="EQ532" i="1"/>
  <c r="EQ533" i="1"/>
  <c r="EQ534" i="1"/>
  <c r="EQ535" i="1"/>
  <c r="EQ536" i="1"/>
  <c r="EQ537" i="1"/>
  <c r="EQ538" i="1"/>
  <c r="EQ539" i="1"/>
  <c r="EQ540" i="1"/>
  <c r="EQ541" i="1"/>
  <c r="EQ542" i="1"/>
  <c r="EQ543" i="1"/>
  <c r="EQ544" i="1"/>
  <c r="EQ545" i="1"/>
  <c r="EQ546" i="1"/>
  <c r="EQ547" i="1"/>
  <c r="EQ548" i="1"/>
  <c r="EQ549" i="1"/>
  <c r="EQ550" i="1"/>
  <c r="EQ551" i="1"/>
  <c r="EQ552" i="1"/>
  <c r="EQ553" i="1"/>
  <c r="EQ554" i="1"/>
  <c r="EQ555" i="1"/>
  <c r="EQ556" i="1"/>
  <c r="EQ557" i="1"/>
  <c r="EQ558" i="1"/>
  <c r="EQ559" i="1"/>
  <c r="EQ560" i="1"/>
  <c r="EQ561" i="1"/>
  <c r="EQ562" i="1"/>
  <c r="EQ563" i="1"/>
  <c r="EQ564" i="1"/>
  <c r="EQ565" i="1"/>
  <c r="EQ566" i="1"/>
  <c r="EQ567" i="1"/>
  <c r="EI3" i="1"/>
  <c r="EM3" i="1" s="1"/>
  <c r="EI4" i="1"/>
  <c r="EM4" i="1" s="1"/>
  <c r="EI5" i="1"/>
  <c r="EM5" i="1" s="1"/>
  <c r="EI6" i="1"/>
  <c r="EM6" i="1" s="1"/>
  <c r="EI7" i="1"/>
  <c r="EM7" i="1" s="1"/>
  <c r="EI8" i="1"/>
  <c r="EM8" i="1" s="1"/>
  <c r="EI9" i="1"/>
  <c r="EM9" i="1" s="1"/>
  <c r="EI10" i="1"/>
  <c r="EM10" i="1" s="1"/>
  <c r="EI11" i="1"/>
  <c r="EM11" i="1" s="1"/>
  <c r="EI12" i="1"/>
  <c r="EM12" i="1" s="1"/>
  <c r="EI13" i="1"/>
  <c r="EM13" i="1" s="1"/>
  <c r="EI14" i="1"/>
  <c r="EM14" i="1" s="1"/>
  <c r="EI15" i="1"/>
  <c r="EM15" i="1" s="1"/>
  <c r="EI16" i="1"/>
  <c r="EM16" i="1" s="1"/>
  <c r="EI17" i="1"/>
  <c r="EM17" i="1" s="1"/>
  <c r="EI18" i="1"/>
  <c r="EM18" i="1" s="1"/>
  <c r="EI19" i="1"/>
  <c r="EM19" i="1" s="1"/>
  <c r="EI20" i="1"/>
  <c r="EM20" i="1" s="1"/>
  <c r="EI21" i="1"/>
  <c r="EM21" i="1" s="1"/>
  <c r="EI22" i="1"/>
  <c r="EM22" i="1" s="1"/>
  <c r="EI23" i="1"/>
  <c r="EM23" i="1" s="1"/>
  <c r="EI24" i="1"/>
  <c r="EM24" i="1" s="1"/>
  <c r="EI25" i="1"/>
  <c r="EM25" i="1" s="1"/>
  <c r="EI26" i="1"/>
  <c r="EM26" i="1" s="1"/>
  <c r="EI27" i="1"/>
  <c r="EM27" i="1" s="1"/>
  <c r="EI28" i="1"/>
  <c r="EM28" i="1" s="1"/>
  <c r="EI29" i="1"/>
  <c r="EM29" i="1" s="1"/>
  <c r="EI30" i="1"/>
  <c r="EM30" i="1" s="1"/>
  <c r="EI31" i="1"/>
  <c r="EM31" i="1" s="1"/>
  <c r="EI32" i="1"/>
  <c r="EM32" i="1" s="1"/>
  <c r="EI33" i="1"/>
  <c r="EM33" i="1" s="1"/>
  <c r="EI34" i="1"/>
  <c r="EM34" i="1" s="1"/>
  <c r="EI35" i="1"/>
  <c r="EM35" i="1" s="1"/>
  <c r="EI36" i="1"/>
  <c r="EM36" i="1" s="1"/>
  <c r="EI37" i="1"/>
  <c r="EM37" i="1" s="1"/>
  <c r="EI38" i="1"/>
  <c r="EM38" i="1" s="1"/>
  <c r="EI39" i="1"/>
  <c r="EM39" i="1" s="1"/>
  <c r="EI40" i="1"/>
  <c r="EM40" i="1" s="1"/>
  <c r="EI41" i="1"/>
  <c r="EM41" i="1" s="1"/>
  <c r="EI42" i="1"/>
  <c r="EM42" i="1" s="1"/>
  <c r="EI43" i="1"/>
  <c r="EM43" i="1" s="1"/>
  <c r="EI44" i="1"/>
  <c r="EM44" i="1" s="1"/>
  <c r="EI45" i="1"/>
  <c r="EM45" i="1" s="1"/>
  <c r="EI46" i="1"/>
  <c r="EM46" i="1" s="1"/>
  <c r="EI47" i="1"/>
  <c r="EM47" i="1" s="1"/>
  <c r="EI48" i="1"/>
  <c r="EM48" i="1" s="1"/>
  <c r="EI49" i="1"/>
  <c r="EM49" i="1" s="1"/>
  <c r="EI50" i="1"/>
  <c r="EM50" i="1" s="1"/>
  <c r="EI51" i="1"/>
  <c r="EM51" i="1" s="1"/>
  <c r="EI52" i="1"/>
  <c r="EM52" i="1" s="1"/>
  <c r="EI53" i="1"/>
  <c r="EM53" i="1" s="1"/>
  <c r="EI54" i="1"/>
  <c r="EM54" i="1" s="1"/>
  <c r="EI55" i="1"/>
  <c r="EM55" i="1" s="1"/>
  <c r="EI56" i="1"/>
  <c r="EM56" i="1" s="1"/>
  <c r="EI57" i="1"/>
  <c r="EM57" i="1" s="1"/>
  <c r="EI58" i="1"/>
  <c r="EM58" i="1" s="1"/>
  <c r="EI59" i="1"/>
  <c r="EM59" i="1" s="1"/>
  <c r="EI60" i="1"/>
  <c r="EM60" i="1" s="1"/>
  <c r="EI61" i="1"/>
  <c r="EM61" i="1" s="1"/>
  <c r="EI62" i="1"/>
  <c r="EM62" i="1" s="1"/>
  <c r="EI63" i="1"/>
  <c r="EM63" i="1" s="1"/>
  <c r="EI64" i="1"/>
  <c r="EM64" i="1" s="1"/>
  <c r="EI65" i="1"/>
  <c r="EM65" i="1" s="1"/>
  <c r="EI66" i="1"/>
  <c r="EM66" i="1" s="1"/>
  <c r="EI67" i="1"/>
  <c r="EM67" i="1" s="1"/>
  <c r="EI68" i="1"/>
  <c r="EM68" i="1" s="1"/>
  <c r="EI69" i="1"/>
  <c r="EM69" i="1" s="1"/>
  <c r="EI70" i="1"/>
  <c r="EM70" i="1" s="1"/>
  <c r="EI71" i="1"/>
  <c r="EM71" i="1" s="1"/>
  <c r="EI72" i="1"/>
  <c r="EM72" i="1" s="1"/>
  <c r="EI73" i="1"/>
  <c r="EM73" i="1" s="1"/>
  <c r="EI74" i="1"/>
  <c r="EM74" i="1" s="1"/>
  <c r="EI75" i="1"/>
  <c r="EM75" i="1" s="1"/>
  <c r="EI76" i="1"/>
  <c r="EM76" i="1" s="1"/>
  <c r="EI77" i="1"/>
  <c r="EM77" i="1" s="1"/>
  <c r="EI78" i="1"/>
  <c r="EM78" i="1" s="1"/>
  <c r="EI79" i="1"/>
  <c r="EM79" i="1" s="1"/>
  <c r="EI80" i="1"/>
  <c r="EM80" i="1" s="1"/>
  <c r="EI81" i="1"/>
  <c r="EM81" i="1" s="1"/>
  <c r="EI82" i="1"/>
  <c r="EM82" i="1" s="1"/>
  <c r="EI83" i="1"/>
  <c r="EM83" i="1" s="1"/>
  <c r="EI84" i="1"/>
  <c r="EM84" i="1" s="1"/>
  <c r="EI85" i="1"/>
  <c r="EM85" i="1" s="1"/>
  <c r="EI86" i="1"/>
  <c r="EM86" i="1" s="1"/>
  <c r="EI87" i="1"/>
  <c r="EM87" i="1" s="1"/>
  <c r="EI88" i="1"/>
  <c r="EM88" i="1" s="1"/>
  <c r="EI89" i="1"/>
  <c r="EM89" i="1" s="1"/>
  <c r="EI90" i="1"/>
  <c r="EM90" i="1" s="1"/>
  <c r="EI91" i="1"/>
  <c r="EM91" i="1" s="1"/>
  <c r="EI92" i="1"/>
  <c r="EM92" i="1" s="1"/>
  <c r="EI93" i="1"/>
  <c r="EM93" i="1" s="1"/>
  <c r="EI94" i="1"/>
  <c r="EM94" i="1" s="1"/>
  <c r="EI95" i="1"/>
  <c r="EM95" i="1" s="1"/>
  <c r="EI96" i="1"/>
  <c r="EM96" i="1" s="1"/>
  <c r="EI97" i="1"/>
  <c r="EM97" i="1" s="1"/>
  <c r="EI98" i="1"/>
  <c r="EM98" i="1" s="1"/>
  <c r="EI99" i="1"/>
  <c r="EM99" i="1" s="1"/>
  <c r="EI100" i="1"/>
  <c r="EM100" i="1" s="1"/>
  <c r="EI101" i="1"/>
  <c r="EM101" i="1" s="1"/>
  <c r="EI102" i="1"/>
  <c r="EM102" i="1" s="1"/>
  <c r="EI103" i="1"/>
  <c r="EM103" i="1" s="1"/>
  <c r="EI104" i="1"/>
  <c r="EM104" i="1" s="1"/>
  <c r="EI105" i="1"/>
  <c r="EM105" i="1" s="1"/>
  <c r="EI106" i="1"/>
  <c r="EM106" i="1" s="1"/>
  <c r="EI107" i="1"/>
  <c r="EM107" i="1" s="1"/>
  <c r="EI108" i="1"/>
  <c r="EM108" i="1" s="1"/>
  <c r="EI109" i="1"/>
  <c r="EM109" i="1" s="1"/>
  <c r="EI110" i="1"/>
  <c r="EM110" i="1" s="1"/>
  <c r="EI111" i="1"/>
  <c r="EM111" i="1" s="1"/>
  <c r="EI112" i="1"/>
  <c r="EM112" i="1" s="1"/>
  <c r="EI113" i="1"/>
  <c r="EM113" i="1" s="1"/>
  <c r="EI114" i="1"/>
  <c r="EM114" i="1" s="1"/>
  <c r="EI115" i="1"/>
  <c r="EM115" i="1" s="1"/>
  <c r="EI116" i="1"/>
  <c r="EM116" i="1" s="1"/>
  <c r="EI117" i="1"/>
  <c r="EM117" i="1" s="1"/>
  <c r="EI118" i="1"/>
  <c r="EM118" i="1" s="1"/>
  <c r="EI119" i="1"/>
  <c r="EM119" i="1" s="1"/>
  <c r="EI120" i="1"/>
  <c r="EM120" i="1" s="1"/>
  <c r="EI121" i="1"/>
  <c r="EM121" i="1" s="1"/>
  <c r="EI122" i="1"/>
  <c r="EM122" i="1" s="1"/>
  <c r="EI123" i="1"/>
  <c r="EM123" i="1" s="1"/>
  <c r="EI124" i="1"/>
  <c r="EM124" i="1" s="1"/>
  <c r="EI125" i="1"/>
  <c r="EM125" i="1" s="1"/>
  <c r="EI126" i="1"/>
  <c r="EM126" i="1" s="1"/>
  <c r="EI127" i="1"/>
  <c r="EM127" i="1" s="1"/>
  <c r="EI128" i="1"/>
  <c r="EM128" i="1" s="1"/>
  <c r="EI129" i="1"/>
  <c r="EM129" i="1" s="1"/>
  <c r="EI130" i="1"/>
  <c r="EM130" i="1" s="1"/>
  <c r="EI131" i="1"/>
  <c r="EM131" i="1" s="1"/>
  <c r="EI132" i="1"/>
  <c r="EM132" i="1" s="1"/>
  <c r="EI133" i="1"/>
  <c r="EM133" i="1" s="1"/>
  <c r="EI134" i="1"/>
  <c r="EM134" i="1" s="1"/>
  <c r="EI135" i="1"/>
  <c r="EM135" i="1" s="1"/>
  <c r="EI136" i="1"/>
  <c r="EM136" i="1" s="1"/>
  <c r="EI137" i="1"/>
  <c r="EM137" i="1" s="1"/>
  <c r="EI138" i="1"/>
  <c r="EM138" i="1" s="1"/>
  <c r="EI139" i="1"/>
  <c r="EM139" i="1" s="1"/>
  <c r="EI140" i="1"/>
  <c r="EM140" i="1" s="1"/>
  <c r="EI141" i="1"/>
  <c r="EM141" i="1" s="1"/>
  <c r="EI142" i="1"/>
  <c r="EM142" i="1" s="1"/>
  <c r="EI143" i="1"/>
  <c r="EM143" i="1" s="1"/>
  <c r="EI144" i="1"/>
  <c r="EM144" i="1" s="1"/>
  <c r="EI145" i="1"/>
  <c r="EM145" i="1" s="1"/>
  <c r="EI146" i="1"/>
  <c r="EM146" i="1" s="1"/>
  <c r="EI147" i="1"/>
  <c r="EM147" i="1" s="1"/>
  <c r="EI148" i="1"/>
  <c r="EM148" i="1" s="1"/>
  <c r="EI149" i="1"/>
  <c r="EM149" i="1" s="1"/>
  <c r="EI150" i="1"/>
  <c r="EM150" i="1" s="1"/>
  <c r="EI151" i="1"/>
  <c r="EM151" i="1" s="1"/>
  <c r="EI152" i="1"/>
  <c r="EM152" i="1" s="1"/>
  <c r="EI153" i="1"/>
  <c r="EM153" i="1" s="1"/>
  <c r="EI154" i="1"/>
  <c r="EM154" i="1" s="1"/>
  <c r="EI155" i="1"/>
  <c r="EM155" i="1" s="1"/>
  <c r="EI156" i="1"/>
  <c r="EM156" i="1" s="1"/>
  <c r="EI157" i="1"/>
  <c r="EM157" i="1" s="1"/>
  <c r="EI158" i="1"/>
  <c r="EM158" i="1" s="1"/>
  <c r="EI159" i="1"/>
  <c r="EM159" i="1" s="1"/>
  <c r="EI160" i="1"/>
  <c r="EM160" i="1" s="1"/>
  <c r="EI161" i="1"/>
  <c r="EM161" i="1" s="1"/>
  <c r="EI162" i="1"/>
  <c r="EM162" i="1" s="1"/>
  <c r="EI163" i="1"/>
  <c r="EM163" i="1" s="1"/>
  <c r="EI164" i="1"/>
  <c r="EM164" i="1" s="1"/>
  <c r="EI165" i="1"/>
  <c r="EM165" i="1" s="1"/>
  <c r="EI166" i="1"/>
  <c r="EM166" i="1" s="1"/>
  <c r="EI167" i="1"/>
  <c r="EM167" i="1" s="1"/>
  <c r="EI168" i="1"/>
  <c r="EM168" i="1" s="1"/>
  <c r="EI169" i="1"/>
  <c r="EM169" i="1" s="1"/>
  <c r="EI170" i="1"/>
  <c r="EM170" i="1" s="1"/>
  <c r="EI171" i="1"/>
  <c r="EM171" i="1" s="1"/>
  <c r="EI172" i="1"/>
  <c r="EM172" i="1" s="1"/>
  <c r="EI173" i="1"/>
  <c r="EM173" i="1" s="1"/>
  <c r="EI174" i="1"/>
  <c r="EM174" i="1" s="1"/>
  <c r="EI175" i="1"/>
  <c r="EM175" i="1" s="1"/>
  <c r="EI176" i="1"/>
  <c r="EM176" i="1" s="1"/>
  <c r="EI177" i="1"/>
  <c r="EM177" i="1" s="1"/>
  <c r="EI178" i="1"/>
  <c r="EM178" i="1" s="1"/>
  <c r="EI179" i="1"/>
  <c r="EM179" i="1" s="1"/>
  <c r="EI180" i="1"/>
  <c r="EM180" i="1" s="1"/>
  <c r="EI181" i="1"/>
  <c r="EM181" i="1" s="1"/>
  <c r="EI182" i="1"/>
  <c r="EM182" i="1" s="1"/>
  <c r="EI183" i="1"/>
  <c r="EM183" i="1" s="1"/>
  <c r="EI184" i="1"/>
  <c r="EM184" i="1" s="1"/>
  <c r="EI185" i="1"/>
  <c r="EM185" i="1" s="1"/>
  <c r="EI186" i="1"/>
  <c r="EM186" i="1" s="1"/>
  <c r="EI187" i="1"/>
  <c r="EM187" i="1" s="1"/>
  <c r="EI188" i="1"/>
  <c r="EM188" i="1" s="1"/>
  <c r="EI189" i="1"/>
  <c r="EM189" i="1" s="1"/>
  <c r="EI190" i="1"/>
  <c r="EM190" i="1" s="1"/>
  <c r="EI191" i="1"/>
  <c r="EM191" i="1" s="1"/>
  <c r="EI192" i="1"/>
  <c r="EM192" i="1" s="1"/>
  <c r="EI193" i="1"/>
  <c r="EM193" i="1" s="1"/>
  <c r="EI194" i="1"/>
  <c r="EM194" i="1" s="1"/>
  <c r="EI195" i="1"/>
  <c r="EM195" i="1" s="1"/>
  <c r="EI196" i="1"/>
  <c r="EM196" i="1" s="1"/>
  <c r="EI197" i="1"/>
  <c r="EM197" i="1" s="1"/>
  <c r="EI198" i="1"/>
  <c r="EM198" i="1" s="1"/>
  <c r="EI199" i="1"/>
  <c r="EM199" i="1" s="1"/>
  <c r="EI200" i="1"/>
  <c r="EM200" i="1" s="1"/>
  <c r="EI201" i="1"/>
  <c r="EM201" i="1" s="1"/>
  <c r="EI202" i="1"/>
  <c r="EM202" i="1" s="1"/>
  <c r="EI203" i="1"/>
  <c r="EM203" i="1" s="1"/>
  <c r="EI204" i="1"/>
  <c r="EM204" i="1" s="1"/>
  <c r="EI205" i="1"/>
  <c r="EM205" i="1" s="1"/>
  <c r="EI206" i="1"/>
  <c r="EM206" i="1" s="1"/>
  <c r="EI207" i="1"/>
  <c r="EM207" i="1" s="1"/>
  <c r="EI208" i="1"/>
  <c r="EM208" i="1" s="1"/>
  <c r="EI209" i="1"/>
  <c r="EM209" i="1" s="1"/>
  <c r="EI210" i="1"/>
  <c r="EM210" i="1" s="1"/>
  <c r="EI211" i="1"/>
  <c r="EM211" i="1" s="1"/>
  <c r="EI212" i="1"/>
  <c r="EM212" i="1" s="1"/>
  <c r="EI213" i="1"/>
  <c r="EM213" i="1" s="1"/>
  <c r="EI214" i="1"/>
  <c r="EM214" i="1" s="1"/>
  <c r="EI215" i="1"/>
  <c r="EM215" i="1" s="1"/>
  <c r="EI216" i="1"/>
  <c r="EM216" i="1" s="1"/>
  <c r="EI217" i="1"/>
  <c r="EM217" i="1" s="1"/>
  <c r="EI218" i="1"/>
  <c r="EM218" i="1" s="1"/>
  <c r="EI219" i="1"/>
  <c r="EM219" i="1" s="1"/>
  <c r="EI220" i="1"/>
  <c r="EM220" i="1" s="1"/>
  <c r="EI221" i="1"/>
  <c r="EM221" i="1" s="1"/>
  <c r="EI222" i="1"/>
  <c r="EM222" i="1" s="1"/>
  <c r="EI223" i="1"/>
  <c r="EM223" i="1" s="1"/>
  <c r="EI224" i="1"/>
  <c r="EM224" i="1" s="1"/>
  <c r="EI225" i="1"/>
  <c r="EM225" i="1" s="1"/>
  <c r="EI226" i="1"/>
  <c r="EM226" i="1" s="1"/>
  <c r="EI227" i="1"/>
  <c r="EM227" i="1" s="1"/>
  <c r="EI228" i="1"/>
  <c r="EM228" i="1" s="1"/>
  <c r="EI229" i="1"/>
  <c r="EM229" i="1" s="1"/>
  <c r="EI230" i="1"/>
  <c r="EM230" i="1" s="1"/>
  <c r="EI231" i="1"/>
  <c r="EM231" i="1" s="1"/>
  <c r="EI232" i="1"/>
  <c r="EM232" i="1" s="1"/>
  <c r="EI233" i="1"/>
  <c r="EM233" i="1" s="1"/>
  <c r="EI234" i="1"/>
  <c r="EM234" i="1" s="1"/>
  <c r="EI235" i="1"/>
  <c r="EM235" i="1" s="1"/>
  <c r="EI236" i="1"/>
  <c r="EM236" i="1" s="1"/>
  <c r="EI237" i="1"/>
  <c r="EM237" i="1" s="1"/>
  <c r="EI238" i="1"/>
  <c r="EM238" i="1" s="1"/>
  <c r="EI239" i="1"/>
  <c r="EM239" i="1" s="1"/>
  <c r="EI240" i="1"/>
  <c r="EM240" i="1" s="1"/>
  <c r="EI241" i="1"/>
  <c r="EM241" i="1" s="1"/>
  <c r="EI242" i="1"/>
  <c r="EM242" i="1" s="1"/>
  <c r="EI243" i="1"/>
  <c r="EM243" i="1" s="1"/>
  <c r="EI244" i="1"/>
  <c r="EM244" i="1" s="1"/>
  <c r="EI245" i="1"/>
  <c r="EM245" i="1" s="1"/>
  <c r="EI246" i="1"/>
  <c r="EM246" i="1" s="1"/>
  <c r="EI247" i="1"/>
  <c r="EM247" i="1" s="1"/>
  <c r="EI248" i="1"/>
  <c r="EM248" i="1" s="1"/>
  <c r="EI249" i="1"/>
  <c r="EM249" i="1" s="1"/>
  <c r="EI250" i="1"/>
  <c r="EM250" i="1" s="1"/>
  <c r="EI251" i="1"/>
  <c r="EM251" i="1" s="1"/>
  <c r="EI252" i="1"/>
  <c r="EM252" i="1" s="1"/>
  <c r="EI253" i="1"/>
  <c r="EM253" i="1" s="1"/>
  <c r="EI254" i="1"/>
  <c r="EM254" i="1" s="1"/>
  <c r="EI255" i="1"/>
  <c r="EM255" i="1" s="1"/>
  <c r="EI256" i="1"/>
  <c r="EM256" i="1" s="1"/>
  <c r="EI257" i="1"/>
  <c r="EM257" i="1" s="1"/>
  <c r="EI258" i="1"/>
  <c r="EM258" i="1" s="1"/>
  <c r="EI259" i="1"/>
  <c r="EM259" i="1" s="1"/>
  <c r="EI260" i="1"/>
  <c r="EM260" i="1" s="1"/>
  <c r="EI261" i="1"/>
  <c r="EM261" i="1" s="1"/>
  <c r="EI262" i="1"/>
  <c r="EM262" i="1" s="1"/>
  <c r="EI263" i="1"/>
  <c r="EM263" i="1" s="1"/>
  <c r="EI264" i="1"/>
  <c r="EM264" i="1" s="1"/>
  <c r="EI265" i="1"/>
  <c r="EM265" i="1" s="1"/>
  <c r="EI266" i="1"/>
  <c r="EM266" i="1" s="1"/>
  <c r="EI267" i="1"/>
  <c r="EM267" i="1" s="1"/>
  <c r="EI268" i="1"/>
  <c r="EM268" i="1" s="1"/>
  <c r="EI269" i="1"/>
  <c r="EM269" i="1" s="1"/>
  <c r="EI270" i="1"/>
  <c r="EM270" i="1" s="1"/>
  <c r="EI271" i="1"/>
  <c r="EM271" i="1" s="1"/>
  <c r="EI272" i="1"/>
  <c r="EM272" i="1" s="1"/>
  <c r="EI273" i="1"/>
  <c r="EM273" i="1" s="1"/>
  <c r="EI274" i="1"/>
  <c r="EM274" i="1" s="1"/>
  <c r="EI275" i="1"/>
  <c r="EM275" i="1" s="1"/>
  <c r="EI276" i="1"/>
  <c r="EM276" i="1" s="1"/>
  <c r="EI277" i="1"/>
  <c r="EM277" i="1" s="1"/>
  <c r="EI278" i="1"/>
  <c r="EM278" i="1" s="1"/>
  <c r="EI279" i="1"/>
  <c r="EM279" i="1" s="1"/>
  <c r="EI280" i="1"/>
  <c r="EM280" i="1" s="1"/>
  <c r="EI281" i="1"/>
  <c r="EM281" i="1" s="1"/>
  <c r="EI282" i="1"/>
  <c r="EM282" i="1" s="1"/>
  <c r="EI283" i="1"/>
  <c r="EM283" i="1" s="1"/>
  <c r="EI284" i="1"/>
  <c r="EM284" i="1" s="1"/>
  <c r="EI285" i="1"/>
  <c r="EM285" i="1" s="1"/>
  <c r="EI286" i="1"/>
  <c r="EM286" i="1" s="1"/>
  <c r="EI287" i="1"/>
  <c r="EM287" i="1" s="1"/>
  <c r="EI288" i="1"/>
  <c r="EM288" i="1" s="1"/>
  <c r="EI289" i="1"/>
  <c r="EM289" i="1" s="1"/>
  <c r="EI290" i="1"/>
  <c r="EM290" i="1" s="1"/>
  <c r="EI291" i="1"/>
  <c r="EM291" i="1" s="1"/>
  <c r="EI292" i="1"/>
  <c r="EM292" i="1" s="1"/>
  <c r="EI293" i="1"/>
  <c r="EM293" i="1" s="1"/>
  <c r="EI294" i="1"/>
  <c r="EM294" i="1" s="1"/>
  <c r="EI295" i="1"/>
  <c r="EM295" i="1" s="1"/>
  <c r="EI296" i="1"/>
  <c r="EM296" i="1" s="1"/>
  <c r="EI297" i="1"/>
  <c r="EM297" i="1" s="1"/>
  <c r="EI298" i="1"/>
  <c r="EM298" i="1" s="1"/>
  <c r="EI299" i="1"/>
  <c r="EM299" i="1" s="1"/>
  <c r="EI300" i="1"/>
  <c r="EM300" i="1" s="1"/>
  <c r="EI301" i="1"/>
  <c r="EM301" i="1" s="1"/>
  <c r="EI302" i="1"/>
  <c r="EM302" i="1" s="1"/>
  <c r="EI303" i="1"/>
  <c r="EM303" i="1" s="1"/>
  <c r="EI304" i="1"/>
  <c r="EM304" i="1" s="1"/>
  <c r="EI305" i="1"/>
  <c r="EM305" i="1" s="1"/>
  <c r="EI306" i="1"/>
  <c r="EM306" i="1" s="1"/>
  <c r="EI307" i="1"/>
  <c r="EM307" i="1" s="1"/>
  <c r="EI308" i="1"/>
  <c r="EM308" i="1" s="1"/>
  <c r="EI309" i="1"/>
  <c r="EM309" i="1" s="1"/>
  <c r="EI310" i="1"/>
  <c r="EM310" i="1" s="1"/>
  <c r="EI311" i="1"/>
  <c r="EM311" i="1" s="1"/>
  <c r="EI312" i="1"/>
  <c r="EM312" i="1" s="1"/>
  <c r="EI313" i="1"/>
  <c r="EM313" i="1" s="1"/>
  <c r="EI314" i="1"/>
  <c r="EM314" i="1" s="1"/>
  <c r="EI315" i="1"/>
  <c r="EM315" i="1" s="1"/>
  <c r="EI316" i="1"/>
  <c r="EM316" i="1" s="1"/>
  <c r="EI317" i="1"/>
  <c r="EM317" i="1" s="1"/>
  <c r="EI318" i="1"/>
  <c r="EM318" i="1" s="1"/>
  <c r="EI319" i="1"/>
  <c r="EM319" i="1" s="1"/>
  <c r="EI320" i="1"/>
  <c r="EM320" i="1" s="1"/>
  <c r="EI321" i="1"/>
  <c r="EM321" i="1" s="1"/>
  <c r="EI322" i="1"/>
  <c r="EM322" i="1" s="1"/>
  <c r="EI323" i="1"/>
  <c r="EM323" i="1" s="1"/>
  <c r="EI324" i="1"/>
  <c r="EM324" i="1" s="1"/>
  <c r="EI325" i="1"/>
  <c r="EM325" i="1" s="1"/>
  <c r="EI326" i="1"/>
  <c r="EM326" i="1" s="1"/>
  <c r="EI327" i="1"/>
  <c r="EM327" i="1" s="1"/>
  <c r="EI328" i="1"/>
  <c r="EM328" i="1" s="1"/>
  <c r="EI329" i="1"/>
  <c r="EM329" i="1" s="1"/>
  <c r="EI330" i="1"/>
  <c r="EM330" i="1" s="1"/>
  <c r="EI331" i="1"/>
  <c r="EM331" i="1" s="1"/>
  <c r="EI332" i="1"/>
  <c r="EM332" i="1" s="1"/>
  <c r="EI333" i="1"/>
  <c r="EM333" i="1" s="1"/>
  <c r="EI334" i="1"/>
  <c r="EM334" i="1" s="1"/>
  <c r="EI335" i="1"/>
  <c r="EM335" i="1" s="1"/>
  <c r="EI336" i="1"/>
  <c r="EM336" i="1" s="1"/>
  <c r="EI337" i="1"/>
  <c r="EM337" i="1" s="1"/>
  <c r="EI338" i="1"/>
  <c r="EM338" i="1" s="1"/>
  <c r="EI339" i="1"/>
  <c r="EM339" i="1" s="1"/>
  <c r="EI340" i="1"/>
  <c r="EM340" i="1" s="1"/>
  <c r="EI341" i="1"/>
  <c r="EM341" i="1" s="1"/>
  <c r="EI342" i="1"/>
  <c r="EM342" i="1" s="1"/>
  <c r="EI343" i="1"/>
  <c r="EM343" i="1" s="1"/>
  <c r="EI344" i="1"/>
  <c r="EM344" i="1" s="1"/>
  <c r="EI345" i="1"/>
  <c r="EM345" i="1" s="1"/>
  <c r="EI346" i="1"/>
  <c r="EM346" i="1" s="1"/>
  <c r="EI347" i="1"/>
  <c r="EM347" i="1" s="1"/>
  <c r="EI348" i="1"/>
  <c r="EM348" i="1" s="1"/>
  <c r="EI349" i="1"/>
  <c r="EM349" i="1" s="1"/>
  <c r="EI350" i="1"/>
  <c r="EM350" i="1" s="1"/>
  <c r="EI351" i="1"/>
  <c r="EM351" i="1" s="1"/>
  <c r="EI352" i="1"/>
  <c r="EM352" i="1" s="1"/>
  <c r="EI353" i="1"/>
  <c r="EM353" i="1" s="1"/>
  <c r="EI354" i="1"/>
  <c r="EM354" i="1" s="1"/>
  <c r="EI355" i="1"/>
  <c r="EM355" i="1" s="1"/>
  <c r="EI356" i="1"/>
  <c r="EM356" i="1" s="1"/>
  <c r="EI357" i="1"/>
  <c r="EM357" i="1" s="1"/>
  <c r="EI358" i="1"/>
  <c r="EM358" i="1" s="1"/>
  <c r="EI359" i="1"/>
  <c r="EM359" i="1" s="1"/>
  <c r="EI360" i="1"/>
  <c r="EM360" i="1" s="1"/>
  <c r="EI361" i="1"/>
  <c r="EM361" i="1" s="1"/>
  <c r="EI362" i="1"/>
  <c r="EM362" i="1" s="1"/>
  <c r="EI363" i="1"/>
  <c r="EM363" i="1" s="1"/>
  <c r="EI364" i="1"/>
  <c r="EM364" i="1" s="1"/>
  <c r="EI365" i="1"/>
  <c r="EM365" i="1" s="1"/>
  <c r="EI366" i="1"/>
  <c r="EM366" i="1" s="1"/>
  <c r="EI367" i="1"/>
  <c r="EM367" i="1" s="1"/>
  <c r="EI368" i="1"/>
  <c r="EM368" i="1" s="1"/>
  <c r="EI369" i="1"/>
  <c r="EM369" i="1" s="1"/>
  <c r="EI370" i="1"/>
  <c r="EM370" i="1" s="1"/>
  <c r="EI371" i="1"/>
  <c r="EM371" i="1" s="1"/>
  <c r="EI372" i="1"/>
  <c r="EM372" i="1" s="1"/>
  <c r="EI373" i="1"/>
  <c r="EM373" i="1" s="1"/>
  <c r="EI374" i="1"/>
  <c r="EM374" i="1" s="1"/>
  <c r="EI375" i="1"/>
  <c r="EM375" i="1" s="1"/>
  <c r="EI376" i="1"/>
  <c r="EM376" i="1" s="1"/>
  <c r="EI377" i="1"/>
  <c r="EM377" i="1" s="1"/>
  <c r="EI378" i="1"/>
  <c r="EM378" i="1" s="1"/>
  <c r="EI379" i="1"/>
  <c r="EM379" i="1" s="1"/>
  <c r="EI380" i="1"/>
  <c r="EM380" i="1" s="1"/>
  <c r="EI381" i="1"/>
  <c r="EM381" i="1" s="1"/>
  <c r="EI382" i="1"/>
  <c r="EM382" i="1" s="1"/>
  <c r="EI383" i="1"/>
  <c r="EM383" i="1" s="1"/>
  <c r="EI384" i="1"/>
  <c r="EM384" i="1" s="1"/>
  <c r="EI385" i="1"/>
  <c r="EM385" i="1" s="1"/>
  <c r="EI386" i="1"/>
  <c r="EM386" i="1" s="1"/>
  <c r="EI387" i="1"/>
  <c r="EM387" i="1" s="1"/>
  <c r="EI388" i="1"/>
  <c r="EM388" i="1" s="1"/>
  <c r="EI389" i="1"/>
  <c r="EM389" i="1" s="1"/>
  <c r="EI390" i="1"/>
  <c r="EM390" i="1" s="1"/>
  <c r="EI391" i="1"/>
  <c r="EM391" i="1" s="1"/>
  <c r="EI392" i="1"/>
  <c r="EM392" i="1" s="1"/>
  <c r="EI393" i="1"/>
  <c r="EM393" i="1" s="1"/>
  <c r="EI394" i="1"/>
  <c r="EM394" i="1" s="1"/>
  <c r="EI395" i="1"/>
  <c r="EM395" i="1" s="1"/>
  <c r="EI396" i="1"/>
  <c r="EM396" i="1" s="1"/>
  <c r="EI397" i="1"/>
  <c r="EM397" i="1" s="1"/>
  <c r="EI398" i="1"/>
  <c r="EM398" i="1" s="1"/>
  <c r="EI399" i="1"/>
  <c r="EM399" i="1" s="1"/>
  <c r="EI400" i="1"/>
  <c r="EM400" i="1" s="1"/>
  <c r="EI401" i="1"/>
  <c r="EM401" i="1" s="1"/>
  <c r="EI402" i="1"/>
  <c r="EM402" i="1" s="1"/>
  <c r="EI403" i="1"/>
  <c r="EM403" i="1" s="1"/>
  <c r="EI404" i="1"/>
  <c r="EM404" i="1" s="1"/>
  <c r="EI405" i="1"/>
  <c r="EM405" i="1" s="1"/>
  <c r="EI406" i="1"/>
  <c r="EM406" i="1" s="1"/>
  <c r="EI407" i="1"/>
  <c r="EM407" i="1" s="1"/>
  <c r="EI408" i="1"/>
  <c r="EM408" i="1" s="1"/>
  <c r="EI409" i="1"/>
  <c r="EM409" i="1" s="1"/>
  <c r="EI410" i="1"/>
  <c r="EM410" i="1" s="1"/>
  <c r="EI411" i="1"/>
  <c r="EM411" i="1" s="1"/>
  <c r="EI412" i="1"/>
  <c r="EM412" i="1" s="1"/>
  <c r="EI413" i="1"/>
  <c r="EM413" i="1" s="1"/>
  <c r="EI414" i="1"/>
  <c r="EM414" i="1" s="1"/>
  <c r="EI415" i="1"/>
  <c r="EM415" i="1" s="1"/>
  <c r="EI416" i="1"/>
  <c r="EM416" i="1" s="1"/>
  <c r="EI417" i="1"/>
  <c r="EM417" i="1" s="1"/>
  <c r="EI418" i="1"/>
  <c r="EM418" i="1" s="1"/>
  <c r="EI419" i="1"/>
  <c r="EM419" i="1" s="1"/>
  <c r="EI420" i="1"/>
  <c r="EM420" i="1" s="1"/>
  <c r="EI421" i="1"/>
  <c r="EM421" i="1" s="1"/>
  <c r="EI422" i="1"/>
  <c r="EM422" i="1" s="1"/>
  <c r="EI423" i="1"/>
  <c r="EM423" i="1" s="1"/>
  <c r="EI424" i="1"/>
  <c r="EM424" i="1" s="1"/>
  <c r="EI425" i="1"/>
  <c r="EM425" i="1" s="1"/>
  <c r="EI426" i="1"/>
  <c r="EM426" i="1" s="1"/>
  <c r="EI427" i="1"/>
  <c r="EM427" i="1" s="1"/>
  <c r="EI428" i="1"/>
  <c r="EM428" i="1" s="1"/>
  <c r="EI429" i="1"/>
  <c r="EM429" i="1" s="1"/>
  <c r="EI430" i="1"/>
  <c r="EM430" i="1" s="1"/>
  <c r="EI431" i="1"/>
  <c r="EM431" i="1" s="1"/>
  <c r="EI432" i="1"/>
  <c r="EM432" i="1" s="1"/>
  <c r="EI433" i="1"/>
  <c r="EM433" i="1" s="1"/>
  <c r="EI434" i="1"/>
  <c r="EM434" i="1" s="1"/>
  <c r="EI435" i="1"/>
  <c r="EM435" i="1" s="1"/>
  <c r="EI436" i="1"/>
  <c r="EM436" i="1" s="1"/>
  <c r="EI437" i="1"/>
  <c r="EM437" i="1" s="1"/>
  <c r="EI438" i="1"/>
  <c r="EM438" i="1" s="1"/>
  <c r="EI439" i="1"/>
  <c r="EM439" i="1" s="1"/>
  <c r="EI440" i="1"/>
  <c r="EM440" i="1" s="1"/>
  <c r="EI441" i="1"/>
  <c r="EM441" i="1" s="1"/>
  <c r="EI442" i="1"/>
  <c r="EM442" i="1" s="1"/>
  <c r="EI443" i="1"/>
  <c r="EM443" i="1" s="1"/>
  <c r="EI444" i="1"/>
  <c r="EM444" i="1" s="1"/>
  <c r="EI445" i="1"/>
  <c r="EM445" i="1" s="1"/>
  <c r="EI446" i="1"/>
  <c r="EM446" i="1" s="1"/>
  <c r="EI447" i="1"/>
  <c r="EM447" i="1" s="1"/>
  <c r="EI448" i="1"/>
  <c r="EM448" i="1" s="1"/>
  <c r="EI449" i="1"/>
  <c r="EM449" i="1" s="1"/>
  <c r="EI450" i="1"/>
  <c r="EM450" i="1" s="1"/>
  <c r="EI451" i="1"/>
  <c r="EM451" i="1" s="1"/>
  <c r="EI452" i="1"/>
  <c r="EM452" i="1" s="1"/>
  <c r="EI453" i="1"/>
  <c r="EM453" i="1" s="1"/>
  <c r="EI454" i="1"/>
  <c r="EM454" i="1" s="1"/>
  <c r="EI455" i="1"/>
  <c r="EM455" i="1" s="1"/>
  <c r="EI456" i="1"/>
  <c r="EM456" i="1" s="1"/>
  <c r="EI457" i="1"/>
  <c r="EM457" i="1" s="1"/>
  <c r="EI458" i="1"/>
  <c r="EM458" i="1" s="1"/>
  <c r="EI459" i="1"/>
  <c r="EM459" i="1" s="1"/>
  <c r="EI460" i="1"/>
  <c r="EM460" i="1" s="1"/>
  <c r="EI461" i="1"/>
  <c r="EM461" i="1" s="1"/>
  <c r="EI462" i="1"/>
  <c r="EM462" i="1" s="1"/>
  <c r="EI463" i="1"/>
  <c r="EM463" i="1" s="1"/>
  <c r="EI464" i="1"/>
  <c r="EM464" i="1" s="1"/>
  <c r="EI465" i="1"/>
  <c r="EM465" i="1" s="1"/>
  <c r="EI466" i="1"/>
  <c r="EM466" i="1" s="1"/>
  <c r="EI467" i="1"/>
  <c r="EM467" i="1" s="1"/>
  <c r="EI468" i="1"/>
  <c r="EM468" i="1" s="1"/>
  <c r="EI469" i="1"/>
  <c r="EM469" i="1" s="1"/>
  <c r="EI470" i="1"/>
  <c r="EM470" i="1" s="1"/>
  <c r="EI471" i="1"/>
  <c r="EM471" i="1" s="1"/>
  <c r="EI472" i="1"/>
  <c r="EM472" i="1" s="1"/>
  <c r="EI473" i="1"/>
  <c r="EM473" i="1" s="1"/>
  <c r="EI474" i="1"/>
  <c r="EM474" i="1" s="1"/>
  <c r="EI475" i="1"/>
  <c r="EM475" i="1" s="1"/>
  <c r="EI476" i="1"/>
  <c r="EM476" i="1" s="1"/>
  <c r="EI477" i="1"/>
  <c r="EM477" i="1" s="1"/>
  <c r="EI478" i="1"/>
  <c r="EM478" i="1" s="1"/>
  <c r="EI479" i="1"/>
  <c r="EM479" i="1" s="1"/>
  <c r="EI480" i="1"/>
  <c r="EM480" i="1" s="1"/>
  <c r="EI481" i="1"/>
  <c r="EM481" i="1" s="1"/>
  <c r="EI482" i="1"/>
  <c r="EM482" i="1" s="1"/>
  <c r="EI483" i="1"/>
  <c r="EM483" i="1" s="1"/>
  <c r="EI484" i="1"/>
  <c r="EM484" i="1" s="1"/>
  <c r="EI485" i="1"/>
  <c r="EM485" i="1" s="1"/>
  <c r="EI486" i="1"/>
  <c r="EM486" i="1" s="1"/>
  <c r="EI487" i="1"/>
  <c r="EM487" i="1" s="1"/>
  <c r="EI488" i="1"/>
  <c r="EM488" i="1" s="1"/>
  <c r="EI489" i="1"/>
  <c r="EM489" i="1" s="1"/>
  <c r="EI490" i="1"/>
  <c r="EM490" i="1" s="1"/>
  <c r="EI491" i="1"/>
  <c r="EM491" i="1" s="1"/>
  <c r="EI492" i="1"/>
  <c r="EM492" i="1" s="1"/>
  <c r="EI493" i="1"/>
  <c r="EM493" i="1" s="1"/>
  <c r="EI494" i="1"/>
  <c r="EM494" i="1" s="1"/>
  <c r="EI495" i="1"/>
  <c r="EM495" i="1" s="1"/>
  <c r="EI496" i="1"/>
  <c r="EM496" i="1" s="1"/>
  <c r="EI497" i="1"/>
  <c r="EM497" i="1" s="1"/>
  <c r="EI498" i="1"/>
  <c r="EM498" i="1" s="1"/>
  <c r="EI499" i="1"/>
  <c r="EM499" i="1" s="1"/>
  <c r="EI500" i="1"/>
  <c r="EM500" i="1" s="1"/>
  <c r="EI501" i="1"/>
  <c r="EM501" i="1" s="1"/>
  <c r="EI502" i="1"/>
  <c r="EM502" i="1" s="1"/>
  <c r="EI503" i="1"/>
  <c r="EM503" i="1" s="1"/>
  <c r="EI504" i="1"/>
  <c r="EM504" i="1" s="1"/>
  <c r="EI505" i="1"/>
  <c r="EM505" i="1" s="1"/>
  <c r="EI506" i="1"/>
  <c r="EM506" i="1" s="1"/>
  <c r="EI507" i="1"/>
  <c r="EM507" i="1" s="1"/>
  <c r="EI508" i="1"/>
  <c r="EM508" i="1" s="1"/>
  <c r="EI509" i="1"/>
  <c r="EM509" i="1" s="1"/>
  <c r="EI510" i="1"/>
  <c r="EM510" i="1" s="1"/>
  <c r="EI511" i="1"/>
  <c r="EM511" i="1" s="1"/>
  <c r="EI512" i="1"/>
  <c r="EM512" i="1" s="1"/>
  <c r="EI513" i="1"/>
  <c r="EM513" i="1" s="1"/>
  <c r="EI514" i="1"/>
  <c r="EM514" i="1" s="1"/>
  <c r="EI515" i="1"/>
  <c r="EM515" i="1" s="1"/>
  <c r="EI516" i="1"/>
  <c r="EM516" i="1" s="1"/>
  <c r="EI517" i="1"/>
  <c r="EM517" i="1" s="1"/>
  <c r="EI518" i="1"/>
  <c r="EM518" i="1" s="1"/>
  <c r="EI519" i="1"/>
  <c r="EM519" i="1" s="1"/>
  <c r="EI520" i="1"/>
  <c r="EM520" i="1" s="1"/>
  <c r="EI521" i="1"/>
  <c r="EM521" i="1" s="1"/>
  <c r="EI522" i="1"/>
  <c r="EM522" i="1" s="1"/>
  <c r="EI523" i="1"/>
  <c r="EM523" i="1" s="1"/>
  <c r="EI524" i="1"/>
  <c r="EM524" i="1" s="1"/>
  <c r="EI525" i="1"/>
  <c r="EM525" i="1" s="1"/>
  <c r="EI526" i="1"/>
  <c r="EM526" i="1" s="1"/>
  <c r="EI527" i="1"/>
  <c r="EM527" i="1" s="1"/>
  <c r="EI528" i="1"/>
  <c r="EM528" i="1" s="1"/>
  <c r="EI529" i="1"/>
  <c r="EM529" i="1" s="1"/>
  <c r="EI530" i="1"/>
  <c r="EM530" i="1" s="1"/>
  <c r="EI531" i="1"/>
  <c r="EM531" i="1" s="1"/>
  <c r="EI532" i="1"/>
  <c r="EM532" i="1" s="1"/>
  <c r="EI533" i="1"/>
  <c r="EM533" i="1" s="1"/>
  <c r="EI534" i="1"/>
  <c r="EM534" i="1" s="1"/>
  <c r="EI535" i="1"/>
  <c r="EM535" i="1" s="1"/>
  <c r="EI536" i="1"/>
  <c r="EM536" i="1" s="1"/>
  <c r="EI537" i="1"/>
  <c r="EM537" i="1" s="1"/>
  <c r="EI538" i="1"/>
  <c r="EM538" i="1" s="1"/>
  <c r="EI539" i="1"/>
  <c r="EM539" i="1" s="1"/>
  <c r="EI540" i="1"/>
  <c r="EM540" i="1" s="1"/>
  <c r="EI541" i="1"/>
  <c r="EM541" i="1" s="1"/>
  <c r="EI542" i="1"/>
  <c r="EM542" i="1" s="1"/>
  <c r="EI543" i="1"/>
  <c r="EM543" i="1" s="1"/>
  <c r="EI544" i="1"/>
  <c r="EM544" i="1" s="1"/>
  <c r="EI545" i="1"/>
  <c r="EM545" i="1" s="1"/>
  <c r="EI546" i="1"/>
  <c r="EM546" i="1" s="1"/>
  <c r="EI547" i="1"/>
  <c r="EM547" i="1" s="1"/>
  <c r="EI548" i="1"/>
  <c r="EM548" i="1" s="1"/>
  <c r="EI549" i="1"/>
  <c r="EM549" i="1" s="1"/>
  <c r="EI550" i="1"/>
  <c r="EM550" i="1" s="1"/>
  <c r="EI551" i="1"/>
  <c r="EM551" i="1" s="1"/>
  <c r="EI552" i="1"/>
  <c r="EM552" i="1" s="1"/>
  <c r="EI553" i="1"/>
  <c r="EM553" i="1" s="1"/>
  <c r="EI554" i="1"/>
  <c r="EM554" i="1" s="1"/>
  <c r="EI555" i="1"/>
  <c r="EM555" i="1" s="1"/>
  <c r="EI556" i="1"/>
  <c r="EM556" i="1" s="1"/>
  <c r="EI557" i="1"/>
  <c r="EM557" i="1" s="1"/>
  <c r="EI558" i="1"/>
  <c r="EM558" i="1" s="1"/>
  <c r="EI559" i="1"/>
  <c r="EM559" i="1" s="1"/>
  <c r="EI560" i="1"/>
  <c r="EM560" i="1" s="1"/>
  <c r="EI561" i="1"/>
  <c r="EM561" i="1" s="1"/>
  <c r="EI562" i="1"/>
  <c r="EM562" i="1" s="1"/>
  <c r="EI563" i="1"/>
  <c r="EM563" i="1" s="1"/>
  <c r="EI564" i="1"/>
  <c r="EM564" i="1" s="1"/>
  <c r="EI565" i="1"/>
  <c r="EM565" i="1" s="1"/>
  <c r="EI566" i="1"/>
  <c r="EM566" i="1" s="1"/>
  <c r="EI567" i="1"/>
  <c r="EM567" i="1" s="1"/>
  <c r="DZ3" i="1"/>
  <c r="EE3" i="1" s="1"/>
  <c r="DZ4" i="1"/>
  <c r="EE4" i="1" s="1"/>
  <c r="DZ5" i="1"/>
  <c r="EE5" i="1" s="1"/>
  <c r="DZ6" i="1"/>
  <c r="EE6" i="1" s="1"/>
  <c r="DZ7" i="1"/>
  <c r="EE7" i="1" s="1"/>
  <c r="DZ8" i="1"/>
  <c r="EE8" i="1" s="1"/>
  <c r="DZ9" i="1"/>
  <c r="EE9" i="1" s="1"/>
  <c r="DZ10" i="1"/>
  <c r="EE10" i="1" s="1"/>
  <c r="DZ11" i="1"/>
  <c r="EE11" i="1" s="1"/>
  <c r="DZ12" i="1"/>
  <c r="EE12" i="1" s="1"/>
  <c r="DZ13" i="1"/>
  <c r="EE13" i="1" s="1"/>
  <c r="DZ14" i="1"/>
  <c r="EE14" i="1" s="1"/>
  <c r="DZ15" i="1"/>
  <c r="EE15" i="1" s="1"/>
  <c r="DZ16" i="1"/>
  <c r="EE16" i="1" s="1"/>
  <c r="DZ17" i="1"/>
  <c r="EE17" i="1" s="1"/>
  <c r="DZ18" i="1"/>
  <c r="EE18" i="1" s="1"/>
  <c r="DZ19" i="1"/>
  <c r="EE19" i="1" s="1"/>
  <c r="DZ20" i="1"/>
  <c r="EE20" i="1" s="1"/>
  <c r="DZ21" i="1"/>
  <c r="EE21" i="1" s="1"/>
  <c r="DZ22" i="1"/>
  <c r="EE22" i="1" s="1"/>
  <c r="DZ23" i="1"/>
  <c r="EE23" i="1" s="1"/>
  <c r="DZ24" i="1"/>
  <c r="EE24" i="1" s="1"/>
  <c r="DZ25" i="1"/>
  <c r="EE25" i="1" s="1"/>
  <c r="DZ26" i="1"/>
  <c r="EE26" i="1" s="1"/>
  <c r="DZ27" i="1"/>
  <c r="EE27" i="1" s="1"/>
  <c r="DZ28" i="1"/>
  <c r="EE28" i="1" s="1"/>
  <c r="DZ29" i="1"/>
  <c r="EE29" i="1" s="1"/>
  <c r="DZ30" i="1"/>
  <c r="EE30" i="1" s="1"/>
  <c r="DZ31" i="1"/>
  <c r="EE31" i="1" s="1"/>
  <c r="DZ32" i="1"/>
  <c r="EE32" i="1" s="1"/>
  <c r="DZ33" i="1"/>
  <c r="EE33" i="1" s="1"/>
  <c r="DZ34" i="1"/>
  <c r="EE34" i="1" s="1"/>
  <c r="DZ35" i="1"/>
  <c r="EE35" i="1" s="1"/>
  <c r="DZ36" i="1"/>
  <c r="EE36" i="1" s="1"/>
  <c r="DZ37" i="1"/>
  <c r="EE37" i="1" s="1"/>
  <c r="DZ38" i="1"/>
  <c r="EE38" i="1" s="1"/>
  <c r="DZ39" i="1"/>
  <c r="EE39" i="1" s="1"/>
  <c r="DZ40" i="1"/>
  <c r="EE40" i="1" s="1"/>
  <c r="DZ41" i="1"/>
  <c r="EE41" i="1" s="1"/>
  <c r="DZ42" i="1"/>
  <c r="EE42" i="1" s="1"/>
  <c r="DZ43" i="1"/>
  <c r="EE43" i="1" s="1"/>
  <c r="DZ44" i="1"/>
  <c r="EE44" i="1" s="1"/>
  <c r="DZ45" i="1"/>
  <c r="EE45" i="1" s="1"/>
  <c r="DZ46" i="1"/>
  <c r="EE46" i="1" s="1"/>
  <c r="DZ47" i="1"/>
  <c r="EE47" i="1" s="1"/>
  <c r="DZ48" i="1"/>
  <c r="EE48" i="1" s="1"/>
  <c r="DZ49" i="1"/>
  <c r="EE49" i="1" s="1"/>
  <c r="DZ50" i="1"/>
  <c r="EE50" i="1" s="1"/>
  <c r="DZ51" i="1"/>
  <c r="EE51" i="1" s="1"/>
  <c r="DZ52" i="1"/>
  <c r="EE52" i="1" s="1"/>
  <c r="DZ53" i="1"/>
  <c r="EE53" i="1" s="1"/>
  <c r="DZ54" i="1"/>
  <c r="EE54" i="1" s="1"/>
  <c r="DZ55" i="1"/>
  <c r="EE55" i="1" s="1"/>
  <c r="DZ56" i="1"/>
  <c r="EE56" i="1" s="1"/>
  <c r="DZ57" i="1"/>
  <c r="EE57" i="1" s="1"/>
  <c r="DZ58" i="1"/>
  <c r="EE58" i="1" s="1"/>
  <c r="DZ59" i="1"/>
  <c r="EE59" i="1" s="1"/>
  <c r="DZ60" i="1"/>
  <c r="EE60" i="1" s="1"/>
  <c r="DZ61" i="1"/>
  <c r="EE61" i="1" s="1"/>
  <c r="DZ62" i="1"/>
  <c r="EE62" i="1" s="1"/>
  <c r="DZ63" i="1"/>
  <c r="EE63" i="1" s="1"/>
  <c r="DZ64" i="1"/>
  <c r="EE64" i="1" s="1"/>
  <c r="DZ65" i="1"/>
  <c r="EE65" i="1" s="1"/>
  <c r="DZ66" i="1"/>
  <c r="EE66" i="1" s="1"/>
  <c r="DZ67" i="1"/>
  <c r="EE67" i="1" s="1"/>
  <c r="DZ68" i="1"/>
  <c r="EE68" i="1" s="1"/>
  <c r="DZ69" i="1"/>
  <c r="EE69" i="1" s="1"/>
  <c r="DZ70" i="1"/>
  <c r="EE70" i="1" s="1"/>
  <c r="DZ71" i="1"/>
  <c r="EE71" i="1" s="1"/>
  <c r="DZ72" i="1"/>
  <c r="EE72" i="1" s="1"/>
  <c r="DZ73" i="1"/>
  <c r="EE73" i="1" s="1"/>
  <c r="DZ74" i="1"/>
  <c r="EE74" i="1" s="1"/>
  <c r="DZ75" i="1"/>
  <c r="EE75" i="1" s="1"/>
  <c r="DZ76" i="1"/>
  <c r="EE76" i="1" s="1"/>
  <c r="DZ77" i="1"/>
  <c r="EE77" i="1" s="1"/>
  <c r="DZ78" i="1"/>
  <c r="EE78" i="1" s="1"/>
  <c r="DZ79" i="1"/>
  <c r="EE79" i="1" s="1"/>
  <c r="DZ80" i="1"/>
  <c r="EE80" i="1" s="1"/>
  <c r="DZ81" i="1"/>
  <c r="EE81" i="1" s="1"/>
  <c r="DZ82" i="1"/>
  <c r="EE82" i="1" s="1"/>
  <c r="DZ83" i="1"/>
  <c r="EE83" i="1" s="1"/>
  <c r="DZ84" i="1"/>
  <c r="EE84" i="1" s="1"/>
  <c r="DZ85" i="1"/>
  <c r="EE85" i="1" s="1"/>
  <c r="DZ86" i="1"/>
  <c r="EE86" i="1" s="1"/>
  <c r="DZ87" i="1"/>
  <c r="EE87" i="1" s="1"/>
  <c r="DZ88" i="1"/>
  <c r="EE88" i="1" s="1"/>
  <c r="DZ89" i="1"/>
  <c r="EE89" i="1" s="1"/>
  <c r="DZ90" i="1"/>
  <c r="EE90" i="1" s="1"/>
  <c r="DZ91" i="1"/>
  <c r="EE91" i="1" s="1"/>
  <c r="DZ92" i="1"/>
  <c r="EE92" i="1" s="1"/>
  <c r="DZ93" i="1"/>
  <c r="EE93" i="1" s="1"/>
  <c r="DZ94" i="1"/>
  <c r="EE94" i="1" s="1"/>
  <c r="DZ95" i="1"/>
  <c r="EE95" i="1" s="1"/>
  <c r="DZ96" i="1"/>
  <c r="EE96" i="1" s="1"/>
  <c r="DZ97" i="1"/>
  <c r="EE97" i="1" s="1"/>
  <c r="DZ98" i="1"/>
  <c r="EE98" i="1" s="1"/>
  <c r="DZ99" i="1"/>
  <c r="EE99" i="1" s="1"/>
  <c r="DZ100" i="1"/>
  <c r="EE100" i="1" s="1"/>
  <c r="DZ101" i="1"/>
  <c r="EE101" i="1" s="1"/>
  <c r="DZ102" i="1"/>
  <c r="EE102" i="1" s="1"/>
  <c r="DZ103" i="1"/>
  <c r="EE103" i="1" s="1"/>
  <c r="DZ104" i="1"/>
  <c r="EE104" i="1" s="1"/>
  <c r="DZ105" i="1"/>
  <c r="EE105" i="1" s="1"/>
  <c r="DZ106" i="1"/>
  <c r="EE106" i="1" s="1"/>
  <c r="DZ107" i="1"/>
  <c r="EE107" i="1" s="1"/>
  <c r="DZ108" i="1"/>
  <c r="EE108" i="1" s="1"/>
  <c r="DZ109" i="1"/>
  <c r="EE109" i="1" s="1"/>
  <c r="DZ110" i="1"/>
  <c r="EE110" i="1" s="1"/>
  <c r="DZ111" i="1"/>
  <c r="EE111" i="1" s="1"/>
  <c r="DZ112" i="1"/>
  <c r="EE112" i="1" s="1"/>
  <c r="DZ113" i="1"/>
  <c r="EE113" i="1" s="1"/>
  <c r="DZ114" i="1"/>
  <c r="EE114" i="1" s="1"/>
  <c r="DZ115" i="1"/>
  <c r="EE115" i="1" s="1"/>
  <c r="DZ116" i="1"/>
  <c r="EE116" i="1" s="1"/>
  <c r="DZ117" i="1"/>
  <c r="EE117" i="1" s="1"/>
  <c r="DZ118" i="1"/>
  <c r="EE118" i="1" s="1"/>
  <c r="DZ119" i="1"/>
  <c r="EE119" i="1" s="1"/>
  <c r="DZ120" i="1"/>
  <c r="EE120" i="1" s="1"/>
  <c r="DZ121" i="1"/>
  <c r="EE121" i="1" s="1"/>
  <c r="DZ122" i="1"/>
  <c r="EE122" i="1" s="1"/>
  <c r="DZ123" i="1"/>
  <c r="EE123" i="1" s="1"/>
  <c r="DZ124" i="1"/>
  <c r="EE124" i="1" s="1"/>
  <c r="DZ125" i="1"/>
  <c r="EE125" i="1" s="1"/>
  <c r="DZ126" i="1"/>
  <c r="EE126" i="1" s="1"/>
  <c r="DZ127" i="1"/>
  <c r="EE127" i="1" s="1"/>
  <c r="DZ128" i="1"/>
  <c r="EE128" i="1" s="1"/>
  <c r="DZ129" i="1"/>
  <c r="EE129" i="1" s="1"/>
  <c r="DZ130" i="1"/>
  <c r="EE130" i="1" s="1"/>
  <c r="DZ131" i="1"/>
  <c r="EE131" i="1" s="1"/>
  <c r="DZ132" i="1"/>
  <c r="EE132" i="1" s="1"/>
  <c r="DZ133" i="1"/>
  <c r="EE133" i="1" s="1"/>
  <c r="DZ134" i="1"/>
  <c r="EE134" i="1" s="1"/>
  <c r="DZ135" i="1"/>
  <c r="EE135" i="1" s="1"/>
  <c r="DZ136" i="1"/>
  <c r="EE136" i="1" s="1"/>
  <c r="DZ137" i="1"/>
  <c r="EE137" i="1" s="1"/>
  <c r="DZ138" i="1"/>
  <c r="EE138" i="1" s="1"/>
  <c r="DZ139" i="1"/>
  <c r="EE139" i="1" s="1"/>
  <c r="DZ140" i="1"/>
  <c r="EE140" i="1" s="1"/>
  <c r="DZ141" i="1"/>
  <c r="EE141" i="1" s="1"/>
  <c r="DZ142" i="1"/>
  <c r="EE142" i="1" s="1"/>
  <c r="DZ143" i="1"/>
  <c r="EE143" i="1" s="1"/>
  <c r="DZ144" i="1"/>
  <c r="EE144" i="1" s="1"/>
  <c r="DZ145" i="1"/>
  <c r="EE145" i="1" s="1"/>
  <c r="DZ146" i="1"/>
  <c r="EE146" i="1" s="1"/>
  <c r="DZ147" i="1"/>
  <c r="EE147" i="1" s="1"/>
  <c r="DZ148" i="1"/>
  <c r="EE148" i="1" s="1"/>
  <c r="DZ149" i="1"/>
  <c r="EE149" i="1" s="1"/>
  <c r="DZ150" i="1"/>
  <c r="EE150" i="1" s="1"/>
  <c r="DZ151" i="1"/>
  <c r="EE151" i="1" s="1"/>
  <c r="DZ152" i="1"/>
  <c r="EE152" i="1" s="1"/>
  <c r="DZ153" i="1"/>
  <c r="EE153" i="1" s="1"/>
  <c r="DZ154" i="1"/>
  <c r="EE154" i="1" s="1"/>
  <c r="DZ155" i="1"/>
  <c r="EE155" i="1" s="1"/>
  <c r="DZ156" i="1"/>
  <c r="EE156" i="1" s="1"/>
  <c r="DZ157" i="1"/>
  <c r="EE157" i="1" s="1"/>
  <c r="DZ158" i="1"/>
  <c r="EE158" i="1" s="1"/>
  <c r="DZ159" i="1"/>
  <c r="EE159" i="1" s="1"/>
  <c r="DZ160" i="1"/>
  <c r="EE160" i="1" s="1"/>
  <c r="DZ161" i="1"/>
  <c r="EE161" i="1" s="1"/>
  <c r="DZ162" i="1"/>
  <c r="EE162" i="1" s="1"/>
  <c r="DZ163" i="1"/>
  <c r="EE163" i="1" s="1"/>
  <c r="DZ164" i="1"/>
  <c r="EE164" i="1" s="1"/>
  <c r="DZ165" i="1"/>
  <c r="EE165" i="1" s="1"/>
  <c r="DZ166" i="1"/>
  <c r="EE166" i="1" s="1"/>
  <c r="DZ167" i="1"/>
  <c r="EE167" i="1" s="1"/>
  <c r="DZ168" i="1"/>
  <c r="EE168" i="1" s="1"/>
  <c r="DZ169" i="1"/>
  <c r="EE169" i="1" s="1"/>
  <c r="DZ170" i="1"/>
  <c r="EE170" i="1" s="1"/>
  <c r="DZ171" i="1"/>
  <c r="EE171" i="1" s="1"/>
  <c r="DZ172" i="1"/>
  <c r="EE172" i="1" s="1"/>
  <c r="DZ173" i="1"/>
  <c r="EE173" i="1" s="1"/>
  <c r="DZ174" i="1"/>
  <c r="EE174" i="1" s="1"/>
  <c r="DZ175" i="1"/>
  <c r="EE175" i="1" s="1"/>
  <c r="DZ176" i="1"/>
  <c r="EE176" i="1" s="1"/>
  <c r="DZ177" i="1"/>
  <c r="EE177" i="1" s="1"/>
  <c r="DZ178" i="1"/>
  <c r="EE178" i="1" s="1"/>
  <c r="DZ179" i="1"/>
  <c r="EE179" i="1" s="1"/>
  <c r="DZ180" i="1"/>
  <c r="EE180" i="1" s="1"/>
  <c r="DZ181" i="1"/>
  <c r="EE181" i="1" s="1"/>
  <c r="DZ182" i="1"/>
  <c r="EE182" i="1" s="1"/>
  <c r="DZ183" i="1"/>
  <c r="EE183" i="1" s="1"/>
  <c r="DZ184" i="1"/>
  <c r="EE184" i="1" s="1"/>
  <c r="DZ185" i="1"/>
  <c r="EE185" i="1" s="1"/>
  <c r="DZ186" i="1"/>
  <c r="EE186" i="1" s="1"/>
  <c r="DZ187" i="1"/>
  <c r="EE187" i="1" s="1"/>
  <c r="DZ188" i="1"/>
  <c r="EE188" i="1" s="1"/>
  <c r="DZ189" i="1"/>
  <c r="EE189" i="1" s="1"/>
  <c r="DZ190" i="1"/>
  <c r="EE190" i="1" s="1"/>
  <c r="DZ191" i="1"/>
  <c r="EE191" i="1" s="1"/>
  <c r="DZ192" i="1"/>
  <c r="EE192" i="1" s="1"/>
  <c r="DZ193" i="1"/>
  <c r="EE193" i="1" s="1"/>
  <c r="DZ194" i="1"/>
  <c r="EE194" i="1" s="1"/>
  <c r="DZ195" i="1"/>
  <c r="EE195" i="1" s="1"/>
  <c r="DZ196" i="1"/>
  <c r="EE196" i="1" s="1"/>
  <c r="DZ197" i="1"/>
  <c r="EE197" i="1" s="1"/>
  <c r="DZ198" i="1"/>
  <c r="EE198" i="1" s="1"/>
  <c r="DZ199" i="1"/>
  <c r="EE199" i="1" s="1"/>
  <c r="DZ200" i="1"/>
  <c r="EE200" i="1" s="1"/>
  <c r="DZ201" i="1"/>
  <c r="EE201" i="1" s="1"/>
  <c r="DZ202" i="1"/>
  <c r="EE202" i="1" s="1"/>
  <c r="DZ203" i="1"/>
  <c r="EE203" i="1" s="1"/>
  <c r="DZ204" i="1"/>
  <c r="EE204" i="1" s="1"/>
  <c r="DZ205" i="1"/>
  <c r="EE205" i="1" s="1"/>
  <c r="DZ206" i="1"/>
  <c r="EE206" i="1" s="1"/>
  <c r="DZ207" i="1"/>
  <c r="EE207" i="1" s="1"/>
  <c r="DZ208" i="1"/>
  <c r="EE208" i="1" s="1"/>
  <c r="DZ209" i="1"/>
  <c r="EE209" i="1" s="1"/>
  <c r="DZ210" i="1"/>
  <c r="EE210" i="1" s="1"/>
  <c r="DZ211" i="1"/>
  <c r="EE211" i="1" s="1"/>
  <c r="DZ212" i="1"/>
  <c r="EE212" i="1" s="1"/>
  <c r="DZ213" i="1"/>
  <c r="EE213" i="1" s="1"/>
  <c r="DZ214" i="1"/>
  <c r="EE214" i="1" s="1"/>
  <c r="DZ215" i="1"/>
  <c r="EE215" i="1" s="1"/>
  <c r="DZ216" i="1"/>
  <c r="EE216" i="1" s="1"/>
  <c r="DZ217" i="1"/>
  <c r="EE217" i="1" s="1"/>
  <c r="DZ218" i="1"/>
  <c r="EE218" i="1" s="1"/>
  <c r="DZ219" i="1"/>
  <c r="EE219" i="1" s="1"/>
  <c r="DZ220" i="1"/>
  <c r="EE220" i="1" s="1"/>
  <c r="DZ221" i="1"/>
  <c r="EE221" i="1" s="1"/>
  <c r="DZ222" i="1"/>
  <c r="EE222" i="1" s="1"/>
  <c r="DZ223" i="1"/>
  <c r="EE223" i="1" s="1"/>
  <c r="DZ224" i="1"/>
  <c r="EE224" i="1" s="1"/>
  <c r="DZ225" i="1"/>
  <c r="EE225" i="1" s="1"/>
  <c r="DZ226" i="1"/>
  <c r="EE226" i="1" s="1"/>
  <c r="DZ227" i="1"/>
  <c r="EE227" i="1" s="1"/>
  <c r="DZ228" i="1"/>
  <c r="EE228" i="1" s="1"/>
  <c r="DZ229" i="1"/>
  <c r="EE229" i="1" s="1"/>
  <c r="DZ230" i="1"/>
  <c r="EE230" i="1" s="1"/>
  <c r="DZ231" i="1"/>
  <c r="EE231" i="1" s="1"/>
  <c r="DZ232" i="1"/>
  <c r="EE232" i="1" s="1"/>
  <c r="DZ233" i="1"/>
  <c r="EE233" i="1" s="1"/>
  <c r="DZ234" i="1"/>
  <c r="EE234" i="1" s="1"/>
  <c r="DZ235" i="1"/>
  <c r="EE235" i="1" s="1"/>
  <c r="DZ236" i="1"/>
  <c r="EE236" i="1" s="1"/>
  <c r="DZ237" i="1"/>
  <c r="EE237" i="1" s="1"/>
  <c r="DZ238" i="1"/>
  <c r="EE238" i="1" s="1"/>
  <c r="DZ239" i="1"/>
  <c r="EE239" i="1" s="1"/>
  <c r="DZ240" i="1"/>
  <c r="EE240" i="1" s="1"/>
  <c r="DZ241" i="1"/>
  <c r="EE241" i="1" s="1"/>
  <c r="DZ242" i="1"/>
  <c r="EE242" i="1" s="1"/>
  <c r="DZ243" i="1"/>
  <c r="EE243" i="1" s="1"/>
  <c r="DZ244" i="1"/>
  <c r="EE244" i="1" s="1"/>
  <c r="DZ245" i="1"/>
  <c r="EE245" i="1" s="1"/>
  <c r="DZ246" i="1"/>
  <c r="EE246" i="1" s="1"/>
  <c r="DZ247" i="1"/>
  <c r="EE247" i="1" s="1"/>
  <c r="DZ248" i="1"/>
  <c r="EE248" i="1" s="1"/>
  <c r="DZ249" i="1"/>
  <c r="EE249" i="1" s="1"/>
  <c r="DZ250" i="1"/>
  <c r="EE250" i="1" s="1"/>
  <c r="DZ251" i="1"/>
  <c r="EE251" i="1" s="1"/>
  <c r="DZ252" i="1"/>
  <c r="EE252" i="1" s="1"/>
  <c r="DZ253" i="1"/>
  <c r="EE253" i="1" s="1"/>
  <c r="DZ254" i="1"/>
  <c r="EE254" i="1" s="1"/>
  <c r="DZ255" i="1"/>
  <c r="EE255" i="1" s="1"/>
  <c r="DZ256" i="1"/>
  <c r="EE256" i="1" s="1"/>
  <c r="DZ257" i="1"/>
  <c r="EE257" i="1" s="1"/>
  <c r="DZ258" i="1"/>
  <c r="EE258" i="1" s="1"/>
  <c r="DZ259" i="1"/>
  <c r="EE259" i="1" s="1"/>
  <c r="DZ260" i="1"/>
  <c r="EE260" i="1" s="1"/>
  <c r="DZ261" i="1"/>
  <c r="EE261" i="1" s="1"/>
  <c r="DZ262" i="1"/>
  <c r="EE262" i="1" s="1"/>
  <c r="DZ263" i="1"/>
  <c r="EE263" i="1" s="1"/>
  <c r="DZ264" i="1"/>
  <c r="EE264" i="1" s="1"/>
  <c r="DZ265" i="1"/>
  <c r="EE265" i="1" s="1"/>
  <c r="DZ266" i="1"/>
  <c r="EE266" i="1" s="1"/>
  <c r="DZ267" i="1"/>
  <c r="EE267" i="1" s="1"/>
  <c r="DZ268" i="1"/>
  <c r="EE268" i="1" s="1"/>
  <c r="DZ269" i="1"/>
  <c r="EE269" i="1" s="1"/>
  <c r="DZ270" i="1"/>
  <c r="EE270" i="1" s="1"/>
  <c r="DZ271" i="1"/>
  <c r="EE271" i="1" s="1"/>
  <c r="DZ272" i="1"/>
  <c r="EE272" i="1" s="1"/>
  <c r="DZ273" i="1"/>
  <c r="EE273" i="1" s="1"/>
  <c r="DZ274" i="1"/>
  <c r="EE274" i="1" s="1"/>
  <c r="DZ275" i="1"/>
  <c r="EE275" i="1" s="1"/>
  <c r="DZ276" i="1"/>
  <c r="EE276" i="1" s="1"/>
  <c r="DZ277" i="1"/>
  <c r="EE277" i="1" s="1"/>
  <c r="DZ278" i="1"/>
  <c r="EE278" i="1" s="1"/>
  <c r="DZ279" i="1"/>
  <c r="EE279" i="1" s="1"/>
  <c r="DZ280" i="1"/>
  <c r="EE280" i="1" s="1"/>
  <c r="DZ281" i="1"/>
  <c r="EE281" i="1" s="1"/>
  <c r="DZ282" i="1"/>
  <c r="EE282" i="1" s="1"/>
  <c r="DZ283" i="1"/>
  <c r="EE283" i="1" s="1"/>
  <c r="DZ284" i="1"/>
  <c r="EE284" i="1" s="1"/>
  <c r="DZ285" i="1"/>
  <c r="EE285" i="1" s="1"/>
  <c r="DZ286" i="1"/>
  <c r="EE286" i="1" s="1"/>
  <c r="DZ287" i="1"/>
  <c r="EE287" i="1" s="1"/>
  <c r="DZ288" i="1"/>
  <c r="EE288" i="1" s="1"/>
  <c r="DZ289" i="1"/>
  <c r="EE289" i="1" s="1"/>
  <c r="DZ290" i="1"/>
  <c r="EE290" i="1" s="1"/>
  <c r="DZ291" i="1"/>
  <c r="EE291" i="1" s="1"/>
  <c r="DZ292" i="1"/>
  <c r="EE292" i="1" s="1"/>
  <c r="DZ293" i="1"/>
  <c r="EE293" i="1" s="1"/>
  <c r="DZ294" i="1"/>
  <c r="EE294" i="1" s="1"/>
  <c r="DZ295" i="1"/>
  <c r="EE295" i="1" s="1"/>
  <c r="DZ296" i="1"/>
  <c r="EE296" i="1" s="1"/>
  <c r="DZ297" i="1"/>
  <c r="EE297" i="1" s="1"/>
  <c r="DZ298" i="1"/>
  <c r="EE298" i="1" s="1"/>
  <c r="DZ299" i="1"/>
  <c r="EE299" i="1" s="1"/>
  <c r="DZ300" i="1"/>
  <c r="EE300" i="1" s="1"/>
  <c r="DZ301" i="1"/>
  <c r="EE301" i="1" s="1"/>
  <c r="DZ302" i="1"/>
  <c r="EE302" i="1" s="1"/>
  <c r="DZ303" i="1"/>
  <c r="EE303" i="1" s="1"/>
  <c r="DZ304" i="1"/>
  <c r="EE304" i="1" s="1"/>
  <c r="DZ305" i="1"/>
  <c r="EE305" i="1" s="1"/>
  <c r="DZ306" i="1"/>
  <c r="EE306" i="1" s="1"/>
  <c r="DZ307" i="1"/>
  <c r="EE307" i="1" s="1"/>
  <c r="DZ308" i="1"/>
  <c r="EE308" i="1" s="1"/>
  <c r="DZ309" i="1"/>
  <c r="EE309" i="1" s="1"/>
  <c r="DZ310" i="1"/>
  <c r="EE310" i="1" s="1"/>
  <c r="DZ311" i="1"/>
  <c r="EE311" i="1" s="1"/>
  <c r="DZ312" i="1"/>
  <c r="EE312" i="1" s="1"/>
  <c r="DZ313" i="1"/>
  <c r="EE313" i="1" s="1"/>
  <c r="DZ314" i="1"/>
  <c r="EE314" i="1" s="1"/>
  <c r="DZ315" i="1"/>
  <c r="EE315" i="1" s="1"/>
  <c r="DZ316" i="1"/>
  <c r="EE316" i="1" s="1"/>
  <c r="DZ317" i="1"/>
  <c r="EE317" i="1" s="1"/>
  <c r="DZ318" i="1"/>
  <c r="EE318" i="1" s="1"/>
  <c r="DZ319" i="1"/>
  <c r="EE319" i="1" s="1"/>
  <c r="DZ320" i="1"/>
  <c r="EE320" i="1" s="1"/>
  <c r="DZ321" i="1"/>
  <c r="EE321" i="1" s="1"/>
  <c r="DZ322" i="1"/>
  <c r="EE322" i="1" s="1"/>
  <c r="DZ323" i="1"/>
  <c r="EE323" i="1" s="1"/>
  <c r="DZ324" i="1"/>
  <c r="EE324" i="1" s="1"/>
  <c r="DZ325" i="1"/>
  <c r="EE325" i="1" s="1"/>
  <c r="DZ326" i="1"/>
  <c r="EE326" i="1" s="1"/>
  <c r="DZ327" i="1"/>
  <c r="EE327" i="1" s="1"/>
  <c r="DZ328" i="1"/>
  <c r="EE328" i="1" s="1"/>
  <c r="DZ329" i="1"/>
  <c r="EE329" i="1" s="1"/>
  <c r="DZ330" i="1"/>
  <c r="EE330" i="1" s="1"/>
  <c r="DZ331" i="1"/>
  <c r="EE331" i="1" s="1"/>
  <c r="DZ332" i="1"/>
  <c r="EE332" i="1" s="1"/>
  <c r="DZ333" i="1"/>
  <c r="EE333" i="1" s="1"/>
  <c r="DZ334" i="1"/>
  <c r="EE334" i="1" s="1"/>
  <c r="DZ335" i="1"/>
  <c r="EE335" i="1" s="1"/>
  <c r="DZ336" i="1"/>
  <c r="EE336" i="1" s="1"/>
  <c r="DZ337" i="1"/>
  <c r="EE337" i="1" s="1"/>
  <c r="DZ338" i="1"/>
  <c r="EE338" i="1" s="1"/>
  <c r="DZ339" i="1"/>
  <c r="EE339" i="1" s="1"/>
  <c r="DZ340" i="1"/>
  <c r="EE340" i="1" s="1"/>
  <c r="DZ341" i="1"/>
  <c r="EE341" i="1" s="1"/>
  <c r="DZ342" i="1"/>
  <c r="EE342" i="1" s="1"/>
  <c r="DZ343" i="1"/>
  <c r="EE343" i="1" s="1"/>
  <c r="DZ344" i="1"/>
  <c r="EE344" i="1" s="1"/>
  <c r="DZ345" i="1"/>
  <c r="EE345" i="1" s="1"/>
  <c r="DZ346" i="1"/>
  <c r="EE346" i="1" s="1"/>
  <c r="DZ347" i="1"/>
  <c r="EE347" i="1" s="1"/>
  <c r="DZ348" i="1"/>
  <c r="EE348" i="1" s="1"/>
  <c r="DZ349" i="1"/>
  <c r="EE349" i="1" s="1"/>
  <c r="DZ350" i="1"/>
  <c r="EE350" i="1" s="1"/>
  <c r="DZ351" i="1"/>
  <c r="EE351" i="1" s="1"/>
  <c r="DZ352" i="1"/>
  <c r="EE352" i="1" s="1"/>
  <c r="DZ353" i="1"/>
  <c r="EE353" i="1" s="1"/>
  <c r="DZ354" i="1"/>
  <c r="EE354" i="1" s="1"/>
  <c r="DZ355" i="1"/>
  <c r="EE355" i="1" s="1"/>
  <c r="DZ356" i="1"/>
  <c r="EE356" i="1" s="1"/>
  <c r="DZ357" i="1"/>
  <c r="EE357" i="1" s="1"/>
  <c r="DZ358" i="1"/>
  <c r="EE358" i="1" s="1"/>
  <c r="DZ359" i="1"/>
  <c r="EE359" i="1" s="1"/>
  <c r="DZ360" i="1"/>
  <c r="EE360" i="1" s="1"/>
  <c r="DZ361" i="1"/>
  <c r="EE361" i="1" s="1"/>
  <c r="DZ362" i="1"/>
  <c r="EE362" i="1" s="1"/>
  <c r="DZ363" i="1"/>
  <c r="EE363" i="1" s="1"/>
  <c r="DZ364" i="1"/>
  <c r="EE364" i="1" s="1"/>
  <c r="DZ365" i="1"/>
  <c r="EE365" i="1" s="1"/>
  <c r="DZ366" i="1"/>
  <c r="EE366" i="1" s="1"/>
  <c r="DZ367" i="1"/>
  <c r="EE367" i="1" s="1"/>
  <c r="DZ368" i="1"/>
  <c r="EE368" i="1" s="1"/>
  <c r="DZ369" i="1"/>
  <c r="EE369" i="1" s="1"/>
  <c r="DZ370" i="1"/>
  <c r="EE370" i="1" s="1"/>
  <c r="DZ371" i="1"/>
  <c r="EE371" i="1" s="1"/>
  <c r="DZ372" i="1"/>
  <c r="EE372" i="1" s="1"/>
  <c r="DZ373" i="1"/>
  <c r="EE373" i="1" s="1"/>
  <c r="DZ374" i="1"/>
  <c r="EE374" i="1" s="1"/>
  <c r="DZ375" i="1"/>
  <c r="EE375" i="1" s="1"/>
  <c r="DZ376" i="1"/>
  <c r="EE376" i="1" s="1"/>
  <c r="DZ377" i="1"/>
  <c r="EE377" i="1" s="1"/>
  <c r="DZ378" i="1"/>
  <c r="EE378" i="1" s="1"/>
  <c r="DZ379" i="1"/>
  <c r="EE379" i="1" s="1"/>
  <c r="DZ380" i="1"/>
  <c r="EE380" i="1" s="1"/>
  <c r="DZ381" i="1"/>
  <c r="EE381" i="1" s="1"/>
  <c r="DZ382" i="1"/>
  <c r="EE382" i="1" s="1"/>
  <c r="DZ383" i="1"/>
  <c r="EE383" i="1" s="1"/>
  <c r="DZ384" i="1"/>
  <c r="EE384" i="1" s="1"/>
  <c r="DZ385" i="1"/>
  <c r="EE385" i="1" s="1"/>
  <c r="DZ386" i="1"/>
  <c r="EE386" i="1" s="1"/>
  <c r="DZ387" i="1"/>
  <c r="EE387" i="1" s="1"/>
  <c r="DZ388" i="1"/>
  <c r="EE388" i="1" s="1"/>
  <c r="DZ389" i="1"/>
  <c r="EE389" i="1" s="1"/>
  <c r="DZ390" i="1"/>
  <c r="EE390" i="1" s="1"/>
  <c r="DZ391" i="1"/>
  <c r="EE391" i="1" s="1"/>
  <c r="DZ392" i="1"/>
  <c r="EE392" i="1" s="1"/>
  <c r="DZ393" i="1"/>
  <c r="EE393" i="1" s="1"/>
  <c r="DZ394" i="1"/>
  <c r="EE394" i="1" s="1"/>
  <c r="DZ395" i="1"/>
  <c r="EE395" i="1" s="1"/>
  <c r="DZ396" i="1"/>
  <c r="EE396" i="1" s="1"/>
  <c r="DZ397" i="1"/>
  <c r="EE397" i="1" s="1"/>
  <c r="DZ398" i="1"/>
  <c r="EE398" i="1" s="1"/>
  <c r="DZ399" i="1"/>
  <c r="EE399" i="1" s="1"/>
  <c r="DZ400" i="1"/>
  <c r="EE400" i="1" s="1"/>
  <c r="DZ401" i="1"/>
  <c r="EE401" i="1" s="1"/>
  <c r="DZ402" i="1"/>
  <c r="EE402" i="1" s="1"/>
  <c r="DZ403" i="1"/>
  <c r="EE403" i="1" s="1"/>
  <c r="DZ404" i="1"/>
  <c r="EE404" i="1" s="1"/>
  <c r="DZ405" i="1"/>
  <c r="EE405" i="1" s="1"/>
  <c r="DZ406" i="1"/>
  <c r="EE406" i="1" s="1"/>
  <c r="DZ407" i="1"/>
  <c r="EE407" i="1" s="1"/>
  <c r="DZ408" i="1"/>
  <c r="EE408" i="1" s="1"/>
  <c r="DZ409" i="1"/>
  <c r="EE409" i="1" s="1"/>
  <c r="DZ410" i="1"/>
  <c r="EE410" i="1" s="1"/>
  <c r="DZ411" i="1"/>
  <c r="EE411" i="1" s="1"/>
  <c r="DZ412" i="1"/>
  <c r="EE412" i="1" s="1"/>
  <c r="DZ413" i="1"/>
  <c r="EE413" i="1" s="1"/>
  <c r="DZ414" i="1"/>
  <c r="EE414" i="1" s="1"/>
  <c r="DZ415" i="1"/>
  <c r="EE415" i="1" s="1"/>
  <c r="DZ416" i="1"/>
  <c r="EE416" i="1" s="1"/>
  <c r="DZ417" i="1"/>
  <c r="EE417" i="1" s="1"/>
  <c r="DZ418" i="1"/>
  <c r="EE418" i="1" s="1"/>
  <c r="DZ419" i="1"/>
  <c r="EE419" i="1" s="1"/>
  <c r="DZ420" i="1"/>
  <c r="EE420" i="1" s="1"/>
  <c r="DZ421" i="1"/>
  <c r="EE421" i="1" s="1"/>
  <c r="DZ422" i="1"/>
  <c r="EE422" i="1" s="1"/>
  <c r="DZ423" i="1"/>
  <c r="EE423" i="1" s="1"/>
  <c r="DZ424" i="1"/>
  <c r="EE424" i="1" s="1"/>
  <c r="DZ425" i="1"/>
  <c r="EE425" i="1" s="1"/>
  <c r="DZ426" i="1"/>
  <c r="EE426" i="1" s="1"/>
  <c r="DZ427" i="1"/>
  <c r="EE427" i="1" s="1"/>
  <c r="DZ428" i="1"/>
  <c r="EE428" i="1" s="1"/>
  <c r="DZ429" i="1"/>
  <c r="EE429" i="1" s="1"/>
  <c r="DZ430" i="1"/>
  <c r="EE430" i="1" s="1"/>
  <c r="DZ431" i="1"/>
  <c r="EE431" i="1" s="1"/>
  <c r="DZ432" i="1"/>
  <c r="EE432" i="1" s="1"/>
  <c r="DZ433" i="1"/>
  <c r="EE433" i="1" s="1"/>
  <c r="DZ434" i="1"/>
  <c r="EE434" i="1" s="1"/>
  <c r="DZ435" i="1"/>
  <c r="EE435" i="1" s="1"/>
  <c r="DZ436" i="1"/>
  <c r="EE436" i="1" s="1"/>
  <c r="DZ437" i="1"/>
  <c r="EE437" i="1" s="1"/>
  <c r="DZ438" i="1"/>
  <c r="EE438" i="1" s="1"/>
  <c r="DZ439" i="1"/>
  <c r="EE439" i="1" s="1"/>
  <c r="DZ440" i="1"/>
  <c r="EE440" i="1" s="1"/>
  <c r="DZ441" i="1"/>
  <c r="EE441" i="1" s="1"/>
  <c r="DZ442" i="1"/>
  <c r="EE442" i="1" s="1"/>
  <c r="DZ443" i="1"/>
  <c r="EE443" i="1" s="1"/>
  <c r="DZ444" i="1"/>
  <c r="EE444" i="1" s="1"/>
  <c r="DZ445" i="1"/>
  <c r="EE445" i="1" s="1"/>
  <c r="DZ446" i="1"/>
  <c r="EE446" i="1" s="1"/>
  <c r="DZ447" i="1"/>
  <c r="EE447" i="1" s="1"/>
  <c r="DZ448" i="1"/>
  <c r="EE448" i="1" s="1"/>
  <c r="DZ449" i="1"/>
  <c r="EE449" i="1" s="1"/>
  <c r="DZ450" i="1"/>
  <c r="EE450" i="1" s="1"/>
  <c r="DZ451" i="1"/>
  <c r="EE451" i="1" s="1"/>
  <c r="DZ452" i="1"/>
  <c r="EE452" i="1" s="1"/>
  <c r="DZ453" i="1"/>
  <c r="EE453" i="1" s="1"/>
  <c r="DZ454" i="1"/>
  <c r="EE454" i="1" s="1"/>
  <c r="DZ455" i="1"/>
  <c r="EE455" i="1" s="1"/>
  <c r="DZ456" i="1"/>
  <c r="EE456" i="1" s="1"/>
  <c r="DZ457" i="1"/>
  <c r="EE457" i="1" s="1"/>
  <c r="DZ458" i="1"/>
  <c r="EE458" i="1" s="1"/>
  <c r="DZ459" i="1"/>
  <c r="EE459" i="1" s="1"/>
  <c r="DZ460" i="1"/>
  <c r="EE460" i="1" s="1"/>
  <c r="DZ461" i="1"/>
  <c r="EE461" i="1" s="1"/>
  <c r="DZ462" i="1"/>
  <c r="EE462" i="1" s="1"/>
  <c r="DZ463" i="1"/>
  <c r="EE463" i="1" s="1"/>
  <c r="DZ464" i="1"/>
  <c r="EE464" i="1" s="1"/>
  <c r="DZ465" i="1"/>
  <c r="EE465" i="1" s="1"/>
  <c r="DZ466" i="1"/>
  <c r="EE466" i="1" s="1"/>
  <c r="DZ467" i="1"/>
  <c r="EE467" i="1" s="1"/>
  <c r="DZ468" i="1"/>
  <c r="EE468" i="1" s="1"/>
  <c r="DZ469" i="1"/>
  <c r="EE469" i="1" s="1"/>
  <c r="DZ470" i="1"/>
  <c r="EE470" i="1" s="1"/>
  <c r="DZ471" i="1"/>
  <c r="EE471" i="1" s="1"/>
  <c r="DZ472" i="1"/>
  <c r="EE472" i="1" s="1"/>
  <c r="DZ473" i="1"/>
  <c r="EE473" i="1" s="1"/>
  <c r="DZ474" i="1"/>
  <c r="EE474" i="1" s="1"/>
  <c r="DZ475" i="1"/>
  <c r="EE475" i="1" s="1"/>
  <c r="DZ476" i="1"/>
  <c r="EE476" i="1" s="1"/>
  <c r="DZ477" i="1"/>
  <c r="EE477" i="1" s="1"/>
  <c r="DZ478" i="1"/>
  <c r="EE478" i="1" s="1"/>
  <c r="DZ479" i="1"/>
  <c r="EE479" i="1" s="1"/>
  <c r="DZ480" i="1"/>
  <c r="EE480" i="1" s="1"/>
  <c r="DZ481" i="1"/>
  <c r="EE481" i="1" s="1"/>
  <c r="DZ482" i="1"/>
  <c r="EE482" i="1" s="1"/>
  <c r="DZ483" i="1"/>
  <c r="EE483" i="1" s="1"/>
  <c r="DZ484" i="1"/>
  <c r="EE484" i="1" s="1"/>
  <c r="DZ485" i="1"/>
  <c r="EE485" i="1" s="1"/>
  <c r="DZ486" i="1"/>
  <c r="EE486" i="1" s="1"/>
  <c r="DZ487" i="1"/>
  <c r="EE487" i="1" s="1"/>
  <c r="DZ488" i="1"/>
  <c r="EE488" i="1" s="1"/>
  <c r="DZ489" i="1"/>
  <c r="EE489" i="1" s="1"/>
  <c r="DZ490" i="1"/>
  <c r="EE490" i="1" s="1"/>
  <c r="DZ491" i="1"/>
  <c r="EE491" i="1" s="1"/>
  <c r="DZ492" i="1"/>
  <c r="EE492" i="1" s="1"/>
  <c r="DZ493" i="1"/>
  <c r="EE493" i="1" s="1"/>
  <c r="DZ494" i="1"/>
  <c r="EE494" i="1" s="1"/>
  <c r="DZ495" i="1"/>
  <c r="EE495" i="1" s="1"/>
  <c r="DZ496" i="1"/>
  <c r="EE496" i="1" s="1"/>
  <c r="DZ497" i="1"/>
  <c r="EE497" i="1" s="1"/>
  <c r="DZ498" i="1"/>
  <c r="EE498" i="1" s="1"/>
  <c r="DZ499" i="1"/>
  <c r="EE499" i="1" s="1"/>
  <c r="DZ500" i="1"/>
  <c r="EE500" i="1" s="1"/>
  <c r="DZ501" i="1"/>
  <c r="EE501" i="1" s="1"/>
  <c r="DZ502" i="1"/>
  <c r="EE502" i="1" s="1"/>
  <c r="DZ503" i="1"/>
  <c r="EE503" i="1" s="1"/>
  <c r="DZ504" i="1"/>
  <c r="EE504" i="1" s="1"/>
  <c r="DZ505" i="1"/>
  <c r="EE505" i="1" s="1"/>
  <c r="DZ506" i="1"/>
  <c r="EE506" i="1" s="1"/>
  <c r="DZ507" i="1"/>
  <c r="EE507" i="1" s="1"/>
  <c r="DZ508" i="1"/>
  <c r="EE508" i="1" s="1"/>
  <c r="DZ509" i="1"/>
  <c r="EE509" i="1" s="1"/>
  <c r="DZ510" i="1"/>
  <c r="EE510" i="1" s="1"/>
  <c r="DZ511" i="1"/>
  <c r="EE511" i="1" s="1"/>
  <c r="DZ512" i="1"/>
  <c r="EE512" i="1" s="1"/>
  <c r="DZ513" i="1"/>
  <c r="EE513" i="1" s="1"/>
  <c r="DZ514" i="1"/>
  <c r="EE514" i="1" s="1"/>
  <c r="DZ515" i="1"/>
  <c r="EE515" i="1" s="1"/>
  <c r="DZ516" i="1"/>
  <c r="EE516" i="1" s="1"/>
  <c r="DZ517" i="1"/>
  <c r="EE517" i="1" s="1"/>
  <c r="DZ518" i="1"/>
  <c r="EE518" i="1" s="1"/>
  <c r="DZ519" i="1"/>
  <c r="EE519" i="1" s="1"/>
  <c r="DZ520" i="1"/>
  <c r="EE520" i="1" s="1"/>
  <c r="DZ521" i="1"/>
  <c r="EE521" i="1" s="1"/>
  <c r="DZ522" i="1"/>
  <c r="EE522" i="1" s="1"/>
  <c r="DZ523" i="1"/>
  <c r="EE523" i="1" s="1"/>
  <c r="DZ524" i="1"/>
  <c r="EE524" i="1" s="1"/>
  <c r="DZ525" i="1"/>
  <c r="EE525" i="1" s="1"/>
  <c r="DZ526" i="1"/>
  <c r="EE526" i="1" s="1"/>
  <c r="DZ527" i="1"/>
  <c r="EE527" i="1" s="1"/>
  <c r="DZ528" i="1"/>
  <c r="EE528" i="1" s="1"/>
  <c r="DZ529" i="1"/>
  <c r="EE529" i="1" s="1"/>
  <c r="DZ530" i="1"/>
  <c r="EE530" i="1" s="1"/>
  <c r="DZ531" i="1"/>
  <c r="EE531" i="1" s="1"/>
  <c r="DZ532" i="1"/>
  <c r="EE532" i="1" s="1"/>
  <c r="DZ533" i="1"/>
  <c r="EE533" i="1" s="1"/>
  <c r="DZ534" i="1"/>
  <c r="EE534" i="1" s="1"/>
  <c r="DZ535" i="1"/>
  <c r="EE535" i="1" s="1"/>
  <c r="DZ536" i="1"/>
  <c r="EE536" i="1" s="1"/>
  <c r="DZ537" i="1"/>
  <c r="EE537" i="1" s="1"/>
  <c r="DZ538" i="1"/>
  <c r="EE538" i="1" s="1"/>
  <c r="DZ539" i="1"/>
  <c r="EE539" i="1" s="1"/>
  <c r="DZ540" i="1"/>
  <c r="EE540" i="1" s="1"/>
  <c r="DZ541" i="1"/>
  <c r="EE541" i="1" s="1"/>
  <c r="DZ542" i="1"/>
  <c r="EE542" i="1" s="1"/>
  <c r="DZ543" i="1"/>
  <c r="EE543" i="1" s="1"/>
  <c r="DZ544" i="1"/>
  <c r="EE544" i="1" s="1"/>
  <c r="DZ545" i="1"/>
  <c r="EE545" i="1" s="1"/>
  <c r="DZ546" i="1"/>
  <c r="EE546" i="1" s="1"/>
  <c r="DZ547" i="1"/>
  <c r="EE547" i="1" s="1"/>
  <c r="DZ548" i="1"/>
  <c r="EE548" i="1" s="1"/>
  <c r="DZ549" i="1"/>
  <c r="EE549" i="1" s="1"/>
  <c r="DZ550" i="1"/>
  <c r="EE550" i="1" s="1"/>
  <c r="DZ551" i="1"/>
  <c r="EE551" i="1" s="1"/>
  <c r="DZ552" i="1"/>
  <c r="EE552" i="1" s="1"/>
  <c r="DZ553" i="1"/>
  <c r="EE553" i="1" s="1"/>
  <c r="DZ554" i="1"/>
  <c r="EE554" i="1" s="1"/>
  <c r="DZ555" i="1"/>
  <c r="EE555" i="1" s="1"/>
  <c r="DZ556" i="1"/>
  <c r="EE556" i="1" s="1"/>
  <c r="DZ557" i="1"/>
  <c r="EE557" i="1" s="1"/>
  <c r="DZ558" i="1"/>
  <c r="EE558" i="1" s="1"/>
  <c r="DZ559" i="1"/>
  <c r="EE559" i="1" s="1"/>
  <c r="DZ560" i="1"/>
  <c r="EE560" i="1" s="1"/>
  <c r="DZ561" i="1"/>
  <c r="EE561" i="1" s="1"/>
  <c r="DZ562" i="1"/>
  <c r="EE562" i="1" s="1"/>
  <c r="DZ563" i="1"/>
  <c r="EE563" i="1" s="1"/>
  <c r="DZ564" i="1"/>
  <c r="EE564" i="1" s="1"/>
  <c r="DZ565" i="1"/>
  <c r="EE565" i="1" s="1"/>
  <c r="DZ566" i="1"/>
  <c r="EE566" i="1" s="1"/>
  <c r="DZ567" i="1"/>
  <c r="EE567" i="1" s="1"/>
  <c r="DT3" i="1"/>
  <c r="DT4" i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DT52" i="1"/>
  <c r="DT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DT73" i="1"/>
  <c r="DT74" i="1"/>
  <c r="DT75" i="1"/>
  <c r="DT76" i="1"/>
  <c r="DT77" i="1"/>
  <c r="DT78" i="1"/>
  <c r="DT79" i="1"/>
  <c r="DT80" i="1"/>
  <c r="DT81" i="1"/>
  <c r="DT82" i="1"/>
  <c r="DT83" i="1"/>
  <c r="DT84" i="1"/>
  <c r="DT85" i="1"/>
  <c r="DT86" i="1"/>
  <c r="DT87" i="1"/>
  <c r="DT88" i="1"/>
  <c r="DT89" i="1"/>
  <c r="DT90" i="1"/>
  <c r="DT91" i="1"/>
  <c r="DT92" i="1"/>
  <c r="DT93" i="1"/>
  <c r="DT94" i="1"/>
  <c r="DT95" i="1"/>
  <c r="DT96" i="1"/>
  <c r="DT97" i="1"/>
  <c r="DT98" i="1"/>
  <c r="DT99" i="1"/>
  <c r="DT100" i="1"/>
  <c r="DT101" i="1"/>
  <c r="DT102" i="1"/>
  <c r="DT103" i="1"/>
  <c r="DT104" i="1"/>
  <c r="DT105" i="1"/>
  <c r="DT106" i="1"/>
  <c r="DT107" i="1"/>
  <c r="DT108" i="1"/>
  <c r="DT109" i="1"/>
  <c r="DT110" i="1"/>
  <c r="DT111" i="1"/>
  <c r="DT112" i="1"/>
  <c r="DT113" i="1"/>
  <c r="DT114" i="1"/>
  <c r="DT115" i="1"/>
  <c r="DT116" i="1"/>
  <c r="DT117" i="1"/>
  <c r="DT118" i="1"/>
  <c r="DT119" i="1"/>
  <c r="DT120" i="1"/>
  <c r="DT121" i="1"/>
  <c r="DT122" i="1"/>
  <c r="DT123" i="1"/>
  <c r="DT124" i="1"/>
  <c r="DT125" i="1"/>
  <c r="DT126" i="1"/>
  <c r="DT127" i="1"/>
  <c r="DT128" i="1"/>
  <c r="DT129" i="1"/>
  <c r="DT130" i="1"/>
  <c r="DT131" i="1"/>
  <c r="DT132" i="1"/>
  <c r="DT133" i="1"/>
  <c r="DT134" i="1"/>
  <c r="DT135" i="1"/>
  <c r="DT136" i="1"/>
  <c r="DT137" i="1"/>
  <c r="DT138" i="1"/>
  <c r="DT139" i="1"/>
  <c r="DT140" i="1"/>
  <c r="DT141" i="1"/>
  <c r="DT142" i="1"/>
  <c r="DT143" i="1"/>
  <c r="DT144" i="1"/>
  <c r="DT145" i="1"/>
  <c r="DT146" i="1"/>
  <c r="DT147" i="1"/>
  <c r="DT148" i="1"/>
  <c r="DT149" i="1"/>
  <c r="DT150" i="1"/>
  <c r="DT151" i="1"/>
  <c r="DT152" i="1"/>
  <c r="DT153" i="1"/>
  <c r="DT154" i="1"/>
  <c r="DT155" i="1"/>
  <c r="DT156" i="1"/>
  <c r="DT157" i="1"/>
  <c r="DT158" i="1"/>
  <c r="DT159" i="1"/>
  <c r="DT160" i="1"/>
  <c r="DT161" i="1"/>
  <c r="DT162" i="1"/>
  <c r="DT163" i="1"/>
  <c r="DT164" i="1"/>
  <c r="DT165" i="1"/>
  <c r="DT166" i="1"/>
  <c r="DT167" i="1"/>
  <c r="DT168" i="1"/>
  <c r="DT169" i="1"/>
  <c r="DT170" i="1"/>
  <c r="DT171" i="1"/>
  <c r="DT172" i="1"/>
  <c r="DT173" i="1"/>
  <c r="DT174" i="1"/>
  <c r="DT175" i="1"/>
  <c r="DT176" i="1"/>
  <c r="DT177" i="1"/>
  <c r="DT178" i="1"/>
  <c r="DT179" i="1"/>
  <c r="DT180" i="1"/>
  <c r="DT181" i="1"/>
  <c r="DT182" i="1"/>
  <c r="DT183" i="1"/>
  <c r="DT184" i="1"/>
  <c r="DT185" i="1"/>
  <c r="DT186" i="1"/>
  <c r="DT187" i="1"/>
  <c r="DT188" i="1"/>
  <c r="DT189" i="1"/>
  <c r="DT190" i="1"/>
  <c r="DT191" i="1"/>
  <c r="DT192" i="1"/>
  <c r="DT193" i="1"/>
  <c r="DT194" i="1"/>
  <c r="DT195" i="1"/>
  <c r="DT196" i="1"/>
  <c r="DT197" i="1"/>
  <c r="DT198" i="1"/>
  <c r="DT199" i="1"/>
  <c r="DT200" i="1"/>
  <c r="DT201" i="1"/>
  <c r="DT202" i="1"/>
  <c r="DT203" i="1"/>
  <c r="DT204" i="1"/>
  <c r="DT205" i="1"/>
  <c r="DT206" i="1"/>
  <c r="DT207" i="1"/>
  <c r="DT208" i="1"/>
  <c r="DT209" i="1"/>
  <c r="DT210" i="1"/>
  <c r="DT211" i="1"/>
  <c r="DT212" i="1"/>
  <c r="DT213" i="1"/>
  <c r="DT214" i="1"/>
  <c r="DT215" i="1"/>
  <c r="DT216" i="1"/>
  <c r="DT217" i="1"/>
  <c r="DT218" i="1"/>
  <c r="DT219" i="1"/>
  <c r="DT220" i="1"/>
  <c r="DT221" i="1"/>
  <c r="DT222" i="1"/>
  <c r="DT223" i="1"/>
  <c r="DT224" i="1"/>
  <c r="DT225" i="1"/>
  <c r="DT226" i="1"/>
  <c r="DT227" i="1"/>
  <c r="DT228" i="1"/>
  <c r="DT229" i="1"/>
  <c r="DT230" i="1"/>
  <c r="DT231" i="1"/>
  <c r="DT232" i="1"/>
  <c r="DT233" i="1"/>
  <c r="DT234" i="1"/>
  <c r="DT235" i="1"/>
  <c r="DT236" i="1"/>
  <c r="DT237" i="1"/>
  <c r="DT238" i="1"/>
  <c r="DT239" i="1"/>
  <c r="DT240" i="1"/>
  <c r="DT241" i="1"/>
  <c r="DT242" i="1"/>
  <c r="DT243" i="1"/>
  <c r="DT244" i="1"/>
  <c r="DT245" i="1"/>
  <c r="DT246" i="1"/>
  <c r="DT247" i="1"/>
  <c r="DT248" i="1"/>
  <c r="DT249" i="1"/>
  <c r="DT250" i="1"/>
  <c r="DT251" i="1"/>
  <c r="DT252" i="1"/>
  <c r="DT253" i="1"/>
  <c r="DT254" i="1"/>
  <c r="DT255" i="1"/>
  <c r="DT256" i="1"/>
  <c r="DT257" i="1"/>
  <c r="DT258" i="1"/>
  <c r="DT259" i="1"/>
  <c r="DT260" i="1"/>
  <c r="DT261" i="1"/>
  <c r="DT262" i="1"/>
  <c r="DT263" i="1"/>
  <c r="DT264" i="1"/>
  <c r="DT265" i="1"/>
  <c r="DT266" i="1"/>
  <c r="DT267" i="1"/>
  <c r="DT268" i="1"/>
  <c r="DT269" i="1"/>
  <c r="DT270" i="1"/>
  <c r="DT271" i="1"/>
  <c r="DT272" i="1"/>
  <c r="DT273" i="1"/>
  <c r="DT274" i="1"/>
  <c r="DT275" i="1"/>
  <c r="DT276" i="1"/>
  <c r="DT277" i="1"/>
  <c r="DT278" i="1"/>
  <c r="DT279" i="1"/>
  <c r="DT280" i="1"/>
  <c r="DT281" i="1"/>
  <c r="DT282" i="1"/>
  <c r="DT283" i="1"/>
  <c r="DT284" i="1"/>
  <c r="DT285" i="1"/>
  <c r="DT286" i="1"/>
  <c r="DT287" i="1"/>
  <c r="DT288" i="1"/>
  <c r="DT289" i="1"/>
  <c r="DT290" i="1"/>
  <c r="DT291" i="1"/>
  <c r="DT292" i="1"/>
  <c r="DT293" i="1"/>
  <c r="DT294" i="1"/>
  <c r="DT295" i="1"/>
  <c r="DT296" i="1"/>
  <c r="DT297" i="1"/>
  <c r="DT298" i="1"/>
  <c r="DT299" i="1"/>
  <c r="DT300" i="1"/>
  <c r="DT301" i="1"/>
  <c r="DT302" i="1"/>
  <c r="DT303" i="1"/>
  <c r="DT304" i="1"/>
  <c r="DT305" i="1"/>
  <c r="DT306" i="1"/>
  <c r="DT307" i="1"/>
  <c r="DT308" i="1"/>
  <c r="DT309" i="1"/>
  <c r="DT310" i="1"/>
  <c r="DT311" i="1"/>
  <c r="DT312" i="1"/>
  <c r="DT313" i="1"/>
  <c r="DT314" i="1"/>
  <c r="DT315" i="1"/>
  <c r="DT316" i="1"/>
  <c r="DT317" i="1"/>
  <c r="DT318" i="1"/>
  <c r="DT319" i="1"/>
  <c r="DT320" i="1"/>
  <c r="DT321" i="1"/>
  <c r="DT322" i="1"/>
  <c r="DT323" i="1"/>
  <c r="DT324" i="1"/>
  <c r="DT325" i="1"/>
  <c r="DT326" i="1"/>
  <c r="DT327" i="1"/>
  <c r="DT328" i="1"/>
  <c r="DT329" i="1"/>
  <c r="DT330" i="1"/>
  <c r="DT331" i="1"/>
  <c r="DT332" i="1"/>
  <c r="DT333" i="1"/>
  <c r="DT334" i="1"/>
  <c r="DT335" i="1"/>
  <c r="DT336" i="1"/>
  <c r="DT337" i="1"/>
  <c r="DT338" i="1"/>
  <c r="DT339" i="1"/>
  <c r="DT340" i="1"/>
  <c r="DT341" i="1"/>
  <c r="DT342" i="1"/>
  <c r="DT343" i="1"/>
  <c r="DT344" i="1"/>
  <c r="DT345" i="1"/>
  <c r="DT346" i="1"/>
  <c r="DT347" i="1"/>
  <c r="DT348" i="1"/>
  <c r="DT349" i="1"/>
  <c r="DT350" i="1"/>
  <c r="DT351" i="1"/>
  <c r="DT352" i="1"/>
  <c r="DT353" i="1"/>
  <c r="DT354" i="1"/>
  <c r="DT355" i="1"/>
  <c r="DT356" i="1"/>
  <c r="DT357" i="1"/>
  <c r="DT358" i="1"/>
  <c r="DT359" i="1"/>
  <c r="DT360" i="1"/>
  <c r="DT361" i="1"/>
  <c r="DT362" i="1"/>
  <c r="DT363" i="1"/>
  <c r="DT364" i="1"/>
  <c r="DT365" i="1"/>
  <c r="DT366" i="1"/>
  <c r="DT367" i="1"/>
  <c r="DT368" i="1"/>
  <c r="DT369" i="1"/>
  <c r="DT370" i="1"/>
  <c r="DT371" i="1"/>
  <c r="DT372" i="1"/>
  <c r="DT373" i="1"/>
  <c r="DT374" i="1"/>
  <c r="DT375" i="1"/>
  <c r="DT376" i="1"/>
  <c r="DT377" i="1"/>
  <c r="DT378" i="1"/>
  <c r="DT379" i="1"/>
  <c r="DT380" i="1"/>
  <c r="DT381" i="1"/>
  <c r="DT382" i="1"/>
  <c r="DT383" i="1"/>
  <c r="DT384" i="1"/>
  <c r="DT385" i="1"/>
  <c r="DT386" i="1"/>
  <c r="DT387" i="1"/>
  <c r="DT388" i="1"/>
  <c r="DT389" i="1"/>
  <c r="DT390" i="1"/>
  <c r="DT391" i="1"/>
  <c r="DT392" i="1"/>
  <c r="DT393" i="1"/>
  <c r="DT394" i="1"/>
  <c r="DT395" i="1"/>
  <c r="DT396" i="1"/>
  <c r="DT397" i="1"/>
  <c r="DT398" i="1"/>
  <c r="DT399" i="1"/>
  <c r="DT400" i="1"/>
  <c r="DT401" i="1"/>
  <c r="DT402" i="1"/>
  <c r="DT403" i="1"/>
  <c r="DT404" i="1"/>
  <c r="DT405" i="1"/>
  <c r="DT406" i="1"/>
  <c r="DT407" i="1"/>
  <c r="DT408" i="1"/>
  <c r="DT409" i="1"/>
  <c r="DT410" i="1"/>
  <c r="DT411" i="1"/>
  <c r="DT412" i="1"/>
  <c r="DT413" i="1"/>
  <c r="DT414" i="1"/>
  <c r="DT415" i="1"/>
  <c r="DT416" i="1"/>
  <c r="DT417" i="1"/>
  <c r="DT418" i="1"/>
  <c r="DT419" i="1"/>
  <c r="DT420" i="1"/>
  <c r="DT421" i="1"/>
  <c r="DT422" i="1"/>
  <c r="DT423" i="1"/>
  <c r="DT424" i="1"/>
  <c r="DT425" i="1"/>
  <c r="DT426" i="1"/>
  <c r="DT427" i="1"/>
  <c r="DT428" i="1"/>
  <c r="DT429" i="1"/>
  <c r="DT430" i="1"/>
  <c r="DT431" i="1"/>
  <c r="DT432" i="1"/>
  <c r="DT433" i="1"/>
  <c r="DT434" i="1"/>
  <c r="DT435" i="1"/>
  <c r="DT436" i="1"/>
  <c r="DT437" i="1"/>
  <c r="DT438" i="1"/>
  <c r="DT439" i="1"/>
  <c r="DT440" i="1"/>
  <c r="DT441" i="1"/>
  <c r="DT442" i="1"/>
  <c r="DT443" i="1"/>
  <c r="DT444" i="1"/>
  <c r="DT445" i="1"/>
  <c r="DT446" i="1"/>
  <c r="DT447" i="1"/>
  <c r="DT448" i="1"/>
  <c r="DT449" i="1"/>
  <c r="DT450" i="1"/>
  <c r="DT451" i="1"/>
  <c r="DT452" i="1"/>
  <c r="DT453" i="1"/>
  <c r="DT454" i="1"/>
  <c r="DT455" i="1"/>
  <c r="DT456" i="1"/>
  <c r="DT457" i="1"/>
  <c r="DT458" i="1"/>
  <c r="DT459" i="1"/>
  <c r="DT460" i="1"/>
  <c r="DT461" i="1"/>
  <c r="DT462" i="1"/>
  <c r="DT463" i="1"/>
  <c r="DT464" i="1"/>
  <c r="DT465" i="1"/>
  <c r="DT466" i="1"/>
  <c r="DT467" i="1"/>
  <c r="DT468" i="1"/>
  <c r="DT469" i="1"/>
  <c r="DT470" i="1"/>
  <c r="DT471" i="1"/>
  <c r="DT472" i="1"/>
  <c r="DT473" i="1"/>
  <c r="DT474" i="1"/>
  <c r="DT475" i="1"/>
  <c r="DT476" i="1"/>
  <c r="DT477" i="1"/>
  <c r="DT478" i="1"/>
  <c r="DT479" i="1"/>
  <c r="DT480" i="1"/>
  <c r="DT481" i="1"/>
  <c r="DT482" i="1"/>
  <c r="DT483" i="1"/>
  <c r="DT484" i="1"/>
  <c r="DT485" i="1"/>
  <c r="DT486" i="1"/>
  <c r="DT487" i="1"/>
  <c r="DT488" i="1"/>
  <c r="DT489" i="1"/>
  <c r="DT490" i="1"/>
  <c r="DT491" i="1"/>
  <c r="DT492" i="1"/>
  <c r="DT493" i="1"/>
  <c r="DT494" i="1"/>
  <c r="DT495" i="1"/>
  <c r="DT496" i="1"/>
  <c r="DT497" i="1"/>
  <c r="DT498" i="1"/>
  <c r="DT499" i="1"/>
  <c r="DT500" i="1"/>
  <c r="DT501" i="1"/>
  <c r="DT502" i="1"/>
  <c r="DT503" i="1"/>
  <c r="DT504" i="1"/>
  <c r="DT505" i="1"/>
  <c r="DT506" i="1"/>
  <c r="DT507" i="1"/>
  <c r="DT508" i="1"/>
  <c r="DT509" i="1"/>
  <c r="DT510" i="1"/>
  <c r="DT511" i="1"/>
  <c r="DT512" i="1"/>
  <c r="DT513" i="1"/>
  <c r="DT514" i="1"/>
  <c r="DT515" i="1"/>
  <c r="DT516" i="1"/>
  <c r="DT517" i="1"/>
  <c r="DT518" i="1"/>
  <c r="DT519" i="1"/>
  <c r="DT520" i="1"/>
  <c r="DT521" i="1"/>
  <c r="DT522" i="1"/>
  <c r="DT523" i="1"/>
  <c r="DT524" i="1"/>
  <c r="DT525" i="1"/>
  <c r="DT526" i="1"/>
  <c r="DT527" i="1"/>
  <c r="DT528" i="1"/>
  <c r="DT529" i="1"/>
  <c r="DT530" i="1"/>
  <c r="DT531" i="1"/>
  <c r="DT532" i="1"/>
  <c r="DT533" i="1"/>
  <c r="DT534" i="1"/>
  <c r="DT535" i="1"/>
  <c r="DT536" i="1"/>
  <c r="DT537" i="1"/>
  <c r="DT538" i="1"/>
  <c r="DT539" i="1"/>
  <c r="DT540" i="1"/>
  <c r="DT541" i="1"/>
  <c r="DT542" i="1"/>
  <c r="DT543" i="1"/>
  <c r="DT544" i="1"/>
  <c r="DT545" i="1"/>
  <c r="DT546" i="1"/>
  <c r="DT547" i="1"/>
  <c r="DT548" i="1"/>
  <c r="DT549" i="1"/>
  <c r="DT550" i="1"/>
  <c r="DT551" i="1"/>
  <c r="DT552" i="1"/>
  <c r="DT553" i="1"/>
  <c r="DT554" i="1"/>
  <c r="DT555" i="1"/>
  <c r="DT556" i="1"/>
  <c r="DT557" i="1"/>
  <c r="DT558" i="1"/>
  <c r="DT559" i="1"/>
  <c r="DT560" i="1"/>
  <c r="DT561" i="1"/>
  <c r="DT562" i="1"/>
  <c r="DT563" i="1"/>
  <c r="DT564" i="1"/>
  <c r="DT565" i="1"/>
  <c r="DT566" i="1"/>
  <c r="DT567" i="1"/>
  <c r="DQ3" i="1"/>
  <c r="DQ4" i="1"/>
  <c r="DQ5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102" i="1"/>
  <c r="DQ103" i="1"/>
  <c r="DQ104" i="1"/>
  <c r="DQ105" i="1"/>
  <c r="DQ106" i="1"/>
  <c r="DQ107" i="1"/>
  <c r="DQ108" i="1"/>
  <c r="DQ109" i="1"/>
  <c r="DQ110" i="1"/>
  <c r="DQ111" i="1"/>
  <c r="DQ112" i="1"/>
  <c r="DQ113" i="1"/>
  <c r="DQ114" i="1"/>
  <c r="DQ115" i="1"/>
  <c r="DQ116" i="1"/>
  <c r="DQ117" i="1"/>
  <c r="DQ118" i="1"/>
  <c r="DQ119" i="1"/>
  <c r="DQ120" i="1"/>
  <c r="DQ121" i="1"/>
  <c r="DQ122" i="1"/>
  <c r="DQ123" i="1"/>
  <c r="DQ124" i="1"/>
  <c r="DQ125" i="1"/>
  <c r="DQ126" i="1"/>
  <c r="DQ127" i="1"/>
  <c r="DQ128" i="1"/>
  <c r="DQ129" i="1"/>
  <c r="DQ130" i="1"/>
  <c r="DQ131" i="1"/>
  <c r="DQ132" i="1"/>
  <c r="DQ133" i="1"/>
  <c r="DQ134" i="1"/>
  <c r="DQ135" i="1"/>
  <c r="DQ136" i="1"/>
  <c r="DQ137" i="1"/>
  <c r="DQ138" i="1"/>
  <c r="DQ139" i="1"/>
  <c r="DQ140" i="1"/>
  <c r="DQ141" i="1"/>
  <c r="DQ142" i="1"/>
  <c r="DQ143" i="1"/>
  <c r="DQ144" i="1"/>
  <c r="DQ145" i="1"/>
  <c r="DQ146" i="1"/>
  <c r="DQ147" i="1"/>
  <c r="DQ148" i="1"/>
  <c r="DQ149" i="1"/>
  <c r="DQ150" i="1"/>
  <c r="DQ151" i="1"/>
  <c r="DQ152" i="1"/>
  <c r="DQ153" i="1"/>
  <c r="DQ154" i="1"/>
  <c r="DQ155" i="1"/>
  <c r="DQ156" i="1"/>
  <c r="DQ157" i="1"/>
  <c r="DQ158" i="1"/>
  <c r="DQ159" i="1"/>
  <c r="DQ160" i="1"/>
  <c r="DQ161" i="1"/>
  <c r="DQ162" i="1"/>
  <c r="DQ163" i="1"/>
  <c r="DQ164" i="1"/>
  <c r="DQ165" i="1"/>
  <c r="DQ166" i="1"/>
  <c r="DQ167" i="1"/>
  <c r="DQ168" i="1"/>
  <c r="DQ169" i="1"/>
  <c r="DQ170" i="1"/>
  <c r="DQ171" i="1"/>
  <c r="DQ172" i="1"/>
  <c r="DQ173" i="1"/>
  <c r="DQ174" i="1"/>
  <c r="DQ175" i="1"/>
  <c r="DQ176" i="1"/>
  <c r="DQ177" i="1"/>
  <c r="DQ178" i="1"/>
  <c r="DQ179" i="1"/>
  <c r="DQ180" i="1"/>
  <c r="DQ181" i="1"/>
  <c r="DQ182" i="1"/>
  <c r="DQ183" i="1"/>
  <c r="DQ184" i="1"/>
  <c r="DQ185" i="1"/>
  <c r="DQ186" i="1"/>
  <c r="DQ187" i="1"/>
  <c r="DQ188" i="1"/>
  <c r="DQ189" i="1"/>
  <c r="DQ190" i="1"/>
  <c r="DQ191" i="1"/>
  <c r="DQ192" i="1"/>
  <c r="DQ193" i="1"/>
  <c r="DQ194" i="1"/>
  <c r="DQ195" i="1"/>
  <c r="DQ196" i="1"/>
  <c r="DQ197" i="1"/>
  <c r="DQ198" i="1"/>
  <c r="DQ199" i="1"/>
  <c r="DQ200" i="1"/>
  <c r="DQ201" i="1"/>
  <c r="DQ202" i="1"/>
  <c r="DQ203" i="1"/>
  <c r="DQ204" i="1"/>
  <c r="DQ205" i="1"/>
  <c r="DQ206" i="1"/>
  <c r="DQ207" i="1"/>
  <c r="DQ208" i="1"/>
  <c r="DQ209" i="1"/>
  <c r="DQ210" i="1"/>
  <c r="DQ211" i="1"/>
  <c r="DQ212" i="1"/>
  <c r="DQ213" i="1"/>
  <c r="DQ214" i="1"/>
  <c r="DQ215" i="1"/>
  <c r="DQ216" i="1"/>
  <c r="DQ217" i="1"/>
  <c r="DQ218" i="1"/>
  <c r="DQ219" i="1"/>
  <c r="DQ220" i="1"/>
  <c r="DQ221" i="1"/>
  <c r="DQ222" i="1"/>
  <c r="DQ223" i="1"/>
  <c r="DQ224" i="1"/>
  <c r="DQ225" i="1"/>
  <c r="DQ226" i="1"/>
  <c r="DQ227" i="1"/>
  <c r="DQ228" i="1"/>
  <c r="DQ229" i="1"/>
  <c r="DQ230" i="1"/>
  <c r="DQ231" i="1"/>
  <c r="DQ232" i="1"/>
  <c r="DQ233" i="1"/>
  <c r="DQ234" i="1"/>
  <c r="DQ235" i="1"/>
  <c r="DQ236" i="1"/>
  <c r="DQ237" i="1"/>
  <c r="DQ238" i="1"/>
  <c r="DQ239" i="1"/>
  <c r="DQ240" i="1"/>
  <c r="DQ241" i="1"/>
  <c r="DQ242" i="1"/>
  <c r="DQ243" i="1"/>
  <c r="DQ244" i="1"/>
  <c r="DQ245" i="1"/>
  <c r="DQ246" i="1"/>
  <c r="DQ247" i="1"/>
  <c r="DQ248" i="1"/>
  <c r="DQ249" i="1"/>
  <c r="DQ250" i="1"/>
  <c r="DQ251" i="1"/>
  <c r="DQ252" i="1"/>
  <c r="DQ253" i="1"/>
  <c r="DQ254" i="1"/>
  <c r="DQ255" i="1"/>
  <c r="DQ256" i="1"/>
  <c r="DQ257" i="1"/>
  <c r="DQ258" i="1"/>
  <c r="DQ259" i="1"/>
  <c r="DQ260" i="1"/>
  <c r="DQ261" i="1"/>
  <c r="DQ262" i="1"/>
  <c r="DQ263" i="1"/>
  <c r="DQ264" i="1"/>
  <c r="DQ265" i="1"/>
  <c r="DQ266" i="1"/>
  <c r="DQ267" i="1"/>
  <c r="DQ268" i="1"/>
  <c r="DQ269" i="1"/>
  <c r="DQ270" i="1"/>
  <c r="DQ271" i="1"/>
  <c r="DQ272" i="1"/>
  <c r="DQ273" i="1"/>
  <c r="DQ274" i="1"/>
  <c r="DQ275" i="1"/>
  <c r="DQ276" i="1"/>
  <c r="DQ277" i="1"/>
  <c r="DQ278" i="1"/>
  <c r="DQ279" i="1"/>
  <c r="DQ280" i="1"/>
  <c r="DQ281" i="1"/>
  <c r="DQ282" i="1"/>
  <c r="DQ283" i="1"/>
  <c r="DQ284" i="1"/>
  <c r="DQ285" i="1"/>
  <c r="DQ286" i="1"/>
  <c r="DQ287" i="1"/>
  <c r="DQ288" i="1"/>
  <c r="DQ289" i="1"/>
  <c r="DQ290" i="1"/>
  <c r="DQ291" i="1"/>
  <c r="DQ292" i="1"/>
  <c r="DQ293" i="1"/>
  <c r="DQ294" i="1"/>
  <c r="DQ295" i="1"/>
  <c r="DQ296" i="1"/>
  <c r="DQ297" i="1"/>
  <c r="DQ298" i="1"/>
  <c r="DQ299" i="1"/>
  <c r="DQ300" i="1"/>
  <c r="DQ301" i="1"/>
  <c r="DQ302" i="1"/>
  <c r="DQ303" i="1"/>
  <c r="DQ304" i="1"/>
  <c r="DQ305" i="1"/>
  <c r="DQ306" i="1"/>
  <c r="DQ307" i="1"/>
  <c r="DQ308" i="1"/>
  <c r="DQ309" i="1"/>
  <c r="DQ310" i="1"/>
  <c r="DQ311" i="1"/>
  <c r="DQ312" i="1"/>
  <c r="DQ313" i="1"/>
  <c r="DQ314" i="1"/>
  <c r="DQ315" i="1"/>
  <c r="DQ316" i="1"/>
  <c r="DQ317" i="1"/>
  <c r="DQ318" i="1"/>
  <c r="DQ319" i="1"/>
  <c r="DQ320" i="1"/>
  <c r="DQ321" i="1"/>
  <c r="DQ322" i="1"/>
  <c r="DQ323" i="1"/>
  <c r="DQ324" i="1"/>
  <c r="DQ325" i="1"/>
  <c r="DQ326" i="1"/>
  <c r="DQ327" i="1"/>
  <c r="DQ328" i="1"/>
  <c r="DQ329" i="1"/>
  <c r="DQ330" i="1"/>
  <c r="DQ331" i="1"/>
  <c r="DQ332" i="1"/>
  <c r="DQ333" i="1"/>
  <c r="DQ334" i="1"/>
  <c r="DQ335" i="1"/>
  <c r="DQ336" i="1"/>
  <c r="DQ337" i="1"/>
  <c r="DQ338" i="1"/>
  <c r="DQ339" i="1"/>
  <c r="DQ340" i="1"/>
  <c r="DQ341" i="1"/>
  <c r="DQ342" i="1"/>
  <c r="DQ343" i="1"/>
  <c r="DQ344" i="1"/>
  <c r="DQ345" i="1"/>
  <c r="DQ346" i="1"/>
  <c r="DQ347" i="1"/>
  <c r="DQ348" i="1"/>
  <c r="DQ349" i="1"/>
  <c r="DQ350" i="1"/>
  <c r="DQ351" i="1"/>
  <c r="DQ352" i="1"/>
  <c r="DQ353" i="1"/>
  <c r="DQ354" i="1"/>
  <c r="DQ355" i="1"/>
  <c r="DQ356" i="1"/>
  <c r="DQ357" i="1"/>
  <c r="DQ358" i="1"/>
  <c r="DQ359" i="1"/>
  <c r="DQ360" i="1"/>
  <c r="DQ361" i="1"/>
  <c r="DQ362" i="1"/>
  <c r="DQ363" i="1"/>
  <c r="DQ364" i="1"/>
  <c r="DQ365" i="1"/>
  <c r="DQ366" i="1"/>
  <c r="DQ367" i="1"/>
  <c r="DQ368" i="1"/>
  <c r="DQ369" i="1"/>
  <c r="DQ370" i="1"/>
  <c r="DQ371" i="1"/>
  <c r="DQ372" i="1"/>
  <c r="DQ373" i="1"/>
  <c r="DQ374" i="1"/>
  <c r="DQ375" i="1"/>
  <c r="DQ376" i="1"/>
  <c r="DQ377" i="1"/>
  <c r="DQ378" i="1"/>
  <c r="DQ379" i="1"/>
  <c r="DQ380" i="1"/>
  <c r="DQ381" i="1"/>
  <c r="DQ382" i="1"/>
  <c r="DQ383" i="1"/>
  <c r="DQ384" i="1"/>
  <c r="DQ385" i="1"/>
  <c r="DQ386" i="1"/>
  <c r="DQ387" i="1"/>
  <c r="DQ388" i="1"/>
  <c r="DQ389" i="1"/>
  <c r="DQ390" i="1"/>
  <c r="DQ391" i="1"/>
  <c r="DQ392" i="1"/>
  <c r="DQ393" i="1"/>
  <c r="DQ394" i="1"/>
  <c r="DQ395" i="1"/>
  <c r="DQ396" i="1"/>
  <c r="DQ397" i="1"/>
  <c r="DQ398" i="1"/>
  <c r="DQ399" i="1"/>
  <c r="DQ400" i="1"/>
  <c r="DQ401" i="1"/>
  <c r="DQ402" i="1"/>
  <c r="DQ403" i="1"/>
  <c r="DQ404" i="1"/>
  <c r="DQ405" i="1"/>
  <c r="DQ406" i="1"/>
  <c r="DQ407" i="1"/>
  <c r="DQ408" i="1"/>
  <c r="DQ409" i="1"/>
  <c r="DQ410" i="1"/>
  <c r="DQ411" i="1"/>
  <c r="DQ412" i="1"/>
  <c r="DQ413" i="1"/>
  <c r="DQ414" i="1"/>
  <c r="DQ415" i="1"/>
  <c r="DQ416" i="1"/>
  <c r="DQ417" i="1"/>
  <c r="DQ418" i="1"/>
  <c r="DQ419" i="1"/>
  <c r="DQ420" i="1"/>
  <c r="DQ421" i="1"/>
  <c r="DQ422" i="1"/>
  <c r="DQ423" i="1"/>
  <c r="DQ424" i="1"/>
  <c r="DQ425" i="1"/>
  <c r="DQ426" i="1"/>
  <c r="DQ427" i="1"/>
  <c r="DQ428" i="1"/>
  <c r="DQ429" i="1"/>
  <c r="DQ430" i="1"/>
  <c r="DQ431" i="1"/>
  <c r="DQ432" i="1"/>
  <c r="DQ433" i="1"/>
  <c r="DQ434" i="1"/>
  <c r="DQ435" i="1"/>
  <c r="DQ436" i="1"/>
  <c r="DQ437" i="1"/>
  <c r="DQ438" i="1"/>
  <c r="DQ439" i="1"/>
  <c r="DQ440" i="1"/>
  <c r="DQ441" i="1"/>
  <c r="DQ442" i="1"/>
  <c r="DQ443" i="1"/>
  <c r="DQ444" i="1"/>
  <c r="DQ445" i="1"/>
  <c r="DQ446" i="1"/>
  <c r="DQ447" i="1"/>
  <c r="DQ448" i="1"/>
  <c r="DQ449" i="1"/>
  <c r="DQ450" i="1"/>
  <c r="DQ451" i="1"/>
  <c r="DQ452" i="1"/>
  <c r="DQ453" i="1"/>
  <c r="DQ454" i="1"/>
  <c r="DQ455" i="1"/>
  <c r="DQ456" i="1"/>
  <c r="DQ457" i="1"/>
  <c r="DQ458" i="1"/>
  <c r="DQ459" i="1"/>
  <c r="DQ460" i="1"/>
  <c r="DQ461" i="1"/>
  <c r="DQ462" i="1"/>
  <c r="DQ463" i="1"/>
  <c r="DQ464" i="1"/>
  <c r="DQ465" i="1"/>
  <c r="DQ466" i="1"/>
  <c r="DQ467" i="1"/>
  <c r="DQ468" i="1"/>
  <c r="DQ469" i="1"/>
  <c r="DQ470" i="1"/>
  <c r="DQ471" i="1"/>
  <c r="DQ472" i="1"/>
  <c r="DQ473" i="1"/>
  <c r="DQ474" i="1"/>
  <c r="DQ475" i="1"/>
  <c r="DQ476" i="1"/>
  <c r="DQ477" i="1"/>
  <c r="DQ478" i="1"/>
  <c r="DQ479" i="1"/>
  <c r="DQ480" i="1"/>
  <c r="DQ481" i="1"/>
  <c r="DQ482" i="1"/>
  <c r="DQ483" i="1"/>
  <c r="DQ484" i="1"/>
  <c r="DQ485" i="1"/>
  <c r="DQ486" i="1"/>
  <c r="DQ487" i="1"/>
  <c r="DQ488" i="1"/>
  <c r="DQ489" i="1"/>
  <c r="DQ490" i="1"/>
  <c r="DQ491" i="1"/>
  <c r="DQ492" i="1"/>
  <c r="DQ493" i="1"/>
  <c r="DQ494" i="1"/>
  <c r="DQ495" i="1"/>
  <c r="DQ496" i="1"/>
  <c r="DQ497" i="1"/>
  <c r="DQ498" i="1"/>
  <c r="DQ499" i="1"/>
  <c r="DQ500" i="1"/>
  <c r="DQ501" i="1"/>
  <c r="DQ502" i="1"/>
  <c r="DQ503" i="1"/>
  <c r="DQ504" i="1"/>
  <c r="DQ505" i="1"/>
  <c r="DQ506" i="1"/>
  <c r="DQ507" i="1"/>
  <c r="DQ508" i="1"/>
  <c r="DQ509" i="1"/>
  <c r="DQ510" i="1"/>
  <c r="DQ511" i="1"/>
  <c r="DQ512" i="1"/>
  <c r="DQ513" i="1"/>
  <c r="DQ514" i="1"/>
  <c r="DQ515" i="1"/>
  <c r="DQ516" i="1"/>
  <c r="DQ517" i="1"/>
  <c r="DQ518" i="1"/>
  <c r="DQ519" i="1"/>
  <c r="DQ520" i="1"/>
  <c r="DQ521" i="1"/>
  <c r="DQ522" i="1"/>
  <c r="DQ523" i="1"/>
  <c r="DQ524" i="1"/>
  <c r="DQ525" i="1"/>
  <c r="DQ526" i="1"/>
  <c r="DQ527" i="1"/>
  <c r="DQ528" i="1"/>
  <c r="DQ529" i="1"/>
  <c r="DQ530" i="1"/>
  <c r="DQ531" i="1"/>
  <c r="DQ532" i="1"/>
  <c r="DQ533" i="1"/>
  <c r="DQ534" i="1"/>
  <c r="DQ535" i="1"/>
  <c r="DQ536" i="1"/>
  <c r="DQ537" i="1"/>
  <c r="DQ538" i="1"/>
  <c r="DQ539" i="1"/>
  <c r="DQ540" i="1"/>
  <c r="DQ541" i="1"/>
  <c r="DQ542" i="1"/>
  <c r="DQ543" i="1"/>
  <c r="DQ544" i="1"/>
  <c r="DQ545" i="1"/>
  <c r="DQ546" i="1"/>
  <c r="DQ547" i="1"/>
  <c r="DQ548" i="1"/>
  <c r="DQ549" i="1"/>
  <c r="DQ550" i="1"/>
  <c r="DQ551" i="1"/>
  <c r="DQ552" i="1"/>
  <c r="DQ553" i="1"/>
  <c r="DQ554" i="1"/>
  <c r="DQ555" i="1"/>
  <c r="DQ556" i="1"/>
  <c r="DQ557" i="1"/>
  <c r="DQ558" i="1"/>
  <c r="DQ559" i="1"/>
  <c r="DQ560" i="1"/>
  <c r="DQ561" i="1"/>
  <c r="DQ562" i="1"/>
  <c r="DQ563" i="1"/>
  <c r="DQ564" i="1"/>
  <c r="DQ565" i="1"/>
  <c r="DQ566" i="1"/>
  <c r="DQ567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N185" i="1"/>
  <c r="DN186" i="1"/>
  <c r="DN187" i="1"/>
  <c r="DN188" i="1"/>
  <c r="DN189" i="1"/>
  <c r="DN190" i="1"/>
  <c r="DN191" i="1"/>
  <c r="DN192" i="1"/>
  <c r="DN193" i="1"/>
  <c r="DN194" i="1"/>
  <c r="DN195" i="1"/>
  <c r="DN196" i="1"/>
  <c r="DN197" i="1"/>
  <c r="DN198" i="1"/>
  <c r="DN199" i="1"/>
  <c r="DN200" i="1"/>
  <c r="DN201" i="1"/>
  <c r="DN202" i="1"/>
  <c r="DN203" i="1"/>
  <c r="DN204" i="1"/>
  <c r="DN205" i="1"/>
  <c r="DN206" i="1"/>
  <c r="DN207" i="1"/>
  <c r="DN208" i="1"/>
  <c r="DN209" i="1"/>
  <c r="DN210" i="1"/>
  <c r="DN211" i="1"/>
  <c r="DN212" i="1"/>
  <c r="DN213" i="1"/>
  <c r="DN214" i="1"/>
  <c r="DN215" i="1"/>
  <c r="DN216" i="1"/>
  <c r="DN217" i="1"/>
  <c r="DN218" i="1"/>
  <c r="DN219" i="1"/>
  <c r="DN220" i="1"/>
  <c r="DN221" i="1"/>
  <c r="DN222" i="1"/>
  <c r="DN223" i="1"/>
  <c r="DN224" i="1"/>
  <c r="DN225" i="1"/>
  <c r="DN226" i="1"/>
  <c r="DN227" i="1"/>
  <c r="DN228" i="1"/>
  <c r="DN229" i="1"/>
  <c r="DN230" i="1"/>
  <c r="DN231" i="1"/>
  <c r="DN232" i="1"/>
  <c r="DN233" i="1"/>
  <c r="DN234" i="1"/>
  <c r="DN235" i="1"/>
  <c r="DN236" i="1"/>
  <c r="DN237" i="1"/>
  <c r="DN238" i="1"/>
  <c r="DN239" i="1"/>
  <c r="DN240" i="1"/>
  <c r="DN241" i="1"/>
  <c r="DN242" i="1"/>
  <c r="DN243" i="1"/>
  <c r="DN244" i="1"/>
  <c r="DN245" i="1"/>
  <c r="DN246" i="1"/>
  <c r="DN247" i="1"/>
  <c r="DN248" i="1"/>
  <c r="DN249" i="1"/>
  <c r="DN250" i="1"/>
  <c r="DN251" i="1"/>
  <c r="DN252" i="1"/>
  <c r="DN253" i="1"/>
  <c r="DN254" i="1"/>
  <c r="DN255" i="1"/>
  <c r="DN256" i="1"/>
  <c r="DN257" i="1"/>
  <c r="DN258" i="1"/>
  <c r="DN259" i="1"/>
  <c r="DN260" i="1"/>
  <c r="DN261" i="1"/>
  <c r="DN262" i="1"/>
  <c r="DN263" i="1"/>
  <c r="DN264" i="1"/>
  <c r="DN265" i="1"/>
  <c r="DN266" i="1"/>
  <c r="DN267" i="1"/>
  <c r="DN268" i="1"/>
  <c r="DN269" i="1"/>
  <c r="DN270" i="1"/>
  <c r="DN271" i="1"/>
  <c r="DN272" i="1"/>
  <c r="DN273" i="1"/>
  <c r="DN274" i="1"/>
  <c r="DN275" i="1"/>
  <c r="DN276" i="1"/>
  <c r="DN277" i="1"/>
  <c r="DN278" i="1"/>
  <c r="DN279" i="1"/>
  <c r="DN280" i="1"/>
  <c r="DN281" i="1"/>
  <c r="DN282" i="1"/>
  <c r="DN283" i="1"/>
  <c r="DN284" i="1"/>
  <c r="DN285" i="1"/>
  <c r="DN286" i="1"/>
  <c r="DN287" i="1"/>
  <c r="DN288" i="1"/>
  <c r="DN289" i="1"/>
  <c r="DN290" i="1"/>
  <c r="DN291" i="1"/>
  <c r="DN292" i="1"/>
  <c r="DN293" i="1"/>
  <c r="DN294" i="1"/>
  <c r="DN295" i="1"/>
  <c r="DN296" i="1"/>
  <c r="DN297" i="1"/>
  <c r="DN298" i="1"/>
  <c r="DN299" i="1"/>
  <c r="DN300" i="1"/>
  <c r="DN301" i="1"/>
  <c r="DN302" i="1"/>
  <c r="DN303" i="1"/>
  <c r="DN304" i="1"/>
  <c r="DN305" i="1"/>
  <c r="DN306" i="1"/>
  <c r="DN307" i="1"/>
  <c r="DN308" i="1"/>
  <c r="DN309" i="1"/>
  <c r="DN310" i="1"/>
  <c r="DN311" i="1"/>
  <c r="DN312" i="1"/>
  <c r="DN313" i="1"/>
  <c r="DN314" i="1"/>
  <c r="DN315" i="1"/>
  <c r="DN316" i="1"/>
  <c r="DN317" i="1"/>
  <c r="DN318" i="1"/>
  <c r="DN319" i="1"/>
  <c r="DN320" i="1"/>
  <c r="DN321" i="1"/>
  <c r="DN322" i="1"/>
  <c r="DN323" i="1"/>
  <c r="DN324" i="1"/>
  <c r="DN325" i="1"/>
  <c r="DN326" i="1"/>
  <c r="DN327" i="1"/>
  <c r="DN328" i="1"/>
  <c r="DN329" i="1"/>
  <c r="DN330" i="1"/>
  <c r="DN331" i="1"/>
  <c r="DN332" i="1"/>
  <c r="DN333" i="1"/>
  <c r="DN334" i="1"/>
  <c r="DN335" i="1"/>
  <c r="DN336" i="1"/>
  <c r="DN337" i="1"/>
  <c r="DN338" i="1"/>
  <c r="DN339" i="1"/>
  <c r="DN340" i="1"/>
  <c r="DN341" i="1"/>
  <c r="DN342" i="1"/>
  <c r="DN343" i="1"/>
  <c r="DN344" i="1"/>
  <c r="DN345" i="1"/>
  <c r="DN346" i="1"/>
  <c r="DN347" i="1"/>
  <c r="DN348" i="1"/>
  <c r="DN349" i="1"/>
  <c r="DN350" i="1"/>
  <c r="DN351" i="1"/>
  <c r="DN352" i="1"/>
  <c r="DN353" i="1"/>
  <c r="DN354" i="1"/>
  <c r="DN355" i="1"/>
  <c r="DN356" i="1"/>
  <c r="DN357" i="1"/>
  <c r="DN358" i="1"/>
  <c r="DN359" i="1"/>
  <c r="DN360" i="1"/>
  <c r="DN361" i="1"/>
  <c r="DN362" i="1"/>
  <c r="DN363" i="1"/>
  <c r="DN364" i="1"/>
  <c r="DN365" i="1"/>
  <c r="DN366" i="1"/>
  <c r="DN367" i="1"/>
  <c r="DN368" i="1"/>
  <c r="DN369" i="1"/>
  <c r="DN370" i="1"/>
  <c r="DN371" i="1"/>
  <c r="DN372" i="1"/>
  <c r="DN373" i="1"/>
  <c r="DN374" i="1"/>
  <c r="DN375" i="1"/>
  <c r="DN376" i="1"/>
  <c r="DN377" i="1"/>
  <c r="DN378" i="1"/>
  <c r="DN379" i="1"/>
  <c r="DN380" i="1"/>
  <c r="DN381" i="1"/>
  <c r="DN382" i="1"/>
  <c r="DN383" i="1"/>
  <c r="DN384" i="1"/>
  <c r="DN385" i="1"/>
  <c r="DN386" i="1"/>
  <c r="DN387" i="1"/>
  <c r="DN388" i="1"/>
  <c r="DN389" i="1"/>
  <c r="DN390" i="1"/>
  <c r="DN391" i="1"/>
  <c r="DN392" i="1"/>
  <c r="DN393" i="1"/>
  <c r="DN394" i="1"/>
  <c r="DN395" i="1"/>
  <c r="DN396" i="1"/>
  <c r="DN397" i="1"/>
  <c r="DN398" i="1"/>
  <c r="DN399" i="1"/>
  <c r="DN400" i="1"/>
  <c r="DN401" i="1"/>
  <c r="DN402" i="1"/>
  <c r="DN403" i="1"/>
  <c r="DN404" i="1"/>
  <c r="DN405" i="1"/>
  <c r="DN406" i="1"/>
  <c r="DN407" i="1"/>
  <c r="DN408" i="1"/>
  <c r="DN409" i="1"/>
  <c r="DN410" i="1"/>
  <c r="DN411" i="1"/>
  <c r="DN412" i="1"/>
  <c r="DN413" i="1"/>
  <c r="DN414" i="1"/>
  <c r="DN415" i="1"/>
  <c r="DN416" i="1"/>
  <c r="DN417" i="1"/>
  <c r="DN418" i="1"/>
  <c r="DN419" i="1"/>
  <c r="DN420" i="1"/>
  <c r="DN421" i="1"/>
  <c r="DN422" i="1"/>
  <c r="DN423" i="1"/>
  <c r="DN424" i="1"/>
  <c r="DN425" i="1"/>
  <c r="DN426" i="1"/>
  <c r="DN427" i="1"/>
  <c r="DN428" i="1"/>
  <c r="DN429" i="1"/>
  <c r="DN430" i="1"/>
  <c r="DN431" i="1"/>
  <c r="DN432" i="1"/>
  <c r="DN433" i="1"/>
  <c r="DN434" i="1"/>
  <c r="DN435" i="1"/>
  <c r="DN436" i="1"/>
  <c r="DN437" i="1"/>
  <c r="DN438" i="1"/>
  <c r="DN439" i="1"/>
  <c r="DN440" i="1"/>
  <c r="DN441" i="1"/>
  <c r="DN442" i="1"/>
  <c r="DN443" i="1"/>
  <c r="DN444" i="1"/>
  <c r="DN445" i="1"/>
  <c r="DN446" i="1"/>
  <c r="DN447" i="1"/>
  <c r="DN448" i="1"/>
  <c r="DN449" i="1"/>
  <c r="DN450" i="1"/>
  <c r="DN451" i="1"/>
  <c r="DN452" i="1"/>
  <c r="DN453" i="1"/>
  <c r="DN454" i="1"/>
  <c r="DN455" i="1"/>
  <c r="DN456" i="1"/>
  <c r="DN457" i="1"/>
  <c r="DN458" i="1"/>
  <c r="DN459" i="1"/>
  <c r="DN460" i="1"/>
  <c r="DN461" i="1"/>
  <c r="DN462" i="1"/>
  <c r="DN463" i="1"/>
  <c r="DN464" i="1"/>
  <c r="DN465" i="1"/>
  <c r="DN466" i="1"/>
  <c r="DN467" i="1"/>
  <c r="DN468" i="1"/>
  <c r="DN469" i="1"/>
  <c r="DN470" i="1"/>
  <c r="DN471" i="1"/>
  <c r="DN472" i="1"/>
  <c r="DN473" i="1"/>
  <c r="DN474" i="1"/>
  <c r="DN475" i="1"/>
  <c r="DN476" i="1"/>
  <c r="DN477" i="1"/>
  <c r="DN478" i="1"/>
  <c r="DN479" i="1"/>
  <c r="DN480" i="1"/>
  <c r="DN481" i="1"/>
  <c r="DN482" i="1"/>
  <c r="DN483" i="1"/>
  <c r="DN484" i="1"/>
  <c r="DN485" i="1"/>
  <c r="DN486" i="1"/>
  <c r="DN487" i="1"/>
  <c r="DN488" i="1"/>
  <c r="DN489" i="1"/>
  <c r="DN490" i="1"/>
  <c r="DN491" i="1"/>
  <c r="DN492" i="1"/>
  <c r="DN493" i="1"/>
  <c r="DN494" i="1"/>
  <c r="DN495" i="1"/>
  <c r="DN496" i="1"/>
  <c r="DN497" i="1"/>
  <c r="DN498" i="1"/>
  <c r="DN499" i="1"/>
  <c r="DN500" i="1"/>
  <c r="DN501" i="1"/>
  <c r="DN502" i="1"/>
  <c r="DN503" i="1"/>
  <c r="DN504" i="1"/>
  <c r="DN505" i="1"/>
  <c r="DN506" i="1"/>
  <c r="DN507" i="1"/>
  <c r="DN508" i="1"/>
  <c r="DN509" i="1"/>
  <c r="DN510" i="1"/>
  <c r="DN511" i="1"/>
  <c r="DN512" i="1"/>
  <c r="DN513" i="1"/>
  <c r="DN514" i="1"/>
  <c r="DN515" i="1"/>
  <c r="DN516" i="1"/>
  <c r="DN517" i="1"/>
  <c r="DN518" i="1"/>
  <c r="DN519" i="1"/>
  <c r="DN520" i="1"/>
  <c r="DN521" i="1"/>
  <c r="DN522" i="1"/>
  <c r="DN523" i="1"/>
  <c r="DN524" i="1"/>
  <c r="DN525" i="1"/>
  <c r="DN526" i="1"/>
  <c r="DN527" i="1"/>
  <c r="DN528" i="1"/>
  <c r="DN529" i="1"/>
  <c r="DN530" i="1"/>
  <c r="DN531" i="1"/>
  <c r="DN532" i="1"/>
  <c r="DN533" i="1"/>
  <c r="DN534" i="1"/>
  <c r="DN535" i="1"/>
  <c r="DN536" i="1"/>
  <c r="DN537" i="1"/>
  <c r="DN538" i="1"/>
  <c r="DN539" i="1"/>
  <c r="DN540" i="1"/>
  <c r="DN541" i="1"/>
  <c r="DN542" i="1"/>
  <c r="DN543" i="1"/>
  <c r="DN544" i="1"/>
  <c r="DN545" i="1"/>
  <c r="DN546" i="1"/>
  <c r="DN547" i="1"/>
  <c r="DN548" i="1"/>
  <c r="DN549" i="1"/>
  <c r="DN550" i="1"/>
  <c r="DN551" i="1"/>
  <c r="DN552" i="1"/>
  <c r="DN553" i="1"/>
  <c r="DN554" i="1"/>
  <c r="DN555" i="1"/>
  <c r="DN556" i="1"/>
  <c r="DN557" i="1"/>
  <c r="DN558" i="1"/>
  <c r="DN559" i="1"/>
  <c r="DN560" i="1"/>
  <c r="DN561" i="1"/>
  <c r="DN562" i="1"/>
  <c r="DN563" i="1"/>
  <c r="DN564" i="1"/>
  <c r="DN565" i="1"/>
  <c r="DN566" i="1"/>
  <c r="DN567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I333" i="1"/>
  <c r="DI334" i="1"/>
  <c r="DI335" i="1"/>
  <c r="DI336" i="1"/>
  <c r="DI337" i="1"/>
  <c r="DI338" i="1"/>
  <c r="DI339" i="1"/>
  <c r="DI340" i="1"/>
  <c r="DI341" i="1"/>
  <c r="DI342" i="1"/>
  <c r="DI343" i="1"/>
  <c r="DI344" i="1"/>
  <c r="DI345" i="1"/>
  <c r="DI346" i="1"/>
  <c r="DI347" i="1"/>
  <c r="DI348" i="1"/>
  <c r="DI349" i="1"/>
  <c r="DI350" i="1"/>
  <c r="DI351" i="1"/>
  <c r="DI352" i="1"/>
  <c r="DI353" i="1"/>
  <c r="DI354" i="1"/>
  <c r="DI355" i="1"/>
  <c r="DI356" i="1"/>
  <c r="DI357" i="1"/>
  <c r="DI358" i="1"/>
  <c r="DI359" i="1"/>
  <c r="DI360" i="1"/>
  <c r="DI361" i="1"/>
  <c r="DI362" i="1"/>
  <c r="DI363" i="1"/>
  <c r="DI364" i="1"/>
  <c r="DI365" i="1"/>
  <c r="DI366" i="1"/>
  <c r="DI367" i="1"/>
  <c r="DI368" i="1"/>
  <c r="DI369" i="1"/>
  <c r="DI370" i="1"/>
  <c r="DI371" i="1"/>
  <c r="DI372" i="1"/>
  <c r="DI373" i="1"/>
  <c r="DI374" i="1"/>
  <c r="DI375" i="1"/>
  <c r="DI376" i="1"/>
  <c r="DI377" i="1"/>
  <c r="DI378" i="1"/>
  <c r="DI379" i="1"/>
  <c r="DI380" i="1"/>
  <c r="DI381" i="1"/>
  <c r="DI382" i="1"/>
  <c r="DI383" i="1"/>
  <c r="DI384" i="1"/>
  <c r="DI385" i="1"/>
  <c r="DI386" i="1"/>
  <c r="DI387" i="1"/>
  <c r="DI388" i="1"/>
  <c r="DI389" i="1"/>
  <c r="DI390" i="1"/>
  <c r="DI391" i="1"/>
  <c r="DI392" i="1"/>
  <c r="DI393" i="1"/>
  <c r="DI394" i="1"/>
  <c r="DI395" i="1"/>
  <c r="DI396" i="1"/>
  <c r="DI397" i="1"/>
  <c r="DI398" i="1"/>
  <c r="DI399" i="1"/>
  <c r="DI400" i="1"/>
  <c r="DI401" i="1"/>
  <c r="DI402" i="1"/>
  <c r="DI403" i="1"/>
  <c r="DI404" i="1"/>
  <c r="DI405" i="1"/>
  <c r="DI406" i="1"/>
  <c r="DI407" i="1"/>
  <c r="DI408" i="1"/>
  <c r="DI409" i="1"/>
  <c r="DI410" i="1"/>
  <c r="DI411" i="1"/>
  <c r="DI412" i="1"/>
  <c r="DI413" i="1"/>
  <c r="DI414" i="1"/>
  <c r="DI415" i="1"/>
  <c r="DI416" i="1"/>
  <c r="DI417" i="1"/>
  <c r="DI418" i="1"/>
  <c r="DI419" i="1"/>
  <c r="DI420" i="1"/>
  <c r="DI421" i="1"/>
  <c r="DI422" i="1"/>
  <c r="DI423" i="1"/>
  <c r="DI424" i="1"/>
  <c r="DI425" i="1"/>
  <c r="DI426" i="1"/>
  <c r="DI427" i="1"/>
  <c r="DI428" i="1"/>
  <c r="DI429" i="1"/>
  <c r="DI430" i="1"/>
  <c r="DI431" i="1"/>
  <c r="DI432" i="1"/>
  <c r="DI433" i="1"/>
  <c r="DI434" i="1"/>
  <c r="DI435" i="1"/>
  <c r="DI436" i="1"/>
  <c r="DI437" i="1"/>
  <c r="DI438" i="1"/>
  <c r="DI439" i="1"/>
  <c r="DI440" i="1"/>
  <c r="DI441" i="1"/>
  <c r="DI442" i="1"/>
  <c r="DI443" i="1"/>
  <c r="DI444" i="1"/>
  <c r="DI445" i="1"/>
  <c r="DI446" i="1"/>
  <c r="DI447" i="1"/>
  <c r="DI448" i="1"/>
  <c r="DI449" i="1"/>
  <c r="DI450" i="1"/>
  <c r="DI451" i="1"/>
  <c r="DI452" i="1"/>
  <c r="DI453" i="1"/>
  <c r="DI454" i="1"/>
  <c r="DI455" i="1"/>
  <c r="DI456" i="1"/>
  <c r="DI457" i="1"/>
  <c r="DI458" i="1"/>
  <c r="DI459" i="1"/>
  <c r="DI460" i="1"/>
  <c r="DI461" i="1"/>
  <c r="DI462" i="1"/>
  <c r="DI463" i="1"/>
  <c r="DI464" i="1"/>
  <c r="DI465" i="1"/>
  <c r="DI466" i="1"/>
  <c r="DI467" i="1"/>
  <c r="DI468" i="1"/>
  <c r="DI469" i="1"/>
  <c r="DI470" i="1"/>
  <c r="DI471" i="1"/>
  <c r="DI472" i="1"/>
  <c r="DI473" i="1"/>
  <c r="DI474" i="1"/>
  <c r="DI475" i="1"/>
  <c r="DI476" i="1"/>
  <c r="DI477" i="1"/>
  <c r="DI478" i="1"/>
  <c r="DI479" i="1"/>
  <c r="DI480" i="1"/>
  <c r="DI481" i="1"/>
  <c r="DI482" i="1"/>
  <c r="DI483" i="1"/>
  <c r="DI484" i="1"/>
  <c r="DI485" i="1"/>
  <c r="DI486" i="1"/>
  <c r="DI487" i="1"/>
  <c r="DI488" i="1"/>
  <c r="DI489" i="1"/>
  <c r="DI490" i="1"/>
  <c r="DI491" i="1"/>
  <c r="DI492" i="1"/>
  <c r="DI493" i="1"/>
  <c r="DI494" i="1"/>
  <c r="DI495" i="1"/>
  <c r="DI496" i="1"/>
  <c r="DI497" i="1"/>
  <c r="DI498" i="1"/>
  <c r="DI499" i="1"/>
  <c r="DI500" i="1"/>
  <c r="DI501" i="1"/>
  <c r="DI502" i="1"/>
  <c r="DI503" i="1"/>
  <c r="DI504" i="1"/>
  <c r="DI505" i="1"/>
  <c r="DI506" i="1"/>
  <c r="DI507" i="1"/>
  <c r="DI508" i="1"/>
  <c r="DI509" i="1"/>
  <c r="DI510" i="1"/>
  <c r="DI511" i="1"/>
  <c r="DI512" i="1"/>
  <c r="DI513" i="1"/>
  <c r="DI514" i="1"/>
  <c r="DI515" i="1"/>
  <c r="DI516" i="1"/>
  <c r="DI517" i="1"/>
  <c r="DI518" i="1"/>
  <c r="DI519" i="1"/>
  <c r="DI520" i="1"/>
  <c r="DI521" i="1"/>
  <c r="DI522" i="1"/>
  <c r="DI523" i="1"/>
  <c r="DI524" i="1"/>
  <c r="DI525" i="1"/>
  <c r="DI526" i="1"/>
  <c r="DI527" i="1"/>
  <c r="DI528" i="1"/>
  <c r="DI529" i="1"/>
  <c r="DI530" i="1"/>
  <c r="DI531" i="1"/>
  <c r="DI532" i="1"/>
  <c r="DI533" i="1"/>
  <c r="DI534" i="1"/>
  <c r="DI535" i="1"/>
  <c r="DI536" i="1"/>
  <c r="DI537" i="1"/>
  <c r="DI538" i="1"/>
  <c r="DI539" i="1"/>
  <c r="DI540" i="1"/>
  <c r="DI541" i="1"/>
  <c r="DI542" i="1"/>
  <c r="DI543" i="1"/>
  <c r="DI544" i="1"/>
  <c r="DI545" i="1"/>
  <c r="DI546" i="1"/>
  <c r="DI547" i="1"/>
  <c r="DI548" i="1"/>
  <c r="DI549" i="1"/>
  <c r="DI550" i="1"/>
  <c r="DI551" i="1"/>
  <c r="DI552" i="1"/>
  <c r="DI553" i="1"/>
  <c r="DI554" i="1"/>
  <c r="DI555" i="1"/>
  <c r="DI556" i="1"/>
  <c r="DI557" i="1"/>
  <c r="DI558" i="1"/>
  <c r="DI559" i="1"/>
  <c r="DI560" i="1"/>
  <c r="DI561" i="1"/>
  <c r="DI562" i="1"/>
  <c r="DI563" i="1"/>
  <c r="DI564" i="1"/>
  <c r="DI565" i="1"/>
  <c r="DI566" i="1"/>
  <c r="DI567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0" i="1"/>
  <c r="DF311" i="1"/>
  <c r="DF312" i="1"/>
  <c r="DF313" i="1"/>
  <c r="DF314" i="1"/>
  <c r="DF315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2" i="1"/>
  <c r="DF333" i="1"/>
  <c r="DF334" i="1"/>
  <c r="DF335" i="1"/>
  <c r="DF336" i="1"/>
  <c r="DF337" i="1"/>
  <c r="DF338" i="1"/>
  <c r="DF339" i="1"/>
  <c r="DF340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5" i="1"/>
  <c r="DF356" i="1"/>
  <c r="DF357" i="1"/>
  <c r="DF358" i="1"/>
  <c r="DF359" i="1"/>
  <c r="DF360" i="1"/>
  <c r="DF361" i="1"/>
  <c r="DF362" i="1"/>
  <c r="DF363" i="1"/>
  <c r="DF364" i="1"/>
  <c r="DF365" i="1"/>
  <c r="DF366" i="1"/>
  <c r="DF367" i="1"/>
  <c r="DF368" i="1"/>
  <c r="DF369" i="1"/>
  <c r="DF370" i="1"/>
  <c r="DF371" i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DF384" i="1"/>
  <c r="DF385" i="1"/>
  <c r="DF386" i="1"/>
  <c r="DF387" i="1"/>
  <c r="DF388" i="1"/>
  <c r="DF389" i="1"/>
  <c r="DF390" i="1"/>
  <c r="DF391" i="1"/>
  <c r="DF392" i="1"/>
  <c r="DF393" i="1"/>
  <c r="DF394" i="1"/>
  <c r="DF395" i="1"/>
  <c r="DF396" i="1"/>
  <c r="DF397" i="1"/>
  <c r="DF398" i="1"/>
  <c r="DF399" i="1"/>
  <c r="DF400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5" i="1"/>
  <c r="DF416" i="1"/>
  <c r="DF417" i="1"/>
  <c r="DF418" i="1"/>
  <c r="DF419" i="1"/>
  <c r="DF420" i="1"/>
  <c r="DF421" i="1"/>
  <c r="DF422" i="1"/>
  <c r="DF423" i="1"/>
  <c r="DF424" i="1"/>
  <c r="DF425" i="1"/>
  <c r="DF426" i="1"/>
  <c r="DF427" i="1"/>
  <c r="DF428" i="1"/>
  <c r="DF429" i="1"/>
  <c r="DF430" i="1"/>
  <c r="DF431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5" i="1"/>
  <c r="DF446" i="1"/>
  <c r="DF447" i="1"/>
  <c r="DF448" i="1"/>
  <c r="DF449" i="1"/>
  <c r="DF450" i="1"/>
  <c r="DF451" i="1"/>
  <c r="DF452" i="1"/>
  <c r="DF453" i="1"/>
  <c r="DF454" i="1"/>
  <c r="DF455" i="1"/>
  <c r="DF456" i="1"/>
  <c r="DF457" i="1"/>
  <c r="DF458" i="1"/>
  <c r="DF459" i="1"/>
  <c r="DF460" i="1"/>
  <c r="DF461" i="1"/>
  <c r="DF462" i="1"/>
  <c r="DF463" i="1"/>
  <c r="DF464" i="1"/>
  <c r="DF465" i="1"/>
  <c r="DF466" i="1"/>
  <c r="DF467" i="1"/>
  <c r="DF468" i="1"/>
  <c r="DF469" i="1"/>
  <c r="DF470" i="1"/>
  <c r="DF471" i="1"/>
  <c r="DF472" i="1"/>
  <c r="DF473" i="1"/>
  <c r="DF474" i="1"/>
  <c r="DF475" i="1"/>
  <c r="DF476" i="1"/>
  <c r="DF477" i="1"/>
  <c r="DF478" i="1"/>
  <c r="DF479" i="1"/>
  <c r="DF480" i="1"/>
  <c r="DF481" i="1"/>
  <c r="DF482" i="1"/>
  <c r="DF483" i="1"/>
  <c r="DF484" i="1"/>
  <c r="DF485" i="1"/>
  <c r="DF486" i="1"/>
  <c r="DF487" i="1"/>
  <c r="DF488" i="1"/>
  <c r="DF489" i="1"/>
  <c r="DF490" i="1"/>
  <c r="DF491" i="1"/>
  <c r="DF492" i="1"/>
  <c r="DF493" i="1"/>
  <c r="DF494" i="1"/>
  <c r="DF495" i="1"/>
  <c r="DF496" i="1"/>
  <c r="DF497" i="1"/>
  <c r="DF498" i="1"/>
  <c r="DF499" i="1"/>
  <c r="DF500" i="1"/>
  <c r="DF501" i="1"/>
  <c r="DF502" i="1"/>
  <c r="DF503" i="1"/>
  <c r="DF504" i="1"/>
  <c r="DF505" i="1"/>
  <c r="DF506" i="1"/>
  <c r="DF507" i="1"/>
  <c r="DF508" i="1"/>
  <c r="DF509" i="1"/>
  <c r="DF510" i="1"/>
  <c r="DF511" i="1"/>
  <c r="DF512" i="1"/>
  <c r="DF513" i="1"/>
  <c r="DF514" i="1"/>
  <c r="DF515" i="1"/>
  <c r="DF516" i="1"/>
  <c r="DF517" i="1"/>
  <c r="DF518" i="1"/>
  <c r="DF519" i="1"/>
  <c r="DF520" i="1"/>
  <c r="DF521" i="1"/>
  <c r="DF522" i="1"/>
  <c r="DF523" i="1"/>
  <c r="DF524" i="1"/>
  <c r="DF525" i="1"/>
  <c r="DF526" i="1"/>
  <c r="DF527" i="1"/>
  <c r="DF528" i="1"/>
  <c r="DF529" i="1"/>
  <c r="DF530" i="1"/>
  <c r="DF531" i="1"/>
  <c r="DF532" i="1"/>
  <c r="DF533" i="1"/>
  <c r="DF534" i="1"/>
  <c r="DF535" i="1"/>
  <c r="DF536" i="1"/>
  <c r="DF537" i="1"/>
  <c r="DF538" i="1"/>
  <c r="DF539" i="1"/>
  <c r="DF540" i="1"/>
  <c r="DF541" i="1"/>
  <c r="DF542" i="1"/>
  <c r="DF543" i="1"/>
  <c r="DF544" i="1"/>
  <c r="DF545" i="1"/>
  <c r="DF546" i="1"/>
  <c r="DF547" i="1"/>
  <c r="DF548" i="1"/>
  <c r="DF549" i="1"/>
  <c r="DF550" i="1"/>
  <c r="DF551" i="1"/>
  <c r="DF552" i="1"/>
  <c r="DF553" i="1"/>
  <c r="DF554" i="1"/>
  <c r="DF555" i="1"/>
  <c r="DF556" i="1"/>
  <c r="DF557" i="1"/>
  <c r="DF558" i="1"/>
  <c r="DF559" i="1"/>
  <c r="DF560" i="1"/>
  <c r="DF561" i="1"/>
  <c r="DF562" i="1"/>
  <c r="DF563" i="1"/>
  <c r="DF564" i="1"/>
  <c r="DF565" i="1"/>
  <c r="DF566" i="1"/>
  <c r="DF567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3" i="1"/>
  <c r="DB264" i="1"/>
  <c r="DB265" i="1"/>
  <c r="DB266" i="1"/>
  <c r="DB267" i="1"/>
  <c r="DB268" i="1"/>
  <c r="DB269" i="1"/>
  <c r="DB270" i="1"/>
  <c r="DB271" i="1"/>
  <c r="DB272" i="1"/>
  <c r="DB273" i="1"/>
  <c r="DB274" i="1"/>
  <c r="DB275" i="1"/>
  <c r="DB276" i="1"/>
  <c r="DB277" i="1"/>
  <c r="DB278" i="1"/>
  <c r="DB279" i="1"/>
  <c r="DB280" i="1"/>
  <c r="DB281" i="1"/>
  <c r="DB282" i="1"/>
  <c r="DB283" i="1"/>
  <c r="DB284" i="1"/>
  <c r="DB285" i="1"/>
  <c r="DB286" i="1"/>
  <c r="DB287" i="1"/>
  <c r="DB288" i="1"/>
  <c r="DB289" i="1"/>
  <c r="DB290" i="1"/>
  <c r="DB291" i="1"/>
  <c r="DB292" i="1"/>
  <c r="DB293" i="1"/>
  <c r="DB294" i="1"/>
  <c r="DB295" i="1"/>
  <c r="DB296" i="1"/>
  <c r="DB297" i="1"/>
  <c r="DB298" i="1"/>
  <c r="DB299" i="1"/>
  <c r="DB300" i="1"/>
  <c r="DB301" i="1"/>
  <c r="DB302" i="1"/>
  <c r="DB303" i="1"/>
  <c r="DB304" i="1"/>
  <c r="DB305" i="1"/>
  <c r="DB306" i="1"/>
  <c r="DB307" i="1"/>
  <c r="DB308" i="1"/>
  <c r="DB309" i="1"/>
  <c r="DB310" i="1"/>
  <c r="DB311" i="1"/>
  <c r="DB312" i="1"/>
  <c r="DB313" i="1"/>
  <c r="DB314" i="1"/>
  <c r="DB315" i="1"/>
  <c r="DB316" i="1"/>
  <c r="DB317" i="1"/>
  <c r="DB318" i="1"/>
  <c r="DB319" i="1"/>
  <c r="DB320" i="1"/>
  <c r="DB321" i="1"/>
  <c r="DB322" i="1"/>
  <c r="DB323" i="1"/>
  <c r="DB324" i="1"/>
  <c r="DB325" i="1"/>
  <c r="DB326" i="1"/>
  <c r="DB327" i="1"/>
  <c r="DB328" i="1"/>
  <c r="DB329" i="1"/>
  <c r="DB330" i="1"/>
  <c r="DB331" i="1"/>
  <c r="DB332" i="1"/>
  <c r="DB333" i="1"/>
  <c r="DB334" i="1"/>
  <c r="DB335" i="1"/>
  <c r="DB336" i="1"/>
  <c r="DB337" i="1"/>
  <c r="DB338" i="1"/>
  <c r="DB339" i="1"/>
  <c r="DB340" i="1"/>
  <c r="DB341" i="1"/>
  <c r="DB342" i="1"/>
  <c r="DB343" i="1"/>
  <c r="DB344" i="1"/>
  <c r="DB345" i="1"/>
  <c r="DB346" i="1"/>
  <c r="DB347" i="1"/>
  <c r="DB348" i="1"/>
  <c r="DB349" i="1"/>
  <c r="DB350" i="1"/>
  <c r="DB351" i="1"/>
  <c r="DB352" i="1"/>
  <c r="DB353" i="1"/>
  <c r="DB354" i="1"/>
  <c r="DB355" i="1"/>
  <c r="DB356" i="1"/>
  <c r="DB357" i="1"/>
  <c r="DB358" i="1"/>
  <c r="DB359" i="1"/>
  <c r="DB360" i="1"/>
  <c r="DB361" i="1"/>
  <c r="DB362" i="1"/>
  <c r="DB363" i="1"/>
  <c r="DB364" i="1"/>
  <c r="DB365" i="1"/>
  <c r="DB366" i="1"/>
  <c r="DB367" i="1"/>
  <c r="DB368" i="1"/>
  <c r="DB369" i="1"/>
  <c r="DB370" i="1"/>
  <c r="DB371" i="1"/>
  <c r="DB372" i="1"/>
  <c r="DB373" i="1"/>
  <c r="DB374" i="1"/>
  <c r="DB375" i="1"/>
  <c r="DB376" i="1"/>
  <c r="DB377" i="1"/>
  <c r="DB378" i="1"/>
  <c r="DB379" i="1"/>
  <c r="DB380" i="1"/>
  <c r="DB381" i="1"/>
  <c r="DB382" i="1"/>
  <c r="DB383" i="1"/>
  <c r="DB384" i="1"/>
  <c r="DB385" i="1"/>
  <c r="DB386" i="1"/>
  <c r="DB387" i="1"/>
  <c r="DB388" i="1"/>
  <c r="DB389" i="1"/>
  <c r="DB390" i="1"/>
  <c r="DB391" i="1"/>
  <c r="DB392" i="1"/>
  <c r="DB393" i="1"/>
  <c r="DB394" i="1"/>
  <c r="DB395" i="1"/>
  <c r="DB396" i="1"/>
  <c r="DB397" i="1"/>
  <c r="DB398" i="1"/>
  <c r="DB399" i="1"/>
  <c r="DB400" i="1"/>
  <c r="DB401" i="1"/>
  <c r="DB402" i="1"/>
  <c r="DB403" i="1"/>
  <c r="DB404" i="1"/>
  <c r="DB405" i="1"/>
  <c r="DB406" i="1"/>
  <c r="DB407" i="1"/>
  <c r="DB408" i="1"/>
  <c r="DB409" i="1"/>
  <c r="DB410" i="1"/>
  <c r="DB411" i="1"/>
  <c r="DB412" i="1"/>
  <c r="DB413" i="1"/>
  <c r="DB414" i="1"/>
  <c r="DB415" i="1"/>
  <c r="DB416" i="1"/>
  <c r="DB417" i="1"/>
  <c r="DB418" i="1"/>
  <c r="DB419" i="1"/>
  <c r="DB420" i="1"/>
  <c r="DB421" i="1"/>
  <c r="DB422" i="1"/>
  <c r="DB423" i="1"/>
  <c r="DB424" i="1"/>
  <c r="DB425" i="1"/>
  <c r="DB426" i="1"/>
  <c r="DB427" i="1"/>
  <c r="DB428" i="1"/>
  <c r="DB429" i="1"/>
  <c r="DB430" i="1"/>
  <c r="DB431" i="1"/>
  <c r="DB432" i="1"/>
  <c r="DB433" i="1"/>
  <c r="DB434" i="1"/>
  <c r="DB435" i="1"/>
  <c r="DB436" i="1"/>
  <c r="DB437" i="1"/>
  <c r="DB438" i="1"/>
  <c r="DB439" i="1"/>
  <c r="DB440" i="1"/>
  <c r="DB441" i="1"/>
  <c r="DB442" i="1"/>
  <c r="DB443" i="1"/>
  <c r="DB444" i="1"/>
  <c r="DB445" i="1"/>
  <c r="DB446" i="1"/>
  <c r="DB447" i="1"/>
  <c r="DB448" i="1"/>
  <c r="DB449" i="1"/>
  <c r="DB450" i="1"/>
  <c r="DB451" i="1"/>
  <c r="DB452" i="1"/>
  <c r="DB453" i="1"/>
  <c r="DB454" i="1"/>
  <c r="DB455" i="1"/>
  <c r="DB456" i="1"/>
  <c r="DB457" i="1"/>
  <c r="DB458" i="1"/>
  <c r="DB459" i="1"/>
  <c r="DB460" i="1"/>
  <c r="DB461" i="1"/>
  <c r="DB462" i="1"/>
  <c r="DB463" i="1"/>
  <c r="DB464" i="1"/>
  <c r="DB465" i="1"/>
  <c r="DB466" i="1"/>
  <c r="DB467" i="1"/>
  <c r="DB468" i="1"/>
  <c r="DB469" i="1"/>
  <c r="DB470" i="1"/>
  <c r="DB471" i="1"/>
  <c r="DB472" i="1"/>
  <c r="DB473" i="1"/>
  <c r="DB474" i="1"/>
  <c r="DB475" i="1"/>
  <c r="DB476" i="1"/>
  <c r="DB477" i="1"/>
  <c r="DB478" i="1"/>
  <c r="DB479" i="1"/>
  <c r="DB480" i="1"/>
  <c r="DB481" i="1"/>
  <c r="DB482" i="1"/>
  <c r="DB483" i="1"/>
  <c r="DB484" i="1"/>
  <c r="DB485" i="1"/>
  <c r="DB486" i="1"/>
  <c r="DB487" i="1"/>
  <c r="DB488" i="1"/>
  <c r="DB489" i="1"/>
  <c r="DB490" i="1"/>
  <c r="DB491" i="1"/>
  <c r="DB492" i="1"/>
  <c r="DB493" i="1"/>
  <c r="DB494" i="1"/>
  <c r="DB495" i="1"/>
  <c r="DB496" i="1"/>
  <c r="DB497" i="1"/>
  <c r="DB498" i="1"/>
  <c r="DB499" i="1"/>
  <c r="DB500" i="1"/>
  <c r="DB501" i="1"/>
  <c r="DB502" i="1"/>
  <c r="DB503" i="1"/>
  <c r="DB504" i="1"/>
  <c r="DB505" i="1"/>
  <c r="DB506" i="1"/>
  <c r="DB507" i="1"/>
  <c r="DB508" i="1"/>
  <c r="DB509" i="1"/>
  <c r="DB510" i="1"/>
  <c r="DB511" i="1"/>
  <c r="DB512" i="1"/>
  <c r="DB513" i="1"/>
  <c r="DB514" i="1"/>
  <c r="DB515" i="1"/>
  <c r="DB516" i="1"/>
  <c r="DB517" i="1"/>
  <c r="DB518" i="1"/>
  <c r="DB519" i="1"/>
  <c r="DB520" i="1"/>
  <c r="DB521" i="1"/>
  <c r="DB522" i="1"/>
  <c r="DB523" i="1"/>
  <c r="DB524" i="1"/>
  <c r="DB525" i="1"/>
  <c r="DB526" i="1"/>
  <c r="DB527" i="1"/>
  <c r="DB528" i="1"/>
  <c r="DB529" i="1"/>
  <c r="DB530" i="1"/>
  <c r="DB531" i="1"/>
  <c r="DB532" i="1"/>
  <c r="DB533" i="1"/>
  <c r="DB534" i="1"/>
  <c r="DB535" i="1"/>
  <c r="DB536" i="1"/>
  <c r="DB537" i="1"/>
  <c r="DB538" i="1"/>
  <c r="DB539" i="1"/>
  <c r="DB540" i="1"/>
  <c r="DB541" i="1"/>
  <c r="DB542" i="1"/>
  <c r="DB543" i="1"/>
  <c r="DB544" i="1"/>
  <c r="DB545" i="1"/>
  <c r="DB546" i="1"/>
  <c r="DB547" i="1"/>
  <c r="DB548" i="1"/>
  <c r="DB549" i="1"/>
  <c r="DB550" i="1"/>
  <c r="DB551" i="1"/>
  <c r="DB552" i="1"/>
  <c r="DB553" i="1"/>
  <c r="DB554" i="1"/>
  <c r="DB555" i="1"/>
  <c r="DB556" i="1"/>
  <c r="DB557" i="1"/>
  <c r="DB558" i="1"/>
  <c r="DB559" i="1"/>
  <c r="DB560" i="1"/>
  <c r="DB561" i="1"/>
  <c r="DB562" i="1"/>
  <c r="DB563" i="1"/>
  <c r="DB564" i="1"/>
  <c r="DB565" i="1"/>
  <c r="DB566" i="1"/>
  <c r="DB567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176" i="1"/>
  <c r="CV177" i="1"/>
  <c r="CV178" i="1"/>
  <c r="CV179" i="1"/>
  <c r="CV180" i="1"/>
  <c r="CV181" i="1"/>
  <c r="CV182" i="1"/>
  <c r="CV183" i="1"/>
  <c r="CV184" i="1"/>
  <c r="CV185" i="1"/>
  <c r="CV186" i="1"/>
  <c r="CV187" i="1"/>
  <c r="CV188" i="1"/>
  <c r="CV189" i="1"/>
  <c r="CV190" i="1"/>
  <c r="CV191" i="1"/>
  <c r="CV192" i="1"/>
  <c r="CV193" i="1"/>
  <c r="CV194" i="1"/>
  <c r="CV195" i="1"/>
  <c r="CV196" i="1"/>
  <c r="CV197" i="1"/>
  <c r="CV198" i="1"/>
  <c r="CV199" i="1"/>
  <c r="CV200" i="1"/>
  <c r="CV201" i="1"/>
  <c r="CV202" i="1"/>
  <c r="CV203" i="1"/>
  <c r="CV204" i="1"/>
  <c r="CV205" i="1"/>
  <c r="CV206" i="1"/>
  <c r="CV207" i="1"/>
  <c r="CV208" i="1"/>
  <c r="CV209" i="1"/>
  <c r="CV210" i="1"/>
  <c r="CV211" i="1"/>
  <c r="CV212" i="1"/>
  <c r="CV213" i="1"/>
  <c r="CV214" i="1"/>
  <c r="CV215" i="1"/>
  <c r="CV216" i="1"/>
  <c r="CV217" i="1"/>
  <c r="CV218" i="1"/>
  <c r="CV219" i="1"/>
  <c r="CV220" i="1"/>
  <c r="CV221" i="1"/>
  <c r="CV222" i="1"/>
  <c r="CV223" i="1"/>
  <c r="CV224" i="1"/>
  <c r="CV225" i="1"/>
  <c r="CV226" i="1"/>
  <c r="CV227" i="1"/>
  <c r="CV228" i="1"/>
  <c r="CV229" i="1"/>
  <c r="CV230" i="1"/>
  <c r="CV231" i="1"/>
  <c r="CV232" i="1"/>
  <c r="CV233" i="1"/>
  <c r="CV234" i="1"/>
  <c r="CV235" i="1"/>
  <c r="CV236" i="1"/>
  <c r="CV237" i="1"/>
  <c r="CV238" i="1"/>
  <c r="CV239" i="1"/>
  <c r="CV240" i="1"/>
  <c r="CV241" i="1"/>
  <c r="CV242" i="1"/>
  <c r="CV243" i="1"/>
  <c r="CV244" i="1"/>
  <c r="CV245" i="1"/>
  <c r="CV246" i="1"/>
  <c r="CV247" i="1"/>
  <c r="CV248" i="1"/>
  <c r="CV249" i="1"/>
  <c r="CV250" i="1"/>
  <c r="CV251" i="1"/>
  <c r="CV252" i="1"/>
  <c r="CV253" i="1"/>
  <c r="CV254" i="1"/>
  <c r="CV255" i="1"/>
  <c r="CV256" i="1"/>
  <c r="CV257" i="1"/>
  <c r="CV258" i="1"/>
  <c r="CV259" i="1"/>
  <c r="CV260" i="1"/>
  <c r="CV261" i="1"/>
  <c r="CV262" i="1"/>
  <c r="CV263" i="1"/>
  <c r="CV264" i="1"/>
  <c r="CV265" i="1"/>
  <c r="CV266" i="1"/>
  <c r="CV267" i="1"/>
  <c r="CV268" i="1"/>
  <c r="CV269" i="1"/>
  <c r="CV270" i="1"/>
  <c r="CV271" i="1"/>
  <c r="CV272" i="1"/>
  <c r="CV273" i="1"/>
  <c r="CV274" i="1"/>
  <c r="CV275" i="1"/>
  <c r="CV276" i="1"/>
  <c r="CV277" i="1"/>
  <c r="CV278" i="1"/>
  <c r="CV279" i="1"/>
  <c r="CV280" i="1"/>
  <c r="CV281" i="1"/>
  <c r="CV282" i="1"/>
  <c r="CV283" i="1"/>
  <c r="CV284" i="1"/>
  <c r="CV285" i="1"/>
  <c r="CV286" i="1"/>
  <c r="CV287" i="1"/>
  <c r="CV288" i="1"/>
  <c r="CV289" i="1"/>
  <c r="CV290" i="1"/>
  <c r="CV291" i="1"/>
  <c r="CV292" i="1"/>
  <c r="CV293" i="1"/>
  <c r="CV294" i="1"/>
  <c r="CV295" i="1"/>
  <c r="CV296" i="1"/>
  <c r="CV297" i="1"/>
  <c r="CV298" i="1"/>
  <c r="CV299" i="1"/>
  <c r="CV300" i="1"/>
  <c r="CV301" i="1"/>
  <c r="CV302" i="1"/>
  <c r="CV303" i="1"/>
  <c r="CV304" i="1"/>
  <c r="CV305" i="1"/>
  <c r="CV306" i="1"/>
  <c r="CV307" i="1"/>
  <c r="CV308" i="1"/>
  <c r="CV309" i="1"/>
  <c r="CV310" i="1"/>
  <c r="CV311" i="1"/>
  <c r="CV312" i="1"/>
  <c r="CV313" i="1"/>
  <c r="CV314" i="1"/>
  <c r="CV315" i="1"/>
  <c r="CV316" i="1"/>
  <c r="CV317" i="1"/>
  <c r="CV318" i="1"/>
  <c r="CV319" i="1"/>
  <c r="CV320" i="1"/>
  <c r="CV321" i="1"/>
  <c r="CV322" i="1"/>
  <c r="CV323" i="1"/>
  <c r="CV324" i="1"/>
  <c r="CV325" i="1"/>
  <c r="CV326" i="1"/>
  <c r="CV327" i="1"/>
  <c r="CV328" i="1"/>
  <c r="CV329" i="1"/>
  <c r="CV330" i="1"/>
  <c r="CV331" i="1"/>
  <c r="CV332" i="1"/>
  <c r="CV333" i="1"/>
  <c r="CV334" i="1"/>
  <c r="CV335" i="1"/>
  <c r="CV336" i="1"/>
  <c r="CV337" i="1"/>
  <c r="CV338" i="1"/>
  <c r="CV339" i="1"/>
  <c r="CV340" i="1"/>
  <c r="CV341" i="1"/>
  <c r="CV342" i="1"/>
  <c r="CV343" i="1"/>
  <c r="CV344" i="1"/>
  <c r="CV345" i="1"/>
  <c r="CV346" i="1"/>
  <c r="CV347" i="1"/>
  <c r="CV348" i="1"/>
  <c r="CV349" i="1"/>
  <c r="CV350" i="1"/>
  <c r="CV351" i="1"/>
  <c r="CV352" i="1"/>
  <c r="CV353" i="1"/>
  <c r="CV354" i="1"/>
  <c r="CV355" i="1"/>
  <c r="CV356" i="1"/>
  <c r="CV357" i="1"/>
  <c r="CV358" i="1"/>
  <c r="CV359" i="1"/>
  <c r="CV360" i="1"/>
  <c r="CV361" i="1"/>
  <c r="CV362" i="1"/>
  <c r="CV363" i="1"/>
  <c r="CV364" i="1"/>
  <c r="CV365" i="1"/>
  <c r="CV366" i="1"/>
  <c r="CV367" i="1"/>
  <c r="CV368" i="1"/>
  <c r="CV369" i="1"/>
  <c r="CV370" i="1"/>
  <c r="CV371" i="1"/>
  <c r="CV372" i="1"/>
  <c r="CV373" i="1"/>
  <c r="CV374" i="1"/>
  <c r="CV375" i="1"/>
  <c r="CV376" i="1"/>
  <c r="CV377" i="1"/>
  <c r="CV378" i="1"/>
  <c r="CV379" i="1"/>
  <c r="CV380" i="1"/>
  <c r="CV381" i="1"/>
  <c r="CV382" i="1"/>
  <c r="CV383" i="1"/>
  <c r="CV384" i="1"/>
  <c r="CV385" i="1"/>
  <c r="CV386" i="1"/>
  <c r="CV387" i="1"/>
  <c r="CV388" i="1"/>
  <c r="CV389" i="1"/>
  <c r="CV390" i="1"/>
  <c r="CV391" i="1"/>
  <c r="CV392" i="1"/>
  <c r="CV393" i="1"/>
  <c r="CV394" i="1"/>
  <c r="CV395" i="1"/>
  <c r="CV396" i="1"/>
  <c r="CV397" i="1"/>
  <c r="CV398" i="1"/>
  <c r="CV399" i="1"/>
  <c r="CV400" i="1"/>
  <c r="CV401" i="1"/>
  <c r="CV402" i="1"/>
  <c r="CV403" i="1"/>
  <c r="CV404" i="1"/>
  <c r="CV405" i="1"/>
  <c r="CV406" i="1"/>
  <c r="CV407" i="1"/>
  <c r="CV408" i="1"/>
  <c r="CV409" i="1"/>
  <c r="CV410" i="1"/>
  <c r="CV411" i="1"/>
  <c r="CV412" i="1"/>
  <c r="CV413" i="1"/>
  <c r="CV414" i="1"/>
  <c r="CV415" i="1"/>
  <c r="CV416" i="1"/>
  <c r="CV417" i="1"/>
  <c r="CV418" i="1"/>
  <c r="CV419" i="1"/>
  <c r="CV420" i="1"/>
  <c r="CV421" i="1"/>
  <c r="CV422" i="1"/>
  <c r="CV423" i="1"/>
  <c r="CV424" i="1"/>
  <c r="CV425" i="1"/>
  <c r="CV426" i="1"/>
  <c r="CV427" i="1"/>
  <c r="CV428" i="1"/>
  <c r="CV429" i="1"/>
  <c r="CV430" i="1"/>
  <c r="CV431" i="1"/>
  <c r="CV432" i="1"/>
  <c r="CV433" i="1"/>
  <c r="CV434" i="1"/>
  <c r="CV435" i="1"/>
  <c r="CV436" i="1"/>
  <c r="CV437" i="1"/>
  <c r="CV438" i="1"/>
  <c r="CV439" i="1"/>
  <c r="CV440" i="1"/>
  <c r="CV441" i="1"/>
  <c r="CV442" i="1"/>
  <c r="CV443" i="1"/>
  <c r="CV444" i="1"/>
  <c r="CV445" i="1"/>
  <c r="CV446" i="1"/>
  <c r="CV447" i="1"/>
  <c r="CV448" i="1"/>
  <c r="CV449" i="1"/>
  <c r="CV450" i="1"/>
  <c r="CV451" i="1"/>
  <c r="CV452" i="1"/>
  <c r="CV453" i="1"/>
  <c r="CV454" i="1"/>
  <c r="CV455" i="1"/>
  <c r="CV456" i="1"/>
  <c r="CV457" i="1"/>
  <c r="CV458" i="1"/>
  <c r="CV459" i="1"/>
  <c r="CV460" i="1"/>
  <c r="CV461" i="1"/>
  <c r="CV462" i="1"/>
  <c r="CV463" i="1"/>
  <c r="CV464" i="1"/>
  <c r="CV465" i="1"/>
  <c r="CV466" i="1"/>
  <c r="CV467" i="1"/>
  <c r="CV468" i="1"/>
  <c r="CV469" i="1"/>
  <c r="CV470" i="1"/>
  <c r="CV471" i="1"/>
  <c r="CV472" i="1"/>
  <c r="CV473" i="1"/>
  <c r="CV474" i="1"/>
  <c r="CV475" i="1"/>
  <c r="CV476" i="1"/>
  <c r="CV477" i="1"/>
  <c r="CV478" i="1"/>
  <c r="CV479" i="1"/>
  <c r="CV480" i="1"/>
  <c r="CV481" i="1"/>
  <c r="CV482" i="1"/>
  <c r="CV483" i="1"/>
  <c r="CV484" i="1"/>
  <c r="CV485" i="1"/>
  <c r="CV486" i="1"/>
  <c r="CV487" i="1"/>
  <c r="CV488" i="1"/>
  <c r="CV489" i="1"/>
  <c r="CV490" i="1"/>
  <c r="CV491" i="1"/>
  <c r="CV492" i="1"/>
  <c r="CV493" i="1"/>
  <c r="CV494" i="1"/>
  <c r="CV495" i="1"/>
  <c r="CV496" i="1"/>
  <c r="CV497" i="1"/>
  <c r="CV498" i="1"/>
  <c r="CV499" i="1"/>
  <c r="CV500" i="1"/>
  <c r="CV501" i="1"/>
  <c r="CV502" i="1"/>
  <c r="CV503" i="1"/>
  <c r="CV504" i="1"/>
  <c r="CV505" i="1"/>
  <c r="CV506" i="1"/>
  <c r="CV507" i="1"/>
  <c r="CV508" i="1"/>
  <c r="CV509" i="1"/>
  <c r="CV510" i="1"/>
  <c r="CV511" i="1"/>
  <c r="CV512" i="1"/>
  <c r="CV513" i="1"/>
  <c r="CV514" i="1"/>
  <c r="CV515" i="1"/>
  <c r="CV516" i="1"/>
  <c r="CV517" i="1"/>
  <c r="CV518" i="1"/>
  <c r="CV519" i="1"/>
  <c r="CV520" i="1"/>
  <c r="CV521" i="1"/>
  <c r="CV522" i="1"/>
  <c r="CV523" i="1"/>
  <c r="CV524" i="1"/>
  <c r="CV525" i="1"/>
  <c r="CV526" i="1"/>
  <c r="CV527" i="1"/>
  <c r="CV528" i="1"/>
  <c r="CV529" i="1"/>
  <c r="CV530" i="1"/>
  <c r="CV531" i="1"/>
  <c r="CV532" i="1"/>
  <c r="CV533" i="1"/>
  <c r="CV534" i="1"/>
  <c r="CV535" i="1"/>
  <c r="CV536" i="1"/>
  <c r="CV537" i="1"/>
  <c r="CV538" i="1"/>
  <c r="CV539" i="1"/>
  <c r="CV540" i="1"/>
  <c r="CV541" i="1"/>
  <c r="CV542" i="1"/>
  <c r="CV543" i="1"/>
  <c r="CV544" i="1"/>
  <c r="CV545" i="1"/>
  <c r="CV546" i="1"/>
  <c r="CV547" i="1"/>
  <c r="CV548" i="1"/>
  <c r="CV549" i="1"/>
  <c r="CV550" i="1"/>
  <c r="CV551" i="1"/>
  <c r="CV552" i="1"/>
  <c r="CV553" i="1"/>
  <c r="CV554" i="1"/>
  <c r="CV555" i="1"/>
  <c r="CV556" i="1"/>
  <c r="CV557" i="1"/>
  <c r="CV558" i="1"/>
  <c r="CV559" i="1"/>
  <c r="CV560" i="1"/>
  <c r="CV561" i="1"/>
  <c r="CV562" i="1"/>
  <c r="CV563" i="1"/>
  <c r="CV564" i="1"/>
  <c r="CV565" i="1"/>
  <c r="CV566" i="1"/>
  <c r="CV567" i="1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208" i="1"/>
  <c r="CT209" i="1"/>
  <c r="CT210" i="1"/>
  <c r="CT211" i="1"/>
  <c r="CT212" i="1"/>
  <c r="CT213" i="1"/>
  <c r="CT214" i="1"/>
  <c r="CT215" i="1"/>
  <c r="CT216" i="1"/>
  <c r="CT217" i="1"/>
  <c r="CT218" i="1"/>
  <c r="CT219" i="1"/>
  <c r="CT220" i="1"/>
  <c r="CT221" i="1"/>
  <c r="CT222" i="1"/>
  <c r="CT223" i="1"/>
  <c r="CT224" i="1"/>
  <c r="CT225" i="1"/>
  <c r="CT226" i="1"/>
  <c r="CT227" i="1"/>
  <c r="CT228" i="1"/>
  <c r="CT229" i="1"/>
  <c r="CT230" i="1"/>
  <c r="CT231" i="1"/>
  <c r="CT232" i="1"/>
  <c r="CT233" i="1"/>
  <c r="CT234" i="1"/>
  <c r="CT235" i="1"/>
  <c r="CT236" i="1"/>
  <c r="CT237" i="1"/>
  <c r="CT238" i="1"/>
  <c r="CT239" i="1"/>
  <c r="CT240" i="1"/>
  <c r="CT241" i="1"/>
  <c r="CT242" i="1"/>
  <c r="CT243" i="1"/>
  <c r="CT244" i="1"/>
  <c r="CT245" i="1"/>
  <c r="CT246" i="1"/>
  <c r="CT247" i="1"/>
  <c r="CT248" i="1"/>
  <c r="CT249" i="1"/>
  <c r="CT250" i="1"/>
  <c r="CT251" i="1"/>
  <c r="CT252" i="1"/>
  <c r="CT253" i="1"/>
  <c r="CT254" i="1"/>
  <c r="CT255" i="1"/>
  <c r="CT256" i="1"/>
  <c r="CT257" i="1"/>
  <c r="CT258" i="1"/>
  <c r="CT259" i="1"/>
  <c r="CT260" i="1"/>
  <c r="CT261" i="1"/>
  <c r="CT262" i="1"/>
  <c r="CT263" i="1"/>
  <c r="CT264" i="1"/>
  <c r="CT265" i="1"/>
  <c r="CT266" i="1"/>
  <c r="CT267" i="1"/>
  <c r="CT268" i="1"/>
  <c r="CT269" i="1"/>
  <c r="CT270" i="1"/>
  <c r="CT271" i="1"/>
  <c r="CT272" i="1"/>
  <c r="CT273" i="1"/>
  <c r="CT274" i="1"/>
  <c r="CT275" i="1"/>
  <c r="CT276" i="1"/>
  <c r="CT277" i="1"/>
  <c r="CT278" i="1"/>
  <c r="CT279" i="1"/>
  <c r="CT280" i="1"/>
  <c r="CT281" i="1"/>
  <c r="CT282" i="1"/>
  <c r="CT283" i="1"/>
  <c r="CT284" i="1"/>
  <c r="CT285" i="1"/>
  <c r="CT286" i="1"/>
  <c r="CT287" i="1"/>
  <c r="CT288" i="1"/>
  <c r="CT289" i="1"/>
  <c r="CT290" i="1"/>
  <c r="CT291" i="1"/>
  <c r="CT292" i="1"/>
  <c r="CT293" i="1"/>
  <c r="CT294" i="1"/>
  <c r="CT295" i="1"/>
  <c r="CT296" i="1"/>
  <c r="CT297" i="1"/>
  <c r="CT298" i="1"/>
  <c r="CT299" i="1"/>
  <c r="CT300" i="1"/>
  <c r="CT301" i="1"/>
  <c r="CT302" i="1"/>
  <c r="CT303" i="1"/>
  <c r="CT304" i="1"/>
  <c r="CT305" i="1"/>
  <c r="CT306" i="1"/>
  <c r="CT307" i="1"/>
  <c r="CT308" i="1"/>
  <c r="CT309" i="1"/>
  <c r="CT310" i="1"/>
  <c r="CT311" i="1"/>
  <c r="CT312" i="1"/>
  <c r="CT313" i="1"/>
  <c r="CT314" i="1"/>
  <c r="CT315" i="1"/>
  <c r="CT316" i="1"/>
  <c r="CT317" i="1"/>
  <c r="CT318" i="1"/>
  <c r="CT319" i="1"/>
  <c r="CT320" i="1"/>
  <c r="CT321" i="1"/>
  <c r="CT322" i="1"/>
  <c r="CT323" i="1"/>
  <c r="CT324" i="1"/>
  <c r="CT325" i="1"/>
  <c r="CT326" i="1"/>
  <c r="CT327" i="1"/>
  <c r="CT328" i="1"/>
  <c r="CT329" i="1"/>
  <c r="CT330" i="1"/>
  <c r="CT331" i="1"/>
  <c r="CT332" i="1"/>
  <c r="CT333" i="1"/>
  <c r="CT334" i="1"/>
  <c r="CT335" i="1"/>
  <c r="CT336" i="1"/>
  <c r="CT337" i="1"/>
  <c r="CT338" i="1"/>
  <c r="CT339" i="1"/>
  <c r="CT340" i="1"/>
  <c r="CT341" i="1"/>
  <c r="CT342" i="1"/>
  <c r="CT343" i="1"/>
  <c r="CT344" i="1"/>
  <c r="CT345" i="1"/>
  <c r="CT346" i="1"/>
  <c r="CT347" i="1"/>
  <c r="CT348" i="1"/>
  <c r="CT349" i="1"/>
  <c r="CT350" i="1"/>
  <c r="CT351" i="1"/>
  <c r="CT352" i="1"/>
  <c r="CT353" i="1"/>
  <c r="CT354" i="1"/>
  <c r="CT355" i="1"/>
  <c r="CT356" i="1"/>
  <c r="CT357" i="1"/>
  <c r="CT358" i="1"/>
  <c r="CT359" i="1"/>
  <c r="CT360" i="1"/>
  <c r="CT361" i="1"/>
  <c r="CT362" i="1"/>
  <c r="CT363" i="1"/>
  <c r="CT364" i="1"/>
  <c r="CT365" i="1"/>
  <c r="CT366" i="1"/>
  <c r="CT367" i="1"/>
  <c r="CT368" i="1"/>
  <c r="CT369" i="1"/>
  <c r="CT370" i="1"/>
  <c r="CT371" i="1"/>
  <c r="CT372" i="1"/>
  <c r="CT373" i="1"/>
  <c r="CT374" i="1"/>
  <c r="CT375" i="1"/>
  <c r="CT376" i="1"/>
  <c r="CT377" i="1"/>
  <c r="CT378" i="1"/>
  <c r="CT379" i="1"/>
  <c r="CT380" i="1"/>
  <c r="CT381" i="1"/>
  <c r="CT382" i="1"/>
  <c r="CT383" i="1"/>
  <c r="CT384" i="1"/>
  <c r="CT385" i="1"/>
  <c r="CT386" i="1"/>
  <c r="CT387" i="1"/>
  <c r="CT388" i="1"/>
  <c r="CT389" i="1"/>
  <c r="CT390" i="1"/>
  <c r="CT391" i="1"/>
  <c r="CT392" i="1"/>
  <c r="CT393" i="1"/>
  <c r="CT394" i="1"/>
  <c r="CT395" i="1"/>
  <c r="CT396" i="1"/>
  <c r="CT397" i="1"/>
  <c r="CT398" i="1"/>
  <c r="CT399" i="1"/>
  <c r="CT400" i="1"/>
  <c r="CT401" i="1"/>
  <c r="CT402" i="1"/>
  <c r="CT403" i="1"/>
  <c r="CT404" i="1"/>
  <c r="CT405" i="1"/>
  <c r="CT406" i="1"/>
  <c r="CT407" i="1"/>
  <c r="CT408" i="1"/>
  <c r="CT409" i="1"/>
  <c r="CT410" i="1"/>
  <c r="CT411" i="1"/>
  <c r="CT412" i="1"/>
  <c r="CT413" i="1"/>
  <c r="CT414" i="1"/>
  <c r="CT415" i="1"/>
  <c r="CT416" i="1"/>
  <c r="CT417" i="1"/>
  <c r="CT418" i="1"/>
  <c r="CT419" i="1"/>
  <c r="CT420" i="1"/>
  <c r="CT421" i="1"/>
  <c r="CT422" i="1"/>
  <c r="CT423" i="1"/>
  <c r="CT424" i="1"/>
  <c r="CT425" i="1"/>
  <c r="CT426" i="1"/>
  <c r="CT427" i="1"/>
  <c r="CT428" i="1"/>
  <c r="CT429" i="1"/>
  <c r="CT430" i="1"/>
  <c r="CT431" i="1"/>
  <c r="CT432" i="1"/>
  <c r="CT433" i="1"/>
  <c r="CT434" i="1"/>
  <c r="CT435" i="1"/>
  <c r="CT436" i="1"/>
  <c r="CT437" i="1"/>
  <c r="CT438" i="1"/>
  <c r="CT439" i="1"/>
  <c r="CT440" i="1"/>
  <c r="CT441" i="1"/>
  <c r="CT442" i="1"/>
  <c r="CT443" i="1"/>
  <c r="CT444" i="1"/>
  <c r="CT445" i="1"/>
  <c r="CT446" i="1"/>
  <c r="CT447" i="1"/>
  <c r="CT448" i="1"/>
  <c r="CT449" i="1"/>
  <c r="CT450" i="1"/>
  <c r="CT451" i="1"/>
  <c r="CT452" i="1"/>
  <c r="CT453" i="1"/>
  <c r="CT454" i="1"/>
  <c r="CT455" i="1"/>
  <c r="CT456" i="1"/>
  <c r="CT457" i="1"/>
  <c r="CT458" i="1"/>
  <c r="CT459" i="1"/>
  <c r="CT460" i="1"/>
  <c r="CT461" i="1"/>
  <c r="CT462" i="1"/>
  <c r="CT463" i="1"/>
  <c r="CT464" i="1"/>
  <c r="CT465" i="1"/>
  <c r="CT466" i="1"/>
  <c r="CT467" i="1"/>
  <c r="CT468" i="1"/>
  <c r="CT469" i="1"/>
  <c r="CT470" i="1"/>
  <c r="CT471" i="1"/>
  <c r="CT472" i="1"/>
  <c r="CT473" i="1"/>
  <c r="CT474" i="1"/>
  <c r="CT475" i="1"/>
  <c r="CT476" i="1"/>
  <c r="CT477" i="1"/>
  <c r="CT478" i="1"/>
  <c r="CT479" i="1"/>
  <c r="CT480" i="1"/>
  <c r="CT481" i="1"/>
  <c r="CT482" i="1"/>
  <c r="CT483" i="1"/>
  <c r="CT484" i="1"/>
  <c r="CT485" i="1"/>
  <c r="CT486" i="1"/>
  <c r="CT487" i="1"/>
  <c r="CT488" i="1"/>
  <c r="CT489" i="1"/>
  <c r="CT490" i="1"/>
  <c r="CT491" i="1"/>
  <c r="CT492" i="1"/>
  <c r="CT493" i="1"/>
  <c r="CT494" i="1"/>
  <c r="CT495" i="1"/>
  <c r="CT496" i="1"/>
  <c r="CT497" i="1"/>
  <c r="CT498" i="1"/>
  <c r="CT499" i="1"/>
  <c r="CT500" i="1"/>
  <c r="CT501" i="1"/>
  <c r="CT502" i="1"/>
  <c r="CT503" i="1"/>
  <c r="CT504" i="1"/>
  <c r="CT505" i="1"/>
  <c r="CT506" i="1"/>
  <c r="CT507" i="1"/>
  <c r="CT508" i="1"/>
  <c r="CT509" i="1"/>
  <c r="CT510" i="1"/>
  <c r="CT511" i="1"/>
  <c r="CT512" i="1"/>
  <c r="CT513" i="1"/>
  <c r="CT514" i="1"/>
  <c r="CT515" i="1"/>
  <c r="CT516" i="1"/>
  <c r="CT517" i="1"/>
  <c r="CT518" i="1"/>
  <c r="CT519" i="1"/>
  <c r="CT520" i="1"/>
  <c r="CT521" i="1"/>
  <c r="CT522" i="1"/>
  <c r="CT523" i="1"/>
  <c r="CT524" i="1"/>
  <c r="CT525" i="1"/>
  <c r="CT526" i="1"/>
  <c r="CT527" i="1"/>
  <c r="CT528" i="1"/>
  <c r="CT529" i="1"/>
  <c r="CT530" i="1"/>
  <c r="CT531" i="1"/>
  <c r="CT532" i="1"/>
  <c r="CT533" i="1"/>
  <c r="CT534" i="1"/>
  <c r="CT535" i="1"/>
  <c r="CT536" i="1"/>
  <c r="CT537" i="1"/>
  <c r="CT538" i="1"/>
  <c r="CT539" i="1"/>
  <c r="CT540" i="1"/>
  <c r="CT541" i="1"/>
  <c r="CT542" i="1"/>
  <c r="CT543" i="1"/>
  <c r="CT544" i="1"/>
  <c r="CT545" i="1"/>
  <c r="CT546" i="1"/>
  <c r="CT547" i="1"/>
  <c r="CT548" i="1"/>
  <c r="CT549" i="1"/>
  <c r="CT550" i="1"/>
  <c r="CT551" i="1"/>
  <c r="CT552" i="1"/>
  <c r="CT553" i="1"/>
  <c r="CT554" i="1"/>
  <c r="CT555" i="1"/>
  <c r="CT556" i="1"/>
  <c r="CT557" i="1"/>
  <c r="CT558" i="1"/>
  <c r="CT559" i="1"/>
  <c r="CT560" i="1"/>
  <c r="CT561" i="1"/>
  <c r="CT562" i="1"/>
  <c r="CT563" i="1"/>
  <c r="CT564" i="1"/>
  <c r="CT565" i="1"/>
  <c r="CT566" i="1"/>
  <c r="CT567" i="1"/>
  <c r="CQ3" i="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CQ221" i="1"/>
  <c r="CQ222" i="1"/>
  <c r="CQ223" i="1"/>
  <c r="CQ224" i="1"/>
  <c r="CQ225" i="1"/>
  <c r="CQ226" i="1"/>
  <c r="CQ227" i="1"/>
  <c r="CQ228" i="1"/>
  <c r="CQ229" i="1"/>
  <c r="CQ230" i="1"/>
  <c r="CQ231" i="1"/>
  <c r="CQ232" i="1"/>
  <c r="CQ233" i="1"/>
  <c r="CQ234" i="1"/>
  <c r="CQ235" i="1"/>
  <c r="CQ236" i="1"/>
  <c r="CQ237" i="1"/>
  <c r="CQ238" i="1"/>
  <c r="CQ239" i="1"/>
  <c r="CQ240" i="1"/>
  <c r="CQ241" i="1"/>
  <c r="CQ242" i="1"/>
  <c r="CQ243" i="1"/>
  <c r="CQ244" i="1"/>
  <c r="CQ245" i="1"/>
  <c r="CQ246" i="1"/>
  <c r="CQ247" i="1"/>
  <c r="CQ248" i="1"/>
  <c r="CQ249" i="1"/>
  <c r="CQ250" i="1"/>
  <c r="CQ251" i="1"/>
  <c r="CQ252" i="1"/>
  <c r="CQ253" i="1"/>
  <c r="CQ254" i="1"/>
  <c r="CQ255" i="1"/>
  <c r="CQ256" i="1"/>
  <c r="CQ257" i="1"/>
  <c r="CQ258" i="1"/>
  <c r="CQ259" i="1"/>
  <c r="CQ260" i="1"/>
  <c r="CQ261" i="1"/>
  <c r="CQ262" i="1"/>
  <c r="CQ263" i="1"/>
  <c r="CQ264" i="1"/>
  <c r="CQ265" i="1"/>
  <c r="CQ266" i="1"/>
  <c r="CQ267" i="1"/>
  <c r="CQ268" i="1"/>
  <c r="CQ269" i="1"/>
  <c r="CQ270" i="1"/>
  <c r="CQ271" i="1"/>
  <c r="CQ272" i="1"/>
  <c r="CQ273" i="1"/>
  <c r="CQ274" i="1"/>
  <c r="CQ275" i="1"/>
  <c r="CQ276" i="1"/>
  <c r="CQ277" i="1"/>
  <c r="CQ278" i="1"/>
  <c r="CQ279" i="1"/>
  <c r="CQ280" i="1"/>
  <c r="CQ281" i="1"/>
  <c r="CQ282" i="1"/>
  <c r="CQ283" i="1"/>
  <c r="CQ284" i="1"/>
  <c r="CQ285" i="1"/>
  <c r="CQ286" i="1"/>
  <c r="CQ287" i="1"/>
  <c r="CQ288" i="1"/>
  <c r="CQ289" i="1"/>
  <c r="CQ290" i="1"/>
  <c r="CQ291" i="1"/>
  <c r="CQ292" i="1"/>
  <c r="CQ293" i="1"/>
  <c r="CQ294" i="1"/>
  <c r="CQ295" i="1"/>
  <c r="CQ296" i="1"/>
  <c r="CQ297" i="1"/>
  <c r="CQ298" i="1"/>
  <c r="CQ299" i="1"/>
  <c r="CQ300" i="1"/>
  <c r="CQ301" i="1"/>
  <c r="CQ302" i="1"/>
  <c r="CQ303" i="1"/>
  <c r="CQ304" i="1"/>
  <c r="CQ305" i="1"/>
  <c r="CQ306" i="1"/>
  <c r="CQ307" i="1"/>
  <c r="CQ308" i="1"/>
  <c r="CQ309" i="1"/>
  <c r="CQ310" i="1"/>
  <c r="CQ311" i="1"/>
  <c r="CQ312" i="1"/>
  <c r="CQ313" i="1"/>
  <c r="CQ314" i="1"/>
  <c r="CQ315" i="1"/>
  <c r="CQ316" i="1"/>
  <c r="CQ317" i="1"/>
  <c r="CQ318" i="1"/>
  <c r="CQ319" i="1"/>
  <c r="CQ320" i="1"/>
  <c r="CQ321" i="1"/>
  <c r="CQ322" i="1"/>
  <c r="CQ323" i="1"/>
  <c r="CQ324" i="1"/>
  <c r="CQ325" i="1"/>
  <c r="CQ326" i="1"/>
  <c r="CQ327" i="1"/>
  <c r="CQ328" i="1"/>
  <c r="CQ329" i="1"/>
  <c r="CQ330" i="1"/>
  <c r="CQ331" i="1"/>
  <c r="CQ332" i="1"/>
  <c r="CQ333" i="1"/>
  <c r="CQ334" i="1"/>
  <c r="CQ335" i="1"/>
  <c r="CQ336" i="1"/>
  <c r="CQ337" i="1"/>
  <c r="CQ338" i="1"/>
  <c r="CQ339" i="1"/>
  <c r="CQ340" i="1"/>
  <c r="CQ341" i="1"/>
  <c r="CQ342" i="1"/>
  <c r="CQ343" i="1"/>
  <c r="CQ344" i="1"/>
  <c r="CQ345" i="1"/>
  <c r="CQ346" i="1"/>
  <c r="CQ347" i="1"/>
  <c r="CQ348" i="1"/>
  <c r="CQ349" i="1"/>
  <c r="CQ350" i="1"/>
  <c r="CQ351" i="1"/>
  <c r="CQ352" i="1"/>
  <c r="CQ353" i="1"/>
  <c r="CQ354" i="1"/>
  <c r="CQ355" i="1"/>
  <c r="CQ356" i="1"/>
  <c r="CQ357" i="1"/>
  <c r="CQ358" i="1"/>
  <c r="CQ359" i="1"/>
  <c r="CQ360" i="1"/>
  <c r="CQ361" i="1"/>
  <c r="CQ362" i="1"/>
  <c r="CQ363" i="1"/>
  <c r="CQ364" i="1"/>
  <c r="CQ365" i="1"/>
  <c r="CQ366" i="1"/>
  <c r="CQ367" i="1"/>
  <c r="CQ368" i="1"/>
  <c r="CQ369" i="1"/>
  <c r="CQ370" i="1"/>
  <c r="CQ371" i="1"/>
  <c r="CQ372" i="1"/>
  <c r="CQ373" i="1"/>
  <c r="CQ374" i="1"/>
  <c r="CQ375" i="1"/>
  <c r="CQ376" i="1"/>
  <c r="CQ377" i="1"/>
  <c r="CQ378" i="1"/>
  <c r="CQ379" i="1"/>
  <c r="CQ380" i="1"/>
  <c r="CQ381" i="1"/>
  <c r="CQ382" i="1"/>
  <c r="CQ383" i="1"/>
  <c r="CQ384" i="1"/>
  <c r="CQ385" i="1"/>
  <c r="CQ386" i="1"/>
  <c r="CQ387" i="1"/>
  <c r="CQ388" i="1"/>
  <c r="CQ389" i="1"/>
  <c r="CQ390" i="1"/>
  <c r="CQ391" i="1"/>
  <c r="CQ392" i="1"/>
  <c r="CQ393" i="1"/>
  <c r="CQ394" i="1"/>
  <c r="CQ395" i="1"/>
  <c r="CQ396" i="1"/>
  <c r="CQ397" i="1"/>
  <c r="CQ398" i="1"/>
  <c r="CQ399" i="1"/>
  <c r="CQ400" i="1"/>
  <c r="CQ401" i="1"/>
  <c r="CQ402" i="1"/>
  <c r="CQ403" i="1"/>
  <c r="CQ404" i="1"/>
  <c r="CQ405" i="1"/>
  <c r="CQ406" i="1"/>
  <c r="CQ407" i="1"/>
  <c r="CQ408" i="1"/>
  <c r="CQ409" i="1"/>
  <c r="CQ410" i="1"/>
  <c r="CQ411" i="1"/>
  <c r="CQ412" i="1"/>
  <c r="CQ413" i="1"/>
  <c r="CQ414" i="1"/>
  <c r="CQ415" i="1"/>
  <c r="CQ416" i="1"/>
  <c r="CQ417" i="1"/>
  <c r="CQ418" i="1"/>
  <c r="CQ419" i="1"/>
  <c r="CQ420" i="1"/>
  <c r="CQ421" i="1"/>
  <c r="CQ422" i="1"/>
  <c r="CQ423" i="1"/>
  <c r="CQ424" i="1"/>
  <c r="CQ425" i="1"/>
  <c r="CQ426" i="1"/>
  <c r="CQ427" i="1"/>
  <c r="CQ428" i="1"/>
  <c r="CQ429" i="1"/>
  <c r="CQ430" i="1"/>
  <c r="CQ431" i="1"/>
  <c r="CQ432" i="1"/>
  <c r="CQ433" i="1"/>
  <c r="CQ434" i="1"/>
  <c r="CQ435" i="1"/>
  <c r="CQ436" i="1"/>
  <c r="CQ437" i="1"/>
  <c r="CQ438" i="1"/>
  <c r="CQ439" i="1"/>
  <c r="CQ440" i="1"/>
  <c r="CQ441" i="1"/>
  <c r="CQ442" i="1"/>
  <c r="CQ443" i="1"/>
  <c r="CQ444" i="1"/>
  <c r="CQ445" i="1"/>
  <c r="CQ446" i="1"/>
  <c r="CQ447" i="1"/>
  <c r="CQ448" i="1"/>
  <c r="CQ449" i="1"/>
  <c r="CQ450" i="1"/>
  <c r="CQ451" i="1"/>
  <c r="CQ452" i="1"/>
  <c r="CQ453" i="1"/>
  <c r="CQ454" i="1"/>
  <c r="CQ455" i="1"/>
  <c r="CQ456" i="1"/>
  <c r="CQ457" i="1"/>
  <c r="CQ458" i="1"/>
  <c r="CQ459" i="1"/>
  <c r="CQ460" i="1"/>
  <c r="CQ461" i="1"/>
  <c r="CQ462" i="1"/>
  <c r="CQ463" i="1"/>
  <c r="CQ464" i="1"/>
  <c r="CQ465" i="1"/>
  <c r="CQ466" i="1"/>
  <c r="CQ467" i="1"/>
  <c r="CQ468" i="1"/>
  <c r="CQ469" i="1"/>
  <c r="CQ470" i="1"/>
  <c r="CQ471" i="1"/>
  <c r="CQ472" i="1"/>
  <c r="CQ473" i="1"/>
  <c r="CQ474" i="1"/>
  <c r="CQ475" i="1"/>
  <c r="CQ476" i="1"/>
  <c r="CQ477" i="1"/>
  <c r="CQ478" i="1"/>
  <c r="CQ479" i="1"/>
  <c r="CQ480" i="1"/>
  <c r="CQ481" i="1"/>
  <c r="CQ482" i="1"/>
  <c r="CQ483" i="1"/>
  <c r="CQ484" i="1"/>
  <c r="CQ485" i="1"/>
  <c r="CQ486" i="1"/>
  <c r="CQ487" i="1"/>
  <c r="CQ488" i="1"/>
  <c r="CQ489" i="1"/>
  <c r="CQ490" i="1"/>
  <c r="CQ491" i="1"/>
  <c r="CQ492" i="1"/>
  <c r="CQ493" i="1"/>
  <c r="CQ494" i="1"/>
  <c r="CQ495" i="1"/>
  <c r="CQ496" i="1"/>
  <c r="CQ497" i="1"/>
  <c r="CQ498" i="1"/>
  <c r="CQ499" i="1"/>
  <c r="CQ500" i="1"/>
  <c r="CQ501" i="1"/>
  <c r="CQ502" i="1"/>
  <c r="CQ503" i="1"/>
  <c r="CQ504" i="1"/>
  <c r="CQ505" i="1"/>
  <c r="CQ506" i="1"/>
  <c r="CQ507" i="1"/>
  <c r="CQ508" i="1"/>
  <c r="CQ509" i="1"/>
  <c r="CQ510" i="1"/>
  <c r="CQ511" i="1"/>
  <c r="CQ512" i="1"/>
  <c r="CQ513" i="1"/>
  <c r="CQ514" i="1"/>
  <c r="CQ515" i="1"/>
  <c r="CQ516" i="1"/>
  <c r="CQ517" i="1"/>
  <c r="CQ518" i="1"/>
  <c r="CQ519" i="1"/>
  <c r="CQ520" i="1"/>
  <c r="CQ521" i="1"/>
  <c r="CQ522" i="1"/>
  <c r="CQ523" i="1"/>
  <c r="CQ524" i="1"/>
  <c r="CQ525" i="1"/>
  <c r="CQ526" i="1"/>
  <c r="CQ527" i="1"/>
  <c r="CQ528" i="1"/>
  <c r="CQ529" i="1"/>
  <c r="CQ530" i="1"/>
  <c r="CQ531" i="1"/>
  <c r="CQ532" i="1"/>
  <c r="CQ533" i="1"/>
  <c r="CQ534" i="1"/>
  <c r="CQ535" i="1"/>
  <c r="CQ536" i="1"/>
  <c r="CQ537" i="1"/>
  <c r="CQ538" i="1"/>
  <c r="CQ539" i="1"/>
  <c r="CQ540" i="1"/>
  <c r="CQ541" i="1"/>
  <c r="CQ542" i="1"/>
  <c r="CQ543" i="1"/>
  <c r="CQ544" i="1"/>
  <c r="CQ545" i="1"/>
  <c r="CQ546" i="1"/>
  <c r="CQ547" i="1"/>
  <c r="CQ548" i="1"/>
  <c r="CQ549" i="1"/>
  <c r="CQ550" i="1"/>
  <c r="CQ551" i="1"/>
  <c r="CQ552" i="1"/>
  <c r="CQ553" i="1"/>
  <c r="CQ554" i="1"/>
  <c r="CQ555" i="1"/>
  <c r="CQ556" i="1"/>
  <c r="CQ557" i="1"/>
  <c r="CQ558" i="1"/>
  <c r="CQ559" i="1"/>
  <c r="CQ560" i="1"/>
  <c r="CQ561" i="1"/>
  <c r="CQ562" i="1"/>
  <c r="CQ563" i="1"/>
  <c r="CQ564" i="1"/>
  <c r="CQ565" i="1"/>
  <c r="CQ566" i="1"/>
  <c r="CQ567" i="1"/>
  <c r="CI3" i="1"/>
  <c r="CM3" i="1" s="1"/>
  <c r="CI4" i="1"/>
  <c r="CM4" i="1" s="1"/>
  <c r="CI5" i="1"/>
  <c r="CM5" i="1" s="1"/>
  <c r="CI6" i="1"/>
  <c r="CM6" i="1" s="1"/>
  <c r="CI7" i="1"/>
  <c r="CM7" i="1" s="1"/>
  <c r="CI8" i="1"/>
  <c r="CM8" i="1" s="1"/>
  <c r="CI9" i="1"/>
  <c r="CM9" i="1" s="1"/>
  <c r="CI10" i="1"/>
  <c r="CM10" i="1" s="1"/>
  <c r="CI11" i="1"/>
  <c r="CM11" i="1" s="1"/>
  <c r="CI12" i="1"/>
  <c r="CM12" i="1" s="1"/>
  <c r="CI13" i="1"/>
  <c r="CM13" i="1" s="1"/>
  <c r="CI14" i="1"/>
  <c r="CM14" i="1" s="1"/>
  <c r="CI15" i="1"/>
  <c r="CM15" i="1" s="1"/>
  <c r="CI16" i="1"/>
  <c r="CM16" i="1" s="1"/>
  <c r="CI17" i="1"/>
  <c r="CM17" i="1" s="1"/>
  <c r="CI18" i="1"/>
  <c r="CM18" i="1" s="1"/>
  <c r="CI19" i="1"/>
  <c r="CM19" i="1" s="1"/>
  <c r="CI20" i="1"/>
  <c r="CM20" i="1" s="1"/>
  <c r="CI21" i="1"/>
  <c r="CM21" i="1" s="1"/>
  <c r="CI22" i="1"/>
  <c r="CM22" i="1" s="1"/>
  <c r="CI23" i="1"/>
  <c r="CM23" i="1" s="1"/>
  <c r="CI24" i="1"/>
  <c r="CM24" i="1" s="1"/>
  <c r="CI25" i="1"/>
  <c r="CM25" i="1" s="1"/>
  <c r="CI26" i="1"/>
  <c r="CM26" i="1" s="1"/>
  <c r="CI27" i="1"/>
  <c r="CM27" i="1" s="1"/>
  <c r="CI28" i="1"/>
  <c r="CM28" i="1" s="1"/>
  <c r="CI29" i="1"/>
  <c r="CM29" i="1" s="1"/>
  <c r="CI30" i="1"/>
  <c r="CM30" i="1" s="1"/>
  <c r="CI31" i="1"/>
  <c r="CM31" i="1" s="1"/>
  <c r="CI32" i="1"/>
  <c r="CM32" i="1" s="1"/>
  <c r="CI33" i="1"/>
  <c r="CM33" i="1" s="1"/>
  <c r="CI34" i="1"/>
  <c r="CM34" i="1" s="1"/>
  <c r="CI35" i="1"/>
  <c r="CM35" i="1" s="1"/>
  <c r="CI36" i="1"/>
  <c r="CM36" i="1" s="1"/>
  <c r="CI37" i="1"/>
  <c r="CM37" i="1" s="1"/>
  <c r="CI38" i="1"/>
  <c r="CM38" i="1" s="1"/>
  <c r="CI39" i="1"/>
  <c r="CM39" i="1" s="1"/>
  <c r="CI40" i="1"/>
  <c r="CM40" i="1" s="1"/>
  <c r="CI41" i="1"/>
  <c r="CM41" i="1" s="1"/>
  <c r="CI42" i="1"/>
  <c r="CM42" i="1" s="1"/>
  <c r="CI43" i="1"/>
  <c r="CM43" i="1" s="1"/>
  <c r="CI44" i="1"/>
  <c r="CM44" i="1" s="1"/>
  <c r="CI45" i="1"/>
  <c r="CM45" i="1" s="1"/>
  <c r="CI46" i="1"/>
  <c r="CM46" i="1" s="1"/>
  <c r="CI47" i="1"/>
  <c r="CM47" i="1" s="1"/>
  <c r="CI48" i="1"/>
  <c r="CM48" i="1" s="1"/>
  <c r="CI49" i="1"/>
  <c r="CM49" i="1" s="1"/>
  <c r="CI50" i="1"/>
  <c r="CM50" i="1" s="1"/>
  <c r="CI51" i="1"/>
  <c r="CM51" i="1" s="1"/>
  <c r="CI52" i="1"/>
  <c r="CM52" i="1" s="1"/>
  <c r="CI53" i="1"/>
  <c r="CM53" i="1" s="1"/>
  <c r="CI54" i="1"/>
  <c r="CM54" i="1" s="1"/>
  <c r="CI55" i="1"/>
  <c r="CM55" i="1" s="1"/>
  <c r="CI56" i="1"/>
  <c r="CM56" i="1" s="1"/>
  <c r="CI57" i="1"/>
  <c r="CM57" i="1" s="1"/>
  <c r="CI58" i="1"/>
  <c r="CM58" i="1" s="1"/>
  <c r="CI59" i="1"/>
  <c r="CM59" i="1" s="1"/>
  <c r="CI60" i="1"/>
  <c r="CM60" i="1" s="1"/>
  <c r="CI61" i="1"/>
  <c r="CM61" i="1" s="1"/>
  <c r="CI62" i="1"/>
  <c r="CM62" i="1" s="1"/>
  <c r="CI63" i="1"/>
  <c r="CM63" i="1" s="1"/>
  <c r="CI64" i="1"/>
  <c r="CM64" i="1" s="1"/>
  <c r="CI65" i="1"/>
  <c r="CM65" i="1" s="1"/>
  <c r="CI66" i="1"/>
  <c r="CM66" i="1" s="1"/>
  <c r="CI67" i="1"/>
  <c r="CM67" i="1" s="1"/>
  <c r="CI68" i="1"/>
  <c r="CM68" i="1" s="1"/>
  <c r="CI69" i="1"/>
  <c r="CM69" i="1" s="1"/>
  <c r="CI70" i="1"/>
  <c r="CM70" i="1" s="1"/>
  <c r="CI71" i="1"/>
  <c r="CM71" i="1" s="1"/>
  <c r="CI72" i="1"/>
  <c r="CM72" i="1" s="1"/>
  <c r="CI73" i="1"/>
  <c r="CM73" i="1" s="1"/>
  <c r="CI74" i="1"/>
  <c r="CM74" i="1" s="1"/>
  <c r="CI75" i="1"/>
  <c r="CM75" i="1" s="1"/>
  <c r="CI76" i="1"/>
  <c r="CM76" i="1" s="1"/>
  <c r="CI77" i="1"/>
  <c r="CM77" i="1" s="1"/>
  <c r="CI78" i="1"/>
  <c r="CM78" i="1" s="1"/>
  <c r="CI79" i="1"/>
  <c r="CM79" i="1" s="1"/>
  <c r="CI80" i="1"/>
  <c r="CM80" i="1" s="1"/>
  <c r="CI81" i="1"/>
  <c r="CM81" i="1" s="1"/>
  <c r="CI82" i="1"/>
  <c r="CM82" i="1" s="1"/>
  <c r="CI83" i="1"/>
  <c r="CM83" i="1" s="1"/>
  <c r="CI84" i="1"/>
  <c r="CM84" i="1" s="1"/>
  <c r="CI85" i="1"/>
  <c r="CM85" i="1" s="1"/>
  <c r="CI86" i="1"/>
  <c r="CM86" i="1" s="1"/>
  <c r="CI87" i="1"/>
  <c r="CM87" i="1" s="1"/>
  <c r="CI88" i="1"/>
  <c r="CM88" i="1" s="1"/>
  <c r="CI89" i="1"/>
  <c r="CM89" i="1" s="1"/>
  <c r="CI90" i="1"/>
  <c r="CM90" i="1" s="1"/>
  <c r="CI91" i="1"/>
  <c r="CM91" i="1" s="1"/>
  <c r="CI92" i="1"/>
  <c r="CM92" i="1" s="1"/>
  <c r="CI93" i="1"/>
  <c r="CM93" i="1" s="1"/>
  <c r="CI94" i="1"/>
  <c r="CM94" i="1" s="1"/>
  <c r="CI95" i="1"/>
  <c r="CM95" i="1" s="1"/>
  <c r="CI96" i="1"/>
  <c r="CM96" i="1" s="1"/>
  <c r="CI97" i="1"/>
  <c r="CM97" i="1" s="1"/>
  <c r="CI98" i="1"/>
  <c r="CM98" i="1" s="1"/>
  <c r="CI99" i="1"/>
  <c r="CM99" i="1" s="1"/>
  <c r="CI100" i="1"/>
  <c r="CM100" i="1" s="1"/>
  <c r="CI101" i="1"/>
  <c r="CM101" i="1" s="1"/>
  <c r="CI102" i="1"/>
  <c r="CM102" i="1" s="1"/>
  <c r="CI103" i="1"/>
  <c r="CM103" i="1" s="1"/>
  <c r="CI104" i="1"/>
  <c r="CM104" i="1" s="1"/>
  <c r="CI105" i="1"/>
  <c r="CM105" i="1" s="1"/>
  <c r="CI106" i="1"/>
  <c r="CM106" i="1" s="1"/>
  <c r="CI107" i="1"/>
  <c r="CM107" i="1" s="1"/>
  <c r="CI108" i="1"/>
  <c r="CM108" i="1" s="1"/>
  <c r="CI109" i="1"/>
  <c r="CM109" i="1" s="1"/>
  <c r="CI110" i="1"/>
  <c r="CM110" i="1" s="1"/>
  <c r="CI111" i="1"/>
  <c r="CM111" i="1" s="1"/>
  <c r="CI112" i="1"/>
  <c r="CM112" i="1" s="1"/>
  <c r="CI113" i="1"/>
  <c r="CM113" i="1" s="1"/>
  <c r="CI114" i="1"/>
  <c r="CM114" i="1" s="1"/>
  <c r="CI115" i="1"/>
  <c r="CM115" i="1" s="1"/>
  <c r="CI116" i="1"/>
  <c r="CM116" i="1" s="1"/>
  <c r="CI117" i="1"/>
  <c r="CM117" i="1" s="1"/>
  <c r="CI118" i="1"/>
  <c r="CM118" i="1" s="1"/>
  <c r="CI119" i="1"/>
  <c r="CM119" i="1" s="1"/>
  <c r="CI120" i="1"/>
  <c r="CM120" i="1" s="1"/>
  <c r="CI121" i="1"/>
  <c r="CM121" i="1" s="1"/>
  <c r="CI122" i="1"/>
  <c r="CM122" i="1" s="1"/>
  <c r="CI123" i="1"/>
  <c r="CM123" i="1" s="1"/>
  <c r="CI124" i="1"/>
  <c r="CM124" i="1" s="1"/>
  <c r="CI125" i="1"/>
  <c r="CM125" i="1" s="1"/>
  <c r="CI126" i="1"/>
  <c r="CM126" i="1" s="1"/>
  <c r="CI127" i="1"/>
  <c r="CM127" i="1" s="1"/>
  <c r="CI128" i="1"/>
  <c r="CM128" i="1" s="1"/>
  <c r="CI129" i="1"/>
  <c r="CM129" i="1" s="1"/>
  <c r="CI130" i="1"/>
  <c r="CM130" i="1" s="1"/>
  <c r="CI131" i="1"/>
  <c r="CM131" i="1" s="1"/>
  <c r="CI132" i="1"/>
  <c r="CM132" i="1" s="1"/>
  <c r="CI133" i="1"/>
  <c r="CM133" i="1" s="1"/>
  <c r="CI134" i="1"/>
  <c r="CM134" i="1" s="1"/>
  <c r="CI135" i="1"/>
  <c r="CM135" i="1" s="1"/>
  <c r="CI136" i="1"/>
  <c r="CM136" i="1" s="1"/>
  <c r="CI137" i="1"/>
  <c r="CM137" i="1" s="1"/>
  <c r="CI138" i="1"/>
  <c r="CM138" i="1" s="1"/>
  <c r="CI139" i="1"/>
  <c r="CM139" i="1" s="1"/>
  <c r="CI140" i="1"/>
  <c r="CM140" i="1" s="1"/>
  <c r="CI141" i="1"/>
  <c r="CM141" i="1" s="1"/>
  <c r="CI142" i="1"/>
  <c r="CM142" i="1" s="1"/>
  <c r="CI143" i="1"/>
  <c r="CM143" i="1" s="1"/>
  <c r="CI144" i="1"/>
  <c r="CM144" i="1" s="1"/>
  <c r="CI145" i="1"/>
  <c r="CM145" i="1" s="1"/>
  <c r="CI146" i="1"/>
  <c r="CM146" i="1" s="1"/>
  <c r="CI147" i="1"/>
  <c r="CM147" i="1" s="1"/>
  <c r="CI148" i="1"/>
  <c r="CM148" i="1" s="1"/>
  <c r="CI149" i="1"/>
  <c r="CM149" i="1" s="1"/>
  <c r="CI150" i="1"/>
  <c r="CM150" i="1" s="1"/>
  <c r="CI151" i="1"/>
  <c r="CM151" i="1" s="1"/>
  <c r="CI152" i="1"/>
  <c r="CM152" i="1" s="1"/>
  <c r="CI153" i="1"/>
  <c r="CM153" i="1" s="1"/>
  <c r="CI154" i="1"/>
  <c r="CM154" i="1" s="1"/>
  <c r="CI155" i="1"/>
  <c r="CM155" i="1" s="1"/>
  <c r="CI156" i="1"/>
  <c r="CM156" i="1" s="1"/>
  <c r="CI157" i="1"/>
  <c r="CM157" i="1" s="1"/>
  <c r="CI158" i="1"/>
  <c r="CM158" i="1" s="1"/>
  <c r="CI159" i="1"/>
  <c r="CM159" i="1" s="1"/>
  <c r="CI160" i="1"/>
  <c r="CM160" i="1" s="1"/>
  <c r="CI161" i="1"/>
  <c r="CM161" i="1" s="1"/>
  <c r="CI162" i="1"/>
  <c r="CM162" i="1" s="1"/>
  <c r="CI163" i="1"/>
  <c r="CM163" i="1" s="1"/>
  <c r="CI164" i="1"/>
  <c r="CM164" i="1" s="1"/>
  <c r="CI165" i="1"/>
  <c r="CM165" i="1" s="1"/>
  <c r="CI166" i="1"/>
  <c r="CM166" i="1" s="1"/>
  <c r="CI167" i="1"/>
  <c r="CM167" i="1" s="1"/>
  <c r="CI168" i="1"/>
  <c r="CM168" i="1" s="1"/>
  <c r="CI169" i="1"/>
  <c r="CM169" i="1" s="1"/>
  <c r="CI170" i="1"/>
  <c r="CM170" i="1" s="1"/>
  <c r="CI171" i="1"/>
  <c r="CM171" i="1" s="1"/>
  <c r="CI172" i="1"/>
  <c r="CM172" i="1" s="1"/>
  <c r="CI173" i="1"/>
  <c r="CM173" i="1" s="1"/>
  <c r="CI174" i="1"/>
  <c r="CM174" i="1" s="1"/>
  <c r="CI175" i="1"/>
  <c r="CM175" i="1" s="1"/>
  <c r="CI176" i="1"/>
  <c r="CM176" i="1" s="1"/>
  <c r="CI177" i="1"/>
  <c r="CM177" i="1" s="1"/>
  <c r="CI178" i="1"/>
  <c r="CM178" i="1" s="1"/>
  <c r="CI179" i="1"/>
  <c r="CM179" i="1" s="1"/>
  <c r="CI180" i="1"/>
  <c r="CM180" i="1" s="1"/>
  <c r="CI181" i="1"/>
  <c r="CM181" i="1" s="1"/>
  <c r="CI182" i="1"/>
  <c r="CM182" i="1" s="1"/>
  <c r="CI183" i="1"/>
  <c r="CM183" i="1" s="1"/>
  <c r="CI184" i="1"/>
  <c r="CM184" i="1" s="1"/>
  <c r="CI185" i="1"/>
  <c r="CM185" i="1" s="1"/>
  <c r="CI186" i="1"/>
  <c r="CM186" i="1" s="1"/>
  <c r="CI187" i="1"/>
  <c r="CM187" i="1" s="1"/>
  <c r="CI188" i="1"/>
  <c r="CM188" i="1" s="1"/>
  <c r="CI189" i="1"/>
  <c r="CM189" i="1" s="1"/>
  <c r="CI190" i="1"/>
  <c r="CM190" i="1" s="1"/>
  <c r="CI191" i="1"/>
  <c r="CM191" i="1" s="1"/>
  <c r="CI192" i="1"/>
  <c r="CM192" i="1" s="1"/>
  <c r="CI193" i="1"/>
  <c r="CM193" i="1" s="1"/>
  <c r="CI194" i="1"/>
  <c r="CM194" i="1" s="1"/>
  <c r="CI195" i="1"/>
  <c r="CM195" i="1" s="1"/>
  <c r="CI196" i="1"/>
  <c r="CM196" i="1" s="1"/>
  <c r="CI197" i="1"/>
  <c r="CM197" i="1" s="1"/>
  <c r="CI198" i="1"/>
  <c r="CM198" i="1" s="1"/>
  <c r="CI199" i="1"/>
  <c r="CM199" i="1" s="1"/>
  <c r="CI200" i="1"/>
  <c r="CM200" i="1" s="1"/>
  <c r="CI201" i="1"/>
  <c r="CM201" i="1" s="1"/>
  <c r="CI202" i="1"/>
  <c r="CM202" i="1" s="1"/>
  <c r="CI203" i="1"/>
  <c r="CM203" i="1" s="1"/>
  <c r="CI204" i="1"/>
  <c r="CM204" i="1" s="1"/>
  <c r="CI205" i="1"/>
  <c r="CM205" i="1" s="1"/>
  <c r="CI206" i="1"/>
  <c r="CM206" i="1" s="1"/>
  <c r="CI207" i="1"/>
  <c r="CM207" i="1" s="1"/>
  <c r="CI208" i="1"/>
  <c r="CM208" i="1" s="1"/>
  <c r="CI209" i="1"/>
  <c r="CM209" i="1" s="1"/>
  <c r="CI210" i="1"/>
  <c r="CM210" i="1" s="1"/>
  <c r="CI211" i="1"/>
  <c r="CM211" i="1" s="1"/>
  <c r="CI212" i="1"/>
  <c r="CM212" i="1" s="1"/>
  <c r="CI213" i="1"/>
  <c r="CM213" i="1" s="1"/>
  <c r="CI214" i="1"/>
  <c r="CM214" i="1" s="1"/>
  <c r="CI215" i="1"/>
  <c r="CM215" i="1" s="1"/>
  <c r="CI216" i="1"/>
  <c r="CM216" i="1" s="1"/>
  <c r="CI217" i="1"/>
  <c r="CM217" i="1" s="1"/>
  <c r="CI218" i="1"/>
  <c r="CM218" i="1" s="1"/>
  <c r="CI219" i="1"/>
  <c r="CM219" i="1" s="1"/>
  <c r="CI220" i="1"/>
  <c r="CM220" i="1" s="1"/>
  <c r="CI221" i="1"/>
  <c r="CM221" i="1" s="1"/>
  <c r="CI222" i="1"/>
  <c r="CM222" i="1" s="1"/>
  <c r="CI223" i="1"/>
  <c r="CM223" i="1" s="1"/>
  <c r="CI224" i="1"/>
  <c r="CM224" i="1" s="1"/>
  <c r="CI225" i="1"/>
  <c r="CM225" i="1" s="1"/>
  <c r="CI226" i="1"/>
  <c r="CM226" i="1" s="1"/>
  <c r="CI227" i="1"/>
  <c r="CM227" i="1" s="1"/>
  <c r="CI228" i="1"/>
  <c r="CM228" i="1" s="1"/>
  <c r="CI229" i="1"/>
  <c r="CM229" i="1" s="1"/>
  <c r="CI230" i="1"/>
  <c r="CM230" i="1" s="1"/>
  <c r="CI231" i="1"/>
  <c r="CM231" i="1" s="1"/>
  <c r="CI232" i="1"/>
  <c r="CM232" i="1" s="1"/>
  <c r="CI233" i="1"/>
  <c r="CM233" i="1" s="1"/>
  <c r="CI234" i="1"/>
  <c r="CM234" i="1" s="1"/>
  <c r="CI235" i="1"/>
  <c r="CM235" i="1" s="1"/>
  <c r="CI236" i="1"/>
  <c r="CM236" i="1" s="1"/>
  <c r="CI237" i="1"/>
  <c r="CM237" i="1" s="1"/>
  <c r="CI238" i="1"/>
  <c r="CM238" i="1" s="1"/>
  <c r="CI239" i="1"/>
  <c r="CM239" i="1" s="1"/>
  <c r="CI240" i="1"/>
  <c r="CM240" i="1" s="1"/>
  <c r="CI241" i="1"/>
  <c r="CM241" i="1" s="1"/>
  <c r="CI242" i="1"/>
  <c r="CM242" i="1" s="1"/>
  <c r="CI243" i="1"/>
  <c r="CM243" i="1" s="1"/>
  <c r="CI244" i="1"/>
  <c r="CM244" i="1" s="1"/>
  <c r="CI245" i="1"/>
  <c r="CM245" i="1" s="1"/>
  <c r="CI246" i="1"/>
  <c r="CM246" i="1" s="1"/>
  <c r="CI247" i="1"/>
  <c r="CM247" i="1" s="1"/>
  <c r="CI248" i="1"/>
  <c r="CM248" i="1" s="1"/>
  <c r="CI249" i="1"/>
  <c r="CM249" i="1" s="1"/>
  <c r="CI250" i="1"/>
  <c r="CM250" i="1" s="1"/>
  <c r="CI251" i="1"/>
  <c r="CM251" i="1" s="1"/>
  <c r="CI252" i="1"/>
  <c r="CM252" i="1" s="1"/>
  <c r="CI253" i="1"/>
  <c r="CM253" i="1" s="1"/>
  <c r="CI254" i="1"/>
  <c r="CM254" i="1" s="1"/>
  <c r="CI255" i="1"/>
  <c r="CM255" i="1" s="1"/>
  <c r="CI256" i="1"/>
  <c r="CM256" i="1" s="1"/>
  <c r="CI257" i="1"/>
  <c r="CM257" i="1" s="1"/>
  <c r="CI258" i="1"/>
  <c r="CM258" i="1" s="1"/>
  <c r="CI259" i="1"/>
  <c r="CM259" i="1" s="1"/>
  <c r="CI260" i="1"/>
  <c r="CM260" i="1" s="1"/>
  <c r="CI261" i="1"/>
  <c r="CM261" i="1" s="1"/>
  <c r="CI262" i="1"/>
  <c r="CM262" i="1" s="1"/>
  <c r="CI263" i="1"/>
  <c r="CM263" i="1" s="1"/>
  <c r="CI264" i="1"/>
  <c r="CM264" i="1" s="1"/>
  <c r="CI265" i="1"/>
  <c r="CM265" i="1" s="1"/>
  <c r="CI266" i="1"/>
  <c r="CM266" i="1" s="1"/>
  <c r="CI267" i="1"/>
  <c r="CM267" i="1" s="1"/>
  <c r="CI268" i="1"/>
  <c r="CM268" i="1" s="1"/>
  <c r="CI269" i="1"/>
  <c r="CM269" i="1" s="1"/>
  <c r="CI270" i="1"/>
  <c r="CM270" i="1" s="1"/>
  <c r="CI271" i="1"/>
  <c r="CM271" i="1" s="1"/>
  <c r="CI272" i="1"/>
  <c r="CM272" i="1" s="1"/>
  <c r="CI273" i="1"/>
  <c r="CM273" i="1" s="1"/>
  <c r="CI274" i="1"/>
  <c r="CM274" i="1" s="1"/>
  <c r="CI275" i="1"/>
  <c r="CM275" i="1" s="1"/>
  <c r="CI276" i="1"/>
  <c r="CM276" i="1" s="1"/>
  <c r="CI277" i="1"/>
  <c r="CM277" i="1" s="1"/>
  <c r="CI278" i="1"/>
  <c r="CM278" i="1" s="1"/>
  <c r="CI279" i="1"/>
  <c r="CM279" i="1" s="1"/>
  <c r="CI280" i="1"/>
  <c r="CM280" i="1" s="1"/>
  <c r="CI281" i="1"/>
  <c r="CM281" i="1" s="1"/>
  <c r="CI282" i="1"/>
  <c r="CM282" i="1" s="1"/>
  <c r="CI283" i="1"/>
  <c r="CM283" i="1" s="1"/>
  <c r="CI284" i="1"/>
  <c r="CM284" i="1" s="1"/>
  <c r="CI285" i="1"/>
  <c r="CM285" i="1" s="1"/>
  <c r="CI286" i="1"/>
  <c r="CM286" i="1" s="1"/>
  <c r="CI287" i="1"/>
  <c r="CM287" i="1" s="1"/>
  <c r="CI288" i="1"/>
  <c r="CM288" i="1" s="1"/>
  <c r="CI289" i="1"/>
  <c r="CM289" i="1" s="1"/>
  <c r="CI290" i="1"/>
  <c r="CM290" i="1" s="1"/>
  <c r="CI291" i="1"/>
  <c r="CM291" i="1" s="1"/>
  <c r="CI292" i="1"/>
  <c r="CM292" i="1" s="1"/>
  <c r="CI293" i="1"/>
  <c r="CM293" i="1" s="1"/>
  <c r="CI294" i="1"/>
  <c r="CM294" i="1" s="1"/>
  <c r="CI295" i="1"/>
  <c r="CM295" i="1" s="1"/>
  <c r="CI296" i="1"/>
  <c r="CM296" i="1" s="1"/>
  <c r="CI297" i="1"/>
  <c r="CM297" i="1" s="1"/>
  <c r="CI298" i="1"/>
  <c r="CM298" i="1" s="1"/>
  <c r="CI299" i="1"/>
  <c r="CM299" i="1" s="1"/>
  <c r="CI300" i="1"/>
  <c r="CM300" i="1" s="1"/>
  <c r="CI301" i="1"/>
  <c r="CM301" i="1" s="1"/>
  <c r="CI302" i="1"/>
  <c r="CM302" i="1" s="1"/>
  <c r="CI303" i="1"/>
  <c r="CM303" i="1" s="1"/>
  <c r="CI304" i="1"/>
  <c r="CM304" i="1" s="1"/>
  <c r="CI305" i="1"/>
  <c r="CM305" i="1" s="1"/>
  <c r="CI306" i="1"/>
  <c r="CM306" i="1" s="1"/>
  <c r="CI307" i="1"/>
  <c r="CM307" i="1" s="1"/>
  <c r="CI308" i="1"/>
  <c r="CM308" i="1" s="1"/>
  <c r="CI309" i="1"/>
  <c r="CM309" i="1" s="1"/>
  <c r="CI310" i="1"/>
  <c r="CM310" i="1" s="1"/>
  <c r="CI311" i="1"/>
  <c r="CM311" i="1" s="1"/>
  <c r="CI312" i="1"/>
  <c r="CM312" i="1" s="1"/>
  <c r="CI313" i="1"/>
  <c r="CM313" i="1" s="1"/>
  <c r="CI314" i="1"/>
  <c r="CM314" i="1" s="1"/>
  <c r="CI315" i="1"/>
  <c r="CM315" i="1" s="1"/>
  <c r="CI316" i="1"/>
  <c r="CM316" i="1" s="1"/>
  <c r="CI317" i="1"/>
  <c r="CM317" i="1" s="1"/>
  <c r="CI318" i="1"/>
  <c r="CM318" i="1" s="1"/>
  <c r="CI319" i="1"/>
  <c r="CM319" i="1" s="1"/>
  <c r="CI320" i="1"/>
  <c r="CM320" i="1" s="1"/>
  <c r="CI321" i="1"/>
  <c r="CM321" i="1" s="1"/>
  <c r="CI322" i="1"/>
  <c r="CM322" i="1" s="1"/>
  <c r="CI323" i="1"/>
  <c r="CM323" i="1" s="1"/>
  <c r="CI324" i="1"/>
  <c r="CM324" i="1" s="1"/>
  <c r="CI325" i="1"/>
  <c r="CM325" i="1" s="1"/>
  <c r="CI326" i="1"/>
  <c r="CM326" i="1" s="1"/>
  <c r="CI327" i="1"/>
  <c r="CM327" i="1" s="1"/>
  <c r="CI328" i="1"/>
  <c r="CM328" i="1" s="1"/>
  <c r="CI329" i="1"/>
  <c r="CM329" i="1" s="1"/>
  <c r="CI330" i="1"/>
  <c r="CM330" i="1" s="1"/>
  <c r="CI331" i="1"/>
  <c r="CM331" i="1" s="1"/>
  <c r="CI332" i="1"/>
  <c r="CM332" i="1" s="1"/>
  <c r="CI333" i="1"/>
  <c r="CM333" i="1" s="1"/>
  <c r="CI334" i="1"/>
  <c r="CM334" i="1" s="1"/>
  <c r="CI335" i="1"/>
  <c r="CM335" i="1" s="1"/>
  <c r="CI336" i="1"/>
  <c r="CM336" i="1" s="1"/>
  <c r="CI337" i="1"/>
  <c r="CM337" i="1" s="1"/>
  <c r="CI338" i="1"/>
  <c r="CM338" i="1" s="1"/>
  <c r="CI339" i="1"/>
  <c r="CM339" i="1" s="1"/>
  <c r="CI340" i="1"/>
  <c r="CM340" i="1" s="1"/>
  <c r="CI341" i="1"/>
  <c r="CM341" i="1" s="1"/>
  <c r="CI342" i="1"/>
  <c r="CM342" i="1" s="1"/>
  <c r="CI343" i="1"/>
  <c r="CM343" i="1" s="1"/>
  <c r="CI344" i="1"/>
  <c r="CM344" i="1" s="1"/>
  <c r="CI345" i="1"/>
  <c r="CM345" i="1" s="1"/>
  <c r="CI346" i="1"/>
  <c r="CM346" i="1" s="1"/>
  <c r="CI347" i="1"/>
  <c r="CM347" i="1" s="1"/>
  <c r="CI348" i="1"/>
  <c r="CM348" i="1" s="1"/>
  <c r="CI349" i="1"/>
  <c r="CM349" i="1" s="1"/>
  <c r="CI350" i="1"/>
  <c r="CM350" i="1" s="1"/>
  <c r="CI351" i="1"/>
  <c r="CM351" i="1" s="1"/>
  <c r="CI352" i="1"/>
  <c r="CM352" i="1" s="1"/>
  <c r="CI353" i="1"/>
  <c r="CM353" i="1" s="1"/>
  <c r="CI354" i="1"/>
  <c r="CM354" i="1" s="1"/>
  <c r="CI355" i="1"/>
  <c r="CM355" i="1" s="1"/>
  <c r="CI356" i="1"/>
  <c r="CM356" i="1" s="1"/>
  <c r="CI357" i="1"/>
  <c r="CM357" i="1" s="1"/>
  <c r="CI358" i="1"/>
  <c r="CM358" i="1" s="1"/>
  <c r="CI359" i="1"/>
  <c r="CM359" i="1" s="1"/>
  <c r="CI360" i="1"/>
  <c r="CM360" i="1" s="1"/>
  <c r="CI361" i="1"/>
  <c r="CM361" i="1" s="1"/>
  <c r="CI362" i="1"/>
  <c r="CM362" i="1" s="1"/>
  <c r="CI363" i="1"/>
  <c r="CM363" i="1" s="1"/>
  <c r="CI364" i="1"/>
  <c r="CM364" i="1" s="1"/>
  <c r="CI365" i="1"/>
  <c r="CM365" i="1" s="1"/>
  <c r="CI366" i="1"/>
  <c r="CM366" i="1" s="1"/>
  <c r="CI367" i="1"/>
  <c r="CM367" i="1" s="1"/>
  <c r="CI368" i="1"/>
  <c r="CM368" i="1" s="1"/>
  <c r="CI369" i="1"/>
  <c r="CM369" i="1" s="1"/>
  <c r="CI370" i="1"/>
  <c r="CM370" i="1" s="1"/>
  <c r="CI371" i="1"/>
  <c r="CM371" i="1" s="1"/>
  <c r="CI372" i="1"/>
  <c r="CM372" i="1" s="1"/>
  <c r="CI373" i="1"/>
  <c r="CM373" i="1" s="1"/>
  <c r="CI374" i="1"/>
  <c r="CM374" i="1" s="1"/>
  <c r="CI375" i="1"/>
  <c r="CM375" i="1" s="1"/>
  <c r="CI376" i="1"/>
  <c r="CM376" i="1" s="1"/>
  <c r="CI377" i="1"/>
  <c r="CM377" i="1" s="1"/>
  <c r="CI378" i="1"/>
  <c r="CM378" i="1" s="1"/>
  <c r="CI379" i="1"/>
  <c r="CM379" i="1" s="1"/>
  <c r="CI380" i="1"/>
  <c r="CM380" i="1" s="1"/>
  <c r="CI381" i="1"/>
  <c r="CM381" i="1" s="1"/>
  <c r="CI382" i="1"/>
  <c r="CM382" i="1" s="1"/>
  <c r="CI383" i="1"/>
  <c r="CM383" i="1" s="1"/>
  <c r="CI384" i="1"/>
  <c r="CM384" i="1" s="1"/>
  <c r="CI385" i="1"/>
  <c r="CM385" i="1" s="1"/>
  <c r="CI386" i="1"/>
  <c r="CM386" i="1" s="1"/>
  <c r="CI387" i="1"/>
  <c r="CM387" i="1" s="1"/>
  <c r="CI388" i="1"/>
  <c r="CM388" i="1" s="1"/>
  <c r="CI389" i="1"/>
  <c r="CM389" i="1" s="1"/>
  <c r="CI390" i="1"/>
  <c r="CM390" i="1" s="1"/>
  <c r="CI391" i="1"/>
  <c r="CM391" i="1" s="1"/>
  <c r="CI392" i="1"/>
  <c r="CM392" i="1" s="1"/>
  <c r="CI393" i="1"/>
  <c r="CM393" i="1" s="1"/>
  <c r="CI394" i="1"/>
  <c r="CM394" i="1" s="1"/>
  <c r="CI395" i="1"/>
  <c r="CM395" i="1" s="1"/>
  <c r="CI396" i="1"/>
  <c r="CM396" i="1" s="1"/>
  <c r="CI397" i="1"/>
  <c r="CM397" i="1" s="1"/>
  <c r="CI398" i="1"/>
  <c r="CM398" i="1" s="1"/>
  <c r="CI399" i="1"/>
  <c r="CM399" i="1" s="1"/>
  <c r="CI400" i="1"/>
  <c r="CM400" i="1" s="1"/>
  <c r="CI401" i="1"/>
  <c r="CM401" i="1" s="1"/>
  <c r="CI402" i="1"/>
  <c r="CM402" i="1" s="1"/>
  <c r="CI403" i="1"/>
  <c r="CM403" i="1" s="1"/>
  <c r="CI404" i="1"/>
  <c r="CM404" i="1" s="1"/>
  <c r="CI405" i="1"/>
  <c r="CM405" i="1" s="1"/>
  <c r="CI406" i="1"/>
  <c r="CM406" i="1" s="1"/>
  <c r="CI407" i="1"/>
  <c r="CM407" i="1" s="1"/>
  <c r="CI408" i="1"/>
  <c r="CM408" i="1" s="1"/>
  <c r="CI409" i="1"/>
  <c r="CM409" i="1" s="1"/>
  <c r="CI410" i="1"/>
  <c r="CM410" i="1" s="1"/>
  <c r="CI411" i="1"/>
  <c r="CM411" i="1" s="1"/>
  <c r="CI412" i="1"/>
  <c r="CM412" i="1" s="1"/>
  <c r="CI413" i="1"/>
  <c r="CM413" i="1" s="1"/>
  <c r="CI414" i="1"/>
  <c r="CM414" i="1" s="1"/>
  <c r="CI415" i="1"/>
  <c r="CM415" i="1" s="1"/>
  <c r="CI416" i="1"/>
  <c r="CM416" i="1" s="1"/>
  <c r="CI417" i="1"/>
  <c r="CM417" i="1" s="1"/>
  <c r="CI418" i="1"/>
  <c r="CM418" i="1" s="1"/>
  <c r="CI419" i="1"/>
  <c r="CM419" i="1" s="1"/>
  <c r="CI420" i="1"/>
  <c r="CM420" i="1" s="1"/>
  <c r="CI421" i="1"/>
  <c r="CM421" i="1" s="1"/>
  <c r="CI422" i="1"/>
  <c r="CM422" i="1" s="1"/>
  <c r="CI423" i="1"/>
  <c r="CM423" i="1" s="1"/>
  <c r="CI424" i="1"/>
  <c r="CM424" i="1" s="1"/>
  <c r="CI425" i="1"/>
  <c r="CM425" i="1" s="1"/>
  <c r="CI426" i="1"/>
  <c r="CM426" i="1" s="1"/>
  <c r="CI427" i="1"/>
  <c r="CM427" i="1" s="1"/>
  <c r="CI428" i="1"/>
  <c r="CM428" i="1" s="1"/>
  <c r="CI429" i="1"/>
  <c r="CM429" i="1" s="1"/>
  <c r="CI430" i="1"/>
  <c r="CM430" i="1" s="1"/>
  <c r="CI431" i="1"/>
  <c r="CM431" i="1" s="1"/>
  <c r="CI432" i="1"/>
  <c r="CM432" i="1" s="1"/>
  <c r="CI433" i="1"/>
  <c r="CM433" i="1" s="1"/>
  <c r="CI434" i="1"/>
  <c r="CM434" i="1" s="1"/>
  <c r="CI435" i="1"/>
  <c r="CM435" i="1" s="1"/>
  <c r="CI436" i="1"/>
  <c r="CM436" i="1" s="1"/>
  <c r="CI437" i="1"/>
  <c r="CM437" i="1" s="1"/>
  <c r="CI438" i="1"/>
  <c r="CM438" i="1" s="1"/>
  <c r="CI439" i="1"/>
  <c r="CM439" i="1" s="1"/>
  <c r="CI440" i="1"/>
  <c r="CM440" i="1" s="1"/>
  <c r="CI441" i="1"/>
  <c r="CM441" i="1" s="1"/>
  <c r="CI442" i="1"/>
  <c r="CM442" i="1" s="1"/>
  <c r="CI443" i="1"/>
  <c r="CM443" i="1" s="1"/>
  <c r="CI444" i="1"/>
  <c r="CM444" i="1" s="1"/>
  <c r="CI445" i="1"/>
  <c r="CM445" i="1" s="1"/>
  <c r="CI446" i="1"/>
  <c r="CM446" i="1" s="1"/>
  <c r="CI447" i="1"/>
  <c r="CM447" i="1" s="1"/>
  <c r="CI448" i="1"/>
  <c r="CM448" i="1" s="1"/>
  <c r="CI449" i="1"/>
  <c r="CM449" i="1" s="1"/>
  <c r="CI450" i="1"/>
  <c r="CM450" i="1" s="1"/>
  <c r="CI451" i="1"/>
  <c r="CM451" i="1" s="1"/>
  <c r="CI452" i="1"/>
  <c r="CM452" i="1" s="1"/>
  <c r="CI453" i="1"/>
  <c r="CM453" i="1" s="1"/>
  <c r="CI454" i="1"/>
  <c r="CM454" i="1" s="1"/>
  <c r="CI455" i="1"/>
  <c r="CM455" i="1" s="1"/>
  <c r="CI456" i="1"/>
  <c r="CM456" i="1" s="1"/>
  <c r="CI457" i="1"/>
  <c r="CM457" i="1" s="1"/>
  <c r="CI458" i="1"/>
  <c r="CM458" i="1" s="1"/>
  <c r="CI459" i="1"/>
  <c r="CM459" i="1" s="1"/>
  <c r="CI460" i="1"/>
  <c r="CM460" i="1" s="1"/>
  <c r="CI461" i="1"/>
  <c r="CM461" i="1" s="1"/>
  <c r="CI462" i="1"/>
  <c r="CM462" i="1" s="1"/>
  <c r="CI463" i="1"/>
  <c r="CM463" i="1" s="1"/>
  <c r="CI464" i="1"/>
  <c r="CM464" i="1" s="1"/>
  <c r="CI465" i="1"/>
  <c r="CM465" i="1" s="1"/>
  <c r="CI466" i="1"/>
  <c r="CM466" i="1" s="1"/>
  <c r="CI467" i="1"/>
  <c r="CM467" i="1" s="1"/>
  <c r="CI468" i="1"/>
  <c r="CM468" i="1" s="1"/>
  <c r="CI469" i="1"/>
  <c r="CM469" i="1" s="1"/>
  <c r="CI470" i="1"/>
  <c r="CM470" i="1" s="1"/>
  <c r="CI471" i="1"/>
  <c r="CM471" i="1" s="1"/>
  <c r="CI472" i="1"/>
  <c r="CM472" i="1" s="1"/>
  <c r="CI473" i="1"/>
  <c r="CM473" i="1" s="1"/>
  <c r="CI474" i="1"/>
  <c r="CM474" i="1" s="1"/>
  <c r="CI475" i="1"/>
  <c r="CM475" i="1" s="1"/>
  <c r="CI476" i="1"/>
  <c r="CM476" i="1" s="1"/>
  <c r="CI477" i="1"/>
  <c r="CM477" i="1" s="1"/>
  <c r="CI478" i="1"/>
  <c r="CM478" i="1" s="1"/>
  <c r="CI479" i="1"/>
  <c r="CM479" i="1" s="1"/>
  <c r="CI480" i="1"/>
  <c r="CM480" i="1" s="1"/>
  <c r="CI481" i="1"/>
  <c r="CM481" i="1" s="1"/>
  <c r="CI482" i="1"/>
  <c r="CM482" i="1" s="1"/>
  <c r="CI483" i="1"/>
  <c r="CM483" i="1" s="1"/>
  <c r="CI484" i="1"/>
  <c r="CM484" i="1" s="1"/>
  <c r="CI485" i="1"/>
  <c r="CM485" i="1" s="1"/>
  <c r="CI486" i="1"/>
  <c r="CM486" i="1" s="1"/>
  <c r="CI487" i="1"/>
  <c r="CM487" i="1" s="1"/>
  <c r="CI488" i="1"/>
  <c r="CM488" i="1" s="1"/>
  <c r="CI489" i="1"/>
  <c r="CM489" i="1" s="1"/>
  <c r="CI490" i="1"/>
  <c r="CM490" i="1" s="1"/>
  <c r="CI491" i="1"/>
  <c r="CM491" i="1" s="1"/>
  <c r="CI492" i="1"/>
  <c r="CM492" i="1" s="1"/>
  <c r="CI493" i="1"/>
  <c r="CM493" i="1" s="1"/>
  <c r="CI494" i="1"/>
  <c r="CM494" i="1" s="1"/>
  <c r="CI495" i="1"/>
  <c r="CM495" i="1" s="1"/>
  <c r="CI496" i="1"/>
  <c r="CM496" i="1" s="1"/>
  <c r="CI497" i="1"/>
  <c r="CM497" i="1" s="1"/>
  <c r="CI498" i="1"/>
  <c r="CM498" i="1" s="1"/>
  <c r="CI499" i="1"/>
  <c r="CM499" i="1" s="1"/>
  <c r="CI500" i="1"/>
  <c r="CM500" i="1" s="1"/>
  <c r="CI501" i="1"/>
  <c r="CM501" i="1" s="1"/>
  <c r="CI502" i="1"/>
  <c r="CM502" i="1" s="1"/>
  <c r="CI503" i="1"/>
  <c r="CM503" i="1" s="1"/>
  <c r="CI504" i="1"/>
  <c r="CM504" i="1" s="1"/>
  <c r="CI505" i="1"/>
  <c r="CM505" i="1" s="1"/>
  <c r="CI506" i="1"/>
  <c r="CM506" i="1" s="1"/>
  <c r="CI507" i="1"/>
  <c r="CM507" i="1" s="1"/>
  <c r="CI508" i="1"/>
  <c r="CM508" i="1" s="1"/>
  <c r="CI509" i="1"/>
  <c r="CM509" i="1" s="1"/>
  <c r="CI510" i="1"/>
  <c r="CM510" i="1" s="1"/>
  <c r="CI511" i="1"/>
  <c r="CM511" i="1" s="1"/>
  <c r="CI512" i="1"/>
  <c r="CM512" i="1" s="1"/>
  <c r="CI513" i="1"/>
  <c r="CM513" i="1" s="1"/>
  <c r="CI514" i="1"/>
  <c r="CM514" i="1" s="1"/>
  <c r="CI515" i="1"/>
  <c r="CM515" i="1" s="1"/>
  <c r="CI516" i="1"/>
  <c r="CM516" i="1" s="1"/>
  <c r="CI517" i="1"/>
  <c r="CM517" i="1" s="1"/>
  <c r="CI518" i="1"/>
  <c r="CM518" i="1" s="1"/>
  <c r="CI519" i="1"/>
  <c r="CM519" i="1" s="1"/>
  <c r="CI520" i="1"/>
  <c r="CM520" i="1" s="1"/>
  <c r="CI521" i="1"/>
  <c r="CM521" i="1" s="1"/>
  <c r="CI522" i="1"/>
  <c r="CM522" i="1" s="1"/>
  <c r="CI523" i="1"/>
  <c r="CM523" i="1" s="1"/>
  <c r="CI524" i="1"/>
  <c r="CM524" i="1" s="1"/>
  <c r="CI525" i="1"/>
  <c r="CM525" i="1" s="1"/>
  <c r="CI526" i="1"/>
  <c r="CM526" i="1" s="1"/>
  <c r="CI527" i="1"/>
  <c r="CM527" i="1" s="1"/>
  <c r="CI528" i="1"/>
  <c r="CM528" i="1" s="1"/>
  <c r="CI529" i="1"/>
  <c r="CM529" i="1" s="1"/>
  <c r="CI530" i="1"/>
  <c r="CM530" i="1" s="1"/>
  <c r="CI531" i="1"/>
  <c r="CM531" i="1" s="1"/>
  <c r="CI532" i="1"/>
  <c r="CM532" i="1" s="1"/>
  <c r="CI533" i="1"/>
  <c r="CM533" i="1" s="1"/>
  <c r="CI534" i="1"/>
  <c r="CM534" i="1" s="1"/>
  <c r="CI535" i="1"/>
  <c r="CM535" i="1" s="1"/>
  <c r="CI536" i="1"/>
  <c r="CM536" i="1" s="1"/>
  <c r="CI537" i="1"/>
  <c r="CM537" i="1" s="1"/>
  <c r="CI538" i="1"/>
  <c r="CM538" i="1" s="1"/>
  <c r="CI539" i="1"/>
  <c r="CM539" i="1" s="1"/>
  <c r="CI540" i="1"/>
  <c r="CM540" i="1" s="1"/>
  <c r="CI541" i="1"/>
  <c r="CM541" i="1" s="1"/>
  <c r="CI542" i="1"/>
  <c r="CM542" i="1" s="1"/>
  <c r="CI543" i="1"/>
  <c r="CM543" i="1" s="1"/>
  <c r="CI544" i="1"/>
  <c r="CM544" i="1" s="1"/>
  <c r="CI545" i="1"/>
  <c r="CM545" i="1" s="1"/>
  <c r="CI546" i="1"/>
  <c r="CM546" i="1" s="1"/>
  <c r="CI547" i="1"/>
  <c r="CM547" i="1" s="1"/>
  <c r="CI548" i="1"/>
  <c r="CM548" i="1" s="1"/>
  <c r="CI549" i="1"/>
  <c r="CM549" i="1" s="1"/>
  <c r="CI550" i="1"/>
  <c r="CM550" i="1" s="1"/>
  <c r="CI551" i="1"/>
  <c r="CM551" i="1" s="1"/>
  <c r="CI552" i="1"/>
  <c r="CM552" i="1" s="1"/>
  <c r="CI553" i="1"/>
  <c r="CM553" i="1" s="1"/>
  <c r="CI554" i="1"/>
  <c r="CM554" i="1" s="1"/>
  <c r="CI555" i="1"/>
  <c r="CM555" i="1" s="1"/>
  <c r="CI556" i="1"/>
  <c r="CM556" i="1" s="1"/>
  <c r="CI557" i="1"/>
  <c r="CM557" i="1" s="1"/>
  <c r="CI558" i="1"/>
  <c r="CM558" i="1" s="1"/>
  <c r="CI559" i="1"/>
  <c r="CM559" i="1" s="1"/>
  <c r="CI560" i="1"/>
  <c r="CM560" i="1" s="1"/>
  <c r="CI561" i="1"/>
  <c r="CM561" i="1" s="1"/>
  <c r="CI562" i="1"/>
  <c r="CM562" i="1" s="1"/>
  <c r="CI563" i="1"/>
  <c r="CM563" i="1" s="1"/>
  <c r="CI564" i="1"/>
  <c r="CM564" i="1" s="1"/>
  <c r="CI565" i="1"/>
  <c r="CM565" i="1" s="1"/>
  <c r="CI566" i="1"/>
  <c r="CM566" i="1" s="1"/>
  <c r="CI567" i="1"/>
  <c r="CM567" i="1" s="1"/>
  <c r="BZ3" i="1"/>
  <c r="CE3" i="1" s="1"/>
  <c r="BZ4" i="1"/>
  <c r="CE4" i="1" s="1"/>
  <c r="BZ5" i="1"/>
  <c r="CE5" i="1" s="1"/>
  <c r="BZ6" i="1"/>
  <c r="CE6" i="1" s="1"/>
  <c r="BZ7" i="1"/>
  <c r="CE7" i="1" s="1"/>
  <c r="BZ8" i="1"/>
  <c r="CE8" i="1" s="1"/>
  <c r="BZ9" i="1"/>
  <c r="CE9" i="1" s="1"/>
  <c r="BZ10" i="1"/>
  <c r="CE10" i="1" s="1"/>
  <c r="BZ11" i="1"/>
  <c r="CE11" i="1" s="1"/>
  <c r="BZ12" i="1"/>
  <c r="CE12" i="1" s="1"/>
  <c r="BZ13" i="1"/>
  <c r="CE13" i="1" s="1"/>
  <c r="BZ14" i="1"/>
  <c r="CE14" i="1" s="1"/>
  <c r="BZ15" i="1"/>
  <c r="CE15" i="1" s="1"/>
  <c r="BZ16" i="1"/>
  <c r="CE16" i="1" s="1"/>
  <c r="BZ17" i="1"/>
  <c r="CE17" i="1" s="1"/>
  <c r="BZ18" i="1"/>
  <c r="CE18" i="1" s="1"/>
  <c r="BZ19" i="1"/>
  <c r="CE19" i="1" s="1"/>
  <c r="BZ20" i="1"/>
  <c r="CE20" i="1" s="1"/>
  <c r="BZ21" i="1"/>
  <c r="CE21" i="1" s="1"/>
  <c r="BZ22" i="1"/>
  <c r="CE22" i="1" s="1"/>
  <c r="BZ23" i="1"/>
  <c r="CE23" i="1" s="1"/>
  <c r="BZ24" i="1"/>
  <c r="CE24" i="1" s="1"/>
  <c r="BZ25" i="1"/>
  <c r="CE25" i="1" s="1"/>
  <c r="BZ26" i="1"/>
  <c r="CE26" i="1" s="1"/>
  <c r="BZ27" i="1"/>
  <c r="CE27" i="1" s="1"/>
  <c r="BZ28" i="1"/>
  <c r="CE28" i="1" s="1"/>
  <c r="BZ29" i="1"/>
  <c r="CE29" i="1" s="1"/>
  <c r="BZ30" i="1"/>
  <c r="CE30" i="1" s="1"/>
  <c r="BZ31" i="1"/>
  <c r="CE31" i="1" s="1"/>
  <c r="BZ32" i="1"/>
  <c r="CE32" i="1" s="1"/>
  <c r="BZ33" i="1"/>
  <c r="CE33" i="1" s="1"/>
  <c r="BZ34" i="1"/>
  <c r="CE34" i="1" s="1"/>
  <c r="BZ35" i="1"/>
  <c r="CE35" i="1" s="1"/>
  <c r="BZ36" i="1"/>
  <c r="CE36" i="1" s="1"/>
  <c r="BZ37" i="1"/>
  <c r="CE37" i="1" s="1"/>
  <c r="BZ38" i="1"/>
  <c r="CE38" i="1" s="1"/>
  <c r="BZ39" i="1"/>
  <c r="CE39" i="1" s="1"/>
  <c r="BZ40" i="1"/>
  <c r="CE40" i="1" s="1"/>
  <c r="BZ41" i="1"/>
  <c r="CE41" i="1" s="1"/>
  <c r="BZ42" i="1"/>
  <c r="CE42" i="1" s="1"/>
  <c r="BZ43" i="1"/>
  <c r="CE43" i="1" s="1"/>
  <c r="BZ44" i="1"/>
  <c r="CE44" i="1" s="1"/>
  <c r="BZ45" i="1"/>
  <c r="CE45" i="1" s="1"/>
  <c r="BZ46" i="1"/>
  <c r="CE46" i="1" s="1"/>
  <c r="BZ47" i="1"/>
  <c r="CE47" i="1" s="1"/>
  <c r="BZ48" i="1"/>
  <c r="CE48" i="1" s="1"/>
  <c r="BZ49" i="1"/>
  <c r="CE49" i="1" s="1"/>
  <c r="BZ50" i="1"/>
  <c r="CE50" i="1" s="1"/>
  <c r="BZ51" i="1"/>
  <c r="CE51" i="1" s="1"/>
  <c r="BZ52" i="1"/>
  <c r="CE52" i="1" s="1"/>
  <c r="BZ53" i="1"/>
  <c r="CE53" i="1" s="1"/>
  <c r="BZ54" i="1"/>
  <c r="CE54" i="1" s="1"/>
  <c r="BZ55" i="1"/>
  <c r="CE55" i="1" s="1"/>
  <c r="BZ56" i="1"/>
  <c r="CE56" i="1" s="1"/>
  <c r="BZ57" i="1"/>
  <c r="CE57" i="1" s="1"/>
  <c r="BZ58" i="1"/>
  <c r="CE58" i="1" s="1"/>
  <c r="BZ59" i="1"/>
  <c r="CE59" i="1" s="1"/>
  <c r="BZ60" i="1"/>
  <c r="CE60" i="1" s="1"/>
  <c r="BZ61" i="1"/>
  <c r="CE61" i="1" s="1"/>
  <c r="BZ62" i="1"/>
  <c r="CE62" i="1" s="1"/>
  <c r="BZ63" i="1"/>
  <c r="CE63" i="1" s="1"/>
  <c r="BZ64" i="1"/>
  <c r="CE64" i="1" s="1"/>
  <c r="BZ65" i="1"/>
  <c r="CE65" i="1" s="1"/>
  <c r="BZ66" i="1"/>
  <c r="CE66" i="1" s="1"/>
  <c r="BZ67" i="1"/>
  <c r="CE67" i="1" s="1"/>
  <c r="BZ68" i="1"/>
  <c r="CE68" i="1" s="1"/>
  <c r="BZ69" i="1"/>
  <c r="CE69" i="1" s="1"/>
  <c r="BZ70" i="1"/>
  <c r="CE70" i="1" s="1"/>
  <c r="BZ71" i="1"/>
  <c r="CE71" i="1" s="1"/>
  <c r="BZ72" i="1"/>
  <c r="CE72" i="1" s="1"/>
  <c r="BZ73" i="1"/>
  <c r="CE73" i="1" s="1"/>
  <c r="BZ74" i="1"/>
  <c r="CE74" i="1" s="1"/>
  <c r="BZ75" i="1"/>
  <c r="CE75" i="1" s="1"/>
  <c r="BZ76" i="1"/>
  <c r="CE76" i="1" s="1"/>
  <c r="BZ77" i="1"/>
  <c r="CE77" i="1" s="1"/>
  <c r="BZ78" i="1"/>
  <c r="CE78" i="1" s="1"/>
  <c r="BZ79" i="1"/>
  <c r="CE79" i="1" s="1"/>
  <c r="BZ80" i="1"/>
  <c r="CE80" i="1" s="1"/>
  <c r="BZ81" i="1"/>
  <c r="CE81" i="1" s="1"/>
  <c r="BZ82" i="1"/>
  <c r="CE82" i="1" s="1"/>
  <c r="BZ83" i="1"/>
  <c r="CE83" i="1" s="1"/>
  <c r="BZ84" i="1"/>
  <c r="CE84" i="1" s="1"/>
  <c r="BZ85" i="1"/>
  <c r="CE85" i="1" s="1"/>
  <c r="BZ86" i="1"/>
  <c r="CE86" i="1" s="1"/>
  <c r="BZ87" i="1"/>
  <c r="CE87" i="1" s="1"/>
  <c r="BZ88" i="1"/>
  <c r="CE88" i="1" s="1"/>
  <c r="BZ89" i="1"/>
  <c r="CE89" i="1" s="1"/>
  <c r="BZ90" i="1"/>
  <c r="CE90" i="1" s="1"/>
  <c r="BZ91" i="1"/>
  <c r="CE91" i="1" s="1"/>
  <c r="BZ92" i="1"/>
  <c r="CE92" i="1" s="1"/>
  <c r="BZ93" i="1"/>
  <c r="CE93" i="1" s="1"/>
  <c r="BZ94" i="1"/>
  <c r="CE94" i="1" s="1"/>
  <c r="BZ95" i="1"/>
  <c r="CE95" i="1" s="1"/>
  <c r="BZ96" i="1"/>
  <c r="CE96" i="1" s="1"/>
  <c r="BZ97" i="1"/>
  <c r="CE97" i="1" s="1"/>
  <c r="BZ98" i="1"/>
  <c r="CE98" i="1" s="1"/>
  <c r="BZ99" i="1"/>
  <c r="CE99" i="1" s="1"/>
  <c r="BZ100" i="1"/>
  <c r="CE100" i="1" s="1"/>
  <c r="BZ101" i="1"/>
  <c r="CE101" i="1" s="1"/>
  <c r="BZ102" i="1"/>
  <c r="CE102" i="1" s="1"/>
  <c r="BZ103" i="1"/>
  <c r="CE103" i="1" s="1"/>
  <c r="BZ104" i="1"/>
  <c r="CE104" i="1" s="1"/>
  <c r="BZ105" i="1"/>
  <c r="CE105" i="1" s="1"/>
  <c r="BZ106" i="1"/>
  <c r="CE106" i="1" s="1"/>
  <c r="BZ107" i="1"/>
  <c r="CE107" i="1" s="1"/>
  <c r="BZ108" i="1"/>
  <c r="CE108" i="1" s="1"/>
  <c r="BZ109" i="1"/>
  <c r="CE109" i="1" s="1"/>
  <c r="BZ110" i="1"/>
  <c r="CE110" i="1" s="1"/>
  <c r="BZ111" i="1"/>
  <c r="CE111" i="1" s="1"/>
  <c r="BZ112" i="1"/>
  <c r="CE112" i="1" s="1"/>
  <c r="BZ113" i="1"/>
  <c r="CE113" i="1" s="1"/>
  <c r="BZ114" i="1"/>
  <c r="CE114" i="1" s="1"/>
  <c r="BZ115" i="1"/>
  <c r="CE115" i="1" s="1"/>
  <c r="BZ116" i="1"/>
  <c r="CE116" i="1" s="1"/>
  <c r="BZ117" i="1"/>
  <c r="CE117" i="1" s="1"/>
  <c r="BZ118" i="1"/>
  <c r="CE118" i="1" s="1"/>
  <c r="BZ119" i="1"/>
  <c r="CE119" i="1" s="1"/>
  <c r="BZ120" i="1"/>
  <c r="CE120" i="1" s="1"/>
  <c r="BZ121" i="1"/>
  <c r="CE121" i="1" s="1"/>
  <c r="BZ122" i="1"/>
  <c r="CE122" i="1" s="1"/>
  <c r="BZ123" i="1"/>
  <c r="CE123" i="1" s="1"/>
  <c r="BZ124" i="1"/>
  <c r="CE124" i="1" s="1"/>
  <c r="BZ125" i="1"/>
  <c r="CE125" i="1" s="1"/>
  <c r="BZ126" i="1"/>
  <c r="CE126" i="1" s="1"/>
  <c r="BZ127" i="1"/>
  <c r="CE127" i="1" s="1"/>
  <c r="BZ128" i="1"/>
  <c r="CE128" i="1" s="1"/>
  <c r="BZ129" i="1"/>
  <c r="CE129" i="1" s="1"/>
  <c r="BZ130" i="1"/>
  <c r="CE130" i="1" s="1"/>
  <c r="BZ131" i="1"/>
  <c r="CE131" i="1" s="1"/>
  <c r="BZ132" i="1"/>
  <c r="CE132" i="1" s="1"/>
  <c r="BZ133" i="1"/>
  <c r="CE133" i="1" s="1"/>
  <c r="BZ134" i="1"/>
  <c r="CE134" i="1" s="1"/>
  <c r="BZ135" i="1"/>
  <c r="CE135" i="1" s="1"/>
  <c r="BZ136" i="1"/>
  <c r="CE136" i="1" s="1"/>
  <c r="BZ137" i="1"/>
  <c r="CE137" i="1" s="1"/>
  <c r="BZ138" i="1"/>
  <c r="CE138" i="1" s="1"/>
  <c r="BZ139" i="1"/>
  <c r="CE139" i="1" s="1"/>
  <c r="BZ140" i="1"/>
  <c r="CE140" i="1" s="1"/>
  <c r="BZ141" i="1"/>
  <c r="CE141" i="1" s="1"/>
  <c r="BZ142" i="1"/>
  <c r="CE142" i="1" s="1"/>
  <c r="BZ143" i="1"/>
  <c r="CE143" i="1" s="1"/>
  <c r="BZ144" i="1"/>
  <c r="CE144" i="1" s="1"/>
  <c r="BZ145" i="1"/>
  <c r="CE145" i="1" s="1"/>
  <c r="BZ146" i="1"/>
  <c r="CE146" i="1" s="1"/>
  <c r="BZ147" i="1"/>
  <c r="CE147" i="1" s="1"/>
  <c r="BZ148" i="1"/>
  <c r="CE148" i="1" s="1"/>
  <c r="BZ149" i="1"/>
  <c r="CE149" i="1" s="1"/>
  <c r="BZ150" i="1"/>
  <c r="CE150" i="1" s="1"/>
  <c r="BZ151" i="1"/>
  <c r="CE151" i="1" s="1"/>
  <c r="BZ152" i="1"/>
  <c r="CE152" i="1" s="1"/>
  <c r="BZ153" i="1"/>
  <c r="CE153" i="1" s="1"/>
  <c r="BZ154" i="1"/>
  <c r="CE154" i="1" s="1"/>
  <c r="BZ155" i="1"/>
  <c r="CE155" i="1" s="1"/>
  <c r="BZ156" i="1"/>
  <c r="CE156" i="1" s="1"/>
  <c r="BZ157" i="1"/>
  <c r="CE157" i="1" s="1"/>
  <c r="BZ158" i="1"/>
  <c r="CE158" i="1" s="1"/>
  <c r="BZ159" i="1"/>
  <c r="CE159" i="1" s="1"/>
  <c r="BZ160" i="1"/>
  <c r="CE160" i="1" s="1"/>
  <c r="BZ161" i="1"/>
  <c r="CE161" i="1" s="1"/>
  <c r="BZ162" i="1"/>
  <c r="CE162" i="1" s="1"/>
  <c r="BZ163" i="1"/>
  <c r="CE163" i="1" s="1"/>
  <c r="BZ164" i="1"/>
  <c r="CE164" i="1" s="1"/>
  <c r="BZ165" i="1"/>
  <c r="CE165" i="1" s="1"/>
  <c r="BZ166" i="1"/>
  <c r="CE166" i="1" s="1"/>
  <c r="BZ167" i="1"/>
  <c r="CE167" i="1" s="1"/>
  <c r="BZ168" i="1"/>
  <c r="CE168" i="1" s="1"/>
  <c r="BZ169" i="1"/>
  <c r="CE169" i="1" s="1"/>
  <c r="BZ170" i="1"/>
  <c r="CE170" i="1" s="1"/>
  <c r="BZ171" i="1"/>
  <c r="CE171" i="1" s="1"/>
  <c r="BZ172" i="1"/>
  <c r="CE172" i="1" s="1"/>
  <c r="BZ173" i="1"/>
  <c r="CE173" i="1" s="1"/>
  <c r="BZ174" i="1"/>
  <c r="CE174" i="1" s="1"/>
  <c r="BZ175" i="1"/>
  <c r="CE175" i="1" s="1"/>
  <c r="BZ176" i="1"/>
  <c r="CE176" i="1" s="1"/>
  <c r="BZ177" i="1"/>
  <c r="CE177" i="1" s="1"/>
  <c r="BZ178" i="1"/>
  <c r="CE178" i="1" s="1"/>
  <c r="BZ179" i="1"/>
  <c r="CE179" i="1" s="1"/>
  <c r="BZ180" i="1"/>
  <c r="CE180" i="1" s="1"/>
  <c r="BZ181" i="1"/>
  <c r="CE181" i="1" s="1"/>
  <c r="BZ182" i="1"/>
  <c r="CE182" i="1" s="1"/>
  <c r="BZ183" i="1"/>
  <c r="CE183" i="1" s="1"/>
  <c r="BZ184" i="1"/>
  <c r="CE184" i="1" s="1"/>
  <c r="BZ185" i="1"/>
  <c r="CE185" i="1" s="1"/>
  <c r="BZ186" i="1"/>
  <c r="CE186" i="1" s="1"/>
  <c r="BZ187" i="1"/>
  <c r="CE187" i="1" s="1"/>
  <c r="BZ188" i="1"/>
  <c r="CE188" i="1" s="1"/>
  <c r="BZ189" i="1"/>
  <c r="CE189" i="1" s="1"/>
  <c r="BZ190" i="1"/>
  <c r="CE190" i="1" s="1"/>
  <c r="BZ191" i="1"/>
  <c r="CE191" i="1" s="1"/>
  <c r="BZ192" i="1"/>
  <c r="CE192" i="1" s="1"/>
  <c r="BZ193" i="1"/>
  <c r="CE193" i="1" s="1"/>
  <c r="BZ194" i="1"/>
  <c r="CE194" i="1" s="1"/>
  <c r="BZ195" i="1"/>
  <c r="CE195" i="1" s="1"/>
  <c r="BZ196" i="1"/>
  <c r="CE196" i="1" s="1"/>
  <c r="BZ197" i="1"/>
  <c r="CE197" i="1" s="1"/>
  <c r="BZ198" i="1"/>
  <c r="CE198" i="1" s="1"/>
  <c r="BZ199" i="1"/>
  <c r="CE199" i="1" s="1"/>
  <c r="BZ200" i="1"/>
  <c r="CE200" i="1" s="1"/>
  <c r="BZ201" i="1"/>
  <c r="CE201" i="1" s="1"/>
  <c r="BZ202" i="1"/>
  <c r="CE202" i="1" s="1"/>
  <c r="BZ203" i="1"/>
  <c r="CE203" i="1" s="1"/>
  <c r="BZ204" i="1"/>
  <c r="CE204" i="1" s="1"/>
  <c r="BZ205" i="1"/>
  <c r="CE205" i="1" s="1"/>
  <c r="BZ206" i="1"/>
  <c r="CE206" i="1" s="1"/>
  <c r="BZ207" i="1"/>
  <c r="CE207" i="1" s="1"/>
  <c r="BZ208" i="1"/>
  <c r="CE208" i="1" s="1"/>
  <c r="BZ209" i="1"/>
  <c r="CE209" i="1" s="1"/>
  <c r="BZ210" i="1"/>
  <c r="CE210" i="1" s="1"/>
  <c r="BZ211" i="1"/>
  <c r="CE211" i="1" s="1"/>
  <c r="BZ212" i="1"/>
  <c r="CE212" i="1" s="1"/>
  <c r="BZ213" i="1"/>
  <c r="CE213" i="1" s="1"/>
  <c r="BZ214" i="1"/>
  <c r="CE214" i="1" s="1"/>
  <c r="BZ215" i="1"/>
  <c r="CE215" i="1" s="1"/>
  <c r="BZ216" i="1"/>
  <c r="CE216" i="1" s="1"/>
  <c r="BZ217" i="1"/>
  <c r="CE217" i="1" s="1"/>
  <c r="BZ218" i="1"/>
  <c r="CE218" i="1" s="1"/>
  <c r="BZ219" i="1"/>
  <c r="CE219" i="1" s="1"/>
  <c r="BZ220" i="1"/>
  <c r="CE220" i="1" s="1"/>
  <c r="BZ221" i="1"/>
  <c r="CE221" i="1" s="1"/>
  <c r="BZ222" i="1"/>
  <c r="CE222" i="1" s="1"/>
  <c r="BZ223" i="1"/>
  <c r="CE223" i="1" s="1"/>
  <c r="BZ224" i="1"/>
  <c r="CE224" i="1" s="1"/>
  <c r="BZ225" i="1"/>
  <c r="CE225" i="1" s="1"/>
  <c r="BZ226" i="1"/>
  <c r="CE226" i="1" s="1"/>
  <c r="BZ227" i="1"/>
  <c r="CE227" i="1" s="1"/>
  <c r="BZ228" i="1"/>
  <c r="CE228" i="1" s="1"/>
  <c r="BZ229" i="1"/>
  <c r="CE229" i="1" s="1"/>
  <c r="BZ230" i="1"/>
  <c r="CE230" i="1" s="1"/>
  <c r="BZ231" i="1"/>
  <c r="CE231" i="1" s="1"/>
  <c r="BZ232" i="1"/>
  <c r="CE232" i="1" s="1"/>
  <c r="BZ233" i="1"/>
  <c r="CE233" i="1" s="1"/>
  <c r="BZ234" i="1"/>
  <c r="CE234" i="1" s="1"/>
  <c r="BZ235" i="1"/>
  <c r="CE235" i="1" s="1"/>
  <c r="BZ236" i="1"/>
  <c r="CE236" i="1" s="1"/>
  <c r="BZ237" i="1"/>
  <c r="CE237" i="1" s="1"/>
  <c r="BZ238" i="1"/>
  <c r="CE238" i="1" s="1"/>
  <c r="BZ239" i="1"/>
  <c r="CE239" i="1" s="1"/>
  <c r="BZ240" i="1"/>
  <c r="CE240" i="1" s="1"/>
  <c r="BZ241" i="1"/>
  <c r="CE241" i="1" s="1"/>
  <c r="BZ242" i="1"/>
  <c r="CE242" i="1" s="1"/>
  <c r="BZ243" i="1"/>
  <c r="CE243" i="1" s="1"/>
  <c r="BZ244" i="1"/>
  <c r="CE244" i="1" s="1"/>
  <c r="BZ245" i="1"/>
  <c r="CE245" i="1" s="1"/>
  <c r="BZ246" i="1"/>
  <c r="CE246" i="1" s="1"/>
  <c r="BZ247" i="1"/>
  <c r="CE247" i="1" s="1"/>
  <c r="BZ248" i="1"/>
  <c r="CE248" i="1" s="1"/>
  <c r="BZ249" i="1"/>
  <c r="CE249" i="1" s="1"/>
  <c r="BZ250" i="1"/>
  <c r="CE250" i="1" s="1"/>
  <c r="BZ251" i="1"/>
  <c r="CE251" i="1" s="1"/>
  <c r="BZ252" i="1"/>
  <c r="CE252" i="1" s="1"/>
  <c r="BZ253" i="1"/>
  <c r="CE253" i="1" s="1"/>
  <c r="BZ254" i="1"/>
  <c r="CE254" i="1" s="1"/>
  <c r="BZ255" i="1"/>
  <c r="CE255" i="1" s="1"/>
  <c r="BZ256" i="1"/>
  <c r="CE256" i="1" s="1"/>
  <c r="BZ257" i="1"/>
  <c r="CE257" i="1" s="1"/>
  <c r="BZ258" i="1"/>
  <c r="CE258" i="1" s="1"/>
  <c r="BZ259" i="1"/>
  <c r="CE259" i="1" s="1"/>
  <c r="BZ260" i="1"/>
  <c r="CE260" i="1" s="1"/>
  <c r="BZ261" i="1"/>
  <c r="CE261" i="1" s="1"/>
  <c r="BZ262" i="1"/>
  <c r="CE262" i="1" s="1"/>
  <c r="BZ263" i="1"/>
  <c r="CE263" i="1" s="1"/>
  <c r="BZ264" i="1"/>
  <c r="CE264" i="1" s="1"/>
  <c r="BZ265" i="1"/>
  <c r="CE265" i="1" s="1"/>
  <c r="BZ266" i="1"/>
  <c r="CE266" i="1" s="1"/>
  <c r="BZ267" i="1"/>
  <c r="CE267" i="1" s="1"/>
  <c r="BZ268" i="1"/>
  <c r="CE268" i="1" s="1"/>
  <c r="BZ269" i="1"/>
  <c r="CE269" i="1" s="1"/>
  <c r="BZ270" i="1"/>
  <c r="CE270" i="1" s="1"/>
  <c r="BZ271" i="1"/>
  <c r="CE271" i="1" s="1"/>
  <c r="BZ272" i="1"/>
  <c r="CE272" i="1" s="1"/>
  <c r="BZ273" i="1"/>
  <c r="CE273" i="1" s="1"/>
  <c r="BZ274" i="1"/>
  <c r="CE274" i="1" s="1"/>
  <c r="BZ275" i="1"/>
  <c r="CE275" i="1" s="1"/>
  <c r="BZ276" i="1"/>
  <c r="CE276" i="1" s="1"/>
  <c r="BZ277" i="1"/>
  <c r="CE277" i="1" s="1"/>
  <c r="BZ278" i="1"/>
  <c r="CE278" i="1" s="1"/>
  <c r="BZ279" i="1"/>
  <c r="CE279" i="1" s="1"/>
  <c r="BZ280" i="1"/>
  <c r="CE280" i="1" s="1"/>
  <c r="BZ281" i="1"/>
  <c r="CE281" i="1" s="1"/>
  <c r="BZ282" i="1"/>
  <c r="CE282" i="1" s="1"/>
  <c r="BZ283" i="1"/>
  <c r="CE283" i="1" s="1"/>
  <c r="BZ284" i="1"/>
  <c r="CE284" i="1" s="1"/>
  <c r="BZ285" i="1"/>
  <c r="CE285" i="1" s="1"/>
  <c r="BZ286" i="1"/>
  <c r="CE286" i="1" s="1"/>
  <c r="BZ287" i="1"/>
  <c r="CE287" i="1" s="1"/>
  <c r="BZ288" i="1"/>
  <c r="CE288" i="1" s="1"/>
  <c r="BZ289" i="1"/>
  <c r="CE289" i="1" s="1"/>
  <c r="BZ290" i="1"/>
  <c r="CE290" i="1" s="1"/>
  <c r="BZ291" i="1"/>
  <c r="CE291" i="1" s="1"/>
  <c r="BZ292" i="1"/>
  <c r="CE292" i="1" s="1"/>
  <c r="BZ293" i="1"/>
  <c r="CE293" i="1" s="1"/>
  <c r="BZ294" i="1"/>
  <c r="CE294" i="1" s="1"/>
  <c r="BZ295" i="1"/>
  <c r="CE295" i="1" s="1"/>
  <c r="BZ296" i="1"/>
  <c r="CE296" i="1" s="1"/>
  <c r="BZ297" i="1"/>
  <c r="CE297" i="1" s="1"/>
  <c r="BZ298" i="1"/>
  <c r="CE298" i="1" s="1"/>
  <c r="BZ299" i="1"/>
  <c r="CE299" i="1" s="1"/>
  <c r="BZ300" i="1"/>
  <c r="CE300" i="1" s="1"/>
  <c r="BZ301" i="1"/>
  <c r="CE301" i="1" s="1"/>
  <c r="BZ302" i="1"/>
  <c r="CE302" i="1" s="1"/>
  <c r="BZ303" i="1"/>
  <c r="CE303" i="1" s="1"/>
  <c r="BZ304" i="1"/>
  <c r="CE304" i="1" s="1"/>
  <c r="BZ305" i="1"/>
  <c r="CE305" i="1" s="1"/>
  <c r="BZ306" i="1"/>
  <c r="CE306" i="1" s="1"/>
  <c r="BZ307" i="1"/>
  <c r="CE307" i="1" s="1"/>
  <c r="BZ308" i="1"/>
  <c r="CE308" i="1" s="1"/>
  <c r="BZ309" i="1"/>
  <c r="CE309" i="1" s="1"/>
  <c r="BZ310" i="1"/>
  <c r="CE310" i="1" s="1"/>
  <c r="BZ311" i="1"/>
  <c r="CE311" i="1" s="1"/>
  <c r="BZ312" i="1"/>
  <c r="CE312" i="1" s="1"/>
  <c r="BZ313" i="1"/>
  <c r="CE313" i="1" s="1"/>
  <c r="BZ314" i="1"/>
  <c r="CE314" i="1" s="1"/>
  <c r="BZ315" i="1"/>
  <c r="CE315" i="1" s="1"/>
  <c r="BZ316" i="1"/>
  <c r="CE316" i="1" s="1"/>
  <c r="BZ317" i="1"/>
  <c r="CE317" i="1" s="1"/>
  <c r="BZ318" i="1"/>
  <c r="CE318" i="1" s="1"/>
  <c r="BZ319" i="1"/>
  <c r="CE319" i="1" s="1"/>
  <c r="BZ320" i="1"/>
  <c r="CE320" i="1" s="1"/>
  <c r="BZ321" i="1"/>
  <c r="CE321" i="1" s="1"/>
  <c r="BZ322" i="1"/>
  <c r="CE322" i="1" s="1"/>
  <c r="BZ323" i="1"/>
  <c r="CE323" i="1" s="1"/>
  <c r="BZ324" i="1"/>
  <c r="CE324" i="1" s="1"/>
  <c r="BZ325" i="1"/>
  <c r="CE325" i="1" s="1"/>
  <c r="BZ326" i="1"/>
  <c r="CE326" i="1" s="1"/>
  <c r="BZ327" i="1"/>
  <c r="CE327" i="1" s="1"/>
  <c r="BZ328" i="1"/>
  <c r="CE328" i="1" s="1"/>
  <c r="BZ329" i="1"/>
  <c r="CE329" i="1" s="1"/>
  <c r="BZ330" i="1"/>
  <c r="CE330" i="1" s="1"/>
  <c r="BZ331" i="1"/>
  <c r="CE331" i="1" s="1"/>
  <c r="BZ332" i="1"/>
  <c r="CE332" i="1" s="1"/>
  <c r="BZ333" i="1"/>
  <c r="CE333" i="1" s="1"/>
  <c r="BZ334" i="1"/>
  <c r="CE334" i="1" s="1"/>
  <c r="BZ335" i="1"/>
  <c r="CE335" i="1" s="1"/>
  <c r="BZ336" i="1"/>
  <c r="CE336" i="1" s="1"/>
  <c r="BZ337" i="1"/>
  <c r="CE337" i="1" s="1"/>
  <c r="BZ338" i="1"/>
  <c r="CE338" i="1" s="1"/>
  <c r="BZ339" i="1"/>
  <c r="CE339" i="1" s="1"/>
  <c r="BZ340" i="1"/>
  <c r="CE340" i="1" s="1"/>
  <c r="BZ341" i="1"/>
  <c r="CE341" i="1" s="1"/>
  <c r="BZ342" i="1"/>
  <c r="CE342" i="1" s="1"/>
  <c r="BZ343" i="1"/>
  <c r="CE343" i="1" s="1"/>
  <c r="BZ344" i="1"/>
  <c r="CE344" i="1" s="1"/>
  <c r="BZ345" i="1"/>
  <c r="CE345" i="1" s="1"/>
  <c r="BZ346" i="1"/>
  <c r="CE346" i="1" s="1"/>
  <c r="BZ347" i="1"/>
  <c r="CE347" i="1" s="1"/>
  <c r="BZ348" i="1"/>
  <c r="CE348" i="1" s="1"/>
  <c r="BZ349" i="1"/>
  <c r="CE349" i="1" s="1"/>
  <c r="BZ350" i="1"/>
  <c r="CE350" i="1" s="1"/>
  <c r="BZ351" i="1"/>
  <c r="CE351" i="1" s="1"/>
  <c r="BZ352" i="1"/>
  <c r="CE352" i="1" s="1"/>
  <c r="BZ353" i="1"/>
  <c r="CE353" i="1" s="1"/>
  <c r="BZ354" i="1"/>
  <c r="CE354" i="1" s="1"/>
  <c r="BZ355" i="1"/>
  <c r="CE355" i="1" s="1"/>
  <c r="BZ356" i="1"/>
  <c r="CE356" i="1" s="1"/>
  <c r="BZ357" i="1"/>
  <c r="CE357" i="1" s="1"/>
  <c r="BZ358" i="1"/>
  <c r="CE358" i="1" s="1"/>
  <c r="BZ359" i="1"/>
  <c r="CE359" i="1" s="1"/>
  <c r="BZ360" i="1"/>
  <c r="CE360" i="1" s="1"/>
  <c r="BZ361" i="1"/>
  <c r="CE361" i="1" s="1"/>
  <c r="BZ362" i="1"/>
  <c r="CE362" i="1" s="1"/>
  <c r="BZ363" i="1"/>
  <c r="CE363" i="1" s="1"/>
  <c r="BZ364" i="1"/>
  <c r="CE364" i="1" s="1"/>
  <c r="BZ365" i="1"/>
  <c r="CE365" i="1" s="1"/>
  <c r="BZ366" i="1"/>
  <c r="CE366" i="1" s="1"/>
  <c r="BZ367" i="1"/>
  <c r="CE367" i="1" s="1"/>
  <c r="BZ368" i="1"/>
  <c r="CE368" i="1" s="1"/>
  <c r="BZ369" i="1"/>
  <c r="CE369" i="1" s="1"/>
  <c r="BZ370" i="1"/>
  <c r="CE370" i="1" s="1"/>
  <c r="BZ371" i="1"/>
  <c r="CE371" i="1" s="1"/>
  <c r="BZ372" i="1"/>
  <c r="CE372" i="1" s="1"/>
  <c r="BZ373" i="1"/>
  <c r="CE373" i="1" s="1"/>
  <c r="BZ374" i="1"/>
  <c r="CE374" i="1" s="1"/>
  <c r="BZ375" i="1"/>
  <c r="CE375" i="1" s="1"/>
  <c r="BZ376" i="1"/>
  <c r="CE376" i="1" s="1"/>
  <c r="BZ377" i="1"/>
  <c r="CE377" i="1" s="1"/>
  <c r="BZ378" i="1"/>
  <c r="CE378" i="1" s="1"/>
  <c r="BZ379" i="1"/>
  <c r="CE379" i="1" s="1"/>
  <c r="BZ380" i="1"/>
  <c r="CE380" i="1" s="1"/>
  <c r="BZ381" i="1"/>
  <c r="CE381" i="1" s="1"/>
  <c r="BZ382" i="1"/>
  <c r="CE382" i="1" s="1"/>
  <c r="BZ383" i="1"/>
  <c r="CE383" i="1" s="1"/>
  <c r="BZ384" i="1"/>
  <c r="CE384" i="1" s="1"/>
  <c r="BZ385" i="1"/>
  <c r="CE385" i="1" s="1"/>
  <c r="BZ386" i="1"/>
  <c r="CE386" i="1" s="1"/>
  <c r="BZ387" i="1"/>
  <c r="CE387" i="1" s="1"/>
  <c r="BZ388" i="1"/>
  <c r="CE388" i="1" s="1"/>
  <c r="BZ389" i="1"/>
  <c r="CE389" i="1" s="1"/>
  <c r="BZ390" i="1"/>
  <c r="CE390" i="1" s="1"/>
  <c r="BZ391" i="1"/>
  <c r="CE391" i="1" s="1"/>
  <c r="BZ392" i="1"/>
  <c r="CE392" i="1" s="1"/>
  <c r="BZ393" i="1"/>
  <c r="CE393" i="1" s="1"/>
  <c r="BZ394" i="1"/>
  <c r="CE394" i="1" s="1"/>
  <c r="BZ395" i="1"/>
  <c r="CE395" i="1" s="1"/>
  <c r="BZ396" i="1"/>
  <c r="CE396" i="1" s="1"/>
  <c r="BZ397" i="1"/>
  <c r="CE397" i="1" s="1"/>
  <c r="BZ398" i="1"/>
  <c r="CE398" i="1" s="1"/>
  <c r="BZ399" i="1"/>
  <c r="CE399" i="1" s="1"/>
  <c r="BZ400" i="1"/>
  <c r="CE400" i="1" s="1"/>
  <c r="BZ401" i="1"/>
  <c r="CE401" i="1" s="1"/>
  <c r="BZ402" i="1"/>
  <c r="CE402" i="1" s="1"/>
  <c r="BZ403" i="1"/>
  <c r="CE403" i="1" s="1"/>
  <c r="BZ404" i="1"/>
  <c r="CE404" i="1" s="1"/>
  <c r="BZ405" i="1"/>
  <c r="CE405" i="1" s="1"/>
  <c r="BZ406" i="1"/>
  <c r="CE406" i="1" s="1"/>
  <c r="BZ407" i="1"/>
  <c r="CE407" i="1" s="1"/>
  <c r="BZ408" i="1"/>
  <c r="CE408" i="1" s="1"/>
  <c r="BZ409" i="1"/>
  <c r="CE409" i="1" s="1"/>
  <c r="BZ410" i="1"/>
  <c r="CE410" i="1" s="1"/>
  <c r="BZ411" i="1"/>
  <c r="CE411" i="1" s="1"/>
  <c r="BZ412" i="1"/>
  <c r="CE412" i="1" s="1"/>
  <c r="BZ413" i="1"/>
  <c r="CE413" i="1" s="1"/>
  <c r="BZ414" i="1"/>
  <c r="CE414" i="1" s="1"/>
  <c r="BZ415" i="1"/>
  <c r="CE415" i="1" s="1"/>
  <c r="BZ416" i="1"/>
  <c r="CE416" i="1" s="1"/>
  <c r="BZ417" i="1"/>
  <c r="CE417" i="1" s="1"/>
  <c r="BZ418" i="1"/>
  <c r="CE418" i="1" s="1"/>
  <c r="BZ419" i="1"/>
  <c r="CE419" i="1" s="1"/>
  <c r="BZ420" i="1"/>
  <c r="CE420" i="1" s="1"/>
  <c r="BZ421" i="1"/>
  <c r="CE421" i="1" s="1"/>
  <c r="BZ422" i="1"/>
  <c r="CE422" i="1" s="1"/>
  <c r="BZ423" i="1"/>
  <c r="CE423" i="1" s="1"/>
  <c r="BZ424" i="1"/>
  <c r="CE424" i="1" s="1"/>
  <c r="BZ425" i="1"/>
  <c r="CE425" i="1" s="1"/>
  <c r="BZ426" i="1"/>
  <c r="CE426" i="1" s="1"/>
  <c r="BZ427" i="1"/>
  <c r="CE427" i="1" s="1"/>
  <c r="BZ428" i="1"/>
  <c r="CE428" i="1" s="1"/>
  <c r="BZ429" i="1"/>
  <c r="CE429" i="1" s="1"/>
  <c r="BZ430" i="1"/>
  <c r="CE430" i="1" s="1"/>
  <c r="BZ431" i="1"/>
  <c r="CE431" i="1" s="1"/>
  <c r="BZ432" i="1"/>
  <c r="CE432" i="1" s="1"/>
  <c r="BZ433" i="1"/>
  <c r="CE433" i="1" s="1"/>
  <c r="BZ434" i="1"/>
  <c r="CE434" i="1" s="1"/>
  <c r="BZ435" i="1"/>
  <c r="CE435" i="1" s="1"/>
  <c r="BZ436" i="1"/>
  <c r="CE436" i="1" s="1"/>
  <c r="BZ437" i="1"/>
  <c r="CE437" i="1" s="1"/>
  <c r="BZ438" i="1"/>
  <c r="CE438" i="1" s="1"/>
  <c r="BZ439" i="1"/>
  <c r="CE439" i="1" s="1"/>
  <c r="BZ440" i="1"/>
  <c r="CE440" i="1" s="1"/>
  <c r="BZ441" i="1"/>
  <c r="CE441" i="1" s="1"/>
  <c r="BZ442" i="1"/>
  <c r="CE442" i="1" s="1"/>
  <c r="BZ443" i="1"/>
  <c r="CE443" i="1" s="1"/>
  <c r="BZ444" i="1"/>
  <c r="CE444" i="1" s="1"/>
  <c r="BZ445" i="1"/>
  <c r="CE445" i="1" s="1"/>
  <c r="BZ446" i="1"/>
  <c r="CE446" i="1" s="1"/>
  <c r="BZ447" i="1"/>
  <c r="CE447" i="1" s="1"/>
  <c r="BZ448" i="1"/>
  <c r="CE448" i="1" s="1"/>
  <c r="BZ449" i="1"/>
  <c r="CE449" i="1" s="1"/>
  <c r="BZ450" i="1"/>
  <c r="CE450" i="1" s="1"/>
  <c r="BZ451" i="1"/>
  <c r="CE451" i="1" s="1"/>
  <c r="BZ452" i="1"/>
  <c r="CE452" i="1" s="1"/>
  <c r="BZ453" i="1"/>
  <c r="CE453" i="1" s="1"/>
  <c r="BZ454" i="1"/>
  <c r="CE454" i="1" s="1"/>
  <c r="BZ455" i="1"/>
  <c r="CE455" i="1" s="1"/>
  <c r="BZ456" i="1"/>
  <c r="CE456" i="1" s="1"/>
  <c r="BZ457" i="1"/>
  <c r="CE457" i="1" s="1"/>
  <c r="BZ458" i="1"/>
  <c r="CE458" i="1" s="1"/>
  <c r="BZ459" i="1"/>
  <c r="CE459" i="1" s="1"/>
  <c r="BZ460" i="1"/>
  <c r="CE460" i="1" s="1"/>
  <c r="BZ461" i="1"/>
  <c r="CE461" i="1" s="1"/>
  <c r="BZ462" i="1"/>
  <c r="CE462" i="1" s="1"/>
  <c r="BZ463" i="1"/>
  <c r="CE463" i="1" s="1"/>
  <c r="BZ464" i="1"/>
  <c r="CE464" i="1" s="1"/>
  <c r="BZ465" i="1"/>
  <c r="CE465" i="1" s="1"/>
  <c r="BZ466" i="1"/>
  <c r="CE466" i="1" s="1"/>
  <c r="BZ467" i="1"/>
  <c r="CE467" i="1" s="1"/>
  <c r="BZ468" i="1"/>
  <c r="CE468" i="1" s="1"/>
  <c r="BZ469" i="1"/>
  <c r="CE469" i="1" s="1"/>
  <c r="BZ470" i="1"/>
  <c r="CE470" i="1" s="1"/>
  <c r="BZ471" i="1"/>
  <c r="CE471" i="1" s="1"/>
  <c r="BZ472" i="1"/>
  <c r="CE472" i="1" s="1"/>
  <c r="BZ473" i="1"/>
  <c r="CE473" i="1" s="1"/>
  <c r="BZ474" i="1"/>
  <c r="CE474" i="1" s="1"/>
  <c r="BZ475" i="1"/>
  <c r="CE475" i="1" s="1"/>
  <c r="BZ476" i="1"/>
  <c r="CE476" i="1" s="1"/>
  <c r="BZ477" i="1"/>
  <c r="CE477" i="1" s="1"/>
  <c r="BZ478" i="1"/>
  <c r="CE478" i="1" s="1"/>
  <c r="BZ479" i="1"/>
  <c r="CE479" i="1" s="1"/>
  <c r="BZ480" i="1"/>
  <c r="CE480" i="1" s="1"/>
  <c r="BZ481" i="1"/>
  <c r="CE481" i="1" s="1"/>
  <c r="BZ482" i="1"/>
  <c r="CE482" i="1" s="1"/>
  <c r="BZ483" i="1"/>
  <c r="CE483" i="1" s="1"/>
  <c r="BZ484" i="1"/>
  <c r="CE484" i="1" s="1"/>
  <c r="BZ485" i="1"/>
  <c r="CE485" i="1" s="1"/>
  <c r="BZ486" i="1"/>
  <c r="CE486" i="1" s="1"/>
  <c r="BZ487" i="1"/>
  <c r="CE487" i="1" s="1"/>
  <c r="BZ488" i="1"/>
  <c r="CE488" i="1" s="1"/>
  <c r="BZ489" i="1"/>
  <c r="CE489" i="1" s="1"/>
  <c r="BZ490" i="1"/>
  <c r="CE490" i="1" s="1"/>
  <c r="BZ491" i="1"/>
  <c r="CE491" i="1" s="1"/>
  <c r="BZ492" i="1"/>
  <c r="CE492" i="1" s="1"/>
  <c r="BZ493" i="1"/>
  <c r="CE493" i="1" s="1"/>
  <c r="BZ494" i="1"/>
  <c r="CE494" i="1" s="1"/>
  <c r="BZ495" i="1"/>
  <c r="CE495" i="1" s="1"/>
  <c r="BZ496" i="1"/>
  <c r="CE496" i="1" s="1"/>
  <c r="BZ497" i="1"/>
  <c r="CE497" i="1" s="1"/>
  <c r="BZ498" i="1"/>
  <c r="CE498" i="1" s="1"/>
  <c r="BZ499" i="1"/>
  <c r="CE499" i="1" s="1"/>
  <c r="BZ500" i="1"/>
  <c r="CE500" i="1" s="1"/>
  <c r="BZ501" i="1"/>
  <c r="CE501" i="1" s="1"/>
  <c r="BZ502" i="1"/>
  <c r="CE502" i="1" s="1"/>
  <c r="BZ503" i="1"/>
  <c r="CE503" i="1" s="1"/>
  <c r="BZ504" i="1"/>
  <c r="CE504" i="1" s="1"/>
  <c r="BZ505" i="1"/>
  <c r="CE505" i="1" s="1"/>
  <c r="BZ506" i="1"/>
  <c r="CE506" i="1" s="1"/>
  <c r="BZ507" i="1"/>
  <c r="CE507" i="1" s="1"/>
  <c r="BZ508" i="1"/>
  <c r="CE508" i="1" s="1"/>
  <c r="BZ509" i="1"/>
  <c r="CE509" i="1" s="1"/>
  <c r="BZ510" i="1"/>
  <c r="CE510" i="1" s="1"/>
  <c r="BZ511" i="1"/>
  <c r="CE511" i="1" s="1"/>
  <c r="BZ512" i="1"/>
  <c r="CE512" i="1" s="1"/>
  <c r="BZ513" i="1"/>
  <c r="CE513" i="1" s="1"/>
  <c r="BZ514" i="1"/>
  <c r="CE514" i="1" s="1"/>
  <c r="BZ515" i="1"/>
  <c r="CE515" i="1" s="1"/>
  <c r="BZ516" i="1"/>
  <c r="CE516" i="1" s="1"/>
  <c r="BZ517" i="1"/>
  <c r="CE517" i="1" s="1"/>
  <c r="BZ518" i="1"/>
  <c r="CE518" i="1" s="1"/>
  <c r="BZ519" i="1"/>
  <c r="CE519" i="1" s="1"/>
  <c r="BZ520" i="1"/>
  <c r="CE520" i="1" s="1"/>
  <c r="BZ521" i="1"/>
  <c r="CE521" i="1" s="1"/>
  <c r="BZ522" i="1"/>
  <c r="CE522" i="1" s="1"/>
  <c r="BZ523" i="1"/>
  <c r="CE523" i="1" s="1"/>
  <c r="BZ524" i="1"/>
  <c r="CE524" i="1" s="1"/>
  <c r="BZ525" i="1"/>
  <c r="CE525" i="1" s="1"/>
  <c r="BZ526" i="1"/>
  <c r="CE526" i="1" s="1"/>
  <c r="BZ527" i="1"/>
  <c r="CE527" i="1" s="1"/>
  <c r="BZ528" i="1"/>
  <c r="CE528" i="1" s="1"/>
  <c r="BZ529" i="1"/>
  <c r="CE529" i="1" s="1"/>
  <c r="BZ530" i="1"/>
  <c r="CE530" i="1" s="1"/>
  <c r="BZ531" i="1"/>
  <c r="CE531" i="1" s="1"/>
  <c r="BZ532" i="1"/>
  <c r="CE532" i="1" s="1"/>
  <c r="BZ533" i="1"/>
  <c r="CE533" i="1" s="1"/>
  <c r="BZ534" i="1"/>
  <c r="CE534" i="1" s="1"/>
  <c r="BZ535" i="1"/>
  <c r="CE535" i="1" s="1"/>
  <c r="BZ536" i="1"/>
  <c r="CE536" i="1" s="1"/>
  <c r="BZ537" i="1"/>
  <c r="CE537" i="1" s="1"/>
  <c r="BZ538" i="1"/>
  <c r="CE538" i="1" s="1"/>
  <c r="BZ539" i="1"/>
  <c r="CE539" i="1" s="1"/>
  <c r="BZ540" i="1"/>
  <c r="CE540" i="1" s="1"/>
  <c r="BZ541" i="1"/>
  <c r="CE541" i="1" s="1"/>
  <c r="BZ542" i="1"/>
  <c r="CE542" i="1" s="1"/>
  <c r="BZ543" i="1"/>
  <c r="CE543" i="1" s="1"/>
  <c r="BZ544" i="1"/>
  <c r="CE544" i="1" s="1"/>
  <c r="BZ545" i="1"/>
  <c r="CE545" i="1" s="1"/>
  <c r="BZ546" i="1"/>
  <c r="CE546" i="1" s="1"/>
  <c r="BZ547" i="1"/>
  <c r="CE547" i="1" s="1"/>
  <c r="BZ548" i="1"/>
  <c r="CE548" i="1" s="1"/>
  <c r="BZ549" i="1"/>
  <c r="CE549" i="1" s="1"/>
  <c r="BZ550" i="1"/>
  <c r="CE550" i="1" s="1"/>
  <c r="BZ551" i="1"/>
  <c r="CE551" i="1" s="1"/>
  <c r="BZ552" i="1"/>
  <c r="CE552" i="1" s="1"/>
  <c r="BZ553" i="1"/>
  <c r="CE553" i="1" s="1"/>
  <c r="BZ554" i="1"/>
  <c r="CE554" i="1" s="1"/>
  <c r="BZ555" i="1"/>
  <c r="CE555" i="1" s="1"/>
  <c r="BZ556" i="1"/>
  <c r="CE556" i="1" s="1"/>
  <c r="BZ557" i="1"/>
  <c r="CE557" i="1" s="1"/>
  <c r="BZ558" i="1"/>
  <c r="CE558" i="1" s="1"/>
  <c r="BZ559" i="1"/>
  <c r="CE559" i="1" s="1"/>
  <c r="BZ560" i="1"/>
  <c r="CE560" i="1" s="1"/>
  <c r="BZ561" i="1"/>
  <c r="CE561" i="1" s="1"/>
  <c r="BZ562" i="1"/>
  <c r="CE562" i="1" s="1"/>
  <c r="BZ563" i="1"/>
  <c r="CE563" i="1" s="1"/>
  <c r="BZ564" i="1"/>
  <c r="CE564" i="1" s="1"/>
  <c r="BZ565" i="1"/>
  <c r="CE565" i="1" s="1"/>
  <c r="BZ566" i="1"/>
  <c r="CE566" i="1" s="1"/>
  <c r="BZ567" i="1"/>
  <c r="CE567" i="1" s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19" i="1"/>
  <c r="BU220" i="1"/>
  <c r="BU221" i="1"/>
  <c r="BU222" i="1"/>
  <c r="BU223" i="1"/>
  <c r="BU224" i="1"/>
  <c r="BU225" i="1"/>
  <c r="BU226" i="1"/>
  <c r="BU227" i="1"/>
  <c r="BU228" i="1"/>
  <c r="BU229" i="1"/>
  <c r="BU230" i="1"/>
  <c r="BU231" i="1"/>
  <c r="BU232" i="1"/>
  <c r="BU233" i="1"/>
  <c r="BU234" i="1"/>
  <c r="BU235" i="1"/>
  <c r="BU236" i="1"/>
  <c r="BU237" i="1"/>
  <c r="BU238" i="1"/>
  <c r="BU239" i="1"/>
  <c r="BU240" i="1"/>
  <c r="BU241" i="1"/>
  <c r="BU242" i="1"/>
  <c r="BU243" i="1"/>
  <c r="BU244" i="1"/>
  <c r="BU245" i="1"/>
  <c r="BU246" i="1"/>
  <c r="BU247" i="1"/>
  <c r="BU248" i="1"/>
  <c r="BU249" i="1"/>
  <c r="BU250" i="1"/>
  <c r="BU251" i="1"/>
  <c r="BU252" i="1"/>
  <c r="BU253" i="1"/>
  <c r="BU254" i="1"/>
  <c r="BU255" i="1"/>
  <c r="BU256" i="1"/>
  <c r="BU257" i="1"/>
  <c r="BU258" i="1"/>
  <c r="BU259" i="1"/>
  <c r="BU260" i="1"/>
  <c r="BU261" i="1"/>
  <c r="BU262" i="1"/>
  <c r="BU263" i="1"/>
  <c r="BU264" i="1"/>
  <c r="BU265" i="1"/>
  <c r="BU266" i="1"/>
  <c r="BU267" i="1"/>
  <c r="BU268" i="1"/>
  <c r="BU269" i="1"/>
  <c r="BU270" i="1"/>
  <c r="BU271" i="1"/>
  <c r="BU272" i="1"/>
  <c r="BU273" i="1"/>
  <c r="BU274" i="1"/>
  <c r="BU275" i="1"/>
  <c r="BU276" i="1"/>
  <c r="BU277" i="1"/>
  <c r="BU278" i="1"/>
  <c r="BU279" i="1"/>
  <c r="BU280" i="1"/>
  <c r="BU281" i="1"/>
  <c r="BU282" i="1"/>
  <c r="BU283" i="1"/>
  <c r="BU284" i="1"/>
  <c r="BU285" i="1"/>
  <c r="BU286" i="1"/>
  <c r="BU287" i="1"/>
  <c r="BU288" i="1"/>
  <c r="BU289" i="1"/>
  <c r="BU290" i="1"/>
  <c r="BU291" i="1"/>
  <c r="BU292" i="1"/>
  <c r="BU293" i="1"/>
  <c r="BU294" i="1"/>
  <c r="BU295" i="1"/>
  <c r="BU296" i="1"/>
  <c r="BU297" i="1"/>
  <c r="BU298" i="1"/>
  <c r="BU299" i="1"/>
  <c r="BU300" i="1"/>
  <c r="BU301" i="1"/>
  <c r="BU302" i="1"/>
  <c r="BU303" i="1"/>
  <c r="BU304" i="1"/>
  <c r="BU305" i="1"/>
  <c r="BU306" i="1"/>
  <c r="BU307" i="1"/>
  <c r="BU308" i="1"/>
  <c r="BU309" i="1"/>
  <c r="BU310" i="1"/>
  <c r="BU311" i="1"/>
  <c r="BU312" i="1"/>
  <c r="BU313" i="1"/>
  <c r="BU314" i="1"/>
  <c r="BU315" i="1"/>
  <c r="BU316" i="1"/>
  <c r="BU317" i="1"/>
  <c r="BU318" i="1"/>
  <c r="BU319" i="1"/>
  <c r="BU320" i="1"/>
  <c r="BU321" i="1"/>
  <c r="BU322" i="1"/>
  <c r="BU323" i="1"/>
  <c r="BU324" i="1"/>
  <c r="BU325" i="1"/>
  <c r="BU326" i="1"/>
  <c r="BU327" i="1"/>
  <c r="BU328" i="1"/>
  <c r="BU329" i="1"/>
  <c r="BU330" i="1"/>
  <c r="BU331" i="1"/>
  <c r="BU332" i="1"/>
  <c r="BU333" i="1"/>
  <c r="BU334" i="1"/>
  <c r="BU335" i="1"/>
  <c r="BU336" i="1"/>
  <c r="BU337" i="1"/>
  <c r="BU338" i="1"/>
  <c r="BU339" i="1"/>
  <c r="BU340" i="1"/>
  <c r="BU341" i="1"/>
  <c r="BU342" i="1"/>
  <c r="BU343" i="1"/>
  <c r="BU344" i="1"/>
  <c r="BU345" i="1"/>
  <c r="BU346" i="1"/>
  <c r="BU347" i="1"/>
  <c r="BU348" i="1"/>
  <c r="BU349" i="1"/>
  <c r="BU350" i="1"/>
  <c r="BU351" i="1"/>
  <c r="BU352" i="1"/>
  <c r="BU353" i="1"/>
  <c r="BU354" i="1"/>
  <c r="BU355" i="1"/>
  <c r="BU356" i="1"/>
  <c r="BU357" i="1"/>
  <c r="BU358" i="1"/>
  <c r="BU359" i="1"/>
  <c r="BU360" i="1"/>
  <c r="BU361" i="1"/>
  <c r="BU362" i="1"/>
  <c r="BU363" i="1"/>
  <c r="BU364" i="1"/>
  <c r="BU365" i="1"/>
  <c r="BU366" i="1"/>
  <c r="BU367" i="1"/>
  <c r="BU368" i="1"/>
  <c r="BU369" i="1"/>
  <c r="BU370" i="1"/>
  <c r="BU371" i="1"/>
  <c r="BU372" i="1"/>
  <c r="BU373" i="1"/>
  <c r="BU374" i="1"/>
  <c r="BU375" i="1"/>
  <c r="BU376" i="1"/>
  <c r="BU377" i="1"/>
  <c r="BU378" i="1"/>
  <c r="BU379" i="1"/>
  <c r="BU380" i="1"/>
  <c r="BU381" i="1"/>
  <c r="BU382" i="1"/>
  <c r="BU383" i="1"/>
  <c r="BU384" i="1"/>
  <c r="BU385" i="1"/>
  <c r="BU386" i="1"/>
  <c r="BU387" i="1"/>
  <c r="BU388" i="1"/>
  <c r="BU389" i="1"/>
  <c r="BU390" i="1"/>
  <c r="BU391" i="1"/>
  <c r="BU392" i="1"/>
  <c r="BU393" i="1"/>
  <c r="BU394" i="1"/>
  <c r="BU395" i="1"/>
  <c r="BU396" i="1"/>
  <c r="BU397" i="1"/>
  <c r="BU398" i="1"/>
  <c r="BU399" i="1"/>
  <c r="BU400" i="1"/>
  <c r="BU401" i="1"/>
  <c r="BU402" i="1"/>
  <c r="BU403" i="1"/>
  <c r="BU404" i="1"/>
  <c r="BU405" i="1"/>
  <c r="BU406" i="1"/>
  <c r="BU407" i="1"/>
  <c r="BU408" i="1"/>
  <c r="BU409" i="1"/>
  <c r="BU410" i="1"/>
  <c r="BU411" i="1"/>
  <c r="BU412" i="1"/>
  <c r="BU413" i="1"/>
  <c r="BU414" i="1"/>
  <c r="BU415" i="1"/>
  <c r="BU416" i="1"/>
  <c r="BU417" i="1"/>
  <c r="BU418" i="1"/>
  <c r="BU419" i="1"/>
  <c r="BU420" i="1"/>
  <c r="BU421" i="1"/>
  <c r="BU422" i="1"/>
  <c r="BU423" i="1"/>
  <c r="BU424" i="1"/>
  <c r="BU425" i="1"/>
  <c r="BU426" i="1"/>
  <c r="BU427" i="1"/>
  <c r="BU428" i="1"/>
  <c r="BU429" i="1"/>
  <c r="BU430" i="1"/>
  <c r="BU431" i="1"/>
  <c r="BU432" i="1"/>
  <c r="BU433" i="1"/>
  <c r="BU434" i="1"/>
  <c r="BU435" i="1"/>
  <c r="BU436" i="1"/>
  <c r="BU437" i="1"/>
  <c r="BU438" i="1"/>
  <c r="BU439" i="1"/>
  <c r="BU440" i="1"/>
  <c r="BU441" i="1"/>
  <c r="BU442" i="1"/>
  <c r="BU443" i="1"/>
  <c r="BU444" i="1"/>
  <c r="BU445" i="1"/>
  <c r="BU446" i="1"/>
  <c r="BU447" i="1"/>
  <c r="BU448" i="1"/>
  <c r="BU449" i="1"/>
  <c r="BU450" i="1"/>
  <c r="BU451" i="1"/>
  <c r="BU452" i="1"/>
  <c r="BU453" i="1"/>
  <c r="BU454" i="1"/>
  <c r="BU455" i="1"/>
  <c r="BU456" i="1"/>
  <c r="BU457" i="1"/>
  <c r="BU458" i="1"/>
  <c r="BU459" i="1"/>
  <c r="BU460" i="1"/>
  <c r="BU461" i="1"/>
  <c r="BU462" i="1"/>
  <c r="BU463" i="1"/>
  <c r="BU464" i="1"/>
  <c r="BU465" i="1"/>
  <c r="BU466" i="1"/>
  <c r="BU467" i="1"/>
  <c r="BU468" i="1"/>
  <c r="BU469" i="1"/>
  <c r="BU470" i="1"/>
  <c r="BU471" i="1"/>
  <c r="BU472" i="1"/>
  <c r="BU473" i="1"/>
  <c r="BU474" i="1"/>
  <c r="BU475" i="1"/>
  <c r="BU476" i="1"/>
  <c r="BU477" i="1"/>
  <c r="BU478" i="1"/>
  <c r="BU479" i="1"/>
  <c r="BU480" i="1"/>
  <c r="BU481" i="1"/>
  <c r="BU482" i="1"/>
  <c r="BU483" i="1"/>
  <c r="BU484" i="1"/>
  <c r="BU485" i="1"/>
  <c r="BU486" i="1"/>
  <c r="BU487" i="1"/>
  <c r="BU488" i="1"/>
  <c r="BU489" i="1"/>
  <c r="BU490" i="1"/>
  <c r="BU491" i="1"/>
  <c r="BU492" i="1"/>
  <c r="BU493" i="1"/>
  <c r="BU494" i="1"/>
  <c r="BU495" i="1"/>
  <c r="BU496" i="1"/>
  <c r="BU497" i="1"/>
  <c r="BU498" i="1"/>
  <c r="BU499" i="1"/>
  <c r="BU500" i="1"/>
  <c r="BU501" i="1"/>
  <c r="BU502" i="1"/>
  <c r="BU503" i="1"/>
  <c r="BU504" i="1"/>
  <c r="BU505" i="1"/>
  <c r="BU506" i="1"/>
  <c r="BU507" i="1"/>
  <c r="BU508" i="1"/>
  <c r="BU509" i="1"/>
  <c r="BU510" i="1"/>
  <c r="BU511" i="1"/>
  <c r="BU512" i="1"/>
  <c r="BU513" i="1"/>
  <c r="BU514" i="1"/>
  <c r="BU515" i="1"/>
  <c r="BU516" i="1"/>
  <c r="BU517" i="1"/>
  <c r="BU518" i="1"/>
  <c r="BU519" i="1"/>
  <c r="BU520" i="1"/>
  <c r="BU521" i="1"/>
  <c r="BU522" i="1"/>
  <c r="BU523" i="1"/>
  <c r="BU524" i="1"/>
  <c r="BU525" i="1"/>
  <c r="BU526" i="1"/>
  <c r="BU527" i="1"/>
  <c r="BU528" i="1"/>
  <c r="BU529" i="1"/>
  <c r="BU530" i="1"/>
  <c r="BU531" i="1"/>
  <c r="BU532" i="1"/>
  <c r="BU533" i="1"/>
  <c r="BU534" i="1"/>
  <c r="BU535" i="1"/>
  <c r="BU536" i="1"/>
  <c r="BU537" i="1"/>
  <c r="BU538" i="1"/>
  <c r="BU539" i="1"/>
  <c r="BU540" i="1"/>
  <c r="BU541" i="1"/>
  <c r="BU542" i="1"/>
  <c r="BU543" i="1"/>
  <c r="BU544" i="1"/>
  <c r="BU545" i="1"/>
  <c r="BU546" i="1"/>
  <c r="BU547" i="1"/>
  <c r="BU548" i="1"/>
  <c r="BU549" i="1"/>
  <c r="BU550" i="1"/>
  <c r="BU551" i="1"/>
  <c r="BU552" i="1"/>
  <c r="BU553" i="1"/>
  <c r="BU554" i="1"/>
  <c r="BU555" i="1"/>
  <c r="BU556" i="1"/>
  <c r="BU557" i="1"/>
  <c r="BU558" i="1"/>
  <c r="BU559" i="1"/>
  <c r="BU560" i="1"/>
  <c r="BU561" i="1"/>
  <c r="BU562" i="1"/>
  <c r="BU563" i="1"/>
  <c r="BU564" i="1"/>
  <c r="BU565" i="1"/>
  <c r="BU566" i="1"/>
  <c r="BU567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K3" i="1"/>
  <c r="AO3" i="1" s="1"/>
  <c r="AK4" i="1"/>
  <c r="AO4" i="1" s="1"/>
  <c r="AK5" i="1"/>
  <c r="AO5" i="1" s="1"/>
  <c r="AK6" i="1"/>
  <c r="AO6" i="1" s="1"/>
  <c r="AK7" i="1"/>
  <c r="AO7" i="1" s="1"/>
  <c r="AK8" i="1"/>
  <c r="AO8" i="1" s="1"/>
  <c r="AK9" i="1"/>
  <c r="AO9" i="1" s="1"/>
  <c r="AK10" i="1"/>
  <c r="AO10" i="1" s="1"/>
  <c r="AK11" i="1"/>
  <c r="AO11" i="1" s="1"/>
  <c r="AK12" i="1"/>
  <c r="AO12" i="1" s="1"/>
  <c r="AK13" i="1"/>
  <c r="AO13" i="1" s="1"/>
  <c r="AK14" i="1"/>
  <c r="AO14" i="1" s="1"/>
  <c r="AK15" i="1"/>
  <c r="AO15" i="1" s="1"/>
  <c r="AK16" i="1"/>
  <c r="AO16" i="1" s="1"/>
  <c r="AK17" i="1"/>
  <c r="AO17" i="1" s="1"/>
  <c r="AK18" i="1"/>
  <c r="AO18" i="1" s="1"/>
  <c r="AK19" i="1"/>
  <c r="AO19" i="1" s="1"/>
  <c r="AK20" i="1"/>
  <c r="AO20" i="1" s="1"/>
  <c r="AK21" i="1"/>
  <c r="AO21" i="1" s="1"/>
  <c r="AK22" i="1"/>
  <c r="AO22" i="1" s="1"/>
  <c r="AK23" i="1"/>
  <c r="AO23" i="1" s="1"/>
  <c r="AK24" i="1"/>
  <c r="AO24" i="1" s="1"/>
  <c r="AK25" i="1"/>
  <c r="AO25" i="1" s="1"/>
  <c r="AK26" i="1"/>
  <c r="AO26" i="1" s="1"/>
  <c r="AK27" i="1"/>
  <c r="AO27" i="1" s="1"/>
  <c r="AK28" i="1"/>
  <c r="AO28" i="1" s="1"/>
  <c r="AK29" i="1"/>
  <c r="AO29" i="1" s="1"/>
  <c r="AK30" i="1"/>
  <c r="AO30" i="1" s="1"/>
  <c r="AK31" i="1"/>
  <c r="AO31" i="1" s="1"/>
  <c r="AK32" i="1"/>
  <c r="AO32" i="1" s="1"/>
  <c r="AK33" i="1"/>
  <c r="AO33" i="1" s="1"/>
  <c r="AK34" i="1"/>
  <c r="AO34" i="1" s="1"/>
  <c r="AK35" i="1"/>
  <c r="AO35" i="1" s="1"/>
  <c r="AK36" i="1"/>
  <c r="AO36" i="1" s="1"/>
  <c r="AK37" i="1"/>
  <c r="AO37" i="1" s="1"/>
  <c r="AK38" i="1"/>
  <c r="AO38" i="1" s="1"/>
  <c r="AK39" i="1"/>
  <c r="AO39" i="1" s="1"/>
  <c r="AK40" i="1"/>
  <c r="AO40" i="1" s="1"/>
  <c r="AK41" i="1"/>
  <c r="AO41" i="1" s="1"/>
  <c r="AK42" i="1"/>
  <c r="AO42" i="1" s="1"/>
  <c r="AK43" i="1"/>
  <c r="AO43" i="1" s="1"/>
  <c r="AK44" i="1"/>
  <c r="AO44" i="1" s="1"/>
  <c r="AK45" i="1"/>
  <c r="AO45" i="1" s="1"/>
  <c r="AK46" i="1"/>
  <c r="AO46" i="1" s="1"/>
  <c r="AK47" i="1"/>
  <c r="AO47" i="1" s="1"/>
  <c r="AK48" i="1"/>
  <c r="AO48" i="1" s="1"/>
  <c r="AK49" i="1"/>
  <c r="AO49" i="1" s="1"/>
  <c r="AK50" i="1"/>
  <c r="AO50" i="1" s="1"/>
  <c r="AK51" i="1"/>
  <c r="AO51" i="1" s="1"/>
  <c r="AK52" i="1"/>
  <c r="AO52" i="1" s="1"/>
  <c r="AK53" i="1"/>
  <c r="AO53" i="1" s="1"/>
  <c r="AK54" i="1"/>
  <c r="AO54" i="1" s="1"/>
  <c r="AK55" i="1"/>
  <c r="AO55" i="1" s="1"/>
  <c r="AK56" i="1"/>
  <c r="AO56" i="1" s="1"/>
  <c r="AK57" i="1"/>
  <c r="AO57" i="1" s="1"/>
  <c r="AK58" i="1"/>
  <c r="AO58" i="1" s="1"/>
  <c r="AK59" i="1"/>
  <c r="AO59" i="1" s="1"/>
  <c r="AK60" i="1"/>
  <c r="AO60" i="1" s="1"/>
  <c r="AK61" i="1"/>
  <c r="AO61" i="1" s="1"/>
  <c r="AK62" i="1"/>
  <c r="AO62" i="1" s="1"/>
  <c r="AK63" i="1"/>
  <c r="AO63" i="1" s="1"/>
  <c r="AK64" i="1"/>
  <c r="AO64" i="1" s="1"/>
  <c r="AK65" i="1"/>
  <c r="AO65" i="1" s="1"/>
  <c r="AK66" i="1"/>
  <c r="AO66" i="1" s="1"/>
  <c r="AK67" i="1"/>
  <c r="AO67" i="1" s="1"/>
  <c r="AK68" i="1"/>
  <c r="AO68" i="1" s="1"/>
  <c r="AK69" i="1"/>
  <c r="AO69" i="1" s="1"/>
  <c r="AK70" i="1"/>
  <c r="AO70" i="1" s="1"/>
  <c r="AK71" i="1"/>
  <c r="AO71" i="1" s="1"/>
  <c r="AK72" i="1"/>
  <c r="AO72" i="1" s="1"/>
  <c r="AK73" i="1"/>
  <c r="AO73" i="1" s="1"/>
  <c r="AK74" i="1"/>
  <c r="AO74" i="1" s="1"/>
  <c r="AK75" i="1"/>
  <c r="AO75" i="1" s="1"/>
  <c r="AK76" i="1"/>
  <c r="AO76" i="1" s="1"/>
  <c r="AK77" i="1"/>
  <c r="AO77" i="1" s="1"/>
  <c r="AK78" i="1"/>
  <c r="AO78" i="1" s="1"/>
  <c r="AK79" i="1"/>
  <c r="AO79" i="1" s="1"/>
  <c r="AK80" i="1"/>
  <c r="AO80" i="1" s="1"/>
  <c r="AK81" i="1"/>
  <c r="AO81" i="1" s="1"/>
  <c r="AK82" i="1"/>
  <c r="AO82" i="1" s="1"/>
  <c r="AK83" i="1"/>
  <c r="AO83" i="1" s="1"/>
  <c r="AK84" i="1"/>
  <c r="AO84" i="1" s="1"/>
  <c r="AK85" i="1"/>
  <c r="AO85" i="1" s="1"/>
  <c r="AK86" i="1"/>
  <c r="AO86" i="1" s="1"/>
  <c r="AK87" i="1"/>
  <c r="AO87" i="1" s="1"/>
  <c r="AK88" i="1"/>
  <c r="AO88" i="1" s="1"/>
  <c r="AK89" i="1"/>
  <c r="AO89" i="1" s="1"/>
  <c r="AK90" i="1"/>
  <c r="AO90" i="1" s="1"/>
  <c r="AK91" i="1"/>
  <c r="AO91" i="1" s="1"/>
  <c r="AK92" i="1"/>
  <c r="AO92" i="1" s="1"/>
  <c r="AK93" i="1"/>
  <c r="AO93" i="1" s="1"/>
  <c r="AK94" i="1"/>
  <c r="AO94" i="1" s="1"/>
  <c r="AK95" i="1"/>
  <c r="AO95" i="1" s="1"/>
  <c r="AK96" i="1"/>
  <c r="AO96" i="1" s="1"/>
  <c r="AK97" i="1"/>
  <c r="AO97" i="1" s="1"/>
  <c r="AK98" i="1"/>
  <c r="AO98" i="1" s="1"/>
  <c r="AK99" i="1"/>
  <c r="AO99" i="1" s="1"/>
  <c r="AK100" i="1"/>
  <c r="AO100" i="1" s="1"/>
  <c r="AK101" i="1"/>
  <c r="AO101" i="1" s="1"/>
  <c r="AK102" i="1"/>
  <c r="AO102" i="1" s="1"/>
  <c r="AK103" i="1"/>
  <c r="AO103" i="1" s="1"/>
  <c r="AK104" i="1"/>
  <c r="AO104" i="1" s="1"/>
  <c r="AK105" i="1"/>
  <c r="AO105" i="1" s="1"/>
  <c r="AK106" i="1"/>
  <c r="AO106" i="1" s="1"/>
  <c r="AK107" i="1"/>
  <c r="AO107" i="1" s="1"/>
  <c r="AK108" i="1"/>
  <c r="AO108" i="1" s="1"/>
  <c r="AK109" i="1"/>
  <c r="AO109" i="1" s="1"/>
  <c r="AK110" i="1"/>
  <c r="AO110" i="1" s="1"/>
  <c r="AK111" i="1"/>
  <c r="AO111" i="1" s="1"/>
  <c r="AK112" i="1"/>
  <c r="AO112" i="1" s="1"/>
  <c r="AK113" i="1"/>
  <c r="AO113" i="1" s="1"/>
  <c r="AK114" i="1"/>
  <c r="AO114" i="1" s="1"/>
  <c r="AK115" i="1"/>
  <c r="AO115" i="1" s="1"/>
  <c r="AK116" i="1"/>
  <c r="AO116" i="1" s="1"/>
  <c r="AK117" i="1"/>
  <c r="AO117" i="1" s="1"/>
  <c r="AK118" i="1"/>
  <c r="AO118" i="1" s="1"/>
  <c r="AK119" i="1"/>
  <c r="AO119" i="1" s="1"/>
  <c r="AK120" i="1"/>
  <c r="AO120" i="1" s="1"/>
  <c r="AK121" i="1"/>
  <c r="AO121" i="1" s="1"/>
  <c r="AK122" i="1"/>
  <c r="AO122" i="1" s="1"/>
  <c r="AK123" i="1"/>
  <c r="AO123" i="1" s="1"/>
  <c r="AK124" i="1"/>
  <c r="AO124" i="1" s="1"/>
  <c r="AK125" i="1"/>
  <c r="AO125" i="1" s="1"/>
  <c r="AK126" i="1"/>
  <c r="AO126" i="1" s="1"/>
  <c r="AK127" i="1"/>
  <c r="AO127" i="1" s="1"/>
  <c r="AK128" i="1"/>
  <c r="AO128" i="1" s="1"/>
  <c r="AK129" i="1"/>
  <c r="AO129" i="1" s="1"/>
  <c r="AK130" i="1"/>
  <c r="AO130" i="1" s="1"/>
  <c r="AK131" i="1"/>
  <c r="AO131" i="1" s="1"/>
  <c r="AK132" i="1"/>
  <c r="AO132" i="1" s="1"/>
  <c r="AK133" i="1"/>
  <c r="AO133" i="1" s="1"/>
  <c r="AK134" i="1"/>
  <c r="AO134" i="1" s="1"/>
  <c r="AK135" i="1"/>
  <c r="AO135" i="1" s="1"/>
  <c r="AK136" i="1"/>
  <c r="AO136" i="1" s="1"/>
  <c r="AK137" i="1"/>
  <c r="AO137" i="1" s="1"/>
  <c r="AK138" i="1"/>
  <c r="AO138" i="1" s="1"/>
  <c r="AK139" i="1"/>
  <c r="AO139" i="1" s="1"/>
  <c r="AK140" i="1"/>
  <c r="AO140" i="1" s="1"/>
  <c r="AK141" i="1"/>
  <c r="AO141" i="1" s="1"/>
  <c r="AK142" i="1"/>
  <c r="AO142" i="1" s="1"/>
  <c r="AK143" i="1"/>
  <c r="AO143" i="1" s="1"/>
  <c r="AK144" i="1"/>
  <c r="AO144" i="1" s="1"/>
  <c r="AK145" i="1"/>
  <c r="AO145" i="1" s="1"/>
  <c r="AK146" i="1"/>
  <c r="AO146" i="1" s="1"/>
  <c r="AK147" i="1"/>
  <c r="AO147" i="1" s="1"/>
  <c r="AK148" i="1"/>
  <c r="AO148" i="1" s="1"/>
  <c r="AK149" i="1"/>
  <c r="AO149" i="1" s="1"/>
  <c r="AK150" i="1"/>
  <c r="AO150" i="1" s="1"/>
  <c r="AK151" i="1"/>
  <c r="AO151" i="1" s="1"/>
  <c r="AK152" i="1"/>
  <c r="AO152" i="1" s="1"/>
  <c r="AK153" i="1"/>
  <c r="AO153" i="1" s="1"/>
  <c r="AK154" i="1"/>
  <c r="AO154" i="1" s="1"/>
  <c r="AK155" i="1"/>
  <c r="AO155" i="1" s="1"/>
  <c r="AK156" i="1"/>
  <c r="AO156" i="1" s="1"/>
  <c r="AK157" i="1"/>
  <c r="AO157" i="1" s="1"/>
  <c r="AK158" i="1"/>
  <c r="AO158" i="1" s="1"/>
  <c r="AK159" i="1"/>
  <c r="AO159" i="1" s="1"/>
  <c r="AK160" i="1"/>
  <c r="AO160" i="1" s="1"/>
  <c r="AK161" i="1"/>
  <c r="AO161" i="1" s="1"/>
  <c r="AK162" i="1"/>
  <c r="AO162" i="1" s="1"/>
  <c r="AK163" i="1"/>
  <c r="AO163" i="1" s="1"/>
  <c r="AK164" i="1"/>
  <c r="AO164" i="1" s="1"/>
  <c r="AK165" i="1"/>
  <c r="AO165" i="1" s="1"/>
  <c r="AK166" i="1"/>
  <c r="AO166" i="1" s="1"/>
  <c r="AK167" i="1"/>
  <c r="AO167" i="1" s="1"/>
  <c r="AK168" i="1"/>
  <c r="AO168" i="1" s="1"/>
  <c r="AK169" i="1"/>
  <c r="AO169" i="1" s="1"/>
  <c r="AK170" i="1"/>
  <c r="AO170" i="1" s="1"/>
  <c r="AK171" i="1"/>
  <c r="AO171" i="1" s="1"/>
  <c r="AK172" i="1"/>
  <c r="AO172" i="1" s="1"/>
  <c r="AK173" i="1"/>
  <c r="AO173" i="1" s="1"/>
  <c r="AK174" i="1"/>
  <c r="AO174" i="1" s="1"/>
  <c r="AK175" i="1"/>
  <c r="AO175" i="1" s="1"/>
  <c r="AK176" i="1"/>
  <c r="AO176" i="1" s="1"/>
  <c r="AK177" i="1"/>
  <c r="AO177" i="1" s="1"/>
  <c r="AK178" i="1"/>
  <c r="AO178" i="1" s="1"/>
  <c r="AK179" i="1"/>
  <c r="AO179" i="1" s="1"/>
  <c r="AK180" i="1"/>
  <c r="AO180" i="1" s="1"/>
  <c r="AK181" i="1"/>
  <c r="AO181" i="1" s="1"/>
  <c r="AK182" i="1"/>
  <c r="AO182" i="1" s="1"/>
  <c r="AK183" i="1"/>
  <c r="AO183" i="1" s="1"/>
  <c r="AK184" i="1"/>
  <c r="AO184" i="1" s="1"/>
  <c r="AK185" i="1"/>
  <c r="AO185" i="1" s="1"/>
  <c r="AK186" i="1"/>
  <c r="AO186" i="1" s="1"/>
  <c r="AK187" i="1"/>
  <c r="AO187" i="1" s="1"/>
  <c r="AK188" i="1"/>
  <c r="AO188" i="1" s="1"/>
  <c r="AK189" i="1"/>
  <c r="AO189" i="1" s="1"/>
  <c r="AK190" i="1"/>
  <c r="AO190" i="1" s="1"/>
  <c r="AK191" i="1"/>
  <c r="AO191" i="1" s="1"/>
  <c r="AK192" i="1"/>
  <c r="AO192" i="1" s="1"/>
  <c r="AK193" i="1"/>
  <c r="AO193" i="1" s="1"/>
  <c r="AK194" i="1"/>
  <c r="AO194" i="1" s="1"/>
  <c r="AK195" i="1"/>
  <c r="AO195" i="1" s="1"/>
  <c r="AK196" i="1"/>
  <c r="AO196" i="1" s="1"/>
  <c r="AK197" i="1"/>
  <c r="AO197" i="1" s="1"/>
  <c r="AK198" i="1"/>
  <c r="AO198" i="1" s="1"/>
  <c r="AK199" i="1"/>
  <c r="AO199" i="1" s="1"/>
  <c r="AK200" i="1"/>
  <c r="AO200" i="1" s="1"/>
  <c r="AK201" i="1"/>
  <c r="AO201" i="1" s="1"/>
  <c r="AK202" i="1"/>
  <c r="AO202" i="1" s="1"/>
  <c r="AK203" i="1"/>
  <c r="AO203" i="1" s="1"/>
  <c r="AK204" i="1"/>
  <c r="AO204" i="1" s="1"/>
  <c r="AK205" i="1"/>
  <c r="AO205" i="1" s="1"/>
  <c r="AK206" i="1"/>
  <c r="AO206" i="1" s="1"/>
  <c r="AK207" i="1"/>
  <c r="AO207" i="1" s="1"/>
  <c r="AK208" i="1"/>
  <c r="AO208" i="1" s="1"/>
  <c r="AK209" i="1"/>
  <c r="AO209" i="1" s="1"/>
  <c r="AK210" i="1"/>
  <c r="AO210" i="1" s="1"/>
  <c r="AK211" i="1"/>
  <c r="AO211" i="1" s="1"/>
  <c r="AK212" i="1"/>
  <c r="AO212" i="1" s="1"/>
  <c r="AK213" i="1"/>
  <c r="AO213" i="1" s="1"/>
  <c r="AK214" i="1"/>
  <c r="AO214" i="1" s="1"/>
  <c r="AK215" i="1"/>
  <c r="AO215" i="1" s="1"/>
  <c r="AK216" i="1"/>
  <c r="AO216" i="1" s="1"/>
  <c r="AK217" i="1"/>
  <c r="AO217" i="1" s="1"/>
  <c r="AK218" i="1"/>
  <c r="AO218" i="1" s="1"/>
  <c r="AK219" i="1"/>
  <c r="AO219" i="1" s="1"/>
  <c r="AK220" i="1"/>
  <c r="AO220" i="1" s="1"/>
  <c r="AK221" i="1"/>
  <c r="AO221" i="1" s="1"/>
  <c r="AK222" i="1"/>
  <c r="AO222" i="1" s="1"/>
  <c r="AK223" i="1"/>
  <c r="AO223" i="1" s="1"/>
  <c r="AK224" i="1"/>
  <c r="AO224" i="1" s="1"/>
  <c r="AK225" i="1"/>
  <c r="AO225" i="1" s="1"/>
  <c r="AK226" i="1"/>
  <c r="AO226" i="1" s="1"/>
  <c r="AK227" i="1"/>
  <c r="AO227" i="1" s="1"/>
  <c r="AK228" i="1"/>
  <c r="AO228" i="1" s="1"/>
  <c r="AK229" i="1"/>
  <c r="AO229" i="1" s="1"/>
  <c r="AK230" i="1"/>
  <c r="AO230" i="1" s="1"/>
  <c r="AK231" i="1"/>
  <c r="AO231" i="1" s="1"/>
  <c r="AK232" i="1"/>
  <c r="AO232" i="1" s="1"/>
  <c r="AK233" i="1"/>
  <c r="AO233" i="1" s="1"/>
  <c r="AK234" i="1"/>
  <c r="AO234" i="1" s="1"/>
  <c r="AK235" i="1"/>
  <c r="AO235" i="1" s="1"/>
  <c r="AK236" i="1"/>
  <c r="AO236" i="1" s="1"/>
  <c r="AK237" i="1"/>
  <c r="AO237" i="1" s="1"/>
  <c r="AK238" i="1"/>
  <c r="AO238" i="1" s="1"/>
  <c r="AK239" i="1"/>
  <c r="AO239" i="1" s="1"/>
  <c r="AK240" i="1"/>
  <c r="AO240" i="1" s="1"/>
  <c r="AK241" i="1"/>
  <c r="AO241" i="1" s="1"/>
  <c r="AK242" i="1"/>
  <c r="AO242" i="1" s="1"/>
  <c r="AK243" i="1"/>
  <c r="AO243" i="1" s="1"/>
  <c r="AK244" i="1"/>
  <c r="AO244" i="1" s="1"/>
  <c r="AK245" i="1"/>
  <c r="AO245" i="1" s="1"/>
  <c r="AK246" i="1"/>
  <c r="AO246" i="1" s="1"/>
  <c r="AK247" i="1"/>
  <c r="AO247" i="1" s="1"/>
  <c r="AK248" i="1"/>
  <c r="AO248" i="1" s="1"/>
  <c r="AK249" i="1"/>
  <c r="AO249" i="1" s="1"/>
  <c r="AK250" i="1"/>
  <c r="AO250" i="1" s="1"/>
  <c r="AK251" i="1"/>
  <c r="AO251" i="1" s="1"/>
  <c r="AK252" i="1"/>
  <c r="AO252" i="1" s="1"/>
  <c r="AK253" i="1"/>
  <c r="AO253" i="1" s="1"/>
  <c r="AK254" i="1"/>
  <c r="AO254" i="1" s="1"/>
  <c r="AK255" i="1"/>
  <c r="AO255" i="1" s="1"/>
  <c r="AK256" i="1"/>
  <c r="AO256" i="1" s="1"/>
  <c r="AK257" i="1"/>
  <c r="AO257" i="1" s="1"/>
  <c r="AK258" i="1"/>
  <c r="AO258" i="1" s="1"/>
  <c r="AK259" i="1"/>
  <c r="AO259" i="1" s="1"/>
  <c r="AK260" i="1"/>
  <c r="AO260" i="1" s="1"/>
  <c r="AK261" i="1"/>
  <c r="AO261" i="1" s="1"/>
  <c r="AK262" i="1"/>
  <c r="AO262" i="1" s="1"/>
  <c r="AK263" i="1"/>
  <c r="AO263" i="1" s="1"/>
  <c r="AK264" i="1"/>
  <c r="AO264" i="1" s="1"/>
  <c r="AK265" i="1"/>
  <c r="AO265" i="1" s="1"/>
  <c r="AK266" i="1"/>
  <c r="AO266" i="1" s="1"/>
  <c r="AK267" i="1"/>
  <c r="AO267" i="1" s="1"/>
  <c r="AK268" i="1"/>
  <c r="AO268" i="1" s="1"/>
  <c r="AK269" i="1"/>
  <c r="AO269" i="1" s="1"/>
  <c r="AK270" i="1"/>
  <c r="AO270" i="1" s="1"/>
  <c r="AK271" i="1"/>
  <c r="AO271" i="1" s="1"/>
  <c r="AK272" i="1"/>
  <c r="AO272" i="1" s="1"/>
  <c r="AK273" i="1"/>
  <c r="AO273" i="1" s="1"/>
  <c r="AK274" i="1"/>
  <c r="AO274" i="1" s="1"/>
  <c r="AK275" i="1"/>
  <c r="AO275" i="1" s="1"/>
  <c r="AK276" i="1"/>
  <c r="AO276" i="1" s="1"/>
  <c r="AK277" i="1"/>
  <c r="AO277" i="1" s="1"/>
  <c r="AK278" i="1"/>
  <c r="AO278" i="1" s="1"/>
  <c r="AK279" i="1"/>
  <c r="AO279" i="1" s="1"/>
  <c r="AK280" i="1"/>
  <c r="AO280" i="1" s="1"/>
  <c r="AK281" i="1"/>
  <c r="AO281" i="1" s="1"/>
  <c r="AK282" i="1"/>
  <c r="AO282" i="1" s="1"/>
  <c r="AK283" i="1"/>
  <c r="AO283" i="1" s="1"/>
  <c r="AK284" i="1"/>
  <c r="AO284" i="1" s="1"/>
  <c r="AK285" i="1"/>
  <c r="AO285" i="1" s="1"/>
  <c r="AK286" i="1"/>
  <c r="AO286" i="1" s="1"/>
  <c r="AK287" i="1"/>
  <c r="AO287" i="1" s="1"/>
  <c r="AK288" i="1"/>
  <c r="AO288" i="1" s="1"/>
  <c r="AK289" i="1"/>
  <c r="AO289" i="1" s="1"/>
  <c r="AK290" i="1"/>
  <c r="AO290" i="1" s="1"/>
  <c r="AK291" i="1"/>
  <c r="AO291" i="1" s="1"/>
  <c r="AK292" i="1"/>
  <c r="AO292" i="1" s="1"/>
  <c r="AK293" i="1"/>
  <c r="AO293" i="1" s="1"/>
  <c r="AK294" i="1"/>
  <c r="AO294" i="1" s="1"/>
  <c r="AK295" i="1"/>
  <c r="AO295" i="1" s="1"/>
  <c r="AK296" i="1"/>
  <c r="AO296" i="1" s="1"/>
  <c r="AK297" i="1"/>
  <c r="AO297" i="1" s="1"/>
  <c r="AK298" i="1"/>
  <c r="AO298" i="1" s="1"/>
  <c r="AK299" i="1"/>
  <c r="AO299" i="1" s="1"/>
  <c r="AK300" i="1"/>
  <c r="AO300" i="1" s="1"/>
  <c r="AK301" i="1"/>
  <c r="AO301" i="1" s="1"/>
  <c r="AK302" i="1"/>
  <c r="AO302" i="1" s="1"/>
  <c r="AK303" i="1"/>
  <c r="AO303" i="1" s="1"/>
  <c r="AK304" i="1"/>
  <c r="AO304" i="1" s="1"/>
  <c r="AK305" i="1"/>
  <c r="AO305" i="1" s="1"/>
  <c r="AK306" i="1"/>
  <c r="AO306" i="1" s="1"/>
  <c r="AK307" i="1"/>
  <c r="AO307" i="1" s="1"/>
  <c r="AK308" i="1"/>
  <c r="AO308" i="1" s="1"/>
  <c r="AK309" i="1"/>
  <c r="AO309" i="1" s="1"/>
  <c r="AK310" i="1"/>
  <c r="AO310" i="1" s="1"/>
  <c r="AK311" i="1"/>
  <c r="AO311" i="1" s="1"/>
  <c r="AK312" i="1"/>
  <c r="AO312" i="1" s="1"/>
  <c r="AK313" i="1"/>
  <c r="AO313" i="1" s="1"/>
  <c r="AK314" i="1"/>
  <c r="AO314" i="1" s="1"/>
  <c r="AK315" i="1"/>
  <c r="AO315" i="1" s="1"/>
  <c r="AK316" i="1"/>
  <c r="AO316" i="1" s="1"/>
  <c r="AK317" i="1"/>
  <c r="AO317" i="1" s="1"/>
  <c r="AK318" i="1"/>
  <c r="AO318" i="1" s="1"/>
  <c r="AK319" i="1"/>
  <c r="AO319" i="1" s="1"/>
  <c r="AK320" i="1"/>
  <c r="AO320" i="1" s="1"/>
  <c r="AK321" i="1"/>
  <c r="AO321" i="1" s="1"/>
  <c r="AK322" i="1"/>
  <c r="AO322" i="1" s="1"/>
  <c r="AK323" i="1"/>
  <c r="AO323" i="1" s="1"/>
  <c r="AK324" i="1"/>
  <c r="AO324" i="1" s="1"/>
  <c r="AK325" i="1"/>
  <c r="AO325" i="1" s="1"/>
  <c r="AK326" i="1"/>
  <c r="AO326" i="1" s="1"/>
  <c r="AK327" i="1"/>
  <c r="AO327" i="1" s="1"/>
  <c r="AK328" i="1"/>
  <c r="AO328" i="1" s="1"/>
  <c r="AK329" i="1"/>
  <c r="AO329" i="1" s="1"/>
  <c r="AK330" i="1"/>
  <c r="AO330" i="1" s="1"/>
  <c r="AK331" i="1"/>
  <c r="AO331" i="1" s="1"/>
  <c r="AK332" i="1"/>
  <c r="AO332" i="1" s="1"/>
  <c r="AK333" i="1"/>
  <c r="AO333" i="1" s="1"/>
  <c r="AK334" i="1"/>
  <c r="AO334" i="1" s="1"/>
  <c r="AK335" i="1"/>
  <c r="AO335" i="1" s="1"/>
  <c r="AK336" i="1"/>
  <c r="AO336" i="1" s="1"/>
  <c r="AK337" i="1"/>
  <c r="AO337" i="1" s="1"/>
  <c r="AK338" i="1"/>
  <c r="AO338" i="1" s="1"/>
  <c r="AK339" i="1"/>
  <c r="AO339" i="1" s="1"/>
  <c r="AK340" i="1"/>
  <c r="AO340" i="1" s="1"/>
  <c r="AK341" i="1"/>
  <c r="AO341" i="1" s="1"/>
  <c r="AK342" i="1"/>
  <c r="AO342" i="1" s="1"/>
  <c r="AK343" i="1"/>
  <c r="AO343" i="1" s="1"/>
  <c r="AK344" i="1"/>
  <c r="AO344" i="1" s="1"/>
  <c r="AK345" i="1"/>
  <c r="AO345" i="1" s="1"/>
  <c r="AK346" i="1"/>
  <c r="AO346" i="1" s="1"/>
  <c r="AK347" i="1"/>
  <c r="AO347" i="1" s="1"/>
  <c r="AK348" i="1"/>
  <c r="AO348" i="1" s="1"/>
  <c r="AK349" i="1"/>
  <c r="AO349" i="1" s="1"/>
  <c r="AK350" i="1"/>
  <c r="AO350" i="1" s="1"/>
  <c r="AK351" i="1"/>
  <c r="AO351" i="1" s="1"/>
  <c r="AK352" i="1"/>
  <c r="AO352" i="1" s="1"/>
  <c r="AK353" i="1"/>
  <c r="AO353" i="1" s="1"/>
  <c r="AK354" i="1"/>
  <c r="AO354" i="1" s="1"/>
  <c r="AK355" i="1"/>
  <c r="AO355" i="1" s="1"/>
  <c r="AK356" i="1"/>
  <c r="AO356" i="1" s="1"/>
  <c r="AK357" i="1"/>
  <c r="AO357" i="1" s="1"/>
  <c r="AK358" i="1"/>
  <c r="AO358" i="1" s="1"/>
  <c r="AK359" i="1"/>
  <c r="AO359" i="1" s="1"/>
  <c r="AK360" i="1"/>
  <c r="AO360" i="1" s="1"/>
  <c r="AK361" i="1"/>
  <c r="AO361" i="1" s="1"/>
  <c r="AK362" i="1"/>
  <c r="AO362" i="1" s="1"/>
  <c r="AK363" i="1"/>
  <c r="AO363" i="1" s="1"/>
  <c r="AK364" i="1"/>
  <c r="AO364" i="1" s="1"/>
  <c r="AK365" i="1"/>
  <c r="AO365" i="1" s="1"/>
  <c r="AK366" i="1"/>
  <c r="AO366" i="1" s="1"/>
  <c r="AK367" i="1"/>
  <c r="AO367" i="1" s="1"/>
  <c r="AK368" i="1"/>
  <c r="AO368" i="1" s="1"/>
  <c r="AK369" i="1"/>
  <c r="AO369" i="1" s="1"/>
  <c r="AK370" i="1"/>
  <c r="AO370" i="1" s="1"/>
  <c r="AK371" i="1"/>
  <c r="AO371" i="1" s="1"/>
  <c r="AK372" i="1"/>
  <c r="AO372" i="1" s="1"/>
  <c r="AK373" i="1"/>
  <c r="AO373" i="1" s="1"/>
  <c r="AK374" i="1"/>
  <c r="AO374" i="1" s="1"/>
  <c r="AK375" i="1"/>
  <c r="AO375" i="1" s="1"/>
  <c r="AK376" i="1"/>
  <c r="AO376" i="1" s="1"/>
  <c r="AK377" i="1"/>
  <c r="AO377" i="1" s="1"/>
  <c r="AK378" i="1"/>
  <c r="AO378" i="1" s="1"/>
  <c r="AK379" i="1"/>
  <c r="AO379" i="1" s="1"/>
  <c r="AK380" i="1"/>
  <c r="AO380" i="1" s="1"/>
  <c r="AK381" i="1"/>
  <c r="AO381" i="1" s="1"/>
  <c r="AK382" i="1"/>
  <c r="AO382" i="1" s="1"/>
  <c r="AK383" i="1"/>
  <c r="AO383" i="1" s="1"/>
  <c r="AK384" i="1"/>
  <c r="AO384" i="1" s="1"/>
  <c r="AK385" i="1"/>
  <c r="AO385" i="1" s="1"/>
  <c r="AK386" i="1"/>
  <c r="AO386" i="1" s="1"/>
  <c r="AK387" i="1"/>
  <c r="AO387" i="1" s="1"/>
  <c r="AK388" i="1"/>
  <c r="AO388" i="1" s="1"/>
  <c r="AK389" i="1"/>
  <c r="AO389" i="1" s="1"/>
  <c r="AK390" i="1"/>
  <c r="AO390" i="1" s="1"/>
  <c r="AK391" i="1"/>
  <c r="AO391" i="1" s="1"/>
  <c r="AK392" i="1"/>
  <c r="AO392" i="1" s="1"/>
  <c r="AK393" i="1"/>
  <c r="AO393" i="1" s="1"/>
  <c r="AK394" i="1"/>
  <c r="AO394" i="1" s="1"/>
  <c r="AK395" i="1"/>
  <c r="AO395" i="1" s="1"/>
  <c r="AK396" i="1"/>
  <c r="AO396" i="1" s="1"/>
  <c r="AK397" i="1"/>
  <c r="AO397" i="1" s="1"/>
  <c r="AK398" i="1"/>
  <c r="AO398" i="1" s="1"/>
  <c r="AK399" i="1"/>
  <c r="AO399" i="1" s="1"/>
  <c r="AK400" i="1"/>
  <c r="AO400" i="1" s="1"/>
  <c r="AK401" i="1"/>
  <c r="AO401" i="1" s="1"/>
  <c r="AK402" i="1"/>
  <c r="AO402" i="1" s="1"/>
  <c r="AK403" i="1"/>
  <c r="AO403" i="1" s="1"/>
  <c r="AK404" i="1"/>
  <c r="AO404" i="1" s="1"/>
  <c r="AK405" i="1"/>
  <c r="AO405" i="1" s="1"/>
  <c r="AK406" i="1"/>
  <c r="AO406" i="1" s="1"/>
  <c r="AK407" i="1"/>
  <c r="AO407" i="1" s="1"/>
  <c r="AK408" i="1"/>
  <c r="AO408" i="1" s="1"/>
  <c r="AK409" i="1"/>
  <c r="AO409" i="1" s="1"/>
  <c r="AK410" i="1"/>
  <c r="AO410" i="1" s="1"/>
  <c r="AK411" i="1"/>
  <c r="AO411" i="1" s="1"/>
  <c r="AK412" i="1"/>
  <c r="AO412" i="1" s="1"/>
  <c r="AK413" i="1"/>
  <c r="AO413" i="1" s="1"/>
  <c r="AK414" i="1"/>
  <c r="AO414" i="1" s="1"/>
  <c r="AK415" i="1"/>
  <c r="AO415" i="1" s="1"/>
  <c r="AK416" i="1"/>
  <c r="AO416" i="1" s="1"/>
  <c r="AK417" i="1"/>
  <c r="AO417" i="1" s="1"/>
  <c r="AK418" i="1"/>
  <c r="AO418" i="1" s="1"/>
  <c r="AK419" i="1"/>
  <c r="AO419" i="1" s="1"/>
  <c r="AK420" i="1"/>
  <c r="AO420" i="1" s="1"/>
  <c r="AK421" i="1"/>
  <c r="AO421" i="1" s="1"/>
  <c r="AK422" i="1"/>
  <c r="AO422" i="1" s="1"/>
  <c r="AK423" i="1"/>
  <c r="AO423" i="1" s="1"/>
  <c r="AK424" i="1"/>
  <c r="AO424" i="1" s="1"/>
  <c r="AK425" i="1"/>
  <c r="AO425" i="1" s="1"/>
  <c r="AK426" i="1"/>
  <c r="AO426" i="1" s="1"/>
  <c r="AK427" i="1"/>
  <c r="AO427" i="1" s="1"/>
  <c r="AK428" i="1"/>
  <c r="AO428" i="1" s="1"/>
  <c r="AK429" i="1"/>
  <c r="AO429" i="1" s="1"/>
  <c r="AK430" i="1"/>
  <c r="AO430" i="1" s="1"/>
  <c r="AK431" i="1"/>
  <c r="AO431" i="1" s="1"/>
  <c r="AK432" i="1"/>
  <c r="AO432" i="1" s="1"/>
  <c r="AK433" i="1"/>
  <c r="AO433" i="1" s="1"/>
  <c r="AK434" i="1"/>
  <c r="AO434" i="1" s="1"/>
  <c r="AK435" i="1"/>
  <c r="AO435" i="1" s="1"/>
  <c r="AK436" i="1"/>
  <c r="AO436" i="1" s="1"/>
  <c r="AK437" i="1"/>
  <c r="AO437" i="1" s="1"/>
  <c r="AK438" i="1"/>
  <c r="AO438" i="1" s="1"/>
  <c r="AK439" i="1"/>
  <c r="AO439" i="1" s="1"/>
  <c r="AK440" i="1"/>
  <c r="AO440" i="1" s="1"/>
  <c r="AK441" i="1"/>
  <c r="AO441" i="1" s="1"/>
  <c r="AK442" i="1"/>
  <c r="AO442" i="1" s="1"/>
  <c r="AK443" i="1"/>
  <c r="AO443" i="1" s="1"/>
  <c r="AK444" i="1"/>
  <c r="AO444" i="1" s="1"/>
  <c r="AK445" i="1"/>
  <c r="AO445" i="1" s="1"/>
  <c r="AK446" i="1"/>
  <c r="AO446" i="1" s="1"/>
  <c r="AK447" i="1"/>
  <c r="AO447" i="1" s="1"/>
  <c r="AK448" i="1"/>
  <c r="AO448" i="1" s="1"/>
  <c r="AK449" i="1"/>
  <c r="AO449" i="1" s="1"/>
  <c r="AK450" i="1"/>
  <c r="AO450" i="1" s="1"/>
  <c r="AK451" i="1"/>
  <c r="AO451" i="1" s="1"/>
  <c r="AK452" i="1"/>
  <c r="AO452" i="1" s="1"/>
  <c r="AK453" i="1"/>
  <c r="AO453" i="1" s="1"/>
  <c r="AK454" i="1"/>
  <c r="AO454" i="1" s="1"/>
  <c r="AK455" i="1"/>
  <c r="AO455" i="1" s="1"/>
  <c r="AK456" i="1"/>
  <c r="AO456" i="1" s="1"/>
  <c r="AK457" i="1"/>
  <c r="AO457" i="1" s="1"/>
  <c r="AK458" i="1"/>
  <c r="AO458" i="1" s="1"/>
  <c r="AK459" i="1"/>
  <c r="AO459" i="1" s="1"/>
  <c r="AK460" i="1"/>
  <c r="AO460" i="1" s="1"/>
  <c r="AK461" i="1"/>
  <c r="AO461" i="1" s="1"/>
  <c r="AK462" i="1"/>
  <c r="AO462" i="1" s="1"/>
  <c r="AK463" i="1"/>
  <c r="AO463" i="1" s="1"/>
  <c r="AK464" i="1"/>
  <c r="AO464" i="1" s="1"/>
  <c r="AK465" i="1"/>
  <c r="AO465" i="1" s="1"/>
  <c r="AK466" i="1"/>
  <c r="AO466" i="1" s="1"/>
  <c r="AK467" i="1"/>
  <c r="AO467" i="1" s="1"/>
  <c r="AK468" i="1"/>
  <c r="AO468" i="1" s="1"/>
  <c r="AK469" i="1"/>
  <c r="AO469" i="1" s="1"/>
  <c r="AK470" i="1"/>
  <c r="AO470" i="1" s="1"/>
  <c r="AK471" i="1"/>
  <c r="AO471" i="1" s="1"/>
  <c r="AK472" i="1"/>
  <c r="AO472" i="1" s="1"/>
  <c r="AK473" i="1"/>
  <c r="AO473" i="1" s="1"/>
  <c r="AK474" i="1"/>
  <c r="AO474" i="1" s="1"/>
  <c r="AK475" i="1"/>
  <c r="AO475" i="1" s="1"/>
  <c r="AK476" i="1"/>
  <c r="AO476" i="1" s="1"/>
  <c r="AK477" i="1"/>
  <c r="AO477" i="1" s="1"/>
  <c r="AK478" i="1"/>
  <c r="AO478" i="1" s="1"/>
  <c r="AK479" i="1"/>
  <c r="AO479" i="1" s="1"/>
  <c r="AK480" i="1"/>
  <c r="AO480" i="1" s="1"/>
  <c r="AK481" i="1"/>
  <c r="AO481" i="1" s="1"/>
  <c r="AK482" i="1"/>
  <c r="AO482" i="1" s="1"/>
  <c r="AK483" i="1"/>
  <c r="AO483" i="1" s="1"/>
  <c r="AK484" i="1"/>
  <c r="AO484" i="1" s="1"/>
  <c r="AK485" i="1"/>
  <c r="AO485" i="1" s="1"/>
  <c r="AK486" i="1"/>
  <c r="AO486" i="1" s="1"/>
  <c r="AK487" i="1"/>
  <c r="AO487" i="1" s="1"/>
  <c r="AK488" i="1"/>
  <c r="AO488" i="1" s="1"/>
  <c r="AK489" i="1"/>
  <c r="AO489" i="1" s="1"/>
  <c r="AK490" i="1"/>
  <c r="AO490" i="1" s="1"/>
  <c r="AK491" i="1"/>
  <c r="AO491" i="1" s="1"/>
  <c r="AK492" i="1"/>
  <c r="AO492" i="1" s="1"/>
  <c r="AK493" i="1"/>
  <c r="AO493" i="1" s="1"/>
  <c r="AK494" i="1"/>
  <c r="AO494" i="1" s="1"/>
  <c r="AK495" i="1"/>
  <c r="AO495" i="1" s="1"/>
  <c r="AK496" i="1"/>
  <c r="AO496" i="1" s="1"/>
  <c r="AK497" i="1"/>
  <c r="AO497" i="1" s="1"/>
  <c r="AK498" i="1"/>
  <c r="AO498" i="1" s="1"/>
  <c r="AK499" i="1"/>
  <c r="AO499" i="1" s="1"/>
  <c r="AK500" i="1"/>
  <c r="AO500" i="1" s="1"/>
  <c r="AK501" i="1"/>
  <c r="AO501" i="1" s="1"/>
  <c r="AK502" i="1"/>
  <c r="AO502" i="1" s="1"/>
  <c r="AK503" i="1"/>
  <c r="AO503" i="1" s="1"/>
  <c r="AK504" i="1"/>
  <c r="AO504" i="1" s="1"/>
  <c r="AK505" i="1"/>
  <c r="AO505" i="1" s="1"/>
  <c r="AK506" i="1"/>
  <c r="AO506" i="1" s="1"/>
  <c r="AK507" i="1"/>
  <c r="AO507" i="1" s="1"/>
  <c r="AK508" i="1"/>
  <c r="AO508" i="1" s="1"/>
  <c r="AK509" i="1"/>
  <c r="AO509" i="1" s="1"/>
  <c r="AK510" i="1"/>
  <c r="AO510" i="1" s="1"/>
  <c r="AK511" i="1"/>
  <c r="AO511" i="1" s="1"/>
  <c r="AK512" i="1"/>
  <c r="AO512" i="1" s="1"/>
  <c r="AK513" i="1"/>
  <c r="AO513" i="1" s="1"/>
  <c r="AK514" i="1"/>
  <c r="AO514" i="1" s="1"/>
  <c r="AK515" i="1"/>
  <c r="AO515" i="1" s="1"/>
  <c r="AK516" i="1"/>
  <c r="AO516" i="1" s="1"/>
  <c r="AK517" i="1"/>
  <c r="AO517" i="1" s="1"/>
  <c r="AK518" i="1"/>
  <c r="AO518" i="1" s="1"/>
  <c r="AK519" i="1"/>
  <c r="AO519" i="1" s="1"/>
  <c r="AK520" i="1"/>
  <c r="AO520" i="1" s="1"/>
  <c r="AK521" i="1"/>
  <c r="AO521" i="1" s="1"/>
  <c r="AK522" i="1"/>
  <c r="AO522" i="1" s="1"/>
  <c r="AK523" i="1"/>
  <c r="AO523" i="1" s="1"/>
  <c r="AK524" i="1"/>
  <c r="AO524" i="1" s="1"/>
  <c r="AK525" i="1"/>
  <c r="AO525" i="1" s="1"/>
  <c r="AK526" i="1"/>
  <c r="AO526" i="1" s="1"/>
  <c r="AK527" i="1"/>
  <c r="AO527" i="1" s="1"/>
  <c r="AK528" i="1"/>
  <c r="AO528" i="1" s="1"/>
  <c r="AK529" i="1"/>
  <c r="AO529" i="1" s="1"/>
  <c r="AK530" i="1"/>
  <c r="AO530" i="1" s="1"/>
  <c r="AK531" i="1"/>
  <c r="AO531" i="1" s="1"/>
  <c r="AK532" i="1"/>
  <c r="AO532" i="1" s="1"/>
  <c r="AK533" i="1"/>
  <c r="AO533" i="1" s="1"/>
  <c r="AK534" i="1"/>
  <c r="AO534" i="1" s="1"/>
  <c r="AK535" i="1"/>
  <c r="AO535" i="1" s="1"/>
  <c r="AK536" i="1"/>
  <c r="AO536" i="1" s="1"/>
  <c r="AK537" i="1"/>
  <c r="AO537" i="1" s="1"/>
  <c r="AK538" i="1"/>
  <c r="AO538" i="1" s="1"/>
  <c r="AK539" i="1"/>
  <c r="AO539" i="1" s="1"/>
  <c r="AK540" i="1"/>
  <c r="AO540" i="1" s="1"/>
  <c r="AK541" i="1"/>
  <c r="AO541" i="1" s="1"/>
  <c r="AK542" i="1"/>
  <c r="AO542" i="1" s="1"/>
  <c r="AK543" i="1"/>
  <c r="AO543" i="1" s="1"/>
  <c r="AK544" i="1"/>
  <c r="AO544" i="1" s="1"/>
  <c r="AK545" i="1"/>
  <c r="AO545" i="1" s="1"/>
  <c r="AK546" i="1"/>
  <c r="AO546" i="1" s="1"/>
  <c r="AK547" i="1"/>
  <c r="AO547" i="1" s="1"/>
  <c r="AK548" i="1"/>
  <c r="AO548" i="1" s="1"/>
  <c r="AK549" i="1"/>
  <c r="AO549" i="1" s="1"/>
  <c r="AK550" i="1"/>
  <c r="AO550" i="1" s="1"/>
  <c r="AK551" i="1"/>
  <c r="AO551" i="1" s="1"/>
  <c r="AK552" i="1"/>
  <c r="AO552" i="1" s="1"/>
  <c r="AK553" i="1"/>
  <c r="AO553" i="1" s="1"/>
  <c r="AK554" i="1"/>
  <c r="AO554" i="1" s="1"/>
  <c r="AK555" i="1"/>
  <c r="AO555" i="1" s="1"/>
  <c r="AK556" i="1"/>
  <c r="AO556" i="1" s="1"/>
  <c r="AK557" i="1"/>
  <c r="AO557" i="1" s="1"/>
  <c r="AK558" i="1"/>
  <c r="AO558" i="1" s="1"/>
  <c r="AK559" i="1"/>
  <c r="AO559" i="1" s="1"/>
  <c r="AK560" i="1"/>
  <c r="AO560" i="1" s="1"/>
  <c r="AK561" i="1"/>
  <c r="AO561" i="1" s="1"/>
  <c r="AK562" i="1"/>
  <c r="AO562" i="1" s="1"/>
  <c r="AK563" i="1"/>
  <c r="AO563" i="1" s="1"/>
  <c r="AK564" i="1"/>
  <c r="AO564" i="1" s="1"/>
  <c r="AK565" i="1"/>
  <c r="AO565" i="1" s="1"/>
  <c r="AK566" i="1"/>
  <c r="AO566" i="1" s="1"/>
  <c r="AK567" i="1"/>
  <c r="AO567" i="1" s="1"/>
  <c r="AB3" i="1"/>
  <c r="AG3" i="1" s="1"/>
  <c r="AB4" i="1"/>
  <c r="AG4" i="1" s="1"/>
  <c r="AB5" i="1"/>
  <c r="AG5" i="1" s="1"/>
  <c r="AB6" i="1"/>
  <c r="AG6" i="1" s="1"/>
  <c r="AB7" i="1"/>
  <c r="AG7" i="1" s="1"/>
  <c r="AB8" i="1"/>
  <c r="AG8" i="1" s="1"/>
  <c r="AB9" i="1"/>
  <c r="AG9" i="1" s="1"/>
  <c r="AB10" i="1"/>
  <c r="AG10" i="1" s="1"/>
  <c r="AB11" i="1"/>
  <c r="AG11" i="1" s="1"/>
  <c r="AB12" i="1"/>
  <c r="AG12" i="1" s="1"/>
  <c r="AB13" i="1"/>
  <c r="AG13" i="1" s="1"/>
  <c r="AB14" i="1"/>
  <c r="AG14" i="1" s="1"/>
  <c r="AB15" i="1"/>
  <c r="AG15" i="1" s="1"/>
  <c r="AB16" i="1"/>
  <c r="AG16" i="1" s="1"/>
  <c r="AB17" i="1"/>
  <c r="AG17" i="1" s="1"/>
  <c r="AB18" i="1"/>
  <c r="AG18" i="1" s="1"/>
  <c r="AB19" i="1"/>
  <c r="AG19" i="1" s="1"/>
  <c r="AB20" i="1"/>
  <c r="AG20" i="1" s="1"/>
  <c r="AB21" i="1"/>
  <c r="AG21" i="1" s="1"/>
  <c r="AB22" i="1"/>
  <c r="AG22" i="1" s="1"/>
  <c r="AB23" i="1"/>
  <c r="AG23" i="1" s="1"/>
  <c r="AB24" i="1"/>
  <c r="AG24" i="1" s="1"/>
  <c r="AB25" i="1"/>
  <c r="AG25" i="1" s="1"/>
  <c r="AB26" i="1"/>
  <c r="AG26" i="1" s="1"/>
  <c r="AB27" i="1"/>
  <c r="AG27" i="1" s="1"/>
  <c r="AB28" i="1"/>
  <c r="AG28" i="1" s="1"/>
  <c r="AB29" i="1"/>
  <c r="AG29" i="1" s="1"/>
  <c r="AB30" i="1"/>
  <c r="AG30" i="1" s="1"/>
  <c r="AB31" i="1"/>
  <c r="AG31" i="1" s="1"/>
  <c r="AB32" i="1"/>
  <c r="AG32" i="1" s="1"/>
  <c r="AB33" i="1"/>
  <c r="AG33" i="1" s="1"/>
  <c r="AB34" i="1"/>
  <c r="AG34" i="1" s="1"/>
  <c r="AB35" i="1"/>
  <c r="AG35" i="1" s="1"/>
  <c r="AB36" i="1"/>
  <c r="AG36" i="1" s="1"/>
  <c r="AB37" i="1"/>
  <c r="AG37" i="1" s="1"/>
  <c r="AB38" i="1"/>
  <c r="AG38" i="1" s="1"/>
  <c r="AB39" i="1"/>
  <c r="AG39" i="1" s="1"/>
  <c r="AB40" i="1"/>
  <c r="AG40" i="1" s="1"/>
  <c r="AB41" i="1"/>
  <c r="AG41" i="1" s="1"/>
  <c r="AB42" i="1"/>
  <c r="AG42" i="1" s="1"/>
  <c r="AB43" i="1"/>
  <c r="AG43" i="1" s="1"/>
  <c r="AB44" i="1"/>
  <c r="AG44" i="1" s="1"/>
  <c r="AB45" i="1"/>
  <c r="AG45" i="1" s="1"/>
  <c r="AB46" i="1"/>
  <c r="AG46" i="1" s="1"/>
  <c r="AB47" i="1"/>
  <c r="AG47" i="1" s="1"/>
  <c r="AB48" i="1"/>
  <c r="AG48" i="1" s="1"/>
  <c r="AB49" i="1"/>
  <c r="AG49" i="1" s="1"/>
  <c r="AB50" i="1"/>
  <c r="AG50" i="1" s="1"/>
  <c r="AB51" i="1"/>
  <c r="AG51" i="1" s="1"/>
  <c r="AB52" i="1"/>
  <c r="AG52" i="1" s="1"/>
  <c r="AB53" i="1"/>
  <c r="AG53" i="1" s="1"/>
  <c r="AB54" i="1"/>
  <c r="AG54" i="1" s="1"/>
  <c r="AB55" i="1"/>
  <c r="AG55" i="1" s="1"/>
  <c r="AB56" i="1"/>
  <c r="AG56" i="1" s="1"/>
  <c r="AB57" i="1"/>
  <c r="AG57" i="1" s="1"/>
  <c r="AB58" i="1"/>
  <c r="AG58" i="1" s="1"/>
  <c r="AB59" i="1"/>
  <c r="AG59" i="1" s="1"/>
  <c r="AB60" i="1"/>
  <c r="AG60" i="1" s="1"/>
  <c r="AB61" i="1"/>
  <c r="AG61" i="1" s="1"/>
  <c r="AB62" i="1"/>
  <c r="AG62" i="1" s="1"/>
  <c r="AB63" i="1"/>
  <c r="AG63" i="1" s="1"/>
  <c r="AB64" i="1"/>
  <c r="AG64" i="1" s="1"/>
  <c r="AB65" i="1"/>
  <c r="AG65" i="1" s="1"/>
  <c r="AB66" i="1"/>
  <c r="AG66" i="1" s="1"/>
  <c r="AB67" i="1"/>
  <c r="AG67" i="1" s="1"/>
  <c r="AB68" i="1"/>
  <c r="AG68" i="1" s="1"/>
  <c r="AB69" i="1"/>
  <c r="AG69" i="1" s="1"/>
  <c r="AB70" i="1"/>
  <c r="AG70" i="1" s="1"/>
  <c r="AB71" i="1"/>
  <c r="AG71" i="1" s="1"/>
  <c r="AB72" i="1"/>
  <c r="AG72" i="1" s="1"/>
  <c r="AB73" i="1"/>
  <c r="AG73" i="1" s="1"/>
  <c r="AB74" i="1"/>
  <c r="AG74" i="1" s="1"/>
  <c r="AB75" i="1"/>
  <c r="AG75" i="1" s="1"/>
  <c r="AB76" i="1"/>
  <c r="AG76" i="1" s="1"/>
  <c r="AB77" i="1"/>
  <c r="AG77" i="1" s="1"/>
  <c r="AB78" i="1"/>
  <c r="AG78" i="1" s="1"/>
  <c r="AB79" i="1"/>
  <c r="AG79" i="1" s="1"/>
  <c r="AB80" i="1"/>
  <c r="AG80" i="1" s="1"/>
  <c r="AB81" i="1"/>
  <c r="AG81" i="1" s="1"/>
  <c r="AB82" i="1"/>
  <c r="AG82" i="1" s="1"/>
  <c r="AB83" i="1"/>
  <c r="AG83" i="1" s="1"/>
  <c r="AB84" i="1"/>
  <c r="AG84" i="1" s="1"/>
  <c r="AB85" i="1"/>
  <c r="AG85" i="1" s="1"/>
  <c r="AB86" i="1"/>
  <c r="AG86" i="1" s="1"/>
  <c r="AB87" i="1"/>
  <c r="AG87" i="1" s="1"/>
  <c r="AB88" i="1"/>
  <c r="AG88" i="1" s="1"/>
  <c r="AB89" i="1"/>
  <c r="AG89" i="1" s="1"/>
  <c r="AB90" i="1"/>
  <c r="AG90" i="1" s="1"/>
  <c r="AB91" i="1"/>
  <c r="AG91" i="1" s="1"/>
  <c r="AB92" i="1"/>
  <c r="AG92" i="1" s="1"/>
  <c r="AB93" i="1"/>
  <c r="AG93" i="1" s="1"/>
  <c r="AB94" i="1"/>
  <c r="AG94" i="1" s="1"/>
  <c r="AB95" i="1"/>
  <c r="AG95" i="1" s="1"/>
  <c r="AB96" i="1"/>
  <c r="AG96" i="1" s="1"/>
  <c r="AB97" i="1"/>
  <c r="AG97" i="1" s="1"/>
  <c r="AB98" i="1"/>
  <c r="AG98" i="1" s="1"/>
  <c r="AB99" i="1"/>
  <c r="AG99" i="1" s="1"/>
  <c r="AB100" i="1"/>
  <c r="AG100" i="1" s="1"/>
  <c r="AB101" i="1"/>
  <c r="AG101" i="1" s="1"/>
  <c r="AB102" i="1"/>
  <c r="AG102" i="1" s="1"/>
  <c r="AB103" i="1"/>
  <c r="AG103" i="1" s="1"/>
  <c r="AB104" i="1"/>
  <c r="AG104" i="1" s="1"/>
  <c r="AB105" i="1"/>
  <c r="AG105" i="1" s="1"/>
  <c r="AB106" i="1"/>
  <c r="AG106" i="1" s="1"/>
  <c r="AB107" i="1"/>
  <c r="AG107" i="1" s="1"/>
  <c r="AB108" i="1"/>
  <c r="AG108" i="1" s="1"/>
  <c r="AB109" i="1"/>
  <c r="AG109" i="1" s="1"/>
  <c r="AB110" i="1"/>
  <c r="AG110" i="1" s="1"/>
  <c r="AB111" i="1"/>
  <c r="AG111" i="1" s="1"/>
  <c r="AB112" i="1"/>
  <c r="AG112" i="1" s="1"/>
  <c r="AB113" i="1"/>
  <c r="AG113" i="1" s="1"/>
  <c r="AB114" i="1"/>
  <c r="AG114" i="1" s="1"/>
  <c r="AB115" i="1"/>
  <c r="AG115" i="1" s="1"/>
  <c r="AB116" i="1"/>
  <c r="AG116" i="1" s="1"/>
  <c r="AB117" i="1"/>
  <c r="AG117" i="1" s="1"/>
  <c r="AB118" i="1"/>
  <c r="AG118" i="1" s="1"/>
  <c r="AB119" i="1"/>
  <c r="AG119" i="1" s="1"/>
  <c r="AB120" i="1"/>
  <c r="AG120" i="1" s="1"/>
  <c r="AB121" i="1"/>
  <c r="AG121" i="1" s="1"/>
  <c r="AB122" i="1"/>
  <c r="AG122" i="1" s="1"/>
  <c r="AB123" i="1"/>
  <c r="AG123" i="1" s="1"/>
  <c r="AB124" i="1"/>
  <c r="AG124" i="1" s="1"/>
  <c r="AB125" i="1"/>
  <c r="AG125" i="1" s="1"/>
  <c r="AB126" i="1"/>
  <c r="AG126" i="1" s="1"/>
  <c r="AB127" i="1"/>
  <c r="AG127" i="1" s="1"/>
  <c r="AB128" i="1"/>
  <c r="AG128" i="1" s="1"/>
  <c r="AB129" i="1"/>
  <c r="AG129" i="1" s="1"/>
  <c r="AB130" i="1"/>
  <c r="AG130" i="1" s="1"/>
  <c r="AB131" i="1"/>
  <c r="AG131" i="1" s="1"/>
  <c r="AB132" i="1"/>
  <c r="AG132" i="1" s="1"/>
  <c r="AB133" i="1"/>
  <c r="AG133" i="1" s="1"/>
  <c r="AB134" i="1"/>
  <c r="AG134" i="1" s="1"/>
  <c r="AB135" i="1"/>
  <c r="AG135" i="1" s="1"/>
  <c r="AB136" i="1"/>
  <c r="AG136" i="1" s="1"/>
  <c r="AB137" i="1"/>
  <c r="AG137" i="1" s="1"/>
  <c r="AB138" i="1"/>
  <c r="AG138" i="1" s="1"/>
  <c r="AB139" i="1"/>
  <c r="AG139" i="1" s="1"/>
  <c r="AB140" i="1"/>
  <c r="AG140" i="1" s="1"/>
  <c r="AB141" i="1"/>
  <c r="AG141" i="1" s="1"/>
  <c r="AB142" i="1"/>
  <c r="AG142" i="1" s="1"/>
  <c r="AB143" i="1"/>
  <c r="AG143" i="1" s="1"/>
  <c r="AB144" i="1"/>
  <c r="AG144" i="1" s="1"/>
  <c r="AB145" i="1"/>
  <c r="AG145" i="1" s="1"/>
  <c r="AB146" i="1"/>
  <c r="AG146" i="1" s="1"/>
  <c r="AB147" i="1"/>
  <c r="AG147" i="1" s="1"/>
  <c r="AB148" i="1"/>
  <c r="AG148" i="1" s="1"/>
  <c r="AB149" i="1"/>
  <c r="AG149" i="1" s="1"/>
  <c r="AB150" i="1"/>
  <c r="AG150" i="1" s="1"/>
  <c r="AB151" i="1"/>
  <c r="AG151" i="1" s="1"/>
  <c r="AB152" i="1"/>
  <c r="AG152" i="1" s="1"/>
  <c r="AB153" i="1"/>
  <c r="AG153" i="1" s="1"/>
  <c r="AB154" i="1"/>
  <c r="AG154" i="1" s="1"/>
  <c r="AB155" i="1"/>
  <c r="AG155" i="1" s="1"/>
  <c r="AB156" i="1"/>
  <c r="AG156" i="1" s="1"/>
  <c r="AB157" i="1"/>
  <c r="AG157" i="1" s="1"/>
  <c r="AB158" i="1"/>
  <c r="AG158" i="1" s="1"/>
  <c r="AB159" i="1"/>
  <c r="AG159" i="1" s="1"/>
  <c r="AB160" i="1"/>
  <c r="AG160" i="1" s="1"/>
  <c r="AB161" i="1"/>
  <c r="AG161" i="1" s="1"/>
  <c r="AB162" i="1"/>
  <c r="AG162" i="1" s="1"/>
  <c r="AB163" i="1"/>
  <c r="AG163" i="1" s="1"/>
  <c r="AB164" i="1"/>
  <c r="AG164" i="1" s="1"/>
  <c r="AB165" i="1"/>
  <c r="AG165" i="1" s="1"/>
  <c r="AB166" i="1"/>
  <c r="AG166" i="1" s="1"/>
  <c r="AB167" i="1"/>
  <c r="AG167" i="1" s="1"/>
  <c r="AB168" i="1"/>
  <c r="AG168" i="1" s="1"/>
  <c r="AB169" i="1"/>
  <c r="AG169" i="1" s="1"/>
  <c r="AB170" i="1"/>
  <c r="AG170" i="1" s="1"/>
  <c r="AB171" i="1"/>
  <c r="AG171" i="1" s="1"/>
  <c r="AB172" i="1"/>
  <c r="AG172" i="1" s="1"/>
  <c r="AB173" i="1"/>
  <c r="AG173" i="1" s="1"/>
  <c r="AB174" i="1"/>
  <c r="AG174" i="1" s="1"/>
  <c r="AB175" i="1"/>
  <c r="AG175" i="1" s="1"/>
  <c r="AB176" i="1"/>
  <c r="AG176" i="1" s="1"/>
  <c r="AB177" i="1"/>
  <c r="AG177" i="1" s="1"/>
  <c r="AB178" i="1"/>
  <c r="AG178" i="1" s="1"/>
  <c r="AB179" i="1"/>
  <c r="AG179" i="1" s="1"/>
  <c r="AB180" i="1"/>
  <c r="AG180" i="1" s="1"/>
  <c r="AB181" i="1"/>
  <c r="AG181" i="1" s="1"/>
  <c r="AB182" i="1"/>
  <c r="AG182" i="1" s="1"/>
  <c r="AB183" i="1"/>
  <c r="AG183" i="1" s="1"/>
  <c r="AB184" i="1"/>
  <c r="AG184" i="1" s="1"/>
  <c r="AB185" i="1"/>
  <c r="AG185" i="1" s="1"/>
  <c r="AB186" i="1"/>
  <c r="AG186" i="1" s="1"/>
  <c r="AB187" i="1"/>
  <c r="AG187" i="1" s="1"/>
  <c r="AB188" i="1"/>
  <c r="AG188" i="1" s="1"/>
  <c r="AB189" i="1"/>
  <c r="AG189" i="1" s="1"/>
  <c r="AB190" i="1"/>
  <c r="AG190" i="1" s="1"/>
  <c r="AB191" i="1"/>
  <c r="AG191" i="1" s="1"/>
  <c r="AB192" i="1"/>
  <c r="AG192" i="1" s="1"/>
  <c r="AB193" i="1"/>
  <c r="AG193" i="1" s="1"/>
  <c r="AB194" i="1"/>
  <c r="AG194" i="1" s="1"/>
  <c r="AB195" i="1"/>
  <c r="AG195" i="1" s="1"/>
  <c r="AB196" i="1"/>
  <c r="AG196" i="1" s="1"/>
  <c r="AB197" i="1"/>
  <c r="AG197" i="1" s="1"/>
  <c r="AB198" i="1"/>
  <c r="AG198" i="1" s="1"/>
  <c r="AB199" i="1"/>
  <c r="AG199" i="1" s="1"/>
  <c r="AB200" i="1"/>
  <c r="AG200" i="1" s="1"/>
  <c r="AB201" i="1"/>
  <c r="AG201" i="1" s="1"/>
  <c r="AB202" i="1"/>
  <c r="AG202" i="1" s="1"/>
  <c r="AB203" i="1"/>
  <c r="AG203" i="1" s="1"/>
  <c r="AB204" i="1"/>
  <c r="AG204" i="1" s="1"/>
  <c r="AB205" i="1"/>
  <c r="AG205" i="1" s="1"/>
  <c r="AB206" i="1"/>
  <c r="AG206" i="1" s="1"/>
  <c r="AB207" i="1"/>
  <c r="AG207" i="1" s="1"/>
  <c r="AB208" i="1"/>
  <c r="AG208" i="1" s="1"/>
  <c r="AB209" i="1"/>
  <c r="AG209" i="1" s="1"/>
  <c r="AB210" i="1"/>
  <c r="AG210" i="1" s="1"/>
  <c r="AB211" i="1"/>
  <c r="AG211" i="1" s="1"/>
  <c r="AB212" i="1"/>
  <c r="AG212" i="1" s="1"/>
  <c r="AB213" i="1"/>
  <c r="AG213" i="1" s="1"/>
  <c r="AB214" i="1"/>
  <c r="AG214" i="1" s="1"/>
  <c r="AB215" i="1"/>
  <c r="AG215" i="1" s="1"/>
  <c r="AB216" i="1"/>
  <c r="AG216" i="1" s="1"/>
  <c r="AB217" i="1"/>
  <c r="AG217" i="1" s="1"/>
  <c r="AB218" i="1"/>
  <c r="AG218" i="1" s="1"/>
  <c r="AB219" i="1"/>
  <c r="AG219" i="1" s="1"/>
  <c r="AB220" i="1"/>
  <c r="AG220" i="1" s="1"/>
  <c r="AB221" i="1"/>
  <c r="AG221" i="1" s="1"/>
  <c r="AB222" i="1"/>
  <c r="AG222" i="1" s="1"/>
  <c r="AB223" i="1"/>
  <c r="AG223" i="1" s="1"/>
  <c r="AB224" i="1"/>
  <c r="AG224" i="1" s="1"/>
  <c r="AB225" i="1"/>
  <c r="AG225" i="1" s="1"/>
  <c r="AB226" i="1"/>
  <c r="AG226" i="1" s="1"/>
  <c r="AB227" i="1"/>
  <c r="AG227" i="1" s="1"/>
  <c r="AB228" i="1"/>
  <c r="AG228" i="1" s="1"/>
  <c r="AB229" i="1"/>
  <c r="AG229" i="1" s="1"/>
  <c r="AB230" i="1"/>
  <c r="AG230" i="1" s="1"/>
  <c r="AB231" i="1"/>
  <c r="AG231" i="1" s="1"/>
  <c r="AB232" i="1"/>
  <c r="AG232" i="1" s="1"/>
  <c r="AB233" i="1"/>
  <c r="AG233" i="1" s="1"/>
  <c r="AB234" i="1"/>
  <c r="AG234" i="1" s="1"/>
  <c r="AB235" i="1"/>
  <c r="AG235" i="1" s="1"/>
  <c r="AB236" i="1"/>
  <c r="AG236" i="1" s="1"/>
  <c r="AB237" i="1"/>
  <c r="AG237" i="1" s="1"/>
  <c r="AB238" i="1"/>
  <c r="AG238" i="1" s="1"/>
  <c r="AB239" i="1"/>
  <c r="AG239" i="1" s="1"/>
  <c r="AB240" i="1"/>
  <c r="AG240" i="1" s="1"/>
  <c r="AB241" i="1"/>
  <c r="AG241" i="1" s="1"/>
  <c r="AB242" i="1"/>
  <c r="AG242" i="1" s="1"/>
  <c r="AB243" i="1"/>
  <c r="AG243" i="1" s="1"/>
  <c r="AB244" i="1"/>
  <c r="AG244" i="1" s="1"/>
  <c r="AB245" i="1"/>
  <c r="AG245" i="1" s="1"/>
  <c r="AB246" i="1"/>
  <c r="AG246" i="1" s="1"/>
  <c r="AB247" i="1"/>
  <c r="AG247" i="1" s="1"/>
  <c r="AB248" i="1"/>
  <c r="AG248" i="1" s="1"/>
  <c r="AB249" i="1"/>
  <c r="AG249" i="1" s="1"/>
  <c r="AB250" i="1"/>
  <c r="AG250" i="1" s="1"/>
  <c r="AB251" i="1"/>
  <c r="AG251" i="1" s="1"/>
  <c r="AB252" i="1"/>
  <c r="AG252" i="1" s="1"/>
  <c r="AB253" i="1"/>
  <c r="AG253" i="1" s="1"/>
  <c r="AB254" i="1"/>
  <c r="AG254" i="1" s="1"/>
  <c r="AB255" i="1"/>
  <c r="AG255" i="1" s="1"/>
  <c r="AB256" i="1"/>
  <c r="AG256" i="1" s="1"/>
  <c r="AB257" i="1"/>
  <c r="AG257" i="1" s="1"/>
  <c r="AB258" i="1"/>
  <c r="AG258" i="1" s="1"/>
  <c r="AB259" i="1"/>
  <c r="AG259" i="1" s="1"/>
  <c r="AB260" i="1"/>
  <c r="AG260" i="1" s="1"/>
  <c r="AB261" i="1"/>
  <c r="AG261" i="1" s="1"/>
  <c r="AB262" i="1"/>
  <c r="AG262" i="1" s="1"/>
  <c r="AB263" i="1"/>
  <c r="AG263" i="1" s="1"/>
  <c r="AB264" i="1"/>
  <c r="AG264" i="1" s="1"/>
  <c r="AB265" i="1"/>
  <c r="AG265" i="1" s="1"/>
  <c r="AB266" i="1"/>
  <c r="AG266" i="1" s="1"/>
  <c r="AB267" i="1"/>
  <c r="AG267" i="1" s="1"/>
  <c r="AB268" i="1"/>
  <c r="AG268" i="1" s="1"/>
  <c r="AB269" i="1"/>
  <c r="AG269" i="1" s="1"/>
  <c r="AB270" i="1"/>
  <c r="AG270" i="1" s="1"/>
  <c r="AB271" i="1"/>
  <c r="AG271" i="1" s="1"/>
  <c r="AB272" i="1"/>
  <c r="AG272" i="1" s="1"/>
  <c r="AB273" i="1"/>
  <c r="AG273" i="1" s="1"/>
  <c r="AB274" i="1"/>
  <c r="AG274" i="1" s="1"/>
  <c r="AB275" i="1"/>
  <c r="AG275" i="1" s="1"/>
  <c r="AB276" i="1"/>
  <c r="AG276" i="1" s="1"/>
  <c r="AB277" i="1"/>
  <c r="AG277" i="1" s="1"/>
  <c r="AB278" i="1"/>
  <c r="AG278" i="1" s="1"/>
  <c r="AB279" i="1"/>
  <c r="AG279" i="1" s="1"/>
  <c r="AB280" i="1"/>
  <c r="AG280" i="1" s="1"/>
  <c r="AB281" i="1"/>
  <c r="AG281" i="1" s="1"/>
  <c r="AB282" i="1"/>
  <c r="AG282" i="1" s="1"/>
  <c r="AB283" i="1"/>
  <c r="AG283" i="1" s="1"/>
  <c r="AB284" i="1"/>
  <c r="AG284" i="1" s="1"/>
  <c r="AB285" i="1"/>
  <c r="AG285" i="1" s="1"/>
  <c r="AB286" i="1"/>
  <c r="AG286" i="1" s="1"/>
  <c r="AB287" i="1"/>
  <c r="AG287" i="1" s="1"/>
  <c r="AB288" i="1"/>
  <c r="AG288" i="1" s="1"/>
  <c r="AB289" i="1"/>
  <c r="AG289" i="1" s="1"/>
  <c r="AB290" i="1"/>
  <c r="AG290" i="1" s="1"/>
  <c r="AB291" i="1"/>
  <c r="AG291" i="1" s="1"/>
  <c r="AB292" i="1"/>
  <c r="AG292" i="1" s="1"/>
  <c r="AB293" i="1"/>
  <c r="AG293" i="1" s="1"/>
  <c r="AB294" i="1"/>
  <c r="AG294" i="1" s="1"/>
  <c r="AB295" i="1"/>
  <c r="AG295" i="1" s="1"/>
  <c r="AB296" i="1"/>
  <c r="AG296" i="1" s="1"/>
  <c r="AB297" i="1"/>
  <c r="AG297" i="1" s="1"/>
  <c r="AB298" i="1"/>
  <c r="AG298" i="1" s="1"/>
  <c r="AB299" i="1"/>
  <c r="AG299" i="1" s="1"/>
  <c r="AB300" i="1"/>
  <c r="AG300" i="1" s="1"/>
  <c r="AB301" i="1"/>
  <c r="AG301" i="1" s="1"/>
  <c r="AB302" i="1"/>
  <c r="AG302" i="1" s="1"/>
  <c r="AB303" i="1"/>
  <c r="AG303" i="1" s="1"/>
  <c r="AB304" i="1"/>
  <c r="AG304" i="1" s="1"/>
  <c r="AB305" i="1"/>
  <c r="AG305" i="1" s="1"/>
  <c r="AB306" i="1"/>
  <c r="AG306" i="1" s="1"/>
  <c r="AB307" i="1"/>
  <c r="AG307" i="1" s="1"/>
  <c r="AB308" i="1"/>
  <c r="AG308" i="1" s="1"/>
  <c r="AB309" i="1"/>
  <c r="AG309" i="1" s="1"/>
  <c r="AB310" i="1"/>
  <c r="AG310" i="1" s="1"/>
  <c r="AB311" i="1"/>
  <c r="AG311" i="1" s="1"/>
  <c r="AB312" i="1"/>
  <c r="AG312" i="1" s="1"/>
  <c r="AB313" i="1"/>
  <c r="AG313" i="1" s="1"/>
  <c r="AB314" i="1"/>
  <c r="AG314" i="1" s="1"/>
  <c r="AB315" i="1"/>
  <c r="AG315" i="1" s="1"/>
  <c r="AB316" i="1"/>
  <c r="AG316" i="1" s="1"/>
  <c r="AB317" i="1"/>
  <c r="AG317" i="1" s="1"/>
  <c r="AB318" i="1"/>
  <c r="AG318" i="1" s="1"/>
  <c r="AB319" i="1"/>
  <c r="AG319" i="1" s="1"/>
  <c r="AB320" i="1"/>
  <c r="AG320" i="1" s="1"/>
  <c r="AB321" i="1"/>
  <c r="AG321" i="1" s="1"/>
  <c r="AB322" i="1"/>
  <c r="AG322" i="1" s="1"/>
  <c r="AB323" i="1"/>
  <c r="AG323" i="1" s="1"/>
  <c r="AB324" i="1"/>
  <c r="AG324" i="1" s="1"/>
  <c r="AB325" i="1"/>
  <c r="AG325" i="1" s="1"/>
  <c r="AB326" i="1"/>
  <c r="AG326" i="1" s="1"/>
  <c r="AB327" i="1"/>
  <c r="AG327" i="1" s="1"/>
  <c r="AB328" i="1"/>
  <c r="AG328" i="1" s="1"/>
  <c r="AB329" i="1"/>
  <c r="AG329" i="1" s="1"/>
  <c r="AB330" i="1"/>
  <c r="AG330" i="1" s="1"/>
  <c r="AB331" i="1"/>
  <c r="AG331" i="1" s="1"/>
  <c r="AB332" i="1"/>
  <c r="AG332" i="1" s="1"/>
  <c r="AB333" i="1"/>
  <c r="AG333" i="1" s="1"/>
  <c r="AB334" i="1"/>
  <c r="AG334" i="1" s="1"/>
  <c r="AB335" i="1"/>
  <c r="AG335" i="1" s="1"/>
  <c r="AB336" i="1"/>
  <c r="AG336" i="1" s="1"/>
  <c r="AB337" i="1"/>
  <c r="AG337" i="1" s="1"/>
  <c r="AB338" i="1"/>
  <c r="AG338" i="1" s="1"/>
  <c r="AB339" i="1"/>
  <c r="AG339" i="1" s="1"/>
  <c r="AB340" i="1"/>
  <c r="AG340" i="1" s="1"/>
  <c r="AB341" i="1"/>
  <c r="AG341" i="1" s="1"/>
  <c r="AB342" i="1"/>
  <c r="AG342" i="1" s="1"/>
  <c r="AB343" i="1"/>
  <c r="AG343" i="1" s="1"/>
  <c r="AB344" i="1"/>
  <c r="AG344" i="1" s="1"/>
  <c r="AB345" i="1"/>
  <c r="AG345" i="1" s="1"/>
  <c r="AB346" i="1"/>
  <c r="AG346" i="1" s="1"/>
  <c r="AB347" i="1"/>
  <c r="AG347" i="1" s="1"/>
  <c r="AB348" i="1"/>
  <c r="AG348" i="1" s="1"/>
  <c r="AB349" i="1"/>
  <c r="AG349" i="1" s="1"/>
  <c r="AB350" i="1"/>
  <c r="AG350" i="1" s="1"/>
  <c r="AB351" i="1"/>
  <c r="AG351" i="1" s="1"/>
  <c r="AB352" i="1"/>
  <c r="AG352" i="1" s="1"/>
  <c r="AB353" i="1"/>
  <c r="AG353" i="1" s="1"/>
  <c r="AB354" i="1"/>
  <c r="AG354" i="1" s="1"/>
  <c r="AB355" i="1"/>
  <c r="AG355" i="1" s="1"/>
  <c r="AB356" i="1"/>
  <c r="AG356" i="1" s="1"/>
  <c r="AB357" i="1"/>
  <c r="AG357" i="1" s="1"/>
  <c r="AB358" i="1"/>
  <c r="AG358" i="1" s="1"/>
  <c r="AB359" i="1"/>
  <c r="AG359" i="1" s="1"/>
  <c r="AB360" i="1"/>
  <c r="AG360" i="1" s="1"/>
  <c r="AB361" i="1"/>
  <c r="AG361" i="1" s="1"/>
  <c r="AB362" i="1"/>
  <c r="AG362" i="1" s="1"/>
  <c r="AB363" i="1"/>
  <c r="AG363" i="1" s="1"/>
  <c r="AB364" i="1"/>
  <c r="AG364" i="1" s="1"/>
  <c r="AB365" i="1"/>
  <c r="AG365" i="1" s="1"/>
  <c r="AB366" i="1"/>
  <c r="AG366" i="1" s="1"/>
  <c r="AB367" i="1"/>
  <c r="AG367" i="1" s="1"/>
  <c r="AB368" i="1"/>
  <c r="AG368" i="1" s="1"/>
  <c r="AB369" i="1"/>
  <c r="AG369" i="1" s="1"/>
  <c r="AB370" i="1"/>
  <c r="AG370" i="1" s="1"/>
  <c r="AB371" i="1"/>
  <c r="AG371" i="1" s="1"/>
  <c r="AB372" i="1"/>
  <c r="AG372" i="1" s="1"/>
  <c r="AB373" i="1"/>
  <c r="AG373" i="1" s="1"/>
  <c r="AB374" i="1"/>
  <c r="AG374" i="1" s="1"/>
  <c r="AB375" i="1"/>
  <c r="AG375" i="1" s="1"/>
  <c r="AB376" i="1"/>
  <c r="AG376" i="1" s="1"/>
  <c r="AB377" i="1"/>
  <c r="AG377" i="1" s="1"/>
  <c r="AB378" i="1"/>
  <c r="AG378" i="1" s="1"/>
  <c r="AB379" i="1"/>
  <c r="AG379" i="1" s="1"/>
  <c r="AB380" i="1"/>
  <c r="AG380" i="1" s="1"/>
  <c r="AB381" i="1"/>
  <c r="AG381" i="1" s="1"/>
  <c r="AB382" i="1"/>
  <c r="AG382" i="1" s="1"/>
  <c r="AB383" i="1"/>
  <c r="AG383" i="1" s="1"/>
  <c r="AB384" i="1"/>
  <c r="AG384" i="1" s="1"/>
  <c r="AB385" i="1"/>
  <c r="AG385" i="1" s="1"/>
  <c r="AB386" i="1"/>
  <c r="AG386" i="1" s="1"/>
  <c r="AB387" i="1"/>
  <c r="AG387" i="1" s="1"/>
  <c r="AB388" i="1"/>
  <c r="AG388" i="1" s="1"/>
  <c r="AB389" i="1"/>
  <c r="AG389" i="1" s="1"/>
  <c r="AB390" i="1"/>
  <c r="AG390" i="1" s="1"/>
  <c r="AB391" i="1"/>
  <c r="AG391" i="1" s="1"/>
  <c r="AB392" i="1"/>
  <c r="AG392" i="1" s="1"/>
  <c r="AB393" i="1"/>
  <c r="AG393" i="1" s="1"/>
  <c r="AB394" i="1"/>
  <c r="AG394" i="1" s="1"/>
  <c r="AB395" i="1"/>
  <c r="AG395" i="1" s="1"/>
  <c r="AB396" i="1"/>
  <c r="AG396" i="1" s="1"/>
  <c r="AB397" i="1"/>
  <c r="AG397" i="1" s="1"/>
  <c r="AB398" i="1"/>
  <c r="AG398" i="1" s="1"/>
  <c r="AB399" i="1"/>
  <c r="AG399" i="1" s="1"/>
  <c r="AB400" i="1"/>
  <c r="AG400" i="1" s="1"/>
  <c r="AB401" i="1"/>
  <c r="AG401" i="1" s="1"/>
  <c r="AB402" i="1"/>
  <c r="AG402" i="1" s="1"/>
  <c r="AB403" i="1"/>
  <c r="AG403" i="1" s="1"/>
  <c r="AB404" i="1"/>
  <c r="AG404" i="1" s="1"/>
  <c r="AB405" i="1"/>
  <c r="AG405" i="1" s="1"/>
  <c r="AB406" i="1"/>
  <c r="AG406" i="1" s="1"/>
  <c r="AB407" i="1"/>
  <c r="AG407" i="1" s="1"/>
  <c r="AB408" i="1"/>
  <c r="AG408" i="1" s="1"/>
  <c r="AB409" i="1"/>
  <c r="AG409" i="1" s="1"/>
  <c r="AB410" i="1"/>
  <c r="AG410" i="1" s="1"/>
  <c r="AB411" i="1"/>
  <c r="AG411" i="1" s="1"/>
  <c r="AB412" i="1"/>
  <c r="AG412" i="1" s="1"/>
  <c r="AB413" i="1"/>
  <c r="AG413" i="1" s="1"/>
  <c r="AB414" i="1"/>
  <c r="AG414" i="1" s="1"/>
  <c r="AB415" i="1"/>
  <c r="AG415" i="1" s="1"/>
  <c r="AB416" i="1"/>
  <c r="AG416" i="1" s="1"/>
  <c r="AB417" i="1"/>
  <c r="AG417" i="1" s="1"/>
  <c r="AB418" i="1"/>
  <c r="AG418" i="1" s="1"/>
  <c r="AB419" i="1"/>
  <c r="AG419" i="1" s="1"/>
  <c r="AB420" i="1"/>
  <c r="AG420" i="1" s="1"/>
  <c r="AB421" i="1"/>
  <c r="AG421" i="1" s="1"/>
  <c r="AB422" i="1"/>
  <c r="AG422" i="1" s="1"/>
  <c r="AB423" i="1"/>
  <c r="AG423" i="1" s="1"/>
  <c r="AB424" i="1"/>
  <c r="AG424" i="1" s="1"/>
  <c r="AB425" i="1"/>
  <c r="AG425" i="1" s="1"/>
  <c r="AB426" i="1"/>
  <c r="AG426" i="1" s="1"/>
  <c r="AB427" i="1"/>
  <c r="AG427" i="1" s="1"/>
  <c r="AB428" i="1"/>
  <c r="AG428" i="1" s="1"/>
  <c r="AB429" i="1"/>
  <c r="AG429" i="1" s="1"/>
  <c r="AB430" i="1"/>
  <c r="AG430" i="1" s="1"/>
  <c r="AB431" i="1"/>
  <c r="AG431" i="1" s="1"/>
  <c r="AB432" i="1"/>
  <c r="AG432" i="1" s="1"/>
  <c r="AB433" i="1"/>
  <c r="AG433" i="1" s="1"/>
  <c r="AB434" i="1"/>
  <c r="AG434" i="1" s="1"/>
  <c r="AB435" i="1"/>
  <c r="AG435" i="1" s="1"/>
  <c r="AB436" i="1"/>
  <c r="AG436" i="1" s="1"/>
  <c r="AB437" i="1"/>
  <c r="AG437" i="1" s="1"/>
  <c r="AB438" i="1"/>
  <c r="AG438" i="1" s="1"/>
  <c r="AB439" i="1"/>
  <c r="AG439" i="1" s="1"/>
  <c r="AB440" i="1"/>
  <c r="AG440" i="1" s="1"/>
  <c r="AB441" i="1"/>
  <c r="AG441" i="1" s="1"/>
  <c r="AB442" i="1"/>
  <c r="AG442" i="1" s="1"/>
  <c r="AB443" i="1"/>
  <c r="AG443" i="1" s="1"/>
  <c r="AB444" i="1"/>
  <c r="AG444" i="1" s="1"/>
  <c r="AB445" i="1"/>
  <c r="AG445" i="1" s="1"/>
  <c r="AB446" i="1"/>
  <c r="AG446" i="1" s="1"/>
  <c r="AB447" i="1"/>
  <c r="AG447" i="1" s="1"/>
  <c r="AB448" i="1"/>
  <c r="AG448" i="1" s="1"/>
  <c r="AB449" i="1"/>
  <c r="AG449" i="1" s="1"/>
  <c r="AB450" i="1"/>
  <c r="AG450" i="1" s="1"/>
  <c r="AB451" i="1"/>
  <c r="AG451" i="1" s="1"/>
  <c r="AB452" i="1"/>
  <c r="AG452" i="1" s="1"/>
  <c r="AB453" i="1"/>
  <c r="AG453" i="1" s="1"/>
  <c r="AB454" i="1"/>
  <c r="AG454" i="1" s="1"/>
  <c r="AB455" i="1"/>
  <c r="AG455" i="1" s="1"/>
  <c r="AB456" i="1"/>
  <c r="AG456" i="1" s="1"/>
  <c r="AB457" i="1"/>
  <c r="AG457" i="1" s="1"/>
  <c r="AB458" i="1"/>
  <c r="AG458" i="1" s="1"/>
  <c r="AB459" i="1"/>
  <c r="AG459" i="1" s="1"/>
  <c r="AB460" i="1"/>
  <c r="AG460" i="1" s="1"/>
  <c r="AB461" i="1"/>
  <c r="AG461" i="1" s="1"/>
  <c r="AB462" i="1"/>
  <c r="AG462" i="1" s="1"/>
  <c r="AB463" i="1"/>
  <c r="AG463" i="1" s="1"/>
  <c r="AB464" i="1"/>
  <c r="AG464" i="1" s="1"/>
  <c r="AB465" i="1"/>
  <c r="AG465" i="1" s="1"/>
  <c r="AB466" i="1"/>
  <c r="AG466" i="1" s="1"/>
  <c r="AB467" i="1"/>
  <c r="AG467" i="1" s="1"/>
  <c r="AB468" i="1"/>
  <c r="AG468" i="1" s="1"/>
  <c r="AB469" i="1"/>
  <c r="AG469" i="1" s="1"/>
  <c r="AB470" i="1"/>
  <c r="AG470" i="1" s="1"/>
  <c r="AB471" i="1"/>
  <c r="AG471" i="1" s="1"/>
  <c r="AB472" i="1"/>
  <c r="AG472" i="1" s="1"/>
  <c r="AB473" i="1"/>
  <c r="AG473" i="1" s="1"/>
  <c r="AB474" i="1"/>
  <c r="AG474" i="1" s="1"/>
  <c r="AB475" i="1"/>
  <c r="AG475" i="1" s="1"/>
  <c r="AB476" i="1"/>
  <c r="AG476" i="1" s="1"/>
  <c r="AB477" i="1"/>
  <c r="AG477" i="1" s="1"/>
  <c r="AB478" i="1"/>
  <c r="AG478" i="1" s="1"/>
  <c r="AB479" i="1"/>
  <c r="AG479" i="1" s="1"/>
  <c r="AB480" i="1"/>
  <c r="AG480" i="1" s="1"/>
  <c r="AB481" i="1"/>
  <c r="AG481" i="1" s="1"/>
  <c r="AB482" i="1"/>
  <c r="AG482" i="1" s="1"/>
  <c r="AB483" i="1"/>
  <c r="AG483" i="1" s="1"/>
  <c r="AB484" i="1"/>
  <c r="AG484" i="1" s="1"/>
  <c r="AB485" i="1"/>
  <c r="AG485" i="1" s="1"/>
  <c r="AB486" i="1"/>
  <c r="AG486" i="1" s="1"/>
  <c r="AB487" i="1"/>
  <c r="AG487" i="1" s="1"/>
  <c r="AB488" i="1"/>
  <c r="AG488" i="1" s="1"/>
  <c r="AB489" i="1"/>
  <c r="AG489" i="1" s="1"/>
  <c r="AB490" i="1"/>
  <c r="AG490" i="1" s="1"/>
  <c r="AB491" i="1"/>
  <c r="AG491" i="1" s="1"/>
  <c r="AB492" i="1"/>
  <c r="AG492" i="1" s="1"/>
  <c r="AB493" i="1"/>
  <c r="AG493" i="1" s="1"/>
  <c r="AB494" i="1"/>
  <c r="AG494" i="1" s="1"/>
  <c r="AB495" i="1"/>
  <c r="AG495" i="1" s="1"/>
  <c r="AB496" i="1"/>
  <c r="AG496" i="1" s="1"/>
  <c r="AB497" i="1"/>
  <c r="AG497" i="1" s="1"/>
  <c r="AB498" i="1"/>
  <c r="AG498" i="1" s="1"/>
  <c r="AB499" i="1"/>
  <c r="AG499" i="1" s="1"/>
  <c r="AB500" i="1"/>
  <c r="AG500" i="1" s="1"/>
  <c r="AB501" i="1"/>
  <c r="AG501" i="1" s="1"/>
  <c r="AB502" i="1"/>
  <c r="AG502" i="1" s="1"/>
  <c r="AB503" i="1"/>
  <c r="AG503" i="1" s="1"/>
  <c r="AB504" i="1"/>
  <c r="AG504" i="1" s="1"/>
  <c r="AB505" i="1"/>
  <c r="AG505" i="1" s="1"/>
  <c r="AB506" i="1"/>
  <c r="AG506" i="1" s="1"/>
  <c r="AB507" i="1"/>
  <c r="AG507" i="1" s="1"/>
  <c r="AB508" i="1"/>
  <c r="AG508" i="1" s="1"/>
  <c r="AB509" i="1"/>
  <c r="AG509" i="1" s="1"/>
  <c r="AB510" i="1"/>
  <c r="AG510" i="1" s="1"/>
  <c r="AB511" i="1"/>
  <c r="AG511" i="1" s="1"/>
  <c r="AB512" i="1"/>
  <c r="AG512" i="1" s="1"/>
  <c r="AB513" i="1"/>
  <c r="AG513" i="1" s="1"/>
  <c r="AB514" i="1"/>
  <c r="AG514" i="1" s="1"/>
  <c r="AB515" i="1"/>
  <c r="AG515" i="1" s="1"/>
  <c r="AB516" i="1"/>
  <c r="AG516" i="1" s="1"/>
  <c r="AB517" i="1"/>
  <c r="AG517" i="1" s="1"/>
  <c r="AB518" i="1"/>
  <c r="AG518" i="1" s="1"/>
  <c r="AB519" i="1"/>
  <c r="AG519" i="1" s="1"/>
  <c r="AB520" i="1"/>
  <c r="AG520" i="1" s="1"/>
  <c r="AB521" i="1"/>
  <c r="AG521" i="1" s="1"/>
  <c r="AB522" i="1"/>
  <c r="AG522" i="1" s="1"/>
  <c r="AB523" i="1"/>
  <c r="AG523" i="1" s="1"/>
  <c r="AB524" i="1"/>
  <c r="AG524" i="1" s="1"/>
  <c r="AB525" i="1"/>
  <c r="AG525" i="1" s="1"/>
  <c r="AB526" i="1"/>
  <c r="AG526" i="1" s="1"/>
  <c r="AB527" i="1"/>
  <c r="AG527" i="1" s="1"/>
  <c r="AB528" i="1"/>
  <c r="AG528" i="1" s="1"/>
  <c r="AB529" i="1"/>
  <c r="AG529" i="1" s="1"/>
  <c r="AB530" i="1"/>
  <c r="AG530" i="1" s="1"/>
  <c r="AB531" i="1"/>
  <c r="AG531" i="1" s="1"/>
  <c r="AB532" i="1"/>
  <c r="AG532" i="1" s="1"/>
  <c r="AB533" i="1"/>
  <c r="AG533" i="1" s="1"/>
  <c r="AB534" i="1"/>
  <c r="AG534" i="1" s="1"/>
  <c r="AB535" i="1"/>
  <c r="AG535" i="1" s="1"/>
  <c r="AB536" i="1"/>
  <c r="AG536" i="1" s="1"/>
  <c r="AB537" i="1"/>
  <c r="AG537" i="1" s="1"/>
  <c r="AB538" i="1"/>
  <c r="AG538" i="1" s="1"/>
  <c r="AB539" i="1"/>
  <c r="AG539" i="1" s="1"/>
  <c r="AB540" i="1"/>
  <c r="AG540" i="1" s="1"/>
  <c r="AB541" i="1"/>
  <c r="AG541" i="1" s="1"/>
  <c r="AB542" i="1"/>
  <c r="AG542" i="1" s="1"/>
  <c r="AB543" i="1"/>
  <c r="AG543" i="1" s="1"/>
  <c r="AB544" i="1"/>
  <c r="AG544" i="1" s="1"/>
  <c r="AB545" i="1"/>
  <c r="AG545" i="1" s="1"/>
  <c r="AB546" i="1"/>
  <c r="AG546" i="1" s="1"/>
  <c r="AB547" i="1"/>
  <c r="AG547" i="1" s="1"/>
  <c r="AB548" i="1"/>
  <c r="AG548" i="1" s="1"/>
  <c r="AB549" i="1"/>
  <c r="AG549" i="1" s="1"/>
  <c r="AB550" i="1"/>
  <c r="AG550" i="1" s="1"/>
  <c r="AB551" i="1"/>
  <c r="AG551" i="1" s="1"/>
  <c r="AB552" i="1"/>
  <c r="AG552" i="1" s="1"/>
  <c r="AB553" i="1"/>
  <c r="AG553" i="1" s="1"/>
  <c r="AB554" i="1"/>
  <c r="AG554" i="1" s="1"/>
  <c r="AB555" i="1"/>
  <c r="AG555" i="1" s="1"/>
  <c r="AB556" i="1"/>
  <c r="AG556" i="1" s="1"/>
  <c r="AB557" i="1"/>
  <c r="AG557" i="1" s="1"/>
  <c r="AB558" i="1"/>
  <c r="AG558" i="1" s="1"/>
  <c r="AB559" i="1"/>
  <c r="AG559" i="1" s="1"/>
  <c r="AB560" i="1"/>
  <c r="AG560" i="1" s="1"/>
  <c r="AB561" i="1"/>
  <c r="AG561" i="1" s="1"/>
  <c r="AB562" i="1"/>
  <c r="AG562" i="1" s="1"/>
  <c r="AB563" i="1"/>
  <c r="AG563" i="1" s="1"/>
  <c r="AB564" i="1"/>
  <c r="AG564" i="1" s="1"/>
  <c r="AB565" i="1"/>
  <c r="AG565" i="1" s="1"/>
  <c r="AB566" i="1"/>
  <c r="AG566" i="1" s="1"/>
  <c r="AB567" i="1"/>
  <c r="AG567" i="1" s="1"/>
  <c r="FT512" i="1" l="1"/>
  <c r="FT432" i="1"/>
  <c r="FT332" i="1"/>
  <c r="FT232" i="1"/>
  <c r="FT152" i="1"/>
  <c r="FT12" i="1"/>
  <c r="FT552" i="1"/>
  <c r="FT472" i="1"/>
  <c r="FT372" i="1"/>
  <c r="FT292" i="1"/>
  <c r="FT212" i="1"/>
  <c r="FT132" i="1"/>
  <c r="FT52" i="1"/>
  <c r="FT532" i="1"/>
  <c r="FT452" i="1"/>
  <c r="FT392" i="1"/>
  <c r="FT312" i="1"/>
  <c r="FT252" i="1"/>
  <c r="FT172" i="1"/>
  <c r="FT92" i="1"/>
  <c r="FT32" i="1"/>
  <c r="FT492" i="1"/>
  <c r="FT412" i="1"/>
  <c r="FT352" i="1"/>
  <c r="FT272" i="1"/>
  <c r="FT192" i="1"/>
  <c r="FT112" i="1"/>
  <c r="FT72" i="1"/>
  <c r="FT267" i="1"/>
  <c r="FT247" i="1"/>
  <c r="FT187" i="1"/>
  <c r="FT127" i="1"/>
  <c r="FT557" i="1"/>
  <c r="FT537" i="1"/>
  <c r="FT517" i="1"/>
  <c r="FT497" i="1"/>
  <c r="FT477" i="1"/>
  <c r="FT457" i="1"/>
  <c r="FT437" i="1"/>
  <c r="FT417" i="1"/>
  <c r="FT397" i="1"/>
  <c r="FT377" i="1"/>
  <c r="FT357" i="1"/>
  <c r="FT337" i="1"/>
  <c r="FT317" i="1"/>
  <c r="FT297" i="1"/>
  <c r="FT277" i="1"/>
  <c r="FT257" i="1"/>
  <c r="FT237" i="1"/>
  <c r="FT217" i="1"/>
  <c r="FT197" i="1"/>
  <c r="FT177" i="1"/>
  <c r="FT157" i="1"/>
  <c r="FT137" i="1"/>
  <c r="FT117" i="1"/>
  <c r="FT97" i="1"/>
  <c r="FT77" i="1"/>
  <c r="FT57" i="1"/>
  <c r="FT37" i="1"/>
  <c r="FT17" i="1"/>
  <c r="FT567" i="1"/>
  <c r="FT547" i="1"/>
  <c r="FT527" i="1"/>
  <c r="FT507" i="1"/>
  <c r="FT447" i="1"/>
  <c r="FT287" i="1"/>
  <c r="FT167" i="1"/>
  <c r="FT147" i="1"/>
  <c r="FT107" i="1"/>
  <c r="FT566" i="1"/>
  <c r="FT506" i="1"/>
  <c r="FT446" i="1"/>
  <c r="FT386" i="1"/>
  <c r="FT326" i="1"/>
  <c r="FT266" i="1"/>
  <c r="FT186" i="1"/>
  <c r="FT106" i="1"/>
  <c r="FT6" i="1"/>
  <c r="FT526" i="1"/>
  <c r="FT486" i="1"/>
  <c r="FT426" i="1"/>
  <c r="FT366" i="1"/>
  <c r="FT306" i="1"/>
  <c r="FT246" i="1"/>
  <c r="FT206" i="1"/>
  <c r="FT146" i="1"/>
  <c r="FT86" i="1"/>
  <c r="FT46" i="1"/>
  <c r="FT565" i="1"/>
  <c r="FT545" i="1"/>
  <c r="FT485" i="1"/>
  <c r="FT544" i="1"/>
  <c r="FT504" i="1"/>
  <c r="FT464" i="1"/>
  <c r="FT424" i="1"/>
  <c r="FT384" i="1"/>
  <c r="FT344" i="1"/>
  <c r="FT304" i="1"/>
  <c r="FT264" i="1"/>
  <c r="FT224" i="1"/>
  <c r="FT184" i="1"/>
  <c r="FT144" i="1"/>
  <c r="FT104" i="1"/>
  <c r="FT64" i="1"/>
  <c r="FT24" i="1"/>
  <c r="FT546" i="1"/>
  <c r="FT466" i="1"/>
  <c r="FT406" i="1"/>
  <c r="FT346" i="1"/>
  <c r="FT286" i="1"/>
  <c r="FT226" i="1"/>
  <c r="FT166" i="1"/>
  <c r="FT126" i="1"/>
  <c r="FT66" i="1"/>
  <c r="FT26" i="1"/>
  <c r="FT525" i="1"/>
  <c r="FT505" i="1"/>
  <c r="FT564" i="1"/>
  <c r="FT524" i="1"/>
  <c r="FT484" i="1"/>
  <c r="FT444" i="1"/>
  <c r="FT404" i="1"/>
  <c r="FT364" i="1"/>
  <c r="FT324" i="1"/>
  <c r="FT284" i="1"/>
  <c r="FT244" i="1"/>
  <c r="FT204" i="1"/>
  <c r="FT164" i="1"/>
  <c r="FT124" i="1"/>
  <c r="FT84" i="1"/>
  <c r="FT44" i="1"/>
  <c r="FT4" i="1"/>
  <c r="FI558" i="1"/>
  <c r="FI538" i="1"/>
  <c r="FI518" i="1"/>
  <c r="FI498" i="1"/>
  <c r="FI478" i="1"/>
  <c r="FI458" i="1"/>
  <c r="FI438" i="1"/>
  <c r="FI418" i="1"/>
  <c r="FI398" i="1"/>
  <c r="FI378" i="1"/>
  <c r="FI358" i="1"/>
  <c r="FI338" i="1"/>
  <c r="FI318" i="1"/>
  <c r="FI298" i="1"/>
  <c r="FI278" i="1"/>
  <c r="FI258" i="1"/>
  <c r="FI238" i="1"/>
  <c r="FI218" i="1"/>
  <c r="FI198" i="1"/>
  <c r="FI178" i="1"/>
  <c r="FI158" i="1"/>
  <c r="FI138" i="1"/>
  <c r="FI118" i="1"/>
  <c r="FI98" i="1"/>
  <c r="FI78" i="1"/>
  <c r="FI58" i="1"/>
  <c r="FI38" i="1"/>
  <c r="FI18" i="1"/>
  <c r="FT553" i="1"/>
  <c r="FT533" i="1"/>
  <c r="FT513" i="1"/>
  <c r="FT493" i="1"/>
  <c r="FT473" i="1"/>
  <c r="FT453" i="1"/>
  <c r="FT433" i="1"/>
  <c r="FT413" i="1"/>
  <c r="FT393" i="1"/>
  <c r="FT373" i="1"/>
  <c r="FT353" i="1"/>
  <c r="FT333" i="1"/>
  <c r="FT313" i="1"/>
  <c r="FT293" i="1"/>
  <c r="FT273" i="1"/>
  <c r="FT253" i="1"/>
  <c r="FT233" i="1"/>
  <c r="FT213" i="1"/>
  <c r="FT193" i="1"/>
  <c r="FT173" i="1"/>
  <c r="FT153" i="1"/>
  <c r="FT133" i="1"/>
  <c r="FT113" i="1"/>
  <c r="FT93" i="1"/>
  <c r="FT73" i="1"/>
  <c r="FT53" i="1"/>
  <c r="FT33" i="1"/>
  <c r="FT13" i="1"/>
  <c r="FT550" i="1"/>
  <c r="FT530" i="1"/>
  <c r="FT510" i="1"/>
  <c r="FT490" i="1"/>
  <c r="FT470" i="1"/>
  <c r="FT450" i="1"/>
  <c r="FT430" i="1"/>
  <c r="FT410" i="1"/>
  <c r="FT390" i="1"/>
  <c r="FT370" i="1"/>
  <c r="FT350" i="1"/>
  <c r="FT330" i="1"/>
  <c r="FT310" i="1"/>
  <c r="FT290" i="1"/>
  <c r="FT270" i="1"/>
  <c r="FT250" i="1"/>
  <c r="FT230" i="1"/>
  <c r="FT210" i="1"/>
  <c r="FT190" i="1"/>
  <c r="FT170" i="1"/>
  <c r="FT150" i="1"/>
  <c r="FT130" i="1"/>
  <c r="FT110" i="1"/>
  <c r="FT90" i="1"/>
  <c r="FT70" i="1"/>
  <c r="FT50" i="1"/>
  <c r="FT30" i="1"/>
  <c r="FT10" i="1"/>
  <c r="FT549" i="1"/>
  <c r="FT529" i="1"/>
  <c r="FT509" i="1"/>
  <c r="FT489" i="1"/>
  <c r="FT469" i="1"/>
  <c r="FT449" i="1"/>
  <c r="FT429" i="1"/>
  <c r="FT409" i="1"/>
  <c r="FT389" i="1"/>
  <c r="FT369" i="1"/>
  <c r="FT349" i="1"/>
  <c r="FT329" i="1"/>
  <c r="FT309" i="1"/>
  <c r="FT289" i="1"/>
  <c r="FT269" i="1"/>
  <c r="FT249" i="1"/>
  <c r="FT229" i="1"/>
  <c r="FT209" i="1"/>
  <c r="FT189" i="1"/>
  <c r="FT169" i="1"/>
  <c r="FT149" i="1"/>
  <c r="FT129" i="1"/>
  <c r="FT109" i="1"/>
  <c r="FT89" i="1"/>
  <c r="FT69" i="1"/>
  <c r="FT49" i="1"/>
  <c r="FT29" i="1"/>
  <c r="FT9" i="1"/>
  <c r="FT556" i="1"/>
  <c r="FT536" i="1"/>
  <c r="FT516" i="1"/>
  <c r="FT496" i="1"/>
  <c r="FT476" i="1"/>
  <c r="FT456" i="1"/>
  <c r="FT436" i="1"/>
  <c r="FT416" i="1"/>
  <c r="FT396" i="1"/>
  <c r="FT376" i="1"/>
  <c r="FT356" i="1"/>
  <c r="FT336" i="1"/>
  <c r="FT316" i="1"/>
  <c r="FT296" i="1"/>
  <c r="FT276" i="1"/>
  <c r="FT256" i="1"/>
  <c r="FT236" i="1"/>
  <c r="FT216" i="1"/>
  <c r="FT196" i="1"/>
  <c r="FT176" i="1"/>
  <c r="FT156" i="1"/>
  <c r="FT136" i="1"/>
  <c r="FT116" i="1"/>
  <c r="FT96" i="1"/>
  <c r="FT76" i="1"/>
  <c r="FT56" i="1"/>
  <c r="FT36" i="1"/>
  <c r="FT16" i="1"/>
  <c r="FT558" i="1"/>
  <c r="FT538" i="1"/>
  <c r="FT518" i="1"/>
  <c r="FT498" i="1"/>
  <c r="FT478" i="1"/>
  <c r="FT458" i="1"/>
  <c r="FT438" i="1"/>
  <c r="FT418" i="1"/>
  <c r="FT398" i="1"/>
  <c r="FT378" i="1"/>
  <c r="FT358" i="1"/>
  <c r="FT338" i="1"/>
  <c r="FT318" i="1"/>
  <c r="FT298" i="1"/>
  <c r="FT278" i="1"/>
  <c r="FT258" i="1"/>
  <c r="FT238" i="1"/>
  <c r="FT218" i="1"/>
  <c r="FT198" i="1"/>
  <c r="FT178" i="1"/>
  <c r="FT551" i="1"/>
  <c r="FT531" i="1"/>
  <c r="FT511" i="1"/>
  <c r="FT491" i="1"/>
  <c r="FT471" i="1"/>
  <c r="FT451" i="1"/>
  <c r="FT431" i="1"/>
  <c r="FT411" i="1"/>
  <c r="FT391" i="1"/>
  <c r="FT371" i="1"/>
  <c r="FT351" i="1"/>
  <c r="FT331" i="1"/>
  <c r="FT311" i="1"/>
  <c r="FT291" i="1"/>
  <c r="FT271" i="1"/>
  <c r="FT251" i="1"/>
  <c r="FT231" i="1"/>
  <c r="FT211" i="1"/>
  <c r="FT191" i="1"/>
  <c r="FT171" i="1"/>
  <c r="FT151" i="1"/>
  <c r="FT131" i="1"/>
  <c r="FT111" i="1"/>
  <c r="FT91" i="1"/>
  <c r="FT71" i="1"/>
  <c r="FT51" i="1"/>
  <c r="FT31" i="1"/>
  <c r="FT11" i="1"/>
  <c r="FT487" i="1"/>
  <c r="FT467" i="1"/>
  <c r="FT427" i="1"/>
  <c r="FT407" i="1"/>
  <c r="FT387" i="1"/>
  <c r="FT367" i="1"/>
  <c r="FT347" i="1"/>
  <c r="FT327" i="1"/>
  <c r="FT307" i="1"/>
  <c r="FT227" i="1"/>
  <c r="FT207" i="1"/>
  <c r="FT87" i="1"/>
  <c r="FT67" i="1"/>
  <c r="FT27" i="1"/>
  <c r="FT7" i="1"/>
  <c r="FT555" i="1"/>
  <c r="FT535" i="1"/>
  <c r="FT515" i="1"/>
  <c r="FT495" i="1"/>
  <c r="FT475" i="1"/>
  <c r="FT455" i="1"/>
  <c r="FT435" i="1"/>
  <c r="FT415" i="1"/>
  <c r="FT395" i="1"/>
  <c r="FT375" i="1"/>
  <c r="FT355" i="1"/>
  <c r="FT335" i="1"/>
  <c r="FT315" i="1"/>
  <c r="FT295" i="1"/>
  <c r="FT275" i="1"/>
  <c r="FT255" i="1"/>
  <c r="FT235" i="1"/>
  <c r="FT215" i="1"/>
  <c r="FT195" i="1"/>
  <c r="FT175" i="1"/>
  <c r="FT155" i="1"/>
  <c r="FT135" i="1"/>
  <c r="FT115" i="1"/>
  <c r="FT95" i="1"/>
  <c r="FT75" i="1"/>
  <c r="FT55" i="1"/>
  <c r="FT35" i="1"/>
  <c r="FT15" i="1"/>
  <c r="FI559" i="1"/>
  <c r="FI539" i="1"/>
  <c r="FI519" i="1"/>
  <c r="FI499" i="1"/>
  <c r="FI479" i="1"/>
  <c r="FI459" i="1"/>
  <c r="FI439" i="1"/>
  <c r="FI419" i="1"/>
  <c r="FI399" i="1"/>
  <c r="FI379" i="1"/>
  <c r="FI359" i="1"/>
  <c r="FI339" i="1"/>
  <c r="FI319" i="1"/>
  <c r="FI299" i="1"/>
  <c r="FI279" i="1"/>
  <c r="FI259" i="1"/>
  <c r="FI239" i="1"/>
  <c r="FI219" i="1"/>
  <c r="FI199" i="1"/>
  <c r="FI179" i="1"/>
  <c r="FI159" i="1"/>
  <c r="FI139" i="1"/>
  <c r="FI119" i="1"/>
  <c r="FI99" i="1"/>
  <c r="FI79" i="1"/>
  <c r="FI59" i="1"/>
  <c r="FI39" i="1"/>
  <c r="FI19" i="1"/>
  <c r="FT554" i="1"/>
  <c r="FT534" i="1"/>
  <c r="FT514" i="1"/>
  <c r="FT494" i="1"/>
  <c r="FT474" i="1"/>
  <c r="FT454" i="1"/>
  <c r="FT434" i="1"/>
  <c r="FT414" i="1"/>
  <c r="FT394" i="1"/>
  <c r="FT374" i="1"/>
  <c r="FT354" i="1"/>
  <c r="FT334" i="1"/>
  <c r="FT314" i="1"/>
  <c r="FT294" i="1"/>
  <c r="FT274" i="1"/>
  <c r="FT254" i="1"/>
  <c r="FT234" i="1"/>
  <c r="FT214" i="1"/>
  <c r="FT194" i="1"/>
  <c r="FT174" i="1"/>
  <c r="FT154" i="1"/>
  <c r="FT134" i="1"/>
  <c r="FT114" i="1"/>
  <c r="FT94" i="1"/>
  <c r="FT74" i="1"/>
  <c r="FT54" i="1"/>
  <c r="FT34" i="1"/>
  <c r="FT14" i="1"/>
  <c r="FT48" i="1"/>
  <c r="FT28" i="1"/>
  <c r="FT8" i="1"/>
  <c r="FT465" i="1"/>
  <c r="FT445" i="1"/>
  <c r="FT425" i="1"/>
  <c r="FT405" i="1"/>
  <c r="FT385" i="1"/>
  <c r="FT365" i="1"/>
  <c r="FT345" i="1"/>
  <c r="FT325" i="1"/>
  <c r="FT305" i="1"/>
  <c r="FT285" i="1"/>
  <c r="FT265" i="1"/>
  <c r="FT245" i="1"/>
  <c r="FT225" i="1"/>
  <c r="FT205" i="1"/>
  <c r="FT185" i="1"/>
  <c r="FT165" i="1"/>
  <c r="FT145" i="1"/>
  <c r="FT125" i="1"/>
  <c r="FT105" i="1"/>
  <c r="FT85" i="1"/>
  <c r="FT65" i="1"/>
  <c r="FT45" i="1"/>
  <c r="FT25" i="1"/>
  <c r="FT5" i="1"/>
  <c r="FT563" i="1"/>
  <c r="FT543" i="1"/>
  <c r="FT523" i="1"/>
  <c r="FT503" i="1"/>
  <c r="FT483" i="1"/>
  <c r="FT463" i="1"/>
  <c r="FT443" i="1"/>
  <c r="FT423" i="1"/>
  <c r="FT403" i="1"/>
  <c r="FT383" i="1"/>
  <c r="FT363" i="1"/>
  <c r="FT343" i="1"/>
  <c r="FT323" i="1"/>
  <c r="FT303" i="1"/>
  <c r="FT283" i="1"/>
  <c r="FT263" i="1"/>
  <c r="FT243" i="1"/>
  <c r="FT223" i="1"/>
  <c r="FT203" i="1"/>
  <c r="FT183" i="1"/>
  <c r="FT163" i="1"/>
  <c r="FT143" i="1"/>
  <c r="FT123" i="1"/>
  <c r="FT103" i="1"/>
  <c r="FT83" i="1"/>
  <c r="FT63" i="1"/>
  <c r="FT43" i="1"/>
  <c r="FT23" i="1"/>
  <c r="FT3" i="1"/>
  <c r="FT548" i="1"/>
  <c r="FT528" i="1"/>
  <c r="FT508" i="1"/>
  <c r="FT488" i="1"/>
  <c r="FT468" i="1"/>
  <c r="FT448" i="1"/>
  <c r="FT428" i="1"/>
  <c r="FT408" i="1"/>
  <c r="FT388" i="1"/>
  <c r="FT368" i="1"/>
  <c r="FT348" i="1"/>
  <c r="FT328" i="1"/>
  <c r="FT308" i="1"/>
  <c r="FT288" i="1"/>
  <c r="FT268" i="1"/>
  <c r="FT248" i="1"/>
  <c r="FT228" i="1"/>
  <c r="FT208" i="1"/>
  <c r="FT188" i="1"/>
  <c r="FT168" i="1"/>
  <c r="FT148" i="1"/>
  <c r="FT128" i="1"/>
  <c r="FT108" i="1"/>
  <c r="FT88" i="1"/>
  <c r="FT68" i="1"/>
  <c r="FT562" i="1"/>
  <c r="FT542" i="1"/>
  <c r="FT522" i="1"/>
  <c r="FT502" i="1"/>
  <c r="FT482" i="1"/>
  <c r="FT462" i="1"/>
  <c r="FT442" i="1"/>
  <c r="FT422" i="1"/>
  <c r="FT402" i="1"/>
  <c r="FT382" i="1"/>
  <c r="FT362" i="1"/>
  <c r="FT342" i="1"/>
  <c r="FT322" i="1"/>
  <c r="FT302" i="1"/>
  <c r="FT282" i="1"/>
  <c r="FT262" i="1"/>
  <c r="FT242" i="1"/>
  <c r="FT222" i="1"/>
  <c r="FT202" i="1"/>
  <c r="FT182" i="1"/>
  <c r="FT162" i="1"/>
  <c r="FT142" i="1"/>
  <c r="FT122" i="1"/>
  <c r="FT102" i="1"/>
  <c r="FT82" i="1"/>
  <c r="FT62" i="1"/>
  <c r="FT42" i="1"/>
  <c r="FT22" i="1"/>
  <c r="FT561" i="1"/>
  <c r="FT541" i="1"/>
  <c r="FT521" i="1"/>
  <c r="FT501" i="1"/>
  <c r="FT481" i="1"/>
  <c r="FT461" i="1"/>
  <c r="FT441" i="1"/>
  <c r="FT421" i="1"/>
  <c r="FT401" i="1"/>
  <c r="FT381" i="1"/>
  <c r="FT361" i="1"/>
  <c r="FT341" i="1"/>
  <c r="FT321" i="1"/>
  <c r="FT301" i="1"/>
  <c r="FT281" i="1"/>
  <c r="FT261" i="1"/>
  <c r="FT241" i="1"/>
  <c r="FT221" i="1"/>
  <c r="FT201" i="1"/>
  <c r="FT181" i="1"/>
  <c r="FT161" i="1"/>
  <c r="FT141" i="1"/>
  <c r="FT121" i="1"/>
  <c r="FT101" i="1"/>
  <c r="FT81" i="1"/>
  <c r="FT61" i="1"/>
  <c r="FT41" i="1"/>
  <c r="FT21" i="1"/>
  <c r="FT560" i="1"/>
  <c r="FT540" i="1"/>
  <c r="FT520" i="1"/>
  <c r="FT500" i="1"/>
  <c r="FT480" i="1"/>
  <c r="FT460" i="1"/>
  <c r="FT440" i="1"/>
  <c r="FT420" i="1"/>
  <c r="FT400" i="1"/>
  <c r="FT380" i="1"/>
  <c r="FT360" i="1"/>
  <c r="FT340" i="1"/>
  <c r="FT320" i="1"/>
  <c r="FT300" i="1"/>
  <c r="FT280" i="1"/>
  <c r="FT260" i="1"/>
  <c r="FT240" i="1"/>
  <c r="FT220" i="1"/>
  <c r="FT200" i="1"/>
  <c r="FT180" i="1"/>
  <c r="FT160" i="1"/>
  <c r="FT140" i="1"/>
  <c r="FT120" i="1"/>
  <c r="FT100" i="1"/>
  <c r="FT80" i="1"/>
  <c r="FT60" i="1"/>
  <c r="FT40" i="1"/>
  <c r="FT20" i="1"/>
  <c r="FT559" i="1"/>
  <c r="FT539" i="1"/>
  <c r="FT519" i="1"/>
  <c r="FT499" i="1"/>
  <c r="FT479" i="1"/>
  <c r="FT459" i="1"/>
  <c r="FT439" i="1"/>
  <c r="FT419" i="1"/>
  <c r="FT399" i="1"/>
  <c r="FT379" i="1"/>
  <c r="FT359" i="1"/>
  <c r="FT339" i="1"/>
  <c r="FT319" i="1"/>
  <c r="FT299" i="1"/>
  <c r="FT279" i="1"/>
  <c r="FT259" i="1"/>
  <c r="FT239" i="1"/>
  <c r="FT219" i="1"/>
  <c r="FT199" i="1"/>
  <c r="FT179" i="1"/>
  <c r="FT159" i="1"/>
  <c r="FT139" i="1"/>
  <c r="FT119" i="1"/>
  <c r="FT99" i="1"/>
  <c r="FT79" i="1"/>
  <c r="FT59" i="1"/>
  <c r="FT39" i="1"/>
  <c r="FT19" i="1"/>
  <c r="FI556" i="1"/>
  <c r="FI536" i="1"/>
  <c r="FI516" i="1"/>
  <c r="FI496" i="1"/>
  <c r="FI476" i="1"/>
  <c r="FI456" i="1"/>
  <c r="FI436" i="1"/>
  <c r="FI416" i="1"/>
  <c r="FI396" i="1"/>
  <c r="FI376" i="1"/>
  <c r="FI356" i="1"/>
  <c r="FI551" i="1"/>
  <c r="FI531" i="1"/>
  <c r="FI511" i="1"/>
  <c r="FI491" i="1"/>
  <c r="FI471" i="1"/>
  <c r="FI451" i="1"/>
  <c r="FI431" i="1"/>
  <c r="FI411" i="1"/>
  <c r="FI391" i="1"/>
  <c r="FI371" i="1"/>
  <c r="FI351" i="1"/>
  <c r="FI331" i="1"/>
  <c r="FI311" i="1"/>
  <c r="FI291" i="1"/>
  <c r="FI271" i="1"/>
  <c r="FI251" i="1"/>
  <c r="FI231" i="1"/>
  <c r="FI211" i="1"/>
  <c r="FI191" i="1"/>
  <c r="FI171" i="1"/>
  <c r="FI151" i="1"/>
  <c r="FI131" i="1"/>
  <c r="FI111" i="1"/>
  <c r="FI91" i="1"/>
  <c r="FI71" i="1"/>
  <c r="FI548" i="1"/>
  <c r="FI528" i="1"/>
  <c r="FI508" i="1"/>
  <c r="FI488" i="1"/>
  <c r="FI468" i="1"/>
  <c r="FI428" i="1"/>
  <c r="FI408" i="1"/>
  <c r="FI368" i="1"/>
  <c r="FI328" i="1"/>
  <c r="FI308" i="1"/>
  <c r="FI288" i="1"/>
  <c r="FI248" i="1"/>
  <c r="FI228" i="1"/>
  <c r="FI188" i="1"/>
  <c r="FI168" i="1"/>
  <c r="FI148" i="1"/>
  <c r="FI128" i="1"/>
  <c r="FI108" i="1"/>
  <c r="FI88" i="1"/>
  <c r="FI68" i="1"/>
  <c r="FI28" i="1"/>
  <c r="FI567" i="1"/>
  <c r="FI547" i="1"/>
  <c r="FI527" i="1"/>
  <c r="FI507" i="1"/>
  <c r="FI487" i="1"/>
  <c r="FI467" i="1"/>
  <c r="FI447" i="1"/>
  <c r="FI427" i="1"/>
  <c r="FI407" i="1"/>
  <c r="FI387" i="1"/>
  <c r="FI367" i="1"/>
  <c r="FI347" i="1"/>
  <c r="FI327" i="1"/>
  <c r="FI307" i="1"/>
  <c r="FI287" i="1"/>
  <c r="FI267" i="1"/>
  <c r="FI247" i="1"/>
  <c r="FI227" i="1"/>
  <c r="FI207" i="1"/>
  <c r="FI187" i="1"/>
  <c r="FI167" i="1"/>
  <c r="FI147" i="1"/>
  <c r="FI127" i="1"/>
  <c r="FI107" i="1"/>
  <c r="FI87" i="1"/>
  <c r="FI67" i="1"/>
  <c r="FI47" i="1"/>
  <c r="FI27" i="1"/>
  <c r="FI7" i="1"/>
  <c r="FI566" i="1"/>
  <c r="FI546" i="1"/>
  <c r="FI526" i="1"/>
  <c r="FI506" i="1"/>
  <c r="FI486" i="1"/>
  <c r="FI466" i="1"/>
  <c r="FI446" i="1"/>
  <c r="FI426" i="1"/>
  <c r="FI406" i="1"/>
  <c r="FI386" i="1"/>
  <c r="FI366" i="1"/>
  <c r="FI346" i="1"/>
  <c r="FI326" i="1"/>
  <c r="FI306" i="1"/>
  <c r="FI286" i="1"/>
  <c r="FI266" i="1"/>
  <c r="FI246" i="1"/>
  <c r="FI226" i="1"/>
  <c r="FI206" i="1"/>
  <c r="FI186" i="1"/>
  <c r="FI166" i="1"/>
  <c r="FI146" i="1"/>
  <c r="FI126" i="1"/>
  <c r="FI106" i="1"/>
  <c r="FI86" i="1"/>
  <c r="FI66" i="1"/>
  <c r="FI46" i="1"/>
  <c r="FI26" i="1"/>
  <c r="FI6" i="1"/>
  <c r="FI525" i="1"/>
  <c r="FI505" i="1"/>
  <c r="FI485" i="1"/>
  <c r="FI465" i="1"/>
  <c r="FI445" i="1"/>
  <c r="FI425" i="1"/>
  <c r="FI405" i="1"/>
  <c r="FI385" i="1"/>
  <c r="FI365" i="1"/>
  <c r="FI345" i="1"/>
  <c r="FI325" i="1"/>
  <c r="FI305" i="1"/>
  <c r="FI285" i="1"/>
  <c r="FI265" i="1"/>
  <c r="FI245" i="1"/>
  <c r="FI225" i="1"/>
  <c r="FI205" i="1"/>
  <c r="FI185" i="1"/>
  <c r="FI165" i="1"/>
  <c r="FI145" i="1"/>
  <c r="FI125" i="1"/>
  <c r="FI105" i="1"/>
  <c r="FI85" i="1"/>
  <c r="FI65" i="1"/>
  <c r="FI45" i="1"/>
  <c r="FI25" i="1"/>
  <c r="FI5" i="1"/>
  <c r="FI561" i="1"/>
  <c r="FI541" i="1"/>
  <c r="FI521" i="1"/>
  <c r="FI501" i="1"/>
  <c r="FI481" i="1"/>
  <c r="FI461" i="1"/>
  <c r="FI441" i="1"/>
  <c r="FI421" i="1"/>
  <c r="FI401" i="1"/>
  <c r="FI268" i="1"/>
  <c r="FI557" i="1"/>
  <c r="FI537" i="1"/>
  <c r="FI517" i="1"/>
  <c r="FI497" i="1"/>
  <c r="FI477" i="1"/>
  <c r="FI457" i="1"/>
  <c r="FI437" i="1"/>
  <c r="FI417" i="1"/>
  <c r="FI397" i="1"/>
  <c r="FI377" i="1"/>
  <c r="FI357" i="1"/>
  <c r="FI337" i="1"/>
  <c r="FI317" i="1"/>
  <c r="FI297" i="1"/>
  <c r="FI277" i="1"/>
  <c r="FI257" i="1"/>
  <c r="FI237" i="1"/>
  <c r="FI217" i="1"/>
  <c r="FI197" i="1"/>
  <c r="FI177" i="1"/>
  <c r="FI157" i="1"/>
  <c r="FI137" i="1"/>
  <c r="FI117" i="1"/>
  <c r="FI97" i="1"/>
  <c r="FI77" i="1"/>
  <c r="FI57" i="1"/>
  <c r="FI37" i="1"/>
  <c r="FI17" i="1"/>
  <c r="FI336" i="1"/>
  <c r="FI316" i="1"/>
  <c r="FI296" i="1"/>
  <c r="FI276" i="1"/>
  <c r="FI256" i="1"/>
  <c r="FI236" i="1"/>
  <c r="FI216" i="1"/>
  <c r="FI196" i="1"/>
  <c r="FI176" i="1"/>
  <c r="FI156" i="1"/>
  <c r="FI136" i="1"/>
  <c r="FI116" i="1"/>
  <c r="FI96" i="1"/>
  <c r="FI76" i="1"/>
  <c r="FI56" i="1"/>
  <c r="FI36" i="1"/>
  <c r="FI16" i="1"/>
  <c r="EX560" i="1"/>
  <c r="EX540" i="1"/>
  <c r="EX520" i="1"/>
  <c r="EX500" i="1"/>
  <c r="EX480" i="1"/>
  <c r="EX460" i="1"/>
  <c r="EX440" i="1"/>
  <c r="EX420" i="1"/>
  <c r="EX400" i="1"/>
  <c r="EX380" i="1"/>
  <c r="EX360" i="1"/>
  <c r="EX340" i="1"/>
  <c r="EX320" i="1"/>
  <c r="EX300" i="1"/>
  <c r="EX280" i="1"/>
  <c r="FI555" i="1"/>
  <c r="FI535" i="1"/>
  <c r="FI515" i="1"/>
  <c r="FI495" i="1"/>
  <c r="FI475" i="1"/>
  <c r="FI455" i="1"/>
  <c r="FI435" i="1"/>
  <c r="FI415" i="1"/>
  <c r="FI395" i="1"/>
  <c r="FI375" i="1"/>
  <c r="FI355" i="1"/>
  <c r="FI335" i="1"/>
  <c r="FI315" i="1"/>
  <c r="FI295" i="1"/>
  <c r="FI275" i="1"/>
  <c r="FI255" i="1"/>
  <c r="FI235" i="1"/>
  <c r="FI215" i="1"/>
  <c r="FI195" i="1"/>
  <c r="FI175" i="1"/>
  <c r="FI155" i="1"/>
  <c r="FI135" i="1"/>
  <c r="FI115" i="1"/>
  <c r="FI95" i="1"/>
  <c r="FI75" i="1"/>
  <c r="FI55" i="1"/>
  <c r="FI35" i="1"/>
  <c r="FI15" i="1"/>
  <c r="EX558" i="1"/>
  <c r="EX538" i="1"/>
  <c r="EX518" i="1"/>
  <c r="EX498" i="1"/>
  <c r="EX478" i="1"/>
  <c r="EX458" i="1"/>
  <c r="EX438" i="1"/>
  <c r="EX418" i="1"/>
  <c r="FI553" i="1"/>
  <c r="FI533" i="1"/>
  <c r="FI513" i="1"/>
  <c r="FI493" i="1"/>
  <c r="FI473" i="1"/>
  <c r="FI453" i="1"/>
  <c r="FI433" i="1"/>
  <c r="FI413" i="1"/>
  <c r="FI393" i="1"/>
  <c r="FI373" i="1"/>
  <c r="FI353" i="1"/>
  <c r="FI333" i="1"/>
  <c r="FI313" i="1"/>
  <c r="FI293" i="1"/>
  <c r="FI273" i="1"/>
  <c r="FI253" i="1"/>
  <c r="FI552" i="1"/>
  <c r="FI532" i="1"/>
  <c r="FI512" i="1"/>
  <c r="FI492" i="1"/>
  <c r="FI472" i="1"/>
  <c r="FI452" i="1"/>
  <c r="FI432" i="1"/>
  <c r="FI412" i="1"/>
  <c r="FI392" i="1"/>
  <c r="FI51" i="1"/>
  <c r="FI31" i="1"/>
  <c r="FI11" i="1"/>
  <c r="EX350" i="1"/>
  <c r="FI448" i="1"/>
  <c r="FI388" i="1"/>
  <c r="FI348" i="1"/>
  <c r="FI208" i="1"/>
  <c r="FI48" i="1"/>
  <c r="FI8" i="1"/>
  <c r="FI562" i="1"/>
  <c r="FI542" i="1"/>
  <c r="FI522" i="1"/>
  <c r="FI502" i="1"/>
  <c r="FI482" i="1"/>
  <c r="FI462" i="1"/>
  <c r="FI442" i="1"/>
  <c r="FI422" i="1"/>
  <c r="FI402" i="1"/>
  <c r="FI382" i="1"/>
  <c r="FI362" i="1"/>
  <c r="FI342" i="1"/>
  <c r="FI322" i="1"/>
  <c r="FI302" i="1"/>
  <c r="FI282" i="1"/>
  <c r="FI262" i="1"/>
  <c r="FI242" i="1"/>
  <c r="FI222" i="1"/>
  <c r="FI202" i="1"/>
  <c r="FI182" i="1"/>
  <c r="FI162" i="1"/>
  <c r="FI142" i="1"/>
  <c r="FI122" i="1"/>
  <c r="FI102" i="1"/>
  <c r="FI82" i="1"/>
  <c r="FI62" i="1"/>
  <c r="FI42" i="1"/>
  <c r="FI22" i="1"/>
  <c r="EX260" i="1"/>
  <c r="EX240" i="1"/>
  <c r="EX220" i="1"/>
  <c r="EX200" i="1"/>
  <c r="EX180" i="1"/>
  <c r="EX160" i="1"/>
  <c r="EX140" i="1"/>
  <c r="EX120" i="1"/>
  <c r="EX100" i="1"/>
  <c r="EX80" i="1"/>
  <c r="EX60" i="1"/>
  <c r="EX40" i="1"/>
  <c r="EX20" i="1"/>
  <c r="FI554" i="1"/>
  <c r="FI534" i="1"/>
  <c r="FI514" i="1"/>
  <c r="FI494" i="1"/>
  <c r="FI474" i="1"/>
  <c r="FI454" i="1"/>
  <c r="FI434" i="1"/>
  <c r="FI414" i="1"/>
  <c r="FI394" i="1"/>
  <c r="FI374" i="1"/>
  <c r="FI354" i="1"/>
  <c r="FI334" i="1"/>
  <c r="FI314" i="1"/>
  <c r="FI294" i="1"/>
  <c r="FI274" i="1"/>
  <c r="FI254" i="1"/>
  <c r="FI234" i="1"/>
  <c r="FI214" i="1"/>
  <c r="FI194" i="1"/>
  <c r="FI174" i="1"/>
  <c r="FI154" i="1"/>
  <c r="FI134" i="1"/>
  <c r="FI114" i="1"/>
  <c r="FI94" i="1"/>
  <c r="FI74" i="1"/>
  <c r="FI54" i="1"/>
  <c r="FI34" i="1"/>
  <c r="FI14" i="1"/>
  <c r="EX398" i="1"/>
  <c r="EX378" i="1"/>
  <c r="EX358" i="1"/>
  <c r="EX338" i="1"/>
  <c r="EX318" i="1"/>
  <c r="EX298" i="1"/>
  <c r="EX278" i="1"/>
  <c r="EX258" i="1"/>
  <c r="EX238" i="1"/>
  <c r="EX218" i="1"/>
  <c r="EX198" i="1"/>
  <c r="EX178" i="1"/>
  <c r="EX158" i="1"/>
  <c r="EX138" i="1"/>
  <c r="EX118" i="1"/>
  <c r="EX98" i="1"/>
  <c r="EX78" i="1"/>
  <c r="EX58" i="1"/>
  <c r="EX38" i="1"/>
  <c r="EX18" i="1"/>
  <c r="FI233" i="1"/>
  <c r="FI213" i="1"/>
  <c r="FI193" i="1"/>
  <c r="FI173" i="1"/>
  <c r="FI153" i="1"/>
  <c r="FI133" i="1"/>
  <c r="FI113" i="1"/>
  <c r="FI93" i="1"/>
  <c r="FI73" i="1"/>
  <c r="FI53" i="1"/>
  <c r="FI33" i="1"/>
  <c r="FI13" i="1"/>
  <c r="FI372" i="1"/>
  <c r="FI352" i="1"/>
  <c r="FI332" i="1"/>
  <c r="FI312" i="1"/>
  <c r="FI292" i="1"/>
  <c r="FI272" i="1"/>
  <c r="FI252" i="1"/>
  <c r="FI232" i="1"/>
  <c r="FI212" i="1"/>
  <c r="FI192" i="1"/>
  <c r="FI172" i="1"/>
  <c r="FI152" i="1"/>
  <c r="FI132" i="1"/>
  <c r="FI112" i="1"/>
  <c r="FI92" i="1"/>
  <c r="FI72" i="1"/>
  <c r="FI52" i="1"/>
  <c r="FI32" i="1"/>
  <c r="FI12" i="1"/>
  <c r="FI550" i="1"/>
  <c r="FI530" i="1"/>
  <c r="FI510" i="1"/>
  <c r="FI490" i="1"/>
  <c r="FI470" i="1"/>
  <c r="FI450" i="1"/>
  <c r="FI430" i="1"/>
  <c r="FI410" i="1"/>
  <c r="FI390" i="1"/>
  <c r="FI370" i="1"/>
  <c r="FI350" i="1"/>
  <c r="FI330" i="1"/>
  <c r="FI310" i="1"/>
  <c r="FI290" i="1"/>
  <c r="FI270" i="1"/>
  <c r="FI250" i="1"/>
  <c r="FI230" i="1"/>
  <c r="FI210" i="1"/>
  <c r="FI190" i="1"/>
  <c r="FI170" i="1"/>
  <c r="FI150" i="1"/>
  <c r="FI130" i="1"/>
  <c r="FI110" i="1"/>
  <c r="FI90" i="1"/>
  <c r="FI70" i="1"/>
  <c r="FI50" i="1"/>
  <c r="FI30" i="1"/>
  <c r="FI10" i="1"/>
  <c r="FI549" i="1"/>
  <c r="FI529" i="1"/>
  <c r="FI509" i="1"/>
  <c r="FI489" i="1"/>
  <c r="FI469" i="1"/>
  <c r="FI449" i="1"/>
  <c r="FI429" i="1"/>
  <c r="FI409" i="1"/>
  <c r="FI389" i="1"/>
  <c r="FI369" i="1"/>
  <c r="FI349" i="1"/>
  <c r="FI329" i="1"/>
  <c r="FI309" i="1"/>
  <c r="FI289" i="1"/>
  <c r="FI269" i="1"/>
  <c r="FI249" i="1"/>
  <c r="FI229" i="1"/>
  <c r="FI209" i="1"/>
  <c r="FI189" i="1"/>
  <c r="FI169" i="1"/>
  <c r="FI149" i="1"/>
  <c r="FI129" i="1"/>
  <c r="FI109" i="1"/>
  <c r="FI89" i="1"/>
  <c r="FI69" i="1"/>
  <c r="FI49" i="1"/>
  <c r="FI29" i="1"/>
  <c r="FI9" i="1"/>
  <c r="FI564" i="1"/>
  <c r="FI544" i="1"/>
  <c r="FI524" i="1"/>
  <c r="FI504" i="1"/>
  <c r="FI484" i="1"/>
  <c r="FI464" i="1"/>
  <c r="FI444" i="1"/>
  <c r="FI424" i="1"/>
  <c r="FI404" i="1"/>
  <c r="FI384" i="1"/>
  <c r="FI364" i="1"/>
  <c r="FI344" i="1"/>
  <c r="FI324" i="1"/>
  <c r="FI304" i="1"/>
  <c r="FI284" i="1"/>
  <c r="FI264" i="1"/>
  <c r="FI244" i="1"/>
  <c r="FI224" i="1"/>
  <c r="FI204" i="1"/>
  <c r="FI184" i="1"/>
  <c r="FI164" i="1"/>
  <c r="FI144" i="1"/>
  <c r="FI124" i="1"/>
  <c r="FI104" i="1"/>
  <c r="FI84" i="1"/>
  <c r="FI64" i="1"/>
  <c r="FI44" i="1"/>
  <c r="FI24" i="1"/>
  <c r="FI4" i="1"/>
  <c r="FI563" i="1"/>
  <c r="FI543" i="1"/>
  <c r="FI523" i="1"/>
  <c r="FI503" i="1"/>
  <c r="FI483" i="1"/>
  <c r="FI463" i="1"/>
  <c r="FI443" i="1"/>
  <c r="FI423" i="1"/>
  <c r="FI403" i="1"/>
  <c r="FI383" i="1"/>
  <c r="FI363" i="1"/>
  <c r="FI343" i="1"/>
  <c r="FI323" i="1"/>
  <c r="FI303" i="1"/>
  <c r="FI283" i="1"/>
  <c r="FI263" i="1"/>
  <c r="FI243" i="1"/>
  <c r="FI223" i="1"/>
  <c r="FI203" i="1"/>
  <c r="FI183" i="1"/>
  <c r="FI163" i="1"/>
  <c r="FI143" i="1"/>
  <c r="FI123" i="1"/>
  <c r="FI103" i="1"/>
  <c r="FI83" i="1"/>
  <c r="FI63" i="1"/>
  <c r="FI43" i="1"/>
  <c r="FI23" i="1"/>
  <c r="FI3" i="1"/>
  <c r="FI381" i="1"/>
  <c r="FI361" i="1"/>
  <c r="FI341" i="1"/>
  <c r="FI321" i="1"/>
  <c r="FI301" i="1"/>
  <c r="FI281" i="1"/>
  <c r="FI261" i="1"/>
  <c r="FI241" i="1"/>
  <c r="FI221" i="1"/>
  <c r="FI201" i="1"/>
  <c r="FI181" i="1"/>
  <c r="FI161" i="1"/>
  <c r="FI141" i="1"/>
  <c r="FI121" i="1"/>
  <c r="FI101" i="1"/>
  <c r="FI81" i="1"/>
  <c r="FI61" i="1"/>
  <c r="FI41" i="1"/>
  <c r="FI21" i="1"/>
  <c r="FI560" i="1"/>
  <c r="FI540" i="1"/>
  <c r="FI520" i="1"/>
  <c r="FI500" i="1"/>
  <c r="FI480" i="1"/>
  <c r="FI460" i="1"/>
  <c r="FI440" i="1"/>
  <c r="FI420" i="1"/>
  <c r="FI400" i="1"/>
  <c r="FI380" i="1"/>
  <c r="FI360" i="1"/>
  <c r="FI340" i="1"/>
  <c r="FI320" i="1"/>
  <c r="FI300" i="1"/>
  <c r="FI280" i="1"/>
  <c r="FI260" i="1"/>
  <c r="FI240" i="1"/>
  <c r="FI220" i="1"/>
  <c r="FI200" i="1"/>
  <c r="FI180" i="1"/>
  <c r="FI160" i="1"/>
  <c r="FI140" i="1"/>
  <c r="FI120" i="1"/>
  <c r="FI100" i="1"/>
  <c r="FI80" i="1"/>
  <c r="FI60" i="1"/>
  <c r="FI40" i="1"/>
  <c r="FI20" i="1"/>
  <c r="EX208" i="1"/>
  <c r="EX128" i="1"/>
  <c r="EX548" i="1"/>
  <c r="EX528" i="1"/>
  <c r="EX508" i="1"/>
  <c r="EX428" i="1"/>
  <c r="EX408" i="1"/>
  <c r="EX368" i="1"/>
  <c r="EX348" i="1"/>
  <c r="EX308" i="1"/>
  <c r="EX288" i="1"/>
  <c r="EX188" i="1"/>
  <c r="EX148" i="1"/>
  <c r="EX88" i="1"/>
  <c r="EX262" i="1"/>
  <c r="EX490" i="1"/>
  <c r="EX470" i="1"/>
  <c r="EX390" i="1"/>
  <c r="EX90" i="1"/>
  <c r="EX70" i="1"/>
  <c r="EX488" i="1"/>
  <c r="EX388" i="1"/>
  <c r="EX228" i="1"/>
  <c r="EX566" i="1"/>
  <c r="EX546" i="1"/>
  <c r="EX526" i="1"/>
  <c r="EX506" i="1"/>
  <c r="EX486" i="1"/>
  <c r="EX466" i="1"/>
  <c r="EX446" i="1"/>
  <c r="EX426" i="1"/>
  <c r="EX406" i="1"/>
  <c r="EX386" i="1"/>
  <c r="EX366" i="1"/>
  <c r="EX346" i="1"/>
  <c r="EX326" i="1"/>
  <c r="EX306" i="1"/>
  <c r="EX286" i="1"/>
  <c r="EX266" i="1"/>
  <c r="EX246" i="1"/>
  <c r="EX226" i="1"/>
  <c r="EX206" i="1"/>
  <c r="EX186" i="1"/>
  <c r="EX166" i="1"/>
  <c r="EX146" i="1"/>
  <c r="EX126" i="1"/>
  <c r="EX106" i="1"/>
  <c r="EX86" i="1"/>
  <c r="EX66" i="1"/>
  <c r="EX46" i="1"/>
  <c r="EX26" i="1"/>
  <c r="EX6" i="1"/>
  <c r="EX565" i="1"/>
  <c r="EX545" i="1"/>
  <c r="EX525" i="1"/>
  <c r="EX505" i="1"/>
  <c r="EX485" i="1"/>
  <c r="EX465" i="1"/>
  <c r="EX445" i="1"/>
  <c r="EX425" i="1"/>
  <c r="EX405" i="1"/>
  <c r="EX385" i="1"/>
  <c r="EX365" i="1"/>
  <c r="EX345" i="1"/>
  <c r="EX325" i="1"/>
  <c r="EX305" i="1"/>
  <c r="EX285" i="1"/>
  <c r="EX265" i="1"/>
  <c r="EX245" i="1"/>
  <c r="EX225" i="1"/>
  <c r="EX205" i="1"/>
  <c r="EX185" i="1"/>
  <c r="EX165" i="1"/>
  <c r="EX145" i="1"/>
  <c r="EX125" i="1"/>
  <c r="EX105" i="1"/>
  <c r="EX85" i="1"/>
  <c r="EX65" i="1"/>
  <c r="EX45" i="1"/>
  <c r="EX25" i="1"/>
  <c r="EX5" i="1"/>
  <c r="EX510" i="1"/>
  <c r="EX450" i="1"/>
  <c r="EX430" i="1"/>
  <c r="EX370" i="1"/>
  <c r="EX330" i="1"/>
  <c r="EX290" i="1"/>
  <c r="EX250" i="1"/>
  <c r="EX150" i="1"/>
  <c r="EX110" i="1"/>
  <c r="EX50" i="1"/>
  <c r="EX10" i="1"/>
  <c r="EX562" i="1"/>
  <c r="EX542" i="1"/>
  <c r="EX522" i="1"/>
  <c r="EX502" i="1"/>
  <c r="EX482" i="1"/>
  <c r="EX462" i="1"/>
  <c r="EX442" i="1"/>
  <c r="EX422" i="1"/>
  <c r="EX402" i="1"/>
  <c r="EX382" i="1"/>
  <c r="EX362" i="1"/>
  <c r="EX342" i="1"/>
  <c r="EX322" i="1"/>
  <c r="EX302" i="1"/>
  <c r="EX282" i="1"/>
  <c r="EX242" i="1"/>
  <c r="EX222" i="1"/>
  <c r="EX202" i="1"/>
  <c r="EX182" i="1"/>
  <c r="EX162" i="1"/>
  <c r="EX142" i="1"/>
  <c r="EX122" i="1"/>
  <c r="EX102" i="1"/>
  <c r="EX82" i="1"/>
  <c r="EX62" i="1"/>
  <c r="EX42" i="1"/>
  <c r="EX22" i="1"/>
  <c r="EX559" i="1"/>
  <c r="EX539" i="1"/>
  <c r="EX519" i="1"/>
  <c r="EX499" i="1"/>
  <c r="EX479" i="1"/>
  <c r="EX459" i="1"/>
  <c r="EX439" i="1"/>
  <c r="EX419" i="1"/>
  <c r="EX399" i="1"/>
  <c r="EX379" i="1"/>
  <c r="EX359" i="1"/>
  <c r="EX339" i="1"/>
  <c r="EX319" i="1"/>
  <c r="EX299" i="1"/>
  <c r="EX279" i="1"/>
  <c r="EX259" i="1"/>
  <c r="EX239" i="1"/>
  <c r="EX219" i="1"/>
  <c r="EX199" i="1"/>
  <c r="EX179" i="1"/>
  <c r="EX159" i="1"/>
  <c r="EX139" i="1"/>
  <c r="EX119" i="1"/>
  <c r="EX99" i="1"/>
  <c r="EX79" i="1"/>
  <c r="EX59" i="1"/>
  <c r="EX39" i="1"/>
  <c r="EX19" i="1"/>
  <c r="EX468" i="1"/>
  <c r="EX248" i="1"/>
  <c r="EX168" i="1"/>
  <c r="EX108" i="1"/>
  <c r="EX68" i="1"/>
  <c r="EX554" i="1"/>
  <c r="EX534" i="1"/>
  <c r="EX514" i="1"/>
  <c r="EX494" i="1"/>
  <c r="EX474" i="1"/>
  <c r="EX454" i="1"/>
  <c r="EX434" i="1"/>
  <c r="EX414" i="1"/>
  <c r="EX394" i="1"/>
  <c r="EX374" i="1"/>
  <c r="EX354" i="1"/>
  <c r="EX334" i="1"/>
  <c r="EX553" i="1"/>
  <c r="EX533" i="1"/>
  <c r="EX513" i="1"/>
  <c r="EX493" i="1"/>
  <c r="EX473" i="1"/>
  <c r="EX453" i="1"/>
  <c r="EX433" i="1"/>
  <c r="EX413" i="1"/>
  <c r="EX393" i="1"/>
  <c r="EX373" i="1"/>
  <c r="EX353" i="1"/>
  <c r="EX333" i="1"/>
  <c r="EX313" i="1"/>
  <c r="EX293" i="1"/>
  <c r="EX273" i="1"/>
  <c r="EX253" i="1"/>
  <c r="EX233" i="1"/>
  <c r="EX213" i="1"/>
  <c r="EX193" i="1"/>
  <c r="EX173" i="1"/>
  <c r="EX153" i="1"/>
  <c r="EX133" i="1"/>
  <c r="EX113" i="1"/>
  <c r="EX93" i="1"/>
  <c r="EX73" i="1"/>
  <c r="EX53" i="1"/>
  <c r="EX33" i="1"/>
  <c r="EX13" i="1"/>
  <c r="EX550" i="1"/>
  <c r="EX530" i="1"/>
  <c r="EX410" i="1"/>
  <c r="EX310" i="1"/>
  <c r="EX270" i="1"/>
  <c r="EX230" i="1"/>
  <c r="EX210" i="1"/>
  <c r="EX190" i="1"/>
  <c r="EX170" i="1"/>
  <c r="EX130" i="1"/>
  <c r="EX30" i="1"/>
  <c r="EX448" i="1"/>
  <c r="EX328" i="1"/>
  <c r="EX268" i="1"/>
  <c r="EX567" i="1"/>
  <c r="EX547" i="1"/>
  <c r="EX527" i="1"/>
  <c r="EX507" i="1"/>
  <c r="EX487" i="1"/>
  <c r="EX467" i="1"/>
  <c r="EX447" i="1"/>
  <c r="EX427" i="1"/>
  <c r="EX407" i="1"/>
  <c r="EX387" i="1"/>
  <c r="EX367" i="1"/>
  <c r="EX347" i="1"/>
  <c r="EX327" i="1"/>
  <c r="EX307" i="1"/>
  <c r="EX287" i="1"/>
  <c r="EX267" i="1"/>
  <c r="EX247" i="1"/>
  <c r="EX227" i="1"/>
  <c r="EX207" i="1"/>
  <c r="EX187" i="1"/>
  <c r="EX167" i="1"/>
  <c r="EX147" i="1"/>
  <c r="EX127" i="1"/>
  <c r="EX107" i="1"/>
  <c r="EX87" i="1"/>
  <c r="EX67" i="1"/>
  <c r="EX47" i="1"/>
  <c r="EX27" i="1"/>
  <c r="EX7" i="1"/>
  <c r="EX564" i="1"/>
  <c r="EX544" i="1"/>
  <c r="EX524" i="1"/>
  <c r="EX504" i="1"/>
  <c r="EX484" i="1"/>
  <c r="EX464" i="1"/>
  <c r="EX444" i="1"/>
  <c r="EX424" i="1"/>
  <c r="EX404" i="1"/>
  <c r="EX384" i="1"/>
  <c r="EX364" i="1"/>
  <c r="EX344" i="1"/>
  <c r="EX324" i="1"/>
  <c r="EX304" i="1"/>
  <c r="EX284" i="1"/>
  <c r="EX264" i="1"/>
  <c r="EX244" i="1"/>
  <c r="EX224" i="1"/>
  <c r="EX204" i="1"/>
  <c r="EX184" i="1"/>
  <c r="EX164" i="1"/>
  <c r="EX144" i="1"/>
  <c r="EX124" i="1"/>
  <c r="EX104" i="1"/>
  <c r="EX84" i="1"/>
  <c r="EX64" i="1"/>
  <c r="EX44" i="1"/>
  <c r="EX24" i="1"/>
  <c r="EX4" i="1"/>
  <c r="EX563" i="1"/>
  <c r="EX543" i="1"/>
  <c r="EX523" i="1"/>
  <c r="EX503" i="1"/>
  <c r="EX483" i="1"/>
  <c r="EX463" i="1"/>
  <c r="EX443" i="1"/>
  <c r="EX423" i="1"/>
  <c r="EX403" i="1"/>
  <c r="EX383" i="1"/>
  <c r="EX363" i="1"/>
  <c r="EX343" i="1"/>
  <c r="EX323" i="1"/>
  <c r="EX303" i="1"/>
  <c r="EX283" i="1"/>
  <c r="EX263" i="1"/>
  <c r="EX243" i="1"/>
  <c r="EX223" i="1"/>
  <c r="EX203" i="1"/>
  <c r="EX183" i="1"/>
  <c r="EX163" i="1"/>
  <c r="EX143" i="1"/>
  <c r="EX123" i="1"/>
  <c r="EX103" i="1"/>
  <c r="EX83" i="1"/>
  <c r="EX63" i="1"/>
  <c r="EX43" i="1"/>
  <c r="EX23" i="1"/>
  <c r="EX3" i="1"/>
  <c r="EX557" i="1"/>
  <c r="EX537" i="1"/>
  <c r="EX517" i="1"/>
  <c r="EX497" i="1"/>
  <c r="EX477" i="1"/>
  <c r="EX457" i="1"/>
  <c r="EX437" i="1"/>
  <c r="EX417" i="1"/>
  <c r="EX397" i="1"/>
  <c r="EX377" i="1"/>
  <c r="EX357" i="1"/>
  <c r="EX337" i="1"/>
  <c r="EX317" i="1"/>
  <c r="EX297" i="1"/>
  <c r="EX277" i="1"/>
  <c r="EX257" i="1"/>
  <c r="EX237" i="1"/>
  <c r="EX217" i="1"/>
  <c r="EX197" i="1"/>
  <c r="EX177" i="1"/>
  <c r="EX157" i="1"/>
  <c r="EX137" i="1"/>
  <c r="EX117" i="1"/>
  <c r="EX97" i="1"/>
  <c r="EX77" i="1"/>
  <c r="EX57" i="1"/>
  <c r="EX37" i="1"/>
  <c r="EX17" i="1"/>
  <c r="EX556" i="1"/>
  <c r="EX536" i="1"/>
  <c r="EX516" i="1"/>
  <c r="EX496" i="1"/>
  <c r="EX476" i="1"/>
  <c r="EX456" i="1"/>
  <c r="EX436" i="1"/>
  <c r="EX416" i="1"/>
  <c r="EX396" i="1"/>
  <c r="EX376" i="1"/>
  <c r="EX356" i="1"/>
  <c r="EX336" i="1"/>
  <c r="EX316" i="1"/>
  <c r="EX296" i="1"/>
  <c r="EX276" i="1"/>
  <c r="EX256" i="1"/>
  <c r="EX236" i="1"/>
  <c r="EX216" i="1"/>
  <c r="EX196" i="1"/>
  <c r="EX176" i="1"/>
  <c r="EX156" i="1"/>
  <c r="EX136" i="1"/>
  <c r="EX116" i="1"/>
  <c r="EX96" i="1"/>
  <c r="EX76" i="1"/>
  <c r="EX56" i="1"/>
  <c r="EX36" i="1"/>
  <c r="EX16" i="1"/>
  <c r="EX555" i="1"/>
  <c r="EX535" i="1"/>
  <c r="EX515" i="1"/>
  <c r="EX495" i="1"/>
  <c r="EX475" i="1"/>
  <c r="EX455" i="1"/>
  <c r="EX435" i="1"/>
  <c r="EX415" i="1"/>
  <c r="EX395" i="1"/>
  <c r="EX375" i="1"/>
  <c r="EX355" i="1"/>
  <c r="EX335" i="1"/>
  <c r="EX315" i="1"/>
  <c r="EX295" i="1"/>
  <c r="EX275" i="1"/>
  <c r="EX255" i="1"/>
  <c r="EX235" i="1"/>
  <c r="EX215" i="1"/>
  <c r="EX195" i="1"/>
  <c r="EX175" i="1"/>
  <c r="EX155" i="1"/>
  <c r="EX135" i="1"/>
  <c r="EX115" i="1"/>
  <c r="EX95" i="1"/>
  <c r="EX75" i="1"/>
  <c r="EX55" i="1"/>
  <c r="EX35" i="1"/>
  <c r="EX15" i="1"/>
  <c r="EX314" i="1"/>
  <c r="EX294" i="1"/>
  <c r="EX274" i="1"/>
  <c r="EX254" i="1"/>
  <c r="EX234" i="1"/>
  <c r="EX214" i="1"/>
  <c r="EX194" i="1"/>
  <c r="EX174" i="1"/>
  <c r="EX154" i="1"/>
  <c r="EX134" i="1"/>
  <c r="EX114" i="1"/>
  <c r="EX94" i="1"/>
  <c r="EX74" i="1"/>
  <c r="EX54" i="1"/>
  <c r="EX34" i="1"/>
  <c r="EX14" i="1"/>
  <c r="EX552" i="1"/>
  <c r="EX532" i="1"/>
  <c r="EX512" i="1"/>
  <c r="EX492" i="1"/>
  <c r="EX472" i="1"/>
  <c r="EX452" i="1"/>
  <c r="EX432" i="1"/>
  <c r="EX412" i="1"/>
  <c r="EX392" i="1"/>
  <c r="EX372" i="1"/>
  <c r="EX352" i="1"/>
  <c r="EX332" i="1"/>
  <c r="EX312" i="1"/>
  <c r="EX292" i="1"/>
  <c r="EX272" i="1"/>
  <c r="EX252" i="1"/>
  <c r="EX232" i="1"/>
  <c r="EX212" i="1"/>
  <c r="EX192" i="1"/>
  <c r="EX172" i="1"/>
  <c r="EX152" i="1"/>
  <c r="EX132" i="1"/>
  <c r="EX112" i="1"/>
  <c r="EX92" i="1"/>
  <c r="EX72" i="1"/>
  <c r="EX52" i="1"/>
  <c r="EX32" i="1"/>
  <c r="EX12" i="1"/>
  <c r="EX551" i="1"/>
  <c r="EX531" i="1"/>
  <c r="EX511" i="1"/>
  <c r="EX491" i="1"/>
  <c r="EX471" i="1"/>
  <c r="EX451" i="1"/>
  <c r="EX431" i="1"/>
  <c r="EX411" i="1"/>
  <c r="EX391" i="1"/>
  <c r="EX371" i="1"/>
  <c r="EX351" i="1"/>
  <c r="EX331" i="1"/>
  <c r="EX311" i="1"/>
  <c r="EX291" i="1"/>
  <c r="EX271" i="1"/>
  <c r="EX251" i="1"/>
  <c r="EX231" i="1"/>
  <c r="EX211" i="1"/>
  <c r="EX191" i="1"/>
  <c r="EX171" i="1"/>
  <c r="EX151" i="1"/>
  <c r="EX131" i="1"/>
  <c r="EX111" i="1"/>
  <c r="EX91" i="1"/>
  <c r="EX71" i="1"/>
  <c r="EX51" i="1"/>
  <c r="EX31" i="1"/>
  <c r="EX11" i="1"/>
  <c r="EX561" i="1"/>
  <c r="EX541" i="1"/>
  <c r="EX521" i="1"/>
  <c r="EX501" i="1"/>
  <c r="EX481" i="1"/>
  <c r="EX461" i="1"/>
  <c r="EX441" i="1"/>
  <c r="EX421" i="1"/>
  <c r="EX401" i="1"/>
  <c r="EX381" i="1"/>
  <c r="EX361" i="1"/>
  <c r="EX341" i="1"/>
  <c r="EX321" i="1"/>
  <c r="EX301" i="1"/>
  <c r="EX281" i="1"/>
  <c r="EX261" i="1"/>
  <c r="EX241" i="1"/>
  <c r="EX221" i="1"/>
  <c r="EX201" i="1"/>
  <c r="EX181" i="1"/>
  <c r="EX161" i="1"/>
  <c r="EX141" i="1"/>
  <c r="EX121" i="1"/>
  <c r="EX101" i="1"/>
  <c r="EX81" i="1"/>
  <c r="EX61" i="1"/>
  <c r="EX41" i="1"/>
  <c r="EX21" i="1"/>
  <c r="EX549" i="1"/>
  <c r="EX529" i="1"/>
  <c r="EX509" i="1"/>
  <c r="EX489" i="1"/>
  <c r="EX469" i="1"/>
  <c r="EX449" i="1"/>
  <c r="EX429" i="1"/>
  <c r="EX409" i="1"/>
  <c r="EX389" i="1"/>
  <c r="EX369" i="1"/>
  <c r="EX349" i="1"/>
  <c r="EX329" i="1"/>
  <c r="EX309" i="1"/>
  <c r="EX289" i="1"/>
  <c r="EX269" i="1"/>
  <c r="EX249" i="1"/>
  <c r="EX229" i="1"/>
  <c r="EX209" i="1"/>
  <c r="EX189" i="1"/>
  <c r="EX169" i="1"/>
  <c r="EX149" i="1"/>
  <c r="EX129" i="1"/>
  <c r="EX109" i="1"/>
  <c r="EX89" i="1"/>
  <c r="EX69" i="1"/>
  <c r="EX49" i="1"/>
  <c r="EX29" i="1"/>
  <c r="EX9" i="1"/>
  <c r="EX48" i="1"/>
  <c r="EX28" i="1"/>
  <c r="EX8" i="1"/>
  <c r="DV554" i="1"/>
  <c r="DV534" i="1"/>
  <c r="DV474" i="1"/>
  <c r="DV454" i="1"/>
  <c r="DV394" i="1"/>
  <c r="DV314" i="1"/>
  <c r="DV567" i="1"/>
  <c r="DV547" i="1"/>
  <c r="DV527" i="1"/>
  <c r="DV507" i="1"/>
  <c r="DV487" i="1"/>
  <c r="DV467" i="1"/>
  <c r="DV447" i="1"/>
  <c r="DV427" i="1"/>
  <c r="DV407" i="1"/>
  <c r="DV387" i="1"/>
  <c r="DV367" i="1"/>
  <c r="DV347" i="1"/>
  <c r="DV327" i="1"/>
  <c r="DV307" i="1"/>
  <c r="DV287" i="1"/>
  <c r="DV267" i="1"/>
  <c r="DV247" i="1"/>
  <c r="DV227" i="1"/>
  <c r="DV207" i="1"/>
  <c r="DV187" i="1"/>
  <c r="DV167" i="1"/>
  <c r="DV147" i="1"/>
  <c r="DV127" i="1"/>
  <c r="DV107" i="1"/>
  <c r="DV87" i="1"/>
  <c r="DV495" i="1"/>
  <c r="DV415" i="1"/>
  <c r="DV335" i="1"/>
  <c r="DV255" i="1"/>
  <c r="DV175" i="1"/>
  <c r="DV95" i="1"/>
  <c r="DV15" i="1"/>
  <c r="DV234" i="1"/>
  <c r="DV154" i="1"/>
  <c r="DV74" i="1"/>
  <c r="DV67" i="1"/>
  <c r="DV47" i="1"/>
  <c r="DV27" i="1"/>
  <c r="DV7" i="1"/>
  <c r="DV537" i="1"/>
  <c r="DV457" i="1"/>
  <c r="DV377" i="1"/>
  <c r="DV297" i="1"/>
  <c r="DV217" i="1"/>
  <c r="DV137" i="1"/>
  <c r="DV57" i="1"/>
  <c r="DV565" i="1"/>
  <c r="DV545" i="1"/>
  <c r="DV525" i="1"/>
  <c r="DV505" i="1"/>
  <c r="DV485" i="1"/>
  <c r="DV465" i="1"/>
  <c r="DV445" i="1"/>
  <c r="DV425" i="1"/>
  <c r="DV405" i="1"/>
  <c r="DV385" i="1"/>
  <c r="DV365" i="1"/>
  <c r="DV345" i="1"/>
  <c r="DV325" i="1"/>
  <c r="DV305" i="1"/>
  <c r="DV285" i="1"/>
  <c r="DV265" i="1"/>
  <c r="DV245" i="1"/>
  <c r="DV225" i="1"/>
  <c r="DV205" i="1"/>
  <c r="DV185" i="1"/>
  <c r="DV165" i="1"/>
  <c r="DV145" i="1"/>
  <c r="DV125" i="1"/>
  <c r="DV105" i="1"/>
  <c r="DV85" i="1"/>
  <c r="DV65" i="1"/>
  <c r="DV45" i="1"/>
  <c r="DV25" i="1"/>
  <c r="DV5" i="1"/>
  <c r="DV564" i="1"/>
  <c r="DV544" i="1"/>
  <c r="DV524" i="1"/>
  <c r="DV504" i="1"/>
  <c r="DV484" i="1"/>
  <c r="DV464" i="1"/>
  <c r="DV444" i="1"/>
  <c r="DV424" i="1"/>
  <c r="DV404" i="1"/>
  <c r="DV384" i="1"/>
  <c r="DV364" i="1"/>
  <c r="DV344" i="1"/>
  <c r="DV324" i="1"/>
  <c r="DV304" i="1"/>
  <c r="DV284" i="1"/>
  <c r="DV264" i="1"/>
  <c r="DV244" i="1"/>
  <c r="DV224" i="1"/>
  <c r="DV204" i="1"/>
  <c r="DV184" i="1"/>
  <c r="DV164" i="1"/>
  <c r="DV144" i="1"/>
  <c r="DV124" i="1"/>
  <c r="DV104" i="1"/>
  <c r="DV84" i="1"/>
  <c r="DV64" i="1"/>
  <c r="DV44" i="1"/>
  <c r="DV24" i="1"/>
  <c r="DV4" i="1"/>
  <c r="DV560" i="1"/>
  <c r="DV540" i="1"/>
  <c r="DV520" i="1"/>
  <c r="DV500" i="1"/>
  <c r="DV480" i="1"/>
  <c r="DV460" i="1"/>
  <c r="DV440" i="1"/>
  <c r="DV420" i="1"/>
  <c r="DV400" i="1"/>
  <c r="DV380" i="1"/>
  <c r="DV360" i="1"/>
  <c r="DV340" i="1"/>
  <c r="DV320" i="1"/>
  <c r="DV300" i="1"/>
  <c r="DV280" i="1"/>
  <c r="DV260" i="1"/>
  <c r="DV240" i="1"/>
  <c r="DV220" i="1"/>
  <c r="DV200" i="1"/>
  <c r="DV180" i="1"/>
  <c r="DV160" i="1"/>
  <c r="DV559" i="1"/>
  <c r="DV539" i="1"/>
  <c r="DV519" i="1"/>
  <c r="DV499" i="1"/>
  <c r="DV479" i="1"/>
  <c r="DV459" i="1"/>
  <c r="DV439" i="1"/>
  <c r="DV419" i="1"/>
  <c r="DV399" i="1"/>
  <c r="DV379" i="1"/>
  <c r="DV359" i="1"/>
  <c r="DV339" i="1"/>
  <c r="DV319" i="1"/>
  <c r="DV299" i="1"/>
  <c r="DV279" i="1"/>
  <c r="DV259" i="1"/>
  <c r="DV239" i="1"/>
  <c r="DV219" i="1"/>
  <c r="DV199" i="1"/>
  <c r="DV179" i="1"/>
  <c r="DV159" i="1"/>
  <c r="DV139" i="1"/>
  <c r="DV119" i="1"/>
  <c r="DV99" i="1"/>
  <c r="DV79" i="1"/>
  <c r="DV59" i="1"/>
  <c r="DV39" i="1"/>
  <c r="DV19" i="1"/>
  <c r="DV516" i="1"/>
  <c r="DV496" i="1"/>
  <c r="DV436" i="1"/>
  <c r="DV416" i="1"/>
  <c r="DV356" i="1"/>
  <c r="DV336" i="1"/>
  <c r="DV276" i="1"/>
  <c r="DV256" i="1"/>
  <c r="DV196" i="1"/>
  <c r="DV176" i="1"/>
  <c r="DV116" i="1"/>
  <c r="DV96" i="1"/>
  <c r="DV36" i="1"/>
  <c r="DV16" i="1"/>
  <c r="DV563" i="1"/>
  <c r="DV543" i="1"/>
  <c r="DV523" i="1"/>
  <c r="DV503" i="1"/>
  <c r="DV483" i="1"/>
  <c r="DV463" i="1"/>
  <c r="DV443" i="1"/>
  <c r="DV423" i="1"/>
  <c r="DV403" i="1"/>
  <c r="DV383" i="1"/>
  <c r="DV363" i="1"/>
  <c r="DV343" i="1"/>
  <c r="DV323" i="1"/>
  <c r="DV303" i="1"/>
  <c r="DV283" i="1"/>
  <c r="DV263" i="1"/>
  <c r="DV243" i="1"/>
  <c r="DV223" i="1"/>
  <c r="DV203" i="1"/>
  <c r="DV183" i="1"/>
  <c r="DV163" i="1"/>
  <c r="DV143" i="1"/>
  <c r="DV123" i="1"/>
  <c r="DV103" i="1"/>
  <c r="DV83" i="1"/>
  <c r="DV63" i="1"/>
  <c r="DV43" i="1"/>
  <c r="DV23" i="1"/>
  <c r="DV3" i="1"/>
  <c r="DV140" i="1"/>
  <c r="DV120" i="1"/>
  <c r="DV100" i="1"/>
  <c r="DV80" i="1"/>
  <c r="DV60" i="1"/>
  <c r="DV40" i="1"/>
  <c r="DV20" i="1"/>
  <c r="DV558" i="1"/>
  <c r="DV538" i="1"/>
  <c r="DV518" i="1"/>
  <c r="DV498" i="1"/>
  <c r="DV478" i="1"/>
  <c r="DV458" i="1"/>
  <c r="DV438" i="1"/>
  <c r="DV418" i="1"/>
  <c r="DV398" i="1"/>
  <c r="DV378" i="1"/>
  <c r="DV358" i="1"/>
  <c r="DV338" i="1"/>
  <c r="DV318" i="1"/>
  <c r="DV298" i="1"/>
  <c r="DV278" i="1"/>
  <c r="DV258" i="1"/>
  <c r="DV238" i="1"/>
  <c r="DV218" i="1"/>
  <c r="DV198" i="1"/>
  <c r="DV178" i="1"/>
  <c r="DV158" i="1"/>
  <c r="DV138" i="1"/>
  <c r="DV118" i="1"/>
  <c r="DV98" i="1"/>
  <c r="DV78" i="1"/>
  <c r="DV58" i="1"/>
  <c r="DV38" i="1"/>
  <c r="DV18" i="1"/>
  <c r="DV557" i="1"/>
  <c r="DV517" i="1"/>
  <c r="DV497" i="1"/>
  <c r="DV477" i="1"/>
  <c r="DV437" i="1"/>
  <c r="DV417" i="1"/>
  <c r="DV397" i="1"/>
  <c r="DV357" i="1"/>
  <c r="DV337" i="1"/>
  <c r="DV317" i="1"/>
  <c r="DV277" i="1"/>
  <c r="DV257" i="1"/>
  <c r="DV237" i="1"/>
  <c r="DV197" i="1"/>
  <c r="DV177" i="1"/>
  <c r="DV157" i="1"/>
  <c r="DV117" i="1"/>
  <c r="DV97" i="1"/>
  <c r="DV77" i="1"/>
  <c r="DV37" i="1"/>
  <c r="DV17" i="1"/>
  <c r="DV514" i="1"/>
  <c r="DV494" i="1"/>
  <c r="DV434" i="1"/>
  <c r="DV414" i="1"/>
  <c r="DV354" i="1"/>
  <c r="DV334" i="1"/>
  <c r="DV274" i="1"/>
  <c r="DV254" i="1"/>
  <c r="DV194" i="1"/>
  <c r="DV174" i="1"/>
  <c r="DV114" i="1"/>
  <c r="DV94" i="1"/>
  <c r="DV34" i="1"/>
  <c r="DV14" i="1"/>
  <c r="DV553" i="1"/>
  <c r="DV513" i="1"/>
  <c r="DV493" i="1"/>
  <c r="DV473" i="1"/>
  <c r="DV433" i="1"/>
  <c r="DV413" i="1"/>
  <c r="DV393" i="1"/>
  <c r="DV353" i="1"/>
  <c r="DV333" i="1"/>
  <c r="DV313" i="1"/>
  <c r="DV273" i="1"/>
  <c r="DV253" i="1"/>
  <c r="DV233" i="1"/>
  <c r="DV193" i="1"/>
  <c r="DV173" i="1"/>
  <c r="DV153" i="1"/>
  <c r="DV113" i="1"/>
  <c r="DV93" i="1"/>
  <c r="DV73" i="1"/>
  <c r="DV33" i="1"/>
  <c r="DV13" i="1"/>
  <c r="DV471" i="1"/>
  <c r="DV451" i="1"/>
  <c r="DV431" i="1"/>
  <c r="DV411" i="1"/>
  <c r="DV556" i="1"/>
  <c r="DV536" i="1"/>
  <c r="DV476" i="1"/>
  <c r="DV456" i="1"/>
  <c r="DV396" i="1"/>
  <c r="DV376" i="1"/>
  <c r="DV316" i="1"/>
  <c r="DV296" i="1"/>
  <c r="DV236" i="1"/>
  <c r="DV156" i="1"/>
  <c r="DV76" i="1"/>
  <c r="DV555" i="1"/>
  <c r="DV515" i="1"/>
  <c r="DV475" i="1"/>
  <c r="DV435" i="1"/>
  <c r="DV395" i="1"/>
  <c r="DV355" i="1"/>
  <c r="DV315" i="1"/>
  <c r="DV275" i="1"/>
  <c r="DV235" i="1"/>
  <c r="DV195" i="1"/>
  <c r="DV155" i="1"/>
  <c r="DV115" i="1"/>
  <c r="DV75" i="1"/>
  <c r="DV35" i="1"/>
  <c r="DV566" i="1"/>
  <c r="DV546" i="1"/>
  <c r="DV526" i="1"/>
  <c r="DV506" i="1"/>
  <c r="DV486" i="1"/>
  <c r="DV466" i="1"/>
  <c r="DV446" i="1"/>
  <c r="DV426" i="1"/>
  <c r="DV406" i="1"/>
  <c r="DV386" i="1"/>
  <c r="DV366" i="1"/>
  <c r="DV346" i="1"/>
  <c r="DV326" i="1"/>
  <c r="DV306" i="1"/>
  <c r="DV286" i="1"/>
  <c r="DV266" i="1"/>
  <c r="DV246" i="1"/>
  <c r="DV226" i="1"/>
  <c r="DV206" i="1"/>
  <c r="DV186" i="1"/>
  <c r="DV166" i="1"/>
  <c r="DV146" i="1"/>
  <c r="DV126" i="1"/>
  <c r="DV106" i="1"/>
  <c r="DV86" i="1"/>
  <c r="DV66" i="1"/>
  <c r="DV46" i="1"/>
  <c r="DV26" i="1"/>
  <c r="DV6" i="1"/>
  <c r="DV551" i="1"/>
  <c r="DV216" i="1"/>
  <c r="DV136" i="1"/>
  <c r="DV56" i="1"/>
  <c r="DV535" i="1"/>
  <c r="DV455" i="1"/>
  <c r="DV375" i="1"/>
  <c r="DV295" i="1"/>
  <c r="DV215" i="1"/>
  <c r="DV135" i="1"/>
  <c r="DV55" i="1"/>
  <c r="DV374" i="1"/>
  <c r="DV294" i="1"/>
  <c r="DV214" i="1"/>
  <c r="DV134" i="1"/>
  <c r="DV54" i="1"/>
  <c r="DV533" i="1"/>
  <c r="DV453" i="1"/>
  <c r="DV373" i="1"/>
  <c r="DV293" i="1"/>
  <c r="DV213" i="1"/>
  <c r="DV133" i="1"/>
  <c r="DV53" i="1"/>
  <c r="DV531" i="1"/>
  <c r="DV511" i="1"/>
  <c r="DV491" i="1"/>
  <c r="DV562" i="1"/>
  <c r="DV542" i="1"/>
  <c r="DV522" i="1"/>
  <c r="DV502" i="1"/>
  <c r="DV482" i="1"/>
  <c r="DV462" i="1"/>
  <c r="DV442" i="1"/>
  <c r="DV422" i="1"/>
  <c r="DV402" i="1"/>
  <c r="DV382" i="1"/>
  <c r="DV362" i="1"/>
  <c r="DV342" i="1"/>
  <c r="DV322" i="1"/>
  <c r="DV302" i="1"/>
  <c r="DV282" i="1"/>
  <c r="DV262" i="1"/>
  <c r="DV242" i="1"/>
  <c r="DV222" i="1"/>
  <c r="DV202" i="1"/>
  <c r="DV182" i="1"/>
  <c r="DV162" i="1"/>
  <c r="DV142" i="1"/>
  <c r="DV122" i="1"/>
  <c r="DV102" i="1"/>
  <c r="DV82" i="1"/>
  <c r="DV62" i="1"/>
  <c r="DV42" i="1"/>
  <c r="DV22" i="1"/>
  <c r="DV552" i="1"/>
  <c r="DV532" i="1"/>
  <c r="DV512" i="1"/>
  <c r="DV492" i="1"/>
  <c r="DV472" i="1"/>
  <c r="DV452" i="1"/>
  <c r="DV432" i="1"/>
  <c r="DV412" i="1"/>
  <c r="DV392" i="1"/>
  <c r="DV372" i="1"/>
  <c r="DV352" i="1"/>
  <c r="DV332" i="1"/>
  <c r="DV312" i="1"/>
  <c r="DV292" i="1"/>
  <c r="DV272" i="1"/>
  <c r="DV252" i="1"/>
  <c r="DV232" i="1"/>
  <c r="DV212" i="1"/>
  <c r="DV192" i="1"/>
  <c r="DV172" i="1"/>
  <c r="DV152" i="1"/>
  <c r="DV132" i="1"/>
  <c r="DV112" i="1"/>
  <c r="DV92" i="1"/>
  <c r="DV72" i="1"/>
  <c r="DV52" i="1"/>
  <c r="DV32" i="1"/>
  <c r="DV12" i="1"/>
  <c r="DV561" i="1"/>
  <c r="DV541" i="1"/>
  <c r="DV521" i="1"/>
  <c r="DV501" i="1"/>
  <c r="DV481" i="1"/>
  <c r="DV461" i="1"/>
  <c r="DV441" i="1"/>
  <c r="DV421" i="1"/>
  <c r="DV401" i="1"/>
  <c r="DV381" i="1"/>
  <c r="DV361" i="1"/>
  <c r="DV341" i="1"/>
  <c r="DV321" i="1"/>
  <c r="DV301" i="1"/>
  <c r="DV281" i="1"/>
  <c r="DV261" i="1"/>
  <c r="DV241" i="1"/>
  <c r="DV221" i="1"/>
  <c r="DV201" i="1"/>
  <c r="DV181" i="1"/>
  <c r="DV161" i="1"/>
  <c r="DV141" i="1"/>
  <c r="DV121" i="1"/>
  <c r="DV101" i="1"/>
  <c r="DV81" i="1"/>
  <c r="DV61" i="1"/>
  <c r="DV41" i="1"/>
  <c r="DV21" i="1"/>
  <c r="DV550" i="1"/>
  <c r="DV530" i="1"/>
  <c r="DV510" i="1"/>
  <c r="DV490" i="1"/>
  <c r="DV470" i="1"/>
  <c r="DV450" i="1"/>
  <c r="DV430" i="1"/>
  <c r="DV410" i="1"/>
  <c r="DV390" i="1"/>
  <c r="DV370" i="1"/>
  <c r="DV350" i="1"/>
  <c r="DV330" i="1"/>
  <c r="DV310" i="1"/>
  <c r="DV290" i="1"/>
  <c r="DV270" i="1"/>
  <c r="DV250" i="1"/>
  <c r="DV230" i="1"/>
  <c r="DV210" i="1"/>
  <c r="DV190" i="1"/>
  <c r="DV170" i="1"/>
  <c r="DV150" i="1"/>
  <c r="DV130" i="1"/>
  <c r="DV110" i="1"/>
  <c r="DV90" i="1"/>
  <c r="DV70" i="1"/>
  <c r="DV50" i="1"/>
  <c r="DV30" i="1"/>
  <c r="DV10" i="1"/>
  <c r="DV549" i="1"/>
  <c r="DV529" i="1"/>
  <c r="DV509" i="1"/>
  <c r="DV489" i="1"/>
  <c r="DV469" i="1"/>
  <c r="DV449" i="1"/>
  <c r="DV429" i="1"/>
  <c r="DV409" i="1"/>
  <c r="DV389" i="1"/>
  <c r="DV369" i="1"/>
  <c r="DV349" i="1"/>
  <c r="DV329" i="1"/>
  <c r="DV309" i="1"/>
  <c r="DV289" i="1"/>
  <c r="DV269" i="1"/>
  <c r="DV249" i="1"/>
  <c r="DV229" i="1"/>
  <c r="DV209" i="1"/>
  <c r="DV189" i="1"/>
  <c r="DV169" i="1"/>
  <c r="DV149" i="1"/>
  <c r="DV129" i="1"/>
  <c r="DV109" i="1"/>
  <c r="DV89" i="1"/>
  <c r="DV69" i="1"/>
  <c r="DV49" i="1"/>
  <c r="DV29" i="1"/>
  <c r="DV9" i="1"/>
  <c r="DV391" i="1"/>
  <c r="DV371" i="1"/>
  <c r="DV351" i="1"/>
  <c r="DV331" i="1"/>
  <c r="DV311" i="1"/>
  <c r="DV291" i="1"/>
  <c r="DV271" i="1"/>
  <c r="DV251" i="1"/>
  <c r="DV231" i="1"/>
  <c r="DV211" i="1"/>
  <c r="DV191" i="1"/>
  <c r="DV171" i="1"/>
  <c r="DV151" i="1"/>
  <c r="DV131" i="1"/>
  <c r="DV111" i="1"/>
  <c r="DV91" i="1"/>
  <c r="DV71" i="1"/>
  <c r="DV51" i="1"/>
  <c r="DV31" i="1"/>
  <c r="DV11" i="1"/>
  <c r="DV548" i="1"/>
  <c r="DV528" i="1"/>
  <c r="DV508" i="1"/>
  <c r="DV488" i="1"/>
  <c r="DV468" i="1"/>
  <c r="DV448" i="1"/>
  <c r="DV428" i="1"/>
  <c r="DV408" i="1"/>
  <c r="DV388" i="1"/>
  <c r="DV368" i="1"/>
  <c r="DV348" i="1"/>
  <c r="DV328" i="1"/>
  <c r="DV308" i="1"/>
  <c r="DV288" i="1"/>
  <c r="DV268" i="1"/>
  <c r="DV248" i="1"/>
  <c r="DV228" i="1"/>
  <c r="DV208" i="1"/>
  <c r="DV188" i="1"/>
  <c r="DV168" i="1"/>
  <c r="DV148" i="1"/>
  <c r="DV128" i="1"/>
  <c r="DV108" i="1"/>
  <c r="DV88" i="1"/>
  <c r="DV68" i="1"/>
  <c r="DV48" i="1"/>
  <c r="DV28" i="1"/>
  <c r="DV8" i="1"/>
  <c r="DK497" i="1"/>
  <c r="DK357" i="1"/>
  <c r="DK550" i="1"/>
  <c r="DK530" i="1"/>
  <c r="DK510" i="1"/>
  <c r="DK490" i="1"/>
  <c r="DK470" i="1"/>
  <c r="DK450" i="1"/>
  <c r="DK430" i="1"/>
  <c r="DK410" i="1"/>
  <c r="DK390" i="1"/>
  <c r="DK370" i="1"/>
  <c r="DK350" i="1"/>
  <c r="DK330" i="1"/>
  <c r="DK310" i="1"/>
  <c r="DK290" i="1"/>
  <c r="DK270" i="1"/>
  <c r="DK250" i="1"/>
  <c r="DK230" i="1"/>
  <c r="DK210" i="1"/>
  <c r="DK190" i="1"/>
  <c r="DK170" i="1"/>
  <c r="DK150" i="1"/>
  <c r="DK130" i="1"/>
  <c r="DK110" i="1"/>
  <c r="DK90" i="1"/>
  <c r="DK70" i="1"/>
  <c r="DK50" i="1"/>
  <c r="DK30" i="1"/>
  <c r="DK10" i="1"/>
  <c r="DK549" i="1"/>
  <c r="DK529" i="1"/>
  <c r="DK509" i="1"/>
  <c r="DK489" i="1"/>
  <c r="DK469" i="1"/>
  <c r="DK449" i="1"/>
  <c r="DK429" i="1"/>
  <c r="DK409" i="1"/>
  <c r="DK389" i="1"/>
  <c r="DK369" i="1"/>
  <c r="DK349" i="1"/>
  <c r="DK329" i="1"/>
  <c r="DK309" i="1"/>
  <c r="DK289" i="1"/>
  <c r="DK269" i="1"/>
  <c r="DK249" i="1"/>
  <c r="DK229" i="1"/>
  <c r="DK209" i="1"/>
  <c r="DK189" i="1"/>
  <c r="DK169" i="1"/>
  <c r="DK149" i="1"/>
  <c r="DK129" i="1"/>
  <c r="DK109" i="1"/>
  <c r="DK89" i="1"/>
  <c r="DK69" i="1"/>
  <c r="DK49" i="1"/>
  <c r="DK29" i="1"/>
  <c r="DK9" i="1"/>
  <c r="DK554" i="1"/>
  <c r="DK534" i="1"/>
  <c r="DK494" i="1"/>
  <c r="DK474" i="1"/>
  <c r="DK454" i="1"/>
  <c r="DK434" i="1"/>
  <c r="DK414" i="1"/>
  <c r="DK394" i="1"/>
  <c r="DK374" i="1"/>
  <c r="DK354" i="1"/>
  <c r="DK334" i="1"/>
  <c r="DK314" i="1"/>
  <c r="DK294" i="1"/>
  <c r="DK274" i="1"/>
  <c r="DK254" i="1"/>
  <c r="DK234" i="1"/>
  <c r="DK214" i="1"/>
  <c r="DK174" i="1"/>
  <c r="DK154" i="1"/>
  <c r="DK134" i="1"/>
  <c r="DK94" i="1"/>
  <c r="DK74" i="1"/>
  <c r="DK54" i="1"/>
  <c r="DK34" i="1"/>
  <c r="DK533" i="1"/>
  <c r="DK513" i="1"/>
  <c r="DK473" i="1"/>
  <c r="DK453" i="1"/>
  <c r="DK433" i="1"/>
  <c r="DK393" i="1"/>
  <c r="DK353" i="1"/>
  <c r="DK313" i="1"/>
  <c r="DK193" i="1"/>
  <c r="DK173" i="1"/>
  <c r="DK133" i="1"/>
  <c r="DK113" i="1"/>
  <c r="DK73" i="1"/>
  <c r="DK53" i="1"/>
  <c r="DK33" i="1"/>
  <c r="DK97" i="1"/>
  <c r="DK561" i="1"/>
  <c r="DK541" i="1"/>
  <c r="DK521" i="1"/>
  <c r="DK501" i="1"/>
  <c r="DK481" i="1"/>
  <c r="DK461" i="1"/>
  <c r="DK441" i="1"/>
  <c r="DK421" i="1"/>
  <c r="DK401" i="1"/>
  <c r="DK381" i="1"/>
  <c r="DK361" i="1"/>
  <c r="DK341" i="1"/>
  <c r="DK321" i="1"/>
  <c r="DK301" i="1"/>
  <c r="DK281" i="1"/>
  <c r="DK261" i="1"/>
  <c r="DK241" i="1"/>
  <c r="DK221" i="1"/>
  <c r="DK201" i="1"/>
  <c r="DK181" i="1"/>
  <c r="DK161" i="1"/>
  <c r="DK141" i="1"/>
  <c r="DK121" i="1"/>
  <c r="DK101" i="1"/>
  <c r="DK81" i="1"/>
  <c r="DK61" i="1"/>
  <c r="DK41" i="1"/>
  <c r="DK21" i="1"/>
  <c r="DK551" i="1"/>
  <c r="DK531" i="1"/>
  <c r="DK511" i="1"/>
  <c r="DK491" i="1"/>
  <c r="DK471" i="1"/>
  <c r="DK451" i="1"/>
  <c r="DK431" i="1"/>
  <c r="DK411" i="1"/>
  <c r="DK391" i="1"/>
  <c r="DK565" i="1"/>
  <c r="DK545" i="1"/>
  <c r="DK525" i="1"/>
  <c r="DK505" i="1"/>
  <c r="DK485" i="1"/>
  <c r="DK465" i="1"/>
  <c r="DK445" i="1"/>
  <c r="DK425" i="1"/>
  <c r="DK405" i="1"/>
  <c r="DK385" i="1"/>
  <c r="DK365" i="1"/>
  <c r="DK345" i="1"/>
  <c r="DK325" i="1"/>
  <c r="DK305" i="1"/>
  <c r="DK285" i="1"/>
  <c r="DK265" i="1"/>
  <c r="DK245" i="1"/>
  <c r="DK225" i="1"/>
  <c r="DK205" i="1"/>
  <c r="DK185" i="1"/>
  <c r="DK165" i="1"/>
  <c r="DK145" i="1"/>
  <c r="DK125" i="1"/>
  <c r="DK105" i="1"/>
  <c r="DK85" i="1"/>
  <c r="DK65" i="1"/>
  <c r="DK45" i="1"/>
  <c r="DK25" i="1"/>
  <c r="DK5" i="1"/>
  <c r="DK213" i="1"/>
  <c r="DK543" i="1"/>
  <c r="DK463" i="1"/>
  <c r="DK363" i="1"/>
  <c r="DK243" i="1"/>
  <c r="DK103" i="1"/>
  <c r="DK3" i="1"/>
  <c r="DK493" i="1"/>
  <c r="DK233" i="1"/>
  <c r="DK562" i="1"/>
  <c r="DK542" i="1"/>
  <c r="DK522" i="1"/>
  <c r="DK502" i="1"/>
  <c r="DK482" i="1"/>
  <c r="DK462" i="1"/>
  <c r="DK442" i="1"/>
  <c r="DK422" i="1"/>
  <c r="DK402" i="1"/>
  <c r="DK382" i="1"/>
  <c r="DK362" i="1"/>
  <c r="DK342" i="1"/>
  <c r="DK322" i="1"/>
  <c r="DK302" i="1"/>
  <c r="DK282" i="1"/>
  <c r="DK262" i="1"/>
  <c r="DK242" i="1"/>
  <c r="DK222" i="1"/>
  <c r="DK202" i="1"/>
  <c r="DK182" i="1"/>
  <c r="DK162" i="1"/>
  <c r="DK142" i="1"/>
  <c r="DK122" i="1"/>
  <c r="DK102" i="1"/>
  <c r="DK82" i="1"/>
  <c r="DK62" i="1"/>
  <c r="DK42" i="1"/>
  <c r="DK22" i="1"/>
  <c r="DK293" i="1"/>
  <c r="DK503" i="1"/>
  <c r="DK423" i="1"/>
  <c r="DK323" i="1"/>
  <c r="DK223" i="1"/>
  <c r="DK143" i="1"/>
  <c r="DK43" i="1"/>
  <c r="DK373" i="1"/>
  <c r="DK93" i="1"/>
  <c r="DK14" i="1"/>
  <c r="DK413" i="1"/>
  <c r="DK273" i="1"/>
  <c r="DK153" i="1"/>
  <c r="DK563" i="1"/>
  <c r="DK523" i="1"/>
  <c r="DK483" i="1"/>
  <c r="DK443" i="1"/>
  <c r="DK403" i="1"/>
  <c r="DK383" i="1"/>
  <c r="DK343" i="1"/>
  <c r="DK303" i="1"/>
  <c r="DK263" i="1"/>
  <c r="DK203" i="1"/>
  <c r="DK183" i="1"/>
  <c r="DK163" i="1"/>
  <c r="DK123" i="1"/>
  <c r="DK83" i="1"/>
  <c r="DK63" i="1"/>
  <c r="DK23" i="1"/>
  <c r="DK560" i="1"/>
  <c r="DK540" i="1"/>
  <c r="DK520" i="1"/>
  <c r="DK500" i="1"/>
  <c r="DK480" i="1"/>
  <c r="DK460" i="1"/>
  <c r="DK440" i="1"/>
  <c r="DK420" i="1"/>
  <c r="DK400" i="1"/>
  <c r="DK380" i="1"/>
  <c r="DK360" i="1"/>
  <c r="DK340" i="1"/>
  <c r="DK320" i="1"/>
  <c r="DK300" i="1"/>
  <c r="DK280" i="1"/>
  <c r="DK260" i="1"/>
  <c r="DK240" i="1"/>
  <c r="DK220" i="1"/>
  <c r="DK200" i="1"/>
  <c r="DK180" i="1"/>
  <c r="DK160" i="1"/>
  <c r="DK140" i="1"/>
  <c r="DK120" i="1"/>
  <c r="DK100" i="1"/>
  <c r="DK80" i="1"/>
  <c r="DK60" i="1"/>
  <c r="DK40" i="1"/>
  <c r="DK20" i="1"/>
  <c r="DK194" i="1"/>
  <c r="DK253" i="1"/>
  <c r="DK283" i="1"/>
  <c r="DK559" i="1"/>
  <c r="DK539" i="1"/>
  <c r="DK519" i="1"/>
  <c r="DK499" i="1"/>
  <c r="DK479" i="1"/>
  <c r="DK459" i="1"/>
  <c r="DK439" i="1"/>
  <c r="DK419" i="1"/>
  <c r="DK399" i="1"/>
  <c r="DK379" i="1"/>
  <c r="DK359" i="1"/>
  <c r="DK339" i="1"/>
  <c r="DK319" i="1"/>
  <c r="DK299" i="1"/>
  <c r="DK279" i="1"/>
  <c r="DK259" i="1"/>
  <c r="DK239" i="1"/>
  <c r="DK219" i="1"/>
  <c r="DK199" i="1"/>
  <c r="DK179" i="1"/>
  <c r="DK159" i="1"/>
  <c r="DK139" i="1"/>
  <c r="DK119" i="1"/>
  <c r="DK99" i="1"/>
  <c r="DK79" i="1"/>
  <c r="DK59" i="1"/>
  <c r="DK39" i="1"/>
  <c r="DK19" i="1"/>
  <c r="DK514" i="1"/>
  <c r="DK114" i="1"/>
  <c r="DK553" i="1"/>
  <c r="DK333" i="1"/>
  <c r="DK557" i="1"/>
  <c r="DK537" i="1"/>
  <c r="DK517" i="1"/>
  <c r="DK477" i="1"/>
  <c r="DK457" i="1"/>
  <c r="DK437" i="1"/>
  <c r="DK417" i="1"/>
  <c r="DK397" i="1"/>
  <c r="DK377" i="1"/>
  <c r="DK337" i="1"/>
  <c r="DK317" i="1"/>
  <c r="DK297" i="1"/>
  <c r="DK277" i="1"/>
  <c r="DK257" i="1"/>
  <c r="DK237" i="1"/>
  <c r="DK217" i="1"/>
  <c r="DK197" i="1"/>
  <c r="DK177" i="1"/>
  <c r="DK157" i="1"/>
  <c r="DK137" i="1"/>
  <c r="DK117" i="1"/>
  <c r="DK77" i="1"/>
  <c r="DK57" i="1"/>
  <c r="DK37" i="1"/>
  <c r="DK17" i="1"/>
  <c r="DK13" i="1"/>
  <c r="DK556" i="1"/>
  <c r="DK536" i="1"/>
  <c r="DK516" i="1"/>
  <c r="DK496" i="1"/>
  <c r="DK476" i="1"/>
  <c r="DK456" i="1"/>
  <c r="DK436" i="1"/>
  <c r="DK416" i="1"/>
  <c r="DK396" i="1"/>
  <c r="DK376" i="1"/>
  <c r="DK356" i="1"/>
  <c r="DK336" i="1"/>
  <c r="DK558" i="1"/>
  <c r="DK538" i="1"/>
  <c r="DK518" i="1"/>
  <c r="DK498" i="1"/>
  <c r="DK478" i="1"/>
  <c r="DK458" i="1"/>
  <c r="DK438" i="1"/>
  <c r="DK418" i="1"/>
  <c r="DK398" i="1"/>
  <c r="DK378" i="1"/>
  <c r="DK358" i="1"/>
  <c r="DK338" i="1"/>
  <c r="DK318" i="1"/>
  <c r="DK298" i="1"/>
  <c r="DK278" i="1"/>
  <c r="DK258" i="1"/>
  <c r="DK238" i="1"/>
  <c r="DK218" i="1"/>
  <c r="DK198" i="1"/>
  <c r="DK178" i="1"/>
  <c r="DK158" i="1"/>
  <c r="DK138" i="1"/>
  <c r="DK118" i="1"/>
  <c r="DK98" i="1"/>
  <c r="DK78" i="1"/>
  <c r="DK58" i="1"/>
  <c r="DK38" i="1"/>
  <c r="DK18" i="1"/>
  <c r="DK316" i="1"/>
  <c r="DK296" i="1"/>
  <c r="DK276" i="1"/>
  <c r="DK256" i="1"/>
  <c r="DK236" i="1"/>
  <c r="DK216" i="1"/>
  <c r="DK196" i="1"/>
  <c r="DK176" i="1"/>
  <c r="DK156" i="1"/>
  <c r="DK136" i="1"/>
  <c r="DK116" i="1"/>
  <c r="DK96" i="1"/>
  <c r="DK76" i="1"/>
  <c r="DK56" i="1"/>
  <c r="DK36" i="1"/>
  <c r="DK16" i="1"/>
  <c r="DK555" i="1"/>
  <c r="DK535" i="1"/>
  <c r="DK515" i="1"/>
  <c r="DK495" i="1"/>
  <c r="DK475" i="1"/>
  <c r="DK455" i="1"/>
  <c r="DK435" i="1"/>
  <c r="DK415" i="1"/>
  <c r="DK395" i="1"/>
  <c r="DK375" i="1"/>
  <c r="DK355" i="1"/>
  <c r="DK335" i="1"/>
  <c r="DK315" i="1"/>
  <c r="DK295" i="1"/>
  <c r="DK275" i="1"/>
  <c r="DK255" i="1"/>
  <c r="DK235" i="1"/>
  <c r="DK215" i="1"/>
  <c r="DK195" i="1"/>
  <c r="DK175" i="1"/>
  <c r="DK155" i="1"/>
  <c r="DK135" i="1"/>
  <c r="DK115" i="1"/>
  <c r="DK95" i="1"/>
  <c r="DK75" i="1"/>
  <c r="DK55" i="1"/>
  <c r="DK35" i="1"/>
  <c r="DK15" i="1"/>
  <c r="DK552" i="1"/>
  <c r="DK532" i="1"/>
  <c r="DK512" i="1"/>
  <c r="DK492" i="1"/>
  <c r="DK472" i="1"/>
  <c r="DK452" i="1"/>
  <c r="DK432" i="1"/>
  <c r="DK412" i="1"/>
  <c r="DK392" i="1"/>
  <c r="DK372" i="1"/>
  <c r="DK352" i="1"/>
  <c r="DK332" i="1"/>
  <c r="DK312" i="1"/>
  <c r="DK292" i="1"/>
  <c r="DK272" i="1"/>
  <c r="DK252" i="1"/>
  <c r="DK232" i="1"/>
  <c r="DK212" i="1"/>
  <c r="DK192" i="1"/>
  <c r="DK172" i="1"/>
  <c r="DK152" i="1"/>
  <c r="DK132" i="1"/>
  <c r="DK112" i="1"/>
  <c r="DK92" i="1"/>
  <c r="DK72" i="1"/>
  <c r="DK52" i="1"/>
  <c r="DK32" i="1"/>
  <c r="DK12" i="1"/>
  <c r="DK371" i="1"/>
  <c r="DK351" i="1"/>
  <c r="DK331" i="1"/>
  <c r="DK311" i="1"/>
  <c r="DK291" i="1"/>
  <c r="DK271" i="1"/>
  <c r="DK251" i="1"/>
  <c r="DK231" i="1"/>
  <c r="DK211" i="1"/>
  <c r="DK191" i="1"/>
  <c r="DK171" i="1"/>
  <c r="DK151" i="1"/>
  <c r="DK131" i="1"/>
  <c r="DK111" i="1"/>
  <c r="DK91" i="1"/>
  <c r="DK71" i="1"/>
  <c r="DK51" i="1"/>
  <c r="DK31" i="1"/>
  <c r="DK11" i="1"/>
  <c r="DK548" i="1"/>
  <c r="DK528" i="1"/>
  <c r="DK508" i="1"/>
  <c r="DK488" i="1"/>
  <c r="DK468" i="1"/>
  <c r="DK448" i="1"/>
  <c r="DK428" i="1"/>
  <c r="DK408" i="1"/>
  <c r="DK388" i="1"/>
  <c r="DK368" i="1"/>
  <c r="DK348" i="1"/>
  <c r="DK328" i="1"/>
  <c r="DK308" i="1"/>
  <c r="DK288" i="1"/>
  <c r="DK268" i="1"/>
  <c r="DK248" i="1"/>
  <c r="DK228" i="1"/>
  <c r="DK208" i="1"/>
  <c r="DK188" i="1"/>
  <c r="DK168" i="1"/>
  <c r="DK148" i="1"/>
  <c r="DK128" i="1"/>
  <c r="DK108" i="1"/>
  <c r="DK88" i="1"/>
  <c r="DK68" i="1"/>
  <c r="DK48" i="1"/>
  <c r="DK28" i="1"/>
  <c r="DK8" i="1"/>
  <c r="DK567" i="1"/>
  <c r="DK547" i="1"/>
  <c r="DK527" i="1"/>
  <c r="DK507" i="1"/>
  <c r="DK487" i="1"/>
  <c r="DK467" i="1"/>
  <c r="DK447" i="1"/>
  <c r="DK427" i="1"/>
  <c r="DK407" i="1"/>
  <c r="DK387" i="1"/>
  <c r="DK367" i="1"/>
  <c r="DK347" i="1"/>
  <c r="DK327" i="1"/>
  <c r="DK307" i="1"/>
  <c r="DK287" i="1"/>
  <c r="DK267" i="1"/>
  <c r="DK247" i="1"/>
  <c r="DK227" i="1"/>
  <c r="DK207" i="1"/>
  <c r="DK187" i="1"/>
  <c r="DK167" i="1"/>
  <c r="DK147" i="1"/>
  <c r="DK127" i="1"/>
  <c r="DK107" i="1"/>
  <c r="DK87" i="1"/>
  <c r="DK67" i="1"/>
  <c r="DK47" i="1"/>
  <c r="DK27" i="1"/>
  <c r="DK7" i="1"/>
  <c r="DK566" i="1"/>
  <c r="DK546" i="1"/>
  <c r="DK526" i="1"/>
  <c r="DK506" i="1"/>
  <c r="DK486" i="1"/>
  <c r="DK466" i="1"/>
  <c r="DK446" i="1"/>
  <c r="DK426" i="1"/>
  <c r="DK406" i="1"/>
  <c r="DK386" i="1"/>
  <c r="DK366" i="1"/>
  <c r="DK346" i="1"/>
  <c r="DK326" i="1"/>
  <c r="DK306" i="1"/>
  <c r="DK286" i="1"/>
  <c r="DK266" i="1"/>
  <c r="DK246" i="1"/>
  <c r="DK226" i="1"/>
  <c r="DK206" i="1"/>
  <c r="DK186" i="1"/>
  <c r="DK166" i="1"/>
  <c r="DK146" i="1"/>
  <c r="DK126" i="1"/>
  <c r="DK106" i="1"/>
  <c r="DK86" i="1"/>
  <c r="DK66" i="1"/>
  <c r="DK46" i="1"/>
  <c r="DK26" i="1"/>
  <c r="DK6" i="1"/>
  <c r="DK564" i="1"/>
  <c r="DK544" i="1"/>
  <c r="DK524" i="1"/>
  <c r="DK504" i="1"/>
  <c r="DK484" i="1"/>
  <c r="DK464" i="1"/>
  <c r="DK444" i="1"/>
  <c r="DK424" i="1"/>
  <c r="DK404" i="1"/>
  <c r="DK384" i="1"/>
  <c r="DK364" i="1"/>
  <c r="DK344" i="1"/>
  <c r="DK324" i="1"/>
  <c r="DK304" i="1"/>
  <c r="DK284" i="1"/>
  <c r="DK264" i="1"/>
  <c r="DK244" i="1"/>
  <c r="DK224" i="1"/>
  <c r="DK204" i="1"/>
  <c r="DK184" i="1"/>
  <c r="DK164" i="1"/>
  <c r="DK144" i="1"/>
  <c r="DK124" i="1"/>
  <c r="DK104" i="1"/>
  <c r="DK84" i="1"/>
  <c r="DK64" i="1"/>
  <c r="DK44" i="1"/>
  <c r="DK24" i="1"/>
  <c r="DK4" i="1"/>
  <c r="CX549" i="1"/>
  <c r="CX529" i="1"/>
  <c r="CX509" i="1"/>
  <c r="CX489" i="1"/>
  <c r="CX469" i="1"/>
  <c r="CX449" i="1"/>
  <c r="CX429" i="1"/>
  <c r="CX409" i="1"/>
  <c r="CX389" i="1"/>
  <c r="CX369" i="1"/>
  <c r="CX349" i="1"/>
  <c r="CX329" i="1"/>
  <c r="CX309" i="1"/>
  <c r="CX289" i="1"/>
  <c r="CX269" i="1"/>
  <c r="CX249" i="1"/>
  <c r="CX229" i="1"/>
  <c r="CX209" i="1"/>
  <c r="CX189" i="1"/>
  <c r="CX169" i="1"/>
  <c r="CX149" i="1"/>
  <c r="CX129" i="1"/>
  <c r="CX109" i="1"/>
  <c r="CX89" i="1"/>
  <c r="CX69" i="1"/>
  <c r="CX49" i="1"/>
  <c r="CX29" i="1"/>
  <c r="CX548" i="1"/>
  <c r="CX528" i="1"/>
  <c r="CX508" i="1"/>
  <c r="CX488" i="1"/>
  <c r="CX468" i="1"/>
  <c r="CX448" i="1"/>
  <c r="CX428" i="1"/>
  <c r="CX408" i="1"/>
  <c r="CX388" i="1"/>
  <c r="CX368" i="1"/>
  <c r="CX328" i="1"/>
  <c r="CX308" i="1"/>
  <c r="CX288" i="1"/>
  <c r="CX268" i="1"/>
  <c r="CX248" i="1"/>
  <c r="CX228" i="1"/>
  <c r="CX208" i="1"/>
  <c r="CX188" i="1"/>
  <c r="CX168" i="1"/>
  <c r="CX128" i="1"/>
  <c r="CX108" i="1"/>
  <c r="CX88" i="1"/>
  <c r="CX68" i="1"/>
  <c r="CX48" i="1"/>
  <c r="CX28" i="1"/>
  <c r="CX8" i="1"/>
  <c r="CX560" i="1"/>
  <c r="CX540" i="1"/>
  <c r="CX520" i="1"/>
  <c r="CX500" i="1"/>
  <c r="CX480" i="1"/>
  <c r="CX460" i="1"/>
  <c r="CX440" i="1"/>
  <c r="CX420" i="1"/>
  <c r="CX400" i="1"/>
  <c r="CX380" i="1"/>
  <c r="CX360" i="1"/>
  <c r="CX340" i="1"/>
  <c r="CX320" i="1"/>
  <c r="CX300" i="1"/>
  <c r="CX280" i="1"/>
  <c r="CX260" i="1"/>
  <c r="CX240" i="1"/>
  <c r="CX220" i="1"/>
  <c r="CX200" i="1"/>
  <c r="CX180" i="1"/>
  <c r="CX160" i="1"/>
  <c r="CX140" i="1"/>
  <c r="CX120" i="1"/>
  <c r="CX100" i="1"/>
  <c r="CX80" i="1"/>
  <c r="CX60" i="1"/>
  <c r="CX40" i="1"/>
  <c r="CX20" i="1"/>
  <c r="CX557" i="1"/>
  <c r="CX537" i="1"/>
  <c r="CX517" i="1"/>
  <c r="CX497" i="1"/>
  <c r="CX477" i="1"/>
  <c r="CX457" i="1"/>
  <c r="CX437" i="1"/>
  <c r="CX417" i="1"/>
  <c r="CX397" i="1"/>
  <c r="CX377" i="1"/>
  <c r="CX357" i="1"/>
  <c r="CX337" i="1"/>
  <c r="CX317" i="1"/>
  <c r="CX297" i="1"/>
  <c r="CX277" i="1"/>
  <c r="CX257" i="1"/>
  <c r="CX237" i="1"/>
  <c r="CX217" i="1"/>
  <c r="CX197" i="1"/>
  <c r="CX177" i="1"/>
  <c r="CX157" i="1"/>
  <c r="CX137" i="1"/>
  <c r="CX117" i="1"/>
  <c r="CX97" i="1"/>
  <c r="CX77" i="1"/>
  <c r="CX57" i="1"/>
  <c r="CX37" i="1"/>
  <c r="CX17" i="1"/>
  <c r="CX9" i="1"/>
  <c r="CX567" i="1"/>
  <c r="CX547" i="1"/>
  <c r="CX527" i="1"/>
  <c r="CX507" i="1"/>
  <c r="CX487" i="1"/>
  <c r="CX467" i="1"/>
  <c r="CX447" i="1"/>
  <c r="CX427" i="1"/>
  <c r="CX407" i="1"/>
  <c r="CX387" i="1"/>
  <c r="CX367" i="1"/>
  <c r="CX347" i="1"/>
  <c r="CX327" i="1"/>
  <c r="CX307" i="1"/>
  <c r="CX287" i="1"/>
  <c r="CX267" i="1"/>
  <c r="CX247" i="1"/>
  <c r="CX227" i="1"/>
  <c r="CX207" i="1"/>
  <c r="CX187" i="1"/>
  <c r="CX167" i="1"/>
  <c r="CX147" i="1"/>
  <c r="CX127" i="1"/>
  <c r="CX107" i="1"/>
  <c r="CX87" i="1"/>
  <c r="CX67" i="1"/>
  <c r="CX47" i="1"/>
  <c r="CX27" i="1"/>
  <c r="CX7" i="1"/>
  <c r="CX564" i="1"/>
  <c r="CX544" i="1"/>
  <c r="CX524" i="1"/>
  <c r="CX504" i="1"/>
  <c r="CX484" i="1"/>
  <c r="CX464" i="1"/>
  <c r="CX444" i="1"/>
  <c r="CX424" i="1"/>
  <c r="CX404" i="1"/>
  <c r="CX384" i="1"/>
  <c r="CX364" i="1"/>
  <c r="CX344" i="1"/>
  <c r="CX324" i="1"/>
  <c r="CX563" i="1"/>
  <c r="CX543" i="1"/>
  <c r="CX523" i="1"/>
  <c r="CX503" i="1"/>
  <c r="CX483" i="1"/>
  <c r="CX463" i="1"/>
  <c r="CX443" i="1"/>
  <c r="CX423" i="1"/>
  <c r="CX403" i="1"/>
  <c r="CX383" i="1"/>
  <c r="CX363" i="1"/>
  <c r="CX343" i="1"/>
  <c r="CX323" i="1"/>
  <c r="CX303" i="1"/>
  <c r="CX283" i="1"/>
  <c r="CX263" i="1"/>
  <c r="CX243" i="1"/>
  <c r="CX223" i="1"/>
  <c r="CX203" i="1"/>
  <c r="CX183" i="1"/>
  <c r="CX163" i="1"/>
  <c r="CX143" i="1"/>
  <c r="CX123" i="1"/>
  <c r="CX103" i="1"/>
  <c r="CX83" i="1"/>
  <c r="CX63" i="1"/>
  <c r="CX43" i="1"/>
  <c r="CX23" i="1"/>
  <c r="CX3" i="1"/>
  <c r="CX502" i="1"/>
  <c r="CX559" i="1"/>
  <c r="CX539" i="1"/>
  <c r="CX519" i="1"/>
  <c r="CX499" i="1"/>
  <c r="CX479" i="1"/>
  <c r="CX459" i="1"/>
  <c r="CX439" i="1"/>
  <c r="CX419" i="1"/>
  <c r="CX399" i="1"/>
  <c r="CX379" i="1"/>
  <c r="CX558" i="1"/>
  <c r="CX538" i="1"/>
  <c r="CX518" i="1"/>
  <c r="CX498" i="1"/>
  <c r="CX478" i="1"/>
  <c r="CX458" i="1"/>
  <c r="CX438" i="1"/>
  <c r="CX418" i="1"/>
  <c r="CX398" i="1"/>
  <c r="CX378" i="1"/>
  <c r="CX358" i="1"/>
  <c r="CX338" i="1"/>
  <c r="CX318" i="1"/>
  <c r="CX298" i="1"/>
  <c r="CX278" i="1"/>
  <c r="CX258" i="1"/>
  <c r="CX238" i="1"/>
  <c r="CX359" i="1"/>
  <c r="CX339" i="1"/>
  <c r="CX218" i="1"/>
  <c r="CX198" i="1"/>
  <c r="CX178" i="1"/>
  <c r="CX551" i="1"/>
  <c r="CX531" i="1"/>
  <c r="CX511" i="1"/>
  <c r="CX491" i="1"/>
  <c r="CX471" i="1"/>
  <c r="CX451" i="1"/>
  <c r="CX431" i="1"/>
  <c r="CX411" i="1"/>
  <c r="CX11" i="1"/>
  <c r="CX550" i="1"/>
  <c r="CX530" i="1"/>
  <c r="CX510" i="1"/>
  <c r="CX490" i="1"/>
  <c r="CX470" i="1"/>
  <c r="CX450" i="1"/>
  <c r="CX430" i="1"/>
  <c r="CX410" i="1"/>
  <c r="CX390" i="1"/>
  <c r="CX370" i="1"/>
  <c r="CX350" i="1"/>
  <c r="CX330" i="1"/>
  <c r="CX310" i="1"/>
  <c r="CX290" i="1"/>
  <c r="CX270" i="1"/>
  <c r="CX250" i="1"/>
  <c r="CX230" i="1"/>
  <c r="CX210" i="1"/>
  <c r="CX190" i="1"/>
  <c r="CX170" i="1"/>
  <c r="CX150" i="1"/>
  <c r="CX130" i="1"/>
  <c r="CX110" i="1"/>
  <c r="CX90" i="1"/>
  <c r="CX70" i="1"/>
  <c r="CX50" i="1"/>
  <c r="CX30" i="1"/>
  <c r="CX10" i="1"/>
  <c r="CX566" i="1"/>
  <c r="CX546" i="1"/>
  <c r="CX526" i="1"/>
  <c r="CX506" i="1"/>
  <c r="CX486" i="1"/>
  <c r="CX466" i="1"/>
  <c r="CX446" i="1"/>
  <c r="CX426" i="1"/>
  <c r="CX406" i="1"/>
  <c r="CX386" i="1"/>
  <c r="CX366" i="1"/>
  <c r="CX346" i="1"/>
  <c r="CX326" i="1"/>
  <c r="CX306" i="1"/>
  <c r="CX286" i="1"/>
  <c r="CX266" i="1"/>
  <c r="CX246" i="1"/>
  <c r="CX226" i="1"/>
  <c r="CX206" i="1"/>
  <c r="CX186" i="1"/>
  <c r="CX166" i="1"/>
  <c r="CX146" i="1"/>
  <c r="CX126" i="1"/>
  <c r="CX106" i="1"/>
  <c r="CX86" i="1"/>
  <c r="CX66" i="1"/>
  <c r="CX46" i="1"/>
  <c r="CX26" i="1"/>
  <c r="CX6" i="1"/>
  <c r="CX565" i="1"/>
  <c r="CX545" i="1"/>
  <c r="CX525" i="1"/>
  <c r="CX505" i="1"/>
  <c r="CX485" i="1"/>
  <c r="CX465" i="1"/>
  <c r="CX445" i="1"/>
  <c r="CX425" i="1"/>
  <c r="CX405" i="1"/>
  <c r="CX385" i="1"/>
  <c r="CX365" i="1"/>
  <c r="CX345" i="1"/>
  <c r="CX325" i="1"/>
  <c r="CX305" i="1"/>
  <c r="CX285" i="1"/>
  <c r="CX265" i="1"/>
  <c r="CX245" i="1"/>
  <c r="CX225" i="1"/>
  <c r="CX205" i="1"/>
  <c r="CX185" i="1"/>
  <c r="CX165" i="1"/>
  <c r="CX145" i="1"/>
  <c r="CX125" i="1"/>
  <c r="CX105" i="1"/>
  <c r="CX85" i="1"/>
  <c r="CX65" i="1"/>
  <c r="CX45" i="1"/>
  <c r="CX25" i="1"/>
  <c r="CX5" i="1"/>
  <c r="CX348" i="1"/>
  <c r="CX148" i="1"/>
  <c r="CX562" i="1"/>
  <c r="CX542" i="1"/>
  <c r="CX522" i="1"/>
  <c r="CX482" i="1"/>
  <c r="CX462" i="1"/>
  <c r="CX442" i="1"/>
  <c r="CX422" i="1"/>
  <c r="CX402" i="1"/>
  <c r="CX382" i="1"/>
  <c r="CX362" i="1"/>
  <c r="CX342" i="1"/>
  <c r="CX322" i="1"/>
  <c r="CX302" i="1"/>
  <c r="CX282" i="1"/>
  <c r="CX262" i="1"/>
  <c r="CX242" i="1"/>
  <c r="CX222" i="1"/>
  <c r="CX202" i="1"/>
  <c r="CX182" i="1"/>
  <c r="CX162" i="1"/>
  <c r="CX142" i="1"/>
  <c r="CX122" i="1"/>
  <c r="CX102" i="1"/>
  <c r="CX82" i="1"/>
  <c r="CX62" i="1"/>
  <c r="CX42" i="1"/>
  <c r="CX22" i="1"/>
  <c r="CX501" i="1"/>
  <c r="CX481" i="1"/>
  <c r="CX461" i="1"/>
  <c r="CX441" i="1"/>
  <c r="CX421" i="1"/>
  <c r="CX401" i="1"/>
  <c r="CX381" i="1"/>
  <c r="CX361" i="1"/>
  <c r="CX341" i="1"/>
  <c r="CX321" i="1"/>
  <c r="CX301" i="1"/>
  <c r="CX281" i="1"/>
  <c r="CX261" i="1"/>
  <c r="CX241" i="1"/>
  <c r="CX221" i="1"/>
  <c r="CX201" i="1"/>
  <c r="CX181" i="1"/>
  <c r="CX161" i="1"/>
  <c r="CX141" i="1"/>
  <c r="CX121" i="1"/>
  <c r="CX101" i="1"/>
  <c r="CX81" i="1"/>
  <c r="CX61" i="1"/>
  <c r="CX41" i="1"/>
  <c r="CX21" i="1"/>
  <c r="CX319" i="1"/>
  <c r="CX299" i="1"/>
  <c r="CX279" i="1"/>
  <c r="CX259" i="1"/>
  <c r="CX239" i="1"/>
  <c r="CX219" i="1"/>
  <c r="CX199" i="1"/>
  <c r="CX179" i="1"/>
  <c r="CX159" i="1"/>
  <c r="CX139" i="1"/>
  <c r="CX119" i="1"/>
  <c r="CX99" i="1"/>
  <c r="CX79" i="1"/>
  <c r="CX59" i="1"/>
  <c r="CX39" i="1"/>
  <c r="CX19" i="1"/>
  <c r="CX158" i="1"/>
  <c r="CX138" i="1"/>
  <c r="CX118" i="1"/>
  <c r="CX98" i="1"/>
  <c r="CX78" i="1"/>
  <c r="CX58" i="1"/>
  <c r="CX38" i="1"/>
  <c r="CX18" i="1"/>
  <c r="CX556" i="1"/>
  <c r="CX536" i="1"/>
  <c r="CX516" i="1"/>
  <c r="CX496" i="1"/>
  <c r="CX476" i="1"/>
  <c r="CX456" i="1"/>
  <c r="CX436" i="1"/>
  <c r="CX416" i="1"/>
  <c r="CX396" i="1"/>
  <c r="CX376" i="1"/>
  <c r="CX356" i="1"/>
  <c r="CX336" i="1"/>
  <c r="CX316" i="1"/>
  <c r="CX296" i="1"/>
  <c r="CX276" i="1"/>
  <c r="CX256" i="1"/>
  <c r="CX236" i="1"/>
  <c r="CX216" i="1"/>
  <c r="CX196" i="1"/>
  <c r="CX176" i="1"/>
  <c r="CX156" i="1"/>
  <c r="CX136" i="1"/>
  <c r="CX116" i="1"/>
  <c r="CX96" i="1"/>
  <c r="CX76" i="1"/>
  <c r="CX56" i="1"/>
  <c r="CX36" i="1"/>
  <c r="CX16" i="1"/>
  <c r="CX561" i="1"/>
  <c r="CX541" i="1"/>
  <c r="CX521" i="1"/>
  <c r="CX555" i="1"/>
  <c r="CX535" i="1"/>
  <c r="CX515" i="1"/>
  <c r="CX495" i="1"/>
  <c r="CX475" i="1"/>
  <c r="CX455" i="1"/>
  <c r="CX435" i="1"/>
  <c r="CX415" i="1"/>
  <c r="CX395" i="1"/>
  <c r="CX375" i="1"/>
  <c r="CX355" i="1"/>
  <c r="CX335" i="1"/>
  <c r="CX315" i="1"/>
  <c r="CX295" i="1"/>
  <c r="CX275" i="1"/>
  <c r="CX255" i="1"/>
  <c r="CX235" i="1"/>
  <c r="CX215" i="1"/>
  <c r="CX195" i="1"/>
  <c r="CX175" i="1"/>
  <c r="CX155" i="1"/>
  <c r="CX135" i="1"/>
  <c r="CX115" i="1"/>
  <c r="CX95" i="1"/>
  <c r="CX75" i="1"/>
  <c r="CX55" i="1"/>
  <c r="CX35" i="1"/>
  <c r="CX15" i="1"/>
  <c r="CX554" i="1"/>
  <c r="CX534" i="1"/>
  <c r="CX514" i="1"/>
  <c r="CX494" i="1"/>
  <c r="CX474" i="1"/>
  <c r="CX454" i="1"/>
  <c r="CX434" i="1"/>
  <c r="CX414" i="1"/>
  <c r="CX394" i="1"/>
  <c r="CX374" i="1"/>
  <c r="CX354" i="1"/>
  <c r="CX334" i="1"/>
  <c r="CX314" i="1"/>
  <c r="CX294" i="1"/>
  <c r="CX274" i="1"/>
  <c r="CX254" i="1"/>
  <c r="CX234" i="1"/>
  <c r="CX214" i="1"/>
  <c r="CX194" i="1"/>
  <c r="CX174" i="1"/>
  <c r="CX154" i="1"/>
  <c r="CX134" i="1"/>
  <c r="CX114" i="1"/>
  <c r="CX94" i="1"/>
  <c r="CX74" i="1"/>
  <c r="CX54" i="1"/>
  <c r="CX34" i="1"/>
  <c r="CX14" i="1"/>
  <c r="CX553" i="1"/>
  <c r="CX533" i="1"/>
  <c r="CX513" i="1"/>
  <c r="CX493" i="1"/>
  <c r="CX473" i="1"/>
  <c r="CX453" i="1"/>
  <c r="CX433" i="1"/>
  <c r="CX413" i="1"/>
  <c r="CX393" i="1"/>
  <c r="CX373" i="1"/>
  <c r="CX353" i="1"/>
  <c r="CX333" i="1"/>
  <c r="CX313" i="1"/>
  <c r="CX293" i="1"/>
  <c r="CX273" i="1"/>
  <c r="CX253" i="1"/>
  <c r="CX233" i="1"/>
  <c r="CX213" i="1"/>
  <c r="CX193" i="1"/>
  <c r="CX173" i="1"/>
  <c r="CX153" i="1"/>
  <c r="CX133" i="1"/>
  <c r="CX113" i="1"/>
  <c r="CX93" i="1"/>
  <c r="CX73" i="1"/>
  <c r="CX53" i="1"/>
  <c r="CX33" i="1"/>
  <c r="CX13" i="1"/>
  <c r="CX552" i="1"/>
  <c r="CX532" i="1"/>
  <c r="CX512" i="1"/>
  <c r="CX492" i="1"/>
  <c r="CX472" i="1"/>
  <c r="CX452" i="1"/>
  <c r="CX432" i="1"/>
  <c r="CX412" i="1"/>
  <c r="CX392" i="1"/>
  <c r="CX372" i="1"/>
  <c r="CX352" i="1"/>
  <c r="CX332" i="1"/>
  <c r="CX312" i="1"/>
  <c r="CX292" i="1"/>
  <c r="CX272" i="1"/>
  <c r="CX252" i="1"/>
  <c r="CX232" i="1"/>
  <c r="CX212" i="1"/>
  <c r="CX192" i="1"/>
  <c r="CX172" i="1"/>
  <c r="CX152" i="1"/>
  <c r="CX132" i="1"/>
  <c r="CX112" i="1"/>
  <c r="CX92" i="1"/>
  <c r="CX72" i="1"/>
  <c r="CX52" i="1"/>
  <c r="CX32" i="1"/>
  <c r="CX12" i="1"/>
  <c r="CX391" i="1"/>
  <c r="CX371" i="1"/>
  <c r="CX351" i="1"/>
  <c r="CX331" i="1"/>
  <c r="CX311" i="1"/>
  <c r="CX291" i="1"/>
  <c r="CX271" i="1"/>
  <c r="CX251" i="1"/>
  <c r="CX231" i="1"/>
  <c r="CX211" i="1"/>
  <c r="CX191" i="1"/>
  <c r="CX171" i="1"/>
  <c r="CX151" i="1"/>
  <c r="CX131" i="1"/>
  <c r="CX111" i="1"/>
  <c r="CX91" i="1"/>
  <c r="CX71" i="1"/>
  <c r="CX51" i="1"/>
  <c r="CX31" i="1"/>
  <c r="CX304" i="1"/>
  <c r="CX284" i="1"/>
  <c r="CX264" i="1"/>
  <c r="CX244" i="1"/>
  <c r="CX224" i="1"/>
  <c r="CX204" i="1"/>
  <c r="CX184" i="1"/>
  <c r="CX164" i="1"/>
  <c r="CX144" i="1"/>
  <c r="CX124" i="1"/>
  <c r="CX104" i="1"/>
  <c r="CX84" i="1"/>
  <c r="CX64" i="1"/>
  <c r="CX44" i="1"/>
  <c r="CX24" i="1"/>
  <c r="CX4" i="1"/>
  <c r="BW558" i="1"/>
  <c r="BW538" i="1"/>
  <c r="BW518" i="1"/>
  <c r="BW498" i="1"/>
  <c r="BW478" i="1"/>
  <c r="BW458" i="1"/>
  <c r="BW438" i="1"/>
  <c r="BW418" i="1"/>
  <c r="BW398" i="1"/>
  <c r="BW378" i="1"/>
  <c r="BW358" i="1"/>
  <c r="BW338" i="1"/>
  <c r="BW318" i="1"/>
  <c r="BW354" i="1"/>
  <c r="BW194" i="1"/>
  <c r="BW280" i="1"/>
  <c r="BW120" i="1"/>
  <c r="BW534" i="1"/>
  <c r="BW454" i="1"/>
  <c r="BW374" i="1"/>
  <c r="BW294" i="1"/>
  <c r="BW274" i="1"/>
  <c r="BW214" i="1"/>
  <c r="BW134" i="1"/>
  <c r="BW114" i="1"/>
  <c r="BW54" i="1"/>
  <c r="BW562" i="1"/>
  <c r="BW542" i="1"/>
  <c r="BW522" i="1"/>
  <c r="BW502" i="1"/>
  <c r="BW482" i="1"/>
  <c r="BW462" i="1"/>
  <c r="BW442" i="1"/>
  <c r="BW422" i="1"/>
  <c r="BW402" i="1"/>
  <c r="BW382" i="1"/>
  <c r="BW362" i="1"/>
  <c r="BW342" i="1"/>
  <c r="BW322" i="1"/>
  <c r="BW302" i="1"/>
  <c r="BW282" i="1"/>
  <c r="BW262" i="1"/>
  <c r="BW242" i="1"/>
  <c r="BW222" i="1"/>
  <c r="BW202" i="1"/>
  <c r="BW182" i="1"/>
  <c r="BW162" i="1"/>
  <c r="BW142" i="1"/>
  <c r="BW122" i="1"/>
  <c r="BW102" i="1"/>
  <c r="BW82" i="1"/>
  <c r="BW62" i="1"/>
  <c r="BW42" i="1"/>
  <c r="BW22" i="1"/>
  <c r="BW559" i="1"/>
  <c r="BW539" i="1"/>
  <c r="BW519" i="1"/>
  <c r="BW499" i="1"/>
  <c r="BW479" i="1"/>
  <c r="BW459" i="1"/>
  <c r="BW439" i="1"/>
  <c r="BW419" i="1"/>
  <c r="BW399" i="1"/>
  <c r="BW379" i="1"/>
  <c r="BW359" i="1"/>
  <c r="BW339" i="1"/>
  <c r="BW319" i="1"/>
  <c r="BW299" i="1"/>
  <c r="BW279" i="1"/>
  <c r="BW259" i="1"/>
  <c r="BW239" i="1"/>
  <c r="BW219" i="1"/>
  <c r="BW199" i="1"/>
  <c r="BW179" i="1"/>
  <c r="BW159" i="1"/>
  <c r="BW139" i="1"/>
  <c r="BW119" i="1"/>
  <c r="BW99" i="1"/>
  <c r="BW79" i="1"/>
  <c r="BW59" i="1"/>
  <c r="BW39" i="1"/>
  <c r="BW19" i="1"/>
  <c r="BW298" i="1"/>
  <c r="BW278" i="1"/>
  <c r="BW258" i="1"/>
  <c r="BW238" i="1"/>
  <c r="BW218" i="1"/>
  <c r="BW198" i="1"/>
  <c r="BW178" i="1"/>
  <c r="BW158" i="1"/>
  <c r="BW138" i="1"/>
  <c r="BW118" i="1"/>
  <c r="BW98" i="1"/>
  <c r="BW78" i="1"/>
  <c r="BW58" i="1"/>
  <c r="BW38" i="1"/>
  <c r="BW18" i="1"/>
  <c r="BW434" i="1"/>
  <c r="BW34" i="1"/>
  <c r="BW553" i="1"/>
  <c r="BW533" i="1"/>
  <c r="BW513" i="1"/>
  <c r="BW493" i="1"/>
  <c r="BW473" i="1"/>
  <c r="BW453" i="1"/>
  <c r="BW433" i="1"/>
  <c r="BW413" i="1"/>
  <c r="BW393" i="1"/>
  <c r="BW373" i="1"/>
  <c r="BW353" i="1"/>
  <c r="BW333" i="1"/>
  <c r="BW313" i="1"/>
  <c r="BW293" i="1"/>
  <c r="BW273" i="1"/>
  <c r="BW253" i="1"/>
  <c r="BW233" i="1"/>
  <c r="BW213" i="1"/>
  <c r="BW193" i="1"/>
  <c r="BW173" i="1"/>
  <c r="BW153" i="1"/>
  <c r="BW133" i="1"/>
  <c r="BW113" i="1"/>
  <c r="BW93" i="1"/>
  <c r="BW73" i="1"/>
  <c r="BW53" i="1"/>
  <c r="BW33" i="1"/>
  <c r="BW13" i="1"/>
  <c r="BW567" i="1"/>
  <c r="BW547" i="1"/>
  <c r="BW527" i="1"/>
  <c r="BW507" i="1"/>
  <c r="BW487" i="1"/>
  <c r="BW467" i="1"/>
  <c r="BW447" i="1"/>
  <c r="BW427" i="1"/>
  <c r="BW407" i="1"/>
  <c r="BW387" i="1"/>
  <c r="BW367" i="1"/>
  <c r="BW347" i="1"/>
  <c r="BW327" i="1"/>
  <c r="BW307" i="1"/>
  <c r="BW287" i="1"/>
  <c r="BW267" i="1"/>
  <c r="BW247" i="1"/>
  <c r="BW227" i="1"/>
  <c r="BW207" i="1"/>
  <c r="BW187" i="1"/>
  <c r="BW167" i="1"/>
  <c r="BW147" i="1"/>
  <c r="BW127" i="1"/>
  <c r="BW107" i="1"/>
  <c r="BW87" i="1"/>
  <c r="BW67" i="1"/>
  <c r="BW47" i="1"/>
  <c r="BW27" i="1"/>
  <c r="BW7" i="1"/>
  <c r="BW557" i="1"/>
  <c r="BW537" i="1"/>
  <c r="BW517" i="1"/>
  <c r="BW497" i="1"/>
  <c r="BW477" i="1"/>
  <c r="BW457" i="1"/>
  <c r="BW437" i="1"/>
  <c r="BW417" i="1"/>
  <c r="BW397" i="1"/>
  <c r="BW377" i="1"/>
  <c r="BW357" i="1"/>
  <c r="BW337" i="1"/>
  <c r="BW317" i="1"/>
  <c r="BW297" i="1"/>
  <c r="BW277" i="1"/>
  <c r="BW257" i="1"/>
  <c r="BW237" i="1"/>
  <c r="BW217" i="1"/>
  <c r="BW197" i="1"/>
  <c r="BW177" i="1"/>
  <c r="BW157" i="1"/>
  <c r="BW137" i="1"/>
  <c r="BW117" i="1"/>
  <c r="BW97" i="1"/>
  <c r="BW77" i="1"/>
  <c r="BW57" i="1"/>
  <c r="BW37" i="1"/>
  <c r="BW17" i="1"/>
  <c r="BW541" i="1"/>
  <c r="BW381" i="1"/>
  <c r="BW301" i="1"/>
  <c r="BW40" i="1"/>
  <c r="BW514" i="1"/>
  <c r="BW554" i="1"/>
  <c r="BW494" i="1"/>
  <c r="BW474" i="1"/>
  <c r="BW414" i="1"/>
  <c r="BW394" i="1"/>
  <c r="BW334" i="1"/>
  <c r="BW314" i="1"/>
  <c r="BW254" i="1"/>
  <c r="BW234" i="1"/>
  <c r="BW174" i="1"/>
  <c r="BW154" i="1"/>
  <c r="BW94" i="1"/>
  <c r="BW74" i="1"/>
  <c r="BW14" i="1"/>
  <c r="BW566" i="1"/>
  <c r="BW546" i="1"/>
  <c r="BW526" i="1"/>
  <c r="BW506" i="1"/>
  <c r="BW486" i="1"/>
  <c r="BW466" i="1"/>
  <c r="BW446" i="1"/>
  <c r="BW426" i="1"/>
  <c r="BW406" i="1"/>
  <c r="BW386" i="1"/>
  <c r="BW366" i="1"/>
  <c r="BW346" i="1"/>
  <c r="BW326" i="1"/>
  <c r="BW306" i="1"/>
  <c r="BW286" i="1"/>
  <c r="BW266" i="1"/>
  <c r="BW246" i="1"/>
  <c r="BW226" i="1"/>
  <c r="BW206" i="1"/>
  <c r="BW186" i="1"/>
  <c r="BW166" i="1"/>
  <c r="BW146" i="1"/>
  <c r="BW126" i="1"/>
  <c r="BW106" i="1"/>
  <c r="BW86" i="1"/>
  <c r="BW66" i="1"/>
  <c r="BW46" i="1"/>
  <c r="BW26" i="1"/>
  <c r="BW6" i="1"/>
  <c r="BW556" i="1"/>
  <c r="BW536" i="1"/>
  <c r="BW516" i="1"/>
  <c r="BW496" i="1"/>
  <c r="BW476" i="1"/>
  <c r="BW456" i="1"/>
  <c r="BW436" i="1"/>
  <c r="BW416" i="1"/>
  <c r="BW396" i="1"/>
  <c r="BW376" i="1"/>
  <c r="BW356" i="1"/>
  <c r="BW336" i="1"/>
  <c r="BW316" i="1"/>
  <c r="BW296" i="1"/>
  <c r="BW276" i="1"/>
  <c r="BW256" i="1"/>
  <c r="BW236" i="1"/>
  <c r="BW216" i="1"/>
  <c r="BW196" i="1"/>
  <c r="BW176" i="1"/>
  <c r="BW156" i="1"/>
  <c r="BW136" i="1"/>
  <c r="BW116" i="1"/>
  <c r="BW96" i="1"/>
  <c r="BW76" i="1"/>
  <c r="BW56" i="1"/>
  <c r="BW36" i="1"/>
  <c r="BW16" i="1"/>
  <c r="BW561" i="1"/>
  <c r="BW521" i="1"/>
  <c r="BW501" i="1"/>
  <c r="BW481" i="1"/>
  <c r="BW461" i="1"/>
  <c r="BW441" i="1"/>
  <c r="BW421" i="1"/>
  <c r="BW401" i="1"/>
  <c r="BW361" i="1"/>
  <c r="BW341" i="1"/>
  <c r="BW321" i="1"/>
  <c r="BW281" i="1"/>
  <c r="BW261" i="1"/>
  <c r="BW241" i="1"/>
  <c r="BW221" i="1"/>
  <c r="BW201" i="1"/>
  <c r="BW181" i="1"/>
  <c r="BW161" i="1"/>
  <c r="BW141" i="1"/>
  <c r="BW121" i="1"/>
  <c r="BW101" i="1"/>
  <c r="BW81" i="1"/>
  <c r="BW61" i="1"/>
  <c r="BW41" i="1"/>
  <c r="BW21" i="1"/>
  <c r="BW560" i="1"/>
  <c r="BW540" i="1"/>
  <c r="BW520" i="1"/>
  <c r="BW500" i="1"/>
  <c r="BW480" i="1"/>
  <c r="BW460" i="1"/>
  <c r="BW440" i="1"/>
  <c r="BW420" i="1"/>
  <c r="BW400" i="1"/>
  <c r="BW380" i="1"/>
  <c r="BW360" i="1"/>
  <c r="BW340" i="1"/>
  <c r="BW320" i="1"/>
  <c r="BW300" i="1"/>
  <c r="BW260" i="1"/>
  <c r="BW240" i="1"/>
  <c r="BW220" i="1"/>
  <c r="BW200" i="1"/>
  <c r="BW180" i="1"/>
  <c r="BW160" i="1"/>
  <c r="BW140" i="1"/>
  <c r="BW100" i="1"/>
  <c r="BW80" i="1"/>
  <c r="BW60" i="1"/>
  <c r="BW20" i="1"/>
  <c r="BW548" i="1"/>
  <c r="BW528" i="1"/>
  <c r="BW508" i="1"/>
  <c r="BW488" i="1"/>
  <c r="BW468" i="1"/>
  <c r="BW448" i="1"/>
  <c r="BW428" i="1"/>
  <c r="BW408" i="1"/>
  <c r="BW388" i="1"/>
  <c r="BW368" i="1"/>
  <c r="BW348" i="1"/>
  <c r="BW328" i="1"/>
  <c r="BW308" i="1"/>
  <c r="BW288" i="1"/>
  <c r="BW268" i="1"/>
  <c r="BW248" i="1"/>
  <c r="BW228" i="1"/>
  <c r="BW208" i="1"/>
  <c r="BW188" i="1"/>
  <c r="BW168" i="1"/>
  <c r="BW148" i="1"/>
  <c r="BW128" i="1"/>
  <c r="BW108" i="1"/>
  <c r="BW88" i="1"/>
  <c r="BW68" i="1"/>
  <c r="BW48" i="1"/>
  <c r="BW28" i="1"/>
  <c r="BW565" i="1"/>
  <c r="BW545" i="1"/>
  <c r="BW525" i="1"/>
  <c r="FU525" i="1" s="1"/>
  <c r="BW505" i="1"/>
  <c r="BW485" i="1"/>
  <c r="BW465" i="1"/>
  <c r="BW445" i="1"/>
  <c r="BW425" i="1"/>
  <c r="BW405" i="1"/>
  <c r="BW385" i="1"/>
  <c r="BW365" i="1"/>
  <c r="BW345" i="1"/>
  <c r="BW325" i="1"/>
  <c r="BW305" i="1"/>
  <c r="BW285" i="1"/>
  <c r="BW265" i="1"/>
  <c r="BW245" i="1"/>
  <c r="BW225" i="1"/>
  <c r="BW205" i="1"/>
  <c r="BW185" i="1"/>
  <c r="BW165" i="1"/>
  <c r="BW145" i="1"/>
  <c r="BW125" i="1"/>
  <c r="BW105" i="1"/>
  <c r="BW85" i="1"/>
  <c r="BW65" i="1"/>
  <c r="BW45" i="1"/>
  <c r="BW25" i="1"/>
  <c r="BW5" i="1"/>
  <c r="BW555" i="1"/>
  <c r="BW535" i="1"/>
  <c r="BW515" i="1"/>
  <c r="BW495" i="1"/>
  <c r="BW475" i="1"/>
  <c r="BW455" i="1"/>
  <c r="BW435" i="1"/>
  <c r="BW415" i="1"/>
  <c r="BW395" i="1"/>
  <c r="BW375" i="1"/>
  <c r="BW355" i="1"/>
  <c r="BW335" i="1"/>
  <c r="BW315" i="1"/>
  <c r="BW295" i="1"/>
  <c r="BW275" i="1"/>
  <c r="BW255" i="1"/>
  <c r="BW235" i="1"/>
  <c r="BW215" i="1"/>
  <c r="BW195" i="1"/>
  <c r="BW175" i="1"/>
  <c r="BW155" i="1"/>
  <c r="BW135" i="1"/>
  <c r="BW115" i="1"/>
  <c r="BW95" i="1"/>
  <c r="BW75" i="1"/>
  <c r="BW55" i="1"/>
  <c r="BW35" i="1"/>
  <c r="BW15" i="1"/>
  <c r="BW564" i="1"/>
  <c r="BW544" i="1"/>
  <c r="BW524" i="1"/>
  <c r="BW504" i="1"/>
  <c r="BW484" i="1"/>
  <c r="BW464" i="1"/>
  <c r="BW444" i="1"/>
  <c r="BW424" i="1"/>
  <c r="BW404" i="1"/>
  <c r="BW384" i="1"/>
  <c r="BW364" i="1"/>
  <c r="BW344" i="1"/>
  <c r="BW324" i="1"/>
  <c r="BW304" i="1"/>
  <c r="BW284" i="1"/>
  <c r="BW264" i="1"/>
  <c r="BW244" i="1"/>
  <c r="BW224" i="1"/>
  <c r="BW204" i="1"/>
  <c r="BW184" i="1"/>
  <c r="BW164" i="1"/>
  <c r="BW144" i="1"/>
  <c r="BW124" i="1"/>
  <c r="BW104" i="1"/>
  <c r="BW84" i="1"/>
  <c r="BW64" i="1"/>
  <c r="BW44" i="1"/>
  <c r="BW24" i="1"/>
  <c r="BW4" i="1"/>
  <c r="BW563" i="1"/>
  <c r="BW543" i="1"/>
  <c r="BW523" i="1"/>
  <c r="BW503" i="1"/>
  <c r="BW483" i="1"/>
  <c r="BW463" i="1"/>
  <c r="BW443" i="1"/>
  <c r="BW423" i="1"/>
  <c r="BW403" i="1"/>
  <c r="BW383" i="1"/>
  <c r="BW363" i="1"/>
  <c r="BW343" i="1"/>
  <c r="BW323" i="1"/>
  <c r="BW303" i="1"/>
  <c r="BW283" i="1"/>
  <c r="BW263" i="1"/>
  <c r="BW243" i="1"/>
  <c r="BW223" i="1"/>
  <c r="BW203" i="1"/>
  <c r="BW183" i="1"/>
  <c r="BW163" i="1"/>
  <c r="BW143" i="1"/>
  <c r="BW123" i="1"/>
  <c r="BW103" i="1"/>
  <c r="BW83" i="1"/>
  <c r="BW63" i="1"/>
  <c r="BW43" i="1"/>
  <c r="BW23" i="1"/>
  <c r="BW3" i="1"/>
  <c r="BW8" i="1"/>
  <c r="BW552" i="1"/>
  <c r="BW532" i="1"/>
  <c r="BW512" i="1"/>
  <c r="BW492" i="1"/>
  <c r="BW472" i="1"/>
  <c r="BW452" i="1"/>
  <c r="BW432" i="1"/>
  <c r="BW412" i="1"/>
  <c r="BW392" i="1"/>
  <c r="BW372" i="1"/>
  <c r="BW352" i="1"/>
  <c r="BW332" i="1"/>
  <c r="BW312" i="1"/>
  <c r="BW292" i="1"/>
  <c r="BW272" i="1"/>
  <c r="BW252" i="1"/>
  <c r="BW232" i="1"/>
  <c r="BW212" i="1"/>
  <c r="BW192" i="1"/>
  <c r="BW172" i="1"/>
  <c r="BW152" i="1"/>
  <c r="BW132" i="1"/>
  <c r="BW112" i="1"/>
  <c r="BW92" i="1"/>
  <c r="BW72" i="1"/>
  <c r="BW52" i="1"/>
  <c r="BW32" i="1"/>
  <c r="BW12" i="1"/>
  <c r="BW551" i="1"/>
  <c r="BW531" i="1"/>
  <c r="BW511" i="1"/>
  <c r="BW491" i="1"/>
  <c r="BW471" i="1"/>
  <c r="BW451" i="1"/>
  <c r="BW431" i="1"/>
  <c r="BW411" i="1"/>
  <c r="BW391" i="1"/>
  <c r="BW371" i="1"/>
  <c r="BW351" i="1"/>
  <c r="BW331" i="1"/>
  <c r="BW311" i="1"/>
  <c r="BW291" i="1"/>
  <c r="BW271" i="1"/>
  <c r="BW251" i="1"/>
  <c r="BW231" i="1"/>
  <c r="BW211" i="1"/>
  <c r="BW191" i="1"/>
  <c r="BW171" i="1"/>
  <c r="BW151" i="1"/>
  <c r="BW131" i="1"/>
  <c r="BW111" i="1"/>
  <c r="BW91" i="1"/>
  <c r="BW71" i="1"/>
  <c r="BW51" i="1"/>
  <c r="BW31" i="1"/>
  <c r="BW11" i="1"/>
  <c r="BW550" i="1"/>
  <c r="BW530" i="1"/>
  <c r="BW510" i="1"/>
  <c r="BW490" i="1"/>
  <c r="BW470" i="1"/>
  <c r="BW450" i="1"/>
  <c r="BW430" i="1"/>
  <c r="BW410" i="1"/>
  <c r="BW390" i="1"/>
  <c r="BW370" i="1"/>
  <c r="BW350" i="1"/>
  <c r="BW330" i="1"/>
  <c r="BW310" i="1"/>
  <c r="BW290" i="1"/>
  <c r="BW270" i="1"/>
  <c r="BW250" i="1"/>
  <c r="BW230" i="1"/>
  <c r="BW210" i="1"/>
  <c r="BW190" i="1"/>
  <c r="BW170" i="1"/>
  <c r="BW150" i="1"/>
  <c r="BW130" i="1"/>
  <c r="BW110" i="1"/>
  <c r="BW90" i="1"/>
  <c r="BW70" i="1"/>
  <c r="BW50" i="1"/>
  <c r="BW30" i="1"/>
  <c r="BW10" i="1"/>
  <c r="BW549" i="1"/>
  <c r="BW529" i="1"/>
  <c r="BW509" i="1"/>
  <c r="BW489" i="1"/>
  <c r="BW469" i="1"/>
  <c r="BW449" i="1"/>
  <c r="BW429" i="1"/>
  <c r="BW409" i="1"/>
  <c r="BW389" i="1"/>
  <c r="BW369" i="1"/>
  <c r="BW349" i="1"/>
  <c r="BW329" i="1"/>
  <c r="BW309" i="1"/>
  <c r="BW289" i="1"/>
  <c r="BW269" i="1"/>
  <c r="BW249" i="1"/>
  <c r="BW229" i="1"/>
  <c r="BW209" i="1"/>
  <c r="BW189" i="1"/>
  <c r="BW169" i="1"/>
  <c r="BW149" i="1"/>
  <c r="BW129" i="1"/>
  <c r="BW109" i="1"/>
  <c r="BW89" i="1"/>
  <c r="BW69" i="1"/>
  <c r="BW49" i="1"/>
  <c r="BW29" i="1"/>
  <c r="BW9" i="1"/>
  <c r="BK555" i="1"/>
  <c r="BK535" i="1"/>
  <c r="BK515" i="1"/>
  <c r="BK495" i="1"/>
  <c r="BK475" i="1"/>
  <c r="BK455" i="1"/>
  <c r="BK435" i="1"/>
  <c r="BK415" i="1"/>
  <c r="BK395" i="1"/>
  <c r="BK375" i="1"/>
  <c r="BK355" i="1"/>
  <c r="BK335" i="1"/>
  <c r="BK540" i="1"/>
  <c r="BK532" i="1"/>
  <c r="BK512" i="1"/>
  <c r="BK492" i="1"/>
  <c r="BK472" i="1"/>
  <c r="BK452" i="1"/>
  <c r="BK412" i="1"/>
  <c r="BK372" i="1"/>
  <c r="BK352" i="1"/>
  <c r="BK332" i="1"/>
  <c r="BK312" i="1"/>
  <c r="BK292" i="1"/>
  <c r="BK252" i="1"/>
  <c r="BK232" i="1"/>
  <c r="BK212" i="1"/>
  <c r="BK192" i="1"/>
  <c r="BK172" i="1"/>
  <c r="BK132" i="1"/>
  <c r="BK112" i="1"/>
  <c r="BK92" i="1"/>
  <c r="BK72" i="1"/>
  <c r="BK52" i="1"/>
  <c r="BK12" i="1"/>
  <c r="BK331" i="1"/>
  <c r="BK311" i="1"/>
  <c r="BK291" i="1"/>
  <c r="BK271" i="1"/>
  <c r="BK549" i="1"/>
  <c r="BK529" i="1"/>
  <c r="BK509" i="1"/>
  <c r="BK489" i="1"/>
  <c r="BK469" i="1"/>
  <c r="BK449" i="1"/>
  <c r="BK429" i="1"/>
  <c r="BK409" i="1"/>
  <c r="BK389" i="1"/>
  <c r="BK369" i="1"/>
  <c r="BK349" i="1"/>
  <c r="BK329" i="1"/>
  <c r="BK309" i="1"/>
  <c r="BK289" i="1"/>
  <c r="BK269" i="1"/>
  <c r="BK249" i="1"/>
  <c r="BK229" i="1"/>
  <c r="BK209" i="1"/>
  <c r="BK189" i="1"/>
  <c r="BK169" i="1"/>
  <c r="BK149" i="1"/>
  <c r="BK129" i="1"/>
  <c r="BK109" i="1"/>
  <c r="BK89" i="1"/>
  <c r="BK69" i="1"/>
  <c r="BK49" i="1"/>
  <c r="BK29" i="1"/>
  <c r="BK9" i="1"/>
  <c r="BK560" i="1"/>
  <c r="BK520" i="1"/>
  <c r="BK500" i="1"/>
  <c r="BK480" i="1"/>
  <c r="BK460" i="1"/>
  <c r="BK440" i="1"/>
  <c r="BK420" i="1"/>
  <c r="BK400" i="1"/>
  <c r="BK380" i="1"/>
  <c r="BK360" i="1"/>
  <c r="BK340" i="1"/>
  <c r="BK320" i="1"/>
  <c r="BK300" i="1"/>
  <c r="BK280" i="1"/>
  <c r="BK260" i="1"/>
  <c r="BK240" i="1"/>
  <c r="BK220" i="1"/>
  <c r="BK200" i="1"/>
  <c r="BK180" i="1"/>
  <c r="BK160" i="1"/>
  <c r="BK140" i="1"/>
  <c r="BK120" i="1"/>
  <c r="BK100" i="1"/>
  <c r="BK80" i="1"/>
  <c r="BK60" i="1"/>
  <c r="BK40" i="1"/>
  <c r="BK20" i="1"/>
  <c r="BK551" i="1"/>
  <c r="BK531" i="1"/>
  <c r="BK511" i="1"/>
  <c r="BK491" i="1"/>
  <c r="BK471" i="1"/>
  <c r="BK451" i="1"/>
  <c r="BK431" i="1"/>
  <c r="BK411" i="1"/>
  <c r="BK391" i="1"/>
  <c r="BK371" i="1"/>
  <c r="BK351" i="1"/>
  <c r="BK251" i="1"/>
  <c r="BK231" i="1"/>
  <c r="BK211" i="1"/>
  <c r="BK191" i="1"/>
  <c r="BK171" i="1"/>
  <c r="BK151" i="1"/>
  <c r="BK131" i="1"/>
  <c r="BK111" i="1"/>
  <c r="BK91" i="1"/>
  <c r="BK71" i="1"/>
  <c r="BK51" i="1"/>
  <c r="BK31" i="1"/>
  <c r="BK11" i="1"/>
  <c r="BK550" i="1"/>
  <c r="BK530" i="1"/>
  <c r="BK510" i="1"/>
  <c r="BK490" i="1"/>
  <c r="BK470" i="1"/>
  <c r="BK450" i="1"/>
  <c r="BK430" i="1"/>
  <c r="BK410" i="1"/>
  <c r="BK390" i="1"/>
  <c r="BK370" i="1"/>
  <c r="BK350" i="1"/>
  <c r="BK330" i="1"/>
  <c r="BK310" i="1"/>
  <c r="BK290" i="1"/>
  <c r="BK270" i="1"/>
  <c r="BK250" i="1"/>
  <c r="BK230" i="1"/>
  <c r="BK210" i="1"/>
  <c r="BK190" i="1"/>
  <c r="BK170" i="1"/>
  <c r="BK150" i="1"/>
  <c r="BK130" i="1"/>
  <c r="BK110" i="1"/>
  <c r="BK90" i="1"/>
  <c r="BK70" i="1"/>
  <c r="BK50" i="1"/>
  <c r="BK30" i="1"/>
  <c r="BK10" i="1"/>
  <c r="BK552" i="1"/>
  <c r="BK432" i="1"/>
  <c r="BK392" i="1"/>
  <c r="BK272" i="1"/>
  <c r="BK152" i="1"/>
  <c r="BK32" i="1"/>
  <c r="BK566" i="1"/>
  <c r="BK546" i="1"/>
  <c r="BK526" i="1"/>
  <c r="BK506" i="1"/>
  <c r="BK486" i="1"/>
  <c r="BK466" i="1"/>
  <c r="BK446" i="1"/>
  <c r="BK426" i="1"/>
  <c r="BK406" i="1"/>
  <c r="BK386" i="1"/>
  <c r="BK366" i="1"/>
  <c r="BK346" i="1"/>
  <c r="BK326" i="1"/>
  <c r="BK306" i="1"/>
  <c r="BK286" i="1"/>
  <c r="BK266" i="1"/>
  <c r="BK246" i="1"/>
  <c r="BK226" i="1"/>
  <c r="BK206" i="1"/>
  <c r="BK186" i="1"/>
  <c r="BK166" i="1"/>
  <c r="BK146" i="1"/>
  <c r="BK126" i="1"/>
  <c r="BK106" i="1"/>
  <c r="BK86" i="1"/>
  <c r="BK66" i="1"/>
  <c r="BK46" i="1"/>
  <c r="BK26" i="1"/>
  <c r="BK6" i="1"/>
  <c r="BK565" i="1"/>
  <c r="BK545" i="1"/>
  <c r="BK525" i="1"/>
  <c r="BK505" i="1"/>
  <c r="BK485" i="1"/>
  <c r="BK465" i="1"/>
  <c r="BK445" i="1"/>
  <c r="BK425" i="1"/>
  <c r="BK405" i="1"/>
  <c r="BK385" i="1"/>
  <c r="BK365" i="1"/>
  <c r="BK345" i="1"/>
  <c r="BK325" i="1"/>
  <c r="BK305" i="1"/>
  <c r="BK285" i="1"/>
  <c r="BK265" i="1"/>
  <c r="BK245" i="1"/>
  <c r="BK225" i="1"/>
  <c r="BK205" i="1"/>
  <c r="BK185" i="1"/>
  <c r="BK165" i="1"/>
  <c r="BK145" i="1"/>
  <c r="BK564" i="1"/>
  <c r="BK544" i="1"/>
  <c r="BK524" i="1"/>
  <c r="BK563" i="1"/>
  <c r="BK543" i="1"/>
  <c r="BK523" i="1"/>
  <c r="BK503" i="1"/>
  <c r="BK483" i="1"/>
  <c r="BK463" i="1"/>
  <c r="BK443" i="1"/>
  <c r="BK423" i="1"/>
  <c r="BK403" i="1"/>
  <c r="BK383" i="1"/>
  <c r="BK363" i="1"/>
  <c r="BK343" i="1"/>
  <c r="BK323" i="1"/>
  <c r="BK303" i="1"/>
  <c r="BK283" i="1"/>
  <c r="BK263" i="1"/>
  <c r="BK243" i="1"/>
  <c r="BK223" i="1"/>
  <c r="BK203" i="1"/>
  <c r="BK183" i="1"/>
  <c r="BK163" i="1"/>
  <c r="BK143" i="1"/>
  <c r="BK123" i="1"/>
  <c r="BK103" i="1"/>
  <c r="BK83" i="1"/>
  <c r="BK63" i="1"/>
  <c r="BK43" i="1"/>
  <c r="BK23" i="1"/>
  <c r="BK3" i="1"/>
  <c r="BK562" i="1"/>
  <c r="BK542" i="1"/>
  <c r="BK522" i="1"/>
  <c r="BK502" i="1"/>
  <c r="BK482" i="1"/>
  <c r="BK462" i="1"/>
  <c r="BK442" i="1"/>
  <c r="BK422" i="1"/>
  <c r="BK402" i="1"/>
  <c r="BK382" i="1"/>
  <c r="BK362" i="1"/>
  <c r="BK342" i="1"/>
  <c r="BK322" i="1"/>
  <c r="BK302" i="1"/>
  <c r="BK282" i="1"/>
  <c r="BK262" i="1"/>
  <c r="BK242" i="1"/>
  <c r="BK222" i="1"/>
  <c r="BK202" i="1"/>
  <c r="BK182" i="1"/>
  <c r="BK162" i="1"/>
  <c r="BK142" i="1"/>
  <c r="BK122" i="1"/>
  <c r="BK102" i="1"/>
  <c r="BK82" i="1"/>
  <c r="BK62" i="1"/>
  <c r="BK42" i="1"/>
  <c r="BK22" i="1"/>
  <c r="BK567" i="1"/>
  <c r="BK547" i="1"/>
  <c r="BK527" i="1"/>
  <c r="BK507" i="1"/>
  <c r="BK487" i="1"/>
  <c r="BK467" i="1"/>
  <c r="BK447" i="1"/>
  <c r="BK427" i="1"/>
  <c r="BK407" i="1"/>
  <c r="BK387" i="1"/>
  <c r="BK367" i="1"/>
  <c r="BK347" i="1"/>
  <c r="BK327" i="1"/>
  <c r="BK307" i="1"/>
  <c r="BK287" i="1"/>
  <c r="BK267" i="1"/>
  <c r="BK247" i="1"/>
  <c r="BK227" i="1"/>
  <c r="BK207" i="1"/>
  <c r="BK187" i="1"/>
  <c r="BK167" i="1"/>
  <c r="BK147" i="1"/>
  <c r="BK127" i="1"/>
  <c r="BK107" i="1"/>
  <c r="BK87" i="1"/>
  <c r="BK67" i="1"/>
  <c r="BK47" i="1"/>
  <c r="BK27" i="1"/>
  <c r="BK7" i="1"/>
  <c r="BK561" i="1"/>
  <c r="BK541" i="1"/>
  <c r="BK521" i="1"/>
  <c r="BK501" i="1"/>
  <c r="BK481" i="1"/>
  <c r="BK461" i="1"/>
  <c r="BK441" i="1"/>
  <c r="BK421" i="1"/>
  <c r="BK401" i="1"/>
  <c r="BK381" i="1"/>
  <c r="BK361" i="1"/>
  <c r="BK341" i="1"/>
  <c r="BK321" i="1"/>
  <c r="BK301" i="1"/>
  <c r="BK281" i="1"/>
  <c r="BK261" i="1"/>
  <c r="BK241" i="1"/>
  <c r="BK221" i="1"/>
  <c r="BK201" i="1"/>
  <c r="BK181" i="1"/>
  <c r="BK161" i="1"/>
  <c r="BK141" i="1"/>
  <c r="BK121" i="1"/>
  <c r="BK101" i="1"/>
  <c r="BK81" i="1"/>
  <c r="BK61" i="1"/>
  <c r="BK41" i="1"/>
  <c r="BK21" i="1"/>
  <c r="BK559" i="1"/>
  <c r="BK539" i="1"/>
  <c r="BK519" i="1"/>
  <c r="BK499" i="1"/>
  <c r="BK479" i="1"/>
  <c r="BK459" i="1"/>
  <c r="BK439" i="1"/>
  <c r="BK419" i="1"/>
  <c r="BK399" i="1"/>
  <c r="BK379" i="1"/>
  <c r="BK359" i="1"/>
  <c r="BK339" i="1"/>
  <c r="BK319" i="1"/>
  <c r="BK299" i="1"/>
  <c r="BK279" i="1"/>
  <c r="BK259" i="1"/>
  <c r="BK239" i="1"/>
  <c r="BK219" i="1"/>
  <c r="BK199" i="1"/>
  <c r="BK179" i="1"/>
  <c r="BK159" i="1"/>
  <c r="BK139" i="1"/>
  <c r="BK119" i="1"/>
  <c r="BK99" i="1"/>
  <c r="BK79" i="1"/>
  <c r="BK59" i="1"/>
  <c r="BK39" i="1"/>
  <c r="BK19" i="1"/>
  <c r="AY563" i="1"/>
  <c r="AY543" i="1"/>
  <c r="AY523" i="1"/>
  <c r="AY503" i="1"/>
  <c r="AY483" i="1"/>
  <c r="AY463" i="1"/>
  <c r="AY443" i="1"/>
  <c r="AY423" i="1"/>
  <c r="AY403" i="1"/>
  <c r="AY383" i="1"/>
  <c r="AY363" i="1"/>
  <c r="AY343" i="1"/>
  <c r="AY323" i="1"/>
  <c r="BK558" i="1"/>
  <c r="BK538" i="1"/>
  <c r="BK518" i="1"/>
  <c r="BK498" i="1"/>
  <c r="BK478" i="1"/>
  <c r="BK458" i="1"/>
  <c r="BK438" i="1"/>
  <c r="BK418" i="1"/>
  <c r="BK398" i="1"/>
  <c r="BK378" i="1"/>
  <c r="BK358" i="1"/>
  <c r="BK338" i="1"/>
  <c r="BK318" i="1"/>
  <c r="BK298" i="1"/>
  <c r="BK278" i="1"/>
  <c r="BK258" i="1"/>
  <c r="BK238" i="1"/>
  <c r="BK218" i="1"/>
  <c r="BK198" i="1"/>
  <c r="BK178" i="1"/>
  <c r="BK158" i="1"/>
  <c r="BK138" i="1"/>
  <c r="BK118" i="1"/>
  <c r="BK98" i="1"/>
  <c r="BK78" i="1"/>
  <c r="BK58" i="1"/>
  <c r="BK38" i="1"/>
  <c r="BK18" i="1"/>
  <c r="BK548" i="1"/>
  <c r="BK528" i="1"/>
  <c r="BK508" i="1"/>
  <c r="BK488" i="1"/>
  <c r="BK468" i="1"/>
  <c r="BK448" i="1"/>
  <c r="BK428" i="1"/>
  <c r="BK408" i="1"/>
  <c r="BK388" i="1"/>
  <c r="BK368" i="1"/>
  <c r="BK348" i="1"/>
  <c r="BK328" i="1"/>
  <c r="BK308" i="1"/>
  <c r="BK288" i="1"/>
  <c r="BK268" i="1"/>
  <c r="BK248" i="1"/>
  <c r="BK228" i="1"/>
  <c r="BK208" i="1"/>
  <c r="BK188" i="1"/>
  <c r="BK168" i="1"/>
  <c r="BK148" i="1"/>
  <c r="BK128" i="1"/>
  <c r="BK108" i="1"/>
  <c r="BK88" i="1"/>
  <c r="BK68" i="1"/>
  <c r="BK48" i="1"/>
  <c r="BK28" i="1"/>
  <c r="BK8" i="1"/>
  <c r="BK557" i="1"/>
  <c r="BK537" i="1"/>
  <c r="BK517" i="1"/>
  <c r="BK497" i="1"/>
  <c r="BK477" i="1"/>
  <c r="BK457" i="1"/>
  <c r="BK437" i="1"/>
  <c r="BK417" i="1"/>
  <c r="BK397" i="1"/>
  <c r="BK377" i="1"/>
  <c r="BK357" i="1"/>
  <c r="BK337" i="1"/>
  <c r="BK317" i="1"/>
  <c r="BK297" i="1"/>
  <c r="BK277" i="1"/>
  <c r="BK257" i="1"/>
  <c r="BK237" i="1"/>
  <c r="BK217" i="1"/>
  <c r="BK197" i="1"/>
  <c r="BK177" i="1"/>
  <c r="BK157" i="1"/>
  <c r="BK137" i="1"/>
  <c r="BK117" i="1"/>
  <c r="BK97" i="1"/>
  <c r="BK77" i="1"/>
  <c r="BK57" i="1"/>
  <c r="BK37" i="1"/>
  <c r="BK17" i="1"/>
  <c r="BK556" i="1"/>
  <c r="BK536" i="1"/>
  <c r="BK516" i="1"/>
  <c r="BK496" i="1"/>
  <c r="BK476" i="1"/>
  <c r="BK456" i="1"/>
  <c r="BK436" i="1"/>
  <c r="BK416" i="1"/>
  <c r="BK396" i="1"/>
  <c r="BK376" i="1"/>
  <c r="BK356" i="1"/>
  <c r="BK336" i="1"/>
  <c r="BK316" i="1"/>
  <c r="BK296" i="1"/>
  <c r="BK276" i="1"/>
  <c r="BK256" i="1"/>
  <c r="BK236" i="1"/>
  <c r="BK216" i="1"/>
  <c r="BK196" i="1"/>
  <c r="BK176" i="1"/>
  <c r="BK156" i="1"/>
  <c r="BK136" i="1"/>
  <c r="BK116" i="1"/>
  <c r="BK96" i="1"/>
  <c r="BK76" i="1"/>
  <c r="BK56" i="1"/>
  <c r="BK36" i="1"/>
  <c r="BK16" i="1"/>
  <c r="BK315" i="1"/>
  <c r="BK295" i="1"/>
  <c r="BK275" i="1"/>
  <c r="BK255" i="1"/>
  <c r="BK235" i="1"/>
  <c r="BK215" i="1"/>
  <c r="BK195" i="1"/>
  <c r="BK175" i="1"/>
  <c r="BK155" i="1"/>
  <c r="BK135" i="1"/>
  <c r="BK115" i="1"/>
  <c r="BK95" i="1"/>
  <c r="BK75" i="1"/>
  <c r="BK55" i="1"/>
  <c r="BK35" i="1"/>
  <c r="BK15" i="1"/>
  <c r="BK554" i="1"/>
  <c r="BK534" i="1"/>
  <c r="BK514" i="1"/>
  <c r="BK494" i="1"/>
  <c r="BK474" i="1"/>
  <c r="BK454" i="1"/>
  <c r="BK434" i="1"/>
  <c r="BK414" i="1"/>
  <c r="BK394" i="1"/>
  <c r="BK374" i="1"/>
  <c r="BK354" i="1"/>
  <c r="BK334" i="1"/>
  <c r="BK314" i="1"/>
  <c r="BK294" i="1"/>
  <c r="BK274" i="1"/>
  <c r="BK254" i="1"/>
  <c r="BK234" i="1"/>
  <c r="BK214" i="1"/>
  <c r="BK194" i="1"/>
  <c r="BK174" i="1"/>
  <c r="BK154" i="1"/>
  <c r="BK134" i="1"/>
  <c r="BK114" i="1"/>
  <c r="BK94" i="1"/>
  <c r="BK74" i="1"/>
  <c r="BK54" i="1"/>
  <c r="BK34" i="1"/>
  <c r="BK14" i="1"/>
  <c r="BK553" i="1"/>
  <c r="BK533" i="1"/>
  <c r="BK513" i="1"/>
  <c r="BK493" i="1"/>
  <c r="BK473" i="1"/>
  <c r="BK453" i="1"/>
  <c r="BK433" i="1"/>
  <c r="BK413" i="1"/>
  <c r="BK393" i="1"/>
  <c r="BK373" i="1"/>
  <c r="BK353" i="1"/>
  <c r="BK333" i="1"/>
  <c r="BK313" i="1"/>
  <c r="BK293" i="1"/>
  <c r="BK273" i="1"/>
  <c r="BK253" i="1"/>
  <c r="BK233" i="1"/>
  <c r="BK213" i="1"/>
  <c r="BK193" i="1"/>
  <c r="BK173" i="1"/>
  <c r="BK153" i="1"/>
  <c r="BK133" i="1"/>
  <c r="BK113" i="1"/>
  <c r="BK93" i="1"/>
  <c r="BK73" i="1"/>
  <c r="BK53" i="1"/>
  <c r="BK33" i="1"/>
  <c r="BK13" i="1"/>
  <c r="BK125" i="1"/>
  <c r="BK105" i="1"/>
  <c r="BK85" i="1"/>
  <c r="BK65" i="1"/>
  <c r="BK45" i="1"/>
  <c r="BK25" i="1"/>
  <c r="BK5" i="1"/>
  <c r="BK504" i="1"/>
  <c r="BK484" i="1"/>
  <c r="BK464" i="1"/>
  <c r="BK444" i="1"/>
  <c r="BK424" i="1"/>
  <c r="BK404" i="1"/>
  <c r="BK384" i="1"/>
  <c r="BK364" i="1"/>
  <c r="BK344" i="1"/>
  <c r="BK324" i="1"/>
  <c r="BK304" i="1"/>
  <c r="BK284" i="1"/>
  <c r="BK264" i="1"/>
  <c r="BK244" i="1"/>
  <c r="BK224" i="1"/>
  <c r="BK204" i="1"/>
  <c r="BK184" i="1"/>
  <c r="BK164" i="1"/>
  <c r="BK144" i="1"/>
  <c r="BK124" i="1"/>
  <c r="BK104" i="1"/>
  <c r="BK84" i="1"/>
  <c r="BK64" i="1"/>
  <c r="BK44" i="1"/>
  <c r="BK24" i="1"/>
  <c r="BK4" i="1"/>
  <c r="AY549" i="1"/>
  <c r="AY529" i="1"/>
  <c r="AY509" i="1"/>
  <c r="AY489" i="1"/>
  <c r="AY469" i="1"/>
  <c r="AY449" i="1"/>
  <c r="AY429" i="1"/>
  <c r="AY409" i="1"/>
  <c r="AY389" i="1"/>
  <c r="AY369" i="1"/>
  <c r="AY349" i="1"/>
  <c r="AY329" i="1"/>
  <c r="AY309" i="1"/>
  <c r="AY289" i="1"/>
  <c r="AY269" i="1"/>
  <c r="AY249" i="1"/>
  <c r="AY229" i="1"/>
  <c r="AY209" i="1"/>
  <c r="AY189" i="1"/>
  <c r="AY169" i="1"/>
  <c r="AY149" i="1"/>
  <c r="AY129" i="1"/>
  <c r="AY109" i="1"/>
  <c r="AY89" i="1"/>
  <c r="AY69" i="1"/>
  <c r="AY49" i="1"/>
  <c r="AY29" i="1"/>
  <c r="AY9" i="1"/>
  <c r="AY548" i="1"/>
  <c r="AY528" i="1"/>
  <c r="AY508" i="1"/>
  <c r="AY488" i="1"/>
  <c r="AY468" i="1"/>
  <c r="AY448" i="1"/>
  <c r="AY428" i="1"/>
  <c r="AY408" i="1"/>
  <c r="AY388" i="1"/>
  <c r="AY368" i="1"/>
  <c r="AY348" i="1"/>
  <c r="AY328" i="1"/>
  <c r="AY308" i="1"/>
  <c r="AY288" i="1"/>
  <c r="AY268" i="1"/>
  <c r="AY248" i="1"/>
  <c r="AY228" i="1"/>
  <c r="AY208" i="1"/>
  <c r="AY188" i="1"/>
  <c r="AY168" i="1"/>
  <c r="AY148" i="1"/>
  <c r="AY128" i="1"/>
  <c r="AY108" i="1"/>
  <c r="AY88" i="1"/>
  <c r="AY68" i="1"/>
  <c r="AY48" i="1"/>
  <c r="AY28" i="1"/>
  <c r="AY8" i="1"/>
  <c r="AY566" i="1"/>
  <c r="AY546" i="1"/>
  <c r="AY526" i="1"/>
  <c r="AY506" i="1"/>
  <c r="AY486" i="1"/>
  <c r="AY466" i="1"/>
  <c r="AY446" i="1"/>
  <c r="AY426" i="1"/>
  <c r="AY406" i="1"/>
  <c r="AY386" i="1"/>
  <c r="AY366" i="1"/>
  <c r="AY346" i="1"/>
  <c r="AY326" i="1"/>
  <c r="AY306" i="1"/>
  <c r="AY286" i="1"/>
  <c r="AY266" i="1"/>
  <c r="AY246" i="1"/>
  <c r="AY226" i="1"/>
  <c r="AY206" i="1"/>
  <c r="AY186" i="1"/>
  <c r="AY166" i="1"/>
  <c r="AY146" i="1"/>
  <c r="AY126" i="1"/>
  <c r="AY106" i="1"/>
  <c r="AY86" i="1"/>
  <c r="AY66" i="1"/>
  <c r="AY46" i="1"/>
  <c r="AY26" i="1"/>
  <c r="AY6" i="1"/>
  <c r="AY564" i="1"/>
  <c r="AY544" i="1"/>
  <c r="AY524" i="1"/>
  <c r="AY504" i="1"/>
  <c r="AY484" i="1"/>
  <c r="AY464" i="1"/>
  <c r="AY444" i="1"/>
  <c r="FU444" i="1" s="1"/>
  <c r="AY424" i="1"/>
  <c r="AY404" i="1"/>
  <c r="AY384" i="1"/>
  <c r="AY364" i="1"/>
  <c r="AY344" i="1"/>
  <c r="AY324" i="1"/>
  <c r="AY304" i="1"/>
  <c r="AY284" i="1"/>
  <c r="AY264" i="1"/>
  <c r="AY244" i="1"/>
  <c r="AY224" i="1"/>
  <c r="AY204" i="1"/>
  <c r="AY184" i="1"/>
  <c r="AY164" i="1"/>
  <c r="AY144" i="1"/>
  <c r="AY124" i="1"/>
  <c r="AY104" i="1"/>
  <c r="AY84" i="1"/>
  <c r="FU84" i="1" s="1"/>
  <c r="AY64" i="1"/>
  <c r="AY44" i="1"/>
  <c r="FU44" i="1" s="1"/>
  <c r="AY24" i="1"/>
  <c r="AY4" i="1"/>
  <c r="AY550" i="1"/>
  <c r="AY530" i="1"/>
  <c r="AY510" i="1"/>
  <c r="AY490" i="1"/>
  <c r="AY470" i="1"/>
  <c r="AY450" i="1"/>
  <c r="AY430" i="1"/>
  <c r="AY410" i="1"/>
  <c r="AY390" i="1"/>
  <c r="AY370" i="1"/>
  <c r="AY350" i="1"/>
  <c r="AY330" i="1"/>
  <c r="AY310" i="1"/>
  <c r="AY290" i="1"/>
  <c r="AY270" i="1"/>
  <c r="AY250" i="1"/>
  <c r="AY230" i="1"/>
  <c r="AY210" i="1"/>
  <c r="AY190" i="1"/>
  <c r="AY170" i="1"/>
  <c r="AY150" i="1"/>
  <c r="AY130" i="1"/>
  <c r="AY110" i="1"/>
  <c r="AY90" i="1"/>
  <c r="AY70" i="1"/>
  <c r="AY50" i="1"/>
  <c r="AY30" i="1"/>
  <c r="AY10" i="1"/>
  <c r="AY557" i="1"/>
  <c r="AY537" i="1"/>
  <c r="AY517" i="1"/>
  <c r="AY497" i="1"/>
  <c r="AY477" i="1"/>
  <c r="AY457" i="1"/>
  <c r="AY437" i="1"/>
  <c r="AY417" i="1"/>
  <c r="AY397" i="1"/>
  <c r="AY377" i="1"/>
  <c r="AY357" i="1"/>
  <c r="AY337" i="1"/>
  <c r="AY317" i="1"/>
  <c r="AY297" i="1"/>
  <c r="AY277" i="1"/>
  <c r="FU277" i="1" s="1"/>
  <c r="AY257" i="1"/>
  <c r="AY237" i="1"/>
  <c r="AY217" i="1"/>
  <c r="AY197" i="1"/>
  <c r="AY177" i="1"/>
  <c r="AY157" i="1"/>
  <c r="AY137" i="1"/>
  <c r="AY117" i="1"/>
  <c r="AY97" i="1"/>
  <c r="AY77" i="1"/>
  <c r="AY57" i="1"/>
  <c r="AY37" i="1"/>
  <c r="AY17" i="1"/>
  <c r="AY565" i="1"/>
  <c r="AY545" i="1"/>
  <c r="AY525" i="1"/>
  <c r="AY505" i="1"/>
  <c r="AY485" i="1"/>
  <c r="AY465" i="1"/>
  <c r="AY445" i="1"/>
  <c r="AY425" i="1"/>
  <c r="AY405" i="1"/>
  <c r="AY385" i="1"/>
  <c r="AY365" i="1"/>
  <c r="AY345" i="1"/>
  <c r="AY325" i="1"/>
  <c r="AY305" i="1"/>
  <c r="AY285" i="1"/>
  <c r="AY265" i="1"/>
  <c r="AY245" i="1"/>
  <c r="AY225" i="1"/>
  <c r="AY205" i="1"/>
  <c r="AY185" i="1"/>
  <c r="AY165" i="1"/>
  <c r="AY145" i="1"/>
  <c r="FU145" i="1" s="1"/>
  <c r="AY125" i="1"/>
  <c r="AY105" i="1"/>
  <c r="AY85" i="1"/>
  <c r="AY65" i="1"/>
  <c r="AY45" i="1"/>
  <c r="AY25" i="1"/>
  <c r="AY5" i="1"/>
  <c r="AY303" i="1"/>
  <c r="AY283" i="1"/>
  <c r="AY263" i="1"/>
  <c r="AY243" i="1"/>
  <c r="AY223" i="1"/>
  <c r="AY203" i="1"/>
  <c r="AY183" i="1"/>
  <c r="AY163" i="1"/>
  <c r="AY143" i="1"/>
  <c r="AY123" i="1"/>
  <c r="AY103" i="1"/>
  <c r="AY83" i="1"/>
  <c r="AY63" i="1"/>
  <c r="AY43" i="1"/>
  <c r="AY23" i="1"/>
  <c r="AY3" i="1"/>
  <c r="AY562" i="1"/>
  <c r="AY542" i="1"/>
  <c r="AY522" i="1"/>
  <c r="AY502" i="1"/>
  <c r="AY482" i="1"/>
  <c r="AY462" i="1"/>
  <c r="AY442" i="1"/>
  <c r="AY422" i="1"/>
  <c r="AY402" i="1"/>
  <c r="AY382" i="1"/>
  <c r="AY362" i="1"/>
  <c r="AY342" i="1"/>
  <c r="AY322" i="1"/>
  <c r="AY302" i="1"/>
  <c r="AY282" i="1"/>
  <c r="AY262" i="1"/>
  <c r="AY242" i="1"/>
  <c r="AY222" i="1"/>
  <c r="AY202" i="1"/>
  <c r="AY182" i="1"/>
  <c r="AY162" i="1"/>
  <c r="AY142" i="1"/>
  <c r="AY122" i="1"/>
  <c r="AY102" i="1"/>
  <c r="AY82" i="1"/>
  <c r="AY62" i="1"/>
  <c r="AY42" i="1"/>
  <c r="AY22" i="1"/>
  <c r="AY567" i="1"/>
  <c r="AY547" i="1"/>
  <c r="AY527" i="1"/>
  <c r="AY507" i="1"/>
  <c r="AY487" i="1"/>
  <c r="AY467" i="1"/>
  <c r="AY447" i="1"/>
  <c r="AY427" i="1"/>
  <c r="AY407" i="1"/>
  <c r="FU407" i="1" s="1"/>
  <c r="AY387" i="1"/>
  <c r="AY367" i="1"/>
  <c r="AY347" i="1"/>
  <c r="AY327" i="1"/>
  <c r="AY307" i="1"/>
  <c r="AY287" i="1"/>
  <c r="AY267" i="1"/>
  <c r="AY247" i="1"/>
  <c r="AY227" i="1"/>
  <c r="AY207" i="1"/>
  <c r="AY187" i="1"/>
  <c r="AY167" i="1"/>
  <c r="AY147" i="1"/>
  <c r="AY127" i="1"/>
  <c r="AY107" i="1"/>
  <c r="AY87" i="1"/>
  <c r="AY67" i="1"/>
  <c r="AY47" i="1"/>
  <c r="AY27" i="1"/>
  <c r="AY7" i="1"/>
  <c r="FU7" i="1" s="1"/>
  <c r="AY561" i="1"/>
  <c r="AY541" i="1"/>
  <c r="AY521" i="1"/>
  <c r="AY501" i="1"/>
  <c r="AY481" i="1"/>
  <c r="AY461" i="1"/>
  <c r="AY441" i="1"/>
  <c r="AY421" i="1"/>
  <c r="AY401" i="1"/>
  <c r="AY381" i="1"/>
  <c r="AY361" i="1"/>
  <c r="AY341" i="1"/>
  <c r="AY321" i="1"/>
  <c r="AY301" i="1"/>
  <c r="AY281" i="1"/>
  <c r="AY261" i="1"/>
  <c r="AY241" i="1"/>
  <c r="AY221" i="1"/>
  <c r="AY201" i="1"/>
  <c r="AY181" i="1"/>
  <c r="FU181" i="1" s="1"/>
  <c r="AY161" i="1"/>
  <c r="AY141" i="1"/>
  <c r="AY121" i="1"/>
  <c r="AY101" i="1"/>
  <c r="AY81" i="1"/>
  <c r="AY61" i="1"/>
  <c r="AY41" i="1"/>
  <c r="AY21" i="1"/>
  <c r="AY560" i="1"/>
  <c r="AY540" i="1"/>
  <c r="AY520" i="1"/>
  <c r="AY500" i="1"/>
  <c r="AY480" i="1"/>
  <c r="AY460" i="1"/>
  <c r="AY440" i="1"/>
  <c r="AY420" i="1"/>
  <c r="AY400" i="1"/>
  <c r="AY380" i="1"/>
  <c r="AY360" i="1"/>
  <c r="AY340" i="1"/>
  <c r="AY320" i="1"/>
  <c r="AY300" i="1"/>
  <c r="AY280" i="1"/>
  <c r="AY260" i="1"/>
  <c r="AY240" i="1"/>
  <c r="AY220" i="1"/>
  <c r="AY200" i="1"/>
  <c r="AY180" i="1"/>
  <c r="AY160" i="1"/>
  <c r="AY140" i="1"/>
  <c r="AY120" i="1"/>
  <c r="AY100" i="1"/>
  <c r="AY80" i="1"/>
  <c r="AY60" i="1"/>
  <c r="AY40" i="1"/>
  <c r="AY20" i="1"/>
  <c r="AY559" i="1"/>
  <c r="AY539" i="1"/>
  <c r="AY519" i="1"/>
  <c r="AY499" i="1"/>
  <c r="FU499" i="1" s="1"/>
  <c r="AY479" i="1"/>
  <c r="AY459" i="1"/>
  <c r="AY439" i="1"/>
  <c r="AY419" i="1"/>
  <c r="AY399" i="1"/>
  <c r="AY379" i="1"/>
  <c r="AY359" i="1"/>
  <c r="AY339" i="1"/>
  <c r="AY319" i="1"/>
  <c r="AY299" i="1"/>
  <c r="AY279" i="1"/>
  <c r="AY259" i="1"/>
  <c r="AY239" i="1"/>
  <c r="AY219" i="1"/>
  <c r="AY199" i="1"/>
  <c r="AY179" i="1"/>
  <c r="AY159" i="1"/>
  <c r="AY139" i="1"/>
  <c r="AY119" i="1"/>
  <c r="AY99" i="1"/>
  <c r="FU99" i="1" s="1"/>
  <c r="AY79" i="1"/>
  <c r="AY59" i="1"/>
  <c r="AY39" i="1"/>
  <c r="AY19" i="1"/>
  <c r="AY558" i="1"/>
  <c r="AY538" i="1"/>
  <c r="AY518" i="1"/>
  <c r="AY498" i="1"/>
  <c r="AY478" i="1"/>
  <c r="AY458" i="1"/>
  <c r="AY438" i="1"/>
  <c r="AY418" i="1"/>
  <c r="AY398" i="1"/>
  <c r="AY378" i="1"/>
  <c r="AY358" i="1"/>
  <c r="AY338" i="1"/>
  <c r="AY318" i="1"/>
  <c r="AY298" i="1"/>
  <c r="AY278" i="1"/>
  <c r="AY258" i="1"/>
  <c r="AY238" i="1"/>
  <c r="AY218" i="1"/>
  <c r="AY198" i="1"/>
  <c r="AY178" i="1"/>
  <c r="AY158" i="1"/>
  <c r="AY138" i="1"/>
  <c r="AY118" i="1"/>
  <c r="AY98" i="1"/>
  <c r="AY78" i="1"/>
  <c r="AY58" i="1"/>
  <c r="AY38" i="1"/>
  <c r="AY18" i="1"/>
  <c r="AY556" i="1"/>
  <c r="AY536" i="1"/>
  <c r="AY516" i="1"/>
  <c r="AY496" i="1"/>
  <c r="AY476" i="1"/>
  <c r="AY456" i="1"/>
  <c r="AY436" i="1"/>
  <c r="AY416" i="1"/>
  <c r="FU416" i="1" s="1"/>
  <c r="AY396" i="1"/>
  <c r="AY376" i="1"/>
  <c r="AY356" i="1"/>
  <c r="AY336" i="1"/>
  <c r="AY316" i="1"/>
  <c r="AY296" i="1"/>
  <c r="AY276" i="1"/>
  <c r="AY256" i="1"/>
  <c r="AY236" i="1"/>
  <c r="AY216" i="1"/>
  <c r="AY196" i="1"/>
  <c r="AY176" i="1"/>
  <c r="AY156" i="1"/>
  <c r="AY136" i="1"/>
  <c r="AY116" i="1"/>
  <c r="AY96" i="1"/>
  <c r="AY76" i="1"/>
  <c r="AY56" i="1"/>
  <c r="AY36" i="1"/>
  <c r="FU36" i="1" s="1"/>
  <c r="AY16" i="1"/>
  <c r="FU16" i="1" s="1"/>
  <c r="AY555" i="1"/>
  <c r="AY535" i="1"/>
  <c r="AY515" i="1"/>
  <c r="AY495" i="1"/>
  <c r="AY475" i="1"/>
  <c r="FU475" i="1" s="1"/>
  <c r="AY455" i="1"/>
  <c r="AY435" i="1"/>
  <c r="AY415" i="1"/>
  <c r="AY395" i="1"/>
  <c r="AY375" i="1"/>
  <c r="AY355" i="1"/>
  <c r="AY335" i="1"/>
  <c r="AY315" i="1"/>
  <c r="AY295" i="1"/>
  <c r="AY275" i="1"/>
  <c r="AY255" i="1"/>
  <c r="AY235" i="1"/>
  <c r="AY215" i="1"/>
  <c r="AY195" i="1"/>
  <c r="AY175" i="1"/>
  <c r="AY155" i="1"/>
  <c r="AY135" i="1"/>
  <c r="AY115" i="1"/>
  <c r="AY95" i="1"/>
  <c r="AY75" i="1"/>
  <c r="FU75" i="1" s="1"/>
  <c r="AY55" i="1"/>
  <c r="AY35" i="1"/>
  <c r="AY15" i="1"/>
  <c r="AY554" i="1"/>
  <c r="AY534" i="1"/>
  <c r="AY514" i="1"/>
  <c r="AY494" i="1"/>
  <c r="AY474" i="1"/>
  <c r="AY454" i="1"/>
  <c r="AY434" i="1"/>
  <c r="AY414" i="1"/>
  <c r="AY394" i="1"/>
  <c r="AY374" i="1"/>
  <c r="AY354" i="1"/>
  <c r="AY334" i="1"/>
  <c r="AY314" i="1"/>
  <c r="AY294" i="1"/>
  <c r="AY274" i="1"/>
  <c r="AY254" i="1"/>
  <c r="AY234" i="1"/>
  <c r="AY214" i="1"/>
  <c r="AY194" i="1"/>
  <c r="AY174" i="1"/>
  <c r="AY154" i="1"/>
  <c r="AY134" i="1"/>
  <c r="AY114" i="1"/>
  <c r="AY94" i="1"/>
  <c r="AY74" i="1"/>
  <c r="AY54" i="1"/>
  <c r="AY34" i="1"/>
  <c r="AY14" i="1"/>
  <c r="AY553" i="1"/>
  <c r="AY533" i="1"/>
  <c r="AY513" i="1"/>
  <c r="AY493" i="1"/>
  <c r="AY473" i="1"/>
  <c r="AY453" i="1"/>
  <c r="AY433" i="1"/>
  <c r="FU433" i="1" s="1"/>
  <c r="AY413" i="1"/>
  <c r="AY393" i="1"/>
  <c r="FU393" i="1" s="1"/>
  <c r="AY373" i="1"/>
  <c r="AY353" i="1"/>
  <c r="AY333" i="1"/>
  <c r="AY313" i="1"/>
  <c r="AY293" i="1"/>
  <c r="AY273" i="1"/>
  <c r="AY253" i="1"/>
  <c r="AY233" i="1"/>
  <c r="AY213" i="1"/>
  <c r="AY193" i="1"/>
  <c r="AY173" i="1"/>
  <c r="AY153" i="1"/>
  <c r="AY133" i="1"/>
  <c r="AY113" i="1"/>
  <c r="AY93" i="1"/>
  <c r="AY73" i="1"/>
  <c r="AY53" i="1"/>
  <c r="AY33" i="1"/>
  <c r="AY13" i="1"/>
  <c r="AY552" i="1"/>
  <c r="AY532" i="1"/>
  <c r="AY512" i="1"/>
  <c r="AY492" i="1"/>
  <c r="AY472" i="1"/>
  <c r="AY452" i="1"/>
  <c r="AY432" i="1"/>
  <c r="AY412" i="1"/>
  <c r="FU412" i="1" s="1"/>
  <c r="AY392" i="1"/>
  <c r="AY372" i="1"/>
  <c r="AY352" i="1"/>
  <c r="AY332" i="1"/>
  <c r="AY312" i="1"/>
  <c r="AY292" i="1"/>
  <c r="AY272" i="1"/>
  <c r="AY252" i="1"/>
  <c r="FU252" i="1" s="1"/>
  <c r="AY232" i="1"/>
  <c r="AY212" i="1"/>
  <c r="AY192" i="1"/>
  <c r="AY172" i="1"/>
  <c r="AY152" i="1"/>
  <c r="AY132" i="1"/>
  <c r="AY112" i="1"/>
  <c r="AY92" i="1"/>
  <c r="AY72" i="1"/>
  <c r="AY52" i="1"/>
  <c r="AY32" i="1"/>
  <c r="AY12" i="1"/>
  <c r="AY551" i="1"/>
  <c r="AY531" i="1"/>
  <c r="AY511" i="1"/>
  <c r="AY491" i="1"/>
  <c r="AY471" i="1"/>
  <c r="AY451" i="1"/>
  <c r="AY431" i="1"/>
  <c r="AY411" i="1"/>
  <c r="AY391" i="1"/>
  <c r="AY371" i="1"/>
  <c r="AY351" i="1"/>
  <c r="AY331" i="1"/>
  <c r="AY311" i="1"/>
  <c r="AY291" i="1"/>
  <c r="AY271" i="1"/>
  <c r="AY251" i="1"/>
  <c r="AY231" i="1"/>
  <c r="AY211" i="1"/>
  <c r="AY191" i="1"/>
  <c r="AY171" i="1"/>
  <c r="AY151" i="1"/>
  <c r="AY131" i="1"/>
  <c r="AY111" i="1"/>
  <c r="AY91" i="1"/>
  <c r="AY71" i="1"/>
  <c r="AY51" i="1"/>
  <c r="AY31" i="1"/>
  <c r="AY11" i="1"/>
  <c r="E1" i="1"/>
  <c r="FU331" i="1" l="1"/>
  <c r="FU172" i="1"/>
  <c r="FU27" i="1"/>
  <c r="FU552" i="1"/>
  <c r="FU115" i="1"/>
  <c r="FU515" i="1"/>
  <c r="FU198" i="1"/>
  <c r="FU85" i="1"/>
  <c r="FU269" i="1"/>
  <c r="FU229" i="1"/>
  <c r="FU541" i="1"/>
  <c r="FU226" i="1"/>
  <c r="FU152" i="1"/>
  <c r="FU234" i="1"/>
  <c r="FU240" i="1"/>
  <c r="FU510" i="1"/>
  <c r="FU443" i="1"/>
  <c r="FU212" i="1"/>
  <c r="FU125" i="1"/>
  <c r="FU523" i="1"/>
  <c r="FU282" i="1"/>
  <c r="FU179" i="1"/>
  <c r="FU87" i="1"/>
  <c r="FU457" i="1"/>
  <c r="FU124" i="1"/>
  <c r="FU346" i="1"/>
  <c r="FU123" i="1"/>
  <c r="FU352" i="1"/>
  <c r="FU193" i="1"/>
  <c r="FU34" i="1"/>
  <c r="FU275" i="1"/>
  <c r="FU116" i="1"/>
  <c r="FU516" i="1"/>
  <c r="FU358" i="1"/>
  <c r="FU342" i="1"/>
  <c r="FU144" i="1"/>
  <c r="FU544" i="1"/>
  <c r="FU366" i="1"/>
  <c r="FU205" i="1"/>
  <c r="FU136" i="1"/>
  <c r="FU536" i="1"/>
  <c r="FU127" i="1"/>
  <c r="FU527" i="1"/>
  <c r="FU97" i="1"/>
  <c r="FU497" i="1"/>
  <c r="FU208" i="1"/>
  <c r="FU427" i="1"/>
  <c r="FU406" i="1"/>
  <c r="FU418" i="1"/>
  <c r="FU332" i="1"/>
  <c r="FU176" i="1"/>
  <c r="FU318" i="1"/>
  <c r="FU467" i="1"/>
  <c r="FU6" i="1"/>
  <c r="FU253" i="1"/>
  <c r="FU259" i="1"/>
  <c r="FU567" i="1"/>
  <c r="FU248" i="1"/>
  <c r="FU432" i="1"/>
  <c r="FU279" i="1"/>
  <c r="FU422" i="1"/>
  <c r="FU299" i="1"/>
  <c r="FU76" i="1"/>
  <c r="FU104" i="1"/>
  <c r="FU315" i="1"/>
  <c r="FU184" i="1"/>
  <c r="FU12" i="1"/>
  <c r="FU335" i="1"/>
  <c r="FU341" i="1"/>
  <c r="FU305" i="1"/>
  <c r="FU426" i="1"/>
  <c r="FU411" i="1"/>
  <c r="FU32" i="1"/>
  <c r="FU22" i="1"/>
  <c r="FU10" i="1"/>
  <c r="FU365" i="1"/>
  <c r="FU400" i="1"/>
  <c r="FU326" i="1"/>
  <c r="FU285" i="1"/>
  <c r="FU94" i="1"/>
  <c r="FU100" i="1"/>
  <c r="FU223" i="1"/>
  <c r="FU489" i="1"/>
  <c r="FU565" i="1"/>
  <c r="FU114" i="1"/>
  <c r="FU361" i="1"/>
  <c r="FU509" i="1"/>
  <c r="FU478" i="1"/>
  <c r="FU560" i="1"/>
  <c r="FU197" i="1"/>
  <c r="FU149" i="1"/>
  <c r="FU251" i="1"/>
  <c r="FU92" i="1"/>
  <c r="FU492" i="1"/>
  <c r="FU333" i="1"/>
  <c r="FU174" i="1"/>
  <c r="FU15" i="1"/>
  <c r="FU415" i="1"/>
  <c r="FU98" i="1"/>
  <c r="FU498" i="1"/>
  <c r="FU339" i="1"/>
  <c r="FU180" i="1"/>
  <c r="FU421" i="1"/>
  <c r="FU247" i="1"/>
  <c r="FU82" i="1"/>
  <c r="FU482" i="1"/>
  <c r="FU303" i="1"/>
  <c r="FU385" i="1"/>
  <c r="FU217" i="1"/>
  <c r="FU50" i="1"/>
  <c r="FU284" i="1"/>
  <c r="FU328" i="1"/>
  <c r="FU169" i="1"/>
  <c r="FU383" i="1"/>
  <c r="FU47" i="1"/>
  <c r="FU504" i="1"/>
  <c r="FU239" i="1"/>
  <c r="FU18" i="1"/>
  <c r="FU167" i="1"/>
  <c r="FU370" i="1"/>
  <c r="FU89" i="1"/>
  <c r="FU514" i="1"/>
  <c r="FU323" i="1"/>
  <c r="FU410" i="1"/>
  <c r="FU231" i="1"/>
  <c r="FU112" i="1"/>
  <c r="FU353" i="1"/>
  <c r="FU441" i="1"/>
  <c r="FU237" i="1"/>
  <c r="FU419" i="1"/>
  <c r="FU101" i="1"/>
  <c r="FU447" i="1"/>
  <c r="FU382" i="1"/>
  <c r="FU171" i="1"/>
  <c r="FU494" i="1"/>
  <c r="FU500" i="1"/>
  <c r="FU26" i="1"/>
  <c r="FU196" i="1"/>
  <c r="FU243" i="1"/>
  <c r="FU211" i="1"/>
  <c r="FU216" i="1"/>
  <c r="FU160" i="1"/>
  <c r="FU512" i="1"/>
  <c r="FU194" i="1"/>
  <c r="FU118" i="1"/>
  <c r="FU41" i="1"/>
  <c r="FU5" i="1"/>
  <c r="FU304" i="1"/>
  <c r="FU485" i="1"/>
  <c r="FU132" i="1"/>
  <c r="FU532" i="1"/>
  <c r="FU296" i="1"/>
  <c r="FU71" i="1"/>
  <c r="FU471" i="1"/>
  <c r="FU312" i="1"/>
  <c r="FU153" i="1"/>
  <c r="FU394" i="1"/>
  <c r="FU235" i="1"/>
  <c r="FU476" i="1"/>
  <c r="FU159" i="1"/>
  <c r="FU241" i="1"/>
  <c r="FU67" i="1"/>
  <c r="FU148" i="1"/>
  <c r="FU548" i="1"/>
  <c r="FU389" i="1"/>
  <c r="FU200" i="1"/>
  <c r="FU91" i="1"/>
  <c r="FU491" i="1"/>
  <c r="FU173" i="1"/>
  <c r="FU14" i="1"/>
  <c r="FU414" i="1"/>
  <c r="FU255" i="1"/>
  <c r="FU96" i="1"/>
  <c r="FU496" i="1"/>
  <c r="FU338" i="1"/>
  <c r="FU420" i="1"/>
  <c r="FU261" i="1"/>
  <c r="FU487" i="1"/>
  <c r="FU322" i="1"/>
  <c r="FU143" i="1"/>
  <c r="FU57" i="1"/>
  <c r="FU524" i="1"/>
  <c r="FU168" i="1"/>
  <c r="FU409" i="1"/>
  <c r="FU511" i="1"/>
  <c r="FU199" i="1"/>
  <c r="FU440" i="1"/>
  <c r="FU107" i="1"/>
  <c r="FU507" i="1"/>
  <c r="FU163" i="1"/>
  <c r="FU245" i="1"/>
  <c r="FU310" i="1"/>
  <c r="FU188" i="1"/>
  <c r="FU429" i="1"/>
  <c r="FU131" i="1"/>
  <c r="FU531" i="1"/>
  <c r="FU372" i="1"/>
  <c r="FU213" i="1"/>
  <c r="FU54" i="1"/>
  <c r="FU454" i="1"/>
  <c r="FU295" i="1"/>
  <c r="FU378" i="1"/>
  <c r="FU219" i="1"/>
  <c r="FU60" i="1"/>
  <c r="FU460" i="1"/>
  <c r="FU301" i="1"/>
  <c r="FU362" i="1"/>
  <c r="FU183" i="1"/>
  <c r="FU265" i="1"/>
  <c r="FU330" i="1"/>
  <c r="FU164" i="1"/>
  <c r="FU564" i="1"/>
  <c r="FU386" i="1"/>
  <c r="FU49" i="1"/>
  <c r="FU449" i="1"/>
  <c r="FU111" i="1"/>
  <c r="FU151" i="1"/>
  <c r="FU551" i="1"/>
  <c r="FU392" i="1"/>
  <c r="FU233" i="1"/>
  <c r="FU74" i="1"/>
  <c r="FU474" i="1"/>
  <c r="FU156" i="1"/>
  <c r="FU556" i="1"/>
  <c r="FU398" i="1"/>
  <c r="FU80" i="1"/>
  <c r="FU480" i="1"/>
  <c r="FU321" i="1"/>
  <c r="FU147" i="1"/>
  <c r="FU547" i="1"/>
  <c r="FU203" i="1"/>
  <c r="FU350" i="1"/>
  <c r="FU228" i="1"/>
  <c r="FU69" i="1"/>
  <c r="FU469" i="1"/>
  <c r="FU51" i="1"/>
  <c r="FU438" i="1"/>
  <c r="FU120" i="1"/>
  <c r="FU520" i="1"/>
  <c r="FU187" i="1"/>
  <c r="FU325" i="1"/>
  <c r="FU157" i="1"/>
  <c r="FU46" i="1"/>
  <c r="FU446" i="1"/>
  <c r="FU268" i="1"/>
  <c r="FU109" i="1"/>
  <c r="FU38" i="1"/>
  <c r="FU52" i="1"/>
  <c r="FU452" i="1"/>
  <c r="FU293" i="1"/>
  <c r="FU134" i="1"/>
  <c r="FU534" i="1"/>
  <c r="FU375" i="1"/>
  <c r="FU58" i="1"/>
  <c r="FU458" i="1"/>
  <c r="FU140" i="1"/>
  <c r="FU540" i="1"/>
  <c r="FU381" i="1"/>
  <c r="FU207" i="1"/>
  <c r="FU42" i="1"/>
  <c r="FU442" i="1"/>
  <c r="FU263" i="1"/>
  <c r="FU345" i="1"/>
  <c r="FU177" i="1"/>
  <c r="FU244" i="1"/>
  <c r="FU66" i="1"/>
  <c r="FU466" i="1"/>
  <c r="FU288" i="1"/>
  <c r="FU129" i="1"/>
  <c r="FU529" i="1"/>
  <c r="FU195" i="1"/>
  <c r="FU343" i="1"/>
  <c r="FU21" i="1"/>
  <c r="FU451" i="1"/>
  <c r="FU300" i="1"/>
  <c r="FU549" i="1"/>
  <c r="FU9" i="1"/>
  <c r="FU250" i="1"/>
  <c r="FU316" i="1"/>
  <c r="FU146" i="1"/>
  <c r="FU546" i="1"/>
  <c r="FU397" i="1"/>
  <c r="FU258" i="1"/>
  <c r="FU202" i="1"/>
  <c r="FU281" i="1"/>
  <c r="FU204" i="1"/>
  <c r="FU391" i="1"/>
  <c r="FU272" i="1"/>
  <c r="FU86" i="1"/>
  <c r="FU486" i="1"/>
  <c r="FU390" i="1"/>
  <c r="FU20" i="1"/>
  <c r="FU388" i="1"/>
  <c r="FU45" i="1"/>
  <c r="FU445" i="1"/>
  <c r="FU559" i="1"/>
  <c r="FU191" i="1"/>
  <c r="FU72" i="1"/>
  <c r="FU472" i="1"/>
  <c r="FU313" i="1"/>
  <c r="FU154" i="1"/>
  <c r="FU554" i="1"/>
  <c r="FU395" i="1"/>
  <c r="FU236" i="1"/>
  <c r="FU78" i="1"/>
  <c r="FU319" i="1"/>
  <c r="FU401" i="1"/>
  <c r="FU227" i="1"/>
  <c r="FU62" i="1"/>
  <c r="FU462" i="1"/>
  <c r="FU283" i="1"/>
  <c r="FU30" i="1"/>
  <c r="FU430" i="1"/>
  <c r="FU264" i="1"/>
  <c r="FU308" i="1"/>
  <c r="FU363" i="1"/>
  <c r="FU225" i="1"/>
  <c r="FU29" i="1"/>
  <c r="FU270" i="1"/>
  <c r="FU278" i="1"/>
  <c r="FU379" i="1"/>
  <c r="FU355" i="1"/>
  <c r="FU528" i="1"/>
  <c r="FU224" i="1"/>
  <c r="FU557" i="1"/>
  <c r="FU292" i="1"/>
  <c r="FU290" i="1"/>
  <c r="FU106" i="1"/>
  <c r="FU506" i="1"/>
  <c r="FU40" i="1"/>
  <c r="FU70" i="1"/>
  <c r="FU161" i="1"/>
  <c r="FU291" i="1"/>
  <c r="FU373" i="1"/>
  <c r="FU214" i="1"/>
  <c r="FU55" i="1"/>
  <c r="FU455" i="1"/>
  <c r="FU138" i="1"/>
  <c r="FU538" i="1"/>
  <c r="FU220" i="1"/>
  <c r="FU61" i="1"/>
  <c r="FU461" i="1"/>
  <c r="FU287" i="1"/>
  <c r="FU25" i="1"/>
  <c r="FU425" i="1"/>
  <c r="FU257" i="1"/>
  <c r="FU90" i="1"/>
  <c r="FU490" i="1"/>
  <c r="FU324" i="1"/>
  <c r="FU368" i="1"/>
  <c r="FU209" i="1"/>
  <c r="FU423" i="1"/>
  <c r="FU35" i="1"/>
  <c r="FU470" i="1"/>
  <c r="FU311" i="1"/>
  <c r="FU399" i="1"/>
  <c r="FU481" i="1"/>
  <c r="FU542" i="1"/>
  <c r="FU110" i="1"/>
  <c r="FU566" i="1"/>
  <c r="FU271" i="1"/>
  <c r="FU359" i="1"/>
  <c r="FU405" i="1"/>
  <c r="FU526" i="1"/>
  <c r="FU158" i="1"/>
  <c r="FU558" i="1"/>
  <c r="FU81" i="1"/>
  <c r="FU307" i="1"/>
  <c r="FU142" i="1"/>
  <c r="FU344" i="1"/>
  <c r="FU166" i="1"/>
  <c r="FU13" i="1"/>
  <c r="FU413" i="1"/>
  <c r="FU254" i="1"/>
  <c r="FU95" i="1"/>
  <c r="FU495" i="1"/>
  <c r="FU336" i="1"/>
  <c r="FU178" i="1"/>
  <c r="FU19" i="1"/>
  <c r="FU501" i="1"/>
  <c r="FU327" i="1"/>
  <c r="FU65" i="1"/>
  <c r="FU465" i="1"/>
  <c r="FU130" i="1"/>
  <c r="FU530" i="1"/>
  <c r="FU364" i="1"/>
  <c r="FU186" i="1"/>
  <c r="FU8" i="1"/>
  <c r="FU408" i="1"/>
  <c r="FU249" i="1"/>
  <c r="FU463" i="1"/>
  <c r="FU351" i="1"/>
  <c r="FU356" i="1"/>
  <c r="FU317" i="1"/>
  <c r="FU384" i="1"/>
  <c r="FU483" i="1"/>
  <c r="FU435" i="1"/>
  <c r="FU502" i="1"/>
  <c r="FU189" i="1"/>
  <c r="FU274" i="1"/>
  <c r="FU439" i="1"/>
  <c r="FU182" i="1"/>
  <c r="FU550" i="1"/>
  <c r="FU371" i="1"/>
  <c r="FU53" i="1"/>
  <c r="FU294" i="1"/>
  <c r="FU135" i="1"/>
  <c r="FU535" i="1"/>
  <c r="FU376" i="1"/>
  <c r="FU218" i="1"/>
  <c r="FU59" i="1"/>
  <c r="FU459" i="1"/>
  <c r="FU141" i="1"/>
  <c r="FU367" i="1"/>
  <c r="FU23" i="1"/>
  <c r="FU105" i="1"/>
  <c r="FU505" i="1"/>
  <c r="FU337" i="1"/>
  <c r="FU4" i="1"/>
  <c r="FU404" i="1"/>
  <c r="FU48" i="1"/>
  <c r="FU448" i="1"/>
  <c r="FU289" i="1"/>
  <c r="FU503" i="1"/>
  <c r="FU267" i="1"/>
  <c r="FU348" i="1"/>
  <c r="FU33" i="1"/>
  <c r="FU521" i="1"/>
  <c r="FU28" i="1"/>
  <c r="FU232" i="1"/>
  <c r="FU73" i="1"/>
  <c r="FU473" i="1"/>
  <c r="FU314" i="1"/>
  <c r="FU155" i="1"/>
  <c r="FU555" i="1"/>
  <c r="FU396" i="1"/>
  <c r="FU238" i="1"/>
  <c r="FU79" i="1"/>
  <c r="FU479" i="1"/>
  <c r="FU320" i="1"/>
  <c r="FU561" i="1"/>
  <c r="FU387" i="1"/>
  <c r="FU43" i="1"/>
  <c r="FU190" i="1"/>
  <c r="FU24" i="1"/>
  <c r="FU424" i="1"/>
  <c r="FU246" i="1"/>
  <c r="FU68" i="1"/>
  <c r="FU468" i="1"/>
  <c r="FU309" i="1"/>
  <c r="FU518" i="1"/>
  <c r="FU126" i="1"/>
  <c r="FU192" i="1"/>
  <c r="FU39" i="1"/>
  <c r="FU347" i="1"/>
  <c r="FU150" i="1"/>
  <c r="FU206" i="1"/>
  <c r="FU175" i="1"/>
  <c r="FU63" i="1"/>
  <c r="FU545" i="1"/>
  <c r="FU377" i="1"/>
  <c r="FU210" i="1"/>
  <c r="FU266" i="1"/>
  <c r="FU88" i="1"/>
  <c r="FU488" i="1"/>
  <c r="FU329" i="1"/>
  <c r="FU543" i="1"/>
  <c r="FU276" i="1"/>
  <c r="FU102" i="1"/>
  <c r="FU403" i="1"/>
  <c r="FU493" i="1"/>
  <c r="FU340" i="1"/>
  <c r="FU242" i="1"/>
  <c r="FU31" i="1"/>
  <c r="FU431" i="1"/>
  <c r="FU113" i="1"/>
  <c r="FU513" i="1"/>
  <c r="FU354" i="1"/>
  <c r="FU436" i="1"/>
  <c r="FU119" i="1"/>
  <c r="FU519" i="1"/>
  <c r="FU360" i="1"/>
  <c r="FU201" i="1"/>
  <c r="FU262" i="1"/>
  <c r="FU83" i="1"/>
  <c r="FU165" i="1"/>
  <c r="FU230" i="1"/>
  <c r="FU64" i="1"/>
  <c r="FU464" i="1"/>
  <c r="FU286" i="1"/>
  <c r="FU108" i="1"/>
  <c r="FU508" i="1"/>
  <c r="FU349" i="1"/>
  <c r="FU563" i="1"/>
  <c r="FU553" i="1"/>
  <c r="FU11" i="1"/>
  <c r="FU280" i="1"/>
  <c r="FU3" i="1"/>
  <c r="FU428" i="1"/>
  <c r="FU93" i="1"/>
  <c r="FU334" i="1"/>
  <c r="FU133" i="1"/>
  <c r="FU533" i="1"/>
  <c r="FU374" i="1"/>
  <c r="FU215" i="1"/>
  <c r="FU56" i="1"/>
  <c r="FU456" i="1"/>
  <c r="FU298" i="1"/>
  <c r="FU139" i="1"/>
  <c r="FU539" i="1"/>
  <c r="FU380" i="1"/>
  <c r="FU221" i="1"/>
  <c r="FU103" i="1"/>
  <c r="FU185" i="1"/>
  <c r="FU17" i="1"/>
  <c r="FU417" i="1"/>
  <c r="FU484" i="1"/>
  <c r="FU306" i="1"/>
  <c r="FU128" i="1"/>
  <c r="FU369" i="1"/>
  <c r="FU256" i="1"/>
  <c r="FU434" i="1"/>
  <c r="FU77" i="1"/>
  <c r="FU477" i="1"/>
  <c r="FU117" i="1"/>
  <c r="FU517" i="1"/>
  <c r="FU537" i="1"/>
  <c r="FU402" i="1"/>
  <c r="FU137" i="1"/>
  <c r="FU273" i="1"/>
  <c r="FU450" i="1"/>
  <c r="FU122" i="1"/>
  <c r="FU522" i="1"/>
  <c r="FU260" i="1"/>
  <c r="FU222" i="1"/>
  <c r="FU162" i="1"/>
  <c r="FU453" i="1"/>
  <c r="FU562" i="1"/>
  <c r="FU121" i="1"/>
  <c r="FU297" i="1"/>
  <c r="FU170" i="1"/>
  <c r="FU302" i="1"/>
  <c r="FU37" i="1"/>
  <c r="FU437" i="1"/>
  <c r="FU3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Jeroen Scheepers</author>
  </authors>
  <commentList>
    <comment ref="E452" authorId="0" shapeId="0" xr:uid="{3513355F-F785-4F7E-86F6-55F3E8C5A525}">
      <text>
        <r>
          <rPr>
            <b/>
            <sz val="9"/>
            <color indexed="81"/>
            <rFont val="Tahoma"/>
            <family val="2"/>
          </rPr>
          <t>Jeroen Scheepers:</t>
        </r>
        <r>
          <rPr>
            <sz val="9"/>
            <color indexed="81"/>
            <rFont val="Tahoma"/>
            <family val="2"/>
          </rPr>
          <t xml:space="preserve">
Kalkhoff Werke
</t>
        </r>
      </text>
    </comment>
    <comment ref="E454" authorId="0" shapeId="0" xr:uid="{10398A79-4A1E-42B2-B969-2DC3A53A49D5}">
      <text>
        <r>
          <rPr>
            <b/>
            <sz val="9"/>
            <color indexed="81"/>
            <rFont val="Tahoma"/>
            <family val="2"/>
          </rPr>
          <t>Jeroen Scheepers:</t>
        </r>
        <r>
          <rPr>
            <sz val="9"/>
            <color indexed="81"/>
            <rFont val="Tahoma"/>
            <family val="2"/>
          </rPr>
          <t xml:space="preserve">
Cervelo</t>
        </r>
      </text>
    </comment>
    <comment ref="E457" authorId="0" shapeId="0" xr:uid="{71DA48D7-F369-4548-8A92-727925604BE5}">
      <text>
        <r>
          <rPr>
            <b/>
            <sz val="9"/>
            <color indexed="81"/>
            <rFont val="Tahoma"/>
            <family val="2"/>
          </rPr>
          <t>Jeroen Scheepers:</t>
        </r>
        <r>
          <rPr>
            <sz val="9"/>
            <color indexed="81"/>
            <rFont val="Tahoma"/>
            <family val="2"/>
          </rPr>
          <t xml:space="preserve">
Koninklijke Gazelle N.V.</t>
        </r>
      </text>
    </comment>
    <comment ref="E458" authorId="0" shapeId="0" xr:uid="{B1C1CAA1-6363-47C2-B630-29DD3862357B}">
      <text>
        <r>
          <rPr>
            <b/>
            <sz val="9"/>
            <color indexed="81"/>
            <rFont val="Tahoma"/>
            <family val="2"/>
          </rPr>
          <t>Jeroen Scheepers:</t>
        </r>
        <r>
          <rPr>
            <sz val="9"/>
            <color indexed="81"/>
            <rFont val="Tahoma"/>
            <family val="2"/>
          </rPr>
          <t xml:space="preserve">
Pon Bike Lithuania</t>
        </r>
      </text>
    </comment>
    <comment ref="E459" authorId="0" shapeId="0" xr:uid="{DD82D8C6-9143-4EA6-9F37-463DBB75D0E5}">
      <text>
        <r>
          <rPr>
            <b/>
            <sz val="9"/>
            <color indexed="81"/>
            <rFont val="Tahoma"/>
            <family val="2"/>
          </rPr>
          <t>Jeroen Scheepers:</t>
        </r>
        <r>
          <rPr>
            <sz val="9"/>
            <color indexed="81"/>
            <rFont val="Tahoma"/>
            <family val="2"/>
          </rPr>
          <t xml:space="preserve">
Veloretti</t>
        </r>
      </text>
    </comment>
    <comment ref="E467" authorId="0" shapeId="0" xr:uid="{9F083E28-ABA0-46B7-B7BF-E849600DCC00}">
      <text>
        <r>
          <rPr>
            <b/>
            <sz val="9"/>
            <color indexed="81"/>
            <rFont val="Tahoma"/>
            <family val="2"/>
          </rPr>
          <t>Jeroen Scheepers:</t>
        </r>
        <r>
          <rPr>
            <sz val="9"/>
            <color indexed="81"/>
            <rFont val="Tahoma"/>
            <family val="2"/>
          </rPr>
          <t xml:space="preserve">
Cannondale</t>
        </r>
      </text>
    </comment>
    <comment ref="E476" authorId="0" shapeId="0" xr:uid="{359E3CAC-F220-4B67-9F8E-D00AAC1498DB}">
      <text>
        <r>
          <rPr>
            <b/>
            <sz val="9"/>
            <color indexed="81"/>
            <rFont val="Tahoma"/>
            <family val="2"/>
          </rPr>
          <t>Jeroen Scheepers:</t>
        </r>
        <r>
          <rPr>
            <sz val="9"/>
            <color indexed="81"/>
            <rFont val="Tahoma"/>
            <family val="2"/>
          </rPr>
          <t xml:space="preserve">
UA</t>
        </r>
      </text>
    </comment>
  </commentList>
</comments>
</file>

<file path=xl/sharedStrings.xml><?xml version="1.0" encoding="utf-8"?>
<sst xmlns="http://schemas.openxmlformats.org/spreadsheetml/2006/main" count="19491" uniqueCount="2714">
  <si>
    <t>Updating: READY</t>
  </si>
  <si>
    <t>Number of New Rows:</t>
  </si>
  <si>
    <t>SubmitDate</t>
  </si>
  <si>
    <t>ReportSent</t>
  </si>
  <si>
    <t>Name:</t>
  </si>
  <si>
    <t>Function:</t>
  </si>
  <si>
    <t>Company name:</t>
  </si>
  <si>
    <t>Country</t>
  </si>
  <si>
    <t>E-mail address</t>
  </si>
  <si>
    <t>Version</t>
  </si>
  <si>
    <t>Sector</t>
  </si>
  <si>
    <t>Subsector</t>
  </si>
  <si>
    <t>Size (number of employees)</t>
  </si>
  <si>
    <t>Value strategy</t>
  </si>
  <si>
    <t>Where is the power in the chain?</t>
  </si>
  <si>
    <t>Position in the value chain</t>
  </si>
  <si>
    <t>B2B-B2C?</t>
  </si>
  <si>
    <t># competitors</t>
  </si>
  <si>
    <t># suppliers</t>
  </si>
  <si>
    <t># customers</t>
  </si>
  <si>
    <t># products-SKUs</t>
  </si>
  <si>
    <t>Customer order decoupling point</t>
  </si>
  <si>
    <t>Culture</t>
  </si>
  <si>
    <t>Type of company</t>
  </si>
  <si>
    <t>Geographical footprint supply network</t>
  </si>
  <si>
    <t>Geographical footprint customers</t>
  </si>
  <si>
    <t>Up - R1a</t>
  </si>
  <si>
    <t>Up - R1b</t>
  </si>
  <si>
    <t>Up - R1c</t>
  </si>
  <si>
    <t>Up - R1</t>
  </si>
  <si>
    <t>Up - R2</t>
  </si>
  <si>
    <t>Up - R3</t>
  </si>
  <si>
    <t>Up - R4</t>
  </si>
  <si>
    <t>Up - R5</t>
  </si>
  <si>
    <t>Up - R</t>
  </si>
  <si>
    <t>Up - C1a</t>
  </si>
  <si>
    <t>Up - C1b</t>
  </si>
  <si>
    <t>Up - C1c</t>
  </si>
  <si>
    <t>Up - C1</t>
  </si>
  <si>
    <t>Up - C2</t>
  </si>
  <si>
    <t>Up - C3</t>
  </si>
  <si>
    <t>Up - C4</t>
  </si>
  <si>
    <t>Up - C</t>
  </si>
  <si>
    <t>Up - F1a</t>
  </si>
  <si>
    <t>Up - F1</t>
  </si>
  <si>
    <t>Up - F2a</t>
  </si>
  <si>
    <t>Up - F2b</t>
  </si>
  <si>
    <t>Up - F2</t>
  </si>
  <si>
    <t>Up - F3a</t>
  </si>
  <si>
    <t>Up - F3b</t>
  </si>
  <si>
    <t>Up - F3</t>
  </si>
  <si>
    <t>Up - F4</t>
  </si>
  <si>
    <t>Up - F</t>
  </si>
  <si>
    <t>Up - V1a</t>
  </si>
  <si>
    <t>Up - V1b</t>
  </si>
  <si>
    <t>Up - V1</t>
  </si>
  <si>
    <t>Up - V2a</t>
  </si>
  <si>
    <t>Up - V2b</t>
  </si>
  <si>
    <t>Up - V2c</t>
  </si>
  <si>
    <t>Up - V2</t>
  </si>
  <si>
    <t>Up - V3a</t>
  </si>
  <si>
    <t>Up - V3b</t>
  </si>
  <si>
    <t>Up - V3</t>
  </si>
  <si>
    <t>Up - V4</t>
  </si>
  <si>
    <t>Up - V</t>
  </si>
  <si>
    <t>Up - A1a</t>
  </si>
  <si>
    <t>Up - A1b</t>
  </si>
  <si>
    <t>Up - A1c</t>
  </si>
  <si>
    <t>Up - A1d</t>
  </si>
  <si>
    <t>Up - A1</t>
  </si>
  <si>
    <t>Up - A2a</t>
  </si>
  <si>
    <t>Up - A2b</t>
  </si>
  <si>
    <t>Up - A2</t>
  </si>
  <si>
    <t>Up - A3a</t>
  </si>
  <si>
    <t>Up - A3</t>
  </si>
  <si>
    <t>Up - A4</t>
  </si>
  <si>
    <t>Up - A</t>
  </si>
  <si>
    <t>In - R1a</t>
  </si>
  <si>
    <t>In - R1b</t>
  </si>
  <si>
    <t>In - R1</t>
  </si>
  <si>
    <t>In - R2</t>
  </si>
  <si>
    <t>In - R3</t>
  </si>
  <si>
    <t>In - R4</t>
  </si>
  <si>
    <t>In - R5</t>
  </si>
  <si>
    <t>In - R</t>
  </si>
  <si>
    <t>In - C1a</t>
  </si>
  <si>
    <t>In - C1b</t>
  </si>
  <si>
    <t>In - C1c</t>
  </si>
  <si>
    <t>In - C1</t>
  </si>
  <si>
    <t>In - C2</t>
  </si>
  <si>
    <t>In - C3</t>
  </si>
  <si>
    <t>In - C4</t>
  </si>
  <si>
    <t>In - C</t>
  </si>
  <si>
    <t>In - F1a</t>
  </si>
  <si>
    <t>In - F1b</t>
  </si>
  <si>
    <t>In - F1c</t>
  </si>
  <si>
    <t>In - F1</t>
  </si>
  <si>
    <t>In - F2a</t>
  </si>
  <si>
    <t>In - F2b</t>
  </si>
  <si>
    <t>In - F2</t>
  </si>
  <si>
    <t>In - F3a</t>
  </si>
  <si>
    <t>In - F3</t>
  </si>
  <si>
    <t>In - F4</t>
  </si>
  <si>
    <t>In - F</t>
  </si>
  <si>
    <t>In - V1a</t>
  </si>
  <si>
    <t>In - V1b</t>
  </si>
  <si>
    <t>In - V1c</t>
  </si>
  <si>
    <t>In - V1</t>
  </si>
  <si>
    <t>In - V2a</t>
  </si>
  <si>
    <t>In - V2b</t>
  </si>
  <si>
    <t>In - V2c</t>
  </si>
  <si>
    <t>In - V2</t>
  </si>
  <si>
    <t>In - V3a</t>
  </si>
  <si>
    <t>In - V3b</t>
  </si>
  <si>
    <t>In - V3</t>
  </si>
  <si>
    <t>In - V4</t>
  </si>
  <si>
    <t>In - V</t>
  </si>
  <si>
    <t>In - A1a</t>
  </si>
  <si>
    <t>In - A1b</t>
  </si>
  <si>
    <t>In - A1</t>
  </si>
  <si>
    <t>In - A2a</t>
  </si>
  <si>
    <t>In - A2b</t>
  </si>
  <si>
    <t>In - A2</t>
  </si>
  <si>
    <t>In - A3a</t>
  </si>
  <si>
    <t>In - A3b</t>
  </si>
  <si>
    <t>In - A3</t>
  </si>
  <si>
    <t>In - A4</t>
  </si>
  <si>
    <t>In - A</t>
  </si>
  <si>
    <t>Do - R1a</t>
  </si>
  <si>
    <t>Do - R1b</t>
  </si>
  <si>
    <t>Do - R1c</t>
  </si>
  <si>
    <t>Do - R1</t>
  </si>
  <si>
    <t>Do - R2</t>
  </si>
  <si>
    <t>Do - R3</t>
  </si>
  <si>
    <t>Do - R4</t>
  </si>
  <si>
    <t>Do - R5</t>
  </si>
  <si>
    <t>Do - R</t>
  </si>
  <si>
    <t>Do - C1a</t>
  </si>
  <si>
    <t>Do - C1b</t>
  </si>
  <si>
    <t>Do - C1c</t>
  </si>
  <si>
    <t>Do - C1</t>
  </si>
  <si>
    <t>Do - C2</t>
  </si>
  <si>
    <t>Do - C3</t>
  </si>
  <si>
    <t>Do - C4</t>
  </si>
  <si>
    <t>Do - C</t>
  </si>
  <si>
    <t>Do - F1a</t>
  </si>
  <si>
    <t>Do - F1b</t>
  </si>
  <si>
    <t>Do - F1c</t>
  </si>
  <si>
    <t>Do - F1</t>
  </si>
  <si>
    <t>Do - F2a</t>
  </si>
  <si>
    <t>Do - F2</t>
  </si>
  <si>
    <t>Do - F3a</t>
  </si>
  <si>
    <t>Do - F3b</t>
  </si>
  <si>
    <t>Do - F3</t>
  </si>
  <si>
    <t>Do - F4</t>
  </si>
  <si>
    <t>Do - F</t>
  </si>
  <si>
    <t>Do - V1a</t>
  </si>
  <si>
    <t>Do - V1b</t>
  </si>
  <si>
    <t>Do - V1c</t>
  </si>
  <si>
    <t>Do - V1</t>
  </si>
  <si>
    <t>Do - V2a</t>
  </si>
  <si>
    <t>Do - V2b</t>
  </si>
  <si>
    <t>Do - V2</t>
  </si>
  <si>
    <t>Do - V3a</t>
  </si>
  <si>
    <t>Do - V3</t>
  </si>
  <si>
    <t>Do - V4</t>
  </si>
  <si>
    <t>Do - V</t>
  </si>
  <si>
    <t>Do - A1a</t>
  </si>
  <si>
    <t>Do - A1b</t>
  </si>
  <si>
    <t>Do - A1c</t>
  </si>
  <si>
    <t>Do - A1</t>
  </si>
  <si>
    <t>Do - A2a</t>
  </si>
  <si>
    <t>Do - A2b</t>
  </si>
  <si>
    <t>Do - A2</t>
  </si>
  <si>
    <t>Do - A3a</t>
  </si>
  <si>
    <t>Do - A3</t>
  </si>
  <si>
    <t>Do - A4</t>
  </si>
  <si>
    <t>Do - A</t>
  </si>
  <si>
    <t>Overall SCRes</t>
  </si>
  <si>
    <t>Hash</t>
  </si>
  <si>
    <t>RowChecked</t>
  </si>
  <si>
    <t>Deurwaarder</t>
  </si>
  <si>
    <t>Procurement</t>
  </si>
  <si>
    <t>Vattenfall</t>
  </si>
  <si>
    <t>Netherlands</t>
  </si>
  <si>
    <t>Versie 0.1 (nl)</t>
  </si>
  <si>
    <t>Electricity, gas, steam and air conditioning supply</t>
  </si>
  <si>
    <t>[10,000+]</t>
  </si>
  <si>
    <t>One or more customers</t>
  </si>
  <si>
    <t>?</t>
  </si>
  <si>
    <t>N.A. - 0011</t>
  </si>
  <si>
    <t>TCCC SCR2 EMEA 2023 Team 3</t>
  </si>
  <si>
    <t>-</t>
  </si>
  <si>
    <t>The Coca-Cola Company</t>
  </si>
  <si>
    <t>Versie 1.0 (eng)</t>
  </si>
  <si>
    <t>Manufacturing</t>
  </si>
  <si>
    <t>Manufacture of beverages</t>
  </si>
  <si>
    <t>Operational Excellence</t>
  </si>
  <si>
    <t>Own company</t>
  </si>
  <si>
    <t xml:space="preserve">Center (consumer products) </t>
  </si>
  <si>
    <t>B2B</t>
  </si>
  <si>
    <t>[100-499]</t>
  </si>
  <si>
    <t>[500-999]</t>
  </si>
  <si>
    <t>[50-99]</t>
  </si>
  <si>
    <t xml:space="preserve">Make to stock (MTS) </t>
  </si>
  <si>
    <t>Market culture – the results-oriented, competitive - Compete Culture</t>
  </si>
  <si>
    <t>Corporation</t>
  </si>
  <si>
    <t>Global</t>
  </si>
  <si>
    <t>N.A. - 0005</t>
  </si>
  <si>
    <t>Pim Jansen</t>
  </si>
  <si>
    <t>SC &amp; Procurement Director</t>
  </si>
  <si>
    <t>Suplacon</t>
  </si>
  <si>
    <t>Manufacture of fabricated metal products, except machinery and equipment</t>
  </si>
  <si>
    <t>N.A. - 0012</t>
  </si>
  <si>
    <t>Elbrich de Jong (0.1)</t>
  </si>
  <si>
    <t>Supply Chain Manager</t>
  </si>
  <si>
    <t>Scania Logistics NL</t>
  </si>
  <si>
    <t>Manufacture of other transport equipment</t>
  </si>
  <si>
    <t>Customer Intimacy</t>
  </si>
  <si>
    <t>N.A. - 0008</t>
  </si>
  <si>
    <t>Aafke Christenhusz</t>
  </si>
  <si>
    <t>Manager Business Control</t>
  </si>
  <si>
    <t>Versie 1.0 (nl)</t>
  </si>
  <si>
    <t> </t>
  </si>
  <si>
    <t>Private limited company (Ltd.)</t>
  </si>
  <si>
    <t>N.A. - 0017</t>
  </si>
  <si>
    <t>Arjan Muntenga</t>
  </si>
  <si>
    <t>Manager Logistic Center Operations</t>
  </si>
  <si>
    <t>arjan.muntenga@scania.com</t>
  </si>
  <si>
    <t>N.A. - 0018</t>
  </si>
  <si>
    <t>Jan Boersma</t>
  </si>
  <si>
    <t>Manager Engineering &amp; Development</t>
  </si>
  <si>
    <t>jan.boersma@scania.com</t>
  </si>
  <si>
    <t>Equally distributed</t>
  </si>
  <si>
    <t>[6-10]</t>
  </si>
  <si>
    <t>[1,000-9,999]</t>
  </si>
  <si>
    <t>Make to order (MTO)</t>
  </si>
  <si>
    <t>Hierarchy culture – the process-oriented, structured - Control Culture</t>
  </si>
  <si>
    <t>N.A. - 0020</t>
  </si>
  <si>
    <t>Remco de Marie (0.2)</t>
  </si>
  <si>
    <t>Head of Customer Fullfilment</t>
  </si>
  <si>
    <t>Rituals</t>
  </si>
  <si>
    <t>Versie 0.2 (nl)</t>
  </si>
  <si>
    <t>Wholesale and retail trade; repair of motor vehicles and motorcycles</t>
  </si>
  <si>
    <t>Retail trade, except of motor vehicles and motorcycles</t>
  </si>
  <si>
    <t>N.A. - 0007</t>
  </si>
  <si>
    <t>Bas van Bree</t>
  </si>
  <si>
    <t>NEDTECH</t>
  </si>
  <si>
    <t>Wholesale trade, except of motor vehicles and motorcycles</t>
  </si>
  <si>
    <t>Product Leadership</t>
  </si>
  <si>
    <t>N.A. - 0010</t>
  </si>
  <si>
    <t>Henrick van de brug</t>
  </si>
  <si>
    <t>Eigenaar</t>
  </si>
  <si>
    <t>Livin' Spas</t>
  </si>
  <si>
    <t>Service sector</t>
  </si>
  <si>
    <t>[3-9]</t>
  </si>
  <si>
    <t>B2C</t>
  </si>
  <si>
    <t>N.A. - 0006</t>
  </si>
  <si>
    <t>Koen Kummel (0.2)</t>
  </si>
  <si>
    <t>Director S&amp;OP/IBP</t>
  </si>
  <si>
    <t>Corbion (1)</t>
  </si>
  <si>
    <t>Manufacture of food products</t>
  </si>
  <si>
    <t>Upstream (intermediate semi-finished products/ ingredients)</t>
  </si>
  <si>
    <t>Oligopoly (Several)</t>
  </si>
  <si>
    <t>N.A. - 0002</t>
  </si>
  <si>
    <t>Jasper Luik (0.1)</t>
  </si>
  <si>
    <t>Inkoopmanager</t>
  </si>
  <si>
    <t>Broshuis B.V.</t>
  </si>
  <si>
    <t>Manufacture of motor vehicles, trailers and semi-trailers</t>
  </si>
  <si>
    <t>N.A. - 0015</t>
  </si>
  <si>
    <t>Susanne Westerdijk</t>
  </si>
  <si>
    <t>Innovatie Manager</t>
  </si>
  <si>
    <t>Brink Climate Systems</t>
  </si>
  <si>
    <t>Manufacture of electrical equipment</t>
  </si>
  <si>
    <t>N.A. - 0013</t>
  </si>
  <si>
    <t>Rob ter Beek (0.2)</t>
  </si>
  <si>
    <t>Bosch Thermotechniek B.V.</t>
  </si>
  <si>
    <t>N.A. - 0014</t>
  </si>
  <si>
    <t>Hessel de Keijzer (0.2)</t>
  </si>
  <si>
    <t>Regio Manager</t>
  </si>
  <si>
    <t>Bidfood</t>
  </si>
  <si>
    <t>One or more suppliers</t>
  </si>
  <si>
    <t>Downstream (wholesale)</t>
  </si>
  <si>
    <t>Monopolistic Competition (Many)</t>
  </si>
  <si>
    <t>Purchase to stock (PTS)</t>
  </si>
  <si>
    <t>Clan culture – the people-oriented, friendly - Collaborate Culture</t>
  </si>
  <si>
    <t>N.A. - 0004</t>
  </si>
  <si>
    <t>Hans Veltman</t>
  </si>
  <si>
    <t>Consultant</t>
  </si>
  <si>
    <t>AVMC</t>
  </si>
  <si>
    <t>Klant Food &amp; Beverages</t>
  </si>
  <si>
    <t>N.A. - 0009</t>
  </si>
  <si>
    <t>Erik Pricker (0.2)</t>
  </si>
  <si>
    <t>Avebe</t>
  </si>
  <si>
    <t>N.A. - 0001</t>
  </si>
  <si>
    <t>Laura Wessels</t>
  </si>
  <si>
    <t>S&amp;OP Planner</t>
  </si>
  <si>
    <t>N.A. - 0003</t>
  </si>
  <si>
    <t>Saskia Vlap</t>
  </si>
  <si>
    <t>N.A. - 0016</t>
  </si>
  <si>
    <t>Dick de Leeuw</t>
  </si>
  <si>
    <t>Directie</t>
  </si>
  <si>
    <t>Ales Metaaltechniek</t>
  </si>
  <si>
    <t>ddl@alesmetaaltechniek.nl</t>
  </si>
  <si>
    <t>[10-49]</t>
  </si>
  <si>
    <t>Regional</t>
  </si>
  <si>
    <t>National</t>
  </si>
  <si>
    <t>N.A. - 0019</t>
  </si>
  <si>
    <t>Ruben Spansier</t>
  </si>
  <si>
    <t>Senior Werkvoorbereider</t>
  </si>
  <si>
    <t>rs@alesmetaaltechniek.nl</t>
  </si>
  <si>
    <t>[11-50]</t>
  </si>
  <si>
    <t>N.A. - 0021</t>
  </si>
  <si>
    <t>Gerard van de Bruinhorst</t>
  </si>
  <si>
    <t>Meubelgoedkoop</t>
  </si>
  <si>
    <t>info@meubelgoedkoop.nl</t>
  </si>
  <si>
    <t>Downstream (Wholesale)</t>
  </si>
  <si>
    <t>[2]</t>
  </si>
  <si>
    <t>N.A. - 0022</t>
  </si>
  <si>
    <t>Nanne Schriek</t>
  </si>
  <si>
    <t>Evofenedex</t>
  </si>
  <si>
    <t>nanne.schriek</t>
  </si>
  <si>
    <t>Transporting and storage</t>
  </si>
  <si>
    <t>Warehousing and support activities for transportation</t>
  </si>
  <si>
    <t/>
  </si>
  <si>
    <t>N.A. - 0023</t>
  </si>
  <si>
    <t>My-Max</t>
  </si>
  <si>
    <t>info@my-max.nl</t>
  </si>
  <si>
    <t>N.A. - 0024</t>
  </si>
  <si>
    <t>Henrick van de Brug (1.0)</t>
  </si>
  <si>
    <t>henrick@livinspas.com</t>
  </si>
  <si>
    <t>Far downstream (Retail)</t>
  </si>
  <si>
    <t>N.A. - 0025</t>
  </si>
  <si>
    <t>Arjan</t>
  </si>
  <si>
    <t>Sales</t>
  </si>
  <si>
    <t>Mundo Recreatie</t>
  </si>
  <si>
    <t>arjan@mundorecreatie.nl</t>
  </si>
  <si>
    <t>N.A. - 0026</t>
  </si>
  <si>
    <t>Lars Koudijs</t>
  </si>
  <si>
    <t>Verkoper</t>
  </si>
  <si>
    <t>Jansen2wielers</t>
  </si>
  <si>
    <t>lars@jansen2wielers.nl</t>
  </si>
  <si>
    <t>N.A. - 0027</t>
  </si>
  <si>
    <t>Stijn Kamps (1)</t>
  </si>
  <si>
    <t xml:space="preserve">Supply chain engineer </t>
  </si>
  <si>
    <t>AWL-Techniek</t>
  </si>
  <si>
    <t>s.kamps@awl.nl</t>
  </si>
  <si>
    <t>Manufacture of machinery and equipment n.e.c.</t>
  </si>
  <si>
    <t xml:space="preserve">Engineer to order (ETO) </t>
  </si>
  <si>
    <t>Adhocracy culture – the dynamic, entrepreneurial - Create Culture</t>
  </si>
  <si>
    <t>N.A. - 0028</t>
  </si>
  <si>
    <t xml:space="preserve">Trudy </t>
  </si>
  <si>
    <t>Shangle</t>
  </si>
  <si>
    <t>info@shangle.nl</t>
  </si>
  <si>
    <t>N.A. - 0029</t>
  </si>
  <si>
    <t>Janine</t>
  </si>
  <si>
    <t>Manager/Inkoop</t>
  </si>
  <si>
    <t>Fonteyn Outdoor Living Mall</t>
  </si>
  <si>
    <t>janine@fonteyn.nl</t>
  </si>
  <si>
    <t>Family Business</t>
  </si>
  <si>
    <t>N.A. - 0030</t>
  </si>
  <si>
    <t>Johan van Wolfswinkel</t>
  </si>
  <si>
    <t>Van Wolfswinkel wonen</t>
  </si>
  <si>
    <t>johanvw@vanwolfswinkelwonen.nl</t>
  </si>
  <si>
    <t>N.A. - 0031</t>
  </si>
  <si>
    <t>Johan</t>
  </si>
  <si>
    <t>Meubelcare.nl</t>
  </si>
  <si>
    <t>johanvw@vanwolfswinkel.nl</t>
  </si>
  <si>
    <t>N.A. - 0032</t>
  </si>
  <si>
    <t>T. van Hierden</t>
  </si>
  <si>
    <t>Bruinhorst Tegels Online</t>
  </si>
  <si>
    <t>N.A. - 0033</t>
  </si>
  <si>
    <t>Pieter Hermie</t>
  </si>
  <si>
    <t>Owner</t>
  </si>
  <si>
    <t>Hermie.com</t>
  </si>
  <si>
    <t>N.A. - 0034</t>
  </si>
  <si>
    <t>Jarno Copier</t>
  </si>
  <si>
    <t>Founder</t>
  </si>
  <si>
    <t>Norvixx</t>
  </si>
  <si>
    <t>info@norvixx.nl</t>
  </si>
  <si>
    <t>Assemble to order (ATO)</t>
  </si>
  <si>
    <t>N.A. - 0035</t>
  </si>
  <si>
    <t>Baruch Colthof</t>
  </si>
  <si>
    <t>Coltby</t>
  </si>
  <si>
    <t>baruch.colthof@hotmail.com</t>
  </si>
  <si>
    <t>Other</t>
  </si>
  <si>
    <t>N.A. - 0036</t>
  </si>
  <si>
    <t>Manager Retail</t>
  </si>
  <si>
    <t>Blue Sky Inn</t>
  </si>
  <si>
    <t>baruch.colthof@gmail.com</t>
  </si>
  <si>
    <t>N.A. - 0037</t>
  </si>
  <si>
    <t>Arnold van der Meer</t>
  </si>
  <si>
    <t>directeur supply chain</t>
  </si>
  <si>
    <t>Kees Smit tuinmeubelen</t>
  </si>
  <si>
    <t>a.vandermeer@keessmit.nl</t>
  </si>
  <si>
    <t>Continental</t>
  </si>
  <si>
    <t>N.A. - 0038</t>
  </si>
  <si>
    <t>Egbert Wendel</t>
  </si>
  <si>
    <t>Director Supply Chain Management &amp; Operations</t>
  </si>
  <si>
    <t>AP Nederland B.V.</t>
  </si>
  <si>
    <t>e.wendel@apnederland.nl</t>
  </si>
  <si>
    <t>N.A. - 0039</t>
  </si>
  <si>
    <t>Boris Fenneman</t>
  </si>
  <si>
    <t>Procurement Manager</t>
  </si>
  <si>
    <t>Teijin Aramid</t>
  </si>
  <si>
    <t>boris.fenneman@teijinaramid.com</t>
  </si>
  <si>
    <t>Manufacture of chemicals and chemical products</t>
  </si>
  <si>
    <t>N.A. - 0040</t>
  </si>
  <si>
    <t>Jaco van Burgsteden</t>
  </si>
  <si>
    <t>Manager Logistics</t>
  </si>
  <si>
    <t>FrieslandCampina</t>
  </si>
  <si>
    <t>j.van.burgsteden@gmail.com</t>
  </si>
  <si>
    <t>N.A. - 0041</t>
  </si>
  <si>
    <t>Luc van Zoolingen</t>
  </si>
  <si>
    <t>Supply Chain Coordinator</t>
  </si>
  <si>
    <t>Rollecate B.V.</t>
  </si>
  <si>
    <t>l.zoolingen@rollecate.nl</t>
  </si>
  <si>
    <t>Construction</t>
  </si>
  <si>
    <t>Construction of buildings</t>
  </si>
  <si>
    <t>N.A. - 0042</t>
  </si>
  <si>
    <t>Eline Ensing</t>
  </si>
  <si>
    <t>Business Controller</t>
  </si>
  <si>
    <t>ME-AT Leeuwarden B.V.</t>
  </si>
  <si>
    <t>ensingeline@gmail.com</t>
  </si>
  <si>
    <t>N.A. - 0043</t>
  </si>
  <si>
    <t>Niels Stoffers</t>
  </si>
  <si>
    <t>Operational buyer</t>
  </si>
  <si>
    <t>Hiab (Frameworks)</t>
  </si>
  <si>
    <t>nielsstoffers@hotmail.com</t>
  </si>
  <si>
    <t>1fc93b2f26e02a36a617b35160cd8b6a</t>
  </si>
  <si>
    <t>Paul de Vries</t>
  </si>
  <si>
    <t xml:space="preserve">Directeur </t>
  </si>
  <si>
    <t>De Marne’s Fabrieken B.V.</t>
  </si>
  <si>
    <t>p.devries@marnemosterd.nl</t>
  </si>
  <si>
    <t>98ae7e781a7e2a33e3d8bb4a1a4cb0a4</t>
  </si>
  <si>
    <t>Bart Vervaart</t>
  </si>
  <si>
    <t>SCM Manager</t>
  </si>
  <si>
    <t>Perfetti van Melle</t>
  </si>
  <si>
    <t>bart.vervaart@perfettivanmelle.com</t>
  </si>
  <si>
    <t>0bf75edba48444a2f7bf8962dde6dedb</t>
  </si>
  <si>
    <t>Jos van Nijnanten</t>
  </si>
  <si>
    <t>P&amp;D Director Europe</t>
  </si>
  <si>
    <t>jos.van.nijnanten@perfettivanmelle.com</t>
  </si>
  <si>
    <t>84829e44776fc6867f1ccfccc81b5ca2</t>
  </si>
  <si>
    <t>Koert van de Pest</t>
  </si>
  <si>
    <t>Supply Chain Director Benelux</t>
  </si>
  <si>
    <t>koert.van.de.pest@perfettivanmelle.com</t>
  </si>
  <si>
    <t>7bd2e334d092967d88d3fae7ea1d6c32</t>
  </si>
  <si>
    <t>Dennis Makkinga</t>
  </si>
  <si>
    <t>Inkoop manager</t>
  </si>
  <si>
    <t>Heuver Bandengroothandel B.V.</t>
  </si>
  <si>
    <t>d.makkinga@heuver.com</t>
  </si>
  <si>
    <t>18269c2f0e540266cd6d448f78c4bf7a</t>
  </si>
  <si>
    <t>Erik Pricker (1.0)</t>
  </si>
  <si>
    <t>Manager Supply Chain</t>
  </si>
  <si>
    <t>ERIK.PRICKER@AVEBE.COM</t>
  </si>
  <si>
    <t>60754cffbb7ec36bd74f727cecde7f0f</t>
  </si>
  <si>
    <t>Berry Admiraal</t>
  </si>
  <si>
    <t>bedrijfsleider</t>
  </si>
  <si>
    <t>Vadain</t>
  </si>
  <si>
    <t>badmiraal@vadain.nl</t>
  </si>
  <si>
    <t>Manufacture of textiles</t>
  </si>
  <si>
    <t>11d4ad677b179693369391ee51fb199c</t>
  </si>
  <si>
    <t>Martin van Zanten</t>
  </si>
  <si>
    <t>Operations Director</t>
  </si>
  <si>
    <t>mvzanten@vadain.nl</t>
  </si>
  <si>
    <t>af18e35367ebf93b04fdd9cadb975570</t>
  </si>
  <si>
    <t>Paul van Groningen</t>
  </si>
  <si>
    <t>Manager SC &amp; Logistiek</t>
  </si>
  <si>
    <t>Kruitbosch</t>
  </si>
  <si>
    <t>paul@kruitbosch.nl</t>
  </si>
  <si>
    <t>3b0da99fab09b7b6900c56329ff20c6b</t>
  </si>
  <si>
    <t>Remco de Marie (1.0)</t>
  </si>
  <si>
    <t>Head of Logistics &amp; Fulfilment</t>
  </si>
  <si>
    <t>remco.demarie@rituals.com</t>
  </si>
  <si>
    <t>149b4ccc0ab2e7a5ef020296971ead6e</t>
  </si>
  <si>
    <t>Koen Kummel (1.0)</t>
  </si>
  <si>
    <t>Sr Director S&amp;OP, SC analytics and Masterdata</t>
  </si>
  <si>
    <t>koen.kummel@corbion.com</t>
  </si>
  <si>
    <t>Far upstream (raw materials)</t>
  </si>
  <si>
    <t>753c9cb1e67595f8f67eab8f21a78829</t>
  </si>
  <si>
    <t>Frederik Feddes</t>
  </si>
  <si>
    <t>Vice President Lactic Acid &amp; Specialities</t>
  </si>
  <si>
    <t>frederik.feddes@corbion.com</t>
  </si>
  <si>
    <t>Limited liability company (LLC)</t>
  </si>
  <si>
    <t>979d356b82f4e88d87ce798b1bfa5eea</t>
  </si>
  <si>
    <t>Pauline Vink</t>
  </si>
  <si>
    <t>VP Global Supply Chain</t>
  </si>
  <si>
    <t>pauline.vink@corbion.com</t>
  </si>
  <si>
    <t>a3ec4ec3d78f1daa4a1675f7f84f906e</t>
  </si>
  <si>
    <t>Eric Eggenhuizen (0.3)</t>
  </si>
  <si>
    <t>Manager Planning &amp; Supply Chain</t>
  </si>
  <si>
    <t>Swinkels Family Brewers</t>
  </si>
  <si>
    <t>eric.eggenhuizen@swinkelsfamilybrewers.com</t>
  </si>
  <si>
    <t>Versie 0.3 (nl)</t>
  </si>
  <si>
    <t>N.A. - 0044</t>
  </si>
  <si>
    <t>Fred Hooft</t>
  </si>
  <si>
    <t>Manager International Logistics</t>
  </si>
  <si>
    <t>fred.hooft@swinkelsfamilybrewers.com</t>
  </si>
  <si>
    <t>7055d45ee68529ff5f1626b25a6a550a</t>
  </si>
  <si>
    <t>Eric Eggenhuizen (1.0)</t>
  </si>
  <si>
    <t>e58347f345f2249a26d75d46b5aedb10</t>
  </si>
  <si>
    <t>Hessel de keijzer (1.0)</t>
  </si>
  <si>
    <t>Vestigingsdirecteur</t>
  </si>
  <si>
    <t>hessel.dekeijzer@bidfood.nl</t>
  </si>
  <si>
    <t>b1dc96c4a2b53975ab6a32fb4a53d571</t>
  </si>
  <si>
    <t>Peter Schreurs</t>
  </si>
  <si>
    <t>Global Ingredients Supply Chain Manager</t>
  </si>
  <si>
    <t>Givaudan</t>
  </si>
  <si>
    <t>peter.schreurs@givaudan.com</t>
  </si>
  <si>
    <t>955473a635f8cec76b6f51e615968955</t>
  </si>
  <si>
    <t>Wouter Vugts</t>
  </si>
  <si>
    <t>supply chain engineer</t>
  </si>
  <si>
    <t>wouter.vugts@swinkelsfamilybrewers.com</t>
  </si>
  <si>
    <t>dbc770676fa6e9e3186a617fb81ed17a</t>
  </si>
  <si>
    <t>Arthur Bos</t>
  </si>
  <si>
    <t>Suppy Chain Director</t>
  </si>
  <si>
    <t>Spectrum Brands</t>
  </si>
  <si>
    <t>arthur.bos@eu.spectrumbrands.com</t>
  </si>
  <si>
    <t>43a4b5fd9755c250d67c7ecdb153ab2e</t>
  </si>
  <si>
    <t>Rob ter Beek (1.0)</t>
  </si>
  <si>
    <t>Senior Manager Supply Chain</t>
  </si>
  <si>
    <t>rob.terbeek@nl.bosch.com</t>
  </si>
  <si>
    <t>5ed5d11fd52bf460c0fbc2617e1a6284</t>
  </si>
  <si>
    <t>Diego Crespo</t>
  </si>
  <si>
    <t>Global Performance Manager for Raws and Packs Planning</t>
  </si>
  <si>
    <t>Henkel Global Supply Chain</t>
  </si>
  <si>
    <t>diego.crespo@henkel.com</t>
  </si>
  <si>
    <t>2b1aae2f8600f5a677f974fe4906406f</t>
  </si>
  <si>
    <t>Ramon Beekman</t>
  </si>
  <si>
    <t>Hoofd Supply Chain</t>
  </si>
  <si>
    <t>Vandaglas</t>
  </si>
  <si>
    <t>ramon.beekman@vandaglas.com</t>
  </si>
  <si>
    <t>Other manufacturing</t>
  </si>
  <si>
    <t>bed118f5590255ee4057b7a1bbf00352</t>
  </si>
  <si>
    <t>Jasper Luik (1.0)</t>
  </si>
  <si>
    <t>j.luik@broshuis.com</t>
  </si>
  <si>
    <t>83fb7f93012ed0d24c22fab43a162f2f</t>
  </si>
  <si>
    <t>Kees Dun</t>
  </si>
  <si>
    <t>Operationeel Manager</t>
  </si>
  <si>
    <t>Dun Agro B.V.</t>
  </si>
  <si>
    <t>k.dun@dunagro.nl</t>
  </si>
  <si>
    <t>Agriculture, forestry and fishing</t>
  </si>
  <si>
    <t>Crop and animal production, hunting and related service activities</t>
  </si>
  <si>
    <t>c8788f181b06742d7d5f78e74f52a261</t>
  </si>
  <si>
    <t>Arjen van der Meer</t>
  </si>
  <si>
    <t>P&amp;I officer</t>
  </si>
  <si>
    <t>Upfield</t>
  </si>
  <si>
    <t>arjeen_@hotmail.com</t>
  </si>
  <si>
    <t>8ca96794369435bbc7348e78917719f6</t>
  </si>
  <si>
    <t>Wim Traas</t>
  </si>
  <si>
    <t>Manager Value &amp; Supply Chain</t>
  </si>
  <si>
    <t>Cosun Beet Company</t>
  </si>
  <si>
    <t>wim.traas@cosunbeetcompany.com</t>
  </si>
  <si>
    <t>1965baad0f8050f27ec4dc9fbdfdc3c8</t>
  </si>
  <si>
    <t>Antonie Vonk Noordegraaf</t>
  </si>
  <si>
    <t>Denkavit</t>
  </si>
  <si>
    <t>a.vonk.noordegraaf@denkavit.nl</t>
  </si>
  <si>
    <t>b71f83f3bfac84eb3d9cf94652355c1b</t>
  </si>
  <si>
    <t>Odile Coerts</t>
  </si>
  <si>
    <t>Manager Global S&amp;OP</t>
  </si>
  <si>
    <t>Freudenberg Performance Materials</t>
  </si>
  <si>
    <t>odile.coerts@freudenberg-pm.com</t>
  </si>
  <si>
    <t>c5321a8724e4e9d3bfcafbcfaaa7dc25</t>
  </si>
  <si>
    <t>Alejandro Mena</t>
  </si>
  <si>
    <t>Planning Director</t>
  </si>
  <si>
    <t>Danone</t>
  </si>
  <si>
    <t>Alejandro.MENAMADRAZO@danone.com</t>
  </si>
  <si>
    <t>51bdfd88c828d15f3c5dc723e8d4063f</t>
  </si>
  <si>
    <t xml:space="preserve">Niels </t>
  </si>
  <si>
    <t>J&amp;J</t>
  </si>
  <si>
    <t>bngalberts@gmail.com</t>
  </si>
  <si>
    <t>Human health and social work activities</t>
  </si>
  <si>
    <t>Human health activities</t>
  </si>
  <si>
    <t>4e023d05014ea3904dcfd14f20f43207</t>
  </si>
  <si>
    <t>Baddis BOUKEHILI</t>
  </si>
  <si>
    <t>Manager Planning</t>
  </si>
  <si>
    <t>LyondellBasell</t>
  </si>
  <si>
    <t>baddis.boukehili@lyondellbasell.com</t>
  </si>
  <si>
    <t>Manufacture of coke and refined petroleum products</t>
  </si>
  <si>
    <t>ae2741f899ee8db8e51216da01ee2d0a</t>
  </si>
  <si>
    <t>Leo Smit</t>
  </si>
  <si>
    <t>Manager Supply Chain Algae Ingredients</t>
  </si>
  <si>
    <t>leo.smit@corbion.com</t>
  </si>
  <si>
    <t>9643ce05c79293adcd69b55871ab1ce7</t>
  </si>
  <si>
    <t>Paul Groen</t>
  </si>
  <si>
    <t>Supply Chain Directeur</t>
  </si>
  <si>
    <t>CORAM</t>
  </si>
  <si>
    <t>paul.groen@coram.eu</t>
  </si>
  <si>
    <t>Manufacture of rubber and plastic products</t>
  </si>
  <si>
    <t>b6ad9a1c71869d4d51c5d55fe76fdf2b</t>
  </si>
  <si>
    <t>Rob Peters</t>
  </si>
  <si>
    <t>Managing Director</t>
  </si>
  <si>
    <t>Schaeffler Nederland BV</t>
  </si>
  <si>
    <t>r.peters@schaeffler.com</t>
  </si>
  <si>
    <t>2ff00f95b4f32edd4bc2b3c6aaff724b</t>
  </si>
  <si>
    <t>Art Kampjes</t>
  </si>
  <si>
    <t>Strategic Purchaser</t>
  </si>
  <si>
    <t>Agrifac Machinery B.V.</t>
  </si>
  <si>
    <t>a.kampjes@agrifac.com</t>
  </si>
  <si>
    <t>03bbaea0a8d517229d47c31b1dbd9b3c</t>
  </si>
  <si>
    <t>Guido Kisman</t>
  </si>
  <si>
    <t>CTO</t>
  </si>
  <si>
    <t>Lightwell B.V.</t>
  </si>
  <si>
    <t>guido.kisman@lightwell.eu</t>
  </si>
  <si>
    <t>8515a28a474bce101bb05f16c742d28b</t>
  </si>
  <si>
    <t>Kevin Overgoor</t>
  </si>
  <si>
    <t>Manager inkoop</t>
  </si>
  <si>
    <t>Radboudumc</t>
  </si>
  <si>
    <t>kevin.overgoor@radboudumc.nl</t>
  </si>
  <si>
    <t>(Semi) Public</t>
  </si>
  <si>
    <t>b645e6f6a9d46f046557eaedbeb34e79</t>
  </si>
  <si>
    <t>Bertin Terpstra (1)</t>
  </si>
  <si>
    <t>Supply Chain manager</t>
  </si>
  <si>
    <t>Fibrant</t>
  </si>
  <si>
    <t>bertin.terpstra@fibrant52.com</t>
  </si>
  <si>
    <t>85295c23dfd77c373cce46367496b788</t>
  </si>
  <si>
    <t>Edgar Peet</t>
  </si>
  <si>
    <t>Director Supply Chain EMEA</t>
  </si>
  <si>
    <t>Axalta Coating Systems GmbH</t>
  </si>
  <si>
    <t>edgar.peet@axaltacs.com</t>
  </si>
  <si>
    <t>e742cc1098e00eb3e1253aaee27eed67</t>
  </si>
  <si>
    <t>Marco Verberne</t>
  </si>
  <si>
    <t>Senior Director SOP Celanese</t>
  </si>
  <si>
    <t>Celanese</t>
  </si>
  <si>
    <t>marco.verberne@celanese.com</t>
  </si>
  <si>
    <t>dd254246664389803eafddba45151c9b</t>
  </si>
  <si>
    <t>842d45ec8660b9e7b215dc36ae610d89</t>
  </si>
  <si>
    <t>Luuc Bourgonje</t>
  </si>
  <si>
    <t>Supply Chain Director</t>
  </si>
  <si>
    <t>Teleon Surgical</t>
  </si>
  <si>
    <t>luuc.bourgonje@teleon-surgical.com</t>
  </si>
  <si>
    <t>15ea5e8cf795a18a0adaff6260cb650f</t>
  </si>
  <si>
    <t>Henk de Lang</t>
  </si>
  <si>
    <t>Sourcing Manager</t>
  </si>
  <si>
    <t>Alfa Laval Nijmegen</t>
  </si>
  <si>
    <t>henk.delang@alfalaval.com</t>
  </si>
  <si>
    <t>d48262e0d0ddc04067ea276083210c2a</t>
  </si>
  <si>
    <t>Mitchell van den Adel</t>
  </si>
  <si>
    <t>Royal Koopmans</t>
  </si>
  <si>
    <t>M.vandenAdel@royalkoopmans.com</t>
  </si>
  <si>
    <t>53ba0b99fc093288a6da1593d3814b5d</t>
  </si>
  <si>
    <t>Harry Dannenberg</t>
  </si>
  <si>
    <t>Manager Operations</t>
  </si>
  <si>
    <t>Reginox B.V.</t>
  </si>
  <si>
    <t>h.dannenberg@reginox.com</t>
  </si>
  <si>
    <t>d57b82f49e1abfcd68ac49d931813d9d</t>
  </si>
  <si>
    <t>Henk Schipper</t>
  </si>
  <si>
    <t>dga</t>
  </si>
  <si>
    <t>Fast Forward Wheels bv</t>
  </si>
  <si>
    <t>henk@ffwd.com</t>
  </si>
  <si>
    <t>bfe5ef7d7e74f1a24db4530e943f64bb</t>
  </si>
  <si>
    <t>Frank Vos</t>
  </si>
  <si>
    <t>Manager Supply Chain Operations</t>
  </si>
  <si>
    <t>Kyocera</t>
  </si>
  <si>
    <t>vos.frank@gmail.com</t>
  </si>
  <si>
    <t>66f4a265de6933776af989d7a85bdc85</t>
  </si>
  <si>
    <t>Aram de Ruiter</t>
  </si>
  <si>
    <t>SC Director</t>
  </si>
  <si>
    <t>Dow</t>
  </si>
  <si>
    <t>aderuiter@dow.com</t>
  </si>
  <si>
    <t>2e4bb7a54c4c6a45fb5684a1cbdc439d</t>
  </si>
  <si>
    <t>Joeri Hessels</t>
  </si>
  <si>
    <t>Supply chain team lead</t>
  </si>
  <si>
    <t>Samsung Electronics</t>
  </si>
  <si>
    <t>j.hessels@samsung.com</t>
  </si>
  <si>
    <t>640864b2d478ea8634c46fe966a647a4</t>
  </si>
  <si>
    <t xml:space="preserve">Onno de Klaver </t>
  </si>
  <si>
    <t xml:space="preserve">Site manager </t>
  </si>
  <si>
    <t>Monta</t>
  </si>
  <si>
    <t>onno.deklaver@monta.nl</t>
  </si>
  <si>
    <t>4a0d2e39cb73a891dbcf9b65a2b07b4d</t>
  </si>
  <si>
    <t>Robert Averesch</t>
  </si>
  <si>
    <t>coordinator afdeling inkoop</t>
  </si>
  <si>
    <t>r.averesch@reginox.com</t>
  </si>
  <si>
    <t>533bf9032b480338d66c46d186c61539</t>
  </si>
  <si>
    <t>Wouter Trijsburg</t>
  </si>
  <si>
    <t>Vanclaes</t>
  </si>
  <si>
    <t>trijsburg@gmail.com</t>
  </si>
  <si>
    <t>660907b842479371580395a8c31c0fa5</t>
  </si>
  <si>
    <t>Marcel Rou (1)</t>
  </si>
  <si>
    <t>Executive head of Supply Chain</t>
  </si>
  <si>
    <t>Dr. Oetker</t>
  </si>
  <si>
    <t>marcel.rou@oetker.com</t>
  </si>
  <si>
    <t>90f941bfc1a0fdec6a399168588ab2e4</t>
  </si>
  <si>
    <t>Edwin van Dort</t>
  </si>
  <si>
    <t>Material supply engineer</t>
  </si>
  <si>
    <t>edwin.dort.van@scania.com</t>
  </si>
  <si>
    <t>5c84d4258e800989f07c7c7ffdb7f4ae</t>
  </si>
  <si>
    <t>Elbrich de Jong (1.0)</t>
  </si>
  <si>
    <t>Head Material supply engineering</t>
  </si>
  <si>
    <t>elbrich.de.jong@scania.com</t>
  </si>
  <si>
    <t>9020c02c366b5ef428f7e8939c91c587</t>
  </si>
  <si>
    <t>Cees Jensma</t>
  </si>
  <si>
    <t>Material Supply Engineer</t>
  </si>
  <si>
    <t>cees.jensma@scania.com</t>
  </si>
  <si>
    <t>a9ce2a6317232e9028de444c39fa1a08</t>
  </si>
  <si>
    <t>Arno Palper</t>
  </si>
  <si>
    <t>Supply Planner</t>
  </si>
  <si>
    <t>Pneutec</t>
  </si>
  <si>
    <t>arno.palper@pneutec.nl</t>
  </si>
  <si>
    <t>[1]</t>
  </si>
  <si>
    <t>fba5f14e7c71e8ca78488e20358b6a18</t>
  </si>
  <si>
    <t>René Brill</t>
  </si>
  <si>
    <t>rene.brill@scania.com</t>
  </si>
  <si>
    <t>e26b35b95249e156c71c5c658c110640</t>
  </si>
  <si>
    <t>John van der Neut</t>
  </si>
  <si>
    <t>Inkoop</t>
  </si>
  <si>
    <t>john.van.der.neut@pneutec.nl</t>
  </si>
  <si>
    <t>671a6ef7afa4e5bacc46a59f808a0909</t>
  </si>
  <si>
    <t>Jasper Jansen</t>
  </si>
  <si>
    <t>jasper.jansen@scania.com</t>
  </si>
  <si>
    <t>6dca26f8d1a64ed32c2554fb2122cbf3</t>
  </si>
  <si>
    <t>Rick van de Mortel</t>
  </si>
  <si>
    <t>Head of Supply Chain</t>
  </si>
  <si>
    <t>rick.vandemortel@swinkelsfamilybrewers.com</t>
  </si>
  <si>
    <t>4c3f2b45bb1346828321ae2f8ff6194c</t>
  </si>
  <si>
    <t>Nicole Barmentloo</t>
  </si>
  <si>
    <t>Group leader Material Supply Engineering</t>
  </si>
  <si>
    <t>nicole.barmentloo@scania.com</t>
  </si>
  <si>
    <t>5b733b13460131b289bc6bf3b2f00fbe</t>
  </si>
  <si>
    <t>Tim Heijsman</t>
  </si>
  <si>
    <t>Sr. Director Transportation and DTC Fulfillment</t>
  </si>
  <si>
    <t>Foot Locker</t>
  </si>
  <si>
    <t>theijsman@footlocker.com</t>
  </si>
  <si>
    <t>aa11246165d9f7497c29dd391836f6e4</t>
  </si>
  <si>
    <t>Stefan</t>
  </si>
  <si>
    <t>Manager ONC</t>
  </si>
  <si>
    <t>stefan.jennersjo@scania.com</t>
  </si>
  <si>
    <t>6e62727e48ec5eb2b800d02a70a95507</t>
  </si>
  <si>
    <t>Coen Meenhorst</t>
  </si>
  <si>
    <t xml:space="preserve">Operationeel Manager </t>
  </si>
  <si>
    <t>Directbouw Productie BV</t>
  </si>
  <si>
    <t>c.meenhorst@directbouw.nl</t>
  </si>
  <si>
    <t>Specialised construction activities</t>
  </si>
  <si>
    <t>3d08fe574184e3039535724721e9cbb3</t>
  </si>
  <si>
    <t>Arqom</t>
  </si>
  <si>
    <t>Well Intervention Spv</t>
  </si>
  <si>
    <t>Medco EP Natuna</t>
  </si>
  <si>
    <t>Indonesia</t>
  </si>
  <si>
    <t>arqom_cj@yahoo.com</t>
  </si>
  <si>
    <t>4e65f7ac8e5f06fc75fb304a02cfbbd0</t>
  </si>
  <si>
    <t>Aswin</t>
  </si>
  <si>
    <t>Staff</t>
  </si>
  <si>
    <t>BWS Sumatera IV Batam</t>
  </si>
  <si>
    <t>aswinwibowost@gmail.com</t>
  </si>
  <si>
    <t>9a8c81bfcb2c4bd0b56cbc1c46270b66</t>
  </si>
  <si>
    <t>Temmy pramono</t>
  </si>
  <si>
    <t>Direktur</t>
  </si>
  <si>
    <t>Pt Berdikari Karyatama Engineering</t>
  </si>
  <si>
    <t>temmy.ssk@gmail.com</t>
  </si>
  <si>
    <t>32254319bb070c59e41d05fc4fb64563</t>
  </si>
  <si>
    <t>Baskoro</t>
  </si>
  <si>
    <t>Project operation manager</t>
  </si>
  <si>
    <t>Mitsubishi power</t>
  </si>
  <si>
    <t>baskoro.ar@gmail.com</t>
  </si>
  <si>
    <t>b050e2239e42105488788389fcbec0bb</t>
  </si>
  <si>
    <t xml:space="preserve">Setyo Nugroho </t>
  </si>
  <si>
    <t>Finance &amp; IT</t>
  </si>
  <si>
    <t xml:space="preserve">PT Nusantara Regas </t>
  </si>
  <si>
    <t>setyo.nugroho2001@gmail.com</t>
  </si>
  <si>
    <t>d9bb392b1d9c9c54b86734df4191a8b5</t>
  </si>
  <si>
    <t>Arina Sabila</t>
  </si>
  <si>
    <t>Marketing</t>
  </si>
  <si>
    <t>PT. Sam Adi Karya</t>
  </si>
  <si>
    <t>6d77a7e06b4a0edeb05fdad5ce181b0c</t>
  </si>
  <si>
    <t>Antonius Rusbani</t>
  </si>
  <si>
    <t>Operation</t>
  </si>
  <si>
    <t>PT Ineos Aromatics Indonesia</t>
  </si>
  <si>
    <t>arusbani@gmail.com</t>
  </si>
  <si>
    <t>68169bd666e8c5b9b51bb5fbf421dbec</t>
  </si>
  <si>
    <t>Freek Habraken</t>
  </si>
  <si>
    <t>Operations Controller</t>
  </si>
  <si>
    <t>freek.habraken@swinkelsfamilybrewers.com</t>
  </si>
  <si>
    <t>c0d3f86a2a23c98a4436ba0e61215b83</t>
  </si>
  <si>
    <t>Eric Loijenga</t>
  </si>
  <si>
    <t>Category &amp; Sourcing Lead</t>
  </si>
  <si>
    <t>KPN</t>
  </si>
  <si>
    <t>eric.loijenga@kpn.com</t>
  </si>
  <si>
    <t>195a5f3f9b8b5b32cb4d186e306f58c9</t>
  </si>
  <si>
    <t>Jeroen van der Linde</t>
  </si>
  <si>
    <t>SCM Team leader</t>
  </si>
  <si>
    <t>j.vdlinde@samsung.com</t>
  </si>
  <si>
    <t>75861d169f540f5a6cc41aceb9ae14d5</t>
  </si>
  <si>
    <t>Hans van Vijfeijken</t>
  </si>
  <si>
    <t>Manager Engineering/Packaging development</t>
  </si>
  <si>
    <t>Hans.van.vijfeijken@swinkelsfamilybrewers.com</t>
  </si>
  <si>
    <t>434494e87c791f744a19fbc96c2b9513</t>
  </si>
  <si>
    <t>Bert Bolder</t>
  </si>
  <si>
    <t>procurement PACK</t>
  </si>
  <si>
    <t>bert.bolder@swinkelsfamilybrewers.com</t>
  </si>
  <si>
    <t>c81c23fa451501f50c4492e1477a738c</t>
  </si>
  <si>
    <t>Bram van Velthoven</t>
  </si>
  <si>
    <t>Strategic Buyer Logistics</t>
  </si>
  <si>
    <t>bram.vanvelthoven@swinkelsfamilybrewers.com</t>
  </si>
  <si>
    <t>6420a7d8e9da5b42ee972c6bcc0b215e</t>
  </si>
  <si>
    <t>Fariz</t>
  </si>
  <si>
    <t xml:space="preserve">Purchasing </t>
  </si>
  <si>
    <t>PT PETROKIMIA GRESIK</t>
  </si>
  <si>
    <t>fariz.darmawan@petrokimia-gresik.com</t>
  </si>
  <si>
    <t>2203c35ac3f65d2e219907fc64c72aa7</t>
  </si>
  <si>
    <t>Mrisiko</t>
  </si>
  <si>
    <t>Mrisiko@petrokimia-gresik.com</t>
  </si>
  <si>
    <t>f8782b1e60cbe19fba44825998b5e186</t>
  </si>
  <si>
    <t>Iman Prakosa</t>
  </si>
  <si>
    <t>Risk Management</t>
  </si>
  <si>
    <t>PT Petrokimia Gresik</t>
  </si>
  <si>
    <t>nugroho.prakosa@petrokimia-gresik.com</t>
  </si>
  <si>
    <t>79c4c8472611921d1bf580fd844e62fe</t>
  </si>
  <si>
    <t>Dwi Satriyo Annurogo</t>
  </si>
  <si>
    <t>President Director</t>
  </si>
  <si>
    <t>dwisatriyo45@gmail.com</t>
  </si>
  <si>
    <t>b5c6c418eaf28647dc3692c0beac93bb</t>
  </si>
  <si>
    <t>solene</t>
  </si>
  <si>
    <t>savourey</t>
  </si>
  <si>
    <t>Henkel</t>
  </si>
  <si>
    <t>SOLENE.SAVOUREY@HENKEL.COM</t>
  </si>
  <si>
    <t>940c66ab72b4d1e2f39093538faef325</t>
  </si>
  <si>
    <t>Marcus Pribi Setyo N</t>
  </si>
  <si>
    <t>Technical Lead</t>
  </si>
  <si>
    <t>[Technology Company]</t>
  </si>
  <si>
    <t>marcus.nugroho@gmail.com</t>
  </si>
  <si>
    <t>f7e12a5921c987d938bfb67a11097700</t>
  </si>
  <si>
    <t>Werner Sternsdorff</t>
  </si>
  <si>
    <t>Hoofd Inkoop</t>
  </si>
  <si>
    <t>w.sternsdorff@rollecate.nl</t>
  </si>
  <si>
    <t>4d4b25619ea20cc53a8befa9d2a524f8</t>
  </si>
  <si>
    <t>Nicky Haneveer</t>
  </si>
  <si>
    <t>ZiuZ</t>
  </si>
  <si>
    <t>n.haneveer@ziuz.com</t>
  </si>
  <si>
    <t>a52480229984069a868ededbefe765d5</t>
  </si>
  <si>
    <t>Pieter Franssen</t>
  </si>
  <si>
    <t>Supply Chain Transformation Lead Europe</t>
  </si>
  <si>
    <t>Diversey</t>
  </si>
  <si>
    <t>pieter.franssen@diversey.com</t>
  </si>
  <si>
    <t>4a108be00d651d0cf94ea2f4c0f70ae3</t>
  </si>
  <si>
    <t>Nick Prins</t>
  </si>
  <si>
    <t>nick.prins@scania.com</t>
  </si>
  <si>
    <t>Land transport and transport via pipelines</t>
  </si>
  <si>
    <t>9b34000b1bc74fe79aca9c3bfdd795a8</t>
  </si>
  <si>
    <t>Erwin Fortuin</t>
  </si>
  <si>
    <t>Groupleader Material Supply Engineering</t>
  </si>
  <si>
    <t>erwin.fortuin@scania.com</t>
  </si>
  <si>
    <t>c847c3cccd06668df7a841825123e5c0</t>
  </si>
  <si>
    <t>Mike Schram</t>
  </si>
  <si>
    <t>Global Demand</t>
  </si>
  <si>
    <t>m.schram@corbion.com</t>
  </si>
  <si>
    <t>4ac81e22c9b742da9b0e4322d9ce4b06</t>
  </si>
  <si>
    <t>Roland</t>
  </si>
  <si>
    <t>roland.ruijters@corbion.com</t>
  </si>
  <si>
    <t>0328d1480a7ea405edb2a045b318fbe0</t>
  </si>
  <si>
    <t>Bart van der Laan</t>
  </si>
  <si>
    <t>bart.vanderlaan@corbion.com</t>
  </si>
  <si>
    <t>4deb74449a8a6252d88dde1282e97fc3</t>
  </si>
  <si>
    <t>Damien Camelot</t>
  </si>
  <si>
    <t>SVP Operations</t>
  </si>
  <si>
    <t>Damien.Camelot@corbion.com</t>
  </si>
  <si>
    <t>7e3e579dd37af606c6cdd1d2160e4e5a</t>
  </si>
  <si>
    <t>Rein Hendriks</t>
  </si>
  <si>
    <t>Director Business Planning</t>
  </si>
  <si>
    <t>Nobian Industrial Chemicals BV</t>
  </si>
  <si>
    <t>Rein.hendriks@nobian.com</t>
  </si>
  <si>
    <t>a2ca7a0f25fa9ffb07027290d88c39f7</t>
  </si>
  <si>
    <t>Andrew Huschka</t>
  </si>
  <si>
    <t>Supply Chain</t>
  </si>
  <si>
    <t>andrew.huschka@corbion.com</t>
  </si>
  <si>
    <t>beab620dd9199be0c91ca5d6c91a0d8f</t>
  </si>
  <si>
    <t>Arno van Heezik</t>
  </si>
  <si>
    <t>Head of Aftersales Logistic Operations AMIEO</t>
  </si>
  <si>
    <t xml:space="preserve">Nissan </t>
  </si>
  <si>
    <t>aheezik@nissan-europe.com</t>
  </si>
  <si>
    <t>51a872192e82b933721db8083883d4a7</t>
  </si>
  <si>
    <t>Francois van Hal</t>
  </si>
  <si>
    <t>Manager Operations &amp; QHSE</t>
  </si>
  <si>
    <t>f.v.hal@denkavit.nl</t>
  </si>
  <si>
    <t>e86f20d9787de4e1bb06f43ba3f4c517</t>
  </si>
  <si>
    <t xml:space="preserve">Tanja Dekic </t>
  </si>
  <si>
    <t>Sr. Director Continuous Improvement</t>
  </si>
  <si>
    <t>t.dekiczivkovic@corbion.com</t>
  </si>
  <si>
    <t>a836d6f95d880790f516544d6a571aaa</t>
  </si>
  <si>
    <t>Stijn Kamps (2)</t>
  </si>
  <si>
    <t>Supply chain controller</t>
  </si>
  <si>
    <t>9952e0ff27be79ce12eee39e816e028b</t>
  </si>
  <si>
    <t>Emre Yasin Yılmaz</t>
  </si>
  <si>
    <t>Sales Executive</t>
  </si>
  <si>
    <t>Black Sea Container Lines</t>
  </si>
  <si>
    <t>Turkey</t>
  </si>
  <si>
    <t>eyilmaz@bscl.com.tr</t>
  </si>
  <si>
    <t>Water transport</t>
  </si>
  <si>
    <t>e7c475f65065ee3703c942f3aa852c0e</t>
  </si>
  <si>
    <t>Kees Staal</t>
  </si>
  <si>
    <t>VP Operations</t>
  </si>
  <si>
    <t xml:space="preserve">Groupe SEB - WMF </t>
  </si>
  <si>
    <t>Germany</t>
  </si>
  <si>
    <t>kees.staal@wmf.de</t>
  </si>
  <si>
    <t>037442c5608d5d9aff2f9b6bda433cd6</t>
  </si>
  <si>
    <t>Minsoo Kim</t>
  </si>
  <si>
    <t>Production Progress Management</t>
  </si>
  <si>
    <t>Korea, South</t>
  </si>
  <si>
    <t>kmszjs@kakao.com</t>
  </si>
  <si>
    <t>e5001a1da2c5e83de6ea4752e904e883</t>
  </si>
  <si>
    <t>Frank Oosterbaan</t>
  </si>
  <si>
    <t xml:space="preserve">Consultant </t>
  </si>
  <si>
    <t>Ferroglobe</t>
  </si>
  <si>
    <t>frank.oosterbaan@ferroglobe.com</t>
  </si>
  <si>
    <t>Manufacture of basic metals</t>
  </si>
  <si>
    <t>767e0a44faf390a3c3ed9052e19cbedc</t>
  </si>
  <si>
    <t>Patricia Duarte</t>
  </si>
  <si>
    <t>Chair</t>
  </si>
  <si>
    <t>Distribuidora</t>
  </si>
  <si>
    <t>castro_duarte@yahoo.com</t>
  </si>
  <si>
    <t>62b92a9d691b1127b80f21af64339c7a</t>
  </si>
  <si>
    <t>Jinsun Kim</t>
  </si>
  <si>
    <t>Engineer</t>
  </si>
  <si>
    <t>MariAlro</t>
  </si>
  <si>
    <t>Repair and installation of machinery and equipment</t>
  </si>
  <si>
    <t>52f97a4718eea7c4834d70834da8271b</t>
  </si>
  <si>
    <t>J</t>
  </si>
  <si>
    <t>b0a8c58b652ed94a96fb04f176f18042</t>
  </si>
  <si>
    <t>Stan van de Rijdt</t>
  </si>
  <si>
    <t>Involvation</t>
  </si>
  <si>
    <t>s.vanderijdt@involvation.com</t>
  </si>
  <si>
    <t>Forestry and logging</t>
  </si>
  <si>
    <t>48700025abafd4f293a181cc3281bf47</t>
  </si>
  <si>
    <t>Jan Broekhuis</t>
  </si>
  <si>
    <t>Royal Talens</t>
  </si>
  <si>
    <t>j.broekhuis@royaltalens.com</t>
  </si>
  <si>
    <t>9fa529d08a4158bf895707cf530c957d</t>
  </si>
  <si>
    <t>Jos Verberne</t>
  </si>
  <si>
    <t>Manager Production &amp; Supply Chain</t>
  </si>
  <si>
    <t>BouWatch</t>
  </si>
  <si>
    <t>jverberne@bouwatch.nl</t>
  </si>
  <si>
    <t>b6ba22dd50d2846a66d508d9a03fc04e</t>
  </si>
  <si>
    <t>Frank Mooij</t>
  </si>
  <si>
    <t>Management support</t>
  </si>
  <si>
    <t>Aako B.V.</t>
  </si>
  <si>
    <t>f.mooij@aako.nl</t>
  </si>
  <si>
    <t>eb03ac58d5abcf2308ce201ee42931ce</t>
  </si>
  <si>
    <t>Roger Kerckhoffs</t>
  </si>
  <si>
    <t>Manger Improve Supply Chain</t>
  </si>
  <si>
    <t>DSM Firmenich</t>
  </si>
  <si>
    <t>roger.kerckhoffs@dsm.com</t>
  </si>
  <si>
    <t>fc5197cbd1b57fca209ad557de65bb80</t>
  </si>
  <si>
    <t>jinchanjeong</t>
  </si>
  <si>
    <t>production</t>
  </si>
  <si>
    <t>yongmalogis</t>
  </si>
  <si>
    <t>jjc4955@yongmalogis.co.kr</t>
  </si>
  <si>
    <t>d0e40e28e671581b82c51973f4c444a0</t>
  </si>
  <si>
    <t>daeunjeong</t>
  </si>
  <si>
    <t>lotte global logistics</t>
  </si>
  <si>
    <t>djeong@lottelogistics.co.kr</t>
  </si>
  <si>
    <t>9a8604cc2e494ff072c4a007f0e96b19</t>
  </si>
  <si>
    <t>Tom Broeder</t>
  </si>
  <si>
    <t>MD</t>
  </si>
  <si>
    <t>AGV International B.V.</t>
  </si>
  <si>
    <t>t.broeder@agvinternational.com</t>
  </si>
  <si>
    <t>9bd17c6bb57fd9717dc82434e26ac1f0</t>
  </si>
  <si>
    <t>Niels Tammer</t>
  </si>
  <si>
    <t>Warehouse Manager</t>
  </si>
  <si>
    <t>C. van Heezik</t>
  </si>
  <si>
    <t>ntammer@heezik.nl</t>
  </si>
  <si>
    <t>8cf8575b8ad6da401bcfab83de7104f9</t>
  </si>
  <si>
    <t>Michiel Zantinge</t>
  </si>
  <si>
    <t>Strategisch Inkoper</t>
  </si>
  <si>
    <t>m.zantinge@agrifac.com</t>
  </si>
  <si>
    <t>683ed1dd1a5b8facca4069a0bc640dd7</t>
  </si>
  <si>
    <t>Bertin Terpstra (2)</t>
  </si>
  <si>
    <t>da3c5d08cc515a2d8d53fc7a0214587b</t>
  </si>
  <si>
    <t>Gert Klein</t>
  </si>
  <si>
    <t>Logistiek Coordinator</t>
  </si>
  <si>
    <t>g.klein@agrifac.com</t>
  </si>
  <si>
    <t>0066b6a5e0e3a6d6c128512bcba0d131</t>
  </si>
  <si>
    <t>Ferry</t>
  </si>
  <si>
    <t>Strategisch inkoper</t>
  </si>
  <si>
    <t>ferry.agrifac@gmail.com</t>
  </si>
  <si>
    <t>692ddaee7a5748bdea0edbd2f1cae95f</t>
  </si>
  <si>
    <t>Huimin Ke</t>
  </si>
  <si>
    <t>h.ke@agrifac.com</t>
  </si>
  <si>
    <t>e821f5483818b63d0bfdfc9a38cf9a78</t>
  </si>
  <si>
    <t>Bjorn de Lange</t>
  </si>
  <si>
    <t>Operationeel Inkoper</t>
  </si>
  <si>
    <t>b.delange@agrifac.com</t>
  </si>
  <si>
    <t>1659d93effd430c9f8bde2b36ebf601d</t>
  </si>
  <si>
    <t>Nick van Huffelen</t>
  </si>
  <si>
    <t>Manager Procurement &amp; supply chain</t>
  </si>
  <si>
    <t>n.vanhuffelen@agrifac.com</t>
  </si>
  <si>
    <t>7597cc77a5a9b4b703c1a84e52848237</t>
  </si>
  <si>
    <t>MFG Kortman</t>
  </si>
  <si>
    <t xml:space="preserve">Head of global demand management </t>
  </si>
  <si>
    <t>RHI Magnesita</t>
  </si>
  <si>
    <t>maarten.kortman@rhimagnesita.com</t>
  </si>
  <si>
    <t>Manufacture of other non-metallic mineral products</t>
  </si>
  <si>
    <t>f609155df662af615c2ea1142d898de8</t>
  </si>
  <si>
    <t>Vincent Wang</t>
  </si>
  <si>
    <t>Supply Chain Management - Business Planning</t>
  </si>
  <si>
    <t>Nexperia Germany</t>
  </si>
  <si>
    <t>vincent.wang@nexperia.com</t>
  </si>
  <si>
    <t>27802d680ecfd073ea39a83132f05215</t>
  </si>
  <si>
    <t>Marc Breunissen</t>
  </si>
  <si>
    <t>Purchasing Manager</t>
  </si>
  <si>
    <t>m.breunissen@denkavit.nl</t>
  </si>
  <si>
    <t>b26444ea7f8a9004340034892d2e9196</t>
  </si>
  <si>
    <t>Antonie Vonk Noordegraaf @2</t>
  </si>
  <si>
    <t>Manager Demand &amp; Supply</t>
  </si>
  <si>
    <t>70154dac082e73f7bdfb9331eccd3330</t>
  </si>
  <si>
    <t>alismaili2001</t>
  </si>
  <si>
    <t>Manufacturer</t>
  </si>
  <si>
    <t>Woody International</t>
  </si>
  <si>
    <t>alismaili2001@gmail.com</t>
  </si>
  <si>
    <t>ce34b63ab101b8a4cced95d2a2963e1f</t>
  </si>
  <si>
    <t>btruijen</t>
  </si>
  <si>
    <t>btruijen@kpnmail.nl</t>
  </si>
  <si>
    <t>ab02ee4c0f33ec149588ec557d2d83c0</t>
  </si>
  <si>
    <t>Head of Supply Planning &amp; Inventory</t>
  </si>
  <si>
    <t>roland.bojanus@rituals.com</t>
  </si>
  <si>
    <t>713e38e2c97c02c3f7b86ac317720527</t>
  </si>
  <si>
    <t>Mike Wolters</t>
  </si>
  <si>
    <t>mike.wolters@rituals.com</t>
  </si>
  <si>
    <t>ad92891b6de69b4fe3eda6b174c6c1b2</t>
  </si>
  <si>
    <t>Danny van der Ster</t>
  </si>
  <si>
    <t>VP &amp; Head of Logistics EMEIA</t>
  </si>
  <si>
    <t>ASSA ABLOY Opening Solutions EMEIA</t>
  </si>
  <si>
    <t>danny.vanderster@assaabloy.com</t>
  </si>
  <si>
    <t>779c375425dab38dc2ef7421d55eb85b</t>
  </si>
  <si>
    <t>Joris</t>
  </si>
  <si>
    <t>Manager Supply Netwerk Planning</t>
  </si>
  <si>
    <t>joris.waller@rituals.com</t>
  </si>
  <si>
    <t>a5f35b960919346470f6302409d50a3d</t>
  </si>
  <si>
    <t>Huub Klos</t>
  </si>
  <si>
    <t>Supply Planning Manager</t>
  </si>
  <si>
    <t>huub.klos@rituals.com</t>
  </si>
  <si>
    <t>06e5a211a17728e5a66e15ed6e8816da</t>
  </si>
  <si>
    <t>Merel</t>
  </si>
  <si>
    <t>supply planner</t>
  </si>
  <si>
    <t>merel.vanolffen@rituals.com</t>
  </si>
  <si>
    <t>3e25b01326e216582459def186f5ad1a</t>
  </si>
  <si>
    <t>Martijn Brands</t>
  </si>
  <si>
    <t>martijn.brands@rituals.com</t>
  </si>
  <si>
    <t>1264d2968054530022fbee850a7739ae</t>
  </si>
  <si>
    <t>Kelly Ultee</t>
  </si>
  <si>
    <t>kelly.ultee@rituals.com</t>
  </si>
  <si>
    <t>8de562d1250a5450a65fe384746338e6</t>
  </si>
  <si>
    <t>Virginie Guegan</t>
  </si>
  <si>
    <t>program manager</t>
  </si>
  <si>
    <t>virginieguegan@coca-cola.com</t>
  </si>
  <si>
    <t>65f76920be279e75c166f10b8dccf36c</t>
  </si>
  <si>
    <t>Serena Nanda-Parikh</t>
  </si>
  <si>
    <t>Sr. Manager - Supply Chain NRS</t>
  </si>
  <si>
    <t>snanda-parikh@coca-cola.com</t>
  </si>
  <si>
    <t>4eab1a512610aa8ab733f8ad2c74e73f</t>
  </si>
  <si>
    <t>TCCC SCR2 EMEA 2023 Team 2</t>
  </si>
  <si>
    <t xml:space="preserve">supply chain </t>
  </si>
  <si>
    <t>idelferriere@coca-cola.com</t>
  </si>
  <si>
    <t>53477067619c8e0bd02f5eb3ff484a96</t>
  </si>
  <si>
    <t>Eric Spann</t>
  </si>
  <si>
    <t>Technical Operations</t>
  </si>
  <si>
    <t>erspann@coca-cola.com</t>
  </si>
  <si>
    <t>b1468122d1cc2ad95a7c3471a02c28f5</t>
  </si>
  <si>
    <t>TCCC SCR2 EMEA 2023 Team 5</t>
  </si>
  <si>
    <t>CPS</t>
  </si>
  <si>
    <t>sarah.randall@costacoffee.com</t>
  </si>
  <si>
    <t>9de6fd81810f0428eee7481c5448c839</t>
  </si>
  <si>
    <t>Wanda Lins</t>
  </si>
  <si>
    <t>Planning Manager</t>
  </si>
  <si>
    <t>Recofarma Ind. do Amazonas Ltda.</t>
  </si>
  <si>
    <t>wlins@coca-cola.com</t>
  </si>
  <si>
    <t>a04c0535f0eb8eadc58089c8d66a8c65</t>
  </si>
  <si>
    <t>Iris Meza</t>
  </si>
  <si>
    <t>imeza@coca-cola.com</t>
  </si>
  <si>
    <t>37e714b0dbd0173ae1e6a7abf6f882a3</t>
  </si>
  <si>
    <t xml:space="preserve">Ronald </t>
  </si>
  <si>
    <t xml:space="preserve">TiSC </t>
  </si>
  <si>
    <t xml:space="preserve">Coca-Cola Philippines </t>
  </si>
  <si>
    <t>Philppines</t>
  </si>
  <si>
    <t>ronquit@coca-cola.com</t>
  </si>
  <si>
    <t>53fec50badb4438650cfe3565cc985a9</t>
  </si>
  <si>
    <t>Ronald Medina</t>
  </si>
  <si>
    <t>Planning and logistics Manager</t>
  </si>
  <si>
    <t>Coca-Cola CPS Chile</t>
  </si>
  <si>
    <t>Chile</t>
  </si>
  <si>
    <t>romedina@coca-cola.com</t>
  </si>
  <si>
    <t>1236e2a8031e08a8faf5e75dba008e32</t>
  </si>
  <si>
    <t>Louise</t>
  </si>
  <si>
    <t>Southerly Change Drinks</t>
  </si>
  <si>
    <t>lwen@coca-cola.com</t>
  </si>
  <si>
    <t>2b932861197856c27aec0e31880aaece</t>
  </si>
  <si>
    <t>Ji-hoon Shin</t>
  </si>
  <si>
    <t>TI&amp;SC</t>
  </si>
  <si>
    <t>Coca-Cola Korea Company</t>
  </si>
  <si>
    <t>jishin@coca-cola.com</t>
  </si>
  <si>
    <t>22e6769f21670e602bd121d5b78c2fbe</t>
  </si>
  <si>
    <t>TCCC SCR2 EMEA 2023 Team 1</t>
  </si>
  <si>
    <t>Operations, Purchasing, Sales, Supply Chain</t>
  </si>
  <si>
    <t>acoskun@coca-cola.com</t>
  </si>
  <si>
    <t>410a645d1cb561b28ee34d7138790d3c</t>
  </si>
  <si>
    <t>TCCC SCR2 AMERICAS 2023 Team 3</t>
  </si>
  <si>
    <t>The Coca-Cola Company - In house KO production</t>
  </si>
  <si>
    <t>14aaaec90e6643a0e3f43959c7e473e7</t>
  </si>
  <si>
    <t>TCCC SCR2 AMERICAS 2023 Team 4</t>
  </si>
  <si>
    <t>allizano@coca-cola.com</t>
  </si>
  <si>
    <t>889fed6c09c737467f62f43a841054b8</t>
  </si>
  <si>
    <t>Apple Deng</t>
  </si>
  <si>
    <t>Supply chain</t>
  </si>
  <si>
    <t>Cola-cola china</t>
  </si>
  <si>
    <t>wadeng@coca-cola.com</t>
  </si>
  <si>
    <t>5c9c703f0f5ad1f5738923c7558658ce</t>
  </si>
  <si>
    <t>TCCC SCR2 AMERICAS 2023 Team 2</t>
  </si>
  <si>
    <t>aa4baf2eea591e771752de248afd8ac6</t>
  </si>
  <si>
    <t>Kimya Muse</t>
  </si>
  <si>
    <t>Product &amp; Portfolio</t>
  </si>
  <si>
    <t>kmuse@coca-cola.com</t>
  </si>
  <si>
    <t>67e5583c3ed5198d13f7b73a9bf351e7</t>
  </si>
  <si>
    <t>TCCC SCR2 EMEA 2023 Team 4 (Supply Chain Queens)</t>
  </si>
  <si>
    <t>Technical Innovation and Supply Chain</t>
  </si>
  <si>
    <t>radmartinez@coca-cola.com</t>
  </si>
  <si>
    <t>cb0b1eb30ae00c080767acb1dab75958</t>
  </si>
  <si>
    <t>Steven Jian</t>
  </si>
  <si>
    <t>3b68035fd103ed9f96d731dfc13695ef</t>
  </si>
  <si>
    <t>Sean</t>
  </si>
  <si>
    <t>seyew@coca-cola.com</t>
  </si>
  <si>
    <t>23e0589ed60aa110ec7f7a3d2a7c98ab</t>
  </si>
  <si>
    <t>TCCC SCR2 APAC 2023 Team 1</t>
  </si>
  <si>
    <t xml:space="preserve">Supply Chain and Customer Service </t>
  </si>
  <si>
    <t>0d666a67bb5fd059cf086fd91d3fdacd</t>
  </si>
  <si>
    <t>Mohamed Fareed</t>
  </si>
  <si>
    <t>Customer Service</t>
  </si>
  <si>
    <t>fmohamed@coca-cola.com</t>
  </si>
  <si>
    <t>86a74192c16f580147456e707a901783</t>
  </si>
  <si>
    <t>Robert Smelt</t>
  </si>
  <si>
    <t>Abbott</t>
  </si>
  <si>
    <t>robert.smelt@abbott.com</t>
  </si>
  <si>
    <t>554183760687f3db6611a6ef66cef649</t>
  </si>
  <si>
    <t>Lisa Daly</t>
  </si>
  <si>
    <t>United States</t>
  </si>
  <si>
    <t>lisa.daly@abbott.com</t>
  </si>
  <si>
    <t>6f657705e59f9599e09247b405ba93e4</t>
  </si>
  <si>
    <t>Masataka Hashimoto</t>
  </si>
  <si>
    <t>professor</t>
  </si>
  <si>
    <t>meiji university</t>
  </si>
  <si>
    <t>Japan</t>
  </si>
  <si>
    <t>masataka5518@gmail.com</t>
  </si>
  <si>
    <t>d2a62d81131d90de3fe348c75d24bd2a</t>
  </si>
  <si>
    <t>Frank de Kleijn</t>
  </si>
  <si>
    <t>Teamleider operatie</t>
  </si>
  <si>
    <t>European Aerosols</t>
  </si>
  <si>
    <t>t.grondstoffenmagazijn@nl.motipdupli.com</t>
  </si>
  <si>
    <t>88ad662507a33da3213304deb69ffa0f</t>
  </si>
  <si>
    <t>Dennis</t>
  </si>
  <si>
    <t>d.tuut@nl.motipdupli.com</t>
  </si>
  <si>
    <t>ac083259433e0df0b10b0ae275d07300</t>
  </si>
  <si>
    <t>Bart van der Boom</t>
  </si>
  <si>
    <t>Teamleider PE</t>
  </si>
  <si>
    <t>Auping</t>
  </si>
  <si>
    <t>B.vanderboom@auping.com</t>
  </si>
  <si>
    <t>Manufacture of furniture</t>
  </si>
  <si>
    <t>69ca6656635a81408543b235b9cc01da</t>
  </si>
  <si>
    <t>Az muller</t>
  </si>
  <si>
    <t>Sc director</t>
  </si>
  <si>
    <t>Global logistics ag</t>
  </si>
  <si>
    <t>muller.az@globallog.de</t>
  </si>
  <si>
    <t>d961d299adb9d2896bdb75c9f597324d</t>
  </si>
  <si>
    <t>Arjan van der Plas</t>
  </si>
  <si>
    <t>Manager Procurement</t>
  </si>
  <si>
    <t>a.vanderplas@auping.com</t>
  </si>
  <si>
    <t>863cf57b77a2ce7c6bf669f14d1e7ece</t>
  </si>
  <si>
    <t xml:space="preserve">Mirthe Uitslag </t>
  </si>
  <si>
    <t xml:space="preserve">HR Adviseur </t>
  </si>
  <si>
    <t>Dasko Koel- en Vriestransporten B.V.</t>
  </si>
  <si>
    <t>m.uitslag@dasko.nl</t>
  </si>
  <si>
    <t>2890faa43ccaa15112973baff41a56aa</t>
  </si>
  <si>
    <t>Kai Kogelman</t>
  </si>
  <si>
    <t>Hoofdplanning</t>
  </si>
  <si>
    <t>k.kogelman@dasko.nl</t>
  </si>
  <si>
    <t>badf1c5a063ae4e71036757b64902c79</t>
  </si>
  <si>
    <t>Kevin Mulder</t>
  </si>
  <si>
    <t>Supply chain manager/key account manager</t>
  </si>
  <si>
    <t>Alpla Zwolle B.V.</t>
  </si>
  <si>
    <t>kevin.mulder@alpla.com</t>
  </si>
  <si>
    <t>1efc825721c22779d1ef57ff221ecf65</t>
  </si>
  <si>
    <t>Bertus Bos</t>
  </si>
  <si>
    <t>Operations Manager</t>
  </si>
  <si>
    <t>bertus.bos@alpla.com</t>
  </si>
  <si>
    <t>9ca9ffca5eb56e70e27adb31e3dfcef4</t>
  </si>
  <si>
    <t>Theo Zijlstra</t>
  </si>
  <si>
    <t>Sales Business Support Manager</t>
  </si>
  <si>
    <t>Hiab Benelux</t>
  </si>
  <si>
    <t>e60fe4490e7cbf45cc38a0c4e5656c62</t>
  </si>
  <si>
    <t>Melvyn</t>
  </si>
  <si>
    <t>Magazijnmedewerker</t>
  </si>
  <si>
    <t>d5e7feec9ad87131fe3d2ce3c7536719</t>
  </si>
  <si>
    <t>Andre Kleverwal</t>
  </si>
  <si>
    <t>Materiaal beheerder</t>
  </si>
  <si>
    <t>BBA Pompen en Buizen</t>
  </si>
  <si>
    <t>akleverwal@bba-group.com</t>
  </si>
  <si>
    <t>5ac118ab728370a6b246e869ef22fd86</t>
  </si>
  <si>
    <t>Michiel Liesting</t>
  </si>
  <si>
    <t>Planner</t>
  </si>
  <si>
    <t>BBA pompen en buizen</t>
  </si>
  <si>
    <t>mliesting@bba-group.com</t>
  </si>
  <si>
    <t>9e2ba4e07e5880401f86fae737ac6c6a</t>
  </si>
  <si>
    <t>Anne</t>
  </si>
  <si>
    <t>SCM</t>
  </si>
  <si>
    <t>AB</t>
  </si>
  <si>
    <t>asbabirye@yahoo.com</t>
  </si>
  <si>
    <t>b41a9b4fd76e2509e8e5c500da693cc3</t>
  </si>
  <si>
    <t>MIkey Martens</t>
  </si>
  <si>
    <t>Supply Chain Planner</t>
  </si>
  <si>
    <t>VDL Apparatenbouw</t>
  </si>
  <si>
    <t>m.martens@vdlapparatenbouw.com</t>
  </si>
  <si>
    <t>c310fbfd80680775bbeb29feb7382a15</t>
  </si>
  <si>
    <t>Max Pennings</t>
  </si>
  <si>
    <t>Fabory</t>
  </si>
  <si>
    <t>max.pennings@fabory.com</t>
  </si>
  <si>
    <t>87b9790d22ce75a95000e6a590300e40</t>
  </si>
  <si>
    <t>Nica</t>
  </si>
  <si>
    <t>Ass Dir Supply Chain</t>
  </si>
  <si>
    <t>Tyson Food Europe</t>
  </si>
  <si>
    <t>Loredana.Nica@tyson.com</t>
  </si>
  <si>
    <t>2893445988be09057b2f5ad343568f37</t>
  </si>
  <si>
    <t>Corijn</t>
  </si>
  <si>
    <t>Student</t>
  </si>
  <si>
    <t xml:space="preserve">Saxion Test </t>
  </si>
  <si>
    <t>corijnvdbosch@gmail.com</t>
  </si>
  <si>
    <t>TEST</t>
  </si>
  <si>
    <t>bca97a2230e7207faf0e0d5e4737438e</t>
  </si>
  <si>
    <t>Casper Hellebrekers</t>
  </si>
  <si>
    <t>Partner</t>
  </si>
  <si>
    <t>Barentsz Ontdekkingshuizen</t>
  </si>
  <si>
    <t>casper@barentsz.nl</t>
  </si>
  <si>
    <t>0e572a2fee8c162533bc160b649c7cb5</t>
  </si>
  <si>
    <t>Jos Herrebrugh</t>
  </si>
  <si>
    <t>Alphatronics BV</t>
  </si>
  <si>
    <t>jos@alphatronics.nl</t>
  </si>
  <si>
    <t>25ae0ef5eb6f96a90288c174ec1506e1</t>
  </si>
  <si>
    <t>Maurik Hellebrekers</t>
  </si>
  <si>
    <t>Directeur</t>
  </si>
  <si>
    <t>Outbound BV</t>
  </si>
  <si>
    <t>maurik.hellebrekers@outbound.eu</t>
  </si>
  <si>
    <t>c0dea324773a99303366f9b867c9c0ed</t>
  </si>
  <si>
    <t>Marco</t>
  </si>
  <si>
    <t>SCM Analist</t>
  </si>
  <si>
    <t>Power-Sonic EMEA BV</t>
  </si>
  <si>
    <t>marco.vanhalum@power-sonic.com</t>
  </si>
  <si>
    <t>fb7f96453e4534f6fd99a10d2f459893</t>
  </si>
  <si>
    <t>Jan Snoey</t>
  </si>
  <si>
    <t>Manager logistiek en planning</t>
  </si>
  <si>
    <t>Verhoef Access Technology</t>
  </si>
  <si>
    <t>j.snoey@verhoef.eu</t>
  </si>
  <si>
    <t>b09f37960e5e19ebdf2dab63bf5ed8d1</t>
  </si>
  <si>
    <t>Raymond Teeuw</t>
  </si>
  <si>
    <t>Head of Expedition</t>
  </si>
  <si>
    <t>Eurosort Systems BV</t>
  </si>
  <si>
    <t>rteeuw@eurosort.com</t>
  </si>
  <si>
    <t>4f3d8d1fb759540c2f590681b7d0e2bd</t>
  </si>
  <si>
    <t>Ruud Segers</t>
  </si>
  <si>
    <t>Service &amp; Supply Chain Manager</t>
  </si>
  <si>
    <t>Highlite International BV</t>
  </si>
  <si>
    <t>ruud.segers@highlite.com</t>
  </si>
  <si>
    <t>79695f523ae6e68a2e05c57e01afdbce</t>
  </si>
  <si>
    <t>Remy Hammett</t>
  </si>
  <si>
    <t>Imbema</t>
  </si>
  <si>
    <t>rhammett@imbema.com</t>
  </si>
  <si>
    <t>f32eb93245ff9eea0a97b574a6c98166</t>
  </si>
  <si>
    <t>Jan Ravensbergen</t>
  </si>
  <si>
    <t>IT &amp; Supply Chain Manager</t>
  </si>
  <si>
    <t>C.J. Vianen Flowerexport B.V.</t>
  </si>
  <si>
    <t>j.ravensbergen@vianenflowers.com</t>
  </si>
  <si>
    <t>15f120d1307d38ce1e1685cd75751eac</t>
  </si>
  <si>
    <t>Johan Homan</t>
  </si>
  <si>
    <t>Business Logistics Manager</t>
  </si>
  <si>
    <t>ESKA BV</t>
  </si>
  <si>
    <t>j.homan@eska.com</t>
  </si>
  <si>
    <t>Manufacture of paper and paper products</t>
  </si>
  <si>
    <t>f1b0f3c61618cd0dd2c6560abd10237e</t>
  </si>
  <si>
    <t>Christel Hoogendam</t>
  </si>
  <si>
    <t>Schoonheidssalon@Christel</t>
  </si>
  <si>
    <t>info@atchristel.nl</t>
  </si>
  <si>
    <t>5371342a3acc2cb60801d8454970cc46</t>
  </si>
  <si>
    <t>PJ Sluimer</t>
  </si>
  <si>
    <t>Dir Supply Chain</t>
  </si>
  <si>
    <t>Applied Medical</t>
  </si>
  <si>
    <t>psluimer@appliedmedical.com</t>
  </si>
  <si>
    <t>81e1cac17781198892ce72d7f664ebc6</t>
  </si>
  <si>
    <t>Bart Merx</t>
  </si>
  <si>
    <t>Manager procurement &amp; logistics</t>
  </si>
  <si>
    <t>CoxGeelen BV</t>
  </si>
  <si>
    <t>b.merx@coxgeelen.com</t>
  </si>
  <si>
    <t>beca81692fb6889a563bcb40aa648923</t>
  </si>
  <si>
    <t>R. Tjio</t>
  </si>
  <si>
    <t>Legrand</t>
  </si>
  <si>
    <t>ronald.tjio@legrand.com</t>
  </si>
  <si>
    <t>52cfb337e240d8b728d55897b4e57b90</t>
  </si>
  <si>
    <t>Daphne Bouman</t>
  </si>
  <si>
    <t>Go-Tan</t>
  </si>
  <si>
    <t>d.bouman@go-tan.nl</t>
  </si>
  <si>
    <t>c70e72f866b92d24db34019ddac6a454</t>
  </si>
  <si>
    <t>Edwin Stevering</t>
  </si>
  <si>
    <t>COO</t>
  </si>
  <si>
    <t>Bribus BV</t>
  </si>
  <si>
    <t>estevering@bribus.nl</t>
  </si>
  <si>
    <t>24e6db190f4f12790a3c723a895d4a13</t>
  </si>
  <si>
    <t>Jan Kees Beers</t>
  </si>
  <si>
    <t>Manager International Freight &amp; Compliance</t>
  </si>
  <si>
    <t>Curium Pharma</t>
  </si>
  <si>
    <t>jankees.beers@curiumpharma.com</t>
  </si>
  <si>
    <t>Manufacture of basic pharmaceutical products and pharmaceutical preparations</t>
  </si>
  <si>
    <t>855c75505e9e470021b4a3deac104ae2</t>
  </si>
  <si>
    <t>Chiel Landman</t>
  </si>
  <si>
    <t>Keten regisseur</t>
  </si>
  <si>
    <t>HVC Groep</t>
  </si>
  <si>
    <t>c.landman@hvcgroep.nl</t>
  </si>
  <si>
    <t>4485afbad3fd94b0533f6407c94cc056</t>
  </si>
  <si>
    <t>Bas Wijnbergen</t>
  </si>
  <si>
    <t>Director Source &amp; Supply</t>
  </si>
  <si>
    <t>bas.wijnbergen@avebe.com</t>
  </si>
  <si>
    <t>6ec58c73ba42ee3604f8a2ad81236f5b</t>
  </si>
  <si>
    <t>rudy Boogaard</t>
  </si>
  <si>
    <t>Head of Supply Chain and Operations</t>
  </si>
  <si>
    <t>Karl Lagerfeld</t>
  </si>
  <si>
    <t>rudy.boogaard@karllagerfeld.com</t>
  </si>
  <si>
    <t>cb3d2f3e2beb70466be1719cd2e953f6</t>
  </si>
  <si>
    <t>Jeroen Raijmakers</t>
  </si>
  <si>
    <t>Supply Chain &amp; IT Director</t>
  </si>
  <si>
    <t>Eichholtz</t>
  </si>
  <si>
    <t>jraijmakers@eichholtz.com</t>
  </si>
  <si>
    <t>be20687bf58c1aa0d1b1fc433b5393a6</t>
  </si>
  <si>
    <t>Mark Bär</t>
  </si>
  <si>
    <t>Stamhuis</t>
  </si>
  <si>
    <t>m.bar@stamhuis.nl</t>
  </si>
  <si>
    <t>ed91a19d39fd9549622a3fe3d5e5b5e1</t>
  </si>
  <si>
    <t>cees van der werf</t>
  </si>
  <si>
    <t>supply chain planner</t>
  </si>
  <si>
    <t>spirotech bv</t>
  </si>
  <si>
    <t>c.vanderwerf@spirotech.com</t>
  </si>
  <si>
    <t>05d24a2e2f17bfc7cd2390d61ca6bd7e</t>
  </si>
  <si>
    <t>Jan</t>
  </si>
  <si>
    <t>Van Heck Badkamers</t>
  </si>
  <si>
    <t>jan@vanheckbadkamers.nl</t>
  </si>
  <si>
    <t>ca0f08b4d2d1291270edfd9fba4dba85</t>
  </si>
  <si>
    <t>Wilant van Gils</t>
  </si>
  <si>
    <t>Dresz International BV</t>
  </si>
  <si>
    <t>wilant@dresz.nl</t>
  </si>
  <si>
    <t>68d9b223ad2925767a4648725b7c4718</t>
  </si>
  <si>
    <t>Patrick Josemans</t>
  </si>
  <si>
    <t>Logistiek Directeur</t>
  </si>
  <si>
    <t xml:space="preserve">Isero BV </t>
  </si>
  <si>
    <t>patrickjosemans@isero.nl</t>
  </si>
  <si>
    <t>b015e744433b742d95fbb722b9503450</t>
  </si>
  <si>
    <t>Robert Frank</t>
  </si>
  <si>
    <t>Allied Motion</t>
  </si>
  <si>
    <t>robert.frank.klop@alliedmotion.com</t>
  </si>
  <si>
    <t>16b89c6cdf73d4ab65d95eab38239e92</t>
  </si>
  <si>
    <t>Ferdinand van den Boomen</t>
  </si>
  <si>
    <t>Afdelingsmanager Supply Chain Development &amp; Performance</t>
  </si>
  <si>
    <t>Jumbo Supermarkten</t>
  </si>
  <si>
    <t>ferdinand.vandenboomen@jumbo.com</t>
  </si>
  <si>
    <t>7d04ca9132b7d35363a083f39d65965e</t>
  </si>
  <si>
    <t>Pieter</t>
  </si>
  <si>
    <t>Logistics Manager</t>
  </si>
  <si>
    <t>Quooker</t>
  </si>
  <si>
    <t>p.jonkman@quooker.nl</t>
  </si>
  <si>
    <t>8d5bf0e8a4eb2bf5226d1e92dcfa15b8</t>
  </si>
  <si>
    <t xml:space="preserve">Raymond van der Putten </t>
  </si>
  <si>
    <t xml:space="preserve">Director operations </t>
  </si>
  <si>
    <t>Zuiver BV</t>
  </si>
  <si>
    <t>raymond@zuiver.com</t>
  </si>
  <si>
    <t>aa0eff13fea7af64a38b9a91ef8fe117</t>
  </si>
  <si>
    <t>Bart</t>
  </si>
  <si>
    <t>CFO</t>
  </si>
  <si>
    <t>VlastuinCDI</t>
  </si>
  <si>
    <t>bart@vlastuincdi.com</t>
  </si>
  <si>
    <t>89c98556b70ac4bcce6d28224b753211</t>
  </si>
  <si>
    <t>Max Elligens</t>
  </si>
  <si>
    <t>Logistic Project Leader</t>
  </si>
  <si>
    <t>Allied Motion Dordrecht B.V.</t>
  </si>
  <si>
    <t>max.elligens@alliedmotion.com</t>
  </si>
  <si>
    <t>9b5e57f5c2469442761b9155e302a584</t>
  </si>
  <si>
    <t>Mathijs Brak</t>
  </si>
  <si>
    <t>Isero. B.V.</t>
  </si>
  <si>
    <t>mathijsbrak@isero.nl</t>
  </si>
  <si>
    <t>54bed69df4cd6c68467d213a566f90ee</t>
  </si>
  <si>
    <t>Ben Schuttenbeld</t>
  </si>
  <si>
    <t>Global Category Manager CAPEX</t>
  </si>
  <si>
    <t>Orbia Building &amp; Infrastructure (Wavin)</t>
  </si>
  <si>
    <t>ben.schuttenbeld@outlook.com</t>
  </si>
  <si>
    <t>46f320686965fee7daa4a6bf71275368</t>
  </si>
  <si>
    <t>Ronald Boezelman</t>
  </si>
  <si>
    <t>inkoper</t>
  </si>
  <si>
    <t>Boermarke</t>
  </si>
  <si>
    <t>r.boezelman@boermarke.eu</t>
  </si>
  <si>
    <t>552ae2a88f87f93faa98e8a9cddf6ffa</t>
  </si>
  <si>
    <t>Marit</t>
  </si>
  <si>
    <t xml:space="preserve">Heer en meester </t>
  </si>
  <si>
    <t>info@heerenmeesterkampen.nl</t>
  </si>
  <si>
    <t>865a806ec9803adef78258376dfb2848</t>
  </si>
  <si>
    <t xml:space="preserve">Klaas Kruithof </t>
  </si>
  <si>
    <t xml:space="preserve">Klaas licht en lampen </t>
  </si>
  <si>
    <t>info@klaaslichtenlampen.nl</t>
  </si>
  <si>
    <t>0e5cd61adf45f1d9d1a596e16137291f</t>
  </si>
  <si>
    <t>Marino Sonnemans</t>
  </si>
  <si>
    <t>Manager Operations, Plant Manager</t>
  </si>
  <si>
    <t>Hans Grohe ESS</t>
  </si>
  <si>
    <t>m.l.sonnemans@home.nl</t>
  </si>
  <si>
    <t>e0b27f77f198142cfd003af60230eead</t>
  </si>
  <si>
    <t>Merel Mondria</t>
  </si>
  <si>
    <t>Beleidsadviseur</t>
  </si>
  <si>
    <t>Mondria advies</t>
  </si>
  <si>
    <t>m.g.s.mondria@mondria-advies.nl</t>
  </si>
  <si>
    <t>Residential care activities</t>
  </si>
  <si>
    <t>c793d61e5ea956694671cd2f75434e4b</t>
  </si>
  <si>
    <t>Jeroen Dunnink</t>
  </si>
  <si>
    <t>Form International</t>
  </si>
  <si>
    <t>j.dunnink@forminternational.nl</t>
  </si>
  <si>
    <t>0ae7075302073cb2c4f2929965d798a7</t>
  </si>
  <si>
    <t>Juul Cramer</t>
  </si>
  <si>
    <t>Commercieel adviseur</t>
  </si>
  <si>
    <t>Unibouw</t>
  </si>
  <si>
    <t>juul@unibouw.eu</t>
  </si>
  <si>
    <t>54bf2b9f5c290852c557ffa0cc91e2bd</t>
  </si>
  <si>
    <t>Arjan Nijbroek</t>
  </si>
  <si>
    <t>Buitendienst medewerker</t>
  </si>
  <si>
    <t>E.J.Bos diervoeding</t>
  </si>
  <si>
    <t>arjan.nijbroek@hotmail.com</t>
  </si>
  <si>
    <t>8516cd411760272565e33a6be9c33483</t>
  </si>
  <si>
    <t>Benny Leeraar</t>
  </si>
  <si>
    <t>Demand &amp; Supply Chain Manager</t>
  </si>
  <si>
    <t>Hooghoudt B.V.</t>
  </si>
  <si>
    <t>benny.leeraar@hooghoudt.nl</t>
  </si>
  <si>
    <t>b1c8eab3a45fe2cd6a31af24538a276f</t>
  </si>
  <si>
    <t>Sophie van Dijk</t>
  </si>
  <si>
    <t xml:space="preserve">Supply chain anlist </t>
  </si>
  <si>
    <t>Holland and barrett</t>
  </si>
  <si>
    <t>sophie_vandijk@hotmail.com</t>
  </si>
  <si>
    <t>d75c5acc8308495bc26c1fbe86e2e233</t>
  </si>
  <si>
    <t>Klaas van Achteren</t>
  </si>
  <si>
    <t>Tempress</t>
  </si>
  <si>
    <t>kvachteren@tempress.nl</t>
  </si>
  <si>
    <t>4ac25c3a06267c892bdfe58abe970c78</t>
  </si>
  <si>
    <t>Mirian Pieterson</t>
  </si>
  <si>
    <t>Paardekooper</t>
  </si>
  <si>
    <t>mirianpieterson@paardekooper.com</t>
  </si>
  <si>
    <t>c74cbed98c5a64bda1c34f3e8ae2e8d7</t>
  </si>
  <si>
    <t>Marcel Rou</t>
  </si>
  <si>
    <t>Executive Head of Supply Chain</t>
  </si>
  <si>
    <t>7214c0592d00fd94320fffd872020d63</t>
  </si>
  <si>
    <t>Roxanne</t>
  </si>
  <si>
    <t>Bedrijfsleider</t>
  </si>
  <si>
    <t>Njoy</t>
  </si>
  <si>
    <t>info@njoy-kampen.nl</t>
  </si>
  <si>
    <t>05df7a31da973a4c15597bf461728aad</t>
  </si>
  <si>
    <t>Evert Heusinkveld</t>
  </si>
  <si>
    <t>Head of Supply Chain Europe</t>
  </si>
  <si>
    <t>Viatris</t>
  </si>
  <si>
    <t>evert.heusinkveld@viatris.com</t>
  </si>
  <si>
    <t>93ab70fe44f1ad304eeb9fa8562f074f</t>
  </si>
  <si>
    <t>Ray Hobé</t>
  </si>
  <si>
    <t>Sales Director retail</t>
  </si>
  <si>
    <t>CelaVIta / McCain</t>
  </si>
  <si>
    <t>raymond.hobe@mccain.com</t>
  </si>
  <si>
    <t>7dd3bbc7aa5c7f82ab72a87f343e5018</t>
  </si>
  <si>
    <t>Menno Ruijter</t>
  </si>
  <si>
    <t>Productiemedewerker/planner</t>
  </si>
  <si>
    <t>Van Remmen UV Technology</t>
  </si>
  <si>
    <t>ruijtermenno@gmail.com</t>
  </si>
  <si>
    <t>06f80d1c950a072e8ad7c42ae6824f50</t>
  </si>
  <si>
    <t>Dennis Heurman</t>
  </si>
  <si>
    <t>Teamlead planning</t>
  </si>
  <si>
    <t>Easy Drain Sanitary Solutions</t>
  </si>
  <si>
    <t>dennis.heurman@essmail.com</t>
  </si>
  <si>
    <t>df237cb589091467af953034c1fd6a0e</t>
  </si>
  <si>
    <t>Stijn de Boer</t>
  </si>
  <si>
    <t>Logistics Process Engineer</t>
  </si>
  <si>
    <t>bol.</t>
  </si>
  <si>
    <t>stijndeboer@bol.com</t>
  </si>
  <si>
    <t>98752ae8674eaac247bd31648eeba4ae</t>
  </si>
  <si>
    <t>Piet PvdW van de Werf</t>
  </si>
  <si>
    <t>Logistiek Manager</t>
  </si>
  <si>
    <t>pvandewerf@imbema.com</t>
  </si>
  <si>
    <t>9d6963488f94463324a64091dcb874d1</t>
  </si>
  <si>
    <t>Stan Volkerink</t>
  </si>
  <si>
    <t>Filiaalmanager filiaal Ommen</t>
  </si>
  <si>
    <t>Scapino Retail BV</t>
  </si>
  <si>
    <t>stanvolkerink@outlook.com</t>
  </si>
  <si>
    <t>8ace0f0de7511809c34625f5c377c2d5</t>
  </si>
  <si>
    <t>Jop Reimert</t>
  </si>
  <si>
    <t>Verkoopadviseur</t>
  </si>
  <si>
    <t>Aarnink Kunststof kozijnen fabriek</t>
  </si>
  <si>
    <t>jop@aarnink.nl</t>
  </si>
  <si>
    <t>5ec650131c037a770594f4559bc8ebaa</t>
  </si>
  <si>
    <t>Marnix Tax</t>
  </si>
  <si>
    <t>Global New Business Integration Director</t>
  </si>
  <si>
    <t>JDE Peets</t>
  </si>
  <si>
    <t>marnix.tax@jdecoffee.com</t>
  </si>
  <si>
    <t>32d82163cfd7aaee98c62c759ad05fa1</t>
  </si>
  <si>
    <t>Hessel</t>
  </si>
  <si>
    <t>Werkvoorbereiding</t>
  </si>
  <si>
    <t>Loohuis Installatiegroep</t>
  </si>
  <si>
    <t>hesselloohuis@live.nl</t>
  </si>
  <si>
    <t>182a74f4baaaed0ce0471839b1dca46d</t>
  </si>
  <si>
    <t>A. Bierkens</t>
  </si>
  <si>
    <t>Somers Kantoor- en Garderobemeubilair B.V.</t>
  </si>
  <si>
    <t>bierkens@somersbv.nl</t>
  </si>
  <si>
    <t>1a5fadeab5a11640554d75cc63cb4955</t>
  </si>
  <si>
    <t>Jop Keizers</t>
  </si>
  <si>
    <t>Process Engineer</t>
  </si>
  <si>
    <t>ESS</t>
  </si>
  <si>
    <t>jop.keizers@essmail.com</t>
  </si>
  <si>
    <t>780f15e6b7695e2696695e2b0496f6fe</t>
  </si>
  <si>
    <t>Cornel Zwijnenburg</t>
  </si>
  <si>
    <t>Projectmanager / Inkoop</t>
  </si>
  <si>
    <t>zwijnenburg@somersbv.nl</t>
  </si>
  <si>
    <t>86fa12b40ae95fb01b7c38aba1bd4fe8</t>
  </si>
  <si>
    <t>Derk Jan Mekkes</t>
  </si>
  <si>
    <t>Manager Shipping &amp; Warehousing and Genaral affairs</t>
  </si>
  <si>
    <t>KME. Netherlands BV</t>
  </si>
  <si>
    <t>derkjan.mekkes@kme.com</t>
  </si>
  <si>
    <t>ca6822606c5efecb0673238bddfe049c</t>
  </si>
  <si>
    <t>Jakob Rentier</t>
  </si>
  <si>
    <t>Farm Frites</t>
  </si>
  <si>
    <t>jakobrentier@farmfrites.com</t>
  </si>
  <si>
    <t>fcd82123c108e6312a70e2414c3c5f86</t>
  </si>
  <si>
    <t>Francine Tomassen</t>
  </si>
  <si>
    <t>DSV Zaden</t>
  </si>
  <si>
    <t>francine.tomassen@dsv-zaden.nl</t>
  </si>
  <si>
    <t>536ade4a6c04b864d060726e099d325c</t>
  </si>
  <si>
    <t>Ronald Janssen</t>
  </si>
  <si>
    <t>Supply Chain Manager Benelux</t>
  </si>
  <si>
    <t>Tectum Group</t>
  </si>
  <si>
    <t>ronald.janssen@tectumgroup.be</t>
  </si>
  <si>
    <t>f631476c209e0e59cdca5829d45f6929</t>
  </si>
  <si>
    <t>heijster</t>
  </si>
  <si>
    <t>General Manageer Louwman Logistics</t>
  </si>
  <si>
    <t>Louwman Group</t>
  </si>
  <si>
    <t>w.heijster@louwmanlogistics.nl</t>
  </si>
  <si>
    <t>Wholesale and retail trade and repair of motor vehicles and motorcycles</t>
  </si>
  <si>
    <t>6d9b99c25e859942ad25dd68307336ee</t>
  </si>
  <si>
    <t>Anouk Brouwer</t>
  </si>
  <si>
    <t xml:space="preserve">Logistics &amp; Customer Service Manager </t>
  </si>
  <si>
    <t>O'Neill Europe BV</t>
  </si>
  <si>
    <t>anouk.brouwer@oneill.com</t>
  </si>
  <si>
    <t>c377a9072f5d5d0b2cbde1f44c4e6d5b</t>
  </si>
  <si>
    <t>Mark Breugem</t>
  </si>
  <si>
    <t>Manager Staf Operations</t>
  </si>
  <si>
    <t>Royal FloraHolland</t>
  </si>
  <si>
    <t>markbreugem@royalfloraholland.com</t>
  </si>
  <si>
    <t>2804660aafb3be90f6ab81b0bcdaaca7</t>
  </si>
  <si>
    <t xml:space="preserve">Harold Reusink </t>
  </si>
  <si>
    <t xml:space="preserve">Supply Chain Manager </t>
  </si>
  <si>
    <t>Dille&amp;Kamille</t>
  </si>
  <si>
    <t>harold.reusink@dilka.nl</t>
  </si>
  <si>
    <t>e66fd71433112af9244015a543895881</t>
  </si>
  <si>
    <t>Martijn Vermunt</t>
  </si>
  <si>
    <t>Supply Chain Transformation Lead</t>
  </si>
  <si>
    <t>Shell Chemicals</t>
  </si>
  <si>
    <t>martijn.vermunt@shell.com</t>
  </si>
  <si>
    <t>0294a226f36e06b234d29ac6a130dbf3</t>
  </si>
  <si>
    <t>Axel Visser</t>
  </si>
  <si>
    <t>Group manager procurement excellence</t>
  </si>
  <si>
    <t>Bme</t>
  </si>
  <si>
    <t>avisser@bme-group.com</t>
  </si>
  <si>
    <t>6df7e55204eecbf070184528f1cffcf9</t>
  </si>
  <si>
    <t>Maria Verbeek</t>
  </si>
  <si>
    <t>Alfen</t>
  </si>
  <si>
    <t>maria.verbeek@alfen.com</t>
  </si>
  <si>
    <t>53c2e6adccd8ca3ee910e58d21415182</t>
  </si>
  <si>
    <t>Marije</t>
  </si>
  <si>
    <t>Business unit manager</t>
  </si>
  <si>
    <t>Dsg</t>
  </si>
  <si>
    <t>mail@marijebakker.nl</t>
  </si>
  <si>
    <t>658aec990473b42cef226c06e76fd36b</t>
  </si>
  <si>
    <t>Mirjam van Leeuwen</t>
  </si>
  <si>
    <t>UC Group</t>
  </si>
  <si>
    <t>mirjam.vanleeuwen@ucgroup.nl</t>
  </si>
  <si>
    <t>b2a81707e1eeff4e558186b803a9d906</t>
  </si>
  <si>
    <t>Nadia Lemmes</t>
  </si>
  <si>
    <t>Bejo Zaden</t>
  </si>
  <si>
    <t>nlemmers@outlook.com</t>
  </si>
  <si>
    <t>8ba9392b200288f4c66a8e8e41234c90</t>
  </si>
  <si>
    <t>Roland van Bussel</t>
  </si>
  <si>
    <t>Moonen Packaging</t>
  </si>
  <si>
    <t>r.van.bussel@moonenpackaging.com</t>
  </si>
  <si>
    <t>f06e980a1a73c8432c56c9b9da3cd5f2</t>
  </si>
  <si>
    <t>Nick Helmink</t>
  </si>
  <si>
    <t>Supply chain manager</t>
  </si>
  <si>
    <t>Sunshine Group</t>
  </si>
  <si>
    <t>n.helmink@sunshinegroup.nl</t>
  </si>
  <si>
    <t>8e714c25319dd1034fe2b10f3566b444</t>
  </si>
  <si>
    <t>Esther Salden</t>
  </si>
  <si>
    <t>Supply Chain Manager Color Solutions EMEA</t>
  </si>
  <si>
    <t>Vibrantz  Color Solutions Europe BV</t>
  </si>
  <si>
    <t>esther.salden@vibrantz.com</t>
  </si>
  <si>
    <t>62f69eb46c4c4fa8f0621b973ba713c8</t>
  </si>
  <si>
    <t>Niels van der Poel</t>
  </si>
  <si>
    <t>Sr Manager Supply Chain &amp; Logistics</t>
  </si>
  <si>
    <t>DNP</t>
  </si>
  <si>
    <t>n.vanderpoel@dnp-g.com</t>
  </si>
  <si>
    <t>99915442b3dd33dcc2a7f87a91e77aea</t>
  </si>
  <si>
    <t>Hessam Raisifar</t>
  </si>
  <si>
    <t>TANITA Europe B.V.</t>
  </si>
  <si>
    <t>hraisifar@hotmail.com</t>
  </si>
  <si>
    <t>605ab98cae283b010729c212d9b95cc7</t>
  </si>
  <si>
    <t>Susanne van Zundert</t>
  </si>
  <si>
    <t>Sr Supply Chain Engineer</t>
  </si>
  <si>
    <t>Thetford</t>
  </si>
  <si>
    <t>svzundert@thetford.eu</t>
  </si>
  <si>
    <t>[1-2]</t>
  </si>
  <si>
    <t>b453e20fb1b872b3013b41c569a38ca1</t>
  </si>
  <si>
    <t>marina verwaal</t>
  </si>
  <si>
    <t>coo</t>
  </si>
  <si>
    <t>hbm machines</t>
  </si>
  <si>
    <t>m.verwaal@hbm-machines.com</t>
  </si>
  <si>
    <t>89efd5fdbf79487d4891147cc40c97a4</t>
  </si>
  <si>
    <t>Amina el Ousrouti-Sakka</t>
  </si>
  <si>
    <t>Continuous improvement manager</t>
  </si>
  <si>
    <t>Thermo Fisher Scientific</t>
  </si>
  <si>
    <t>aminael.ousrouti-sakka@thermofisher.com</t>
  </si>
  <si>
    <t>81d67ca661fca98cd798c12b17b7eeff</t>
  </si>
  <si>
    <t>Herm Schonewille</t>
  </si>
  <si>
    <t>Vreugdenhil Diary Foods</t>
  </si>
  <si>
    <t>herm.schonewille@vreugdenhil.nl</t>
  </si>
  <si>
    <t>8fd717a40920f5d6f1fdf047aa12165f</t>
  </si>
  <si>
    <t>Frank van den Heuvel</t>
  </si>
  <si>
    <t>Gobal Manager Logistics</t>
  </si>
  <si>
    <t xml:space="preserve">Nunhems </t>
  </si>
  <si>
    <t>frank.heuvel@basf.com</t>
  </si>
  <si>
    <t>aaa568887f515a71bbac254577efd918</t>
  </si>
  <si>
    <t>Daan van Iersel</t>
  </si>
  <si>
    <t>Warehouse manager</t>
  </si>
  <si>
    <t>NSK EDC B.V.</t>
  </si>
  <si>
    <t>van-iersel-d@nsk.com</t>
  </si>
  <si>
    <t>ab6c94af50663375e692a295ba039977</t>
  </si>
  <si>
    <t>Erik de Munnik</t>
  </si>
  <si>
    <t>Supply Chain / Procurement Manager</t>
  </si>
  <si>
    <t>Seabourne Logistics</t>
  </si>
  <si>
    <t>edmunnik@seabournelogistics.com</t>
  </si>
  <si>
    <t>5a51861d3696d591ae13531a822c33e9</t>
  </si>
  <si>
    <t>Tim van den Burg</t>
  </si>
  <si>
    <t>Terra Natura International</t>
  </si>
  <si>
    <t>t.vandenburg@tniholland.nl</t>
  </si>
  <si>
    <t>388725bcc9a60ee995432b7bd8ee3320</t>
  </si>
  <si>
    <t>Paul</t>
  </si>
  <si>
    <t>Sr Manager Distributie</t>
  </si>
  <si>
    <t>Coca-Cola Europacific Partners</t>
  </si>
  <si>
    <t>pcosman@ccep.com</t>
  </si>
  <si>
    <t>d4f504f37e21d1c034d65b5d351aaf39</t>
  </si>
  <si>
    <t>Huub Smets</t>
  </si>
  <si>
    <t>Leolux Furniture Group</t>
  </si>
  <si>
    <t>hsm@leolux.nl</t>
  </si>
  <si>
    <t>8be781a4a25cd897a8cd3e135c9efb4a</t>
  </si>
  <si>
    <t>Frank Hofland</t>
  </si>
  <si>
    <t>Supply chain &amp; customer service manager</t>
  </si>
  <si>
    <t>GBfoods/GranFood</t>
  </si>
  <si>
    <t>fhofland@thegbfoods.com</t>
  </si>
  <si>
    <t>f9de7ad3d4dd21fea3d75e83b19b56a9</t>
  </si>
  <si>
    <t>Frank Richters</t>
  </si>
  <si>
    <t>associate director Global Logistics</t>
  </si>
  <si>
    <t>MSD BV</t>
  </si>
  <si>
    <t>frank.richters@merck.com</t>
  </si>
  <si>
    <t>d2c1f2da0d992f1c7acfdfe5ca8ec631</t>
  </si>
  <si>
    <t>Arjen van der Wijden</t>
  </si>
  <si>
    <t>Koppert BV</t>
  </si>
  <si>
    <t>avdwijden@koppert.nl</t>
  </si>
  <si>
    <t>a3fcd8ef2a1832bfd3043ff91ee89520</t>
  </si>
  <si>
    <t>E van den Berg</t>
  </si>
  <si>
    <t>Supply Chain Expert</t>
  </si>
  <si>
    <t>elinevandenberg@royalfloraholland.com</t>
  </si>
  <si>
    <t>5b217eaf69906f25fb99118485436639</t>
  </si>
  <si>
    <t>Iwan Hellemons</t>
  </si>
  <si>
    <t>iwanhellemons@farmfrites.com</t>
  </si>
  <si>
    <t>66a96e7df9b81653b3eb447723160623</t>
  </si>
  <si>
    <t>Mieke Derkx</t>
  </si>
  <si>
    <t>Supply chain project manager</t>
  </si>
  <si>
    <t>Natec</t>
  </si>
  <si>
    <t>m.derkx@natec.com</t>
  </si>
  <si>
    <t>9bc4f2b4b6727991b9dc9556f87b8540</t>
  </si>
  <si>
    <t>Joris van Liempt</t>
  </si>
  <si>
    <t>Manager Supply Chain &amp; Logistics Europe</t>
  </si>
  <si>
    <t>Blink Charging</t>
  </si>
  <si>
    <t>jvanliempt@blinkcharging.com</t>
  </si>
  <si>
    <t>a80f31e26c4ccecb3588a4e932fe9215</t>
  </si>
  <si>
    <t>Richard Buijtendijk</t>
  </si>
  <si>
    <t>Mosadex</t>
  </si>
  <si>
    <t>r.buijtendijk@mosadex.nl</t>
  </si>
  <si>
    <t>e2e22855d188a2b78211079b7a42ebb0</t>
  </si>
  <si>
    <t>Martijn Koenis</t>
  </si>
  <si>
    <t>Director of Distribution</t>
  </si>
  <si>
    <t>Curium Netherlands B.V.</t>
  </si>
  <si>
    <t>martijn.koenis@curiumpharma.com</t>
  </si>
  <si>
    <t>9b71b98b3f434b6869a92f0f2ad024c8</t>
  </si>
  <si>
    <t>Jack Nabuurs</t>
  </si>
  <si>
    <t>CleanLease</t>
  </si>
  <si>
    <t>jack.nabuurs@cleanlease.com</t>
  </si>
  <si>
    <t>abc6c462bb8134190284960f4d8b3f6f</t>
  </si>
  <si>
    <t>Shannon Nijhoff</t>
  </si>
  <si>
    <t>SushiPoint Harderwijk</t>
  </si>
  <si>
    <t>shannon@sushipoint.nl</t>
  </si>
  <si>
    <t>08d0c2ada295518a491e3809e0608216</t>
  </si>
  <si>
    <t>Nicole Sies</t>
  </si>
  <si>
    <t>S&amp;O PLeader</t>
  </si>
  <si>
    <t>GE Healthcare</t>
  </si>
  <si>
    <t>n.sies@xs4all.nl</t>
  </si>
  <si>
    <t>bd857f8c35b7aca76e420f3f10783641</t>
  </si>
  <si>
    <t>Bart Kennes</t>
  </si>
  <si>
    <t>Senior Manager Operations</t>
  </si>
  <si>
    <t>Amgen</t>
  </si>
  <si>
    <t>bkennes@amgen.com</t>
  </si>
  <si>
    <t>6da7f1ba783da602d1918a65ff51ceb5</t>
  </si>
  <si>
    <t>Charlie van Berkel</t>
  </si>
  <si>
    <t>Supervisor Trade Compliance</t>
  </si>
  <si>
    <t>Fujifilm Europe B.V.</t>
  </si>
  <si>
    <t>charlie.van.berkel@fujifilm.com</t>
  </si>
  <si>
    <t>96ebade6b75803c90bdeee25442f9997</t>
  </si>
  <si>
    <t>Tom achtereekte</t>
  </si>
  <si>
    <t xml:space="preserve">Supply chain manager </t>
  </si>
  <si>
    <t>Bonduelle</t>
  </si>
  <si>
    <t>tom.achtereekte@bonduelle.com</t>
  </si>
  <si>
    <t>95d4b398b590fb8dd936374ef8c5fcde</t>
  </si>
  <si>
    <t>Tim Katanik</t>
  </si>
  <si>
    <t>Sr. Manager, Procurement</t>
  </si>
  <si>
    <t>Abbott labs</t>
  </si>
  <si>
    <t>timothy.katanik@abbott.com</t>
  </si>
  <si>
    <t>8ce8464ef7e4cbef534719efa2a79851</t>
  </si>
  <si>
    <t>lennart</t>
  </si>
  <si>
    <t>selectie</t>
  </si>
  <si>
    <t>yer</t>
  </si>
  <si>
    <t>lennartlakeman@yer.nl</t>
  </si>
  <si>
    <t>7c3d07482dd9db69769aad164fcfabad</t>
  </si>
  <si>
    <t>Veronica</t>
  </si>
  <si>
    <t>aristeio</t>
  </si>
  <si>
    <t>vbmarquez@icloud.com</t>
  </si>
  <si>
    <t>7ef78b09c764b1601e7b00924119e4a5</t>
  </si>
  <si>
    <t xml:space="preserve">Hazehl </t>
  </si>
  <si>
    <t>PMO</t>
  </si>
  <si>
    <t>PS</t>
  </si>
  <si>
    <t>hazehl.hernandez@gmail.com</t>
  </si>
  <si>
    <t>2e55a3fea01042429bd49e9e3858c10e</t>
  </si>
  <si>
    <t>Alex</t>
  </si>
  <si>
    <t>Director</t>
  </si>
  <si>
    <t>Uve Fruits</t>
  </si>
  <si>
    <t>adonoso@ceeo.lat</t>
  </si>
  <si>
    <t>587c14c16f13c8e568f90a2aaa66c0fb</t>
  </si>
  <si>
    <t>Marco Stolk</t>
  </si>
  <si>
    <t>Ms Supply Chain Support</t>
  </si>
  <si>
    <t>stolkiem@gmail.com</t>
  </si>
  <si>
    <t>1f4a98b29868ae1da6b39a5a38f13f75</t>
  </si>
  <si>
    <t>Stephanie</t>
  </si>
  <si>
    <t>Ops processes</t>
  </si>
  <si>
    <t>HAVI</t>
  </si>
  <si>
    <t>stephanies.davis@havi.com</t>
  </si>
  <si>
    <t>84eee3ad8f76a1c4be84b2381e86836e</t>
  </si>
  <si>
    <t>Marina Bergmans</t>
  </si>
  <si>
    <t>Algemeen directeur</t>
  </si>
  <si>
    <t xml:space="preserve">Harbe B.V. </t>
  </si>
  <si>
    <t>info@harbe.nl</t>
  </si>
  <si>
    <t>9e50a4d036a7293cc4e89104c50d6471</t>
  </si>
  <si>
    <t>Jessica Akerberg</t>
  </si>
  <si>
    <t>SM</t>
  </si>
  <si>
    <t>Promeco</t>
  </si>
  <si>
    <t>Finland</t>
  </si>
  <si>
    <t>jessica.akerberg@promeco.fi</t>
  </si>
  <si>
    <t>b30fdcdf2224c29e9c136736a6ebed2b</t>
  </si>
  <si>
    <t>Hilal L</t>
  </si>
  <si>
    <t>Senior Manager</t>
  </si>
  <si>
    <t>ACN</t>
  </si>
  <si>
    <t>Spain</t>
  </si>
  <si>
    <t>hilal.lekehal@accenture.com</t>
  </si>
  <si>
    <t>4d4b67b96eafc864b94cdb7f6538a651</t>
  </si>
  <si>
    <t>Niels van Knegsel</t>
  </si>
  <si>
    <t>Manager Inkoop</t>
  </si>
  <si>
    <t>Tribus</t>
  </si>
  <si>
    <t>nielsvanknegsel@tribus.nl</t>
  </si>
  <si>
    <t>3dd0b571f8ce749b570d77cd3a290c7b</t>
  </si>
  <si>
    <t>Deepak</t>
  </si>
  <si>
    <t>CT</t>
  </si>
  <si>
    <t>GC</t>
  </si>
  <si>
    <t>India</t>
  </si>
  <si>
    <t>bhaskad2006@yahoo.co.in</t>
  </si>
  <si>
    <t>77ad062964da9b502eca32eefda38cc8</t>
  </si>
  <si>
    <t>Leon van de Moosdijk</t>
  </si>
  <si>
    <t>European Procurement Supervisor</t>
  </si>
  <si>
    <t>leon.van.de.moosdijk@fujifilm.com</t>
  </si>
  <si>
    <t>88cdf3a8093e2c9f4331354db015d9f5</t>
  </si>
  <si>
    <t>Jakob Aqua</t>
  </si>
  <si>
    <t>SCM Coordinator Healthcare</t>
  </si>
  <si>
    <t>jakob.aqua@fujifilm.com</t>
  </si>
  <si>
    <t>Manufacture of computer, electronic and optical products</t>
  </si>
  <si>
    <t>34feef929e344a9e573a82403db12806</t>
  </si>
  <si>
    <t>Bob de Vette</t>
  </si>
  <si>
    <t>Royal Brinkman</t>
  </si>
  <si>
    <t>bob.de.vette@royalbrinkman.com</t>
  </si>
  <si>
    <t>beaa49237c8b2667a2cfd1e7c962a1a4</t>
  </si>
  <si>
    <t>Neeltje Beens</t>
  </si>
  <si>
    <t>Trade compliance director</t>
  </si>
  <si>
    <t>neeltje.beens@fujifilm.com</t>
  </si>
  <si>
    <t>2de54cd7c8746db42a8a89e229f4a7f2</t>
  </si>
  <si>
    <t>Bart Verhoeven</t>
  </si>
  <si>
    <t>Senior Project Leader Supply Chain Engineering</t>
  </si>
  <si>
    <t>bart.verhoeven@fujifilm.com</t>
  </si>
  <si>
    <t>3e08d4c53547096d139b3572290daa57</t>
  </si>
  <si>
    <t>Kars van de Sande</t>
  </si>
  <si>
    <t>Logistics coordinator</t>
  </si>
  <si>
    <t>Magna Tyres</t>
  </si>
  <si>
    <t>kars.vandesande@magnatyres.com</t>
  </si>
  <si>
    <t>81d75460c83330615e7477dd9bfb1c36</t>
  </si>
  <si>
    <t>Peter Struik</t>
  </si>
  <si>
    <t>Executive Vice President</t>
  </si>
  <si>
    <t>peter.struik@fujifilm.com</t>
  </si>
  <si>
    <t>83ec5348c370893f9bfd676ddfd0dd60</t>
  </si>
  <si>
    <t>Theo Rosenberg</t>
  </si>
  <si>
    <t>Supply Chain Engineering Director</t>
  </si>
  <si>
    <t>theo.rosenberg@fujifilm.com</t>
  </si>
  <si>
    <t>2809eb09afa9a6b70e0c9958f278bd13</t>
  </si>
  <si>
    <t>Ivo Reitsma</t>
  </si>
  <si>
    <t>IT Manager</t>
  </si>
  <si>
    <t>i.reitsma@royalkoopmans.com</t>
  </si>
  <si>
    <t>07e37bee863d44f1d54a38dd739fc6b8</t>
  </si>
  <si>
    <t>Jeffrey Groen</t>
  </si>
  <si>
    <t>S&amp;OP Manager</t>
  </si>
  <si>
    <t>Thales</t>
  </si>
  <si>
    <t>jeffrey.groen@nl.thalesgroup.com</t>
  </si>
  <si>
    <t>ed4b8c556db19f9585c7ccbdb9e61db6</t>
  </si>
  <si>
    <t>Samira</t>
  </si>
  <si>
    <t>Purchaser</t>
  </si>
  <si>
    <t>Renolit</t>
  </si>
  <si>
    <t>samira2ins@gmail.com</t>
  </si>
  <si>
    <t>1bcf56939dfdf8432fd7354320cfaf02</t>
  </si>
  <si>
    <t>Jan-Willem Beerens</t>
  </si>
  <si>
    <t>EU procurement Director</t>
  </si>
  <si>
    <t>jan.willem.beerens@fujifilm.com</t>
  </si>
  <si>
    <t>55d0000f83bfc50ae0457b688387622f</t>
  </si>
  <si>
    <t>Kees Dekker</t>
  </si>
  <si>
    <t>k.dekker@royalkoopmans.com</t>
  </si>
  <si>
    <t>2890b83012fc19f44a693af456ac51d7</t>
  </si>
  <si>
    <t>Mitchell van den Adel (2024)</t>
  </si>
  <si>
    <t>m.vandenadel@royalkoopmans.com</t>
  </si>
  <si>
    <t>0b0476d03ac78cc3cef708f537063e28</t>
  </si>
  <si>
    <t>Stephanie Jongejan</t>
  </si>
  <si>
    <t>R&amp;D Manager</t>
  </si>
  <si>
    <t>s.jongejan@royalkoopmans.com</t>
  </si>
  <si>
    <t>d544fb8e28f448c55ec2753664224cb0</t>
  </si>
  <si>
    <t>Johan Meijer</t>
  </si>
  <si>
    <t>j.meijer@royalkoopmans.com</t>
  </si>
  <si>
    <t>bdada4015bd5e114d68a13e567cff1f8</t>
  </si>
  <si>
    <t>Dirk Lodewijk</t>
  </si>
  <si>
    <t>CEO</t>
  </si>
  <si>
    <t>d.lodewijk@royalkoopmans.com</t>
  </si>
  <si>
    <t>72f41e9e706662078d494f496947e02c</t>
  </si>
  <si>
    <t>Annemarie Jorna</t>
  </si>
  <si>
    <t>a.jorna@royalkoopmans.com</t>
  </si>
  <si>
    <t>65de84063f3e6d0be16e6092dd76c1ff</t>
  </si>
  <si>
    <t>Jildou van der Schaaf</t>
  </si>
  <si>
    <t>HR Manager</t>
  </si>
  <si>
    <t>j.vanderschaaf@royalkoopmans.com</t>
  </si>
  <si>
    <t>b85a6d1005ce7e63c62716af37de14d6</t>
  </si>
  <si>
    <t>Marjo Vellinga</t>
  </si>
  <si>
    <t>Teamlead Customer Service</t>
  </si>
  <si>
    <t>m.vellinga@royalkoopmans.com</t>
  </si>
  <si>
    <t>143dd59495b8bc01c1aa89a2523fd442</t>
  </si>
  <si>
    <t>Sijtse Nijboer</t>
  </si>
  <si>
    <t xml:space="preserve">Student </t>
  </si>
  <si>
    <t>NVT</t>
  </si>
  <si>
    <t>sijtsenijboer@gmail.com</t>
  </si>
  <si>
    <t>c67f19b870272ce5430ac74ef43e6d96</t>
  </si>
  <si>
    <t>Bauke Wierda</t>
  </si>
  <si>
    <t>Manager Sourcing</t>
  </si>
  <si>
    <t>b.wierda@royalkoopmans.com</t>
  </si>
  <si>
    <t>6baab265037a75383c07d88747a5c18f</t>
  </si>
  <si>
    <t>B. Dolman</t>
  </si>
  <si>
    <t>Commercial Director</t>
  </si>
  <si>
    <t>b.dolman@royalkoopmans.com</t>
  </si>
  <si>
    <t>50f1b78e198c3b741dcf382079e8fccd</t>
  </si>
  <si>
    <t>Anne-Ruth Scheijgrond</t>
  </si>
  <si>
    <t>expert binnenvaart</t>
  </si>
  <si>
    <t>Port of Twente Logistic Association</t>
  </si>
  <si>
    <t>a.scheijgrond@portoftwente.com</t>
  </si>
  <si>
    <t>9a45aff290f3b3162928bea96ce193e3</t>
  </si>
  <si>
    <t>O. Dietrich</t>
  </si>
  <si>
    <t>BOS GmbH &amp; Co. KG</t>
  </si>
  <si>
    <t>odietrich@bos.de</t>
  </si>
  <si>
    <t>d5b5d24e0d91f68ffb8585342840e217</t>
  </si>
  <si>
    <t>Corné Romeijn</t>
  </si>
  <si>
    <t>Teamlead Inbound Logistics Netherlands</t>
  </si>
  <si>
    <t>ForFarmers</t>
  </si>
  <si>
    <t>corne.romeijn@forfarmers.eu</t>
  </si>
  <si>
    <t>11776818ba99d9395d11d9b1af62f7d4</t>
  </si>
  <si>
    <t>Martin Hoving</t>
  </si>
  <si>
    <t>Projectmanager</t>
  </si>
  <si>
    <t>The Greenery</t>
  </si>
  <si>
    <t>m.hoving@thegreenery.com</t>
  </si>
  <si>
    <t>cceee45fe545a4dcad765c22bf26c07a</t>
  </si>
  <si>
    <t>Sanjida Tamanna</t>
  </si>
  <si>
    <t xml:space="preserve">PMO, Innovation </t>
  </si>
  <si>
    <t>stamanna@coca-cola.com</t>
  </si>
  <si>
    <t>f72b81801535e76ee49ede8e860a85be</t>
  </si>
  <si>
    <t>Ursula Murtagh</t>
  </si>
  <si>
    <t>Supply Chain Resilience</t>
  </si>
  <si>
    <t>umurtagh@coca-cola.com</t>
  </si>
  <si>
    <t>62b5b1bc9482a98b8ac9edc202eb8785</t>
  </si>
  <si>
    <t>TCCC SCR2 AMERICAS 2024 Team 3</t>
  </si>
  <si>
    <t>nlangub@coca-cola.com</t>
  </si>
  <si>
    <t>3f5ba317346a440c9283406050cf4042</t>
  </si>
  <si>
    <t>TCCC SCR2 AMERICAS 2024 Team 2</t>
  </si>
  <si>
    <t>wchira@coca-cola.com</t>
  </si>
  <si>
    <t>18c6fa41263f501c6f428c83637744ea</t>
  </si>
  <si>
    <t>TCCC SCR2 EMEA 2024 Team 1</t>
  </si>
  <si>
    <t>Production Plant</t>
  </si>
  <si>
    <t>cchaida@coca-cola.com</t>
  </si>
  <si>
    <t>6f320dc47b92bd675b1845d7e5939d21</t>
  </si>
  <si>
    <t>Haechan JUN</t>
  </si>
  <si>
    <t>TCCC SCR2 EMEA 2024 TEAM4</t>
  </si>
  <si>
    <t>hajun@coca-cola.com</t>
  </si>
  <si>
    <t>d6f02763724a3fd0d4ceb8b98724cf55</t>
  </si>
  <si>
    <t>Orlaith Hopkins</t>
  </si>
  <si>
    <t>Operations</t>
  </si>
  <si>
    <t>TCCC SCR2 EMEA 2024 Team4</t>
  </si>
  <si>
    <t>ohopkins@coca-cola.com</t>
  </si>
  <si>
    <t>28d1485332858d4196af1811f0dc9831</t>
  </si>
  <si>
    <t>Meetali bhadain</t>
  </si>
  <si>
    <t>Purchasing</t>
  </si>
  <si>
    <t>mbhadain@coca-cola.com</t>
  </si>
  <si>
    <t>a1bade0819c675267967908fa57c2b8e</t>
  </si>
  <si>
    <t>Teresia Waithaka</t>
  </si>
  <si>
    <t>tewaithaka@coca-cola.com</t>
  </si>
  <si>
    <t>31c7f59e01b413f46692db8b72466e84</t>
  </si>
  <si>
    <t>Popescu</t>
  </si>
  <si>
    <t>Pilot Plant Manager</t>
  </si>
  <si>
    <t>spopescu@coca-cola.com</t>
  </si>
  <si>
    <t>1a248f731dc800f67105c929c2e33387</t>
  </si>
  <si>
    <t>Verónica de Dato</t>
  </si>
  <si>
    <t>vdedato@coca-cola.com</t>
  </si>
  <si>
    <t>40f8db842fb0f270fdadacb6e0124d2f</t>
  </si>
  <si>
    <t>TCCC SCR2 APAC 2024 Team 3</t>
  </si>
  <si>
    <t>Philippines</t>
  </si>
  <si>
    <t>rommel.cruz@coca-cola.com.ph</t>
  </si>
  <si>
    <t>2a3177c5d8457995714a09ac43674979</t>
  </si>
  <si>
    <t>Leon Guo</t>
  </si>
  <si>
    <t>Technical Operation</t>
  </si>
  <si>
    <t>leguo@coca-cola.com</t>
  </si>
  <si>
    <t>d997dad2e85204755817db178405d391</t>
  </si>
  <si>
    <t>Bart Eekhout</t>
  </si>
  <si>
    <t xml:space="preserve">Sales Engineer </t>
  </si>
  <si>
    <t>Flier Systems</t>
  </si>
  <si>
    <t>b.eekhout@fliersystems.nl</t>
  </si>
  <si>
    <t>75589f489a187c17bf89353466349ba4</t>
  </si>
  <si>
    <t>Anudeep Rastogi</t>
  </si>
  <si>
    <t>Technical Innovation &amp; Supply Chain</t>
  </si>
  <si>
    <t>arastogi@coca-cola.com</t>
  </si>
  <si>
    <t>6b32a2ba60afb386e3792116b1fbbbd5</t>
  </si>
  <si>
    <t>Cherry Aung</t>
  </si>
  <si>
    <t>cherryaung@coca-cola.com.mm</t>
  </si>
  <si>
    <t>da53044b10eabf2565ee6e8beac746b6</t>
  </si>
  <si>
    <t>Ronald TESTER</t>
  </si>
  <si>
    <t>TESTER</t>
  </si>
  <si>
    <t>TESTING Company</t>
  </si>
  <si>
    <t>r.deboer.thuis@gmail.com</t>
  </si>
  <si>
    <t>74e867768b2ccff2253373ef60284f07</t>
  </si>
  <si>
    <t>TCCC SCR2 APAC 2024 Team 1</t>
  </si>
  <si>
    <t>Myanmar</t>
  </si>
  <si>
    <t>aseriales@coca-cola.com</t>
  </si>
  <si>
    <t>9eaa425f457282b8c7642c34f0394ca2</t>
  </si>
  <si>
    <t>Pawan Bhattarai</t>
  </si>
  <si>
    <t>Nepal</t>
  </si>
  <si>
    <t>pbhattarai@coca-cola.com.np</t>
  </si>
  <si>
    <t>f2a4d37634d1ebb90468ae2200d1f0fe</t>
  </si>
  <si>
    <t>Takayoshi Hirose</t>
  </si>
  <si>
    <t>TISC</t>
  </si>
  <si>
    <t>thirose@coca-cola.com</t>
  </si>
  <si>
    <t>4a30d3f3cc0fe28a5c66997394e5772d</t>
  </si>
  <si>
    <t>Ronald TESTER9</t>
  </si>
  <si>
    <t>TESTER9</t>
  </si>
  <si>
    <t>TESTING Company9</t>
  </si>
  <si>
    <t>r.deboer@windesheim.nl</t>
  </si>
  <si>
    <t>Mining of metal ores</t>
  </si>
  <si>
    <t>2553908dcf0f4acf04c15060b045ec98</t>
  </si>
  <si>
    <t>Sebastiaan van Oeffelen</t>
  </si>
  <si>
    <t>s.vanoeffelen@thegreenery.com</t>
  </si>
  <si>
    <t>1ac3c925bdf099f69c70e99da2c554ed</t>
  </si>
  <si>
    <t>Marcel Hup</t>
  </si>
  <si>
    <t>Supplier Quality Manager - Projects</t>
  </si>
  <si>
    <t>VDL ETG Almelo</t>
  </si>
  <si>
    <t>marcel.hup@vdletg.com</t>
  </si>
  <si>
    <t>eab15245a642b00be0532387e1fa0a89</t>
  </si>
  <si>
    <t>Rob Nijland</t>
  </si>
  <si>
    <t>rob.nijland@vdletg.com</t>
  </si>
  <si>
    <t>ece600a76db058583ca212dcfab29805</t>
  </si>
  <si>
    <t>Michaël Kistemaker</t>
  </si>
  <si>
    <t>Teamleider Inkoop &amp; Logistiek Systems-2</t>
  </si>
  <si>
    <t>michael.kistemaker@vdletg.com</t>
  </si>
  <si>
    <t>b7aa75eacf1b58081431edaaf27d0919</t>
  </si>
  <si>
    <t>Andries Rusch</t>
  </si>
  <si>
    <t>Inkoop manager projects</t>
  </si>
  <si>
    <t>andries.rusch@vdletg.com</t>
  </si>
  <si>
    <t>1968f50e667a250eb567f807b0ad0084</t>
  </si>
  <si>
    <t>Rob Stut</t>
  </si>
  <si>
    <t>rob.stut@vdletg.com</t>
  </si>
  <si>
    <t>e534cc3be443a3893e2a1289f528fe83</t>
  </si>
  <si>
    <t>Maik</t>
  </si>
  <si>
    <t>Tactisch inkoper</t>
  </si>
  <si>
    <t>maik.mati@vdletg.com</t>
  </si>
  <si>
    <t>4c25f8f82dc67275f1608e951c295565</t>
  </si>
  <si>
    <t>Joe Mullins</t>
  </si>
  <si>
    <t>Supplier Quality Manager VDL ETG Almelo Systems 1</t>
  </si>
  <si>
    <t>joe.mullins@vdletg.com</t>
  </si>
  <si>
    <t>ff4de3fec22870d279d3664f2f3289c1</t>
  </si>
  <si>
    <t>Brian van der Gouw</t>
  </si>
  <si>
    <t>Inkoopmanager VDL ETG Sytems-1</t>
  </si>
  <si>
    <t>brian.van.der.gouw@vdletg.com</t>
  </si>
  <si>
    <t>5ceaa4b7b6709c634685a36ef8772f89</t>
  </si>
  <si>
    <t>Pim de Groot</t>
  </si>
  <si>
    <t>pim.de.groot@vdletg.com</t>
  </si>
  <si>
    <t>fe4f32df91f11ff5f6086d1294d859e9</t>
  </si>
  <si>
    <t>Martien Oostveen</t>
  </si>
  <si>
    <t>martien.oostveen@vdletg.com</t>
  </si>
  <si>
    <t>560fb0489238b2a194b15787ed4c5c82</t>
  </si>
  <si>
    <t>Niels Hoogenberg</t>
  </si>
  <si>
    <t>niels.hoogenberg@vdletg.com</t>
  </si>
  <si>
    <t>e76fcf4ced6f6793b0293bf09fea6cd5</t>
  </si>
  <si>
    <t>Ralf Slag</t>
  </si>
  <si>
    <t>Program Manager Operations</t>
  </si>
  <si>
    <t xml:space="preserve">Applied Medical Europe b.v. </t>
  </si>
  <si>
    <t>rslag@appliedmedical.com</t>
  </si>
  <si>
    <t>3b986078633717a47686fd077b2e5468</t>
  </si>
  <si>
    <t>Deb B</t>
  </si>
  <si>
    <t>Functional onsultant</t>
  </si>
  <si>
    <t>Xilontech Pvt Ltd</t>
  </si>
  <si>
    <t>debarsheebhardwaj@gmail.com</t>
  </si>
  <si>
    <t>9476ada82eea729aaed2229037454424</t>
  </si>
  <si>
    <t>Gina Burke</t>
  </si>
  <si>
    <t>Director of Global Demand Management</t>
  </si>
  <si>
    <t>Corbion (2)</t>
  </si>
  <si>
    <t>gina.burke@corbion.com</t>
  </si>
  <si>
    <t>efa0251257e3b45d37ac1dda5eba275c</t>
  </si>
  <si>
    <t>Pauline Vink (2)</t>
  </si>
  <si>
    <t>cf628c5bb578a66b187af36619492c87</t>
  </si>
  <si>
    <t>Mark Schmidt</t>
  </si>
  <si>
    <t>mark.schmidt@corbion.com</t>
  </si>
  <si>
    <t>e8df05c0db980b1f3ccd07cf476ae634</t>
  </si>
  <si>
    <t>Rian</t>
  </si>
  <si>
    <t>Global Supply Planning Director</t>
  </si>
  <si>
    <t>rian.van.den.bos@corbion.com</t>
  </si>
  <si>
    <t>22f34578b36343e498cb9464fd3a5883</t>
  </si>
  <si>
    <t>Peter-Paul van Hunen</t>
  </si>
  <si>
    <t>Global manager supply chain planning</t>
  </si>
  <si>
    <t>Teijin Aramid BV</t>
  </si>
  <si>
    <t>peterpaul.vanhunen@teijinaramid.com</t>
  </si>
  <si>
    <t>d1c694f84023902f8e7c4d09522011e8</t>
  </si>
  <si>
    <t>Loek Feller</t>
  </si>
  <si>
    <t>Distribution Manager</t>
  </si>
  <si>
    <t>loek.feller@teijinaramid.com</t>
  </si>
  <si>
    <t>af41b9c175fc629586ae89f990154cb9</t>
  </si>
  <si>
    <t>Koen Kummel (2)</t>
  </si>
  <si>
    <t>Sr Director S&amp;OP, SC analytics and Data</t>
  </si>
  <si>
    <t>a8ceb281d7c1351bad823b70d6df7576</t>
  </si>
  <si>
    <t>Paulo Oliveira</t>
  </si>
  <si>
    <t>site director</t>
  </si>
  <si>
    <t>paulo.oliveira@corbion.com</t>
  </si>
  <si>
    <t>5e9355b0859c4e3db2b1aca9059f6435</t>
  </si>
  <si>
    <t>Tony Johnsen</t>
  </si>
  <si>
    <t>Site Director</t>
  </si>
  <si>
    <t>t.johnsen@corbion.com</t>
  </si>
  <si>
    <t>fc859c66d10200ccc137c01a57322ace</t>
  </si>
  <si>
    <t>Remko Bakker</t>
  </si>
  <si>
    <t>Global Supply Chain director</t>
  </si>
  <si>
    <t>remko.bakker@teijinaramid.com</t>
  </si>
  <si>
    <t>5d2d99aeaa9d7838dd775b2760cfa14a</t>
  </si>
  <si>
    <t>Andrew Huschka (2)</t>
  </si>
  <si>
    <t>cd63f77d8a8af8c78097a4f3425f8dc0</t>
  </si>
  <si>
    <t>Jacques Gelissen</t>
  </si>
  <si>
    <t>Global Business Process Expert F2P</t>
  </si>
  <si>
    <t>jacques.gelissen@teijinaramid.com</t>
  </si>
  <si>
    <t>c803c71392d8cf25d572a8247ee808a0</t>
  </si>
  <si>
    <t>Oriol Albos Borras</t>
  </si>
  <si>
    <t>Senior Director Global Logistics</t>
  </si>
  <si>
    <t>oriol.albos@corbion.com</t>
  </si>
  <si>
    <t>fe585bb30e7328acf8905ace27f238a3</t>
  </si>
  <si>
    <t>Cristina Navarro</t>
  </si>
  <si>
    <t>Finance Director</t>
  </si>
  <si>
    <t>cristina.navarro@corbion.com</t>
  </si>
  <si>
    <t>0cbef2c6426f1970c99c6e263e693c87</t>
  </si>
  <si>
    <t>Zelong Mao</t>
  </si>
  <si>
    <t>Purchasing Mgr</t>
  </si>
  <si>
    <t>Teijin Aramid B.V.</t>
  </si>
  <si>
    <t>zelong.mao@teijinaramid.com</t>
  </si>
  <si>
    <t>5ce4ca8bf488fffda409d2e65602ba8a</t>
  </si>
  <si>
    <t>Mark van den Broek</t>
  </si>
  <si>
    <t>Manager Purchasing</t>
  </si>
  <si>
    <t>mark.vandenbroek@teijinaramid.com</t>
  </si>
  <si>
    <t>353329ec632bbbf32bcc6ac8cec8fde7</t>
  </si>
  <si>
    <t>Helder Pereira</t>
  </si>
  <si>
    <t>Policy and projects manager</t>
  </si>
  <si>
    <t>ESC</t>
  </si>
  <si>
    <t>Belgium</t>
  </si>
  <si>
    <t>h.pereira@europeanshippers.eu</t>
  </si>
  <si>
    <t>5db838a70f59e1bed3e48795dee942bf</t>
  </si>
  <si>
    <t>Simone Bouman</t>
  </si>
  <si>
    <t>VP Sales</t>
  </si>
  <si>
    <t>s.bouman@corbion.com</t>
  </si>
  <si>
    <t>24010f14115dae9bebee19d9acd1bfab</t>
  </si>
  <si>
    <t>Lisa Perez</t>
  </si>
  <si>
    <t>Director of Sales Support and Distribution</t>
  </si>
  <si>
    <t>lisa.perez@corbion.com</t>
  </si>
  <si>
    <t>baae1132ca1882e0fc8a0b2c705817ee</t>
  </si>
  <si>
    <t>Jan van de Poll</t>
  </si>
  <si>
    <t>Transparency Lab</t>
  </si>
  <si>
    <t>jvdp@transparencylab.com</t>
  </si>
  <si>
    <t>8a829d3e7fd63d2931918c52b22f7c9d</t>
  </si>
  <si>
    <t>Jean-Paul</t>
  </si>
  <si>
    <t>Afstudeerder</t>
  </si>
  <si>
    <t>Welkoop</t>
  </si>
  <si>
    <t>jhendriksen@welkoop.nl</t>
  </si>
  <si>
    <t>cd97e8c46d4a3b0ce1a266eefdb50daf</t>
  </si>
  <si>
    <t>Konrad Racki</t>
  </si>
  <si>
    <t>Retus</t>
  </si>
  <si>
    <t>konrac@gmail.com</t>
  </si>
  <si>
    <t>Mining and quarrying</t>
  </si>
  <si>
    <t>25aa5292ceaf16949b24cfd2f0445d36</t>
  </si>
  <si>
    <t>Hans Tak</t>
  </si>
  <si>
    <t>SCM Procurement</t>
  </si>
  <si>
    <t>SHPP</t>
  </si>
  <si>
    <t>hans.tak@sabic-hpp.com</t>
  </si>
  <si>
    <t>9fb641f782d6ce9ef9726f3b5e8b953c</t>
  </si>
  <si>
    <t xml:space="preserve">Charlie </t>
  </si>
  <si>
    <t xml:space="preserve">Trade Compliance </t>
  </si>
  <si>
    <t>charlievanberkel@outlook.com</t>
  </si>
  <si>
    <t>9cab0f75502a4306280e33f3c5591505</t>
  </si>
  <si>
    <t>Lars Kalk</t>
  </si>
  <si>
    <t>Project Manager</t>
  </si>
  <si>
    <t>MSD Animal Health</t>
  </si>
  <si>
    <t>lars.kalk@merck.com</t>
  </si>
  <si>
    <t>97aec4156cff3f8dc43d3b0ccb94b3f1</t>
  </si>
  <si>
    <t>Saskia</t>
  </si>
  <si>
    <t>Regional Supply Chain manager Asia Pacific</t>
  </si>
  <si>
    <t>MSD</t>
  </si>
  <si>
    <t>saskia.thus@merck.com</t>
  </si>
  <si>
    <t>388bc07bb3ec89b76bc4ee3ef829b81f</t>
  </si>
  <si>
    <t>kees steenvoorden</t>
  </si>
  <si>
    <t>directie</t>
  </si>
  <si>
    <t>c. steenvoorden b.v.</t>
  </si>
  <si>
    <t>kees@steenvoorden.nl</t>
  </si>
  <si>
    <t>a90ce839cfc4d2f0ab879923a561bbb2</t>
  </si>
  <si>
    <t>Rene Kronenburg</t>
  </si>
  <si>
    <t>Associated Director Supply Chain IT</t>
  </si>
  <si>
    <t>AbbVie</t>
  </si>
  <si>
    <t>rene.kronenburg@abbvie.com</t>
  </si>
  <si>
    <t>a119cb6ac9e2803ed7858eba252815ed</t>
  </si>
  <si>
    <t>Marchel</t>
  </si>
  <si>
    <t>QA</t>
  </si>
  <si>
    <t xml:space="preserve">AbbVie </t>
  </si>
  <si>
    <t>marchel.mol@abbvie.com</t>
  </si>
  <si>
    <t>bce65c3f9e102dea0cd4142201ca1985</t>
  </si>
  <si>
    <t>Jeroen Berkhof</t>
  </si>
  <si>
    <t>BCP Co-ordinator</t>
  </si>
  <si>
    <t>jeroen.berkhof@abbvie.com</t>
  </si>
  <si>
    <t>38337f0c62855930d58778cc448701a5</t>
  </si>
  <si>
    <t>Miriam Porqueras Salaverri</t>
  </si>
  <si>
    <t>GTC team Lead</t>
  </si>
  <si>
    <t>miriam.porquerassalaverri@abbvie.com</t>
  </si>
  <si>
    <t>241f8cd856f36f3646bf1f633cd8812f</t>
  </si>
  <si>
    <t>Stef Beltman</t>
  </si>
  <si>
    <t>Director Supply Chain Planning</t>
  </si>
  <si>
    <t>Abbvie</t>
  </si>
  <si>
    <t>s.beltman@abbvie.com</t>
  </si>
  <si>
    <t>7b67b07f95aff4d0aabc2cef3f0ce38a</t>
  </si>
  <si>
    <t>Koen Verhaag</t>
  </si>
  <si>
    <t>Value chain product lead</t>
  </si>
  <si>
    <t>koen.verhaag@merck.com</t>
  </si>
  <si>
    <t>10a1cf3daff03e6539e7d047c1370d25</t>
  </si>
  <si>
    <t>Martijn Stapelbroek</t>
  </si>
  <si>
    <t>Director Supply Chain Management</t>
  </si>
  <si>
    <t>martijn.stapelbroek@merck.com</t>
  </si>
  <si>
    <t>82eca6ed411ca7a206c0fc07de8c72ea</t>
  </si>
  <si>
    <t>Vincent</t>
  </si>
  <si>
    <t>Director Distribution and Logistics EMEA</t>
  </si>
  <si>
    <t>vincent.piepers@abbvie.com</t>
  </si>
  <si>
    <t>10ed59876540b5bcf5b08558e02d178d</t>
  </si>
  <si>
    <t>Henny Landkroon</t>
  </si>
  <si>
    <t>OUS CL Supervisor</t>
  </si>
  <si>
    <t>henny.landkroon@abbvie.com</t>
  </si>
  <si>
    <t>44e8ff31aba931936f573ab939bc5a98</t>
  </si>
  <si>
    <t>Luc Kottink</t>
  </si>
  <si>
    <t>Controller</t>
  </si>
  <si>
    <t>luc.kottink@abbvie.com</t>
  </si>
  <si>
    <t>e8877e737828ef2c54ccd447fd152c6b</t>
  </si>
  <si>
    <t>Bas Groenwold</t>
  </si>
  <si>
    <t>Supply Chain Planning manager</t>
  </si>
  <si>
    <t>bas.groenwold@abbvie.com</t>
  </si>
  <si>
    <t>837daca05676ed459157c549b6adbe6b</t>
  </si>
  <si>
    <t>Marieke Sellies</t>
  </si>
  <si>
    <t>Director OUS CL</t>
  </si>
  <si>
    <t>marieke.sellies@abbvie.com</t>
  </si>
  <si>
    <t>d7bf6a4f67947156187f042d5600355e</t>
  </si>
  <si>
    <t>Corey Campbell</t>
  </si>
  <si>
    <t>Banks Holdings Ltd.</t>
  </si>
  <si>
    <t>Barbados</t>
  </si>
  <si>
    <t>ccampbell@ab-inbev.com</t>
  </si>
  <si>
    <t>01a997334e01acd27c2e613f20643d95</t>
  </si>
  <si>
    <t>Kaitlin DiBernard</t>
  </si>
  <si>
    <t>Supply Chain Management</t>
  </si>
  <si>
    <t>Merck</t>
  </si>
  <si>
    <t>kaitlin.dibernard@merck.com</t>
  </si>
  <si>
    <t>868013b6d3fba1519633cc50c9f8b025</t>
  </si>
  <si>
    <t>Walter Verhoef</t>
  </si>
  <si>
    <t xml:space="preserve">Distribution manager </t>
  </si>
  <si>
    <t>walter.verhoef@abbvie.com</t>
  </si>
  <si>
    <t>343a787d46c423f2d5550196c2d465ed</t>
  </si>
  <si>
    <t xml:space="preserve">Maikel den Ouden </t>
  </si>
  <si>
    <t xml:space="preserve">Supply Chain &amp; Logistics Manager </t>
  </si>
  <si>
    <t>De Monchy International BV</t>
  </si>
  <si>
    <t>mdenouden@monchy.com</t>
  </si>
  <si>
    <t>d9f399bfc9774cefece8c8123066c61e</t>
  </si>
  <si>
    <t>Rob Lindeboom</t>
  </si>
  <si>
    <t>Sr. Brand Manager, Supply Chain</t>
  </si>
  <si>
    <t>rob.lindeboom@abbvie.com</t>
  </si>
  <si>
    <t>667c575daf1eeb9425de48c25186b752</t>
  </si>
  <si>
    <t>Janco van der Heiden</t>
  </si>
  <si>
    <t>Vice President Pon.Bike Operations</t>
  </si>
  <si>
    <t>Pon.Bike</t>
  </si>
  <si>
    <t>janco.van.der.heiden@pon.com</t>
  </si>
  <si>
    <t>822384285254cbcf4cb713e94db5309e</t>
  </si>
  <si>
    <t>dennis.feige@pon.com</t>
  </si>
  <si>
    <t>36f4d295815a0eadec8cbfefd6a9879f</t>
  </si>
  <si>
    <t>Marcel van der Loos</t>
  </si>
  <si>
    <t>BSH huishoudapparaten BV</t>
  </si>
  <si>
    <t>marcel.vanderloos@bshg.com</t>
  </si>
  <si>
    <t>9d3558fe9c97a34df37c6b364ad8c702</t>
  </si>
  <si>
    <t>Max Bosselaar</t>
  </si>
  <si>
    <t>Head of Operations</t>
  </si>
  <si>
    <t>mbosselaar@cervelo.com</t>
  </si>
  <si>
    <t>14c6872a769f7f6a8a60f37301332d51</t>
  </si>
  <si>
    <t>Martijn van den Brom</t>
  </si>
  <si>
    <t>Hoofd Logistiek</t>
  </si>
  <si>
    <t>Ikazia ziekenhuis</t>
  </si>
  <si>
    <t>martijnvandenbrom@hotmail.nl</t>
  </si>
  <si>
    <t>5f8849cd79d8ff3c28db5c6add101f37</t>
  </si>
  <si>
    <t>Luc Perebooms</t>
  </si>
  <si>
    <t>manager staf logistiek</t>
  </si>
  <si>
    <t>technische unie</t>
  </si>
  <si>
    <t>l.perebooms@technischeunie.com</t>
  </si>
  <si>
    <t>64af62df0667e46bff5b3349a908b9a5</t>
  </si>
  <si>
    <t>Marijn van Renselaar</t>
  </si>
  <si>
    <t>m.vanrenselaar@gazelle.nl</t>
  </si>
  <si>
    <t>ca5c256bea3296aeb3a2c0b9c94278b3</t>
  </si>
  <si>
    <t xml:space="preserve">Karolis Keblikas </t>
  </si>
  <si>
    <t>Pon.bike</t>
  </si>
  <si>
    <t>Lithuania</t>
  </si>
  <si>
    <t>karolis.keblikas@pon.com</t>
  </si>
  <si>
    <t>98bc6abd7d53d028635dc17472958965</t>
  </si>
  <si>
    <t>joppe de minjer</t>
  </si>
  <si>
    <t>S&amp;OP manager</t>
  </si>
  <si>
    <t>joppe.de.minjer@pon.com</t>
  </si>
  <si>
    <t>5105d6bcb14bbf155e7d32d10ac62ee9</t>
  </si>
  <si>
    <t>Martijn van den Brom2</t>
  </si>
  <si>
    <t>Hoofd Centraal Magazijn</t>
  </si>
  <si>
    <t>m.vanden.brom@ikazia.nl</t>
  </si>
  <si>
    <t>a546a47cba33a8aaae3c13dcba98acdc</t>
  </si>
  <si>
    <t>robert van etten</t>
  </si>
  <si>
    <t>director customer service</t>
  </si>
  <si>
    <t>robert.vanetten@bshg.com</t>
  </si>
  <si>
    <t>79498e8f8945604e02da73d4f2171319</t>
  </si>
  <si>
    <t>Rosanne Brandt - van Rijnsbergen</t>
  </si>
  <si>
    <t>Stafmedewerker logistiek</t>
  </si>
  <si>
    <t>logistiek@ikazia.nl</t>
  </si>
  <si>
    <t>e345ba978f0dbfa01044bd9908cd8728</t>
  </si>
  <si>
    <t>evert kloppers</t>
  </si>
  <si>
    <t>global supply chain manager</t>
  </si>
  <si>
    <t>Vecos Europe BV</t>
  </si>
  <si>
    <t>evert.kloppers@vecos.com</t>
  </si>
  <si>
    <t>fed1a2ff8613406d9c19704b8c3d36f1</t>
  </si>
  <si>
    <t>Geert Verhelle</t>
  </si>
  <si>
    <t>Plant Manager</t>
  </si>
  <si>
    <t>geert.verhelle@vibrantz.com</t>
  </si>
  <si>
    <t>00c5b2cbba45e099e2eae49eeb038457</t>
  </si>
  <si>
    <t>Juan van den Anker</t>
  </si>
  <si>
    <t>Global S&amp;OP Manager Pon.Bike</t>
  </si>
  <si>
    <t>juan.van.den.anker@pon.com</t>
  </si>
  <si>
    <t>1caa77c97a131eb00200f62f9121cb04</t>
  </si>
  <si>
    <t>Emmanuel Marinho</t>
  </si>
  <si>
    <t>VP Ops</t>
  </si>
  <si>
    <t>France</t>
  </si>
  <si>
    <t>emmanuel.marinho@vibrantz.com</t>
  </si>
  <si>
    <t>33da25f0b0527885daeea1b674a310cf</t>
  </si>
  <si>
    <t>Leander Nuij</t>
  </si>
  <si>
    <t>director S&amp;OP</t>
  </si>
  <si>
    <t>leander.nuij@cannondale.com</t>
  </si>
  <si>
    <t>db7353faf5a637e5bd24027efe422a80</t>
  </si>
  <si>
    <t>Miguel A. de la Fuente</t>
  </si>
  <si>
    <t xml:space="preserve">Multisite Plant Manager </t>
  </si>
  <si>
    <t>miguelangel.delafuente@vibrantz.com</t>
  </si>
  <si>
    <t>48bc4ce7e0ca8c9924e86550883d2b65</t>
  </si>
  <si>
    <t>Pascal van Noort</t>
  </si>
  <si>
    <t>Director Sales/Marketing MDA ERT</t>
  </si>
  <si>
    <t>pascal.vannoort@bshg.com</t>
  </si>
  <si>
    <t>557dd0ae5cd18eaa0e3a31afbfa10bd1</t>
  </si>
  <si>
    <t>Robert van Seumeren</t>
  </si>
  <si>
    <t>Director KRT</t>
  </si>
  <si>
    <t>robert.vanseumeren@bshg.com</t>
  </si>
  <si>
    <t>a4b9eb406f00d8f3f44c0a71c0ca7fec</t>
  </si>
  <si>
    <t>Raimond Lony</t>
  </si>
  <si>
    <t>Global Demand Manager - Colorants</t>
  </si>
  <si>
    <t>raimond.lony@vibrantz.com</t>
  </si>
  <si>
    <t>2af3678cac9bfee3a3b4bbafbff3412f</t>
  </si>
  <si>
    <t xml:space="preserve">Yolanda </t>
  </si>
  <si>
    <t xml:space="preserve">Regional procurement manager </t>
  </si>
  <si>
    <t>yolanda.peris@vibrantz.com</t>
  </si>
  <si>
    <t>1fb759fe9647549d7f3e4bafc454af47</t>
  </si>
  <si>
    <t>Liesbeth Pel</t>
  </si>
  <si>
    <t>BSH Huishoudapparaten BV</t>
  </si>
  <si>
    <t>liesbeth.pel@bshg.com</t>
  </si>
  <si>
    <t>7c97fe7ee9b53c7fabba5ae92293bca8</t>
  </si>
  <si>
    <t>Gerco Oosterink</t>
  </si>
  <si>
    <t>Director Global Supply Chain &amp; Outsourcing</t>
  </si>
  <si>
    <t>gerco.oosterink@pon.com</t>
  </si>
  <si>
    <t>581693cd9c2456e74b98ba08c87d7588</t>
  </si>
  <si>
    <t>Jozef Gallot</t>
  </si>
  <si>
    <t xml:space="preserve">Director of Supply Chain - EMEA </t>
  </si>
  <si>
    <t>Fastenal Europe</t>
  </si>
  <si>
    <t>jgallot@fastenal.com</t>
  </si>
  <si>
    <t>b665eaf95faf0bd02033e4cdac7e419d</t>
  </si>
  <si>
    <t>pieter.vernooij@pon.com</t>
  </si>
  <si>
    <t>b951def646f5b73fb73a12c21a86784b</t>
  </si>
  <si>
    <t>Darius Paval</t>
  </si>
  <si>
    <t>Development Director</t>
  </si>
  <si>
    <t>Dedeman</t>
  </si>
  <si>
    <t>Romania</t>
  </si>
  <si>
    <t>dariuspaval@dedeman.ro</t>
  </si>
  <si>
    <t>49016a4b5e19e57905947f05d355a8ff</t>
  </si>
  <si>
    <t>Joeri Kamp</t>
  </si>
  <si>
    <t>Vecos</t>
  </si>
  <si>
    <t>joeri.kamp@vecos.com</t>
  </si>
  <si>
    <t>8eb295b548553976af6aa60abb19f2ad</t>
  </si>
  <si>
    <t>camilo</t>
  </si>
  <si>
    <t>Supply CHain Manager</t>
  </si>
  <si>
    <t>Kelly Deli</t>
  </si>
  <si>
    <t>camilo.vargas@kellydeli.com</t>
  </si>
  <si>
    <t>4c5c5b67b06912e702c8d050b83fcc07</t>
  </si>
  <si>
    <t>Jeroen Berning</t>
  </si>
  <si>
    <t>Business Manager</t>
  </si>
  <si>
    <t>Ames</t>
  </si>
  <si>
    <t>jeroen.berning@ames-europe.com</t>
  </si>
  <si>
    <t>672e25dc8f4dd61cecaf3fbf99644e40</t>
  </si>
  <si>
    <t>Alberto Hausmann</t>
  </si>
  <si>
    <t>Modula</t>
  </si>
  <si>
    <t>Italy</t>
  </si>
  <si>
    <t>alberto.hausmann@modula.com</t>
  </si>
  <si>
    <t>ec177cd284657937fbe68f428ddbef3c</t>
  </si>
  <si>
    <t>Folkert Folkerts</t>
  </si>
  <si>
    <t>Business Risk Manager</t>
  </si>
  <si>
    <t>Atos</t>
  </si>
  <si>
    <t>folkert.folkerts@atos.net</t>
  </si>
  <si>
    <t>bc833c0df0155ecf6cfb90e46248ebf1</t>
  </si>
  <si>
    <t>Casper Hondema</t>
  </si>
  <si>
    <t>24 ICE</t>
  </si>
  <si>
    <t>casper@24ice.com</t>
  </si>
  <si>
    <t>5b98937593b4190b63b02c32fed07f6b</t>
  </si>
  <si>
    <t>bram. van.noort@enercon.de</t>
  </si>
  <si>
    <t>bussines development manager</t>
  </si>
  <si>
    <t>enercon</t>
  </si>
  <si>
    <t>bbvannoort@gmail.com</t>
  </si>
  <si>
    <t>6a8fe2947436ff31fed70ee2ae5a0525</t>
  </si>
  <si>
    <t>Euan Granger</t>
  </si>
  <si>
    <t>Morgan Sindall Construction</t>
  </si>
  <si>
    <t>United Kingdom</t>
  </si>
  <si>
    <t>euan.granger@morgansindall.com</t>
  </si>
  <si>
    <t>44e4718a31d5e79dfd189e05c7896484</t>
  </si>
  <si>
    <t>Gilles van Soest</t>
  </si>
  <si>
    <t>Associate Consultant</t>
  </si>
  <si>
    <t>RPP Group</t>
  </si>
  <si>
    <t>glvansoest@gmail.com</t>
  </si>
  <si>
    <t>d6eb10c3207705279f8dc55c0c756074</t>
  </si>
  <si>
    <t>L. Eenkhoorn</t>
  </si>
  <si>
    <t>PersoneelSelectief</t>
  </si>
  <si>
    <t>leo@personeelselectief.nl</t>
  </si>
  <si>
    <t>8cd31f36555667b14febc4cb1a2c9b5e</t>
  </si>
  <si>
    <t>Jan Jaap van Soest</t>
  </si>
  <si>
    <t>Head of Business Process Management</t>
  </si>
  <si>
    <t>ASML</t>
  </si>
  <si>
    <t>janjaap.van.soest@asml.com</t>
  </si>
  <si>
    <t>67a253594e75c6b609e78fe8834aea79</t>
  </si>
  <si>
    <t>Nikoleta</t>
  </si>
  <si>
    <t>The Pod Company</t>
  </si>
  <si>
    <t>nikoleta@podcompany.com</t>
  </si>
  <si>
    <t>b128a45a4fcf8c1dfa99903030033942</t>
  </si>
  <si>
    <t>Violeta Ochea</t>
  </si>
  <si>
    <t>Head of Controlling</t>
  </si>
  <si>
    <t>Deutsche Bahn Cargo Romania</t>
  </si>
  <si>
    <t>violeta.ochea@gmail.com</t>
  </si>
  <si>
    <t>7cdaf13c55c8db13bbbbd67f5a1b4a25</t>
  </si>
  <si>
    <t>Alexandru Dobre</t>
  </si>
  <si>
    <t>Managing Partner</t>
  </si>
  <si>
    <t>Bluesolution SRL</t>
  </si>
  <si>
    <t>alexandru@bluid.eu</t>
  </si>
  <si>
    <t>01a641608b09964216a90ced799b20bb</t>
  </si>
  <si>
    <t>Fleur Koster</t>
  </si>
  <si>
    <t>Head of Internal Audit</t>
  </si>
  <si>
    <t>fleur.koster@asml.com</t>
  </si>
  <si>
    <t>00e95f9f86224e113be7a7520ee1e753</t>
  </si>
  <si>
    <t>Johannes Meindertsma</t>
  </si>
  <si>
    <t>Districon</t>
  </si>
  <si>
    <t>johannes.meindertsma@districon.com</t>
  </si>
  <si>
    <t>f25f1edb2cf92cea549d20964367abde</t>
  </si>
  <si>
    <t xml:space="preserve">Daan Siebelink </t>
  </si>
  <si>
    <t>Civil law notary</t>
  </si>
  <si>
    <t xml:space="preserve">Tap &amp; van Hoff notarissen </t>
  </si>
  <si>
    <t>daan.siebelink@outlook.com</t>
  </si>
  <si>
    <t>2958fa56b8620ad6e4ca1156fd3908cb</t>
  </si>
  <si>
    <t>Lars Piest</t>
  </si>
  <si>
    <t>Vepa</t>
  </si>
  <si>
    <t>l.piest@vepa.nl</t>
  </si>
  <si>
    <t>f9edbc2cc78cedb04afa66c8c149d53b</t>
  </si>
  <si>
    <t xml:space="preserve">Digna </t>
  </si>
  <si>
    <t>Huisarts</t>
  </si>
  <si>
    <t xml:space="preserve">Huisartsenpraktijk Vechtrijk </t>
  </si>
  <si>
    <t>dgooiker@huisartsvechtrijk.nl</t>
  </si>
  <si>
    <t>db0883db95678e668b9fefce12213d75</t>
  </si>
  <si>
    <t>Louis Wesseling</t>
  </si>
  <si>
    <t>Founder en CMO</t>
  </si>
  <si>
    <t>Salsa Shop</t>
  </si>
  <si>
    <t>frederique60@hotmail.com</t>
  </si>
  <si>
    <t>0e9e371863fc19b7c9903d763c4b1cc9</t>
  </si>
  <si>
    <t>Jop Korstjens</t>
  </si>
  <si>
    <t>Klantenservicemedewerker KPN Sales</t>
  </si>
  <si>
    <t>jopkorstjens@gmail.com</t>
  </si>
  <si>
    <t>ad94ae675e629fc44c515203e7be28b9</t>
  </si>
  <si>
    <t>Dirk-Jan Prins</t>
  </si>
  <si>
    <t>van wijk nederland bv</t>
  </si>
  <si>
    <t>d.j.prins@vwnl.com</t>
  </si>
  <si>
    <t>e85123f90845b412428ac694cf0d03bc</t>
  </si>
  <si>
    <t>Anouk</t>
  </si>
  <si>
    <t>Praktijkmanager</t>
  </si>
  <si>
    <t>agnade@huisartsvechtrijk.nl</t>
  </si>
  <si>
    <t>9b672e4823166dcf49c678172321c26a</t>
  </si>
  <si>
    <t>Lieke van Noort</t>
  </si>
  <si>
    <t>employee</t>
  </si>
  <si>
    <t>Boot groningen</t>
  </si>
  <si>
    <t>liekevannoort8@gmail.com</t>
  </si>
  <si>
    <t>6646c45d5b922b6b3879fa1f6e5d271e</t>
  </si>
  <si>
    <t>Stijn Lammers</t>
  </si>
  <si>
    <t>intern</t>
  </si>
  <si>
    <t>236107@buas.nl</t>
  </si>
  <si>
    <t>f0627674d57920c176b8e986272b50ee</t>
  </si>
  <si>
    <t>Astrid van Noort</t>
  </si>
  <si>
    <t>Contractmanager F&amp;B</t>
  </si>
  <si>
    <t>Radboud Universiteit</t>
  </si>
  <si>
    <t>astrid.vannoort@ru.nl</t>
  </si>
  <si>
    <t>07c3399f0d664f62ee57e2351d2d3b5d</t>
  </si>
  <si>
    <t>Elart Zondag</t>
  </si>
  <si>
    <t>Logistic coordinator North-West Europe &amp; Benelux</t>
  </si>
  <si>
    <t>Enercon</t>
  </si>
  <si>
    <t>elart.zondag@enercon.de</t>
  </si>
  <si>
    <t>2c9df1006cf1f24fa42ebc098bc020f9</t>
  </si>
  <si>
    <t>vers</t>
  </si>
  <si>
    <t>consultant supply chain and ASCM trainer</t>
  </si>
  <si>
    <t>AGILEA</t>
  </si>
  <si>
    <t>xavier.vers@gmail.com</t>
  </si>
  <si>
    <t>40dc59cb52dbf9aee0af7e61205a8c3a</t>
  </si>
  <si>
    <t xml:space="preserve">Blessing Uririe </t>
  </si>
  <si>
    <t xml:space="preserve">Supply Chain Analyst </t>
  </si>
  <si>
    <t xml:space="preserve">Grundfos </t>
  </si>
  <si>
    <t>dominicmev@gmail.com</t>
  </si>
  <si>
    <t>06346414b72ba37674661627c4d24891</t>
  </si>
  <si>
    <t>osadolor edmund omokaro</t>
  </si>
  <si>
    <t>Operation officer</t>
  </si>
  <si>
    <t>All Round shipping BV</t>
  </si>
  <si>
    <t>osadoloredmundo@gmail.com</t>
  </si>
  <si>
    <t>7fe3ba370a5d662ac5e608a417e59f0b</t>
  </si>
  <si>
    <t>Yen Le</t>
  </si>
  <si>
    <t>Business Analyst</t>
  </si>
  <si>
    <t>TECO CDC B.V</t>
  </si>
  <si>
    <t>yenthihoangle@gmail.com</t>
  </si>
  <si>
    <t>ab4ac6977372dc4fe48e63a8a8ad2836</t>
  </si>
  <si>
    <t>Gerlof Tempelman</t>
  </si>
  <si>
    <t>Manager Agro</t>
  </si>
  <si>
    <t>gerlof.tempelman@avebe.com</t>
  </si>
  <si>
    <t>37a8afa0a97a040e0e20768f922525bb</t>
  </si>
  <si>
    <t>Dirk Duijmelinck</t>
  </si>
  <si>
    <t>General Manager</t>
  </si>
  <si>
    <t>De Wit B.V.</t>
  </si>
  <si>
    <t>dd@dewit-helmond.nl</t>
  </si>
  <si>
    <t>fbd99a17568ee604755ace9048c9a340</t>
  </si>
  <si>
    <t>Audrey Root-Muskee</t>
  </si>
  <si>
    <t>Senior Manager Supply Chain EMEA</t>
  </si>
  <si>
    <t>Apex Tool Group BV</t>
  </si>
  <si>
    <t>audrey.root@apextoolgroup.com</t>
  </si>
  <si>
    <t>5fa8dcb2672bb2bac00d5ae1b2caed32</t>
  </si>
  <si>
    <t>Q Marseille</t>
  </si>
  <si>
    <t>Sr. Supply Chain Planner</t>
  </si>
  <si>
    <t>Intertoys</t>
  </si>
  <si>
    <t>quirijn.mar@gmail.com</t>
  </si>
  <si>
    <t>92d9f1094583076eb57ef79e14524583</t>
  </si>
  <si>
    <t>Hendrickx</t>
  </si>
  <si>
    <t>EU Customs Maager</t>
  </si>
  <si>
    <t>Versuni Netherlands BV</t>
  </si>
  <si>
    <t>rob.hendrickx@versuni.com</t>
  </si>
  <si>
    <t>b0c3325ea082af3bfe4a701f34ce988d</t>
  </si>
  <si>
    <t>8d33391d976eaa702ffaee50c6cd040d</t>
  </si>
  <si>
    <t>Bert Pierik</t>
  </si>
  <si>
    <t>Director Integrated Business Planning</t>
  </si>
  <si>
    <t>bert.pierik.nl@gmail.com</t>
  </si>
  <si>
    <t>5940011b5fd1b69e906ba7a15b5064e9</t>
  </si>
  <si>
    <t>Bert Pierik (2)</t>
  </si>
  <si>
    <t>611abb95c65bc6d7b337e8e838d9150a</t>
  </si>
  <si>
    <t>Bram</t>
  </si>
  <si>
    <t>inkoop</t>
  </si>
  <si>
    <t>Welvaere</t>
  </si>
  <si>
    <t>orders@welvaere.nl</t>
  </si>
  <si>
    <t>7e463d911cb53ec65187380151125d50</t>
  </si>
  <si>
    <t>Jan Zagers</t>
  </si>
  <si>
    <t>Head of Procurement</t>
  </si>
  <si>
    <t>Zehnder Group Zwolle B.V.</t>
  </si>
  <si>
    <t>jan.zagers@zehndergroup.com</t>
  </si>
  <si>
    <t>6f4e145989c1ed85f1f2b3738dc5f05d</t>
  </si>
  <si>
    <t>Mariette Vogelaar</t>
  </si>
  <si>
    <t>Procurement Project Coordinator</t>
  </si>
  <si>
    <t>mariette.vogelaar@zehndergroup.com</t>
  </si>
  <si>
    <t>e5a6d5868d8b4f2b8c080bb85bc81cbc</t>
  </si>
  <si>
    <t>Gerko van Leussen</t>
  </si>
  <si>
    <t>gerko.vanleussen@zehndergroup.com</t>
  </si>
  <si>
    <t>9d3122553dfe1cca77be37737b446a01</t>
  </si>
  <si>
    <t>Rob Brinker</t>
  </si>
  <si>
    <t>Manager Engineering</t>
  </si>
  <si>
    <t>rob.brinker@zehndergroup.com</t>
  </si>
  <si>
    <t>42073d9ddb7cbe91711bc248c011f97f</t>
  </si>
  <si>
    <t>Roland van de Kerkhof</t>
  </si>
  <si>
    <t>Lecturer</t>
  </si>
  <si>
    <t>Tilburg University</t>
  </si>
  <si>
    <t>r.m.vdkerkhof@tilburguniversity.edu</t>
  </si>
  <si>
    <t>9a75ae089463e8aa5fc71166009bacb9</t>
  </si>
  <si>
    <t>Niels Prins</t>
  </si>
  <si>
    <t>BCI</t>
  </si>
  <si>
    <t>prins.niels@outlook.com</t>
  </si>
  <si>
    <t>3669853279b80a606fe2080211a35152</t>
  </si>
  <si>
    <t>Ann</t>
  </si>
  <si>
    <t>Scm</t>
  </si>
  <si>
    <t>Nope</t>
  </si>
  <si>
    <t>anncuypers.kat@gmail.com</t>
  </si>
  <si>
    <t>ec1246515b04c3e82cd223e6c6e09d40</t>
  </si>
  <si>
    <t>Roel Posthoorn</t>
  </si>
  <si>
    <t>Jr. Project Buyer</t>
  </si>
  <si>
    <t>roel.posthoorn@zehndergroup.com</t>
  </si>
  <si>
    <t>afb09b481242d4aa29987ece3f7531e6</t>
  </si>
  <si>
    <t>Rick Brinksma</t>
  </si>
  <si>
    <t>Junior Project Buyer</t>
  </si>
  <si>
    <t>rick.brinksma@zehndergroup.com</t>
  </si>
  <si>
    <t>96d4217dad049429c64837ce3e8198c8</t>
  </si>
  <si>
    <t>Bianca van Dusseldorp</t>
  </si>
  <si>
    <t>Project Buyer</t>
  </si>
  <si>
    <t>bianca.vandusseldorp@zehndergroup.com</t>
  </si>
  <si>
    <t>8fa4ad182bf50afcabc14d7c587b4786</t>
  </si>
  <si>
    <t>Melissa ten Hove</t>
  </si>
  <si>
    <t>Continuous Improvement Coordinator</t>
  </si>
  <si>
    <t>melissa.tenhove@zehndergroup.com</t>
  </si>
  <si>
    <t>676cb620efbc99eb3ea6299c9c03fcb1</t>
  </si>
  <si>
    <t>Nynke Floor</t>
  </si>
  <si>
    <t>Directeur Operations</t>
  </si>
  <si>
    <t>nynke.floor@zehndergroup.com</t>
  </si>
  <si>
    <t>19881b4e82d637a51f79260eb3c75e9a</t>
  </si>
  <si>
    <t>Gert Wiersema</t>
  </si>
  <si>
    <t>gert.wiersema@zehndergroup.com</t>
  </si>
  <si>
    <t>b128d12533fa29fe03bcc5729dbebd51</t>
  </si>
  <si>
    <t>Tim Koers</t>
  </si>
  <si>
    <t>Head of Quality</t>
  </si>
  <si>
    <t>tim.koers@zehndergroup.com</t>
  </si>
  <si>
    <t>ebdd104a5d706e27a60aad9dc055067b</t>
  </si>
  <si>
    <t>Bas</t>
  </si>
  <si>
    <t>Supply chain medewerker</t>
  </si>
  <si>
    <t>b01e5f56b0a23ac72b2794e77e335fa4</t>
  </si>
  <si>
    <t>Mitch Hazelof</t>
  </si>
  <si>
    <t>Supply Chain Consultant</t>
  </si>
  <si>
    <t>Solvint</t>
  </si>
  <si>
    <t>mitch_hazelof@hotmail.com</t>
  </si>
  <si>
    <t>Fishing and aquaculture</t>
  </si>
  <si>
    <t>0905b577e8d6fda700cd363ae091eb34</t>
  </si>
  <si>
    <t>Ruben</t>
  </si>
  <si>
    <t>TrayPlant</t>
  </si>
  <si>
    <t>ruben@trayplant.nl</t>
  </si>
  <si>
    <t>a0c489e3b2f4cbe15efdf0d174afccb4</t>
  </si>
  <si>
    <t>Remko van Hove</t>
  </si>
  <si>
    <t>directeur/ eigenaar</t>
  </si>
  <si>
    <t>YongLi Holland BV</t>
  </si>
  <si>
    <t>r.vanhove@yonglibelting.com</t>
  </si>
  <si>
    <t>915051b3e03401350e11a016440631aa</t>
  </si>
  <si>
    <t>Jeroen Entes</t>
  </si>
  <si>
    <t>YONGLI Belting</t>
  </si>
  <si>
    <t>j.entes@yonglibelting.com</t>
  </si>
  <si>
    <t>536f93ae916ad1046d8dd26d39a02027</t>
  </si>
  <si>
    <t>Bas Barendrecht</t>
  </si>
  <si>
    <t>Project manager</t>
  </si>
  <si>
    <t>b.barendrecht@yonglibelting.com</t>
  </si>
  <si>
    <t>6c6c54af558e223c0ec4df3f97d0c8fd</t>
  </si>
  <si>
    <t>Nic Dufoort</t>
  </si>
  <si>
    <t>Supply Chain director</t>
  </si>
  <si>
    <t>Poppies Bakeries</t>
  </si>
  <si>
    <t>nic.dufoort@poppies.com</t>
  </si>
  <si>
    <t>c9f9a7c67f3d33cb9635865cf7769d67</t>
  </si>
  <si>
    <t>Wouter van der Heijden</t>
  </si>
  <si>
    <t>Lotus Bakeries</t>
  </si>
  <si>
    <t>w.vanderheijden@yahoo.com</t>
  </si>
  <si>
    <t>c0c385e338aa59136f9dd5c617e70b86</t>
  </si>
  <si>
    <t>Ilse Claus</t>
  </si>
  <si>
    <t>Procurement Director</t>
  </si>
  <si>
    <t>Dossche Mills</t>
  </si>
  <si>
    <t>ilseclaus@hotmail.com</t>
  </si>
  <si>
    <t>a9fdc4d12f93dceae655b8843640992c</t>
  </si>
  <si>
    <t>Anaïs Van de Walle</t>
  </si>
  <si>
    <t>Supply chain &amp; Operations Portfolio Manager</t>
  </si>
  <si>
    <t>Agristo</t>
  </si>
  <si>
    <t>anais.vandewalle@agristo.com</t>
  </si>
  <si>
    <t>b4da9271a10a26c5b97939529ecedd04</t>
  </si>
  <si>
    <t>Jeroen Verstraeten/Roeland Rombaut</t>
  </si>
  <si>
    <t>Supply Chain/Operations</t>
  </si>
  <si>
    <t>Vandemoortele</t>
  </si>
  <si>
    <t>tom.de.visscher@chronion.com</t>
  </si>
  <si>
    <t>eca54e9f2b8107318c2fa323521fde35</t>
  </si>
  <si>
    <t>Mathilde Duthoit</t>
  </si>
  <si>
    <t>SC Operations Manager</t>
  </si>
  <si>
    <t>Paulig</t>
  </si>
  <si>
    <t>mathilde.duthoit@paulig.com</t>
  </si>
  <si>
    <t>91cb3b1f6496a643d39e69b28ac70a0a</t>
  </si>
  <si>
    <t>TCCC SCR2 AMERICAS 2025 Team 5</t>
  </si>
  <si>
    <t>nshuman@coca-cola.com</t>
  </si>
  <si>
    <t>fe6bf5c73c5342e4f9749e6661200dc8</t>
  </si>
  <si>
    <t>Supraja Sharma</t>
  </si>
  <si>
    <t>Coca-Cola</t>
  </si>
  <si>
    <t>suprsharma@coca-cola.com</t>
  </si>
  <si>
    <t>6f51ca8c3333632eaa4bbf221c52d805</t>
  </si>
  <si>
    <t>TCCC SCR2 EMEA 2025 Team 3</t>
  </si>
  <si>
    <t>Bottler Perspective</t>
  </si>
  <si>
    <t>Thainamthip Bottlers</t>
  </si>
  <si>
    <t>cmureverwi@coca-cola.com</t>
  </si>
  <si>
    <t>3f1b30492affa136ca527f66ed1e1cd2</t>
  </si>
  <si>
    <t>Colm Carney</t>
  </si>
  <si>
    <t xml:space="preserve">BCP -  Supply Chain </t>
  </si>
  <si>
    <t>Coca Cola</t>
  </si>
  <si>
    <t>ccarney@coca-cola.com</t>
  </si>
  <si>
    <t>6c99c06a74db6e619d5250093fdf85b1</t>
  </si>
  <si>
    <t>Christian</t>
  </si>
  <si>
    <t>SC Manager</t>
  </si>
  <si>
    <t>CCEP</t>
  </si>
  <si>
    <t>cleipold@ccep.com</t>
  </si>
  <si>
    <t>81829b56352bc53d542e9189e2e8111f</t>
  </si>
  <si>
    <t>TCCC SCR2 AMERICAS 2025 Team 3</t>
  </si>
  <si>
    <t>jamieclark@coca-cola.com</t>
  </si>
  <si>
    <t>1e28a8be2fb9e580f1cf653a8358a1ae</t>
  </si>
  <si>
    <t>Haitham Cherif</t>
  </si>
  <si>
    <t xml:space="preserve">P&amp;L </t>
  </si>
  <si>
    <t>Atlantic Industries</t>
  </si>
  <si>
    <t>hcherif@coca-cola.com</t>
  </si>
  <si>
    <t>af315c308349438b3ab676786e2ecd0e</t>
  </si>
  <si>
    <t>Emma Boman</t>
  </si>
  <si>
    <t>emma.boman@paulig.com</t>
  </si>
  <si>
    <t>f403101181f2d973bf152e9415202568</t>
  </si>
  <si>
    <t>Valerie Demeyer</t>
  </si>
  <si>
    <t>Head of planning</t>
  </si>
  <si>
    <t>valerie.demeyer@paulig.com</t>
  </si>
  <si>
    <t>12d7a5ce4369614d6ee4084f6e806d43</t>
  </si>
  <si>
    <t>Sophie Young</t>
  </si>
  <si>
    <t>sophie.young@paulig.com</t>
  </si>
  <si>
    <t>32e00969401ad3e162058d97c85637ae</t>
  </si>
  <si>
    <t>Jasper van Leeuwen</t>
  </si>
  <si>
    <t>KATA Global Logistics</t>
  </si>
  <si>
    <t>jasper.vanleeuwen@katagloballogistics.com</t>
  </si>
  <si>
    <t>Air transport</t>
  </si>
  <si>
    <t>93295533af2bd67280ad43c01fcd6c2d</t>
  </si>
  <si>
    <t>Jędrzej</t>
  </si>
  <si>
    <t>Charlamwpociz</t>
  </si>
  <si>
    <t>Uni Morski</t>
  </si>
  <si>
    <t>j.charlampowicz@wznj.umg.edu.pl</t>
  </si>
  <si>
    <t>8ce0ee6978a4f63a9fe9bcf6f4d39731</t>
  </si>
  <si>
    <t>Jin Peng</t>
  </si>
  <si>
    <t>Technical University of Munich</t>
  </si>
  <si>
    <t>793177315@qq.com</t>
  </si>
  <si>
    <t>ccaa0044d404fa3a790cf75123905dc1</t>
  </si>
  <si>
    <t>Tuomas Pokkinen</t>
  </si>
  <si>
    <t>tuomas.pokkinen@paulig.com</t>
  </si>
  <si>
    <t>8a958b25c3d681c2ff641be013f43116</t>
  </si>
  <si>
    <t>Maarten Nijland</t>
  </si>
  <si>
    <t>Technology Innovation Manager</t>
  </si>
  <si>
    <t>Veco</t>
  </si>
  <si>
    <t>mnijland@idexcorp.com</t>
  </si>
  <si>
    <t>a65fd874b14d561b07bdbd9d5cba1ada</t>
  </si>
  <si>
    <t>Nicolas Hildenbrand</t>
  </si>
  <si>
    <t>R&amp;D</t>
  </si>
  <si>
    <t>nhildenbrand@idexcorp.com</t>
  </si>
  <si>
    <t>95b908dce399d8944ff0fdb1d3184494</t>
  </si>
  <si>
    <t>W. Jansen</t>
  </si>
  <si>
    <t>wjansen@idexcorp.com</t>
  </si>
  <si>
    <t>eaeb6688884cbff31836231cf87cca45</t>
  </si>
  <si>
    <t xml:space="preserve">Rob Schuffel </t>
  </si>
  <si>
    <t>rschuffel@idexcorp.com</t>
  </si>
  <si>
    <t>24a34260772d041d32cf7152703663cf</t>
  </si>
  <si>
    <t>H. Travlos</t>
  </si>
  <si>
    <t>Royal Avebe</t>
  </si>
  <si>
    <t>harry.travlos@avebe.com</t>
  </si>
  <si>
    <t>618fc36d7e4d013ab2648036aa091254</t>
  </si>
  <si>
    <t>Marco Kusters</t>
  </si>
  <si>
    <t>Director Business &amp; Technology Innovation</t>
  </si>
  <si>
    <t>mkusters@idexcorp.com</t>
  </si>
  <si>
    <t>bc0e37243fb1785b46937b0b19e20445</t>
  </si>
  <si>
    <t>Mark Insall</t>
  </si>
  <si>
    <t>Sales Director</t>
  </si>
  <si>
    <t>minsall@idexcorp.com</t>
  </si>
  <si>
    <t>d28757da07de2036136962ce7bc0ba7b</t>
  </si>
  <si>
    <t>Iwan-Erik Post</t>
  </si>
  <si>
    <t>Mqanager QHSE</t>
  </si>
  <si>
    <t>ipost@idexcorp.com</t>
  </si>
  <si>
    <t>93593deb3261e815eace7d8f5745b745</t>
  </si>
  <si>
    <t>Ruud Breukink</t>
  </si>
  <si>
    <t>CI Manager</t>
  </si>
  <si>
    <t>rbreukink@idexcorp.com</t>
  </si>
  <si>
    <t>0a67b7e5c7072a8164a08efb07ce33e8</t>
  </si>
  <si>
    <t>Roberto Jankie</t>
  </si>
  <si>
    <t>Productiemanager</t>
  </si>
  <si>
    <t>rjankie@idexcorp.com</t>
  </si>
  <si>
    <t>b369bfd8e79a6ab6bbba9b1145c11619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</si>
</sst>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1" applyFill="1" applyBorder="1"/>
    <xf numFmtId="0" fontId="7" fillId="3" borderId="0" xfId="0" applyFont="1" applyFill="1"/>
    <xf numFmtId="0" fontId="0" fillId="4" borderId="0" xfId="0" applyFill="1"/>
    <xf numFmtId="0" fontId="0" fillId="5" borderId="0" xfId="0" applyFill="1"/>
    <xf numFmtId="0" fontId="7" fillId="6" borderId="0" xfId="0" applyFont="1" applyFill="1"/>
    <xf numFmtId="0" fontId="3" fillId="0" borderId="0" xfId="1" applyBorder="1"/>
    <xf numFmtId="0" fontId="1" fillId="2" borderId="3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4" xfId="0" applyFont="1" applyFill="1" applyBorder="1"/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49" fontId="4" fillId="0" borderId="0" xfId="0" applyNumberFormat="1" applyFont="1"/>
    <xf numFmtId="0" fontId="4" fillId="0" borderId="0" xfId="0" quotePrefix="1" applyFont="1"/>
    <xf numFmtId="0" fontId="5" fillId="0" borderId="0" xfId="0" applyFont="1"/>
    <xf numFmtId="17" fontId="0" fillId="0" borderId="0" xfId="0" quotePrefix="1" applyNumberFormat="1"/>
    <xf numFmtId="0" fontId="3" fillId="0" borderId="0" xfId="1" applyFill="1" applyBorder="1" applyAlignment="1"/>
    <xf numFmtId="16" fontId="0" fillId="0" borderId="0" xfId="0" quotePrefix="1" applyNumberFormat="1"/>
    <xf numFmtId="17" fontId="0" fillId="0" borderId="0" xfId="0" applyNumberFormat="1"/>
    <xf numFmtId="16" fontId="4" fillId="0" borderId="0" xfId="0" quotePrefix="1" applyNumberFormat="1" applyFont="1"/>
    <xf numFmtId="16" fontId="4" fillId="0" borderId="0" xfId="0" applyNumberFormat="1" applyFont="1"/>
    <xf numFmtId="17" fontId="4" fillId="0" borderId="0" xfId="0" quotePrefix="1" applyNumberFormat="1" applyFont="1"/>
    <xf numFmtId="11" fontId="4" fillId="0" borderId="0" xfId="0" applyNumberFormat="1" applyFont="1"/>
    <xf numFmtId="17" fontId="4" fillId="0" borderId="0" xfId="0" applyNumberFormat="1" applyFont="1"/>
    <xf numFmtId="0" fontId="0" fillId="7" borderId="0" xfId="0" applyFill="1"/>
    <xf numFmtId="16" fontId="0" fillId="0" borderId="0" xfId="0" applyNumberFormat="1"/>
    <xf numFmtId="11" fontId="0" fillId="0" borderId="0" xfId="0" applyNumberFormat="1"/>
    <xf numFmtId="0" fontId="4" fillId="7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352">
    <dxf>
      <border diagonalUp="0" diagonalDown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theme="9" tint="0.39997558519241921"/>
        </left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AE184-51B3-42BB-B116-CFC7045D2B0B}" name="Tabel1" displayName="Tabel1" ref="A2:FW567" headerRowDxfId="351" tableBorderDxfId="350">
  <autoFilter ref="A2:FW567" xr:uid="{9F1AE184-51B3-42BB-B116-CFC7045D2B0B}"/>
  <sortState xmlns:xlrd2="http://schemas.microsoft.com/office/spreadsheetml/2017/richdata2" ref="A3:FW563">
    <sortCondition ref="A2:A563"/>
  </sortState>
  <tableColumns count="179">
    <tableColumn id="1" xr3:uid="{DDB9EF95-3812-46D5-9432-3AD7D3EFCB8C}" name="SubmitDate" totalsRowLabel="Totaal" dataDxfId="349"/>
    <tableColumn id="2" xr3:uid="{CB2F1AFA-D448-494A-A126-525E62F0FA2E}" name="ReportSent" dataDxfId="348"/>
    <tableColumn id="3" xr3:uid="{D814F5A6-0ADA-4A25-BF48-FEFC90AF64DC}" name="Name:" dataDxfId="347" totalsRowDxfId="346"/>
    <tableColumn id="4" xr3:uid="{EC2414BE-3538-451E-B41C-6E238114921F}" name="Function:" dataDxfId="345" totalsRowDxfId="344"/>
    <tableColumn id="5" xr3:uid="{0BD706BB-2493-4F30-9A78-3021F1520E3C}" name="Company name:" dataDxfId="343" totalsRowDxfId="342"/>
    <tableColumn id="179" xr3:uid="{F1AB5439-9469-489C-8D94-A267F56F37F6}" name="Country" totalsRowDxfId="341"/>
    <tableColumn id="6" xr3:uid="{50D0F6F1-9D44-4CB0-8372-120C362C9972}" name="E-mail address" dataDxfId="340" totalsRowDxfId="339"/>
    <tableColumn id="7" xr3:uid="{D05D8239-D86C-4C4B-851F-421AA44B35DD}" name="Version" dataDxfId="338" totalsRowDxfId="337"/>
    <tableColumn id="8" xr3:uid="{1257A0EA-F9F7-43D1-9131-38776D86564B}" name="Sector" dataDxfId="336"/>
    <tableColumn id="9" xr3:uid="{CD280BB0-6D2F-4D29-922C-600CF278980A}" name="Subsector" dataDxfId="335"/>
    <tableColumn id="10" xr3:uid="{BC053368-5A87-4EE4-B2A2-E093846993D0}" name="Size (number of employees)" dataDxfId="334" totalsRowDxfId="333"/>
    <tableColumn id="11" xr3:uid="{68DC4C6B-DEC8-498D-B43A-01C578BDBADD}" name="Value strategy" dataDxfId="332" totalsRowDxfId="331"/>
    <tableColumn id="12" xr3:uid="{E3ACEEC9-EF4D-482A-891E-D596DD8AED8C}" name="Where is the power in the chain?" dataDxfId="330" totalsRowDxfId="329"/>
    <tableColumn id="13" xr3:uid="{9C5EAABA-A6FC-4F3B-8281-711FC9D4B395}" name="Position in the value chain" dataDxfId="328" totalsRowDxfId="327"/>
    <tableColumn id="14" xr3:uid="{180EAC9B-A99C-42F3-A739-2B8F3B0AF9EC}" name="B2B-B2C?" dataDxfId="326" totalsRowDxfId="325"/>
    <tableColumn id="15" xr3:uid="{11519EFF-906C-4209-8D6A-E78D6ABDEBC2}" name="# competitors" dataDxfId="324"/>
    <tableColumn id="16" xr3:uid="{5B024D4C-318A-4578-B074-000ADF31B2CF}" name="# suppliers" dataDxfId="323" totalsRowDxfId="322"/>
    <tableColumn id="17" xr3:uid="{837AF525-EC72-4FE7-9FA9-26AD4FBAF8FB}" name="# customers" dataDxfId="321" totalsRowDxfId="320"/>
    <tableColumn id="18" xr3:uid="{787A6156-62B7-4B82-B82D-BFE38CD425E1}" name="# products-SKUs" dataDxfId="319" totalsRowDxfId="318"/>
    <tableColumn id="19" xr3:uid="{5741F0B9-39AE-47EC-8948-1054F953E999}" name="Customer order decoupling point" dataDxfId="317" totalsRowDxfId="316"/>
    <tableColumn id="20" xr3:uid="{95C1C338-3ED3-4616-A0CA-99A5CCC21F69}" name="Culture" dataDxfId="315" totalsRowDxfId="314"/>
    <tableColumn id="21" xr3:uid="{4B77D1D0-2DB6-4882-80B5-CC1983B29F49}" name="Type of company" dataDxfId="313" totalsRowDxfId="312"/>
    <tableColumn id="22" xr3:uid="{B518EAD9-9335-46A9-91EC-24A095522AE4}" name="Geographical footprint supply network" dataDxfId="311" totalsRowDxfId="310"/>
    <tableColumn id="23" xr3:uid="{0BE2E426-C0E0-4297-ABAA-F53B5B378EF2}" name="Geographical footprint customers" dataDxfId="309" totalsRowDxfId="308"/>
    <tableColumn id="24" xr3:uid="{1C4BB8F5-1CB7-4BBD-B226-8BBD1E91460F}" name="Up - R1a" dataDxfId="307" totalsRowDxfId="306"/>
    <tableColumn id="25" xr3:uid="{FC4C9427-CB61-4110-A898-77238F46CAB8}" name="Up - R1b" dataDxfId="305" totalsRowDxfId="304"/>
    <tableColumn id="26" xr3:uid="{4506322B-55C2-4A4F-BA22-9B530BE97C3A}" name="Up - R1c" dataDxfId="303" totalsRowDxfId="302"/>
    <tableColumn id="27" xr3:uid="{9913A88C-86C5-48CA-9DA5-2F2A7BAD87CD}" name="Up - R1" dataDxfId="301" totalsRowDxfId="300">
      <calculatedColumnFormula>IFERROR(AVERAGE(Tabel1[[#This Row],[Up - R1a]:[Up - R1c]]),"")</calculatedColumnFormula>
    </tableColumn>
    <tableColumn id="28" xr3:uid="{2FC86EEA-D3FE-4765-A42E-2C646EF20F10}" name="Up - R2" dataDxfId="299" totalsRowDxfId="298"/>
    <tableColumn id="29" xr3:uid="{634360D0-FE58-434B-91AF-BCB3289D268B}" name="Up - R3" dataDxfId="297" totalsRowDxfId="296"/>
    <tableColumn id="30" xr3:uid="{03C62C4D-E356-40F2-AD74-9036C41CBB06}" name="Up - R4" dataDxfId="295" totalsRowDxfId="294"/>
    <tableColumn id="31" xr3:uid="{A5E145C9-7DCC-44CF-903E-AE1D94A3F276}" name="Up - R5" dataDxfId="293" totalsRowDxfId="292"/>
    <tableColumn id="32" xr3:uid="{8235EED5-FD65-4A14-94F1-4DE0010F5628}" name="Up - R" dataDxfId="291">
      <calculatedColumnFormula>IFERROR(AVERAGE(Tabel1[[#This Row],[Up - R1]:[Up - R5]]),"")</calculatedColumnFormula>
    </tableColumn>
    <tableColumn id="33" xr3:uid="{A0F03CAA-671F-4256-9E7B-D8CB4EAA9928}" name="Up - C1a" dataDxfId="290" totalsRowDxfId="289"/>
    <tableColumn id="34" xr3:uid="{9A03AEE6-9E57-40FD-ACB3-810F268352A2}" name="Up - C1b" dataDxfId="288" totalsRowDxfId="287"/>
    <tableColumn id="35" xr3:uid="{D6186CFF-42AF-40BC-90D9-D1165963CA4F}" name="Up - C1c" dataDxfId="286" totalsRowDxfId="285"/>
    <tableColumn id="36" xr3:uid="{4B79455D-09AE-42AA-A94F-ED5FEFC59855}" name="Up - C1" dataDxfId="284" totalsRowDxfId="283">
      <calculatedColumnFormula>IFERROR(AVERAGE(Tabel1[[#This Row],[Up - C1a]:[Up - C1c]]),"")</calculatedColumnFormula>
    </tableColumn>
    <tableColumn id="37" xr3:uid="{DDA28863-A061-4063-BC7C-631F0231F5AC}" name="Up - C2" dataDxfId="282" totalsRowDxfId="281"/>
    <tableColumn id="38" xr3:uid="{71922BB4-EAE8-4ADC-B3DB-9D5EFD5FC9F6}" name="Up - C3" dataDxfId="280" totalsRowDxfId="279"/>
    <tableColumn id="39" xr3:uid="{39FC2846-664E-4EAD-9D10-35FB26CA903B}" name="Up - C4" dataDxfId="278" totalsRowDxfId="277"/>
    <tableColumn id="40" xr3:uid="{AE4AA77E-D177-4341-80CA-079D15A280CF}" name="Up - C" dataDxfId="276" totalsRowDxfId="275">
      <calculatedColumnFormula>IFERROR(AVERAGE(Tabel1[[#This Row],[Up - C1]:[Up - C4]]),"")</calculatedColumnFormula>
    </tableColumn>
    <tableColumn id="41" xr3:uid="{06339CAE-EF44-4B12-90DA-6C0228AC65B9}" name="Up - F1a" dataDxfId="274" totalsRowDxfId="273"/>
    <tableColumn id="42" xr3:uid="{1050951C-92FE-4484-901A-CD9237A56617}" name="Up - F1" dataDxfId="272" totalsRowDxfId="271">
      <calculatedColumnFormula>IFERROR(AVERAGE(Tabel1[[#This Row],[Up - F1a]:[Up - F1a]]),"")</calculatedColumnFormula>
    </tableColumn>
    <tableColumn id="43" xr3:uid="{8CA13EC4-3241-4A9E-A8A3-755AA440ADC1}" name="Up - F2a" dataDxfId="270" totalsRowDxfId="269"/>
    <tableColumn id="44" xr3:uid="{5C611C3D-E05C-499C-9299-4005494B3010}" name="Up - F2b" dataDxfId="268" totalsRowDxfId="267"/>
    <tableColumn id="45" xr3:uid="{585673E3-4A1A-4FFF-B2D6-C1ECE2EF318D}" name="Up - F2" dataDxfId="266" totalsRowDxfId="265">
      <calculatedColumnFormula>IFERROR(AVERAGE(Tabel1[[#This Row],[Up - F2a]:[Up - F2b]]),"")</calculatedColumnFormula>
    </tableColumn>
    <tableColumn id="46" xr3:uid="{7B85EECE-2852-4798-BE3E-31DCD3297BEB}" name="Up - F3a" dataDxfId="264" totalsRowDxfId="263"/>
    <tableColumn id="47" xr3:uid="{227BF017-3A1D-410A-927C-1426E548E9DA}" name="Up - F3b" dataDxfId="262" totalsRowDxfId="261"/>
    <tableColumn id="48" xr3:uid="{00B63659-F8AE-492B-A7C6-71B39BCAA973}" name="Up - F3" dataDxfId="260" totalsRowDxfId="259">
      <calculatedColumnFormula>IFERROR(AVERAGE(Tabel1[[#This Row],[Up - F3a]:[Up - F3b]]),"")</calculatedColumnFormula>
    </tableColumn>
    <tableColumn id="49" xr3:uid="{BE6426C4-DCBA-4934-9E43-712B437B109B}" name="Up - F4" dataDxfId="258" totalsRowDxfId="257"/>
    <tableColumn id="50" xr3:uid="{D137E20B-8A33-4330-B7DA-8BCD266A68B7}" name="Up - F" dataDxfId="256" totalsRowDxfId="255">
      <calculatedColumnFormula>IFERROR(AVERAGE(Tabel1[[#This Row],[Up - F1]],Tabel1[[#This Row],[Up - F2]],Tabel1[[#This Row],[Up - F3]],Tabel1[[#This Row],[Up - F4]]),"")</calculatedColumnFormula>
    </tableColumn>
    <tableColumn id="51" xr3:uid="{5F4E51D0-9539-4C00-B441-468C8FF1F7E2}" name="Up - V1a" dataDxfId="254" totalsRowDxfId="253"/>
    <tableColumn id="52" xr3:uid="{6D4305F4-8A34-4AE2-95CE-FC6BCBEF0B4E}" name="Up - V1b" dataDxfId="252" totalsRowDxfId="251"/>
    <tableColumn id="53" xr3:uid="{1CD81A91-5975-4B16-B160-DF92CC0804BB}" name="Up - V1" dataDxfId="250" totalsRowDxfId="249">
      <calculatedColumnFormula>IFERROR(AVERAGE(Tabel1[[#This Row],[Up - V1a]:[Up - V1b]]),"")</calculatedColumnFormula>
    </tableColumn>
    <tableColumn id="54" xr3:uid="{796A649B-FDC7-4C12-A7D7-24467E09893E}" name="Up - V2a" dataDxfId="248" totalsRowDxfId="247"/>
    <tableColumn id="55" xr3:uid="{E9A4D221-E0FD-4974-9653-508F4B1212FD}" name="Up - V2b" dataDxfId="246" totalsRowDxfId="245"/>
    <tableColumn id="56" xr3:uid="{B92EA837-F3B5-4338-896E-9A10A9FC5257}" name="Up - V2c" dataDxfId="244" totalsRowDxfId="243"/>
    <tableColumn id="57" xr3:uid="{2CF25B2C-DB62-4846-8B2F-44CF706989F1}" name="Up - V2" dataDxfId="242" totalsRowDxfId="241">
      <calculatedColumnFormula>IFERROR(AVERAGE(Tabel1[[#This Row],[Up - V2a]:[Up - V2c]]),"")</calculatedColumnFormula>
    </tableColumn>
    <tableColumn id="58" xr3:uid="{B907D41B-0A96-4B7B-8383-E574B08BA169}" name="Up - V3a" dataDxfId="240" totalsRowDxfId="239"/>
    <tableColumn id="59" xr3:uid="{3FA51BF7-0B92-4A91-93AF-354178889FF8}" name="Up - V3b" dataDxfId="238" totalsRowDxfId="237"/>
    <tableColumn id="60" xr3:uid="{81071F55-690D-4730-B56F-10B9ADFB8E14}" name="Up - V3" dataDxfId="236" totalsRowDxfId="235">
      <calculatedColumnFormula>IFERROR(AVERAGE(Tabel1[[#This Row],[Up - V3a]:[Up - V3b]]),"")</calculatedColumnFormula>
    </tableColumn>
    <tableColumn id="61" xr3:uid="{E7B9884B-E1F0-4995-AB27-9CF530EC3ECC}" name="Up - V4" dataDxfId="234" totalsRowDxfId="233"/>
    <tableColumn id="62" xr3:uid="{0234A4FC-7997-4FC0-ACAD-D7FE2C539E9F}" name="Up - V" dataDxfId="232" totalsRowDxfId="231">
      <calculatedColumnFormula>IFERROR(AVERAGE(Tabel1[[#This Row],[Up - V1]],Tabel1[[#This Row],[Up - V2]],Tabel1[[#This Row],[Up - V3]],Tabel1[[#This Row],[Up - V4]]),"")</calculatedColumnFormula>
    </tableColumn>
    <tableColumn id="63" xr3:uid="{3B9A3519-24B3-4C03-AE2A-6363F1D2E214}" name="Up - A1a" dataDxfId="230" totalsRowDxfId="229"/>
    <tableColumn id="64" xr3:uid="{C64CCA80-4AB8-44DC-ADA5-D9E7A11CBA01}" name="Up - A1b" dataDxfId="228" totalsRowDxfId="227"/>
    <tableColumn id="65" xr3:uid="{C62F74C9-DE12-4709-B7AA-79289AD1FCAD}" name="Up - A1c" dataDxfId="226" totalsRowDxfId="225"/>
    <tableColumn id="66" xr3:uid="{D1B8552D-5B8C-4DDB-B383-C80EC6FDBE43}" name="Up - A1d" dataDxfId="224" totalsRowDxfId="223"/>
    <tableColumn id="67" xr3:uid="{1BD3A949-0ED5-48B1-A179-E8E55166ABA7}" name="Up - A1" dataDxfId="222" totalsRowDxfId="221">
      <calculatedColumnFormula>IFERROR(AVERAGE(Tabel1[[#This Row],[Up - A1a]:[Up - A1d]]),"")</calculatedColumnFormula>
    </tableColumn>
    <tableColumn id="68" xr3:uid="{35CA6FE9-6AF7-456B-AAA4-985A81D86506}" name="Up - A2a" dataDxfId="220" totalsRowDxfId="219"/>
    <tableColumn id="69" xr3:uid="{BDE69AED-193C-4DDC-864E-4DE37248AB98}" name="Up - A2b" dataDxfId="218" totalsRowDxfId="217"/>
    <tableColumn id="70" xr3:uid="{EDA26529-9C25-4BBB-9C6C-788248417757}" name="Up - A2" dataDxfId="216" totalsRowDxfId="215">
      <calculatedColumnFormula>IFERROR(AVERAGE(Tabel1[[#This Row],[Up - A2a]:[Up - A2b]]),"")</calculatedColumnFormula>
    </tableColumn>
    <tableColumn id="71" xr3:uid="{73B3778D-9749-4D0D-991E-D45D1F5923AA}" name="Up - A3a" dataDxfId="214" totalsRowDxfId="213"/>
    <tableColumn id="72" xr3:uid="{C9C89B6F-146E-439B-9816-2A630420F3BB}" name="Up - A3" dataDxfId="212" totalsRowDxfId="211">
      <calculatedColumnFormula>IFERROR(AVERAGE(Tabel1[[#This Row],[Up - A3a]:[Up - A3a]]),"")</calculatedColumnFormula>
    </tableColumn>
    <tableColumn id="73" xr3:uid="{C8AC64CD-5D47-4918-BA49-EB765E93D4D5}" name="Up - A4" dataDxfId="210" totalsRowDxfId="209"/>
    <tableColumn id="74" xr3:uid="{8B9838FD-17D1-4470-BF36-51B39955F860}" name="Up - A" dataDxfId="208" totalsRowDxfId="207">
      <calculatedColumnFormula>IFERROR(AVERAGE(Tabel1[[#This Row],[Up - A1]],Tabel1[[#This Row],[Up - A2]],Tabel1[[#This Row],[Up - A3]]),"")</calculatedColumnFormula>
    </tableColumn>
    <tableColumn id="75" xr3:uid="{903B8BA2-A64B-46FE-A80F-A3D12E24F580}" name="In - R1a" dataDxfId="206" totalsRowDxfId="205"/>
    <tableColumn id="76" xr3:uid="{1673401E-C8CD-43A0-BA6A-9B16F7EB80D7}" name="In - R1b" dataDxfId="204" totalsRowDxfId="203"/>
    <tableColumn id="77" xr3:uid="{762B03F6-0053-41C8-B379-A94CEFDE15ED}" name="In - R1" dataDxfId="202" totalsRowDxfId="201">
      <calculatedColumnFormula>IFERROR(AVERAGE(Tabel1[[#This Row],[In - R1a]:[In - R1b]]),"")</calculatedColumnFormula>
    </tableColumn>
    <tableColumn id="78" xr3:uid="{E423B85B-8253-4561-9830-1570BB7B7D2A}" name="In - R2" dataDxfId="200" totalsRowDxfId="199"/>
    <tableColumn id="79" xr3:uid="{DC332A1E-6BAC-481F-A24A-DE4B3A12775B}" name="In - R3" dataDxfId="198" totalsRowDxfId="197"/>
    <tableColumn id="80" xr3:uid="{D9C00A44-3124-4C2A-83F4-1B3D82DFB9A2}" name="In - R4" dataDxfId="196" totalsRowDxfId="195"/>
    <tableColumn id="81" xr3:uid="{26BC2775-39A1-410C-A088-2F633852908F}" name="In - R5" dataDxfId="194" totalsRowDxfId="193"/>
    <tableColumn id="82" xr3:uid="{12DE5B78-B3D2-4BCF-B37E-55A979299A80}" name="In - R" dataDxfId="192" totalsRowDxfId="191">
      <calculatedColumnFormula>IFERROR(AVERAGE(Tabel1[[#This Row],[In - R1]:[In - R5]]),"")</calculatedColumnFormula>
    </tableColumn>
    <tableColumn id="83" xr3:uid="{EA199AAE-E8D2-4A80-A85F-64F75B791847}" name="In - C1a" dataDxfId="190" totalsRowDxfId="189"/>
    <tableColumn id="84" xr3:uid="{67A400CF-B45C-4E3D-ACB5-B213B2A015F9}" name="In - C1b" dataDxfId="188" totalsRowDxfId="187"/>
    <tableColumn id="85" xr3:uid="{C3494AA9-0238-4F1C-AB85-3B3FECBFA335}" name="In - C1c" dataDxfId="186" totalsRowDxfId="185"/>
    <tableColumn id="86" xr3:uid="{FF05F62B-F2CF-49FB-931A-7EC8087C956E}" name="In - C1" dataDxfId="184" totalsRowDxfId="183">
      <calculatedColumnFormula>IFERROR(AVERAGE(Tabel1[[#This Row],[In - C1a]:[In - C1c]]),"")</calculatedColumnFormula>
    </tableColumn>
    <tableColumn id="87" xr3:uid="{EE72EDCF-DB29-4831-8958-A29A3AC53CF7}" name="In - C2" dataDxfId="182" totalsRowDxfId="181"/>
    <tableColumn id="88" xr3:uid="{7419BEB1-6047-4E0C-A6FA-A0354F0A0339}" name="In - C3" dataDxfId="180" totalsRowDxfId="179"/>
    <tableColumn id="89" xr3:uid="{E13A0922-44D8-4CAA-A489-D72E71C95171}" name="In - C4" dataDxfId="178" totalsRowDxfId="177"/>
    <tableColumn id="90" xr3:uid="{E37AF3C3-1631-42DD-A80A-7159FE7BC158}" name="In - C" dataDxfId="176" totalsRowDxfId="175">
      <calculatedColumnFormula>IFERROR(AVERAGE(Tabel1[[#This Row],[In - C1]:[In - C4]]),"")</calculatedColumnFormula>
    </tableColumn>
    <tableColumn id="91" xr3:uid="{728BFDA8-9581-4414-9798-0BAAFCD24929}" name="In - F1a" dataDxfId="174" totalsRowDxfId="173"/>
    <tableColumn id="92" xr3:uid="{8D4B0BF5-74E1-4BDA-A1F1-07C72A78AC3E}" name="In - F1b" dataDxfId="172" totalsRowDxfId="171"/>
    <tableColumn id="93" xr3:uid="{20C85DCC-E3E5-4C78-BF1F-09D7DFE4BB98}" name="In - F1c" dataDxfId="170" totalsRowDxfId="169"/>
    <tableColumn id="94" xr3:uid="{A8C194CC-94D2-47C0-8A1C-99693E7892FF}" name="In - F1" dataDxfId="168" totalsRowDxfId="167">
      <calculatedColumnFormula>IFERROR(AVERAGE(Tabel1[[#This Row],[In - F1a]:[In - F1c]]),"")</calculatedColumnFormula>
    </tableColumn>
    <tableColumn id="95" xr3:uid="{5969B0CF-6252-40A8-AAAD-A1BB3E180A45}" name="In - F2a" dataDxfId="166" totalsRowDxfId="165"/>
    <tableColumn id="96" xr3:uid="{CB22C88E-CA65-4BFF-8ED9-93B1A3E67FB4}" name="In - F2b" dataDxfId="164" totalsRowDxfId="163"/>
    <tableColumn id="97" xr3:uid="{836C88D3-D74F-4621-8FE8-868D0EE8E4A6}" name="In - F2" dataDxfId="162" totalsRowDxfId="161">
      <calculatedColumnFormula>IFERROR(AVERAGE(Tabel1[[#This Row],[In - F2a]:[In - F2b]]),"")</calculatedColumnFormula>
    </tableColumn>
    <tableColumn id="98" xr3:uid="{93D3EFFA-006D-4BEF-B764-742E16BC1FFE}" name="In - F3a" dataDxfId="160" totalsRowDxfId="159"/>
    <tableColumn id="99" xr3:uid="{46886B9C-56BA-4944-80D9-1633F5C14317}" name="In - F3" dataDxfId="158" totalsRowDxfId="157">
      <calculatedColumnFormula>IFERROR(AVERAGE(Tabel1[[#This Row],[In - F3a]:[In - F3a]]),"")</calculatedColumnFormula>
    </tableColumn>
    <tableColumn id="100" xr3:uid="{1B4CB116-59DB-4DB6-A9CF-CC8C99DFDC2C}" name="In - F4" dataDxfId="156" totalsRowDxfId="155"/>
    <tableColumn id="101" xr3:uid="{B4BCBD77-EFCC-4B90-9CED-ACD8BA7BEF38}" name="In - F" dataDxfId="154" totalsRowDxfId="153">
      <calculatedColumnFormula>IFERROR(AVERAGE(Tabel1[[#This Row],[In - F1]],Tabel1[[#This Row],[In - F2]],Tabel1[[#This Row],[In - F3]],Tabel1[[#This Row],[In - F4]]),"")</calculatedColumnFormula>
    </tableColumn>
    <tableColumn id="102" xr3:uid="{1FC11ACA-112D-4E42-83AD-87A03FECE06D}" name="In - V1a" dataDxfId="152" totalsRowDxfId="151"/>
    <tableColumn id="103" xr3:uid="{9E9F611C-8E13-43EC-9215-A4175E3F23EE}" name="In - V1b" dataDxfId="150" totalsRowDxfId="149"/>
    <tableColumn id="104" xr3:uid="{EB3117BA-50E0-4944-A6A6-465B8A51A41E}" name="In - V1c" dataDxfId="148" totalsRowDxfId="147"/>
    <tableColumn id="105" xr3:uid="{8DF61982-AFDC-4ED4-9526-E04F64F39CFE}" name="In - V1" dataDxfId="146" totalsRowDxfId="145">
      <calculatedColumnFormula>IFERROR(AVERAGE(Tabel1[[#This Row],[In - V1a]:[In - V1c]]),"")</calculatedColumnFormula>
    </tableColumn>
    <tableColumn id="106" xr3:uid="{4B208B9D-5B1D-4AE2-8409-69DBDDC44CAD}" name="In - V2a" dataDxfId="144" totalsRowDxfId="143"/>
    <tableColumn id="107" xr3:uid="{5A1BDB2C-BBDA-4F1F-BE77-7F08B605C33A}" name="In - V2b" dataDxfId="142" totalsRowDxfId="141"/>
    <tableColumn id="108" xr3:uid="{7F9B363A-F56B-47F2-BA5D-261A4A129D27}" name="In - V2c" dataDxfId="140" totalsRowDxfId="139"/>
    <tableColumn id="109" xr3:uid="{9D3D9DBD-2D69-4D11-9C07-57139617D96E}" name="In - V2" dataDxfId="138" totalsRowDxfId="137">
      <calculatedColumnFormula>IFERROR(AVERAGE(Tabel1[[#This Row],[In - V2a]:[In - V2c]]),"")</calculatedColumnFormula>
    </tableColumn>
    <tableColumn id="110" xr3:uid="{9B0104F9-FD45-4C67-956B-2D13C62B8B3D}" name="In - V3a" dataDxfId="136" totalsRowDxfId="135"/>
    <tableColumn id="111" xr3:uid="{3BD0D1D5-BE75-46E2-A837-71E49887CAB1}" name="In - V3b" dataDxfId="134" totalsRowDxfId="133"/>
    <tableColumn id="112" xr3:uid="{4B516528-319D-43C9-A4C5-972EF207715E}" name="In - V3" dataDxfId="132" totalsRowDxfId="131">
      <calculatedColumnFormula>IFERROR(AVERAGE(Tabel1[[#This Row],[In - V3a]:[In - V3b]]),"")</calculatedColumnFormula>
    </tableColumn>
    <tableColumn id="113" xr3:uid="{2B25EAB1-8655-48CF-A17C-8C4FB716411A}" name="In - V4" dataDxfId="130" totalsRowDxfId="129"/>
    <tableColumn id="114" xr3:uid="{4AA4415C-E54E-4F33-B972-80B0C7DE9FE8}" name="In - V" dataDxfId="128" totalsRowDxfId="127">
      <calculatedColumnFormula>IFERROR(AVERAGE(Tabel1[[#This Row],[In - V1]],Tabel1[[#This Row],[In - V2]],Tabel1[[#This Row],[In - V3]],Tabel1[[#This Row],[In - V4]]),"")</calculatedColumnFormula>
    </tableColumn>
    <tableColumn id="115" xr3:uid="{F7B16D9D-6E35-4033-AFE9-8BE1EF6CFA6D}" name="In - A1a" dataDxfId="126" totalsRowDxfId="125"/>
    <tableColumn id="116" xr3:uid="{FCFF4711-CD87-4160-802F-5E28486E3E62}" name="In - A1b" dataDxfId="124" totalsRowDxfId="123"/>
    <tableColumn id="117" xr3:uid="{C2C667C3-69CF-45C6-A08B-12A6C77E31E2}" name="In - A1" dataDxfId="122" totalsRowDxfId="121">
      <calculatedColumnFormula>IFERROR(AVERAGE(Tabel1[[#This Row],[In - A1a]:[In - A1b]]),"")</calculatedColumnFormula>
    </tableColumn>
    <tableColumn id="118" xr3:uid="{C419A79D-4081-48AA-8C55-4EC084BE2A8B}" name="In - A2a" dataDxfId="120" totalsRowDxfId="119"/>
    <tableColumn id="119" xr3:uid="{82706D40-C6D9-46A0-AA0A-2D0C19F69A3C}" name="In - A2b" dataDxfId="118" totalsRowDxfId="117"/>
    <tableColumn id="120" xr3:uid="{143A2027-68B3-4E71-BE74-BEDEFDA3F3A2}" name="In - A2" dataDxfId="116" totalsRowDxfId="115">
      <calculatedColumnFormula>IFERROR(AVERAGE(Tabel1[[#This Row],[In - A2a]:[In - A2b]]),"")</calculatedColumnFormula>
    </tableColumn>
    <tableColumn id="121" xr3:uid="{168A846C-1AC3-47C6-AC35-8AF810541011}" name="In - A3a" dataDxfId="114" totalsRowDxfId="113"/>
    <tableColumn id="122" xr3:uid="{98897043-F042-4941-A9A7-380BA8028AC5}" name="In - A3b" dataDxfId="112" totalsRowDxfId="111"/>
    <tableColumn id="123" xr3:uid="{FBC116AA-0BEE-4F40-B26C-30E8C1311156}" name="In - A3" dataDxfId="110" totalsRowDxfId="109">
      <calculatedColumnFormula>IFERROR(AVERAGE(Tabel1[[#This Row],[In - A3a]:[In - A3a]]),"")</calculatedColumnFormula>
    </tableColumn>
    <tableColumn id="124" xr3:uid="{4197C27A-D63D-4BB2-83E0-781F20E37288}" name="In - A4" dataDxfId="108" totalsRowDxfId="107"/>
    <tableColumn id="125" xr3:uid="{01F8A432-B20D-49C8-B16F-5A98FA1D084F}" name="In - A" dataDxfId="106" totalsRowDxfId="105">
      <calculatedColumnFormula>IFERROR(AVERAGE(Tabel1[[#This Row],[In - A1]],Tabel1[[#This Row],[In - A2]],Tabel1[[#This Row],[In - A3]],Tabel1[[#This Row],[In - A4]]),"")</calculatedColumnFormula>
    </tableColumn>
    <tableColumn id="126" xr3:uid="{B543F985-7A7B-4827-9093-6EC56640B6B5}" name="Do - R1a" dataDxfId="104" totalsRowDxfId="103"/>
    <tableColumn id="127" xr3:uid="{6C34A163-D26F-4165-BCD2-18F310632CF8}" name="Do - R1b" dataDxfId="102" totalsRowDxfId="101"/>
    <tableColumn id="128" xr3:uid="{73537AB8-B200-4CDE-A2DA-76CC1AD88391}" name="Do - R1c" dataDxfId="100" totalsRowDxfId="99"/>
    <tableColumn id="129" xr3:uid="{E395E7C8-7C51-46B3-BFE3-106048248F5E}" name="Do - R1" dataDxfId="98" totalsRowDxfId="97">
      <calculatedColumnFormula>IFERROR(AVERAGE(Tabel1[[#This Row],[Do - R1a]:[Do - R1c]]),"")</calculatedColumnFormula>
    </tableColumn>
    <tableColumn id="130" xr3:uid="{860784ED-C90C-4256-B85D-9AD3764E967D}" name="Do - R2" dataDxfId="96" totalsRowDxfId="95"/>
    <tableColumn id="131" xr3:uid="{68DB4A41-C707-43F1-B675-F6DCCD96136C}" name="Do - R3" dataDxfId="94" totalsRowDxfId="93"/>
    <tableColumn id="132" xr3:uid="{5161AB15-25CA-437C-B8D0-48EF980850A9}" name="Do - R4" dataDxfId="92" totalsRowDxfId="91"/>
    <tableColumn id="133" xr3:uid="{3C28BA5D-FE1E-411D-9B79-44449D8A8A14}" name="Do - R5" dataDxfId="90" totalsRowDxfId="89"/>
    <tableColumn id="134" xr3:uid="{4AEC4309-A561-43CC-B037-404F759F5520}" name="Do - R" dataDxfId="88" totalsRowDxfId="87">
      <calculatedColumnFormula>IFERROR(AVERAGE(Tabel1[[#This Row],[Do - R1]:[Do - R5]]),"")</calculatedColumnFormula>
    </tableColumn>
    <tableColumn id="135" xr3:uid="{84DDADA6-0C79-4BD5-A763-2BC165047E0A}" name="Do - C1a" dataDxfId="86" totalsRowDxfId="85"/>
    <tableColumn id="136" xr3:uid="{0BC3B529-516C-40B4-9E69-7482A5B990C3}" name="Do - C1b" dataDxfId="84" totalsRowDxfId="83"/>
    <tableColumn id="137" xr3:uid="{D6B72014-348F-4F3D-AD83-AB26D98E87AA}" name="Do - C1c" dataDxfId="82" totalsRowDxfId="81"/>
    <tableColumn id="138" xr3:uid="{E59165C0-4254-44CC-AF1B-8E9440224FD2}" name="Do - C1" dataDxfId="80" totalsRowDxfId="79">
      <calculatedColumnFormula>IFERROR(AVERAGE(Tabel1[[#This Row],[Do - C1a]:[Do - C1c]]),"")</calculatedColumnFormula>
    </tableColumn>
    <tableColumn id="139" xr3:uid="{38D698C1-F5E1-4A23-BBA9-845679ED8448}" name="Do - C2" dataDxfId="78" totalsRowDxfId="77"/>
    <tableColumn id="140" xr3:uid="{1A470136-EE47-4522-A3B1-90862E097469}" name="Do - C3" dataDxfId="76" totalsRowDxfId="75"/>
    <tableColumn id="141" xr3:uid="{7E0FDE8A-580C-41BC-B22A-11A5010E7453}" name="Do - C4" dataDxfId="74" totalsRowDxfId="73"/>
    <tableColumn id="142" xr3:uid="{C47765D8-76BF-4D01-B11E-BFD3EC99F42A}" name="Do - C" dataDxfId="72" totalsRowDxfId="71">
      <calculatedColumnFormula>IFERROR(AVERAGE(Tabel1[[#This Row],[Do - C1]:[Do - C4]]),"")</calculatedColumnFormula>
    </tableColumn>
    <tableColumn id="143" xr3:uid="{10016227-4287-489C-AB10-04322111458B}" name="Do - F1a" dataDxfId="70" totalsRowDxfId="69"/>
    <tableColumn id="144" xr3:uid="{F17DDDE6-1C2E-4989-930A-F24815BCB6A6}" name="Do - F1b" dataDxfId="68" totalsRowDxfId="67"/>
    <tableColumn id="145" xr3:uid="{BE427810-C551-4BA4-8D7F-5572E477BAC1}" name="Do - F1c" dataDxfId="66" totalsRowDxfId="65"/>
    <tableColumn id="146" xr3:uid="{659F7CB1-DF42-458E-98CB-129FB2B368C5}" name="Do - F1" dataDxfId="64" totalsRowDxfId="63">
      <calculatedColumnFormula>IFERROR(AVERAGE(Tabel1[[#This Row],[Do - F1a]:[Do - F1c]]),"")</calculatedColumnFormula>
    </tableColumn>
    <tableColumn id="147" xr3:uid="{CAEAFCB8-E22B-4697-885C-CA8523481DBF}" name="Do - F2a" dataDxfId="62" totalsRowDxfId="61"/>
    <tableColumn id="148" xr3:uid="{A8229CF5-147B-43FE-B05A-CF9B435A204A}" name="Do - F2" dataDxfId="60" totalsRowDxfId="59">
      <calculatedColumnFormula>IFERROR(AVERAGE(Tabel1[[#This Row],[Do - F2a]:[Do - F2a]]),"")</calculatedColumnFormula>
    </tableColumn>
    <tableColumn id="149" xr3:uid="{01B21036-E604-40EE-B2B9-FF2693CE03EA}" name="Do - F3a" dataDxfId="58" totalsRowDxfId="57"/>
    <tableColumn id="150" xr3:uid="{6E95C398-A28E-4BD8-9D5A-183876237492}" name="Do - F3b" dataDxfId="56" totalsRowDxfId="55"/>
    <tableColumn id="151" xr3:uid="{C4A88DB5-CB93-40D0-A9C0-01B158ADEA18}" name="Do - F3" dataDxfId="54" totalsRowDxfId="53">
      <calculatedColumnFormula>IFERROR(AVERAGE(Tabel1[[#This Row],[Do - F3a]:[Do - F3b]]),"")</calculatedColumnFormula>
    </tableColumn>
    <tableColumn id="152" xr3:uid="{37F8FFC2-846C-4F2E-AC52-9C812A7665B1}" name="Do - F4" dataDxfId="52" totalsRowDxfId="51"/>
    <tableColumn id="153" xr3:uid="{152A790C-3813-4D2D-BBD8-43FDB55514D2}" name="Do - F" dataDxfId="50" totalsRowDxfId="49">
      <calculatedColumnFormula>IFERROR(AVERAGE(Tabel1[[#This Row],[Do - F1]],Tabel1[[#This Row],[Do - F2]],Tabel1[[#This Row],[Do - F3]],Tabel1[[#This Row],[Do - F4]]),"")</calculatedColumnFormula>
    </tableColumn>
    <tableColumn id="154" xr3:uid="{2ED16E0D-0EDD-41E5-B429-6F6FF02D6D36}" name="Do - V1a" dataDxfId="48" totalsRowDxfId="47"/>
    <tableColumn id="155" xr3:uid="{C4805039-6513-499A-A0F7-921E13A0498D}" name="Do - V1b" dataDxfId="46" totalsRowDxfId="45"/>
    <tableColumn id="156" xr3:uid="{257C1138-498A-4096-9C42-CA91905C5BAD}" name="Do - V1c" dataDxfId="44" totalsRowDxfId="43"/>
    <tableColumn id="157" xr3:uid="{F73D7E2D-E16D-46CC-81A3-313FE1865899}" name="Do - V1" dataDxfId="42" totalsRowDxfId="41">
      <calculatedColumnFormula>IFERROR(AVERAGE(Tabel1[[#This Row],[Do - V1a]:[Do - V1c]]),"")</calculatedColumnFormula>
    </tableColumn>
    <tableColumn id="158" xr3:uid="{54D1ADAA-8C16-4FB2-8499-EE8E8D271D24}" name="Do - V2a" dataDxfId="40" totalsRowDxfId="39"/>
    <tableColumn id="159" xr3:uid="{71127468-D154-4E46-BA8F-0B8B871323CE}" name="Do - V2b" dataDxfId="38" totalsRowDxfId="37"/>
    <tableColumn id="160" xr3:uid="{44FAAD7B-8002-447C-B150-880E4CFAF17F}" name="Do - V2" dataDxfId="36" totalsRowDxfId="35">
      <calculatedColumnFormula>IFERROR(AVERAGE(Tabel1[[#This Row],[Do - V2a]:[Do - V2b]]),"")</calculatedColumnFormula>
    </tableColumn>
    <tableColumn id="161" xr3:uid="{FBE96EB9-55B1-4013-8EAE-287CA95CCC13}" name="Do - V3a" dataDxfId="34" totalsRowDxfId="33"/>
    <tableColumn id="162" xr3:uid="{27AEE5C0-8F4D-4C1E-ACC4-2F146D27B4C0}" name="Do - V3" dataDxfId="32" totalsRowDxfId="31">
      <calculatedColumnFormula>IFERROR(AVERAGE(Tabel1[[#This Row],[Do - V3a]:[Do - V3a]]),"")</calculatedColumnFormula>
    </tableColumn>
    <tableColumn id="163" xr3:uid="{BE0257D5-6919-4141-BFF8-6B0F52AD6BF0}" name="Do - V4" dataDxfId="30" totalsRowDxfId="29"/>
    <tableColumn id="164" xr3:uid="{B2DFDB4A-1A88-4339-B009-47AB56C0D816}" name="Do - V" dataDxfId="28" totalsRowDxfId="27">
      <calculatedColumnFormula>IFERROR(AVERAGE(Tabel1[[#This Row],[Do - V1]],Tabel1[[#This Row],[Do - V2]],Tabel1[[#This Row],[Do - V3]],Tabel1[[#This Row],[Do - V4]]),"")</calculatedColumnFormula>
    </tableColumn>
    <tableColumn id="165" xr3:uid="{3D45CA93-9CDF-4EE1-B322-2F1A2D6565B7}" name="Do - A1a" dataDxfId="26" totalsRowDxfId="25"/>
    <tableColumn id="166" xr3:uid="{F349716B-9618-4E98-9E24-6F732D1C5370}" name="Do - A1b" dataDxfId="24" totalsRowDxfId="23"/>
    <tableColumn id="167" xr3:uid="{00947131-4F14-4C24-A4B6-DDF62B550940}" name="Do - A1c" dataDxfId="22" totalsRowDxfId="21"/>
    <tableColumn id="168" xr3:uid="{4EFC2F62-EDA2-470A-B00D-65ED5BA7E80B}" name="Do - A1" dataDxfId="20" totalsRowDxfId="19">
      <calculatedColumnFormula>IFERROR(AVERAGE(Tabel1[[#This Row],[Do - A1a]:[Do - A1c]]),"")</calculatedColumnFormula>
    </tableColumn>
    <tableColumn id="169" xr3:uid="{B02382BA-6874-4877-BAB8-43C7FDC7CF96}" name="Do - A2a" dataDxfId="18" totalsRowDxfId="17"/>
    <tableColumn id="170" xr3:uid="{A4CB1693-03D9-4891-809F-787E7858FA0C}" name="Do - A2b" dataDxfId="16" totalsRowDxfId="15"/>
    <tableColumn id="171" xr3:uid="{A4FAEC83-140E-4E90-8FBA-D1D4333FB1C2}" name="Do - A2" dataDxfId="14" totalsRowDxfId="13">
      <calculatedColumnFormula>IFERROR(AVERAGE(Tabel1[[#This Row],[Do - A2a]:[Do - A2b]]),"")</calculatedColumnFormula>
    </tableColumn>
    <tableColumn id="172" xr3:uid="{C97BB5CB-CE7C-4C2C-9A74-049222CB222B}" name="Do - A3a" dataDxfId="12" totalsRowDxfId="11"/>
    <tableColumn id="173" xr3:uid="{8A0D7F11-6CAC-4DF3-BB20-8B2A48B6D645}" name="Do - A3" dataDxfId="10" totalsRowDxfId="9">
      <calculatedColumnFormula>IFERROR(AVERAGE(Tabel1[[#This Row],[Do - A3a]:[Do - A3a]]),"")</calculatedColumnFormula>
    </tableColumn>
    <tableColumn id="174" xr3:uid="{AC6F3A10-3F75-45C6-96FE-57209E647C34}" name="Do - A4" dataDxfId="8" totalsRowDxfId="7"/>
    <tableColumn id="175" xr3:uid="{2969E9B4-A7DE-4E12-9192-12AE8CD266BA}" name="Do - A" dataDxfId="6" totalsRowDxfId="5">
      <calculatedColumnFormula>IFERROR(AVERAGE(Tabel1[[#This Row],[Do - A1]],Tabel1[[#This Row],[Do - A2]],Tabel1[[#This Row],[Do - A3]],Tabel1[[#This Row],[Do - A4]]),"")</calculatedColumnFormula>
    </tableColumn>
    <tableColumn id="178" xr3:uid="{B8475A86-798C-4856-A32D-557FECE7D13D}" name="Overall SCRes" totalsRowDxfId="4">
      <calculatedColumnFormula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calculatedColumnFormula>
    </tableColumn>
    <tableColumn id="176" xr3:uid="{C1813E48-FBAC-4FD6-9842-4B926548F395}" name="Hash" totalsRowFunction="count" dataDxfId="3" totalsRowDxfId="2"/>
    <tableColumn id="177" xr3:uid="{9AF22C57-3C47-4583-91D3-BB9A4F5FDA92}" name="RowChecked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.grondstoffenmagazijn@nl.motipdupli.com" TargetMode="External"/><Relationship Id="rId13" Type="http://schemas.openxmlformats.org/officeDocument/2006/relationships/hyperlink" Target="mailto:baruch.colthof@hotmail.com" TargetMode="External"/><Relationship Id="rId18" Type="http://schemas.openxmlformats.org/officeDocument/2006/relationships/hyperlink" Target="mailto:mbhadain@coca-cola.com" TargetMode="External"/><Relationship Id="rId26" Type="http://schemas.openxmlformats.org/officeDocument/2006/relationships/hyperlink" Target="mailto:jjc4955@yongmalogis.co.kr" TargetMode="External"/><Relationship Id="rId3" Type="http://schemas.openxmlformats.org/officeDocument/2006/relationships/hyperlink" Target="mailto:t.broeder@agvinternational.com" TargetMode="External"/><Relationship Id="rId21" Type="http://schemas.openxmlformats.org/officeDocument/2006/relationships/hyperlink" Target="mailto:kevin.mulder@alpla.com" TargetMode="External"/><Relationship Id="rId7" Type="http://schemas.openxmlformats.org/officeDocument/2006/relationships/hyperlink" Target="mailto:ronquit@coca-cola.com" TargetMode="External"/><Relationship Id="rId12" Type="http://schemas.openxmlformats.org/officeDocument/2006/relationships/hyperlink" Target="mailto:arjan.muntenga@scania.com" TargetMode="External"/><Relationship Id="rId17" Type="http://schemas.openxmlformats.org/officeDocument/2006/relationships/hyperlink" Target="mailto:ohopkins@coca-cola.com" TargetMode="External"/><Relationship Id="rId25" Type="http://schemas.openxmlformats.org/officeDocument/2006/relationships/hyperlink" Target="mailto:adonoso@ceeo.lat" TargetMode="External"/><Relationship Id="rId2" Type="http://schemas.openxmlformats.org/officeDocument/2006/relationships/hyperlink" Target="mailto:arusbani@gmail.com" TargetMode="External"/><Relationship Id="rId16" Type="http://schemas.openxmlformats.org/officeDocument/2006/relationships/hyperlink" Target="mailto:hajun@coca-cola.com" TargetMode="External"/><Relationship Id="rId20" Type="http://schemas.openxmlformats.org/officeDocument/2006/relationships/hyperlink" Target="mailto:rommel.cruz@coca-cola.com.ph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b.delange@agrifac.com" TargetMode="External"/><Relationship Id="rId6" Type="http://schemas.openxmlformats.org/officeDocument/2006/relationships/hyperlink" Target="mailto:imeza@coca-cola.com" TargetMode="External"/><Relationship Id="rId11" Type="http://schemas.openxmlformats.org/officeDocument/2006/relationships/hyperlink" Target="mailto:a.vonk.noordegraaf@denkavit.nl" TargetMode="External"/><Relationship Id="rId24" Type="http://schemas.openxmlformats.org/officeDocument/2006/relationships/hyperlink" Target="mailto:bhaskad2006@yahoo.co.in" TargetMode="External"/><Relationship Id="rId5" Type="http://schemas.openxmlformats.org/officeDocument/2006/relationships/hyperlink" Target="mailto:wlins@coca-cola.com" TargetMode="External"/><Relationship Id="rId15" Type="http://schemas.openxmlformats.org/officeDocument/2006/relationships/hyperlink" Target="mailto:jan@vanheckbadkamers.nl" TargetMode="External"/><Relationship Id="rId23" Type="http://schemas.openxmlformats.org/officeDocument/2006/relationships/hyperlink" Target="mailto:rian.van.den.bos@corbion.com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mailto:B.vanderboom@auping.com" TargetMode="External"/><Relationship Id="rId19" Type="http://schemas.openxmlformats.org/officeDocument/2006/relationships/hyperlink" Target="mailto:rslag@appliedmedical.com" TargetMode="External"/><Relationship Id="rId4" Type="http://schemas.openxmlformats.org/officeDocument/2006/relationships/hyperlink" Target="mailto:erspann@coca-cola.com" TargetMode="External"/><Relationship Id="rId9" Type="http://schemas.openxmlformats.org/officeDocument/2006/relationships/hyperlink" Target="mailto:d.tuut@nl.motipdupli.com" TargetMode="External"/><Relationship Id="rId14" Type="http://schemas.openxmlformats.org/officeDocument/2006/relationships/hyperlink" Target="mailto:ensingeline@gmail.com" TargetMode="External"/><Relationship Id="rId22" Type="http://schemas.openxmlformats.org/officeDocument/2006/relationships/hyperlink" Target="mailto:jessica.akerberg@promeco.fi" TargetMode="External"/><Relationship Id="rId27" Type="http://schemas.openxmlformats.org/officeDocument/2006/relationships/hyperlink" Target="mailto:stephanies.davis@havi.com" TargetMode="External"/><Relationship Id="rId3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W567"/>
  <sheetViews>
    <sheetView tabSelected="1" zoomScaleNormal="100" workbookViewId="0"/>
  </sheetViews>
  <sheetFormatPr defaultRowHeight="14.4" x14ac:dyDescent="0.3"/>
  <cols>
    <col min="1" max="1" width="13.6640625" bestFit="1" customWidth="1"/>
    <col min="2" max="2" width="17.6640625" customWidth="1"/>
    <col min="3" max="3" width="16.5546875" customWidth="1"/>
    <col min="4" max="4" width="28.44140625" bestFit="1" customWidth="1"/>
    <col min="5" max="5" width="49" customWidth="1"/>
    <col min="6" max="6" width="34.5546875" customWidth="1"/>
    <col min="7" max="7" width="29.44140625" bestFit="1" customWidth="1"/>
    <col min="8" max="8" width="17.44140625" customWidth="1"/>
    <col min="9" max="9" width="21.5546875" customWidth="1"/>
    <col min="10" max="10" width="32.33203125" customWidth="1"/>
    <col min="11" max="11" width="16.44140625" customWidth="1"/>
    <col min="12" max="13" width="30.5546875" bestFit="1" customWidth="1"/>
    <col min="14" max="14" width="56" bestFit="1" customWidth="1"/>
    <col min="15" max="15" width="13" bestFit="1" customWidth="1"/>
    <col min="16" max="16" width="15.5546875" bestFit="1" customWidth="1"/>
    <col min="17" max="17" width="18.44140625" bestFit="1" customWidth="1"/>
    <col min="18" max="22" width="30.5546875" bestFit="1" customWidth="1"/>
    <col min="23" max="23" width="14.5546875" customWidth="1"/>
    <col min="24" max="24" width="13.44140625" customWidth="1"/>
    <col min="25" max="26" width="11" bestFit="1" customWidth="1"/>
    <col min="27" max="27" width="10.5546875" bestFit="1" customWidth="1"/>
    <col min="28" max="31" width="9.5546875" bestFit="1" customWidth="1"/>
    <col min="32" max="32" width="10.5546875" bestFit="1" customWidth="1"/>
    <col min="33" max="33" width="11" bestFit="1" customWidth="1"/>
    <col min="34" max="34" width="10.5546875" bestFit="1" customWidth="1"/>
    <col min="35" max="35" width="11" bestFit="1" customWidth="1"/>
    <col min="36" max="36" width="10.5546875" bestFit="1" customWidth="1"/>
    <col min="37" max="39" width="9.5546875" bestFit="1" customWidth="1"/>
    <col min="40" max="40" width="10.5546875" bestFit="1" customWidth="1"/>
    <col min="41" max="41" width="9.5546875" bestFit="1" customWidth="1"/>
    <col min="42" max="48" width="10.5546875" bestFit="1" customWidth="1"/>
    <col min="49" max="49" width="9.5546875" bestFit="1" customWidth="1"/>
    <col min="50" max="50" width="11" bestFit="1" customWidth="1"/>
    <col min="51" max="51" width="11.44140625" bestFit="1" customWidth="1"/>
    <col min="52" max="52" width="11" bestFit="1" customWidth="1"/>
    <col min="53" max="54" width="11.44140625" bestFit="1" customWidth="1"/>
    <col min="55" max="55" width="11" bestFit="1" customWidth="1"/>
    <col min="56" max="56" width="11.44140625" bestFit="1" customWidth="1"/>
    <col min="57" max="57" width="11" bestFit="1" customWidth="1"/>
    <col min="58" max="58" width="11.44140625" bestFit="1" customWidth="1"/>
    <col min="59" max="59" width="11" bestFit="1" customWidth="1"/>
    <col min="60" max="60" width="11.44140625" bestFit="1" customWidth="1"/>
    <col min="61" max="61" width="10" bestFit="1" customWidth="1"/>
    <col min="62" max="62" width="11" bestFit="1" customWidth="1"/>
    <col min="63" max="63" width="11.44140625" bestFit="1" customWidth="1"/>
    <col min="64" max="64" width="11" bestFit="1" customWidth="1"/>
    <col min="65" max="65" width="11.44140625" bestFit="1" customWidth="1"/>
    <col min="66" max="66" width="10.5546875" bestFit="1" customWidth="1"/>
    <col min="67" max="68" width="11.44140625" bestFit="1" customWidth="1"/>
    <col min="69" max="69" width="11" bestFit="1" customWidth="1"/>
    <col min="70" max="70" width="11.44140625" bestFit="1" customWidth="1"/>
    <col min="71" max="71" width="10" bestFit="1" customWidth="1"/>
    <col min="72" max="72" width="11" bestFit="1" customWidth="1"/>
    <col min="73" max="73" width="10" bestFit="1" customWidth="1"/>
    <col min="74" max="77" width="10.44140625" bestFit="1" customWidth="1"/>
    <col min="82" max="82" width="10" bestFit="1" customWidth="1"/>
    <col min="83" max="83" width="10.44140625" bestFit="1" customWidth="1"/>
    <col min="84" max="84" width="10" bestFit="1" customWidth="1"/>
    <col min="85" max="85" width="10.44140625" bestFit="1" customWidth="1"/>
    <col min="86" max="86" width="9.5546875" bestFit="1" customWidth="1"/>
    <col min="89" max="89" width="9.44140625" bestFit="1" customWidth="1"/>
    <col min="90" max="90" width="9.5546875" bestFit="1" customWidth="1"/>
    <col min="91" max="91" width="10" bestFit="1" customWidth="1"/>
    <col min="92" max="92" width="9.5546875" bestFit="1" customWidth="1"/>
    <col min="93" max="93" width="10" bestFit="1" customWidth="1"/>
    <col min="94" max="94" width="9.5546875" bestFit="1" customWidth="1"/>
    <col min="95" max="95" width="10" bestFit="1" customWidth="1"/>
    <col min="96" max="96" width="9.5546875" bestFit="1" customWidth="1"/>
    <col min="97" max="97" width="10" bestFit="1" customWidth="1"/>
    <col min="99" max="99" width="9.5546875" bestFit="1" customWidth="1"/>
    <col min="100" max="100" width="9.44140625" bestFit="1" customWidth="1"/>
    <col min="101" max="112" width="10.44140625" bestFit="1" customWidth="1"/>
    <col min="113" max="113" width="9.44140625" bestFit="1" customWidth="1"/>
    <col min="114" max="123" width="10.44140625" bestFit="1" customWidth="1"/>
    <col min="125" max="125" width="10.5546875" bestFit="1" customWidth="1"/>
    <col min="126" max="126" width="11" bestFit="1" customWidth="1"/>
    <col min="127" max="127" width="10.5546875" bestFit="1" customWidth="1"/>
    <col min="128" max="128" width="11" bestFit="1" customWidth="1"/>
    <col min="129" max="129" width="10.5546875" bestFit="1" customWidth="1"/>
    <col min="130" max="133" width="9.5546875" bestFit="1" customWidth="1"/>
    <col min="134" max="138" width="10.5546875" bestFit="1" customWidth="1"/>
    <col min="139" max="141" width="9.5546875" bestFit="1" customWidth="1"/>
    <col min="142" max="146" width="10.5546875" bestFit="1" customWidth="1"/>
    <col min="147" max="147" width="9.5546875" bestFit="1" customWidth="1"/>
    <col min="148" max="151" width="10.5546875" bestFit="1" customWidth="1"/>
    <col min="152" max="152" width="9.5546875" bestFit="1" customWidth="1"/>
    <col min="153" max="160" width="11" bestFit="1" customWidth="1"/>
    <col min="161" max="161" width="9.5546875" bestFit="1" customWidth="1"/>
    <col min="162" max="162" width="11" bestFit="1" customWidth="1"/>
    <col min="163" max="163" width="9.5546875" bestFit="1" customWidth="1"/>
    <col min="164" max="164" width="11" bestFit="1" customWidth="1"/>
    <col min="165" max="165" width="11.44140625" bestFit="1" customWidth="1"/>
    <col min="166" max="166" width="11" bestFit="1" customWidth="1"/>
    <col min="167" max="167" width="11.44140625" bestFit="1" customWidth="1"/>
    <col min="168" max="168" width="11" bestFit="1" customWidth="1"/>
    <col min="169" max="169" width="11.44140625" bestFit="1" customWidth="1"/>
    <col min="170" max="170" width="11" bestFit="1" customWidth="1"/>
    <col min="171" max="171" width="11.44140625" bestFit="1" customWidth="1"/>
    <col min="172" max="172" width="10" bestFit="1" customWidth="1"/>
    <col min="173" max="173" width="11" bestFit="1" customWidth="1"/>
    <col min="174" max="175" width="10" bestFit="1" customWidth="1"/>
    <col min="177" max="177" width="11" customWidth="1"/>
    <col min="178" max="178" width="19.5546875" customWidth="1"/>
  </cols>
  <sheetData>
    <row r="1" spans="1:179" x14ac:dyDescent="0.3">
      <c r="C1" t="s">
        <v>0</v>
      </c>
      <c r="D1" s="10" t="s">
        <v>1</v>
      </c>
      <c r="E1" s="11">
        <f>COUNTIF(Tabel1[[#All],[RowChecked]],FALSE)</f>
        <v>0</v>
      </c>
      <c r="F1" s="11"/>
    </row>
    <row r="2" spans="1:179" x14ac:dyDescent="0.3">
      <c r="A2" s="1" t="s">
        <v>2</v>
      </c>
      <c r="B2" s="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s="4" t="s">
        <v>26</v>
      </c>
      <c r="Z2" s="4" t="s">
        <v>27</v>
      </c>
      <c r="AA2" s="4" t="s">
        <v>28</v>
      </c>
      <c r="AB2" s="5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6" t="s">
        <v>34</v>
      </c>
      <c r="AH2" s="4" t="s">
        <v>35</v>
      </c>
      <c r="AI2" s="4" t="s">
        <v>36</v>
      </c>
      <c r="AJ2" s="4" t="s">
        <v>37</v>
      </c>
      <c r="AK2" s="5" t="s">
        <v>38</v>
      </c>
      <c r="AL2" s="4" t="s">
        <v>39</v>
      </c>
      <c r="AM2" s="4" t="s">
        <v>40</v>
      </c>
      <c r="AN2" s="4" t="s">
        <v>41</v>
      </c>
      <c r="AO2" s="6" t="s">
        <v>42</v>
      </c>
      <c r="AP2" s="4" t="s">
        <v>43</v>
      </c>
      <c r="AQ2" s="5" t="s">
        <v>44</v>
      </c>
      <c r="AR2" s="4" t="s">
        <v>45</v>
      </c>
      <c r="AS2" s="4" t="s">
        <v>46</v>
      </c>
      <c r="AT2" s="5" t="s">
        <v>47</v>
      </c>
      <c r="AU2" s="4" t="s">
        <v>48</v>
      </c>
      <c r="AV2" s="4" t="s">
        <v>49</v>
      </c>
      <c r="AW2" s="5" t="s">
        <v>50</v>
      </c>
      <c r="AX2" s="4" t="s">
        <v>51</v>
      </c>
      <c r="AY2" s="6" t="s">
        <v>52</v>
      </c>
      <c r="AZ2" s="4" t="s">
        <v>53</v>
      </c>
      <c r="BA2" s="4" t="s">
        <v>54</v>
      </c>
      <c r="BB2" s="5" t="s">
        <v>55</v>
      </c>
      <c r="BC2" s="4" t="s">
        <v>56</v>
      </c>
      <c r="BD2" s="4" t="s">
        <v>57</v>
      </c>
      <c r="BE2" s="4" t="s">
        <v>58</v>
      </c>
      <c r="BF2" s="5" t="s">
        <v>59</v>
      </c>
      <c r="BG2" s="4" t="s">
        <v>60</v>
      </c>
      <c r="BH2" s="4" t="s">
        <v>61</v>
      </c>
      <c r="BI2" s="5" t="s">
        <v>62</v>
      </c>
      <c r="BJ2" s="4" t="s">
        <v>63</v>
      </c>
      <c r="BK2" s="6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5" t="s">
        <v>69</v>
      </c>
      <c r="BQ2" s="4" t="s">
        <v>70</v>
      </c>
      <c r="BR2" s="4" t="s">
        <v>71</v>
      </c>
      <c r="BS2" s="5" t="s">
        <v>72</v>
      </c>
      <c r="BT2" s="4" t="s">
        <v>73</v>
      </c>
      <c r="BU2" s="5" t="s">
        <v>74</v>
      </c>
      <c r="BV2" s="4" t="s">
        <v>75</v>
      </c>
      <c r="BW2" s="6" t="s">
        <v>76</v>
      </c>
      <c r="BX2" s="7" t="s">
        <v>77</v>
      </c>
      <c r="BY2" s="7" t="s">
        <v>78</v>
      </c>
      <c r="BZ2" s="5" t="s">
        <v>79</v>
      </c>
      <c r="CA2" s="7" t="s">
        <v>80</v>
      </c>
      <c r="CB2" s="7" t="s">
        <v>81</v>
      </c>
      <c r="CC2" s="7" t="s">
        <v>82</v>
      </c>
      <c r="CD2" s="7" t="s">
        <v>83</v>
      </c>
      <c r="CE2" s="6" t="s">
        <v>84</v>
      </c>
      <c r="CF2" s="7" t="s">
        <v>85</v>
      </c>
      <c r="CG2" s="7" t="s">
        <v>86</v>
      </c>
      <c r="CH2" s="7" t="s">
        <v>87</v>
      </c>
      <c r="CI2" s="5" t="s">
        <v>88</v>
      </c>
      <c r="CJ2" s="7" t="s">
        <v>89</v>
      </c>
      <c r="CK2" s="7" t="s">
        <v>90</v>
      </c>
      <c r="CL2" s="7" t="s">
        <v>91</v>
      </c>
      <c r="CM2" s="6" t="s">
        <v>92</v>
      </c>
      <c r="CN2" s="7" t="s">
        <v>93</v>
      </c>
      <c r="CO2" s="7" t="s">
        <v>94</v>
      </c>
      <c r="CP2" s="7" t="s">
        <v>95</v>
      </c>
      <c r="CQ2" s="5" t="s">
        <v>96</v>
      </c>
      <c r="CR2" s="7" t="s">
        <v>97</v>
      </c>
      <c r="CS2" s="7" t="s">
        <v>98</v>
      </c>
      <c r="CT2" s="5" t="s">
        <v>99</v>
      </c>
      <c r="CU2" s="7" t="s">
        <v>100</v>
      </c>
      <c r="CV2" s="5" t="s">
        <v>101</v>
      </c>
      <c r="CW2" s="7" t="s">
        <v>102</v>
      </c>
      <c r="CX2" s="6" t="s">
        <v>103</v>
      </c>
      <c r="CY2" s="7" t="s">
        <v>104</v>
      </c>
      <c r="CZ2" s="7" t="s">
        <v>105</v>
      </c>
      <c r="DA2" s="7" t="s">
        <v>106</v>
      </c>
      <c r="DB2" s="5" t="s">
        <v>107</v>
      </c>
      <c r="DC2" s="7" t="s">
        <v>108</v>
      </c>
      <c r="DD2" s="7" t="s">
        <v>109</v>
      </c>
      <c r="DE2" s="7" t="s">
        <v>110</v>
      </c>
      <c r="DF2" s="5" t="s">
        <v>111</v>
      </c>
      <c r="DG2" s="7" t="s">
        <v>112</v>
      </c>
      <c r="DH2" s="7" t="s">
        <v>113</v>
      </c>
      <c r="DI2" s="5" t="s">
        <v>114</v>
      </c>
      <c r="DJ2" s="7" t="s">
        <v>115</v>
      </c>
      <c r="DK2" s="6" t="s">
        <v>116</v>
      </c>
      <c r="DL2" s="7" t="s">
        <v>117</v>
      </c>
      <c r="DM2" s="7" t="s">
        <v>118</v>
      </c>
      <c r="DN2" s="5" t="s">
        <v>119</v>
      </c>
      <c r="DO2" s="7" t="s">
        <v>120</v>
      </c>
      <c r="DP2" s="7" t="s">
        <v>121</v>
      </c>
      <c r="DQ2" s="5" t="s">
        <v>122</v>
      </c>
      <c r="DR2" s="7" t="s">
        <v>123</v>
      </c>
      <c r="DS2" s="7" t="s">
        <v>124</v>
      </c>
      <c r="DT2" s="5" t="s">
        <v>125</v>
      </c>
      <c r="DU2" s="7" t="s">
        <v>126</v>
      </c>
      <c r="DV2" s="6" t="s">
        <v>127</v>
      </c>
      <c r="DW2" t="s">
        <v>128</v>
      </c>
      <c r="DX2" t="s">
        <v>129</v>
      </c>
      <c r="DY2" t="s">
        <v>130</v>
      </c>
      <c r="DZ2" s="5" t="s">
        <v>131</v>
      </c>
      <c r="EA2" t="s">
        <v>132</v>
      </c>
      <c r="EB2" t="s">
        <v>133</v>
      </c>
      <c r="EC2" t="s">
        <v>134</v>
      </c>
      <c r="ED2" t="s">
        <v>135</v>
      </c>
      <c r="EE2" s="6" t="s">
        <v>136</v>
      </c>
      <c r="EF2" t="s">
        <v>137</v>
      </c>
      <c r="EG2" t="s">
        <v>138</v>
      </c>
      <c r="EH2" t="s">
        <v>139</v>
      </c>
      <c r="EI2" s="5" t="s">
        <v>140</v>
      </c>
      <c r="EJ2" t="s">
        <v>141</v>
      </c>
      <c r="EK2" t="s">
        <v>142</v>
      </c>
      <c r="EL2" t="s">
        <v>143</v>
      </c>
      <c r="EM2" s="6" t="s">
        <v>144</v>
      </c>
      <c r="EN2" t="s">
        <v>145</v>
      </c>
      <c r="EO2" t="s">
        <v>146</v>
      </c>
      <c r="EP2" t="s">
        <v>147</v>
      </c>
      <c r="EQ2" s="5" t="s">
        <v>148</v>
      </c>
      <c r="ER2" t="s">
        <v>149</v>
      </c>
      <c r="ES2" s="5" t="s">
        <v>150</v>
      </c>
      <c r="ET2" t="s">
        <v>151</v>
      </c>
      <c r="EU2" t="s">
        <v>152</v>
      </c>
      <c r="EV2" s="5" t="s">
        <v>153</v>
      </c>
      <c r="EW2" t="s">
        <v>154</v>
      </c>
      <c r="EX2" s="6" t="s">
        <v>155</v>
      </c>
      <c r="EY2" t="s">
        <v>156</v>
      </c>
      <c r="EZ2" t="s">
        <v>157</v>
      </c>
      <c r="FA2" t="s">
        <v>158</v>
      </c>
      <c r="FB2" s="5" t="s">
        <v>159</v>
      </c>
      <c r="FC2" t="s">
        <v>160</v>
      </c>
      <c r="FD2" t="s">
        <v>161</v>
      </c>
      <c r="FE2" s="5" t="s">
        <v>162</v>
      </c>
      <c r="FF2" t="s">
        <v>163</v>
      </c>
      <c r="FG2" s="5" t="s">
        <v>164</v>
      </c>
      <c r="FH2" t="s">
        <v>165</v>
      </c>
      <c r="FI2" s="6" t="s">
        <v>166</v>
      </c>
      <c r="FJ2" t="s">
        <v>167</v>
      </c>
      <c r="FK2" t="s">
        <v>168</v>
      </c>
      <c r="FL2" t="s">
        <v>169</v>
      </c>
      <c r="FM2" s="5" t="s">
        <v>170</v>
      </c>
      <c r="FN2" t="s">
        <v>171</v>
      </c>
      <c r="FO2" t="s">
        <v>172</v>
      </c>
      <c r="FP2" s="5" t="s">
        <v>173</v>
      </c>
      <c r="FQ2" t="s">
        <v>174</v>
      </c>
      <c r="FR2" s="5" t="s">
        <v>175</v>
      </c>
      <c r="FS2" t="s">
        <v>176</v>
      </c>
      <c r="FT2" s="6" t="s">
        <v>177</v>
      </c>
      <c r="FU2" s="6" t="s">
        <v>178</v>
      </c>
      <c r="FV2" s="12" t="s">
        <v>179</v>
      </c>
      <c r="FW2" s="9" t="s">
        <v>180</v>
      </c>
    </row>
    <row r="3" spans="1:179" x14ac:dyDescent="0.3">
      <c r="A3" s="13">
        <v>44883.589907407404</v>
      </c>
      <c r="B3" t="b">
        <v>0</v>
      </c>
      <c r="C3" s="14" t="s">
        <v>181</v>
      </c>
      <c r="D3" s="14" t="s">
        <v>182</v>
      </c>
      <c r="E3" s="14" t="s">
        <v>183</v>
      </c>
      <c r="F3" s="14" t="s">
        <v>184</v>
      </c>
      <c r="G3" s="14"/>
      <c r="H3" s="14" t="s">
        <v>185</v>
      </c>
      <c r="I3" s="14" t="s">
        <v>186</v>
      </c>
      <c r="J3" s="14" t="s">
        <v>186</v>
      </c>
      <c r="K3" s="14" t="s">
        <v>187</v>
      </c>
      <c r="L3" s="14"/>
      <c r="M3" s="14" t="s">
        <v>188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>
        <v>5</v>
      </c>
      <c r="Z3" s="14">
        <v>5</v>
      </c>
      <c r="AA3" s="14">
        <v>5</v>
      </c>
      <c r="AB3" s="15">
        <f>IFERROR(AVERAGE(Tabel1[[#This Row],[Up - R1a]:[Up - R1c]]),"")</f>
        <v>5</v>
      </c>
      <c r="AC3" s="14">
        <v>3</v>
      </c>
      <c r="AD3" s="14">
        <v>3</v>
      </c>
      <c r="AE3" s="14">
        <v>1</v>
      </c>
      <c r="AF3" s="14">
        <v>2</v>
      </c>
      <c r="AG3" s="14">
        <f>IFERROR(AVERAGE(Tabel1[[#This Row],[Up - R1]:[Up - R5]]),"")</f>
        <v>2.8</v>
      </c>
      <c r="AH3" s="14">
        <v>5</v>
      </c>
      <c r="AI3" s="14">
        <v>5</v>
      </c>
      <c r="AJ3" s="14">
        <v>5</v>
      </c>
      <c r="AK3" s="14">
        <f>IFERROR(AVERAGE(Tabel1[[#This Row],[Up - C1a]:[Up - C1c]]),"")</f>
        <v>5</v>
      </c>
      <c r="AL3" s="14">
        <v>4</v>
      </c>
      <c r="AM3" s="14">
        <v>4</v>
      </c>
      <c r="AN3" s="14">
        <v>5</v>
      </c>
      <c r="AO3" s="14">
        <f>IFERROR(AVERAGE(Tabel1[[#This Row],[Up - C1]:[Up - C4]]),"")</f>
        <v>4.5</v>
      </c>
      <c r="AP3" s="14">
        <v>1</v>
      </c>
      <c r="AQ3" s="14">
        <f>IFERROR(AVERAGE(Tabel1[[#This Row],[Up - F1a]:[Up - F1a]]),"")</f>
        <v>1</v>
      </c>
      <c r="AR3" s="14">
        <v>3</v>
      </c>
      <c r="AS3" s="14">
        <v>3</v>
      </c>
      <c r="AT3" s="14">
        <f>IFERROR(AVERAGE(Tabel1[[#This Row],[Up - F2a]:[Up - F2b]]),"")</f>
        <v>3</v>
      </c>
      <c r="AU3" s="14">
        <v>2</v>
      </c>
      <c r="AV3" s="14">
        <v>2</v>
      </c>
      <c r="AW3" s="14">
        <f>IFERROR(AVERAGE(Tabel1[[#This Row],[Up - F3a]:[Up - F3b]]),"")</f>
        <v>2</v>
      </c>
      <c r="AX3" s="14">
        <v>4</v>
      </c>
      <c r="AY3" s="14">
        <f>IFERROR(AVERAGE(Tabel1[[#This Row],[Up - F1]],Tabel1[[#This Row],[Up - F2]],Tabel1[[#This Row],[Up - F3]],Tabel1[[#This Row],[Up - F4]]),"")</f>
        <v>2.5</v>
      </c>
      <c r="AZ3" s="14">
        <v>4</v>
      </c>
      <c r="BA3" s="14">
        <v>4</v>
      </c>
      <c r="BB3" s="14">
        <f>IFERROR(AVERAGE(Tabel1[[#This Row],[Up - V1a]:[Up - V1b]]),"")</f>
        <v>4</v>
      </c>
      <c r="BC3" s="14">
        <v>3</v>
      </c>
      <c r="BD3" s="14">
        <v>3</v>
      </c>
      <c r="BE3" s="14">
        <v>3</v>
      </c>
      <c r="BF3" s="14">
        <f>IFERROR(AVERAGE(Tabel1[[#This Row],[Up - V2a]:[Up - V2c]]),"")</f>
        <v>3</v>
      </c>
      <c r="BG3" s="14">
        <v>4</v>
      </c>
      <c r="BH3" s="14">
        <v>4</v>
      </c>
      <c r="BI3" s="14">
        <f>IFERROR(AVERAGE(Tabel1[[#This Row],[Up - V3a]:[Up - V3b]]),"")</f>
        <v>4</v>
      </c>
      <c r="BJ3" s="14">
        <v>4</v>
      </c>
      <c r="BK3" s="14">
        <f>IFERROR(AVERAGE(Tabel1[[#This Row],[Up - V1]],Tabel1[[#This Row],[Up - V2]],Tabel1[[#This Row],[Up - V3]],Tabel1[[#This Row],[Up - V4]]),"")</f>
        <v>3.75</v>
      </c>
      <c r="BL3" s="14">
        <v>3</v>
      </c>
      <c r="BM3" s="14">
        <v>3</v>
      </c>
      <c r="BN3" s="14">
        <v>3</v>
      </c>
      <c r="BO3" s="14">
        <v>3</v>
      </c>
      <c r="BP3" s="14">
        <f>IFERROR(AVERAGE(Tabel1[[#This Row],[Up - A1a]:[Up - A1d]]),"")</f>
        <v>3</v>
      </c>
      <c r="BQ3" s="14">
        <v>4</v>
      </c>
      <c r="BR3" s="14">
        <v>4</v>
      </c>
      <c r="BS3" s="14">
        <f>IFERROR(AVERAGE(Tabel1[[#This Row],[Up - A2a]:[Up - A2b]]),"")</f>
        <v>4</v>
      </c>
      <c r="BT3" s="14">
        <v>3.5</v>
      </c>
      <c r="BU3" s="14">
        <f>IFERROR(AVERAGE(Tabel1[[#This Row],[Up - A3a]:[Up - A3a]]),"")</f>
        <v>3.5</v>
      </c>
      <c r="BV3" s="14">
        <v>5</v>
      </c>
      <c r="BW3" s="14">
        <f>IFERROR(AVERAGE(Tabel1[[#This Row],[Up - A1]],Tabel1[[#This Row],[Up - A2]],Tabel1[[#This Row],[Up - A3]]),"")</f>
        <v>3.5</v>
      </c>
      <c r="BX3" s="14">
        <v>4</v>
      </c>
      <c r="BY3" s="14">
        <v>4</v>
      </c>
      <c r="BZ3" s="14">
        <f>IFERROR(AVERAGE(Tabel1[[#This Row],[In - R1a]:[In - R1b]]),"")</f>
        <v>4</v>
      </c>
      <c r="CA3" s="14">
        <v>4</v>
      </c>
      <c r="CB3" s="14">
        <v>5</v>
      </c>
      <c r="CC3" s="14">
        <v>1</v>
      </c>
      <c r="CD3" s="14">
        <v>5</v>
      </c>
      <c r="CE3" s="14">
        <f>IFERROR(AVERAGE(Tabel1[[#This Row],[In - R1]:[In - R5]]),"")</f>
        <v>3.8</v>
      </c>
      <c r="CF3" s="14">
        <v>4</v>
      </c>
      <c r="CG3" s="14">
        <v>4</v>
      </c>
      <c r="CH3" s="14">
        <v>4</v>
      </c>
      <c r="CI3" s="14">
        <f>IFERROR(AVERAGE(Tabel1[[#This Row],[In - C1a]:[In - C1c]]),"")</f>
        <v>4</v>
      </c>
      <c r="CJ3" s="14">
        <v>5</v>
      </c>
      <c r="CK3" s="14">
        <v>5</v>
      </c>
      <c r="CL3" s="14">
        <v>5</v>
      </c>
      <c r="CM3" s="14">
        <f>IFERROR(AVERAGE(Tabel1[[#This Row],[In - C1]:[In - C4]]),"")</f>
        <v>4.75</v>
      </c>
      <c r="CN3" s="14">
        <v>1</v>
      </c>
      <c r="CO3" s="14">
        <v>1</v>
      </c>
      <c r="CP3" s="14">
        <v>1</v>
      </c>
      <c r="CQ3" s="14">
        <f>IFERROR(AVERAGE(Tabel1[[#This Row],[In - F1a]:[In - F1c]]),"")</f>
        <v>1</v>
      </c>
      <c r="CR3" s="14">
        <v>1</v>
      </c>
      <c r="CS3" s="14">
        <v>1</v>
      </c>
      <c r="CT3" s="14">
        <f>IFERROR(AVERAGE(Tabel1[[#This Row],[In - F2a]:[In - F2b]]),"")</f>
        <v>1</v>
      </c>
      <c r="CU3" s="14">
        <v>1</v>
      </c>
      <c r="CV3" s="14">
        <f>IFERROR(AVERAGE(Tabel1[[#This Row],[In - F3a]:[In - F3a]]),"")</f>
        <v>1</v>
      </c>
      <c r="CW3" s="14">
        <v>5</v>
      </c>
      <c r="CX3" s="14">
        <f>IFERROR(AVERAGE(Tabel1[[#This Row],[In - F1]],Tabel1[[#This Row],[In - F2]],Tabel1[[#This Row],[In - F3]],Tabel1[[#This Row],[In - F4]]),"")</f>
        <v>2</v>
      </c>
      <c r="CY3" s="14">
        <v>4</v>
      </c>
      <c r="CZ3" s="14">
        <v>4</v>
      </c>
      <c r="DA3" s="14">
        <v>4</v>
      </c>
      <c r="DB3" s="14">
        <f>IFERROR(AVERAGE(Tabel1[[#This Row],[In - V1a]:[In - V1c]]),"")</f>
        <v>4</v>
      </c>
      <c r="DC3" s="14">
        <v>3</v>
      </c>
      <c r="DD3" s="14">
        <v>3</v>
      </c>
      <c r="DE3" s="14">
        <v>3</v>
      </c>
      <c r="DF3" s="14">
        <f>IFERROR(AVERAGE(Tabel1[[#This Row],[In - V2a]:[In - V2c]]),"")</f>
        <v>3</v>
      </c>
      <c r="DG3" s="14">
        <v>5</v>
      </c>
      <c r="DH3" s="14">
        <v>5</v>
      </c>
      <c r="DI3" s="14">
        <f>IFERROR(AVERAGE(Tabel1[[#This Row],[In - V3a]:[In - V3b]]),"")</f>
        <v>5</v>
      </c>
      <c r="DJ3" s="14">
        <v>4</v>
      </c>
      <c r="DK3" s="14">
        <f>IFERROR(AVERAGE(Tabel1[[#This Row],[In - V1]],Tabel1[[#This Row],[In - V2]],Tabel1[[#This Row],[In - V3]],Tabel1[[#This Row],[In - V4]]),"")</f>
        <v>4</v>
      </c>
      <c r="DL3" s="14">
        <v>3</v>
      </c>
      <c r="DM3" s="14">
        <v>3</v>
      </c>
      <c r="DN3" s="14">
        <f>IFERROR(AVERAGE(Tabel1[[#This Row],[In - A1a]:[In - A1b]]),"")</f>
        <v>3</v>
      </c>
      <c r="DO3" s="14">
        <v>1</v>
      </c>
      <c r="DP3" s="14">
        <v>1</v>
      </c>
      <c r="DQ3" s="14">
        <f>IFERROR(AVERAGE(Tabel1[[#This Row],[In - A2a]:[In - A2b]]),"")</f>
        <v>1</v>
      </c>
      <c r="DR3" s="14">
        <v>4</v>
      </c>
      <c r="DS3" s="14">
        <v>4</v>
      </c>
      <c r="DT3" s="14">
        <f>IFERROR(AVERAGE(Tabel1[[#This Row],[In - A3a]:[In - A3a]]),"")</f>
        <v>4</v>
      </c>
      <c r="DU3" s="14">
        <v>4</v>
      </c>
      <c r="DV3" s="14">
        <f>IFERROR(AVERAGE(Tabel1[[#This Row],[In - A1]],Tabel1[[#This Row],[In - A2]],Tabel1[[#This Row],[In - A3]],Tabel1[[#This Row],[In - A4]]),"")</f>
        <v>3</v>
      </c>
      <c r="DW3" s="14">
        <v>4</v>
      </c>
      <c r="DX3" s="14">
        <v>4</v>
      </c>
      <c r="DY3" s="14" t="s">
        <v>189</v>
      </c>
      <c r="DZ3" s="14">
        <f>IFERROR(AVERAGE(Tabel1[[#This Row],[Do - R1a]:[Do - R1c]]),"")</f>
        <v>4</v>
      </c>
      <c r="EA3" s="14" t="s">
        <v>189</v>
      </c>
      <c r="EB3" s="14">
        <v>1</v>
      </c>
      <c r="EC3" s="14">
        <v>1</v>
      </c>
      <c r="ED3" s="14">
        <v>3</v>
      </c>
      <c r="EE3" s="14">
        <f>IFERROR(AVERAGE(Tabel1[[#This Row],[Do - R1]:[Do - R5]]),"")</f>
        <v>2.25</v>
      </c>
      <c r="EF3" s="14">
        <v>4</v>
      </c>
      <c r="EG3" s="14">
        <v>4</v>
      </c>
      <c r="EH3" s="14">
        <v>4</v>
      </c>
      <c r="EI3" s="14">
        <f>IFERROR(AVERAGE(Tabel1[[#This Row],[Do - C1a]:[Do - C1c]]),"")</f>
        <v>4</v>
      </c>
      <c r="EJ3" s="14">
        <v>5</v>
      </c>
      <c r="EK3" s="14">
        <v>3</v>
      </c>
      <c r="EL3" s="14">
        <v>4</v>
      </c>
      <c r="EM3" s="14">
        <f>IFERROR(AVERAGE(Tabel1[[#This Row],[Do - C1]:[Do - C4]]),"")</f>
        <v>4</v>
      </c>
      <c r="EN3" s="14">
        <v>3</v>
      </c>
      <c r="EO3" s="14">
        <v>3</v>
      </c>
      <c r="EP3" s="14" t="s">
        <v>189</v>
      </c>
      <c r="EQ3" s="14">
        <f>IFERROR(AVERAGE(Tabel1[[#This Row],[Do - F1a]:[Do - F1c]]),"")</f>
        <v>3</v>
      </c>
      <c r="ER3" s="14" t="s">
        <v>189</v>
      </c>
      <c r="ES3" s="14" t="str">
        <f>IFERROR(AVERAGE(Tabel1[[#This Row],[Do - F2a]:[Do - F2a]]),"")</f>
        <v/>
      </c>
      <c r="ET3" s="14">
        <v>1</v>
      </c>
      <c r="EU3" s="14">
        <v>1</v>
      </c>
      <c r="EV3" s="14">
        <f>IFERROR(AVERAGE(Tabel1[[#This Row],[Do - F3a]:[Do - F3b]]),"")</f>
        <v>1</v>
      </c>
      <c r="EW3" s="14">
        <v>5</v>
      </c>
      <c r="EX3" s="14">
        <f>IFERROR(AVERAGE(Tabel1[[#This Row],[Do - F1]],Tabel1[[#This Row],[Do - F2]],Tabel1[[#This Row],[Do - F3]],Tabel1[[#This Row],[Do - F4]]),"")</f>
        <v>3</v>
      </c>
      <c r="EY3" s="14">
        <v>5</v>
      </c>
      <c r="EZ3" s="14">
        <v>5</v>
      </c>
      <c r="FA3" s="14">
        <v>5</v>
      </c>
      <c r="FB3" s="14">
        <f>IFERROR(AVERAGE(Tabel1[[#This Row],[Do - V1a]:[Do - V1c]]),"")</f>
        <v>5</v>
      </c>
      <c r="FC3" s="14">
        <v>3</v>
      </c>
      <c r="FD3" s="14">
        <v>3</v>
      </c>
      <c r="FE3" s="14">
        <f>IFERROR(AVERAGE(Tabel1[[#This Row],[Do - V2a]:[Do - V2b]]),"")</f>
        <v>3</v>
      </c>
      <c r="FF3" s="14">
        <v>4</v>
      </c>
      <c r="FG3" s="14">
        <f>IFERROR(AVERAGE(Tabel1[[#This Row],[Do - V3a]:[Do - V3a]]),"")</f>
        <v>4</v>
      </c>
      <c r="FH3" s="14">
        <v>5</v>
      </c>
      <c r="FI3" s="14">
        <f>IFERROR(AVERAGE(Tabel1[[#This Row],[Do - V1]],Tabel1[[#This Row],[Do - V2]],Tabel1[[#This Row],[Do - V3]],Tabel1[[#This Row],[Do - V4]]),"")</f>
        <v>4.25</v>
      </c>
      <c r="FJ3" s="14">
        <v>4</v>
      </c>
      <c r="FK3" s="14">
        <v>4</v>
      </c>
      <c r="FL3" s="14">
        <v>4</v>
      </c>
      <c r="FM3" s="14">
        <f>IFERROR(AVERAGE(Tabel1[[#This Row],[Do - A1a]:[Do - A1c]]),"")</f>
        <v>4</v>
      </c>
      <c r="FN3" s="14">
        <v>1</v>
      </c>
      <c r="FO3" s="14">
        <v>1</v>
      </c>
      <c r="FP3" s="14">
        <f>IFERROR(AVERAGE(Tabel1[[#This Row],[Do - A2a]:[Do - A2b]]),"")</f>
        <v>1</v>
      </c>
      <c r="FQ3" s="14">
        <v>1</v>
      </c>
      <c r="FR3" s="14">
        <f>IFERROR(AVERAGE(Tabel1[[#This Row],[Do - A3a]:[Do - A3a]]),"")</f>
        <v>1</v>
      </c>
      <c r="FS3" s="14">
        <v>5</v>
      </c>
      <c r="FT3" s="14">
        <f>IFERROR(AVERAGE(Tabel1[[#This Row],[Do - A1]],Tabel1[[#This Row],[Do - A2]],Tabel1[[#This Row],[Do - A3]],Tabel1[[#This Row],[Do - A4]]),"")</f>
        <v>2.75</v>
      </c>
      <c r="FU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3.39</v>
      </c>
      <c r="FV3" s="16" t="s">
        <v>190</v>
      </c>
      <c r="FW3" t="b">
        <v>1</v>
      </c>
    </row>
    <row r="4" spans="1:179" x14ac:dyDescent="0.3">
      <c r="A4" s="13">
        <v>44883.589907407404</v>
      </c>
      <c r="B4" t="b">
        <v>0</v>
      </c>
      <c r="C4" s="14" t="s">
        <v>191</v>
      </c>
      <c r="D4" s="14" t="s">
        <v>192</v>
      </c>
      <c r="E4" s="14" t="s">
        <v>193</v>
      </c>
      <c r="F4" s="14"/>
      <c r="G4" s="14"/>
      <c r="H4" s="14" t="s">
        <v>194</v>
      </c>
      <c r="I4" s="14" t="s">
        <v>195</v>
      </c>
      <c r="J4" s="14" t="s">
        <v>196</v>
      </c>
      <c r="K4" s="14" t="s">
        <v>187</v>
      </c>
      <c r="L4" s="14" t="s">
        <v>197</v>
      </c>
      <c r="M4" s="14" t="s">
        <v>198</v>
      </c>
      <c r="N4" s="14" t="s">
        <v>199</v>
      </c>
      <c r="O4" s="14" t="s">
        <v>200</v>
      </c>
      <c r="P4" s="14" t="s">
        <v>201</v>
      </c>
      <c r="Q4" s="14" t="s">
        <v>202</v>
      </c>
      <c r="R4" s="14" t="s">
        <v>203</v>
      </c>
      <c r="S4" s="14" t="s">
        <v>201</v>
      </c>
      <c r="T4" s="14" t="s">
        <v>204</v>
      </c>
      <c r="U4" s="14" t="s">
        <v>205</v>
      </c>
      <c r="V4" s="14" t="s">
        <v>206</v>
      </c>
      <c r="W4" s="14" t="s">
        <v>207</v>
      </c>
      <c r="X4" s="14" t="s">
        <v>207</v>
      </c>
      <c r="Y4" s="14">
        <v>4</v>
      </c>
      <c r="Z4" s="14">
        <v>4</v>
      </c>
      <c r="AA4" s="14">
        <v>4</v>
      </c>
      <c r="AB4" s="15">
        <f>IFERROR(AVERAGE(Tabel1[[#This Row],[Up - R1a]:[Up - R1c]]),"")</f>
        <v>4</v>
      </c>
      <c r="AC4" s="14">
        <v>5</v>
      </c>
      <c r="AD4" s="14">
        <v>4</v>
      </c>
      <c r="AE4" s="14">
        <v>2</v>
      </c>
      <c r="AF4" s="14">
        <v>5</v>
      </c>
      <c r="AG4" s="14">
        <f>IFERROR(AVERAGE(Tabel1[[#This Row],[Up - R1]:[Up - R5]]),"")</f>
        <v>4</v>
      </c>
      <c r="AH4" s="14">
        <v>5</v>
      </c>
      <c r="AI4" s="14">
        <v>5</v>
      </c>
      <c r="AJ4" s="14">
        <v>3</v>
      </c>
      <c r="AK4" s="14">
        <f>IFERROR(AVERAGE(Tabel1[[#This Row],[Up - C1a]:[Up - C1c]]),"")</f>
        <v>4.333333333333333</v>
      </c>
      <c r="AL4" s="14">
        <v>4</v>
      </c>
      <c r="AM4" s="14">
        <v>5</v>
      </c>
      <c r="AN4" s="14" t="s">
        <v>189</v>
      </c>
      <c r="AO4" s="14">
        <f>IFERROR(AVERAGE(Tabel1[[#This Row],[Up - C1]:[Up - C4]]),"")</f>
        <v>4.4444444444444438</v>
      </c>
      <c r="AP4" s="14" t="s">
        <v>189</v>
      </c>
      <c r="AQ4" s="14" t="str">
        <f>IFERROR(AVERAGE(Tabel1[[#This Row],[Up - F1a]:[Up - F1a]]),"")</f>
        <v/>
      </c>
      <c r="AR4" s="14">
        <v>1</v>
      </c>
      <c r="AS4" s="14">
        <v>3</v>
      </c>
      <c r="AT4" s="14">
        <f>IFERROR(AVERAGE(Tabel1[[#This Row],[Up - F2a]:[Up - F2b]]),"")</f>
        <v>2</v>
      </c>
      <c r="AU4" s="14">
        <v>3</v>
      </c>
      <c r="AV4" s="14">
        <v>1</v>
      </c>
      <c r="AW4" s="14">
        <f>IFERROR(AVERAGE(Tabel1[[#This Row],[Up - F3a]:[Up - F3b]]),"")</f>
        <v>2</v>
      </c>
      <c r="AX4" s="14">
        <v>2</v>
      </c>
      <c r="AY4" s="14">
        <f>IFERROR(AVERAGE(Tabel1[[#This Row],[Up - F1]],Tabel1[[#This Row],[Up - F2]],Tabel1[[#This Row],[Up - F3]],Tabel1[[#This Row],[Up - F4]]),"")</f>
        <v>2</v>
      </c>
      <c r="AZ4" s="14">
        <v>4</v>
      </c>
      <c r="BA4" s="14">
        <v>5</v>
      </c>
      <c r="BB4" s="14">
        <f>IFERROR(AVERAGE(Tabel1[[#This Row],[Up - V1a]:[Up - V1b]]),"")</f>
        <v>4.5</v>
      </c>
      <c r="BC4" s="14">
        <v>4</v>
      </c>
      <c r="BD4" s="14">
        <v>5</v>
      </c>
      <c r="BE4" s="14">
        <v>4</v>
      </c>
      <c r="BF4" s="14">
        <f>IFERROR(AVERAGE(Tabel1[[#This Row],[Up - V2a]:[Up - V2c]]),"")</f>
        <v>4.333333333333333</v>
      </c>
      <c r="BG4" s="14" t="s">
        <v>189</v>
      </c>
      <c r="BH4" s="14">
        <v>5</v>
      </c>
      <c r="BI4" s="14">
        <f>IFERROR(AVERAGE(Tabel1[[#This Row],[Up - V3a]:[Up - V3b]]),"")</f>
        <v>5</v>
      </c>
      <c r="BJ4" s="14">
        <v>5</v>
      </c>
      <c r="BK4" s="14">
        <f>IFERROR(AVERAGE(Tabel1[[#This Row],[Up - V1]],Tabel1[[#This Row],[Up - V2]],Tabel1[[#This Row],[Up - V3]],Tabel1[[#This Row],[Up - V4]]),"")</f>
        <v>4.708333333333333</v>
      </c>
      <c r="BL4" s="14">
        <v>5</v>
      </c>
      <c r="BM4" s="14">
        <v>5</v>
      </c>
      <c r="BN4" s="14">
        <v>5</v>
      </c>
      <c r="BO4" s="14">
        <v>2</v>
      </c>
      <c r="BP4" s="14">
        <f>IFERROR(AVERAGE(Tabel1[[#This Row],[Up - A1a]:[Up - A1d]]),"")</f>
        <v>4.25</v>
      </c>
      <c r="BQ4" s="14">
        <v>2</v>
      </c>
      <c r="BR4" s="14">
        <v>4</v>
      </c>
      <c r="BS4" s="14">
        <f>IFERROR(AVERAGE(Tabel1[[#This Row],[Up - A2a]:[Up - A2b]]),"")</f>
        <v>3</v>
      </c>
      <c r="BT4" s="14">
        <v>4</v>
      </c>
      <c r="BU4" s="14">
        <f>IFERROR(AVERAGE(Tabel1[[#This Row],[Up - A3a]:[Up - A3a]]),"")</f>
        <v>4</v>
      </c>
      <c r="BV4" s="14" t="s">
        <v>189</v>
      </c>
      <c r="BW4" s="14">
        <f>IFERROR(AVERAGE(Tabel1[[#This Row],[Up - A1]],Tabel1[[#This Row],[Up - A2]],Tabel1[[#This Row],[Up - A3]]),"")</f>
        <v>3.75</v>
      </c>
      <c r="BX4" s="14">
        <v>4</v>
      </c>
      <c r="BY4" s="14">
        <v>4</v>
      </c>
      <c r="BZ4" s="14">
        <f>IFERROR(AVERAGE(Tabel1[[#This Row],[In - R1a]:[In - R1b]]),"")</f>
        <v>4</v>
      </c>
      <c r="CA4" s="14">
        <v>5</v>
      </c>
      <c r="CB4" s="14">
        <v>2</v>
      </c>
      <c r="CC4" s="14">
        <v>1</v>
      </c>
      <c r="CD4" s="14">
        <v>5</v>
      </c>
      <c r="CE4" s="14">
        <f>IFERROR(AVERAGE(Tabel1[[#This Row],[In - R1]:[In - R5]]),"")</f>
        <v>3.4</v>
      </c>
      <c r="CF4" s="14">
        <v>4</v>
      </c>
      <c r="CG4" s="14">
        <v>5</v>
      </c>
      <c r="CH4" s="14">
        <v>4</v>
      </c>
      <c r="CI4" s="14">
        <f>IFERROR(AVERAGE(Tabel1[[#This Row],[In - C1a]:[In - C1c]]),"")</f>
        <v>4.333333333333333</v>
      </c>
      <c r="CJ4" s="14">
        <v>4</v>
      </c>
      <c r="CK4" s="14">
        <v>5</v>
      </c>
      <c r="CL4" s="14">
        <v>5</v>
      </c>
      <c r="CM4" s="14">
        <f>IFERROR(AVERAGE(Tabel1[[#This Row],[In - C1]:[In - C4]]),"")</f>
        <v>4.583333333333333</v>
      </c>
      <c r="CN4" s="14">
        <v>5</v>
      </c>
      <c r="CO4" s="14">
        <v>4</v>
      </c>
      <c r="CP4" s="14">
        <v>4</v>
      </c>
      <c r="CQ4" s="14">
        <f>IFERROR(AVERAGE(Tabel1[[#This Row],[In - F1a]:[In - F1c]]),"")</f>
        <v>4.333333333333333</v>
      </c>
      <c r="CR4" s="14">
        <v>2</v>
      </c>
      <c r="CS4" s="14">
        <v>1</v>
      </c>
      <c r="CT4" s="14">
        <f>IFERROR(AVERAGE(Tabel1[[#This Row],[In - F2a]:[In - F2b]]),"")</f>
        <v>1.5</v>
      </c>
      <c r="CU4" s="14">
        <v>2</v>
      </c>
      <c r="CV4" s="14">
        <f>IFERROR(AVERAGE(Tabel1[[#This Row],[In - F3a]:[In - F3a]]),"")</f>
        <v>2</v>
      </c>
      <c r="CW4" s="14" t="s">
        <v>189</v>
      </c>
      <c r="CX4" s="14">
        <f>IFERROR(AVERAGE(Tabel1[[#This Row],[In - F1]],Tabel1[[#This Row],[In - F2]],Tabel1[[#This Row],[In - F3]],Tabel1[[#This Row],[In - F4]]),"")</f>
        <v>2.6111111111111112</v>
      </c>
      <c r="CY4" s="14">
        <v>5</v>
      </c>
      <c r="CZ4" s="14">
        <v>5</v>
      </c>
      <c r="DA4" s="14">
        <v>4</v>
      </c>
      <c r="DB4" s="14">
        <f>IFERROR(AVERAGE(Tabel1[[#This Row],[In - V1a]:[In - V1c]]),"")</f>
        <v>4.666666666666667</v>
      </c>
      <c r="DC4" s="14">
        <v>4</v>
      </c>
      <c r="DD4" s="14">
        <v>4</v>
      </c>
      <c r="DE4" s="14">
        <v>5</v>
      </c>
      <c r="DF4" s="14">
        <f>IFERROR(AVERAGE(Tabel1[[#This Row],[In - V2a]:[In - V2c]]),"")</f>
        <v>4.333333333333333</v>
      </c>
      <c r="DG4" s="14">
        <v>5</v>
      </c>
      <c r="DH4" s="14">
        <v>5</v>
      </c>
      <c r="DI4" s="14">
        <f>IFERROR(AVERAGE(Tabel1[[#This Row],[In - V3a]:[In - V3b]]),"")</f>
        <v>5</v>
      </c>
      <c r="DJ4" s="14">
        <v>5</v>
      </c>
      <c r="DK4" s="14">
        <f>IFERROR(AVERAGE(Tabel1[[#This Row],[In - V1]],Tabel1[[#This Row],[In - V2]],Tabel1[[#This Row],[In - V3]],Tabel1[[#This Row],[In - V4]]),"")</f>
        <v>4.75</v>
      </c>
      <c r="DL4" s="14">
        <v>5</v>
      </c>
      <c r="DM4" s="14">
        <v>5</v>
      </c>
      <c r="DN4" s="14">
        <f>IFERROR(AVERAGE(Tabel1[[#This Row],[In - A1a]:[In - A1b]]),"")</f>
        <v>5</v>
      </c>
      <c r="DO4" s="14">
        <v>2</v>
      </c>
      <c r="DP4" s="14">
        <v>5</v>
      </c>
      <c r="DQ4" s="14">
        <f>IFERROR(AVERAGE(Tabel1[[#This Row],[In - A2a]:[In - A2b]]),"")</f>
        <v>3.5</v>
      </c>
      <c r="DR4" s="14">
        <v>5</v>
      </c>
      <c r="DS4" s="14">
        <v>3</v>
      </c>
      <c r="DT4" s="14">
        <f>IFERROR(AVERAGE(Tabel1[[#This Row],[In - A3a]:[In - A3a]]),"")</f>
        <v>5</v>
      </c>
      <c r="DU4" s="14" t="s">
        <v>189</v>
      </c>
      <c r="DV4" s="14">
        <f>IFERROR(AVERAGE(Tabel1[[#This Row],[In - A1]],Tabel1[[#This Row],[In - A2]],Tabel1[[#This Row],[In - A3]],Tabel1[[#This Row],[In - A4]]),"")</f>
        <v>4.5</v>
      </c>
      <c r="DW4" s="14">
        <v>4</v>
      </c>
      <c r="DX4" s="14">
        <v>4</v>
      </c>
      <c r="DY4" s="14">
        <v>4</v>
      </c>
      <c r="DZ4" s="14">
        <f>IFERROR(AVERAGE(Tabel1[[#This Row],[Do - R1a]:[Do - R1c]]),"")</f>
        <v>4</v>
      </c>
      <c r="EA4" s="14">
        <v>4</v>
      </c>
      <c r="EB4" s="14">
        <v>5</v>
      </c>
      <c r="EC4" s="14">
        <v>1</v>
      </c>
      <c r="ED4" s="14">
        <v>4</v>
      </c>
      <c r="EE4" s="14">
        <f>IFERROR(AVERAGE(Tabel1[[#This Row],[Do - R1]:[Do - R5]]),"")</f>
        <v>3.6</v>
      </c>
      <c r="EF4" s="14">
        <v>4</v>
      </c>
      <c r="EG4" s="14">
        <v>4</v>
      </c>
      <c r="EH4" s="14">
        <v>3</v>
      </c>
      <c r="EI4" s="14">
        <f>IFERROR(AVERAGE(Tabel1[[#This Row],[Do - C1a]:[Do - C1c]]),"")</f>
        <v>3.6666666666666665</v>
      </c>
      <c r="EJ4" s="14">
        <v>5</v>
      </c>
      <c r="EK4" s="14">
        <v>4</v>
      </c>
      <c r="EL4" s="14" t="s">
        <v>189</v>
      </c>
      <c r="EM4" s="14">
        <f>IFERROR(AVERAGE(Tabel1[[#This Row],[Do - C1]:[Do - C4]]),"")</f>
        <v>4.2222222222222223</v>
      </c>
      <c r="EN4" s="14">
        <v>3</v>
      </c>
      <c r="EO4" s="14">
        <v>3</v>
      </c>
      <c r="EP4" s="14">
        <v>5</v>
      </c>
      <c r="EQ4" s="14">
        <f>IFERROR(AVERAGE(Tabel1[[#This Row],[Do - F1a]:[Do - F1c]]),"")</f>
        <v>3.6666666666666665</v>
      </c>
      <c r="ER4" s="14">
        <v>1</v>
      </c>
      <c r="ES4" s="14">
        <f>IFERROR(AVERAGE(Tabel1[[#This Row],[Do - F2a]:[Do - F2a]]),"")</f>
        <v>1</v>
      </c>
      <c r="ET4" s="14">
        <v>4</v>
      </c>
      <c r="EU4" s="14">
        <v>3</v>
      </c>
      <c r="EV4" s="14">
        <f>IFERROR(AVERAGE(Tabel1[[#This Row],[Do - F3a]:[Do - F3b]]),"")</f>
        <v>3.5</v>
      </c>
      <c r="EW4" s="14" t="s">
        <v>189</v>
      </c>
      <c r="EX4" s="14">
        <f>IFERROR(AVERAGE(Tabel1[[#This Row],[Do - F1]],Tabel1[[#This Row],[Do - F2]],Tabel1[[#This Row],[Do - F3]],Tabel1[[#This Row],[Do - F4]]),"")</f>
        <v>2.7222222222222219</v>
      </c>
      <c r="EY4" s="14">
        <v>5</v>
      </c>
      <c r="EZ4" s="14">
        <v>5</v>
      </c>
      <c r="FA4" s="14">
        <v>4</v>
      </c>
      <c r="FB4" s="14">
        <f>IFERROR(AVERAGE(Tabel1[[#This Row],[Do - V1a]:[Do - V1c]]),"")</f>
        <v>4.666666666666667</v>
      </c>
      <c r="FC4" s="14">
        <v>5</v>
      </c>
      <c r="FD4" s="14">
        <v>5</v>
      </c>
      <c r="FE4" s="14">
        <f>IFERROR(AVERAGE(Tabel1[[#This Row],[Do - V2a]:[Do - V2b]]),"")</f>
        <v>5</v>
      </c>
      <c r="FF4" s="14">
        <v>5</v>
      </c>
      <c r="FG4" s="14">
        <f>IFERROR(AVERAGE(Tabel1[[#This Row],[Do - V3a]:[Do - V3a]]),"")</f>
        <v>5</v>
      </c>
      <c r="FH4" s="14">
        <v>5</v>
      </c>
      <c r="FI4" s="14">
        <f>IFERROR(AVERAGE(Tabel1[[#This Row],[Do - V1]],Tabel1[[#This Row],[Do - V2]],Tabel1[[#This Row],[Do - V3]],Tabel1[[#This Row],[Do - V4]]),"")</f>
        <v>4.916666666666667</v>
      </c>
      <c r="FJ4" s="14">
        <v>4</v>
      </c>
      <c r="FK4" s="14">
        <v>5</v>
      </c>
      <c r="FL4" s="14">
        <v>5</v>
      </c>
      <c r="FM4" s="14">
        <f>IFERROR(AVERAGE(Tabel1[[#This Row],[Do - A1a]:[Do - A1c]]),"")</f>
        <v>4.666666666666667</v>
      </c>
      <c r="FN4" s="14">
        <v>4</v>
      </c>
      <c r="FO4" s="14">
        <v>5</v>
      </c>
      <c r="FP4" s="14">
        <f>IFERROR(AVERAGE(Tabel1[[#This Row],[Do - A2a]:[Do - A2b]]),"")</f>
        <v>4.5</v>
      </c>
      <c r="FQ4" s="14">
        <v>5</v>
      </c>
      <c r="FR4" s="14">
        <f>IFERROR(AVERAGE(Tabel1[[#This Row],[Do - A3a]:[Do - A3a]]),"")</f>
        <v>5</v>
      </c>
      <c r="FS4" s="14" t="s">
        <v>189</v>
      </c>
      <c r="FT4" s="14">
        <f>IFERROR(AVERAGE(Tabel1[[#This Row],[Do - A1]],Tabel1[[#This Row],[Do - A2]],Tabel1[[#This Row],[Do - A3]],Tabel1[[#This Row],[Do - A4]]),"")</f>
        <v>4.7222222222222223</v>
      </c>
      <c r="FU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3.9287037037037034</v>
      </c>
      <c r="FV4" s="16" t="s">
        <v>208</v>
      </c>
      <c r="FW4" t="b">
        <v>1</v>
      </c>
    </row>
    <row r="5" spans="1:179" x14ac:dyDescent="0.3">
      <c r="A5" s="13">
        <v>44883.589907407404</v>
      </c>
      <c r="B5" t="b">
        <v>0</v>
      </c>
      <c r="C5" s="14" t="s">
        <v>209</v>
      </c>
      <c r="D5" s="14" t="s">
        <v>210</v>
      </c>
      <c r="E5" s="14" t="s">
        <v>211</v>
      </c>
      <c r="F5" s="14" t="s">
        <v>184</v>
      </c>
      <c r="G5" s="14"/>
      <c r="H5" s="14" t="s">
        <v>185</v>
      </c>
      <c r="I5" s="14" t="s">
        <v>195</v>
      </c>
      <c r="J5" s="14" t="s">
        <v>212</v>
      </c>
      <c r="K5" s="14" t="s">
        <v>201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>
        <v>3</v>
      </c>
      <c r="Z5" s="14">
        <v>3</v>
      </c>
      <c r="AA5" s="14">
        <v>3</v>
      </c>
      <c r="AB5" s="15">
        <f>IFERROR(AVERAGE(Tabel1[[#This Row],[Up - R1a]:[Up - R1c]]),"")</f>
        <v>3</v>
      </c>
      <c r="AC5" s="14">
        <v>4</v>
      </c>
      <c r="AD5" s="14">
        <v>1</v>
      </c>
      <c r="AE5" s="14">
        <v>2</v>
      </c>
      <c r="AF5" s="14">
        <v>3</v>
      </c>
      <c r="AG5" s="14">
        <f>IFERROR(AVERAGE(Tabel1[[#This Row],[Up - R1]:[Up - R5]]),"")</f>
        <v>2.6</v>
      </c>
      <c r="AH5" s="14">
        <v>4</v>
      </c>
      <c r="AI5" s="14">
        <v>4</v>
      </c>
      <c r="AJ5" s="14">
        <v>4</v>
      </c>
      <c r="AK5" s="14">
        <f>IFERROR(AVERAGE(Tabel1[[#This Row],[Up - C1a]:[Up - C1c]]),"")</f>
        <v>4</v>
      </c>
      <c r="AL5" s="14">
        <v>3</v>
      </c>
      <c r="AM5" s="14">
        <v>3</v>
      </c>
      <c r="AN5" s="14">
        <v>3</v>
      </c>
      <c r="AO5" s="14">
        <f>IFERROR(AVERAGE(Tabel1[[#This Row],[Up - C1]:[Up - C4]]),"")</f>
        <v>3.25</v>
      </c>
      <c r="AP5" s="14">
        <v>3</v>
      </c>
      <c r="AQ5" s="14">
        <f>IFERROR(AVERAGE(Tabel1[[#This Row],[Up - F1a]:[Up - F1a]]),"")</f>
        <v>3</v>
      </c>
      <c r="AR5" s="14">
        <v>4</v>
      </c>
      <c r="AS5" s="14">
        <v>4</v>
      </c>
      <c r="AT5" s="14">
        <f>IFERROR(AVERAGE(Tabel1[[#This Row],[Up - F2a]:[Up - F2b]]),"")</f>
        <v>4</v>
      </c>
      <c r="AU5" s="14">
        <v>4</v>
      </c>
      <c r="AV5" s="14">
        <v>4</v>
      </c>
      <c r="AW5" s="14">
        <f>IFERROR(AVERAGE(Tabel1[[#This Row],[Up - F3a]:[Up - F3b]]),"")</f>
        <v>4</v>
      </c>
      <c r="AX5" s="14">
        <v>3</v>
      </c>
      <c r="AY5" s="14">
        <f>IFERROR(AVERAGE(Tabel1[[#This Row],[Up - F1]],Tabel1[[#This Row],[Up - F2]],Tabel1[[#This Row],[Up - F3]],Tabel1[[#This Row],[Up - F4]]),"")</f>
        <v>3.5</v>
      </c>
      <c r="AZ5" s="14">
        <v>3</v>
      </c>
      <c r="BA5" s="14">
        <v>3</v>
      </c>
      <c r="BB5" s="14">
        <f>IFERROR(AVERAGE(Tabel1[[#This Row],[Up - V1a]:[Up - V1b]]),"")</f>
        <v>3</v>
      </c>
      <c r="BC5" s="14">
        <v>3.5</v>
      </c>
      <c r="BD5" s="14">
        <v>3.5</v>
      </c>
      <c r="BE5" s="14">
        <v>3.5</v>
      </c>
      <c r="BF5" s="14">
        <f>IFERROR(AVERAGE(Tabel1[[#This Row],[Up - V2a]:[Up - V2c]]),"")</f>
        <v>3.5</v>
      </c>
      <c r="BG5" s="14">
        <v>1.5</v>
      </c>
      <c r="BH5" s="14">
        <v>1.5</v>
      </c>
      <c r="BI5" s="14">
        <f>IFERROR(AVERAGE(Tabel1[[#This Row],[Up - V3a]:[Up - V3b]]),"")</f>
        <v>1.5</v>
      </c>
      <c r="BJ5" s="14">
        <v>1</v>
      </c>
      <c r="BK5" s="14">
        <f>IFERROR(AVERAGE(Tabel1[[#This Row],[Up - V1]],Tabel1[[#This Row],[Up - V2]],Tabel1[[#This Row],[Up - V3]],Tabel1[[#This Row],[Up - V4]]),"")</f>
        <v>2.25</v>
      </c>
      <c r="BL5" s="14">
        <v>3</v>
      </c>
      <c r="BM5" s="14">
        <v>3</v>
      </c>
      <c r="BN5" s="14">
        <v>3</v>
      </c>
      <c r="BO5" s="14">
        <v>3</v>
      </c>
      <c r="BP5" s="14">
        <f>IFERROR(AVERAGE(Tabel1[[#This Row],[Up - A1a]:[Up - A1d]]),"")</f>
        <v>3</v>
      </c>
      <c r="BQ5" s="14">
        <v>2</v>
      </c>
      <c r="BR5" s="14">
        <v>2</v>
      </c>
      <c r="BS5" s="14">
        <f>IFERROR(AVERAGE(Tabel1[[#This Row],[Up - A2a]:[Up - A2b]]),"")</f>
        <v>2</v>
      </c>
      <c r="BT5" s="14">
        <v>5</v>
      </c>
      <c r="BU5" s="14">
        <f>IFERROR(AVERAGE(Tabel1[[#This Row],[Up - A3a]:[Up - A3a]]),"")</f>
        <v>5</v>
      </c>
      <c r="BV5" s="14">
        <v>3</v>
      </c>
      <c r="BW5" s="14">
        <f>IFERROR(AVERAGE(Tabel1[[#This Row],[Up - A1]],Tabel1[[#This Row],[Up - A2]],Tabel1[[#This Row],[Up - A3]]),"")</f>
        <v>3.3333333333333335</v>
      </c>
      <c r="BX5" s="14">
        <v>2</v>
      </c>
      <c r="BY5" s="14">
        <v>2</v>
      </c>
      <c r="BZ5" s="14">
        <f>IFERROR(AVERAGE(Tabel1[[#This Row],[In - R1a]:[In - R1b]]),"")</f>
        <v>2</v>
      </c>
      <c r="CA5" s="14">
        <v>2</v>
      </c>
      <c r="CB5" s="14">
        <v>1</v>
      </c>
      <c r="CC5" s="14">
        <v>1</v>
      </c>
      <c r="CD5" s="14">
        <v>5</v>
      </c>
      <c r="CE5" s="14">
        <f>IFERROR(AVERAGE(Tabel1[[#This Row],[In - R1]:[In - R5]]),"")</f>
        <v>2.2000000000000002</v>
      </c>
      <c r="CF5" s="14">
        <v>4</v>
      </c>
      <c r="CG5" s="14">
        <v>4</v>
      </c>
      <c r="CH5" s="14">
        <v>4</v>
      </c>
      <c r="CI5" s="14">
        <f>IFERROR(AVERAGE(Tabel1[[#This Row],[In - C1a]:[In - C1c]]),"")</f>
        <v>4</v>
      </c>
      <c r="CJ5" s="14">
        <v>4</v>
      </c>
      <c r="CK5" s="14">
        <v>2</v>
      </c>
      <c r="CL5" s="14">
        <v>4</v>
      </c>
      <c r="CM5" s="14">
        <f>IFERROR(AVERAGE(Tabel1[[#This Row],[In - C1]:[In - C4]]),"")</f>
        <v>3.5</v>
      </c>
      <c r="CN5" s="14">
        <v>3</v>
      </c>
      <c r="CO5" s="14">
        <v>3</v>
      </c>
      <c r="CP5" s="14">
        <v>3</v>
      </c>
      <c r="CQ5" s="14">
        <f>IFERROR(AVERAGE(Tabel1[[#This Row],[In - F1a]:[In - F1c]]),"")</f>
        <v>3</v>
      </c>
      <c r="CR5" s="14">
        <v>2</v>
      </c>
      <c r="CS5" s="14">
        <v>2</v>
      </c>
      <c r="CT5" s="14">
        <f>IFERROR(AVERAGE(Tabel1[[#This Row],[In - F2a]:[In - F2b]]),"")</f>
        <v>2</v>
      </c>
      <c r="CU5" s="14">
        <v>4</v>
      </c>
      <c r="CV5" s="14">
        <f>IFERROR(AVERAGE(Tabel1[[#This Row],[In - F3a]:[In - F3a]]),"")</f>
        <v>4</v>
      </c>
      <c r="CW5" s="14">
        <v>4</v>
      </c>
      <c r="CX5" s="14">
        <f>IFERROR(AVERAGE(Tabel1[[#This Row],[In - F1]],Tabel1[[#This Row],[In - F2]],Tabel1[[#This Row],[In - F3]],Tabel1[[#This Row],[In - F4]]),"")</f>
        <v>3.25</v>
      </c>
      <c r="CY5" s="14">
        <v>4</v>
      </c>
      <c r="CZ5" s="14">
        <v>4</v>
      </c>
      <c r="DA5" s="14">
        <v>4</v>
      </c>
      <c r="DB5" s="14">
        <f>IFERROR(AVERAGE(Tabel1[[#This Row],[In - V1a]:[In - V1c]]),"")</f>
        <v>4</v>
      </c>
      <c r="DC5" s="14">
        <v>4</v>
      </c>
      <c r="DD5" s="14">
        <v>4</v>
      </c>
      <c r="DE5" s="14">
        <v>4</v>
      </c>
      <c r="DF5" s="14">
        <f>IFERROR(AVERAGE(Tabel1[[#This Row],[In - V2a]:[In - V2c]]),"")</f>
        <v>4</v>
      </c>
      <c r="DG5" s="14">
        <v>4</v>
      </c>
      <c r="DH5" s="14">
        <v>4</v>
      </c>
      <c r="DI5" s="14">
        <f>IFERROR(AVERAGE(Tabel1[[#This Row],[In - V3a]:[In - V3b]]),"")</f>
        <v>4</v>
      </c>
      <c r="DJ5" s="14">
        <v>4</v>
      </c>
      <c r="DK5" s="14">
        <f>IFERROR(AVERAGE(Tabel1[[#This Row],[In - V1]],Tabel1[[#This Row],[In - V2]],Tabel1[[#This Row],[In - V3]],Tabel1[[#This Row],[In - V4]]),"")</f>
        <v>4</v>
      </c>
      <c r="DL5" s="14">
        <v>2</v>
      </c>
      <c r="DM5" s="14">
        <v>2</v>
      </c>
      <c r="DN5" s="14">
        <f>IFERROR(AVERAGE(Tabel1[[#This Row],[In - A1a]:[In - A1b]]),"")</f>
        <v>2</v>
      </c>
      <c r="DO5" s="14">
        <v>4</v>
      </c>
      <c r="DP5" s="14">
        <v>4</v>
      </c>
      <c r="DQ5" s="14">
        <f>IFERROR(AVERAGE(Tabel1[[#This Row],[In - A2a]:[In - A2b]]),"")</f>
        <v>4</v>
      </c>
      <c r="DR5" s="14">
        <v>4</v>
      </c>
      <c r="DS5" s="14">
        <v>4</v>
      </c>
      <c r="DT5" s="14">
        <f>IFERROR(AVERAGE(Tabel1[[#This Row],[In - A3a]:[In - A3a]]),"")</f>
        <v>4</v>
      </c>
      <c r="DU5" s="14">
        <v>2</v>
      </c>
      <c r="DV5" s="14">
        <f>IFERROR(AVERAGE(Tabel1[[#This Row],[In - A1]],Tabel1[[#This Row],[In - A2]],Tabel1[[#This Row],[In - A3]],Tabel1[[#This Row],[In - A4]]),"")</f>
        <v>3</v>
      </c>
      <c r="DW5" s="14">
        <v>4</v>
      </c>
      <c r="DX5" s="14">
        <v>4</v>
      </c>
      <c r="DY5" s="14" t="s">
        <v>189</v>
      </c>
      <c r="DZ5" s="14">
        <f>IFERROR(AVERAGE(Tabel1[[#This Row],[Do - R1a]:[Do - R1c]]),"")</f>
        <v>4</v>
      </c>
      <c r="EA5" s="14">
        <v>2</v>
      </c>
      <c r="EB5" s="14">
        <v>1</v>
      </c>
      <c r="EC5" s="14">
        <v>1</v>
      </c>
      <c r="ED5" s="14">
        <v>4</v>
      </c>
      <c r="EE5" s="14">
        <f>IFERROR(AVERAGE(Tabel1[[#This Row],[Do - R1]:[Do - R5]]),"")</f>
        <v>2.4</v>
      </c>
      <c r="EF5" s="14">
        <v>3</v>
      </c>
      <c r="EG5" s="14">
        <v>3</v>
      </c>
      <c r="EH5" s="14">
        <v>3</v>
      </c>
      <c r="EI5" s="14">
        <f>IFERROR(AVERAGE(Tabel1[[#This Row],[Do - C1a]:[Do - C1c]]),"")</f>
        <v>3</v>
      </c>
      <c r="EJ5" s="14">
        <v>2</v>
      </c>
      <c r="EK5" s="14">
        <v>2</v>
      </c>
      <c r="EL5" s="14">
        <v>3</v>
      </c>
      <c r="EM5" s="14">
        <f>IFERROR(AVERAGE(Tabel1[[#This Row],[Do - C1]:[Do - C4]]),"")</f>
        <v>2.5</v>
      </c>
      <c r="EN5" s="14">
        <v>2</v>
      </c>
      <c r="EO5" s="14">
        <v>2</v>
      </c>
      <c r="EP5" s="14" t="s">
        <v>189</v>
      </c>
      <c r="EQ5" s="14">
        <f>IFERROR(AVERAGE(Tabel1[[#This Row],[Do - F1a]:[Do - F1c]]),"")</f>
        <v>2</v>
      </c>
      <c r="ER5" s="14">
        <v>2</v>
      </c>
      <c r="ES5" s="14">
        <f>IFERROR(AVERAGE(Tabel1[[#This Row],[Do - F2a]:[Do - F2a]]),"")</f>
        <v>2</v>
      </c>
      <c r="ET5" s="14">
        <v>2</v>
      </c>
      <c r="EU5" s="14">
        <v>2</v>
      </c>
      <c r="EV5" s="14">
        <f>IFERROR(AVERAGE(Tabel1[[#This Row],[Do - F3a]:[Do - F3b]]),"")</f>
        <v>2</v>
      </c>
      <c r="EW5" s="14">
        <v>2</v>
      </c>
      <c r="EX5" s="14">
        <f>IFERROR(AVERAGE(Tabel1[[#This Row],[Do - F1]],Tabel1[[#This Row],[Do - F2]],Tabel1[[#This Row],[Do - F3]],Tabel1[[#This Row],[Do - F4]]),"")</f>
        <v>2</v>
      </c>
      <c r="EY5" s="14">
        <v>1</v>
      </c>
      <c r="EZ5" s="14">
        <v>1</v>
      </c>
      <c r="FA5" s="14">
        <v>1</v>
      </c>
      <c r="FB5" s="14">
        <f>IFERROR(AVERAGE(Tabel1[[#This Row],[Do - V1a]:[Do - V1c]]),"")</f>
        <v>1</v>
      </c>
      <c r="FC5" s="14">
        <v>3</v>
      </c>
      <c r="FD5" s="14">
        <v>3</v>
      </c>
      <c r="FE5" s="14">
        <f>IFERROR(AVERAGE(Tabel1[[#This Row],[Do - V2a]:[Do - V2b]]),"")</f>
        <v>3</v>
      </c>
      <c r="FF5" s="14">
        <v>1</v>
      </c>
      <c r="FG5" s="14">
        <f>IFERROR(AVERAGE(Tabel1[[#This Row],[Do - V3a]:[Do - V3a]]),"")</f>
        <v>1</v>
      </c>
      <c r="FH5" s="14">
        <v>4</v>
      </c>
      <c r="FI5" s="14">
        <f>IFERROR(AVERAGE(Tabel1[[#This Row],[Do - V1]],Tabel1[[#This Row],[Do - V2]],Tabel1[[#This Row],[Do - V3]],Tabel1[[#This Row],[Do - V4]]),"")</f>
        <v>2.25</v>
      </c>
      <c r="FJ5" s="14">
        <v>2</v>
      </c>
      <c r="FK5" s="14">
        <v>2</v>
      </c>
      <c r="FL5" s="14">
        <v>2</v>
      </c>
      <c r="FM5" s="14">
        <f>IFERROR(AVERAGE(Tabel1[[#This Row],[Do - A1a]:[Do - A1c]]),"")</f>
        <v>2</v>
      </c>
      <c r="FN5" s="14">
        <v>2</v>
      </c>
      <c r="FO5" s="14">
        <v>2</v>
      </c>
      <c r="FP5" s="14">
        <f>IFERROR(AVERAGE(Tabel1[[#This Row],[Do - A2a]:[Do - A2b]]),"")</f>
        <v>2</v>
      </c>
      <c r="FQ5" s="14">
        <v>4</v>
      </c>
      <c r="FR5" s="14">
        <f>IFERROR(AVERAGE(Tabel1[[#This Row],[Do - A3a]:[Do - A3a]]),"")</f>
        <v>4</v>
      </c>
      <c r="FS5" s="14">
        <v>2</v>
      </c>
      <c r="FT5" s="14">
        <f>IFERROR(AVERAGE(Tabel1[[#This Row],[Do - A1]],Tabel1[[#This Row],[Do - A2]],Tabel1[[#This Row],[Do - A3]],Tabel1[[#This Row],[Do - A4]]),"")</f>
        <v>2.5</v>
      </c>
      <c r="FU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2.8355555555555556</v>
      </c>
      <c r="FV5" s="16" t="s">
        <v>213</v>
      </c>
      <c r="FW5" t="b">
        <v>1</v>
      </c>
    </row>
    <row r="6" spans="1:179" x14ac:dyDescent="0.3">
      <c r="A6" s="13">
        <v>44883.589907407404</v>
      </c>
      <c r="B6" t="b">
        <v>0</v>
      </c>
      <c r="C6" s="14" t="s">
        <v>214</v>
      </c>
      <c r="D6" s="14" t="s">
        <v>215</v>
      </c>
      <c r="E6" s="14" t="s">
        <v>216</v>
      </c>
      <c r="F6" s="14" t="s">
        <v>184</v>
      </c>
      <c r="G6" s="14"/>
      <c r="H6" s="14" t="s">
        <v>185</v>
      </c>
      <c r="I6" s="14" t="s">
        <v>195</v>
      </c>
      <c r="J6" s="14" t="s">
        <v>217</v>
      </c>
      <c r="K6" s="14" t="s">
        <v>187</v>
      </c>
      <c r="L6" s="14" t="s">
        <v>218</v>
      </c>
      <c r="M6" s="14" t="s">
        <v>198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v>3</v>
      </c>
      <c r="Z6" s="14">
        <v>3</v>
      </c>
      <c r="AA6" s="14">
        <v>3</v>
      </c>
      <c r="AB6" s="15">
        <f>IFERROR(AVERAGE(Tabel1[[#This Row],[Up - R1a]:[Up - R1c]]),"")</f>
        <v>3</v>
      </c>
      <c r="AC6" s="14">
        <v>2</v>
      </c>
      <c r="AD6" s="14">
        <v>4</v>
      </c>
      <c r="AE6" s="14">
        <v>1</v>
      </c>
      <c r="AF6" s="14">
        <v>4</v>
      </c>
      <c r="AG6" s="14">
        <f>IFERROR(AVERAGE(Tabel1[[#This Row],[Up - R1]:[Up - R5]]),"")</f>
        <v>2.8</v>
      </c>
      <c r="AH6" s="14">
        <v>3</v>
      </c>
      <c r="AI6" s="14">
        <v>3</v>
      </c>
      <c r="AJ6" s="14">
        <v>3</v>
      </c>
      <c r="AK6" s="14">
        <f>IFERROR(AVERAGE(Tabel1[[#This Row],[Up - C1a]:[Up - C1c]]),"")</f>
        <v>3</v>
      </c>
      <c r="AL6" s="14">
        <v>1</v>
      </c>
      <c r="AM6" s="14">
        <v>3</v>
      </c>
      <c r="AN6" s="14">
        <v>2</v>
      </c>
      <c r="AO6" s="14">
        <f>IFERROR(AVERAGE(Tabel1[[#This Row],[Up - C1]:[Up - C4]]),"")</f>
        <v>2.25</v>
      </c>
      <c r="AP6" s="14">
        <v>4</v>
      </c>
      <c r="AQ6" s="14">
        <f>IFERROR(AVERAGE(Tabel1[[#This Row],[Up - F1a]:[Up - F1a]]),"")</f>
        <v>4</v>
      </c>
      <c r="AR6" s="14">
        <v>2</v>
      </c>
      <c r="AS6" s="14">
        <v>2</v>
      </c>
      <c r="AT6" s="14">
        <f>IFERROR(AVERAGE(Tabel1[[#This Row],[Up - F2a]:[Up - F2b]]),"")</f>
        <v>2</v>
      </c>
      <c r="AU6" s="14">
        <v>3</v>
      </c>
      <c r="AV6" s="14">
        <v>3</v>
      </c>
      <c r="AW6" s="14">
        <f>IFERROR(AVERAGE(Tabel1[[#This Row],[Up - F3a]:[Up - F3b]]),"")</f>
        <v>3</v>
      </c>
      <c r="AX6" s="14">
        <v>3</v>
      </c>
      <c r="AY6" s="14">
        <f>IFERROR(AVERAGE(Tabel1[[#This Row],[Up - F1]],Tabel1[[#This Row],[Up - F2]],Tabel1[[#This Row],[Up - F3]],Tabel1[[#This Row],[Up - F4]]),"")</f>
        <v>3</v>
      </c>
      <c r="AZ6" s="14">
        <v>3</v>
      </c>
      <c r="BA6" s="14">
        <v>3</v>
      </c>
      <c r="BB6" s="14">
        <f>IFERROR(AVERAGE(Tabel1[[#This Row],[Up - V1a]:[Up - V1b]]),"")</f>
        <v>3</v>
      </c>
      <c r="BC6" s="14">
        <v>2</v>
      </c>
      <c r="BD6" s="14">
        <v>2</v>
      </c>
      <c r="BE6" s="14">
        <v>2</v>
      </c>
      <c r="BF6" s="14">
        <f>IFERROR(AVERAGE(Tabel1[[#This Row],[Up - V2a]:[Up - V2c]]),"")</f>
        <v>2</v>
      </c>
      <c r="BG6" s="14">
        <v>3</v>
      </c>
      <c r="BH6" s="14">
        <v>3</v>
      </c>
      <c r="BI6" s="14">
        <f>IFERROR(AVERAGE(Tabel1[[#This Row],[Up - V3a]:[Up - V3b]]),"")</f>
        <v>3</v>
      </c>
      <c r="BJ6" s="14">
        <v>4</v>
      </c>
      <c r="BK6" s="14">
        <f>IFERROR(AVERAGE(Tabel1[[#This Row],[Up - V1]],Tabel1[[#This Row],[Up - V2]],Tabel1[[#This Row],[Up - V3]],Tabel1[[#This Row],[Up - V4]]),"")</f>
        <v>3</v>
      </c>
      <c r="BL6" s="14">
        <v>4</v>
      </c>
      <c r="BM6" s="14">
        <v>4</v>
      </c>
      <c r="BN6" s="14">
        <v>4</v>
      </c>
      <c r="BO6" s="14">
        <v>4</v>
      </c>
      <c r="BP6" s="14">
        <f>IFERROR(AVERAGE(Tabel1[[#This Row],[Up - A1a]:[Up - A1d]]),"")</f>
        <v>4</v>
      </c>
      <c r="BQ6" s="14">
        <v>4</v>
      </c>
      <c r="BR6" s="14">
        <v>4</v>
      </c>
      <c r="BS6" s="14">
        <f>IFERROR(AVERAGE(Tabel1[[#This Row],[Up - A2a]:[Up - A2b]]),"")</f>
        <v>4</v>
      </c>
      <c r="BT6" s="14">
        <v>4</v>
      </c>
      <c r="BU6" s="14">
        <f>IFERROR(AVERAGE(Tabel1[[#This Row],[Up - A3a]:[Up - A3a]]),"")</f>
        <v>4</v>
      </c>
      <c r="BV6" s="14">
        <v>2.5</v>
      </c>
      <c r="BW6" s="14">
        <f>IFERROR(AVERAGE(Tabel1[[#This Row],[Up - A1]],Tabel1[[#This Row],[Up - A2]],Tabel1[[#This Row],[Up - A3]]),"")</f>
        <v>4</v>
      </c>
      <c r="BX6" s="14">
        <v>4</v>
      </c>
      <c r="BY6" s="14">
        <v>4</v>
      </c>
      <c r="BZ6" s="14">
        <f>IFERROR(AVERAGE(Tabel1[[#This Row],[In - R1a]:[In - R1b]]),"")</f>
        <v>4</v>
      </c>
      <c r="CA6" s="14">
        <v>2</v>
      </c>
      <c r="CB6" s="14">
        <v>4</v>
      </c>
      <c r="CC6" s="14">
        <v>1</v>
      </c>
      <c r="CD6" s="14">
        <v>5</v>
      </c>
      <c r="CE6" s="14">
        <f>IFERROR(AVERAGE(Tabel1[[#This Row],[In - R1]:[In - R5]]),"")</f>
        <v>3.2</v>
      </c>
      <c r="CF6" s="14">
        <v>3</v>
      </c>
      <c r="CG6" s="14">
        <v>3</v>
      </c>
      <c r="CH6" s="14">
        <v>3</v>
      </c>
      <c r="CI6" s="14">
        <f>IFERROR(AVERAGE(Tabel1[[#This Row],[In - C1a]:[In - C1c]]),"")</f>
        <v>3</v>
      </c>
      <c r="CJ6" s="14">
        <v>2</v>
      </c>
      <c r="CK6" s="14">
        <v>3</v>
      </c>
      <c r="CL6" s="14">
        <v>4</v>
      </c>
      <c r="CM6" s="14">
        <f>IFERROR(AVERAGE(Tabel1[[#This Row],[In - C1]:[In - C4]]),"")</f>
        <v>3</v>
      </c>
      <c r="CN6" s="14">
        <v>4</v>
      </c>
      <c r="CO6" s="14">
        <v>4</v>
      </c>
      <c r="CP6" s="14">
        <v>4</v>
      </c>
      <c r="CQ6" s="14">
        <f>IFERROR(AVERAGE(Tabel1[[#This Row],[In - F1a]:[In - F1c]]),"")</f>
        <v>4</v>
      </c>
      <c r="CR6" s="14">
        <v>3.5</v>
      </c>
      <c r="CS6" s="14">
        <v>3.5</v>
      </c>
      <c r="CT6" s="14">
        <f>IFERROR(AVERAGE(Tabel1[[#This Row],[In - F2a]:[In - F2b]]),"")</f>
        <v>3.5</v>
      </c>
      <c r="CU6" s="14">
        <v>2</v>
      </c>
      <c r="CV6" s="14">
        <f>IFERROR(AVERAGE(Tabel1[[#This Row],[In - F3a]:[In - F3a]]),"")</f>
        <v>2</v>
      </c>
      <c r="CW6" s="14" t="s">
        <v>189</v>
      </c>
      <c r="CX6" s="14">
        <f>IFERROR(AVERAGE(Tabel1[[#This Row],[In - F1]],Tabel1[[#This Row],[In - F2]],Tabel1[[#This Row],[In - F3]],Tabel1[[#This Row],[In - F4]]),"")</f>
        <v>3.1666666666666665</v>
      </c>
      <c r="CY6" s="14">
        <v>3</v>
      </c>
      <c r="CZ6" s="14">
        <v>3</v>
      </c>
      <c r="DA6" s="14">
        <v>3</v>
      </c>
      <c r="DB6" s="14">
        <f>IFERROR(AVERAGE(Tabel1[[#This Row],[In - V1a]:[In - V1c]]),"")</f>
        <v>3</v>
      </c>
      <c r="DC6" s="14">
        <v>2</v>
      </c>
      <c r="DD6" s="14">
        <v>2</v>
      </c>
      <c r="DE6" s="14">
        <v>2</v>
      </c>
      <c r="DF6" s="14">
        <f>IFERROR(AVERAGE(Tabel1[[#This Row],[In - V2a]:[In - V2c]]),"")</f>
        <v>2</v>
      </c>
      <c r="DG6" s="14">
        <v>3</v>
      </c>
      <c r="DH6" s="14">
        <v>3</v>
      </c>
      <c r="DI6" s="14">
        <f>IFERROR(AVERAGE(Tabel1[[#This Row],[In - V3a]:[In - V3b]]),"")</f>
        <v>3</v>
      </c>
      <c r="DJ6" s="14">
        <v>4</v>
      </c>
      <c r="DK6" s="14">
        <f>IFERROR(AVERAGE(Tabel1[[#This Row],[In - V1]],Tabel1[[#This Row],[In - V2]],Tabel1[[#This Row],[In - V3]],Tabel1[[#This Row],[In - V4]]),"")</f>
        <v>3</v>
      </c>
      <c r="DL6" s="14">
        <v>3</v>
      </c>
      <c r="DM6" s="14">
        <v>3</v>
      </c>
      <c r="DN6" s="14">
        <f>IFERROR(AVERAGE(Tabel1[[#This Row],[In - A1a]:[In - A1b]]),"")</f>
        <v>3</v>
      </c>
      <c r="DO6" s="14">
        <v>4</v>
      </c>
      <c r="DP6" s="14">
        <v>4</v>
      </c>
      <c r="DQ6" s="14">
        <f>IFERROR(AVERAGE(Tabel1[[#This Row],[In - A2a]:[In - A2b]]),"")</f>
        <v>4</v>
      </c>
      <c r="DR6" s="14">
        <v>2.5</v>
      </c>
      <c r="DS6" s="14">
        <v>2.5</v>
      </c>
      <c r="DT6" s="14">
        <f>IFERROR(AVERAGE(Tabel1[[#This Row],[In - A3a]:[In - A3a]]),"")</f>
        <v>2.5</v>
      </c>
      <c r="DU6" s="14">
        <v>2</v>
      </c>
      <c r="DV6" s="14">
        <f>IFERROR(AVERAGE(Tabel1[[#This Row],[In - A1]],Tabel1[[#This Row],[In - A2]],Tabel1[[#This Row],[In - A3]],Tabel1[[#This Row],[In - A4]]),"")</f>
        <v>2.875</v>
      </c>
      <c r="DW6" s="14">
        <v>4</v>
      </c>
      <c r="DX6" s="14">
        <v>4</v>
      </c>
      <c r="DY6" s="14" t="s">
        <v>189</v>
      </c>
      <c r="DZ6" s="14">
        <f>IFERROR(AVERAGE(Tabel1[[#This Row],[Do - R1a]:[Do - R1c]]),"")</f>
        <v>4</v>
      </c>
      <c r="EA6" s="14">
        <v>3</v>
      </c>
      <c r="EB6" s="14">
        <v>3</v>
      </c>
      <c r="EC6" s="14">
        <v>1</v>
      </c>
      <c r="ED6" s="14">
        <v>3</v>
      </c>
      <c r="EE6" s="14">
        <f>IFERROR(AVERAGE(Tabel1[[#This Row],[Do - R1]:[Do - R5]]),"")</f>
        <v>2.8</v>
      </c>
      <c r="EF6" s="14">
        <v>4</v>
      </c>
      <c r="EG6" s="14">
        <v>4</v>
      </c>
      <c r="EH6" s="14">
        <v>4</v>
      </c>
      <c r="EI6" s="14">
        <f>IFERROR(AVERAGE(Tabel1[[#This Row],[Do - C1a]:[Do - C1c]]),"")</f>
        <v>4</v>
      </c>
      <c r="EJ6" s="14">
        <v>3</v>
      </c>
      <c r="EK6" s="14">
        <v>3</v>
      </c>
      <c r="EL6" s="14">
        <v>4</v>
      </c>
      <c r="EM6" s="14">
        <f>IFERROR(AVERAGE(Tabel1[[#This Row],[Do - C1]:[Do - C4]]),"")</f>
        <v>3.5</v>
      </c>
      <c r="EN6" s="14">
        <v>3</v>
      </c>
      <c r="EO6" s="14">
        <v>3</v>
      </c>
      <c r="EP6" s="14" t="s">
        <v>189</v>
      </c>
      <c r="EQ6" s="14">
        <f>IFERROR(AVERAGE(Tabel1[[#This Row],[Do - F1a]:[Do - F1c]]),"")</f>
        <v>3</v>
      </c>
      <c r="ER6" s="14">
        <v>2</v>
      </c>
      <c r="ES6" s="14">
        <f>IFERROR(AVERAGE(Tabel1[[#This Row],[Do - F2a]:[Do - F2a]]),"")</f>
        <v>2</v>
      </c>
      <c r="ET6" s="14">
        <v>2</v>
      </c>
      <c r="EU6" s="14">
        <v>2</v>
      </c>
      <c r="EV6" s="14">
        <f>IFERROR(AVERAGE(Tabel1[[#This Row],[Do - F3a]:[Do - F3b]]),"")</f>
        <v>2</v>
      </c>
      <c r="EW6" s="14">
        <v>4</v>
      </c>
      <c r="EX6" s="14">
        <f>IFERROR(AVERAGE(Tabel1[[#This Row],[Do - F1]],Tabel1[[#This Row],[Do - F2]],Tabel1[[#This Row],[Do - F3]],Tabel1[[#This Row],[Do - F4]]),"")</f>
        <v>2.75</v>
      </c>
      <c r="EY6" s="14">
        <v>1</v>
      </c>
      <c r="EZ6" s="14">
        <v>1</v>
      </c>
      <c r="FA6" s="14">
        <v>1</v>
      </c>
      <c r="FB6" s="14">
        <f>IFERROR(AVERAGE(Tabel1[[#This Row],[Do - V1a]:[Do - V1c]]),"")</f>
        <v>1</v>
      </c>
      <c r="FC6" s="14">
        <v>2</v>
      </c>
      <c r="FD6" s="14">
        <v>2</v>
      </c>
      <c r="FE6" s="14">
        <f>IFERROR(AVERAGE(Tabel1[[#This Row],[Do - V2a]:[Do - V2b]]),"")</f>
        <v>2</v>
      </c>
      <c r="FF6" s="14">
        <v>3</v>
      </c>
      <c r="FG6" s="14">
        <f>IFERROR(AVERAGE(Tabel1[[#This Row],[Do - V3a]:[Do - V3a]]),"")</f>
        <v>3</v>
      </c>
      <c r="FH6" s="14">
        <v>4</v>
      </c>
      <c r="FI6" s="14">
        <f>IFERROR(AVERAGE(Tabel1[[#This Row],[Do - V1]],Tabel1[[#This Row],[Do - V2]],Tabel1[[#This Row],[Do - V3]],Tabel1[[#This Row],[Do - V4]]),"")</f>
        <v>2.5</v>
      </c>
      <c r="FJ6" s="14">
        <v>2</v>
      </c>
      <c r="FK6" s="14">
        <v>2</v>
      </c>
      <c r="FL6" s="14">
        <v>2</v>
      </c>
      <c r="FM6" s="14">
        <f>IFERROR(AVERAGE(Tabel1[[#This Row],[Do - A1a]:[Do - A1c]]),"")</f>
        <v>2</v>
      </c>
      <c r="FN6" s="14">
        <v>2</v>
      </c>
      <c r="FO6" s="14">
        <v>2</v>
      </c>
      <c r="FP6" s="14">
        <f>IFERROR(AVERAGE(Tabel1[[#This Row],[Do - A2a]:[Do - A2b]]),"")</f>
        <v>2</v>
      </c>
      <c r="FQ6" s="14">
        <v>4</v>
      </c>
      <c r="FR6" s="14">
        <f>IFERROR(AVERAGE(Tabel1[[#This Row],[Do - A3a]:[Do - A3a]]),"")</f>
        <v>4</v>
      </c>
      <c r="FS6" s="14">
        <v>2</v>
      </c>
      <c r="FT6" s="14">
        <f>IFERROR(AVERAGE(Tabel1[[#This Row],[Do - A1]],Tabel1[[#This Row],[Do - A2]],Tabel1[[#This Row],[Do - A3]],Tabel1[[#This Row],[Do - A4]]),"")</f>
        <v>2.5</v>
      </c>
      <c r="FU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2.9561111111111114</v>
      </c>
      <c r="FV6" s="16" t="s">
        <v>219</v>
      </c>
      <c r="FW6" t="b">
        <v>1</v>
      </c>
    </row>
    <row r="7" spans="1:179" x14ac:dyDescent="0.3">
      <c r="A7" s="13">
        <v>44883.589907407404</v>
      </c>
      <c r="B7" t="b">
        <v>0</v>
      </c>
      <c r="C7" s="14" t="s">
        <v>220</v>
      </c>
      <c r="D7" s="14" t="s">
        <v>221</v>
      </c>
      <c r="E7" s="14" t="s">
        <v>216</v>
      </c>
      <c r="F7" s="14" t="s">
        <v>184</v>
      </c>
      <c r="G7" s="3"/>
      <c r="H7" s="14" t="s">
        <v>222</v>
      </c>
      <c r="I7" s="14" t="s">
        <v>195</v>
      </c>
      <c r="J7" s="14" t="s">
        <v>217</v>
      </c>
      <c r="K7" s="14" t="s">
        <v>202</v>
      </c>
      <c r="L7" s="14" t="s">
        <v>197</v>
      </c>
      <c r="M7" s="14" t="s">
        <v>223</v>
      </c>
      <c r="N7" s="14" t="s">
        <v>223</v>
      </c>
      <c r="O7" s="14" t="s">
        <v>223</v>
      </c>
      <c r="P7" s="14" t="s">
        <v>223</v>
      </c>
      <c r="Q7" s="14" t="s">
        <v>223</v>
      </c>
      <c r="R7" s="14" t="s">
        <v>223</v>
      </c>
      <c r="S7" s="14" t="s">
        <v>223</v>
      </c>
      <c r="T7" s="14" t="s">
        <v>223</v>
      </c>
      <c r="U7" s="14" t="s">
        <v>223</v>
      </c>
      <c r="V7" s="14" t="s">
        <v>224</v>
      </c>
      <c r="W7" s="14" t="s">
        <v>207</v>
      </c>
      <c r="X7" s="14" t="s">
        <v>207</v>
      </c>
      <c r="Y7" s="14">
        <v>3</v>
      </c>
      <c r="Z7" s="14">
        <v>4</v>
      </c>
      <c r="AA7" s="14" t="s">
        <v>189</v>
      </c>
      <c r="AB7" s="15">
        <f>IFERROR(AVERAGE(Tabel1[[#This Row],[Up - R1a]:[Up - R1c]]),"")</f>
        <v>3.5</v>
      </c>
      <c r="AC7" s="14" t="s">
        <v>189</v>
      </c>
      <c r="AD7" s="14">
        <v>4</v>
      </c>
      <c r="AE7" s="14" t="s">
        <v>189</v>
      </c>
      <c r="AF7" s="14">
        <v>3</v>
      </c>
      <c r="AG7" s="14">
        <f>IFERROR(AVERAGE(Tabel1[[#This Row],[Up - R1]:[Up - R5]]),"")</f>
        <v>3.5</v>
      </c>
      <c r="AH7" s="14">
        <v>4</v>
      </c>
      <c r="AI7" s="14">
        <v>4</v>
      </c>
      <c r="AJ7" s="14">
        <v>4</v>
      </c>
      <c r="AK7" s="14">
        <f>IFERROR(AVERAGE(Tabel1[[#This Row],[Up - C1a]:[Up - C1c]]),"")</f>
        <v>4</v>
      </c>
      <c r="AL7" s="14" t="s">
        <v>189</v>
      </c>
      <c r="AM7" s="14" t="s">
        <v>189</v>
      </c>
      <c r="AN7" s="14">
        <v>3</v>
      </c>
      <c r="AO7" s="14">
        <f>IFERROR(AVERAGE(Tabel1[[#This Row],[Up - C1]:[Up - C4]]),"")</f>
        <v>3.5</v>
      </c>
      <c r="AP7" s="14" t="s">
        <v>189</v>
      </c>
      <c r="AQ7" s="14" t="str">
        <f>IFERROR(AVERAGE(Tabel1[[#This Row],[Up - F1a]:[Up - F1a]]),"")</f>
        <v/>
      </c>
      <c r="AR7" s="14">
        <v>2</v>
      </c>
      <c r="AS7" s="14">
        <v>2</v>
      </c>
      <c r="AT7" s="14">
        <f>IFERROR(AVERAGE(Tabel1[[#This Row],[Up - F2a]:[Up - F2b]]),"")</f>
        <v>2</v>
      </c>
      <c r="AU7" s="14">
        <v>4</v>
      </c>
      <c r="AV7" s="14" t="s">
        <v>189</v>
      </c>
      <c r="AW7" s="14">
        <f>IFERROR(AVERAGE(Tabel1[[#This Row],[Up - F3a]:[Up - F3b]]),"")</f>
        <v>4</v>
      </c>
      <c r="AX7" s="14">
        <v>2</v>
      </c>
      <c r="AY7" s="14">
        <f>IFERROR(AVERAGE(Tabel1[[#This Row],[Up - F1]],Tabel1[[#This Row],[Up - F2]],Tabel1[[#This Row],[Up - F3]],Tabel1[[#This Row],[Up - F4]]),"")</f>
        <v>2.6666666666666665</v>
      </c>
      <c r="AZ7" s="14">
        <v>4</v>
      </c>
      <c r="BA7" s="14">
        <v>2</v>
      </c>
      <c r="BB7" s="14">
        <f>IFERROR(AVERAGE(Tabel1[[#This Row],[Up - V1a]:[Up - V1b]]),"")</f>
        <v>3</v>
      </c>
      <c r="BC7" s="14">
        <v>1</v>
      </c>
      <c r="BD7" s="14" t="s">
        <v>189</v>
      </c>
      <c r="BE7" s="14" t="s">
        <v>189</v>
      </c>
      <c r="BF7" s="14">
        <f>IFERROR(AVERAGE(Tabel1[[#This Row],[Up - V2a]:[Up - V2c]]),"")</f>
        <v>1</v>
      </c>
      <c r="BG7" s="14" t="s">
        <v>189</v>
      </c>
      <c r="BH7" s="14">
        <v>3</v>
      </c>
      <c r="BI7" s="14">
        <f>IFERROR(AVERAGE(Tabel1[[#This Row],[Up - V3a]:[Up - V3b]]),"")</f>
        <v>3</v>
      </c>
      <c r="BJ7" s="14" t="s">
        <v>189</v>
      </c>
      <c r="BK7" s="14">
        <f>IFERROR(AVERAGE(Tabel1[[#This Row],[Up - V1]],Tabel1[[#This Row],[Up - V2]],Tabel1[[#This Row],[Up - V3]],Tabel1[[#This Row],[Up - V4]]),"")</f>
        <v>2.3333333333333335</v>
      </c>
      <c r="BL7" s="14">
        <v>3</v>
      </c>
      <c r="BM7" s="14" t="s">
        <v>189</v>
      </c>
      <c r="BN7" s="14">
        <v>3</v>
      </c>
      <c r="BO7" s="14" t="s">
        <v>189</v>
      </c>
      <c r="BP7" s="14">
        <f>IFERROR(AVERAGE(Tabel1[[#This Row],[Up - A1a]:[Up - A1d]]),"")</f>
        <v>3</v>
      </c>
      <c r="BQ7" s="14" t="s">
        <v>189</v>
      </c>
      <c r="BR7" s="14">
        <v>4</v>
      </c>
      <c r="BS7" s="14">
        <f>IFERROR(AVERAGE(Tabel1[[#This Row],[Up - A2a]:[Up - A2b]]),"")</f>
        <v>4</v>
      </c>
      <c r="BT7" s="14">
        <v>3</v>
      </c>
      <c r="BU7" s="14">
        <f>IFERROR(AVERAGE(Tabel1[[#This Row],[Up - A3a]:[Up - A3a]]),"")</f>
        <v>3</v>
      </c>
      <c r="BV7" s="14">
        <v>1</v>
      </c>
      <c r="BW7" s="14">
        <f>IFERROR(AVERAGE(Tabel1[[#This Row],[Up - A1]],Tabel1[[#This Row],[Up - A2]],Tabel1[[#This Row],[Up - A3]]),"")</f>
        <v>3.3333333333333335</v>
      </c>
      <c r="BX7" s="14">
        <v>3</v>
      </c>
      <c r="BY7" s="14">
        <v>4</v>
      </c>
      <c r="BZ7" s="14">
        <f>IFERROR(AVERAGE(Tabel1[[#This Row],[In - R1a]:[In - R1b]]),"")</f>
        <v>3.5</v>
      </c>
      <c r="CA7" s="14">
        <v>4</v>
      </c>
      <c r="CB7" s="14">
        <v>4</v>
      </c>
      <c r="CC7" s="14" t="s">
        <v>189</v>
      </c>
      <c r="CD7" s="14">
        <v>4</v>
      </c>
      <c r="CE7" s="14">
        <f>IFERROR(AVERAGE(Tabel1[[#This Row],[In - R1]:[In - R5]]),"")</f>
        <v>3.875</v>
      </c>
      <c r="CF7" s="14">
        <v>4</v>
      </c>
      <c r="CG7" s="14">
        <v>3</v>
      </c>
      <c r="CH7" s="14">
        <v>4</v>
      </c>
      <c r="CI7" s="14">
        <f>IFERROR(AVERAGE(Tabel1[[#This Row],[In - C1a]:[In - C1c]]),"")</f>
        <v>3.6666666666666665</v>
      </c>
      <c r="CJ7" s="14" t="s">
        <v>189</v>
      </c>
      <c r="CK7" s="14">
        <v>3</v>
      </c>
      <c r="CL7" s="14">
        <v>2</v>
      </c>
      <c r="CM7" s="14">
        <f>IFERROR(AVERAGE(Tabel1[[#This Row],[In - C1]:[In - C4]]),"")</f>
        <v>2.8888888888888888</v>
      </c>
      <c r="CN7" s="14">
        <v>3</v>
      </c>
      <c r="CO7" s="14" t="s">
        <v>189</v>
      </c>
      <c r="CP7" s="14">
        <v>2</v>
      </c>
      <c r="CQ7" s="14">
        <f>IFERROR(AVERAGE(Tabel1[[#This Row],[In - F1a]:[In - F1c]]),"")</f>
        <v>2.5</v>
      </c>
      <c r="CR7" s="14">
        <v>4</v>
      </c>
      <c r="CS7" s="14">
        <v>2</v>
      </c>
      <c r="CT7" s="14">
        <f>IFERROR(AVERAGE(Tabel1[[#This Row],[In - F2a]:[In - F2b]]),"")</f>
        <v>3</v>
      </c>
      <c r="CU7" s="14" t="s">
        <v>189</v>
      </c>
      <c r="CV7" s="14" t="str">
        <f>IFERROR(AVERAGE(Tabel1[[#This Row],[In - F3a]:[In - F3a]]),"")</f>
        <v/>
      </c>
      <c r="CW7" s="14">
        <v>2</v>
      </c>
      <c r="CX7" s="14">
        <f>IFERROR(AVERAGE(Tabel1[[#This Row],[In - F1]],Tabel1[[#This Row],[In - F2]],Tabel1[[#This Row],[In - F3]],Tabel1[[#This Row],[In - F4]]),"")</f>
        <v>2.5</v>
      </c>
      <c r="CY7" s="14">
        <v>1</v>
      </c>
      <c r="CZ7" s="14">
        <v>2</v>
      </c>
      <c r="DA7" s="14">
        <v>2</v>
      </c>
      <c r="DB7" s="14">
        <f>IFERROR(AVERAGE(Tabel1[[#This Row],[In - V1a]:[In - V1c]]),"")</f>
        <v>1.6666666666666667</v>
      </c>
      <c r="DC7" s="14">
        <v>2</v>
      </c>
      <c r="DD7" s="14">
        <v>2</v>
      </c>
      <c r="DE7" s="14">
        <v>3</v>
      </c>
      <c r="DF7" s="14">
        <f>IFERROR(AVERAGE(Tabel1[[#This Row],[In - V2a]:[In - V2c]]),"")</f>
        <v>2.3333333333333335</v>
      </c>
      <c r="DG7" s="14">
        <v>3</v>
      </c>
      <c r="DH7" s="14">
        <v>3</v>
      </c>
      <c r="DI7" s="14">
        <f>IFERROR(AVERAGE(Tabel1[[#This Row],[In - V3a]:[In - V3b]]),"")</f>
        <v>3</v>
      </c>
      <c r="DJ7" s="14">
        <v>2</v>
      </c>
      <c r="DK7" s="14">
        <f>IFERROR(AVERAGE(Tabel1[[#This Row],[In - V1]],Tabel1[[#This Row],[In - V2]],Tabel1[[#This Row],[In - V3]],Tabel1[[#This Row],[In - V4]]),"")</f>
        <v>2.25</v>
      </c>
      <c r="DL7" s="14">
        <v>4</v>
      </c>
      <c r="DM7" s="14">
        <v>3</v>
      </c>
      <c r="DN7" s="14">
        <f>IFERROR(AVERAGE(Tabel1[[#This Row],[In - A1a]:[In - A1b]]),"")</f>
        <v>3.5</v>
      </c>
      <c r="DO7" s="14" t="s">
        <v>189</v>
      </c>
      <c r="DP7" s="14">
        <v>4</v>
      </c>
      <c r="DQ7" s="14">
        <f>IFERROR(AVERAGE(Tabel1[[#This Row],[In - A2a]:[In - A2b]]),"")</f>
        <v>4</v>
      </c>
      <c r="DR7" s="14">
        <v>3</v>
      </c>
      <c r="DS7" s="14">
        <v>2</v>
      </c>
      <c r="DT7" s="14">
        <f>IFERROR(AVERAGE(Tabel1[[#This Row],[In - A3a]:[In - A3a]]),"")</f>
        <v>3</v>
      </c>
      <c r="DU7" s="14">
        <v>2</v>
      </c>
      <c r="DV7" s="14">
        <f>IFERROR(AVERAGE(Tabel1[[#This Row],[In - A1]],Tabel1[[#This Row],[In - A2]],Tabel1[[#This Row],[In - A3]],Tabel1[[#This Row],[In - A4]]),"")</f>
        <v>3.125</v>
      </c>
      <c r="DW7" s="14">
        <v>2</v>
      </c>
      <c r="DX7" s="14" t="s">
        <v>189</v>
      </c>
      <c r="DY7" s="14" t="s">
        <v>189</v>
      </c>
      <c r="DZ7" s="14">
        <f>IFERROR(AVERAGE(Tabel1[[#This Row],[Do - R1a]:[Do - R1c]]),"")</f>
        <v>2</v>
      </c>
      <c r="EA7" s="14" t="s">
        <v>189</v>
      </c>
      <c r="EB7" s="14" t="s">
        <v>189</v>
      </c>
      <c r="EC7" s="14" t="s">
        <v>189</v>
      </c>
      <c r="ED7" s="14" t="s">
        <v>189</v>
      </c>
      <c r="EE7" s="14">
        <f>IFERROR(AVERAGE(Tabel1[[#This Row],[Do - R1]:[Do - R5]]),"")</f>
        <v>2</v>
      </c>
      <c r="EF7" s="14" t="s">
        <v>189</v>
      </c>
      <c r="EG7" s="14">
        <v>4</v>
      </c>
      <c r="EH7" s="14">
        <v>4</v>
      </c>
      <c r="EI7" s="14">
        <f>IFERROR(AVERAGE(Tabel1[[#This Row],[Do - C1a]:[Do - C1c]]),"")</f>
        <v>4</v>
      </c>
      <c r="EJ7" s="14" t="s">
        <v>189</v>
      </c>
      <c r="EK7" s="14" t="s">
        <v>189</v>
      </c>
      <c r="EL7" s="14">
        <v>1</v>
      </c>
      <c r="EM7" s="14">
        <f>IFERROR(AVERAGE(Tabel1[[#This Row],[Do - C1]:[Do - C4]]),"")</f>
        <v>2.5</v>
      </c>
      <c r="EN7" s="14">
        <v>2</v>
      </c>
      <c r="EO7" s="14" t="s">
        <v>189</v>
      </c>
      <c r="EP7" s="14" t="s">
        <v>189</v>
      </c>
      <c r="EQ7" s="14">
        <f>IFERROR(AVERAGE(Tabel1[[#This Row],[Do - F1a]:[Do - F1c]]),"")</f>
        <v>2</v>
      </c>
      <c r="ER7" s="14">
        <v>2</v>
      </c>
      <c r="ES7" s="14">
        <f>IFERROR(AVERAGE(Tabel1[[#This Row],[Do - F2a]:[Do - F2a]]),"")</f>
        <v>2</v>
      </c>
      <c r="ET7" s="14" t="s">
        <v>189</v>
      </c>
      <c r="EU7" s="14" t="s">
        <v>189</v>
      </c>
      <c r="EV7" s="14" t="str">
        <f>IFERROR(AVERAGE(Tabel1[[#This Row],[Do - F3a]:[Do - F3b]]),"")</f>
        <v/>
      </c>
      <c r="EW7" s="14" t="s">
        <v>189</v>
      </c>
      <c r="EX7" s="14">
        <f>IFERROR(AVERAGE(Tabel1[[#This Row],[Do - F1]],Tabel1[[#This Row],[Do - F2]],Tabel1[[#This Row],[Do - F3]],Tabel1[[#This Row],[Do - F4]]),"")</f>
        <v>2</v>
      </c>
      <c r="EY7" s="14" t="s">
        <v>189</v>
      </c>
      <c r="EZ7" s="14" t="s">
        <v>189</v>
      </c>
      <c r="FA7" s="14">
        <v>4</v>
      </c>
      <c r="FB7" s="14">
        <f>IFERROR(AVERAGE(Tabel1[[#This Row],[Do - V1a]:[Do - V1c]]),"")</f>
        <v>4</v>
      </c>
      <c r="FC7" s="14" t="s">
        <v>189</v>
      </c>
      <c r="FD7" s="14" t="s">
        <v>189</v>
      </c>
      <c r="FE7" s="14" t="str">
        <f>IFERROR(AVERAGE(Tabel1[[#This Row],[Do - V2a]:[Do - V2b]]),"")</f>
        <v/>
      </c>
      <c r="FF7" s="14" t="s">
        <v>189</v>
      </c>
      <c r="FG7" s="14" t="str">
        <f>IFERROR(AVERAGE(Tabel1[[#This Row],[Do - V3a]:[Do - V3a]]),"")</f>
        <v/>
      </c>
      <c r="FH7" s="14" t="s">
        <v>189</v>
      </c>
      <c r="FI7" s="14">
        <f>IFERROR(AVERAGE(Tabel1[[#This Row],[Do - V1]],Tabel1[[#This Row],[Do - V2]],Tabel1[[#This Row],[Do - V3]],Tabel1[[#This Row],[Do - V4]]),"")</f>
        <v>4</v>
      </c>
      <c r="FJ7" s="14" t="s">
        <v>189</v>
      </c>
      <c r="FK7" s="14" t="s">
        <v>189</v>
      </c>
      <c r="FL7" s="14" t="s">
        <v>189</v>
      </c>
      <c r="FM7" s="14" t="str">
        <f>IFERROR(AVERAGE(Tabel1[[#This Row],[Do - A1a]:[Do - A1c]]),"")</f>
        <v/>
      </c>
      <c r="FN7" s="14" t="s">
        <v>189</v>
      </c>
      <c r="FO7" s="14" t="s">
        <v>189</v>
      </c>
      <c r="FP7" s="14" t="str">
        <f>IFERROR(AVERAGE(Tabel1[[#This Row],[Do - A2a]:[Do - A2b]]),"")</f>
        <v/>
      </c>
      <c r="FQ7" s="14" t="s">
        <v>189</v>
      </c>
      <c r="FR7" s="14" t="str">
        <f>IFERROR(AVERAGE(Tabel1[[#This Row],[Do - A3a]:[Do - A3a]]),"")</f>
        <v/>
      </c>
      <c r="FS7" s="14" t="s">
        <v>189</v>
      </c>
      <c r="FT7" s="14" t="str">
        <f>IFERROR(AVERAGE(Tabel1[[#This Row],[Do - A1]],Tabel1[[#This Row],[Do - A2]],Tabel1[[#This Row],[Do - A3]],Tabel1[[#This Row],[Do - A4]]),"")</f>
        <v/>
      </c>
      <c r="FU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2.8908730158730163</v>
      </c>
      <c r="FV7" s="16" t="s">
        <v>225</v>
      </c>
      <c r="FW7" t="b">
        <v>1</v>
      </c>
    </row>
    <row r="8" spans="1:179" x14ac:dyDescent="0.3">
      <c r="A8" s="13">
        <v>44883.589907407404</v>
      </c>
      <c r="B8" t="b">
        <v>0</v>
      </c>
      <c r="C8" s="14" t="s">
        <v>226</v>
      </c>
      <c r="D8" s="14" t="s">
        <v>227</v>
      </c>
      <c r="E8" s="14" t="s">
        <v>216</v>
      </c>
      <c r="F8" s="14" t="s">
        <v>184</v>
      </c>
      <c r="G8" s="3" t="s">
        <v>228</v>
      </c>
      <c r="H8" s="14" t="s">
        <v>222</v>
      </c>
      <c r="I8" s="14" t="s">
        <v>195</v>
      </c>
      <c r="J8" s="14" t="s">
        <v>217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>
        <v>3</v>
      </c>
      <c r="Z8" s="14">
        <v>3</v>
      </c>
      <c r="AA8" s="14">
        <v>3</v>
      </c>
      <c r="AB8" s="15">
        <f>IFERROR(AVERAGE(Tabel1[[#This Row],[Up - R1a]:[Up - R1c]]),"")</f>
        <v>3</v>
      </c>
      <c r="AC8" s="14">
        <v>2</v>
      </c>
      <c r="AD8" s="14">
        <v>3</v>
      </c>
      <c r="AE8" s="14">
        <v>3</v>
      </c>
      <c r="AF8" s="14">
        <v>4</v>
      </c>
      <c r="AG8" s="14">
        <f>IFERROR(AVERAGE(Tabel1[[#This Row],[Up - R1]:[Up - R5]]),"")</f>
        <v>3</v>
      </c>
      <c r="AH8" s="14">
        <v>4</v>
      </c>
      <c r="AI8" s="14">
        <v>4</v>
      </c>
      <c r="AJ8" s="14">
        <v>3</v>
      </c>
      <c r="AK8" s="14">
        <f>IFERROR(AVERAGE(Tabel1[[#This Row],[Up - C1a]:[Up - C1c]]),"")</f>
        <v>3.6666666666666665</v>
      </c>
      <c r="AL8" s="14">
        <v>3</v>
      </c>
      <c r="AM8" s="14">
        <v>3</v>
      </c>
      <c r="AN8" s="14" t="s">
        <v>189</v>
      </c>
      <c r="AO8" s="14">
        <f>IFERROR(AVERAGE(Tabel1[[#This Row],[Up - C1]:[Up - C4]]),"")</f>
        <v>3.2222222222222219</v>
      </c>
      <c r="AP8" s="14">
        <v>3</v>
      </c>
      <c r="AQ8" s="14">
        <f>IFERROR(AVERAGE(Tabel1[[#This Row],[Up - F1a]:[Up - F1a]]),"")</f>
        <v>3</v>
      </c>
      <c r="AR8" s="14">
        <v>2</v>
      </c>
      <c r="AS8" s="14">
        <v>1</v>
      </c>
      <c r="AT8" s="14">
        <f>IFERROR(AVERAGE(Tabel1[[#This Row],[Up - F2a]:[Up - F2b]]),"")</f>
        <v>1.5</v>
      </c>
      <c r="AU8" s="14">
        <v>2</v>
      </c>
      <c r="AV8" s="14">
        <v>2</v>
      </c>
      <c r="AW8" s="14">
        <f>IFERROR(AVERAGE(Tabel1[[#This Row],[Up - F3a]:[Up - F3b]]),"")</f>
        <v>2</v>
      </c>
      <c r="AX8" s="14">
        <v>2</v>
      </c>
      <c r="AY8" s="14">
        <f>IFERROR(AVERAGE(Tabel1[[#This Row],[Up - F1]],Tabel1[[#This Row],[Up - F2]],Tabel1[[#This Row],[Up - F3]],Tabel1[[#This Row],[Up - F4]]),"")</f>
        <v>2.125</v>
      </c>
      <c r="AZ8" s="14">
        <v>3</v>
      </c>
      <c r="BA8" s="14">
        <v>2</v>
      </c>
      <c r="BB8" s="14">
        <f>IFERROR(AVERAGE(Tabel1[[#This Row],[Up - V1a]:[Up - V1b]]),"")</f>
        <v>2.5</v>
      </c>
      <c r="BC8" s="14">
        <v>5</v>
      </c>
      <c r="BD8" s="14">
        <v>1</v>
      </c>
      <c r="BE8" s="14">
        <v>4</v>
      </c>
      <c r="BF8" s="14">
        <f>IFERROR(AVERAGE(Tabel1[[#This Row],[Up - V2a]:[Up - V2c]]),"")</f>
        <v>3.3333333333333335</v>
      </c>
      <c r="BG8" s="14">
        <v>2</v>
      </c>
      <c r="BH8" s="14">
        <v>3</v>
      </c>
      <c r="BI8" s="14">
        <f>IFERROR(AVERAGE(Tabel1[[#This Row],[Up - V3a]:[Up - V3b]]),"")</f>
        <v>2.5</v>
      </c>
      <c r="BJ8" s="14">
        <v>3</v>
      </c>
      <c r="BK8" s="14">
        <f>IFERROR(AVERAGE(Tabel1[[#This Row],[Up - V1]],Tabel1[[#This Row],[Up - V2]],Tabel1[[#This Row],[Up - V3]],Tabel1[[#This Row],[Up - V4]]),"")</f>
        <v>2.8333333333333335</v>
      </c>
      <c r="BL8" s="14">
        <v>4</v>
      </c>
      <c r="BM8" s="14">
        <v>5</v>
      </c>
      <c r="BN8" s="14">
        <v>3</v>
      </c>
      <c r="BO8" s="14" t="s">
        <v>189</v>
      </c>
      <c r="BP8" s="14">
        <f>IFERROR(AVERAGE(Tabel1[[#This Row],[Up - A1a]:[Up - A1d]]),"")</f>
        <v>4</v>
      </c>
      <c r="BQ8" s="14">
        <v>4</v>
      </c>
      <c r="BR8" s="14">
        <v>5</v>
      </c>
      <c r="BS8" s="14">
        <f>IFERROR(AVERAGE(Tabel1[[#This Row],[Up - A2a]:[Up - A2b]]),"")</f>
        <v>4.5</v>
      </c>
      <c r="BT8" s="14">
        <v>4</v>
      </c>
      <c r="BU8" s="14">
        <f>IFERROR(AVERAGE(Tabel1[[#This Row],[Up - A3a]:[Up - A3a]]),"")</f>
        <v>4</v>
      </c>
      <c r="BV8" s="14" t="s">
        <v>189</v>
      </c>
      <c r="BW8" s="14">
        <f>IFERROR(AVERAGE(Tabel1[[#This Row],[Up - A1]],Tabel1[[#This Row],[Up - A2]],Tabel1[[#This Row],[Up - A3]]),"")</f>
        <v>4.166666666666667</v>
      </c>
      <c r="BX8" s="14">
        <v>3</v>
      </c>
      <c r="BY8" s="14">
        <v>4</v>
      </c>
      <c r="BZ8" s="14">
        <f>IFERROR(AVERAGE(Tabel1[[#This Row],[In - R1a]:[In - R1b]]),"")</f>
        <v>3.5</v>
      </c>
      <c r="CA8" s="14">
        <v>3</v>
      </c>
      <c r="CB8" s="14">
        <v>2</v>
      </c>
      <c r="CC8" s="14">
        <v>2</v>
      </c>
      <c r="CD8" s="14">
        <v>5</v>
      </c>
      <c r="CE8" s="14">
        <f>IFERROR(AVERAGE(Tabel1[[#This Row],[In - R1]:[In - R5]]),"")</f>
        <v>3.1</v>
      </c>
      <c r="CF8" s="14">
        <v>4</v>
      </c>
      <c r="CG8" s="14">
        <v>3</v>
      </c>
      <c r="CH8" s="14">
        <v>3</v>
      </c>
      <c r="CI8" s="14">
        <f>IFERROR(AVERAGE(Tabel1[[#This Row],[In - C1a]:[In - C1c]]),"")</f>
        <v>3.3333333333333335</v>
      </c>
      <c r="CJ8" s="14">
        <v>4</v>
      </c>
      <c r="CK8" s="14">
        <v>4</v>
      </c>
      <c r="CL8" s="14">
        <v>1</v>
      </c>
      <c r="CM8" s="14">
        <f>IFERROR(AVERAGE(Tabel1[[#This Row],[In - C1]:[In - C4]]),"")</f>
        <v>3.0833333333333335</v>
      </c>
      <c r="CN8" s="14">
        <v>3</v>
      </c>
      <c r="CO8" s="14">
        <v>4</v>
      </c>
      <c r="CP8" s="14">
        <v>2</v>
      </c>
      <c r="CQ8" s="14">
        <f>IFERROR(AVERAGE(Tabel1[[#This Row],[In - F1a]:[In - F1c]]),"")</f>
        <v>3</v>
      </c>
      <c r="CR8" s="14">
        <v>2</v>
      </c>
      <c r="CS8" s="14">
        <v>1</v>
      </c>
      <c r="CT8" s="14">
        <f>IFERROR(AVERAGE(Tabel1[[#This Row],[In - F2a]:[In - F2b]]),"")</f>
        <v>1.5</v>
      </c>
      <c r="CU8" s="14">
        <v>2</v>
      </c>
      <c r="CV8" s="14">
        <f>IFERROR(AVERAGE(Tabel1[[#This Row],[In - F3a]:[In - F3a]]),"")</f>
        <v>2</v>
      </c>
      <c r="CW8" s="14">
        <v>4</v>
      </c>
      <c r="CX8" s="14">
        <f>IFERROR(AVERAGE(Tabel1[[#This Row],[In - F1]],Tabel1[[#This Row],[In - F2]],Tabel1[[#This Row],[In - F3]],Tabel1[[#This Row],[In - F4]]),"")</f>
        <v>2.625</v>
      </c>
      <c r="CY8" s="14">
        <v>2</v>
      </c>
      <c r="CZ8" s="14">
        <v>2</v>
      </c>
      <c r="DA8" s="14">
        <v>2</v>
      </c>
      <c r="DB8" s="14">
        <f>IFERROR(AVERAGE(Tabel1[[#This Row],[In - V1a]:[In - V1c]]),"")</f>
        <v>2</v>
      </c>
      <c r="DC8" s="14">
        <v>3</v>
      </c>
      <c r="DD8" s="14">
        <v>2</v>
      </c>
      <c r="DE8" s="14">
        <v>2</v>
      </c>
      <c r="DF8" s="14">
        <f>IFERROR(AVERAGE(Tabel1[[#This Row],[In - V2a]:[In - V2c]]),"")</f>
        <v>2.3333333333333335</v>
      </c>
      <c r="DG8" s="14">
        <v>3</v>
      </c>
      <c r="DH8" s="14">
        <v>4</v>
      </c>
      <c r="DI8" s="14">
        <f>IFERROR(AVERAGE(Tabel1[[#This Row],[In - V3a]:[In - V3b]]),"")</f>
        <v>3.5</v>
      </c>
      <c r="DJ8" s="14">
        <v>4</v>
      </c>
      <c r="DK8" s="14">
        <f>IFERROR(AVERAGE(Tabel1[[#This Row],[In - V1]],Tabel1[[#This Row],[In - V2]],Tabel1[[#This Row],[In - V3]],Tabel1[[#This Row],[In - V4]]),"")</f>
        <v>2.9583333333333335</v>
      </c>
      <c r="DL8" s="14">
        <v>5</v>
      </c>
      <c r="DM8" s="14">
        <v>3</v>
      </c>
      <c r="DN8" s="14">
        <f>IFERROR(AVERAGE(Tabel1[[#This Row],[In - A1a]:[In - A1b]]),"")</f>
        <v>4</v>
      </c>
      <c r="DO8" s="14">
        <v>3</v>
      </c>
      <c r="DP8" s="14">
        <v>3</v>
      </c>
      <c r="DQ8" s="14">
        <f>IFERROR(AVERAGE(Tabel1[[#This Row],[In - A2a]:[In - A2b]]),"")</f>
        <v>3</v>
      </c>
      <c r="DR8" s="14">
        <v>3</v>
      </c>
      <c r="DS8" s="14">
        <v>3</v>
      </c>
      <c r="DT8" s="14">
        <f>IFERROR(AVERAGE(Tabel1[[#This Row],[In - A3a]:[In - A3a]]),"")</f>
        <v>3</v>
      </c>
      <c r="DU8" s="14" t="s">
        <v>189</v>
      </c>
      <c r="DV8" s="14">
        <f>IFERROR(AVERAGE(Tabel1[[#This Row],[In - A1]],Tabel1[[#This Row],[In - A2]],Tabel1[[#This Row],[In - A3]],Tabel1[[#This Row],[In - A4]]),"")</f>
        <v>3.3333333333333335</v>
      </c>
      <c r="DW8" s="14">
        <v>2</v>
      </c>
      <c r="DX8" s="14">
        <v>5</v>
      </c>
      <c r="DY8" s="14">
        <v>3</v>
      </c>
      <c r="DZ8" s="14">
        <f>IFERROR(AVERAGE(Tabel1[[#This Row],[Do - R1a]:[Do - R1c]]),"")</f>
        <v>3.3333333333333335</v>
      </c>
      <c r="EA8" s="14">
        <v>4</v>
      </c>
      <c r="EB8" s="14">
        <v>2</v>
      </c>
      <c r="EC8" s="14">
        <v>1</v>
      </c>
      <c r="ED8" s="14">
        <v>5</v>
      </c>
      <c r="EE8" s="14">
        <f>IFERROR(AVERAGE(Tabel1[[#This Row],[Do - R1]:[Do - R5]]),"")</f>
        <v>3.0666666666666669</v>
      </c>
      <c r="EF8" s="14">
        <v>4</v>
      </c>
      <c r="EG8" s="14">
        <v>3</v>
      </c>
      <c r="EH8" s="14">
        <v>3</v>
      </c>
      <c r="EI8" s="14">
        <f>IFERROR(AVERAGE(Tabel1[[#This Row],[Do - C1a]:[Do - C1c]]),"")</f>
        <v>3.3333333333333335</v>
      </c>
      <c r="EJ8" s="14">
        <v>2</v>
      </c>
      <c r="EK8" s="14">
        <v>2</v>
      </c>
      <c r="EL8" s="14" t="s">
        <v>189</v>
      </c>
      <c r="EM8" s="14">
        <f>IFERROR(AVERAGE(Tabel1[[#This Row],[Do - C1]:[Do - C4]]),"")</f>
        <v>2.4444444444444446</v>
      </c>
      <c r="EN8" s="14">
        <v>3</v>
      </c>
      <c r="EO8" s="14">
        <v>2</v>
      </c>
      <c r="EP8" s="14">
        <v>3</v>
      </c>
      <c r="EQ8" s="14">
        <f>IFERROR(AVERAGE(Tabel1[[#This Row],[Do - F1a]:[Do - F1c]]),"")</f>
        <v>2.6666666666666665</v>
      </c>
      <c r="ER8" s="14">
        <v>1</v>
      </c>
      <c r="ES8" s="14">
        <f>IFERROR(AVERAGE(Tabel1[[#This Row],[Do - F2a]:[Do - F2a]]),"")</f>
        <v>1</v>
      </c>
      <c r="ET8" s="14">
        <v>2</v>
      </c>
      <c r="EU8" s="14">
        <v>2</v>
      </c>
      <c r="EV8" s="14">
        <f>IFERROR(AVERAGE(Tabel1[[#This Row],[Do - F3a]:[Do - F3b]]),"")</f>
        <v>2</v>
      </c>
      <c r="EW8" s="14">
        <v>2</v>
      </c>
      <c r="EX8" s="14">
        <f>IFERROR(AVERAGE(Tabel1[[#This Row],[Do - F1]],Tabel1[[#This Row],[Do - F2]],Tabel1[[#This Row],[Do - F3]],Tabel1[[#This Row],[Do - F4]]),"")</f>
        <v>1.9166666666666665</v>
      </c>
      <c r="EY8" s="14">
        <v>4</v>
      </c>
      <c r="EZ8" s="14">
        <v>1</v>
      </c>
      <c r="FA8" s="14">
        <v>4</v>
      </c>
      <c r="FB8" s="14">
        <f>IFERROR(AVERAGE(Tabel1[[#This Row],[Do - V1a]:[Do - V1c]]),"")</f>
        <v>3</v>
      </c>
      <c r="FC8" s="14">
        <v>4</v>
      </c>
      <c r="FD8" s="14">
        <v>4</v>
      </c>
      <c r="FE8" s="14">
        <f>IFERROR(AVERAGE(Tabel1[[#This Row],[Do - V2a]:[Do - V2b]]),"")</f>
        <v>4</v>
      </c>
      <c r="FF8" s="14">
        <v>4</v>
      </c>
      <c r="FG8" s="14">
        <f>IFERROR(AVERAGE(Tabel1[[#This Row],[Do - V3a]:[Do - V3a]]),"")</f>
        <v>4</v>
      </c>
      <c r="FH8" s="14">
        <v>5</v>
      </c>
      <c r="FI8" s="14">
        <f>IFERROR(AVERAGE(Tabel1[[#This Row],[Do - V1]],Tabel1[[#This Row],[Do - V2]],Tabel1[[#This Row],[Do - V3]],Tabel1[[#This Row],[Do - V4]]),"")</f>
        <v>4</v>
      </c>
      <c r="FJ8" s="14">
        <v>3</v>
      </c>
      <c r="FK8" s="14">
        <v>3</v>
      </c>
      <c r="FL8" s="14">
        <v>5</v>
      </c>
      <c r="FM8" s="14">
        <f>IFERROR(AVERAGE(Tabel1[[#This Row],[Do - A1a]:[Do - A1c]]),"")</f>
        <v>3.6666666666666665</v>
      </c>
      <c r="FN8" s="14">
        <v>4</v>
      </c>
      <c r="FO8" s="14">
        <v>3</v>
      </c>
      <c r="FP8" s="14">
        <f>IFERROR(AVERAGE(Tabel1[[#This Row],[Do - A2a]:[Do - A2b]]),"")</f>
        <v>3.5</v>
      </c>
      <c r="FQ8" s="14">
        <v>3</v>
      </c>
      <c r="FR8" s="14">
        <f>IFERROR(AVERAGE(Tabel1[[#This Row],[Do - A3a]:[Do - A3a]]),"")</f>
        <v>3</v>
      </c>
      <c r="FS8" s="14" t="s">
        <v>189</v>
      </c>
      <c r="FT8" s="14">
        <f>IFERROR(AVERAGE(Tabel1[[#This Row],[Do - A1]],Tabel1[[#This Row],[Do - A2]],Tabel1[[#This Row],[Do - A3]],Tabel1[[#This Row],[Do - A4]]),"")</f>
        <v>3.3888888888888888</v>
      </c>
      <c r="FU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3.0175925925925919</v>
      </c>
      <c r="FV8" s="16" t="s">
        <v>229</v>
      </c>
      <c r="FW8" t="b">
        <v>1</v>
      </c>
    </row>
    <row r="9" spans="1:179" x14ac:dyDescent="0.3">
      <c r="A9" s="13">
        <v>44883.589907407404</v>
      </c>
      <c r="B9" t="b">
        <v>0</v>
      </c>
      <c r="C9" s="14" t="s">
        <v>230</v>
      </c>
      <c r="D9" s="14" t="s">
        <v>231</v>
      </c>
      <c r="E9" s="14" t="s">
        <v>216</v>
      </c>
      <c r="F9" s="14" t="s">
        <v>184</v>
      </c>
      <c r="G9" s="14" t="s">
        <v>232</v>
      </c>
      <c r="H9" s="14" t="s">
        <v>222</v>
      </c>
      <c r="I9" s="14" t="s">
        <v>195</v>
      </c>
      <c r="J9" s="14" t="s">
        <v>217</v>
      </c>
      <c r="K9" s="14" t="s">
        <v>187</v>
      </c>
      <c r="L9" s="14" t="s">
        <v>218</v>
      </c>
      <c r="M9" s="14" t="s">
        <v>233</v>
      </c>
      <c r="N9" s="14" t="s">
        <v>199</v>
      </c>
      <c r="O9" s="14" t="s">
        <v>200</v>
      </c>
      <c r="P9" s="17" t="s">
        <v>234</v>
      </c>
      <c r="Q9" s="14" t="s">
        <v>235</v>
      </c>
      <c r="R9" s="14" t="s">
        <v>235</v>
      </c>
      <c r="S9" s="14" t="s">
        <v>235</v>
      </c>
      <c r="T9" s="14" t="s">
        <v>236</v>
      </c>
      <c r="U9" s="14" t="s">
        <v>237</v>
      </c>
      <c r="V9" s="14" t="s">
        <v>224</v>
      </c>
      <c r="W9" s="14" t="s">
        <v>207</v>
      </c>
      <c r="X9" s="14" t="s">
        <v>207</v>
      </c>
      <c r="Y9" s="14">
        <v>3</v>
      </c>
      <c r="Z9" s="14">
        <v>5</v>
      </c>
      <c r="AA9" s="14" t="s">
        <v>189</v>
      </c>
      <c r="AB9" s="15">
        <f>IFERROR(AVERAGE(Tabel1[[#This Row],[Up - R1a]:[Up - R1c]]),"")</f>
        <v>4</v>
      </c>
      <c r="AC9" s="14">
        <v>1</v>
      </c>
      <c r="AD9" s="14">
        <v>4</v>
      </c>
      <c r="AE9" s="14">
        <v>2</v>
      </c>
      <c r="AF9" s="14" t="s">
        <v>189</v>
      </c>
      <c r="AG9" s="14">
        <f>IFERROR(AVERAGE(Tabel1[[#This Row],[Up - R1]:[Up - R5]]),"")</f>
        <v>2.75</v>
      </c>
      <c r="AH9" s="14">
        <v>3</v>
      </c>
      <c r="AI9" s="14">
        <v>3</v>
      </c>
      <c r="AJ9" s="14">
        <v>4</v>
      </c>
      <c r="AK9" s="14">
        <f>IFERROR(AVERAGE(Tabel1[[#This Row],[Up - C1a]:[Up - C1c]]),"")</f>
        <v>3.3333333333333335</v>
      </c>
      <c r="AL9" s="14">
        <v>4</v>
      </c>
      <c r="AM9" s="14">
        <v>2</v>
      </c>
      <c r="AN9" s="14">
        <v>2</v>
      </c>
      <c r="AO9" s="14">
        <f>IFERROR(AVERAGE(Tabel1[[#This Row],[Up - C1]:[Up - C4]]),"")</f>
        <v>2.8333333333333335</v>
      </c>
      <c r="AP9" s="14">
        <v>4</v>
      </c>
      <c r="AQ9" s="14">
        <f>IFERROR(AVERAGE(Tabel1[[#This Row],[Up - F1a]:[Up - F1a]]),"")</f>
        <v>4</v>
      </c>
      <c r="AR9" s="14">
        <v>2</v>
      </c>
      <c r="AS9" s="14">
        <v>3</v>
      </c>
      <c r="AT9" s="14">
        <f>IFERROR(AVERAGE(Tabel1[[#This Row],[Up - F2a]:[Up - F2b]]),"")</f>
        <v>2.5</v>
      </c>
      <c r="AU9" s="14">
        <v>3</v>
      </c>
      <c r="AV9" s="14">
        <v>3</v>
      </c>
      <c r="AW9" s="14">
        <f>IFERROR(AVERAGE(Tabel1[[#This Row],[Up - F3a]:[Up - F3b]]),"")</f>
        <v>3</v>
      </c>
      <c r="AX9" s="14">
        <v>3</v>
      </c>
      <c r="AY9" s="14">
        <f>IFERROR(AVERAGE(Tabel1[[#This Row],[Up - F1]],Tabel1[[#This Row],[Up - F2]],Tabel1[[#This Row],[Up - F3]],Tabel1[[#This Row],[Up - F4]]),"")</f>
        <v>3.125</v>
      </c>
      <c r="AZ9" s="14">
        <v>4</v>
      </c>
      <c r="BA9" s="14">
        <v>4</v>
      </c>
      <c r="BB9" s="14">
        <f>IFERROR(AVERAGE(Tabel1[[#This Row],[Up - V1a]:[Up - V1b]]),"")</f>
        <v>4</v>
      </c>
      <c r="BC9" s="14">
        <v>4</v>
      </c>
      <c r="BD9" s="14">
        <v>4</v>
      </c>
      <c r="BE9" s="14">
        <v>4</v>
      </c>
      <c r="BF9" s="14">
        <f>IFERROR(AVERAGE(Tabel1[[#This Row],[Up - V2a]:[Up - V2c]]),"")</f>
        <v>4</v>
      </c>
      <c r="BG9" s="14">
        <v>2</v>
      </c>
      <c r="BH9" s="14">
        <v>3</v>
      </c>
      <c r="BI9" s="14">
        <f>IFERROR(AVERAGE(Tabel1[[#This Row],[Up - V3a]:[Up - V3b]]),"")</f>
        <v>2.5</v>
      </c>
      <c r="BJ9" s="14">
        <v>4</v>
      </c>
      <c r="BK9" s="14">
        <f>IFERROR(AVERAGE(Tabel1[[#This Row],[Up - V1]],Tabel1[[#This Row],[Up - V2]],Tabel1[[#This Row],[Up - V3]],Tabel1[[#This Row],[Up - V4]]),"")</f>
        <v>3.625</v>
      </c>
      <c r="BL9" s="14">
        <v>4</v>
      </c>
      <c r="BM9" s="14">
        <v>4</v>
      </c>
      <c r="BN9" s="14">
        <v>3</v>
      </c>
      <c r="BO9" s="14">
        <v>3</v>
      </c>
      <c r="BP9" s="14">
        <f>IFERROR(AVERAGE(Tabel1[[#This Row],[Up - A1a]:[Up - A1d]]),"")</f>
        <v>3.5</v>
      </c>
      <c r="BQ9" s="14">
        <v>4</v>
      </c>
      <c r="BR9" s="14">
        <v>4</v>
      </c>
      <c r="BS9" s="14">
        <f>IFERROR(AVERAGE(Tabel1[[#This Row],[Up - A2a]:[Up - A2b]]),"")</f>
        <v>4</v>
      </c>
      <c r="BT9" s="14">
        <v>4</v>
      </c>
      <c r="BU9" s="14">
        <f>IFERROR(AVERAGE(Tabel1[[#This Row],[Up - A3a]:[Up - A3a]]),"")</f>
        <v>4</v>
      </c>
      <c r="BV9" s="14">
        <v>3</v>
      </c>
      <c r="BW9" s="14">
        <f>IFERROR(AVERAGE(Tabel1[[#This Row],[Up - A1]],Tabel1[[#This Row],[Up - A2]],Tabel1[[#This Row],[Up - A3]]),"")</f>
        <v>3.8333333333333335</v>
      </c>
      <c r="BX9" s="14">
        <v>5</v>
      </c>
      <c r="BY9" s="14">
        <v>4</v>
      </c>
      <c r="BZ9" s="14">
        <f>IFERROR(AVERAGE(Tabel1[[#This Row],[In - R1a]:[In - R1b]]),"")</f>
        <v>4.5</v>
      </c>
      <c r="CA9" s="14">
        <v>3</v>
      </c>
      <c r="CB9" s="14">
        <v>3</v>
      </c>
      <c r="CC9" s="14">
        <v>3</v>
      </c>
      <c r="CD9" s="14">
        <v>5</v>
      </c>
      <c r="CE9" s="14">
        <f>IFERROR(AVERAGE(Tabel1[[#This Row],[In - R1]:[In - R5]]),"")</f>
        <v>3.7</v>
      </c>
      <c r="CF9" s="14">
        <v>5</v>
      </c>
      <c r="CG9" s="14">
        <v>4</v>
      </c>
      <c r="CH9" s="14">
        <v>5</v>
      </c>
      <c r="CI9" s="14">
        <f>IFERROR(AVERAGE(Tabel1[[#This Row],[In - C1a]:[In - C1c]]),"")</f>
        <v>4.666666666666667</v>
      </c>
      <c r="CJ9" s="14">
        <v>5</v>
      </c>
      <c r="CK9" s="14">
        <v>4</v>
      </c>
      <c r="CL9" s="14">
        <v>3</v>
      </c>
      <c r="CM9" s="14">
        <f>IFERROR(AVERAGE(Tabel1[[#This Row],[In - C1]:[In - C4]]),"")</f>
        <v>4.166666666666667</v>
      </c>
      <c r="CN9" s="14">
        <v>4</v>
      </c>
      <c r="CO9" s="14">
        <v>4</v>
      </c>
      <c r="CP9" s="14">
        <v>4</v>
      </c>
      <c r="CQ9" s="14">
        <f>IFERROR(AVERAGE(Tabel1[[#This Row],[In - F1a]:[In - F1c]]),"")</f>
        <v>4</v>
      </c>
      <c r="CR9" s="14">
        <v>4</v>
      </c>
      <c r="CS9" s="14">
        <v>2</v>
      </c>
      <c r="CT9" s="14">
        <f>IFERROR(AVERAGE(Tabel1[[#This Row],[In - F2a]:[In - F2b]]),"")</f>
        <v>3</v>
      </c>
      <c r="CU9" s="14">
        <v>2</v>
      </c>
      <c r="CV9" s="14">
        <f>IFERROR(AVERAGE(Tabel1[[#This Row],[In - F3a]:[In - F3a]]),"")</f>
        <v>2</v>
      </c>
      <c r="CW9" s="14">
        <v>4</v>
      </c>
      <c r="CX9" s="14">
        <f>IFERROR(AVERAGE(Tabel1[[#This Row],[In - F1]],Tabel1[[#This Row],[In - F2]],Tabel1[[#This Row],[In - F3]],Tabel1[[#This Row],[In - F4]]),"")</f>
        <v>3.25</v>
      </c>
      <c r="CY9" s="14">
        <v>4</v>
      </c>
      <c r="CZ9" s="14">
        <v>5</v>
      </c>
      <c r="DA9" s="14">
        <v>4</v>
      </c>
      <c r="DB9" s="14">
        <f>IFERROR(AVERAGE(Tabel1[[#This Row],[In - V1a]:[In - V1c]]),"")</f>
        <v>4.333333333333333</v>
      </c>
      <c r="DC9" s="14">
        <v>3</v>
      </c>
      <c r="DD9" s="14">
        <v>3</v>
      </c>
      <c r="DE9" s="14">
        <v>3</v>
      </c>
      <c r="DF9" s="14">
        <f>IFERROR(AVERAGE(Tabel1[[#This Row],[In - V2a]:[In - V2c]]),"")</f>
        <v>3</v>
      </c>
      <c r="DG9" s="14">
        <v>3</v>
      </c>
      <c r="DH9" s="14">
        <v>3</v>
      </c>
      <c r="DI9" s="14">
        <f>IFERROR(AVERAGE(Tabel1[[#This Row],[In - V3a]:[In - V3b]]),"")</f>
        <v>3</v>
      </c>
      <c r="DJ9" s="14">
        <v>4</v>
      </c>
      <c r="DK9" s="14">
        <f>IFERROR(AVERAGE(Tabel1[[#This Row],[In - V1]],Tabel1[[#This Row],[In - V2]],Tabel1[[#This Row],[In - V3]],Tabel1[[#This Row],[In - V4]]),"")</f>
        <v>3.583333333333333</v>
      </c>
      <c r="DL9" s="14">
        <v>4</v>
      </c>
      <c r="DM9" s="14">
        <v>4</v>
      </c>
      <c r="DN9" s="14">
        <f>IFERROR(AVERAGE(Tabel1[[#This Row],[In - A1a]:[In - A1b]]),"")</f>
        <v>4</v>
      </c>
      <c r="DO9" s="14">
        <v>4</v>
      </c>
      <c r="DP9" s="14">
        <v>4</v>
      </c>
      <c r="DQ9" s="14">
        <f>IFERROR(AVERAGE(Tabel1[[#This Row],[In - A2a]:[In - A2b]]),"")</f>
        <v>4</v>
      </c>
      <c r="DR9" s="14">
        <v>5</v>
      </c>
      <c r="DS9" s="14">
        <v>3</v>
      </c>
      <c r="DT9" s="14">
        <f>IFERROR(AVERAGE(Tabel1[[#This Row],[In - A3a]:[In - A3a]]),"")</f>
        <v>5</v>
      </c>
      <c r="DU9" s="14" t="s">
        <v>189</v>
      </c>
      <c r="DV9" s="14">
        <f>IFERROR(AVERAGE(Tabel1[[#This Row],[In - A1]],Tabel1[[#This Row],[In - A2]],Tabel1[[#This Row],[In - A3]],Tabel1[[#This Row],[In - A4]]),"")</f>
        <v>4.333333333333333</v>
      </c>
      <c r="DW9" s="14">
        <v>2</v>
      </c>
      <c r="DX9" s="14">
        <v>5</v>
      </c>
      <c r="DY9" s="14">
        <v>4</v>
      </c>
      <c r="DZ9" s="14">
        <f>IFERROR(AVERAGE(Tabel1[[#This Row],[Do - R1a]:[Do - R1c]]),"")</f>
        <v>3.6666666666666665</v>
      </c>
      <c r="EA9" s="14">
        <v>1</v>
      </c>
      <c r="EB9" s="14">
        <v>2</v>
      </c>
      <c r="EC9" s="14">
        <v>2</v>
      </c>
      <c r="ED9" s="14" t="s">
        <v>189</v>
      </c>
      <c r="EE9" s="14">
        <f>IFERROR(AVERAGE(Tabel1[[#This Row],[Do - R1]:[Do - R5]]),"")</f>
        <v>2.1666666666666665</v>
      </c>
      <c r="EF9" s="14" t="s">
        <v>189</v>
      </c>
      <c r="EG9" s="14" t="s">
        <v>189</v>
      </c>
      <c r="EH9" s="14">
        <v>4</v>
      </c>
      <c r="EI9" s="14">
        <f>IFERROR(AVERAGE(Tabel1[[#This Row],[Do - C1a]:[Do - C1c]]),"")</f>
        <v>4</v>
      </c>
      <c r="EJ9" s="14">
        <v>4</v>
      </c>
      <c r="EK9" s="14" t="s">
        <v>189</v>
      </c>
      <c r="EL9" s="14">
        <v>4</v>
      </c>
      <c r="EM9" s="14">
        <f>IFERROR(AVERAGE(Tabel1[[#This Row],[Do - C1]:[Do - C4]]),"")</f>
        <v>4</v>
      </c>
      <c r="EN9" s="14" t="s">
        <v>189</v>
      </c>
      <c r="EO9" s="14" t="s">
        <v>189</v>
      </c>
      <c r="EP9" s="14" t="s">
        <v>189</v>
      </c>
      <c r="EQ9" s="14" t="str">
        <f>IFERROR(AVERAGE(Tabel1[[#This Row],[Do - F1a]:[Do - F1c]]),"")</f>
        <v/>
      </c>
      <c r="ER9" s="14" t="s">
        <v>189</v>
      </c>
      <c r="ES9" s="14" t="str">
        <f>IFERROR(AVERAGE(Tabel1[[#This Row],[Do - F2a]:[Do - F2a]]),"")</f>
        <v/>
      </c>
      <c r="ET9" s="14" t="s">
        <v>189</v>
      </c>
      <c r="EU9" s="14" t="s">
        <v>189</v>
      </c>
      <c r="EV9" s="14" t="str">
        <f>IFERROR(AVERAGE(Tabel1[[#This Row],[Do - F3a]:[Do - F3b]]),"")</f>
        <v/>
      </c>
      <c r="EW9" s="14" t="s">
        <v>189</v>
      </c>
      <c r="EX9" s="14" t="str">
        <f>IFERROR(AVERAGE(Tabel1[[#This Row],[Do - F1]],Tabel1[[#This Row],[Do - F2]],Tabel1[[#This Row],[Do - F3]],Tabel1[[#This Row],[Do - F4]]),"")</f>
        <v/>
      </c>
      <c r="EY9" s="14">
        <v>4</v>
      </c>
      <c r="EZ9" s="14">
        <v>4</v>
      </c>
      <c r="FA9" s="14">
        <v>4</v>
      </c>
      <c r="FB9" s="14">
        <f>IFERROR(AVERAGE(Tabel1[[#This Row],[Do - V1a]:[Do - V1c]]),"")</f>
        <v>4</v>
      </c>
      <c r="FC9" s="14">
        <v>4</v>
      </c>
      <c r="FD9" s="14" t="s">
        <v>189</v>
      </c>
      <c r="FE9" s="14">
        <f>IFERROR(AVERAGE(Tabel1[[#This Row],[Do - V2a]:[Do - V2b]]),"")</f>
        <v>4</v>
      </c>
      <c r="FF9" s="14" t="s">
        <v>189</v>
      </c>
      <c r="FG9" s="14" t="str">
        <f>IFERROR(AVERAGE(Tabel1[[#This Row],[Do - V3a]:[Do - V3a]]),"")</f>
        <v/>
      </c>
      <c r="FH9" s="14" t="s">
        <v>189</v>
      </c>
      <c r="FI9" s="14">
        <f>IFERROR(AVERAGE(Tabel1[[#This Row],[Do - V1]],Tabel1[[#This Row],[Do - V2]],Tabel1[[#This Row],[Do - V3]],Tabel1[[#This Row],[Do - V4]]),"")</f>
        <v>4</v>
      </c>
      <c r="FJ9" s="14" t="s">
        <v>189</v>
      </c>
      <c r="FK9" s="14">
        <v>2</v>
      </c>
      <c r="FL9" s="14" t="s">
        <v>189</v>
      </c>
      <c r="FM9" s="14">
        <f>IFERROR(AVERAGE(Tabel1[[#This Row],[Do - A1a]:[Do - A1c]]),"")</f>
        <v>2</v>
      </c>
      <c r="FN9" s="14" t="s">
        <v>189</v>
      </c>
      <c r="FO9" s="14" t="s">
        <v>189</v>
      </c>
      <c r="FP9" s="14" t="str">
        <f>IFERROR(AVERAGE(Tabel1[[#This Row],[Do - A2a]:[Do - A2b]]),"")</f>
        <v/>
      </c>
      <c r="FQ9" s="14" t="s">
        <v>189</v>
      </c>
      <c r="FR9" s="14" t="str">
        <f>IFERROR(AVERAGE(Tabel1[[#This Row],[Do - A3a]:[Do - A3a]]),"")</f>
        <v/>
      </c>
      <c r="FS9" s="14" t="s">
        <v>189</v>
      </c>
      <c r="FT9" s="14">
        <f>IFERROR(AVERAGE(Tabel1[[#This Row],[Do - A1]],Tabel1[[#This Row],[Do - A2]],Tabel1[[#This Row],[Do - A3]],Tabel1[[#This Row],[Do - A4]]),"")</f>
        <v>2</v>
      </c>
      <c r="FU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3.3833333333333333</v>
      </c>
      <c r="FV9" s="16" t="s">
        <v>238</v>
      </c>
      <c r="FW9" t="b">
        <v>1</v>
      </c>
    </row>
    <row r="10" spans="1:179" x14ac:dyDescent="0.3">
      <c r="A10" s="13">
        <v>44883.589907407404</v>
      </c>
      <c r="B10" t="b">
        <v>0</v>
      </c>
      <c r="C10" s="14" t="s">
        <v>239</v>
      </c>
      <c r="D10" s="14" t="s">
        <v>240</v>
      </c>
      <c r="E10" s="14" t="s">
        <v>241</v>
      </c>
      <c r="F10" s="14" t="s">
        <v>184</v>
      </c>
      <c r="G10" s="14"/>
      <c r="H10" s="14" t="s">
        <v>242</v>
      </c>
      <c r="I10" s="14" t="s">
        <v>243</v>
      </c>
      <c r="J10" s="14" t="s">
        <v>244</v>
      </c>
      <c r="K10" s="14" t="s">
        <v>235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>
        <v>3</v>
      </c>
      <c r="Z10" s="14">
        <v>3</v>
      </c>
      <c r="AA10" s="14">
        <v>3</v>
      </c>
      <c r="AB10" s="15">
        <f>IFERROR(AVERAGE(Tabel1[[#This Row],[Up - R1a]:[Up - R1c]]),"")</f>
        <v>3</v>
      </c>
      <c r="AC10" s="14">
        <v>2</v>
      </c>
      <c r="AD10" s="14">
        <v>2</v>
      </c>
      <c r="AE10" s="14">
        <v>2</v>
      </c>
      <c r="AF10" s="14">
        <v>2</v>
      </c>
      <c r="AG10" s="14">
        <f>IFERROR(AVERAGE(Tabel1[[#This Row],[Up - R1]:[Up - R5]]),"")</f>
        <v>2.2000000000000002</v>
      </c>
      <c r="AH10" s="14">
        <v>5</v>
      </c>
      <c r="AI10" s="14">
        <v>5</v>
      </c>
      <c r="AJ10" s="14">
        <v>5</v>
      </c>
      <c r="AK10" s="14">
        <f>IFERROR(AVERAGE(Tabel1[[#This Row],[Up - C1a]:[Up - C1c]]),"")</f>
        <v>5</v>
      </c>
      <c r="AL10" s="14">
        <v>4</v>
      </c>
      <c r="AM10" s="14">
        <v>3</v>
      </c>
      <c r="AN10" s="14">
        <v>4</v>
      </c>
      <c r="AO10" s="14">
        <f>IFERROR(AVERAGE(Tabel1[[#This Row],[Up - C1]:[Up - C4]]),"")</f>
        <v>4</v>
      </c>
      <c r="AP10" s="14">
        <v>3</v>
      </c>
      <c r="AQ10" s="14">
        <f>IFERROR(AVERAGE(Tabel1[[#This Row],[Up - F1a]:[Up - F1a]]),"")</f>
        <v>3</v>
      </c>
      <c r="AR10" s="14">
        <v>2</v>
      </c>
      <c r="AS10" s="14">
        <v>2</v>
      </c>
      <c r="AT10" s="14">
        <f>IFERROR(AVERAGE(Tabel1[[#This Row],[Up - F2a]:[Up - F2b]]),"")</f>
        <v>2</v>
      </c>
      <c r="AU10" s="14">
        <v>2</v>
      </c>
      <c r="AV10" s="14">
        <v>2</v>
      </c>
      <c r="AW10" s="14">
        <f>IFERROR(AVERAGE(Tabel1[[#This Row],[Up - F3a]:[Up - F3b]]),"")</f>
        <v>2</v>
      </c>
      <c r="AX10" s="14">
        <v>4</v>
      </c>
      <c r="AY10" s="14">
        <f>IFERROR(AVERAGE(Tabel1[[#This Row],[Up - F1]],Tabel1[[#This Row],[Up - F2]],Tabel1[[#This Row],[Up - F3]],Tabel1[[#This Row],[Up - F4]]),"")</f>
        <v>2.75</v>
      </c>
      <c r="AZ10" s="14">
        <v>3</v>
      </c>
      <c r="BA10" s="14">
        <v>3</v>
      </c>
      <c r="BB10" s="14">
        <f>IFERROR(AVERAGE(Tabel1[[#This Row],[Up - V1a]:[Up - V1b]]),"")</f>
        <v>3</v>
      </c>
      <c r="BC10" s="14">
        <v>2</v>
      </c>
      <c r="BD10" s="14">
        <v>2</v>
      </c>
      <c r="BE10" s="14">
        <v>2</v>
      </c>
      <c r="BF10" s="14">
        <f>IFERROR(AVERAGE(Tabel1[[#This Row],[Up - V2a]:[Up - V2c]]),"")</f>
        <v>2</v>
      </c>
      <c r="BG10" s="14">
        <v>4</v>
      </c>
      <c r="BH10" s="14">
        <v>4</v>
      </c>
      <c r="BI10" s="14">
        <f>IFERROR(AVERAGE(Tabel1[[#This Row],[Up - V3a]:[Up - V3b]]),"")</f>
        <v>4</v>
      </c>
      <c r="BJ10" s="14">
        <v>4</v>
      </c>
      <c r="BK10" s="14">
        <f>IFERROR(AVERAGE(Tabel1[[#This Row],[Up - V1]],Tabel1[[#This Row],[Up - V2]],Tabel1[[#This Row],[Up - V3]],Tabel1[[#This Row],[Up - V4]]),"")</f>
        <v>3.25</v>
      </c>
      <c r="BL10" s="14">
        <v>2</v>
      </c>
      <c r="BM10" s="14">
        <v>2</v>
      </c>
      <c r="BN10" s="14">
        <v>2</v>
      </c>
      <c r="BO10" s="14">
        <v>2</v>
      </c>
      <c r="BP10" s="14">
        <f>IFERROR(AVERAGE(Tabel1[[#This Row],[Up - A1a]:[Up - A1d]]),"")</f>
        <v>2</v>
      </c>
      <c r="BQ10" s="14">
        <v>3</v>
      </c>
      <c r="BR10" s="14">
        <v>3</v>
      </c>
      <c r="BS10" s="14">
        <f>IFERROR(AVERAGE(Tabel1[[#This Row],[Up - A2a]:[Up - A2b]]),"")</f>
        <v>3</v>
      </c>
      <c r="BT10" s="14">
        <v>4</v>
      </c>
      <c r="BU10" s="14">
        <f>IFERROR(AVERAGE(Tabel1[[#This Row],[Up - A3a]:[Up - A3a]]),"")</f>
        <v>4</v>
      </c>
      <c r="BV10" s="14">
        <v>2</v>
      </c>
      <c r="BW10" s="14">
        <f>IFERROR(AVERAGE(Tabel1[[#This Row],[Up - A1]],Tabel1[[#This Row],[Up - A2]],Tabel1[[#This Row],[Up - A3]]),"")</f>
        <v>3</v>
      </c>
      <c r="BX10" s="14">
        <v>4</v>
      </c>
      <c r="BY10" s="14">
        <v>4</v>
      </c>
      <c r="BZ10" s="14">
        <f>IFERROR(AVERAGE(Tabel1[[#This Row],[In - R1a]:[In - R1b]]),"")</f>
        <v>4</v>
      </c>
      <c r="CA10" s="14">
        <v>4</v>
      </c>
      <c r="CB10" s="14">
        <v>4</v>
      </c>
      <c r="CC10" s="14">
        <v>2</v>
      </c>
      <c r="CD10" s="14">
        <v>5</v>
      </c>
      <c r="CE10" s="14">
        <f>IFERROR(AVERAGE(Tabel1[[#This Row],[In - R1]:[In - R5]]),"")</f>
        <v>3.8</v>
      </c>
      <c r="CF10" s="14">
        <v>4</v>
      </c>
      <c r="CG10" s="14">
        <v>4</v>
      </c>
      <c r="CH10" s="14">
        <v>4</v>
      </c>
      <c r="CI10" s="14">
        <f>IFERROR(AVERAGE(Tabel1[[#This Row],[In - C1a]:[In - C1c]]),"")</f>
        <v>4</v>
      </c>
      <c r="CJ10" s="14">
        <v>3</v>
      </c>
      <c r="CK10" s="14">
        <v>4</v>
      </c>
      <c r="CL10" s="14">
        <v>3</v>
      </c>
      <c r="CM10" s="14">
        <f>IFERROR(AVERAGE(Tabel1[[#This Row],[In - C1]:[In - C4]]),"")</f>
        <v>3.5</v>
      </c>
      <c r="CN10" s="14">
        <v>3</v>
      </c>
      <c r="CO10" s="14">
        <v>3</v>
      </c>
      <c r="CP10" s="14">
        <v>3</v>
      </c>
      <c r="CQ10" s="14">
        <f>IFERROR(AVERAGE(Tabel1[[#This Row],[In - F1a]:[In - F1c]]),"")</f>
        <v>3</v>
      </c>
      <c r="CR10" s="14">
        <v>2</v>
      </c>
      <c r="CS10" s="14">
        <v>2</v>
      </c>
      <c r="CT10" s="14">
        <f>IFERROR(AVERAGE(Tabel1[[#This Row],[In - F2a]:[In - F2b]]),"")</f>
        <v>2</v>
      </c>
      <c r="CU10" s="14">
        <v>3</v>
      </c>
      <c r="CV10" s="14">
        <f>IFERROR(AVERAGE(Tabel1[[#This Row],[In - F3a]:[In - F3a]]),"")</f>
        <v>3</v>
      </c>
      <c r="CW10" s="14">
        <v>3</v>
      </c>
      <c r="CX10" s="14">
        <f>IFERROR(AVERAGE(Tabel1[[#This Row],[In - F1]],Tabel1[[#This Row],[In - F2]],Tabel1[[#This Row],[In - F3]],Tabel1[[#This Row],[In - F4]]),"")</f>
        <v>2.75</v>
      </c>
      <c r="CY10" s="14">
        <v>3</v>
      </c>
      <c r="CZ10" s="14">
        <v>3</v>
      </c>
      <c r="DA10" s="14">
        <v>3</v>
      </c>
      <c r="DB10" s="14">
        <f>IFERROR(AVERAGE(Tabel1[[#This Row],[In - V1a]:[In - V1c]]),"")</f>
        <v>3</v>
      </c>
      <c r="DC10" s="14">
        <v>3</v>
      </c>
      <c r="DD10" s="14">
        <v>3</v>
      </c>
      <c r="DE10" s="14">
        <v>3</v>
      </c>
      <c r="DF10" s="14">
        <f>IFERROR(AVERAGE(Tabel1[[#This Row],[In - V2a]:[In - V2c]]),"")</f>
        <v>3</v>
      </c>
      <c r="DG10" s="14">
        <v>3</v>
      </c>
      <c r="DH10" s="14">
        <v>3</v>
      </c>
      <c r="DI10" s="14">
        <f>IFERROR(AVERAGE(Tabel1[[#This Row],[In - V3a]:[In - V3b]]),"")</f>
        <v>3</v>
      </c>
      <c r="DJ10" s="14">
        <v>3</v>
      </c>
      <c r="DK10" s="14">
        <f>IFERROR(AVERAGE(Tabel1[[#This Row],[In - V1]],Tabel1[[#This Row],[In - V2]],Tabel1[[#This Row],[In - V3]],Tabel1[[#This Row],[In - V4]]),"")</f>
        <v>3</v>
      </c>
      <c r="DL10" s="14">
        <v>1</v>
      </c>
      <c r="DM10" s="14">
        <v>1</v>
      </c>
      <c r="DN10" s="14">
        <f>IFERROR(AVERAGE(Tabel1[[#This Row],[In - A1a]:[In - A1b]]),"")</f>
        <v>1</v>
      </c>
      <c r="DO10" s="14">
        <v>4</v>
      </c>
      <c r="DP10" s="14">
        <v>4</v>
      </c>
      <c r="DQ10" s="14">
        <f>IFERROR(AVERAGE(Tabel1[[#This Row],[In - A2a]:[In - A2b]]),"")</f>
        <v>4</v>
      </c>
      <c r="DR10" s="14">
        <v>4</v>
      </c>
      <c r="DS10" s="14">
        <v>4</v>
      </c>
      <c r="DT10" s="14">
        <f>IFERROR(AVERAGE(Tabel1[[#This Row],[In - A3a]:[In - A3a]]),"")</f>
        <v>4</v>
      </c>
      <c r="DU10" s="14">
        <v>4</v>
      </c>
      <c r="DV10" s="14">
        <f>IFERROR(AVERAGE(Tabel1[[#This Row],[In - A1]],Tabel1[[#This Row],[In - A2]],Tabel1[[#This Row],[In - A3]],Tabel1[[#This Row],[In - A4]]),"")</f>
        <v>3.25</v>
      </c>
      <c r="DW10" s="14">
        <v>4</v>
      </c>
      <c r="DX10" s="14">
        <v>4</v>
      </c>
      <c r="DY10" s="14" t="s">
        <v>189</v>
      </c>
      <c r="DZ10" s="14">
        <f>IFERROR(AVERAGE(Tabel1[[#This Row],[Do - R1a]:[Do - R1c]]),"")</f>
        <v>4</v>
      </c>
      <c r="EA10" s="14">
        <v>3</v>
      </c>
      <c r="EB10" s="14">
        <v>2</v>
      </c>
      <c r="EC10" s="14">
        <v>4</v>
      </c>
      <c r="ED10" s="14" t="s">
        <v>189</v>
      </c>
      <c r="EE10" s="14">
        <f>IFERROR(AVERAGE(Tabel1[[#This Row],[Do - R1]:[Do - R5]]),"")</f>
        <v>3.25</v>
      </c>
      <c r="EF10" s="14">
        <v>3</v>
      </c>
      <c r="EG10" s="14">
        <v>3</v>
      </c>
      <c r="EH10" s="14">
        <v>3</v>
      </c>
      <c r="EI10" s="14">
        <f>IFERROR(AVERAGE(Tabel1[[#This Row],[Do - C1a]:[Do - C1c]]),"")</f>
        <v>3</v>
      </c>
      <c r="EJ10" s="14">
        <v>2</v>
      </c>
      <c r="EK10" s="14">
        <v>2</v>
      </c>
      <c r="EL10" s="14">
        <v>3</v>
      </c>
      <c r="EM10" s="14">
        <f>IFERROR(AVERAGE(Tabel1[[#This Row],[Do - C1]:[Do - C4]]),"")</f>
        <v>2.5</v>
      </c>
      <c r="EN10" s="14">
        <v>3</v>
      </c>
      <c r="EO10" s="14">
        <v>3</v>
      </c>
      <c r="EP10" s="14" t="s">
        <v>189</v>
      </c>
      <c r="EQ10" s="14">
        <f>IFERROR(AVERAGE(Tabel1[[#This Row],[Do - F1a]:[Do - F1c]]),"")</f>
        <v>3</v>
      </c>
      <c r="ER10" s="14">
        <v>1</v>
      </c>
      <c r="ES10" s="14">
        <f>IFERROR(AVERAGE(Tabel1[[#This Row],[Do - F2a]:[Do - F2a]]),"")</f>
        <v>1</v>
      </c>
      <c r="ET10" s="14">
        <v>3</v>
      </c>
      <c r="EU10" s="14">
        <v>3</v>
      </c>
      <c r="EV10" s="14">
        <f>IFERROR(AVERAGE(Tabel1[[#This Row],[Do - F3a]:[Do - F3b]]),"")</f>
        <v>3</v>
      </c>
      <c r="EW10" s="14">
        <v>3</v>
      </c>
      <c r="EX10" s="14">
        <f>IFERROR(AVERAGE(Tabel1[[#This Row],[Do - F1]],Tabel1[[#This Row],[Do - F2]],Tabel1[[#This Row],[Do - F3]],Tabel1[[#This Row],[Do - F4]]),"")</f>
        <v>2.5</v>
      </c>
      <c r="EY10" s="14">
        <v>4</v>
      </c>
      <c r="EZ10" s="14">
        <v>4</v>
      </c>
      <c r="FA10" s="14">
        <v>4</v>
      </c>
      <c r="FB10" s="14">
        <f>IFERROR(AVERAGE(Tabel1[[#This Row],[Do - V1a]:[Do - V1c]]),"")</f>
        <v>4</v>
      </c>
      <c r="FC10" s="14">
        <v>3</v>
      </c>
      <c r="FD10" s="14">
        <v>3</v>
      </c>
      <c r="FE10" s="14">
        <f>IFERROR(AVERAGE(Tabel1[[#This Row],[Do - V2a]:[Do - V2b]]),"")</f>
        <v>3</v>
      </c>
      <c r="FF10" s="14">
        <v>2</v>
      </c>
      <c r="FG10" s="14">
        <f>IFERROR(AVERAGE(Tabel1[[#This Row],[Do - V3a]:[Do - V3a]]),"")</f>
        <v>2</v>
      </c>
      <c r="FH10" s="14">
        <v>3</v>
      </c>
      <c r="FI10" s="14">
        <f>IFERROR(AVERAGE(Tabel1[[#This Row],[Do - V1]],Tabel1[[#This Row],[Do - V2]],Tabel1[[#This Row],[Do - V3]],Tabel1[[#This Row],[Do - V4]]),"")</f>
        <v>3</v>
      </c>
      <c r="FJ10" s="14">
        <v>4</v>
      </c>
      <c r="FK10" s="14">
        <v>4</v>
      </c>
      <c r="FL10" s="14">
        <v>4</v>
      </c>
      <c r="FM10" s="14">
        <f>IFERROR(AVERAGE(Tabel1[[#This Row],[Do - A1a]:[Do - A1c]]),"")</f>
        <v>4</v>
      </c>
      <c r="FN10" s="14">
        <v>3</v>
      </c>
      <c r="FO10" s="14">
        <v>3</v>
      </c>
      <c r="FP10" s="14">
        <f>IFERROR(AVERAGE(Tabel1[[#This Row],[Do - A2a]:[Do - A2b]]),"")</f>
        <v>3</v>
      </c>
      <c r="FQ10" s="14">
        <v>2</v>
      </c>
      <c r="FR10" s="14">
        <f>IFERROR(AVERAGE(Tabel1[[#This Row],[Do - A3a]:[Do - A3a]]),"")</f>
        <v>2</v>
      </c>
      <c r="FS10" s="14">
        <v>2</v>
      </c>
      <c r="FT10" s="14">
        <f>IFERROR(AVERAGE(Tabel1[[#This Row],[Do - A1]],Tabel1[[#This Row],[Do - A2]],Tabel1[[#This Row],[Do - A3]],Tabel1[[#This Row],[Do - A4]]),"")</f>
        <v>2.75</v>
      </c>
      <c r="FU1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3.0333333333333332</v>
      </c>
      <c r="FV10" s="16" t="s">
        <v>245</v>
      </c>
      <c r="FW10" t="b">
        <v>1</v>
      </c>
    </row>
    <row r="11" spans="1:179" x14ac:dyDescent="0.3">
      <c r="A11" s="13">
        <v>44883.589907407404</v>
      </c>
      <c r="B11" t="b">
        <v>0</v>
      </c>
      <c r="C11" s="14" t="s">
        <v>246</v>
      </c>
      <c r="D11" s="14" t="s">
        <v>182</v>
      </c>
      <c r="E11" s="14" t="s">
        <v>247</v>
      </c>
      <c r="F11" s="14" t="s">
        <v>184</v>
      </c>
      <c r="G11" s="14"/>
      <c r="H11" s="14" t="s">
        <v>185</v>
      </c>
      <c r="I11" s="14" t="s">
        <v>243</v>
      </c>
      <c r="J11" s="14" t="s">
        <v>248</v>
      </c>
      <c r="K11" s="14" t="s">
        <v>187</v>
      </c>
      <c r="L11" s="14" t="s">
        <v>249</v>
      </c>
      <c r="M11" s="14" t="s">
        <v>198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>
        <v>3</v>
      </c>
      <c r="Z11" s="14">
        <v>3</v>
      </c>
      <c r="AA11" s="14">
        <v>3</v>
      </c>
      <c r="AB11" s="15">
        <f>IFERROR(AVERAGE(Tabel1[[#This Row],[Up - R1a]:[Up - R1c]]),"")</f>
        <v>3</v>
      </c>
      <c r="AC11" s="14">
        <v>2</v>
      </c>
      <c r="AD11" s="14">
        <v>3</v>
      </c>
      <c r="AE11" s="14">
        <v>4</v>
      </c>
      <c r="AF11" s="14" t="s">
        <v>189</v>
      </c>
      <c r="AG11" s="14">
        <f>IFERROR(AVERAGE(Tabel1[[#This Row],[Up - R1]:[Up - R5]]),"")</f>
        <v>3</v>
      </c>
      <c r="AH11" s="14">
        <v>2</v>
      </c>
      <c r="AI11" s="14">
        <v>2</v>
      </c>
      <c r="AJ11" s="14">
        <v>2</v>
      </c>
      <c r="AK11" s="14">
        <f>IFERROR(AVERAGE(Tabel1[[#This Row],[Up - C1a]:[Up - C1c]]),"")</f>
        <v>2</v>
      </c>
      <c r="AL11" s="14">
        <v>4</v>
      </c>
      <c r="AM11" s="14">
        <v>2</v>
      </c>
      <c r="AN11" s="14">
        <v>1</v>
      </c>
      <c r="AO11" s="14">
        <f>IFERROR(AVERAGE(Tabel1[[#This Row],[Up - C1]:[Up - C4]]),"")</f>
        <v>2.25</v>
      </c>
      <c r="AP11" s="14">
        <v>2</v>
      </c>
      <c r="AQ11" s="14">
        <f>IFERROR(AVERAGE(Tabel1[[#This Row],[Up - F1a]:[Up - F1a]]),"")</f>
        <v>2</v>
      </c>
      <c r="AR11" s="14">
        <v>1</v>
      </c>
      <c r="AS11" s="14">
        <v>1</v>
      </c>
      <c r="AT11" s="14">
        <f>IFERROR(AVERAGE(Tabel1[[#This Row],[Up - F2a]:[Up - F2b]]),"")</f>
        <v>1</v>
      </c>
      <c r="AU11" s="14">
        <v>3</v>
      </c>
      <c r="AV11" s="14">
        <v>3</v>
      </c>
      <c r="AW11" s="14">
        <f>IFERROR(AVERAGE(Tabel1[[#This Row],[Up - F3a]:[Up - F3b]]),"")</f>
        <v>3</v>
      </c>
      <c r="AX11" s="14">
        <v>2</v>
      </c>
      <c r="AY11" s="14">
        <f>IFERROR(AVERAGE(Tabel1[[#This Row],[Up - F1]],Tabel1[[#This Row],[Up - F2]],Tabel1[[#This Row],[Up - F3]],Tabel1[[#This Row],[Up - F4]]),"")</f>
        <v>2</v>
      </c>
      <c r="AZ11" s="14">
        <v>4</v>
      </c>
      <c r="BA11" s="14">
        <v>4</v>
      </c>
      <c r="BB11" s="14">
        <f>IFERROR(AVERAGE(Tabel1[[#This Row],[Up - V1a]:[Up - V1b]]),"")</f>
        <v>4</v>
      </c>
      <c r="BC11" s="14">
        <v>5</v>
      </c>
      <c r="BD11" s="14">
        <v>5</v>
      </c>
      <c r="BE11" s="14">
        <v>5</v>
      </c>
      <c r="BF11" s="14">
        <f>IFERROR(AVERAGE(Tabel1[[#This Row],[Up - V2a]:[Up - V2c]]),"")</f>
        <v>5</v>
      </c>
      <c r="BG11" s="14">
        <v>3</v>
      </c>
      <c r="BH11" s="14">
        <v>3</v>
      </c>
      <c r="BI11" s="14">
        <f>IFERROR(AVERAGE(Tabel1[[#This Row],[Up - V3a]:[Up - V3b]]),"")</f>
        <v>3</v>
      </c>
      <c r="BJ11" s="14">
        <v>2</v>
      </c>
      <c r="BK11" s="14">
        <f>IFERROR(AVERAGE(Tabel1[[#This Row],[Up - V1]],Tabel1[[#This Row],[Up - V2]],Tabel1[[#This Row],[Up - V3]],Tabel1[[#This Row],[Up - V4]]),"")</f>
        <v>3.5</v>
      </c>
      <c r="BL11" s="14">
        <v>3</v>
      </c>
      <c r="BM11" s="14">
        <v>3</v>
      </c>
      <c r="BN11" s="14">
        <v>3</v>
      </c>
      <c r="BO11" s="14">
        <v>3</v>
      </c>
      <c r="BP11" s="14">
        <f>IFERROR(AVERAGE(Tabel1[[#This Row],[Up - A1a]:[Up - A1d]]),"")</f>
        <v>3</v>
      </c>
      <c r="BQ11" s="14">
        <v>3</v>
      </c>
      <c r="BR11" s="14">
        <v>3</v>
      </c>
      <c r="BS11" s="14">
        <f>IFERROR(AVERAGE(Tabel1[[#This Row],[Up - A2a]:[Up - A2b]]),"")</f>
        <v>3</v>
      </c>
      <c r="BT11" s="14">
        <v>3</v>
      </c>
      <c r="BU11" s="14">
        <f>IFERROR(AVERAGE(Tabel1[[#This Row],[Up - A3a]:[Up - A3a]]),"")</f>
        <v>3</v>
      </c>
      <c r="BV11" s="14" t="s">
        <v>189</v>
      </c>
      <c r="BW11" s="14">
        <f>IFERROR(AVERAGE(Tabel1[[#This Row],[Up - A1]],Tabel1[[#This Row],[Up - A2]],Tabel1[[#This Row],[Up - A3]]),"")</f>
        <v>3</v>
      </c>
      <c r="BX11" s="14">
        <v>3</v>
      </c>
      <c r="BY11" s="14">
        <v>3</v>
      </c>
      <c r="BZ11" s="14">
        <f>IFERROR(AVERAGE(Tabel1[[#This Row],[In - R1a]:[In - R1b]]),"")</f>
        <v>3</v>
      </c>
      <c r="CA11" s="14">
        <v>3</v>
      </c>
      <c r="CB11" s="14">
        <v>4</v>
      </c>
      <c r="CC11" s="14">
        <v>2</v>
      </c>
      <c r="CD11" s="14">
        <v>5</v>
      </c>
      <c r="CE11" s="14">
        <f>IFERROR(AVERAGE(Tabel1[[#This Row],[In - R1]:[In - R5]]),"")</f>
        <v>3.4</v>
      </c>
      <c r="CF11" s="14">
        <v>4</v>
      </c>
      <c r="CG11" s="14">
        <v>4</v>
      </c>
      <c r="CH11" s="14">
        <v>4</v>
      </c>
      <c r="CI11" s="14">
        <f>IFERROR(AVERAGE(Tabel1[[#This Row],[In - C1a]:[In - C1c]]),"")</f>
        <v>4</v>
      </c>
      <c r="CJ11" s="14">
        <v>3</v>
      </c>
      <c r="CK11" s="14">
        <v>5</v>
      </c>
      <c r="CL11" s="14">
        <v>3</v>
      </c>
      <c r="CM11" s="14">
        <f>IFERROR(AVERAGE(Tabel1[[#This Row],[In - C1]:[In - C4]]),"")</f>
        <v>3.75</v>
      </c>
      <c r="CN11" s="14">
        <v>2</v>
      </c>
      <c r="CO11" s="14">
        <v>2</v>
      </c>
      <c r="CP11" s="14">
        <v>2</v>
      </c>
      <c r="CQ11" s="14">
        <f>IFERROR(AVERAGE(Tabel1[[#This Row],[In - F1a]:[In - F1c]]),"")</f>
        <v>2</v>
      </c>
      <c r="CR11" s="14">
        <v>1</v>
      </c>
      <c r="CS11" s="14">
        <v>1</v>
      </c>
      <c r="CT11" s="14">
        <f>IFERROR(AVERAGE(Tabel1[[#This Row],[In - F2a]:[In - F2b]]),"")</f>
        <v>1</v>
      </c>
      <c r="CU11" s="14">
        <v>2</v>
      </c>
      <c r="CV11" s="14">
        <f>IFERROR(AVERAGE(Tabel1[[#This Row],[In - F3a]:[In - F3a]]),"")</f>
        <v>2</v>
      </c>
      <c r="CW11" s="14">
        <v>4</v>
      </c>
      <c r="CX11" s="14">
        <f>IFERROR(AVERAGE(Tabel1[[#This Row],[In - F1]],Tabel1[[#This Row],[In - F2]],Tabel1[[#This Row],[In - F3]],Tabel1[[#This Row],[In - F4]]),"")</f>
        <v>2.25</v>
      </c>
      <c r="CY11" s="14">
        <v>5</v>
      </c>
      <c r="CZ11" s="14">
        <v>5</v>
      </c>
      <c r="DA11" s="14">
        <v>5</v>
      </c>
      <c r="DB11" s="14">
        <f>IFERROR(AVERAGE(Tabel1[[#This Row],[In - V1a]:[In - V1c]]),"")</f>
        <v>5</v>
      </c>
      <c r="DC11" s="14">
        <v>4</v>
      </c>
      <c r="DD11" s="14">
        <v>4</v>
      </c>
      <c r="DE11" s="14">
        <v>4</v>
      </c>
      <c r="DF11" s="14">
        <f>IFERROR(AVERAGE(Tabel1[[#This Row],[In - V2a]:[In - V2c]]),"")</f>
        <v>4</v>
      </c>
      <c r="DG11" s="14">
        <v>5</v>
      </c>
      <c r="DH11" s="14">
        <v>5</v>
      </c>
      <c r="DI11" s="14">
        <f>IFERROR(AVERAGE(Tabel1[[#This Row],[In - V3a]:[In - V3b]]),"")</f>
        <v>5</v>
      </c>
      <c r="DJ11" s="14">
        <v>5</v>
      </c>
      <c r="DK11" s="14">
        <f>IFERROR(AVERAGE(Tabel1[[#This Row],[In - V1]],Tabel1[[#This Row],[In - V2]],Tabel1[[#This Row],[In - V3]],Tabel1[[#This Row],[In - V4]]),"")</f>
        <v>4.75</v>
      </c>
      <c r="DL11" s="14">
        <v>2</v>
      </c>
      <c r="DM11" s="14">
        <v>2</v>
      </c>
      <c r="DN11" s="14">
        <f>IFERROR(AVERAGE(Tabel1[[#This Row],[In - A1a]:[In - A1b]]),"")</f>
        <v>2</v>
      </c>
      <c r="DO11" s="14">
        <v>3</v>
      </c>
      <c r="DP11" s="14">
        <v>3</v>
      </c>
      <c r="DQ11" s="14">
        <f>IFERROR(AVERAGE(Tabel1[[#This Row],[In - A2a]:[In - A2b]]),"")</f>
        <v>3</v>
      </c>
      <c r="DR11" s="14">
        <v>3</v>
      </c>
      <c r="DS11" s="14">
        <v>3</v>
      </c>
      <c r="DT11" s="14">
        <f>IFERROR(AVERAGE(Tabel1[[#This Row],[In - A3a]:[In - A3a]]),"")</f>
        <v>3</v>
      </c>
      <c r="DU11" s="14" t="s">
        <v>189</v>
      </c>
      <c r="DV11" s="14">
        <f>IFERROR(AVERAGE(Tabel1[[#This Row],[In - A1]],Tabel1[[#This Row],[In - A2]],Tabel1[[#This Row],[In - A3]],Tabel1[[#This Row],[In - A4]]),"")</f>
        <v>2.6666666666666665</v>
      </c>
      <c r="DW11" s="14">
        <v>1</v>
      </c>
      <c r="DX11" s="14">
        <v>1</v>
      </c>
      <c r="DY11" s="14" t="s">
        <v>189</v>
      </c>
      <c r="DZ11" s="14">
        <f>IFERROR(AVERAGE(Tabel1[[#This Row],[Do - R1a]:[Do - R1c]]),"")</f>
        <v>1</v>
      </c>
      <c r="EA11" s="14">
        <v>2</v>
      </c>
      <c r="EB11" s="14">
        <v>3</v>
      </c>
      <c r="EC11" s="14">
        <v>4</v>
      </c>
      <c r="ED11" s="14">
        <v>4</v>
      </c>
      <c r="EE11" s="14">
        <f>IFERROR(AVERAGE(Tabel1[[#This Row],[Do - R1]:[Do - R5]]),"")</f>
        <v>2.8</v>
      </c>
      <c r="EF11" s="14">
        <v>4</v>
      </c>
      <c r="EG11" s="14">
        <v>4</v>
      </c>
      <c r="EH11" s="14">
        <v>4</v>
      </c>
      <c r="EI11" s="14">
        <f>IFERROR(AVERAGE(Tabel1[[#This Row],[Do - C1a]:[Do - C1c]]),"")</f>
        <v>4</v>
      </c>
      <c r="EJ11" s="14">
        <v>2</v>
      </c>
      <c r="EK11" s="14">
        <v>4</v>
      </c>
      <c r="EL11" s="14">
        <v>3</v>
      </c>
      <c r="EM11" s="14">
        <f>IFERROR(AVERAGE(Tabel1[[#This Row],[Do - C1]:[Do - C4]]),"")</f>
        <v>3.25</v>
      </c>
      <c r="EN11" s="14">
        <v>4</v>
      </c>
      <c r="EO11" s="14">
        <v>4</v>
      </c>
      <c r="EP11" s="14" t="s">
        <v>189</v>
      </c>
      <c r="EQ11" s="14">
        <f>IFERROR(AVERAGE(Tabel1[[#This Row],[Do - F1a]:[Do - F1c]]),"")</f>
        <v>4</v>
      </c>
      <c r="ER11" s="14">
        <v>1</v>
      </c>
      <c r="ES11" s="14">
        <f>IFERROR(AVERAGE(Tabel1[[#This Row],[Do - F2a]:[Do - F2a]]),"")</f>
        <v>1</v>
      </c>
      <c r="ET11" s="14">
        <v>4</v>
      </c>
      <c r="EU11" s="14">
        <v>4</v>
      </c>
      <c r="EV11" s="14">
        <f>IFERROR(AVERAGE(Tabel1[[#This Row],[Do - F3a]:[Do - F3b]]),"")</f>
        <v>4</v>
      </c>
      <c r="EW11" s="14">
        <v>4</v>
      </c>
      <c r="EX11" s="14">
        <f>IFERROR(AVERAGE(Tabel1[[#This Row],[Do - F1]],Tabel1[[#This Row],[Do - F2]],Tabel1[[#This Row],[Do - F3]],Tabel1[[#This Row],[Do - F4]]),"")</f>
        <v>3.25</v>
      </c>
      <c r="EY11" s="14">
        <v>4</v>
      </c>
      <c r="EZ11" s="14">
        <v>4</v>
      </c>
      <c r="FA11" s="14">
        <v>4</v>
      </c>
      <c r="FB11" s="14">
        <f>IFERROR(AVERAGE(Tabel1[[#This Row],[Do - V1a]:[Do - V1c]]),"")</f>
        <v>4</v>
      </c>
      <c r="FC11" s="14">
        <v>4</v>
      </c>
      <c r="FD11" s="14">
        <v>4</v>
      </c>
      <c r="FE11" s="14">
        <f>IFERROR(AVERAGE(Tabel1[[#This Row],[Do - V2a]:[Do - V2b]]),"")</f>
        <v>4</v>
      </c>
      <c r="FF11" s="14">
        <v>4</v>
      </c>
      <c r="FG11" s="14">
        <f>IFERROR(AVERAGE(Tabel1[[#This Row],[Do - V3a]:[Do - V3a]]),"")</f>
        <v>4</v>
      </c>
      <c r="FH11" s="14">
        <v>3</v>
      </c>
      <c r="FI11" s="14">
        <f>IFERROR(AVERAGE(Tabel1[[#This Row],[Do - V1]],Tabel1[[#This Row],[Do - V2]],Tabel1[[#This Row],[Do - V3]],Tabel1[[#This Row],[Do - V4]]),"")</f>
        <v>3.75</v>
      </c>
      <c r="FJ11" s="14">
        <v>2</v>
      </c>
      <c r="FK11" s="14">
        <v>2</v>
      </c>
      <c r="FL11" s="14">
        <v>2</v>
      </c>
      <c r="FM11" s="14">
        <f>IFERROR(AVERAGE(Tabel1[[#This Row],[Do - A1a]:[Do - A1c]]),"")</f>
        <v>2</v>
      </c>
      <c r="FN11" s="14">
        <v>2</v>
      </c>
      <c r="FO11" s="14">
        <v>2</v>
      </c>
      <c r="FP11" s="14">
        <f>IFERROR(AVERAGE(Tabel1[[#This Row],[Do - A2a]:[Do - A2b]]),"")</f>
        <v>2</v>
      </c>
      <c r="FQ11" s="14">
        <v>4</v>
      </c>
      <c r="FR11" s="14">
        <f>IFERROR(AVERAGE(Tabel1[[#This Row],[Do - A3a]:[Do - A3a]]),"")</f>
        <v>4</v>
      </c>
      <c r="FS11" s="14">
        <v>3</v>
      </c>
      <c r="FT11" s="14">
        <f>IFERROR(AVERAGE(Tabel1[[#This Row],[Do - A1]],Tabel1[[#This Row],[Do - A2]],Tabel1[[#This Row],[Do - A3]],Tabel1[[#This Row],[Do - A4]]),"")</f>
        <v>2.75</v>
      </c>
      <c r="FU1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3.0911111111111111</v>
      </c>
      <c r="FV11" s="16" t="s">
        <v>250</v>
      </c>
      <c r="FW11" t="b">
        <v>1</v>
      </c>
    </row>
    <row r="12" spans="1:179" x14ac:dyDescent="0.3">
      <c r="A12" s="13">
        <v>44883.589907407404</v>
      </c>
      <c r="B12" t="b">
        <v>0</v>
      </c>
      <c r="C12" s="14" t="s">
        <v>251</v>
      </c>
      <c r="D12" s="14" t="s">
        <v>252</v>
      </c>
      <c r="E12" s="14" t="s">
        <v>253</v>
      </c>
      <c r="F12" s="14" t="s">
        <v>184</v>
      </c>
      <c r="G12" s="14"/>
      <c r="H12" s="14" t="s">
        <v>185</v>
      </c>
      <c r="I12" s="14" t="s">
        <v>254</v>
      </c>
      <c r="J12" s="14"/>
      <c r="K12" s="17" t="s">
        <v>255</v>
      </c>
      <c r="L12" s="14" t="s">
        <v>218</v>
      </c>
      <c r="M12" s="14" t="s">
        <v>188</v>
      </c>
      <c r="N12" s="14"/>
      <c r="O12" s="14" t="s">
        <v>256</v>
      </c>
      <c r="P12" s="14"/>
      <c r="Q12" s="14"/>
      <c r="R12" s="14"/>
      <c r="S12" s="14"/>
      <c r="T12" s="14"/>
      <c r="U12" s="14"/>
      <c r="V12" s="14"/>
      <c r="W12" s="14"/>
      <c r="X12" s="14"/>
      <c r="Y12" s="14">
        <v>1</v>
      </c>
      <c r="Z12" s="14">
        <v>1</v>
      </c>
      <c r="AA12" s="14">
        <v>1</v>
      </c>
      <c r="AB12" s="15">
        <f>IFERROR(AVERAGE(Tabel1[[#This Row],[Up - R1a]:[Up - R1c]]),"")</f>
        <v>1</v>
      </c>
      <c r="AC12" s="14">
        <v>3</v>
      </c>
      <c r="AD12" s="14">
        <v>5</v>
      </c>
      <c r="AE12" s="14">
        <v>3</v>
      </c>
      <c r="AF12" s="14" t="s">
        <v>189</v>
      </c>
      <c r="AG12" s="14">
        <f>IFERROR(AVERAGE(Tabel1[[#This Row],[Up - R1]:[Up - R5]]),"")</f>
        <v>3</v>
      </c>
      <c r="AH12" s="14">
        <v>4</v>
      </c>
      <c r="AI12" s="14">
        <v>4</v>
      </c>
      <c r="AJ12" s="14">
        <v>4</v>
      </c>
      <c r="AK12" s="14">
        <f>IFERROR(AVERAGE(Tabel1[[#This Row],[Up - C1a]:[Up - C1c]]),"")</f>
        <v>4</v>
      </c>
      <c r="AL12" s="14">
        <v>2</v>
      </c>
      <c r="AM12" s="14" t="s">
        <v>189</v>
      </c>
      <c r="AN12" s="14">
        <v>3</v>
      </c>
      <c r="AO12" s="14">
        <f>IFERROR(AVERAGE(Tabel1[[#This Row],[Up - C1]:[Up - C4]]),"")</f>
        <v>3</v>
      </c>
      <c r="AP12" s="14">
        <v>3</v>
      </c>
      <c r="AQ12" s="14">
        <f>IFERROR(AVERAGE(Tabel1[[#This Row],[Up - F1a]:[Up - F1a]]),"")</f>
        <v>3</v>
      </c>
      <c r="AR12" s="14">
        <v>1</v>
      </c>
      <c r="AS12" s="14">
        <v>1</v>
      </c>
      <c r="AT12" s="14">
        <f>IFERROR(AVERAGE(Tabel1[[#This Row],[Up - F2a]:[Up - F2b]]),"")</f>
        <v>1</v>
      </c>
      <c r="AU12" s="14">
        <v>2</v>
      </c>
      <c r="AV12" s="14">
        <v>2</v>
      </c>
      <c r="AW12" s="14">
        <f>IFERROR(AVERAGE(Tabel1[[#This Row],[Up - F3a]:[Up - F3b]]),"")</f>
        <v>2</v>
      </c>
      <c r="AX12" s="14">
        <v>3</v>
      </c>
      <c r="AY12" s="14">
        <f>IFERROR(AVERAGE(Tabel1[[#This Row],[Up - F1]],Tabel1[[#This Row],[Up - F2]],Tabel1[[#This Row],[Up - F3]],Tabel1[[#This Row],[Up - F4]]),"")</f>
        <v>2.25</v>
      </c>
      <c r="AZ12" s="14">
        <v>3</v>
      </c>
      <c r="BA12" s="14">
        <v>3</v>
      </c>
      <c r="BB12" s="14">
        <f>IFERROR(AVERAGE(Tabel1[[#This Row],[Up - V1a]:[Up - V1b]]),"")</f>
        <v>3</v>
      </c>
      <c r="BC12" s="14">
        <v>1</v>
      </c>
      <c r="BD12" s="14">
        <v>1</v>
      </c>
      <c r="BE12" s="14">
        <v>1</v>
      </c>
      <c r="BF12" s="14">
        <f>IFERROR(AVERAGE(Tabel1[[#This Row],[Up - V2a]:[Up - V2c]]),"")</f>
        <v>1</v>
      </c>
      <c r="BG12" s="14">
        <v>1</v>
      </c>
      <c r="BH12" s="14">
        <v>1</v>
      </c>
      <c r="BI12" s="14">
        <f>IFERROR(AVERAGE(Tabel1[[#This Row],[Up - V3a]:[Up - V3b]]),"")</f>
        <v>1</v>
      </c>
      <c r="BJ12" s="14">
        <v>1</v>
      </c>
      <c r="BK12" s="14">
        <f>IFERROR(AVERAGE(Tabel1[[#This Row],[Up - V1]],Tabel1[[#This Row],[Up - V2]],Tabel1[[#This Row],[Up - V3]],Tabel1[[#This Row],[Up - V4]]),"")</f>
        <v>1.5</v>
      </c>
      <c r="BL12" s="14">
        <v>4</v>
      </c>
      <c r="BM12" s="14">
        <v>4</v>
      </c>
      <c r="BN12" s="14">
        <v>4</v>
      </c>
      <c r="BO12" s="14">
        <v>4</v>
      </c>
      <c r="BP12" s="14">
        <f>IFERROR(AVERAGE(Tabel1[[#This Row],[Up - A1a]:[Up - A1d]]),"")</f>
        <v>4</v>
      </c>
      <c r="BQ12" s="14">
        <v>5</v>
      </c>
      <c r="BR12" s="14">
        <v>5</v>
      </c>
      <c r="BS12" s="14">
        <f>IFERROR(AVERAGE(Tabel1[[#This Row],[Up - A2a]:[Up - A2b]]),"")</f>
        <v>5</v>
      </c>
      <c r="BT12" s="14">
        <v>5</v>
      </c>
      <c r="BU12" s="14">
        <f>IFERROR(AVERAGE(Tabel1[[#This Row],[Up - A3a]:[Up - A3a]]),"")</f>
        <v>5</v>
      </c>
      <c r="BV12" s="14">
        <v>1</v>
      </c>
      <c r="BW12" s="14">
        <f>IFERROR(AVERAGE(Tabel1[[#This Row],[Up - A1]],Tabel1[[#This Row],[Up - A2]],Tabel1[[#This Row],[Up - A3]]),"")</f>
        <v>4.666666666666667</v>
      </c>
      <c r="BX12" s="14">
        <v>1</v>
      </c>
      <c r="BY12" s="14">
        <v>1</v>
      </c>
      <c r="BZ12" s="14">
        <f>IFERROR(AVERAGE(Tabel1[[#This Row],[In - R1a]:[In - R1b]]),"")</f>
        <v>1</v>
      </c>
      <c r="CA12" s="14">
        <v>4</v>
      </c>
      <c r="CB12" s="14" t="s">
        <v>189</v>
      </c>
      <c r="CC12" s="14">
        <v>4</v>
      </c>
      <c r="CD12" s="14">
        <v>5</v>
      </c>
      <c r="CE12" s="14">
        <f>IFERROR(AVERAGE(Tabel1[[#This Row],[In - R1]:[In - R5]]),"")</f>
        <v>3.5</v>
      </c>
      <c r="CF12" s="14" t="s">
        <v>189</v>
      </c>
      <c r="CG12" s="14" t="s">
        <v>189</v>
      </c>
      <c r="CH12" s="14" t="s">
        <v>189</v>
      </c>
      <c r="CI12" s="14" t="str">
        <f>IFERROR(AVERAGE(Tabel1[[#This Row],[In - C1a]:[In - C1c]]),"")</f>
        <v/>
      </c>
      <c r="CJ12" s="14">
        <v>2</v>
      </c>
      <c r="CK12" s="14">
        <v>2</v>
      </c>
      <c r="CL12" s="14" t="s">
        <v>189</v>
      </c>
      <c r="CM12" s="14">
        <f>IFERROR(AVERAGE(Tabel1[[#This Row],[In - C1]:[In - C4]]),"")</f>
        <v>2</v>
      </c>
      <c r="CN12" s="14">
        <v>2</v>
      </c>
      <c r="CO12" s="14">
        <v>2</v>
      </c>
      <c r="CP12" s="14">
        <v>2</v>
      </c>
      <c r="CQ12" s="14">
        <f>IFERROR(AVERAGE(Tabel1[[#This Row],[In - F1a]:[In - F1c]]),"")</f>
        <v>2</v>
      </c>
      <c r="CR12" s="14">
        <v>1</v>
      </c>
      <c r="CS12" s="14">
        <v>1</v>
      </c>
      <c r="CT12" s="14">
        <f>IFERROR(AVERAGE(Tabel1[[#This Row],[In - F2a]:[In - F2b]]),"")</f>
        <v>1</v>
      </c>
      <c r="CU12" s="14" t="s">
        <v>189</v>
      </c>
      <c r="CV12" s="14" t="str">
        <f>IFERROR(AVERAGE(Tabel1[[#This Row],[In - F3a]:[In - F3a]]),"")</f>
        <v/>
      </c>
      <c r="CW12" s="14">
        <v>3</v>
      </c>
      <c r="CX12" s="14">
        <f>IFERROR(AVERAGE(Tabel1[[#This Row],[In - F1]],Tabel1[[#This Row],[In - F2]],Tabel1[[#This Row],[In - F3]],Tabel1[[#This Row],[In - F4]]),"")</f>
        <v>2</v>
      </c>
      <c r="CY12" s="14">
        <v>4</v>
      </c>
      <c r="CZ12" s="14">
        <v>4</v>
      </c>
      <c r="DA12" s="14">
        <v>4</v>
      </c>
      <c r="DB12" s="14">
        <f>IFERROR(AVERAGE(Tabel1[[#This Row],[In - V1a]:[In - V1c]]),"")</f>
        <v>4</v>
      </c>
      <c r="DC12" s="14" t="s">
        <v>189</v>
      </c>
      <c r="DD12" s="14" t="s">
        <v>189</v>
      </c>
      <c r="DE12" s="14" t="s">
        <v>189</v>
      </c>
      <c r="DF12" s="14" t="str">
        <f>IFERROR(AVERAGE(Tabel1[[#This Row],[In - V2a]:[In - V2c]]),"")</f>
        <v/>
      </c>
      <c r="DG12" s="14">
        <v>2</v>
      </c>
      <c r="DH12" s="14">
        <v>2</v>
      </c>
      <c r="DI12" s="14">
        <f>IFERROR(AVERAGE(Tabel1[[#This Row],[In - V3a]:[In - V3b]]),"")</f>
        <v>2</v>
      </c>
      <c r="DJ12" s="14">
        <v>3</v>
      </c>
      <c r="DK12" s="14">
        <f>IFERROR(AVERAGE(Tabel1[[#This Row],[In - V1]],Tabel1[[#This Row],[In - V2]],Tabel1[[#This Row],[In - V3]],Tabel1[[#This Row],[In - V4]]),"")</f>
        <v>3</v>
      </c>
      <c r="DL12" s="14" t="s">
        <v>189</v>
      </c>
      <c r="DM12" s="14" t="s">
        <v>189</v>
      </c>
      <c r="DN12" s="14" t="str">
        <f>IFERROR(AVERAGE(Tabel1[[#This Row],[In - A1a]:[In - A1b]]),"")</f>
        <v/>
      </c>
      <c r="DO12" s="14" t="s">
        <v>189</v>
      </c>
      <c r="DP12" s="14" t="s">
        <v>189</v>
      </c>
      <c r="DQ12" s="14" t="str">
        <f>IFERROR(AVERAGE(Tabel1[[#This Row],[In - A2a]:[In - A2b]]),"")</f>
        <v/>
      </c>
      <c r="DR12" s="14">
        <v>4</v>
      </c>
      <c r="DS12" s="14">
        <v>4</v>
      </c>
      <c r="DT12" s="14">
        <f>IFERROR(AVERAGE(Tabel1[[#This Row],[In - A3a]:[In - A3a]]),"")</f>
        <v>4</v>
      </c>
      <c r="DU12" s="14">
        <v>4</v>
      </c>
      <c r="DV12" s="14">
        <f>IFERROR(AVERAGE(Tabel1[[#This Row],[In - A1]],Tabel1[[#This Row],[In - A2]],Tabel1[[#This Row],[In - A3]],Tabel1[[#This Row],[In - A4]]),"")</f>
        <v>4</v>
      </c>
      <c r="DW12" s="14">
        <v>5</v>
      </c>
      <c r="DX12" s="14">
        <v>5</v>
      </c>
      <c r="DY12" s="14" t="s">
        <v>189</v>
      </c>
      <c r="DZ12" s="14">
        <f>IFERROR(AVERAGE(Tabel1[[#This Row],[Do - R1a]:[Do - R1c]]),"")</f>
        <v>5</v>
      </c>
      <c r="EA12" s="14" t="s">
        <v>189</v>
      </c>
      <c r="EB12" s="14">
        <v>5</v>
      </c>
      <c r="EC12" s="14" t="s">
        <v>189</v>
      </c>
      <c r="ED12" s="14" t="s">
        <v>189</v>
      </c>
      <c r="EE12" s="14">
        <f>IFERROR(AVERAGE(Tabel1[[#This Row],[Do - R1]:[Do - R5]]),"")</f>
        <v>5</v>
      </c>
      <c r="EF12" s="14">
        <v>4</v>
      </c>
      <c r="EG12" s="14">
        <v>4</v>
      </c>
      <c r="EH12" s="14">
        <v>4</v>
      </c>
      <c r="EI12" s="14">
        <f>IFERROR(AVERAGE(Tabel1[[#This Row],[Do - C1a]:[Do - C1c]]),"")</f>
        <v>4</v>
      </c>
      <c r="EJ12" s="14" t="s">
        <v>189</v>
      </c>
      <c r="EK12" s="14" t="s">
        <v>189</v>
      </c>
      <c r="EL12" s="14" t="s">
        <v>189</v>
      </c>
      <c r="EM12" s="14">
        <f>IFERROR(AVERAGE(Tabel1[[#This Row],[Do - C1]:[Do - C4]]),"")</f>
        <v>4</v>
      </c>
      <c r="EN12" s="14">
        <v>3</v>
      </c>
      <c r="EO12" s="14">
        <v>3</v>
      </c>
      <c r="EP12" s="14" t="s">
        <v>189</v>
      </c>
      <c r="EQ12" s="14">
        <f>IFERROR(AVERAGE(Tabel1[[#This Row],[Do - F1a]:[Do - F1c]]),"")</f>
        <v>3</v>
      </c>
      <c r="ER12" s="14">
        <v>3</v>
      </c>
      <c r="ES12" s="14">
        <f>IFERROR(AVERAGE(Tabel1[[#This Row],[Do - F2a]:[Do - F2a]]),"")</f>
        <v>3</v>
      </c>
      <c r="ET12" s="14">
        <v>3</v>
      </c>
      <c r="EU12" s="14">
        <v>3</v>
      </c>
      <c r="EV12" s="14">
        <f>IFERROR(AVERAGE(Tabel1[[#This Row],[Do - F3a]:[Do - F3b]]),"")</f>
        <v>3</v>
      </c>
      <c r="EW12" s="14">
        <v>1</v>
      </c>
      <c r="EX12" s="14">
        <f>IFERROR(AVERAGE(Tabel1[[#This Row],[Do - F1]],Tabel1[[#This Row],[Do - F2]],Tabel1[[#This Row],[Do - F3]],Tabel1[[#This Row],[Do - F4]]),"")</f>
        <v>2.5</v>
      </c>
      <c r="EY12" s="14">
        <v>3</v>
      </c>
      <c r="EZ12" s="14">
        <v>3</v>
      </c>
      <c r="FA12" s="14">
        <v>3</v>
      </c>
      <c r="FB12" s="14">
        <f>IFERROR(AVERAGE(Tabel1[[#This Row],[Do - V1a]:[Do - V1c]]),"")</f>
        <v>3</v>
      </c>
      <c r="FC12" s="14">
        <v>5</v>
      </c>
      <c r="FD12" s="14">
        <v>5</v>
      </c>
      <c r="FE12" s="14">
        <f>IFERROR(AVERAGE(Tabel1[[#This Row],[Do - V2a]:[Do - V2b]]),"")</f>
        <v>5</v>
      </c>
      <c r="FF12" s="14">
        <v>4</v>
      </c>
      <c r="FG12" s="14">
        <f>IFERROR(AVERAGE(Tabel1[[#This Row],[Do - V3a]:[Do - V3a]]),"")</f>
        <v>4</v>
      </c>
      <c r="FH12" s="14">
        <v>1</v>
      </c>
      <c r="FI12" s="14">
        <f>IFERROR(AVERAGE(Tabel1[[#This Row],[Do - V1]],Tabel1[[#This Row],[Do - V2]],Tabel1[[#This Row],[Do - V3]],Tabel1[[#This Row],[Do - V4]]),"")</f>
        <v>3.25</v>
      </c>
      <c r="FJ12" s="14">
        <v>5</v>
      </c>
      <c r="FK12" s="14">
        <v>5</v>
      </c>
      <c r="FL12" s="14">
        <v>5</v>
      </c>
      <c r="FM12" s="14">
        <f>IFERROR(AVERAGE(Tabel1[[#This Row],[Do - A1a]:[Do - A1c]]),"")</f>
        <v>5</v>
      </c>
      <c r="FN12" s="14" t="s">
        <v>189</v>
      </c>
      <c r="FO12" s="14" t="s">
        <v>189</v>
      </c>
      <c r="FP12" s="14" t="str">
        <f>IFERROR(AVERAGE(Tabel1[[#This Row],[Do - A2a]:[Do - A2b]]),"")</f>
        <v/>
      </c>
      <c r="FQ12" s="14">
        <v>4</v>
      </c>
      <c r="FR12" s="14">
        <f>IFERROR(AVERAGE(Tabel1[[#This Row],[Do - A3a]:[Do - A3a]]),"")</f>
        <v>4</v>
      </c>
      <c r="FS12" s="14">
        <v>5</v>
      </c>
      <c r="FT12" s="14">
        <f>IFERROR(AVERAGE(Tabel1[[#This Row],[Do - A1]],Tabel1[[#This Row],[Do - A2]],Tabel1[[#This Row],[Do - A3]],Tabel1[[#This Row],[Do - A4]]),"")</f>
        <v>4.666666666666667</v>
      </c>
      <c r="FU1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3.2222222222222223</v>
      </c>
      <c r="FV12" s="16" t="s">
        <v>257</v>
      </c>
      <c r="FW12" t="b">
        <v>1</v>
      </c>
    </row>
    <row r="13" spans="1:179" x14ac:dyDescent="0.3">
      <c r="A13" s="13">
        <v>44883.589907407404</v>
      </c>
      <c r="B13" t="b">
        <v>0</v>
      </c>
      <c r="C13" s="14" t="s">
        <v>258</v>
      </c>
      <c r="D13" s="14" t="s">
        <v>259</v>
      </c>
      <c r="E13" s="14" t="s">
        <v>260</v>
      </c>
      <c r="F13" s="14" t="s">
        <v>184</v>
      </c>
      <c r="G13" s="14"/>
      <c r="H13" s="14" t="s">
        <v>242</v>
      </c>
      <c r="I13" s="14" t="s">
        <v>195</v>
      </c>
      <c r="J13" s="14" t="s">
        <v>261</v>
      </c>
      <c r="K13" s="14" t="s">
        <v>235</v>
      </c>
      <c r="L13" s="14" t="s">
        <v>249</v>
      </c>
      <c r="M13" s="14" t="s">
        <v>198</v>
      </c>
      <c r="N13" s="14" t="s">
        <v>262</v>
      </c>
      <c r="O13" s="14" t="s">
        <v>200</v>
      </c>
      <c r="P13" s="14" t="s">
        <v>263</v>
      </c>
      <c r="Q13" s="14" t="s">
        <v>201</v>
      </c>
      <c r="R13" s="14" t="s">
        <v>235</v>
      </c>
      <c r="S13" s="14" t="s">
        <v>235</v>
      </c>
      <c r="T13" s="14" t="s">
        <v>204</v>
      </c>
      <c r="U13" s="14" t="s">
        <v>237</v>
      </c>
      <c r="V13" s="14" t="s">
        <v>224</v>
      </c>
      <c r="W13" s="14"/>
      <c r="X13" s="14"/>
      <c r="Y13" s="14">
        <v>4</v>
      </c>
      <c r="Z13" s="14">
        <v>4</v>
      </c>
      <c r="AA13" s="14">
        <v>4</v>
      </c>
      <c r="AB13" s="15">
        <f>IFERROR(AVERAGE(Tabel1[[#This Row],[Up - R1a]:[Up - R1c]]),"")</f>
        <v>4</v>
      </c>
      <c r="AC13" s="14">
        <v>2</v>
      </c>
      <c r="AD13" s="14">
        <v>3</v>
      </c>
      <c r="AE13" s="14">
        <v>2</v>
      </c>
      <c r="AF13" s="14">
        <v>4</v>
      </c>
      <c r="AG13" s="14">
        <f>IFERROR(AVERAGE(Tabel1[[#This Row],[Up - R1]:[Up - R5]]),"")</f>
        <v>3</v>
      </c>
      <c r="AH13" s="14">
        <v>3</v>
      </c>
      <c r="AI13" s="14">
        <v>3</v>
      </c>
      <c r="AJ13" s="14">
        <v>3</v>
      </c>
      <c r="AK13" s="14">
        <f>IFERROR(AVERAGE(Tabel1[[#This Row],[Up - C1a]:[Up - C1c]]),"")</f>
        <v>3</v>
      </c>
      <c r="AL13" s="14">
        <v>3</v>
      </c>
      <c r="AM13" s="14">
        <v>2</v>
      </c>
      <c r="AN13" s="14">
        <v>2</v>
      </c>
      <c r="AO13" s="14">
        <f>IFERROR(AVERAGE(Tabel1[[#This Row],[Up - C1]:[Up - C4]]),"")</f>
        <v>2.5</v>
      </c>
      <c r="AP13" s="14">
        <v>2</v>
      </c>
      <c r="AQ13" s="14">
        <f>IFERROR(AVERAGE(Tabel1[[#This Row],[Up - F1a]:[Up - F1a]]),"")</f>
        <v>2</v>
      </c>
      <c r="AR13" s="14">
        <v>2</v>
      </c>
      <c r="AS13" s="14">
        <v>2</v>
      </c>
      <c r="AT13" s="14">
        <f>IFERROR(AVERAGE(Tabel1[[#This Row],[Up - F2a]:[Up - F2b]]),"")</f>
        <v>2</v>
      </c>
      <c r="AU13" s="14">
        <v>2</v>
      </c>
      <c r="AV13" s="14">
        <v>2</v>
      </c>
      <c r="AW13" s="14">
        <f>IFERROR(AVERAGE(Tabel1[[#This Row],[Up - F3a]:[Up - F3b]]),"")</f>
        <v>2</v>
      </c>
      <c r="AX13" s="14">
        <v>1</v>
      </c>
      <c r="AY13" s="14">
        <f>IFERROR(AVERAGE(Tabel1[[#This Row],[Up - F1]],Tabel1[[#This Row],[Up - F2]],Tabel1[[#This Row],[Up - F3]],Tabel1[[#This Row],[Up - F4]]),"")</f>
        <v>1.75</v>
      </c>
      <c r="AZ13" s="14">
        <v>4</v>
      </c>
      <c r="BA13" s="14">
        <v>4</v>
      </c>
      <c r="BB13" s="14">
        <f>IFERROR(AVERAGE(Tabel1[[#This Row],[Up - V1a]:[Up - V1b]]),"")</f>
        <v>4</v>
      </c>
      <c r="BC13" s="14">
        <v>3</v>
      </c>
      <c r="BD13" s="14">
        <v>3</v>
      </c>
      <c r="BE13" s="14">
        <v>3</v>
      </c>
      <c r="BF13" s="14">
        <f>IFERROR(AVERAGE(Tabel1[[#This Row],[Up - V2a]:[Up - V2c]]),"")</f>
        <v>3</v>
      </c>
      <c r="BG13" s="14">
        <v>4</v>
      </c>
      <c r="BH13" s="14">
        <v>4</v>
      </c>
      <c r="BI13" s="14">
        <f>IFERROR(AVERAGE(Tabel1[[#This Row],[Up - V3a]:[Up - V3b]]),"")</f>
        <v>4</v>
      </c>
      <c r="BJ13" s="14">
        <v>5</v>
      </c>
      <c r="BK13" s="14">
        <f>IFERROR(AVERAGE(Tabel1[[#This Row],[Up - V1]],Tabel1[[#This Row],[Up - V2]],Tabel1[[#This Row],[Up - V3]],Tabel1[[#This Row],[Up - V4]]),"")</f>
        <v>4</v>
      </c>
      <c r="BL13" s="14">
        <v>2</v>
      </c>
      <c r="BM13" s="14">
        <v>2</v>
      </c>
      <c r="BN13" s="14">
        <v>2</v>
      </c>
      <c r="BO13" s="14">
        <v>2</v>
      </c>
      <c r="BP13" s="14">
        <f>IFERROR(AVERAGE(Tabel1[[#This Row],[Up - A1a]:[Up - A1d]]),"")</f>
        <v>2</v>
      </c>
      <c r="BQ13" s="14">
        <v>2</v>
      </c>
      <c r="BR13" s="14">
        <v>2</v>
      </c>
      <c r="BS13" s="14">
        <f>IFERROR(AVERAGE(Tabel1[[#This Row],[Up - A2a]:[Up - A2b]]),"")</f>
        <v>2</v>
      </c>
      <c r="BT13" s="14">
        <v>2</v>
      </c>
      <c r="BU13" s="14">
        <f>IFERROR(AVERAGE(Tabel1[[#This Row],[Up - A3a]:[Up - A3a]]),"")</f>
        <v>2</v>
      </c>
      <c r="BV13" s="14">
        <v>3</v>
      </c>
      <c r="BW13" s="14">
        <f>IFERROR(AVERAGE(Tabel1[[#This Row],[Up - A1]],Tabel1[[#This Row],[Up - A2]],Tabel1[[#This Row],[Up - A3]]),"")</f>
        <v>2</v>
      </c>
      <c r="BX13" s="14">
        <v>4</v>
      </c>
      <c r="BY13" s="14">
        <v>4</v>
      </c>
      <c r="BZ13" s="14">
        <f>IFERROR(AVERAGE(Tabel1[[#This Row],[In - R1a]:[In - R1b]]),"")</f>
        <v>4</v>
      </c>
      <c r="CA13" s="14">
        <v>3</v>
      </c>
      <c r="CB13" s="14">
        <v>5</v>
      </c>
      <c r="CC13" s="14">
        <v>2</v>
      </c>
      <c r="CD13" s="14">
        <v>5</v>
      </c>
      <c r="CE13" s="14">
        <f>IFERROR(AVERAGE(Tabel1[[#This Row],[In - R1]:[In - R5]]),"")</f>
        <v>3.8</v>
      </c>
      <c r="CF13" s="14">
        <v>3</v>
      </c>
      <c r="CG13" s="14">
        <v>3</v>
      </c>
      <c r="CH13" s="14">
        <v>3</v>
      </c>
      <c r="CI13" s="14">
        <f>IFERROR(AVERAGE(Tabel1[[#This Row],[In - C1a]:[In - C1c]]),"")</f>
        <v>3</v>
      </c>
      <c r="CJ13" s="14">
        <v>4</v>
      </c>
      <c r="CK13" s="14">
        <v>4</v>
      </c>
      <c r="CL13" s="14">
        <v>2</v>
      </c>
      <c r="CM13" s="14">
        <f>IFERROR(AVERAGE(Tabel1[[#This Row],[In - C1]:[In - C4]]),"")</f>
        <v>3.25</v>
      </c>
      <c r="CN13" s="14">
        <v>3</v>
      </c>
      <c r="CO13" s="14">
        <v>3</v>
      </c>
      <c r="CP13" s="14">
        <v>3</v>
      </c>
      <c r="CQ13" s="14">
        <f>IFERROR(AVERAGE(Tabel1[[#This Row],[In - F1a]:[In - F1c]]),"")</f>
        <v>3</v>
      </c>
      <c r="CR13" s="14">
        <v>1</v>
      </c>
      <c r="CS13" s="14">
        <v>1</v>
      </c>
      <c r="CT13" s="14">
        <f>IFERROR(AVERAGE(Tabel1[[#This Row],[In - F2a]:[In - F2b]]),"")</f>
        <v>1</v>
      </c>
      <c r="CU13" s="14">
        <v>1</v>
      </c>
      <c r="CV13" s="14">
        <f>IFERROR(AVERAGE(Tabel1[[#This Row],[In - F3a]:[In - F3a]]),"")</f>
        <v>1</v>
      </c>
      <c r="CW13" s="14">
        <v>3</v>
      </c>
      <c r="CX13" s="14">
        <f>IFERROR(AVERAGE(Tabel1[[#This Row],[In - F1]],Tabel1[[#This Row],[In - F2]],Tabel1[[#This Row],[In - F3]],Tabel1[[#This Row],[In - F4]]),"")</f>
        <v>2</v>
      </c>
      <c r="CY13" s="14">
        <v>2</v>
      </c>
      <c r="CZ13" s="14">
        <v>2</v>
      </c>
      <c r="DA13" s="14">
        <v>2</v>
      </c>
      <c r="DB13" s="14">
        <f>IFERROR(AVERAGE(Tabel1[[#This Row],[In - V1a]:[In - V1c]]),"")</f>
        <v>2</v>
      </c>
      <c r="DC13" s="14">
        <v>3</v>
      </c>
      <c r="DD13" s="14">
        <v>3</v>
      </c>
      <c r="DE13" s="14">
        <v>3</v>
      </c>
      <c r="DF13" s="14">
        <f>IFERROR(AVERAGE(Tabel1[[#This Row],[In - V2a]:[In - V2c]]),"")</f>
        <v>3</v>
      </c>
      <c r="DG13" s="14">
        <v>5</v>
      </c>
      <c r="DH13" s="14">
        <v>5</v>
      </c>
      <c r="DI13" s="14">
        <f>IFERROR(AVERAGE(Tabel1[[#This Row],[In - V3a]:[In - V3b]]),"")</f>
        <v>5</v>
      </c>
      <c r="DJ13" s="14">
        <v>4</v>
      </c>
      <c r="DK13" s="14">
        <f>IFERROR(AVERAGE(Tabel1[[#This Row],[In - V1]],Tabel1[[#This Row],[In - V2]],Tabel1[[#This Row],[In - V3]],Tabel1[[#This Row],[In - V4]]),"")</f>
        <v>3.5</v>
      </c>
      <c r="DL13" s="14">
        <v>4</v>
      </c>
      <c r="DM13" s="14">
        <v>4</v>
      </c>
      <c r="DN13" s="14">
        <f>IFERROR(AVERAGE(Tabel1[[#This Row],[In - A1a]:[In - A1b]]),"")</f>
        <v>4</v>
      </c>
      <c r="DO13" s="14">
        <v>4</v>
      </c>
      <c r="DP13" s="14">
        <v>4</v>
      </c>
      <c r="DQ13" s="14">
        <f>IFERROR(AVERAGE(Tabel1[[#This Row],[In - A2a]:[In - A2b]]),"")</f>
        <v>4</v>
      </c>
      <c r="DR13" s="14">
        <v>3</v>
      </c>
      <c r="DS13" s="14">
        <v>3</v>
      </c>
      <c r="DT13" s="14">
        <f>IFERROR(AVERAGE(Tabel1[[#This Row],[In - A3a]:[In - A3a]]),"")</f>
        <v>3</v>
      </c>
      <c r="DU13" s="14">
        <v>3</v>
      </c>
      <c r="DV13" s="14">
        <f>IFERROR(AVERAGE(Tabel1[[#This Row],[In - A1]],Tabel1[[#This Row],[In - A2]],Tabel1[[#This Row],[In - A3]],Tabel1[[#This Row],[In - A4]]),"")</f>
        <v>3.5</v>
      </c>
      <c r="DW13" s="14">
        <v>2</v>
      </c>
      <c r="DX13" s="14">
        <v>2</v>
      </c>
      <c r="DY13" s="14" t="s">
        <v>189</v>
      </c>
      <c r="DZ13" s="14">
        <f>IFERROR(AVERAGE(Tabel1[[#This Row],[Do - R1a]:[Do - R1c]]),"")</f>
        <v>2</v>
      </c>
      <c r="EA13" s="14">
        <v>3</v>
      </c>
      <c r="EB13" s="14">
        <v>3</v>
      </c>
      <c r="EC13" s="14">
        <v>2</v>
      </c>
      <c r="ED13" s="14">
        <v>3</v>
      </c>
      <c r="EE13" s="14">
        <f>IFERROR(AVERAGE(Tabel1[[#This Row],[Do - R1]:[Do - R5]]),"")</f>
        <v>2.6</v>
      </c>
      <c r="EF13" s="14">
        <v>3</v>
      </c>
      <c r="EG13" s="14">
        <v>3</v>
      </c>
      <c r="EH13" s="14">
        <v>3</v>
      </c>
      <c r="EI13" s="14">
        <f>IFERROR(AVERAGE(Tabel1[[#This Row],[Do - C1a]:[Do - C1c]]),"")</f>
        <v>3</v>
      </c>
      <c r="EJ13" s="14">
        <v>3</v>
      </c>
      <c r="EK13" s="14">
        <v>4</v>
      </c>
      <c r="EL13" s="14">
        <v>3</v>
      </c>
      <c r="EM13" s="14">
        <f>IFERROR(AVERAGE(Tabel1[[#This Row],[Do - C1]:[Do - C4]]),"")</f>
        <v>3.25</v>
      </c>
      <c r="EN13" s="14">
        <v>3</v>
      </c>
      <c r="EO13" s="14">
        <v>3</v>
      </c>
      <c r="EP13" s="14" t="s">
        <v>189</v>
      </c>
      <c r="EQ13" s="14">
        <f>IFERROR(AVERAGE(Tabel1[[#This Row],[Do - F1a]:[Do - F1c]]),"")</f>
        <v>3</v>
      </c>
      <c r="ER13" s="14">
        <v>2</v>
      </c>
      <c r="ES13" s="14">
        <f>IFERROR(AVERAGE(Tabel1[[#This Row],[Do - F2a]:[Do - F2a]]),"")</f>
        <v>2</v>
      </c>
      <c r="ET13" s="14">
        <v>2</v>
      </c>
      <c r="EU13" s="14">
        <v>2</v>
      </c>
      <c r="EV13" s="14">
        <f>IFERROR(AVERAGE(Tabel1[[#This Row],[Do - F3a]:[Do - F3b]]),"")</f>
        <v>2</v>
      </c>
      <c r="EW13" s="14">
        <v>2</v>
      </c>
      <c r="EX13" s="14">
        <f>IFERROR(AVERAGE(Tabel1[[#This Row],[Do - F1]],Tabel1[[#This Row],[Do - F2]],Tabel1[[#This Row],[Do - F3]],Tabel1[[#This Row],[Do - F4]]),"")</f>
        <v>2.25</v>
      </c>
      <c r="EY13" s="14">
        <v>3</v>
      </c>
      <c r="EZ13" s="14">
        <v>3</v>
      </c>
      <c r="FA13" s="14">
        <v>3</v>
      </c>
      <c r="FB13" s="14">
        <f>IFERROR(AVERAGE(Tabel1[[#This Row],[Do - V1a]:[Do - V1c]]),"")</f>
        <v>3</v>
      </c>
      <c r="FC13" s="14">
        <v>3</v>
      </c>
      <c r="FD13" s="14">
        <v>3</v>
      </c>
      <c r="FE13" s="14">
        <f>IFERROR(AVERAGE(Tabel1[[#This Row],[Do - V2a]:[Do - V2b]]),"")</f>
        <v>3</v>
      </c>
      <c r="FF13" s="14">
        <v>3</v>
      </c>
      <c r="FG13" s="14">
        <f>IFERROR(AVERAGE(Tabel1[[#This Row],[Do - V3a]:[Do - V3a]]),"")</f>
        <v>3</v>
      </c>
      <c r="FH13" s="14">
        <v>2</v>
      </c>
      <c r="FI13" s="14">
        <f>IFERROR(AVERAGE(Tabel1[[#This Row],[Do - V1]],Tabel1[[#This Row],[Do - V2]],Tabel1[[#This Row],[Do - V3]],Tabel1[[#This Row],[Do - V4]]),"")</f>
        <v>2.75</v>
      </c>
      <c r="FJ13" s="14">
        <v>4</v>
      </c>
      <c r="FK13" s="14">
        <v>4</v>
      </c>
      <c r="FL13" s="14">
        <v>4</v>
      </c>
      <c r="FM13" s="14">
        <f>IFERROR(AVERAGE(Tabel1[[#This Row],[Do - A1a]:[Do - A1c]]),"")</f>
        <v>4</v>
      </c>
      <c r="FN13" s="14">
        <v>3</v>
      </c>
      <c r="FO13" s="14">
        <v>3</v>
      </c>
      <c r="FP13" s="14">
        <f>IFERROR(AVERAGE(Tabel1[[#This Row],[Do - A2a]:[Do - A2b]]),"")</f>
        <v>3</v>
      </c>
      <c r="FQ13" s="14">
        <v>2</v>
      </c>
      <c r="FR13" s="14">
        <f>IFERROR(AVERAGE(Tabel1[[#This Row],[Do - A3a]:[Do - A3a]]),"")</f>
        <v>2</v>
      </c>
      <c r="FS13" s="14">
        <v>4</v>
      </c>
      <c r="FT13" s="14">
        <f>IFERROR(AVERAGE(Tabel1[[#This Row],[Do - A1]],Tabel1[[#This Row],[Do - A2]],Tabel1[[#This Row],[Do - A3]],Tabel1[[#This Row],[Do - A4]]),"")</f>
        <v>3.25</v>
      </c>
      <c r="FU1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2.8933333333333335</v>
      </c>
      <c r="FV13" s="16" t="s">
        <v>264</v>
      </c>
      <c r="FW13" t="b">
        <v>1</v>
      </c>
    </row>
    <row r="14" spans="1:179" x14ac:dyDescent="0.3">
      <c r="A14" s="13">
        <v>44883.589907407404</v>
      </c>
      <c r="B14" t="b">
        <v>0</v>
      </c>
      <c r="C14" s="14" t="s">
        <v>265</v>
      </c>
      <c r="D14" s="14" t="s">
        <v>266</v>
      </c>
      <c r="E14" s="14" t="s">
        <v>267</v>
      </c>
      <c r="F14" s="14" t="s">
        <v>184</v>
      </c>
      <c r="G14" s="14"/>
      <c r="H14" s="14" t="s">
        <v>185</v>
      </c>
      <c r="I14" s="14" t="s">
        <v>195</v>
      </c>
      <c r="J14" s="14" t="s">
        <v>268</v>
      </c>
      <c r="K14" s="14" t="s">
        <v>202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2</v>
      </c>
      <c r="Z14" s="14">
        <v>2</v>
      </c>
      <c r="AA14" s="14">
        <v>2</v>
      </c>
      <c r="AB14" s="15">
        <f>IFERROR(AVERAGE(Tabel1[[#This Row],[Up - R1a]:[Up - R1c]]),"")</f>
        <v>2</v>
      </c>
      <c r="AC14" s="14">
        <v>4</v>
      </c>
      <c r="AD14" s="14">
        <v>3</v>
      </c>
      <c r="AE14" s="14">
        <v>4</v>
      </c>
      <c r="AF14" s="14">
        <v>3</v>
      </c>
      <c r="AG14" s="14">
        <f>IFERROR(AVERAGE(Tabel1[[#This Row],[Up - R1]:[Up - R5]]),"")</f>
        <v>3.2</v>
      </c>
      <c r="AH14" s="14">
        <v>3</v>
      </c>
      <c r="AI14" s="14">
        <v>3</v>
      </c>
      <c r="AJ14" s="14">
        <v>3</v>
      </c>
      <c r="AK14" s="14">
        <f>IFERROR(AVERAGE(Tabel1[[#This Row],[Up - C1a]:[Up - C1c]]),"")</f>
        <v>3</v>
      </c>
      <c r="AL14" s="14">
        <v>2</v>
      </c>
      <c r="AM14" s="14">
        <v>3</v>
      </c>
      <c r="AN14" s="14">
        <v>4</v>
      </c>
      <c r="AO14" s="14">
        <f>IFERROR(AVERAGE(Tabel1[[#This Row],[Up - C1]:[Up - C4]]),"")</f>
        <v>3</v>
      </c>
      <c r="AP14" s="14">
        <v>2</v>
      </c>
      <c r="AQ14" s="14">
        <f>IFERROR(AVERAGE(Tabel1[[#This Row],[Up - F1a]:[Up - F1a]]),"")</f>
        <v>2</v>
      </c>
      <c r="AR14" s="14">
        <v>3</v>
      </c>
      <c r="AS14" s="14">
        <v>3</v>
      </c>
      <c r="AT14" s="14">
        <f>IFERROR(AVERAGE(Tabel1[[#This Row],[Up - F2a]:[Up - F2b]]),"")</f>
        <v>3</v>
      </c>
      <c r="AU14" s="14">
        <v>3</v>
      </c>
      <c r="AV14" s="14">
        <v>3</v>
      </c>
      <c r="AW14" s="14">
        <f>IFERROR(AVERAGE(Tabel1[[#This Row],[Up - F3a]:[Up - F3b]]),"")</f>
        <v>3</v>
      </c>
      <c r="AX14" s="14">
        <v>4</v>
      </c>
      <c r="AY14" s="14">
        <f>IFERROR(AVERAGE(Tabel1[[#This Row],[Up - F1]],Tabel1[[#This Row],[Up - F2]],Tabel1[[#This Row],[Up - F3]],Tabel1[[#This Row],[Up - F4]]),"")</f>
        <v>3</v>
      </c>
      <c r="AZ14" s="14">
        <v>4</v>
      </c>
      <c r="BA14" s="14">
        <v>4</v>
      </c>
      <c r="BB14" s="14">
        <f>IFERROR(AVERAGE(Tabel1[[#This Row],[Up - V1a]:[Up - V1b]]),"")</f>
        <v>4</v>
      </c>
      <c r="BC14" s="14">
        <v>3</v>
      </c>
      <c r="BD14" s="14">
        <v>3</v>
      </c>
      <c r="BE14" s="14">
        <v>3</v>
      </c>
      <c r="BF14" s="14">
        <f>IFERROR(AVERAGE(Tabel1[[#This Row],[Up - V2a]:[Up - V2c]]),"")</f>
        <v>3</v>
      </c>
      <c r="BG14" s="14">
        <v>2</v>
      </c>
      <c r="BH14" s="14">
        <v>2</v>
      </c>
      <c r="BI14" s="14">
        <f>IFERROR(AVERAGE(Tabel1[[#This Row],[Up - V3a]:[Up - V3b]]),"")</f>
        <v>2</v>
      </c>
      <c r="BJ14" s="14">
        <v>2</v>
      </c>
      <c r="BK14" s="14">
        <f>IFERROR(AVERAGE(Tabel1[[#This Row],[Up - V1]],Tabel1[[#This Row],[Up - V2]],Tabel1[[#This Row],[Up - V3]],Tabel1[[#This Row],[Up - V4]]),"")</f>
        <v>2.75</v>
      </c>
      <c r="BL14" s="14">
        <v>3</v>
      </c>
      <c r="BM14" s="14">
        <v>3</v>
      </c>
      <c r="BN14" s="14">
        <v>3</v>
      </c>
      <c r="BO14" s="14">
        <v>3</v>
      </c>
      <c r="BP14" s="14">
        <f>IFERROR(AVERAGE(Tabel1[[#This Row],[Up - A1a]:[Up - A1d]]),"")</f>
        <v>3</v>
      </c>
      <c r="BQ14" s="14">
        <v>3</v>
      </c>
      <c r="BR14" s="14">
        <v>3</v>
      </c>
      <c r="BS14" s="14">
        <f>IFERROR(AVERAGE(Tabel1[[#This Row],[Up - A2a]:[Up - A2b]]),"")</f>
        <v>3</v>
      </c>
      <c r="BT14" s="14">
        <v>4</v>
      </c>
      <c r="BU14" s="14">
        <f>IFERROR(AVERAGE(Tabel1[[#This Row],[Up - A3a]:[Up - A3a]]),"")</f>
        <v>4</v>
      </c>
      <c r="BV14" s="14">
        <v>4</v>
      </c>
      <c r="BW14" s="14">
        <f>IFERROR(AVERAGE(Tabel1[[#This Row],[Up - A1]],Tabel1[[#This Row],[Up - A2]],Tabel1[[#This Row],[Up - A3]]),"")</f>
        <v>3.3333333333333335</v>
      </c>
      <c r="BX14" s="14">
        <v>2</v>
      </c>
      <c r="BY14" s="14">
        <v>2</v>
      </c>
      <c r="BZ14" s="14">
        <f>IFERROR(AVERAGE(Tabel1[[#This Row],[In - R1a]:[In - R1b]]),"")</f>
        <v>2</v>
      </c>
      <c r="CA14" s="14">
        <v>2</v>
      </c>
      <c r="CB14" s="14">
        <v>2</v>
      </c>
      <c r="CC14" s="14">
        <v>3</v>
      </c>
      <c r="CD14" s="14">
        <v>4</v>
      </c>
      <c r="CE14" s="14">
        <f>IFERROR(AVERAGE(Tabel1[[#This Row],[In - R1]:[In - R5]]),"")</f>
        <v>2.6</v>
      </c>
      <c r="CF14" s="14">
        <v>4</v>
      </c>
      <c r="CG14" s="14">
        <v>4</v>
      </c>
      <c r="CH14" s="14">
        <v>4</v>
      </c>
      <c r="CI14" s="14">
        <f>IFERROR(AVERAGE(Tabel1[[#This Row],[In - C1a]:[In - C1c]]),"")</f>
        <v>4</v>
      </c>
      <c r="CJ14" s="14">
        <v>3</v>
      </c>
      <c r="CK14" s="14">
        <v>3</v>
      </c>
      <c r="CL14" s="14">
        <v>2</v>
      </c>
      <c r="CM14" s="14">
        <f>IFERROR(AVERAGE(Tabel1[[#This Row],[In - C1]:[In - C4]]),"")</f>
        <v>3</v>
      </c>
      <c r="CN14" s="14">
        <v>4</v>
      </c>
      <c r="CO14" s="14">
        <v>4</v>
      </c>
      <c r="CP14" s="14">
        <v>4</v>
      </c>
      <c r="CQ14" s="14">
        <f>IFERROR(AVERAGE(Tabel1[[#This Row],[In - F1a]:[In - F1c]]),"")</f>
        <v>4</v>
      </c>
      <c r="CR14" s="14">
        <v>2</v>
      </c>
      <c r="CS14" s="14">
        <v>2</v>
      </c>
      <c r="CT14" s="14">
        <f>IFERROR(AVERAGE(Tabel1[[#This Row],[In - F2a]:[In - F2b]]),"")</f>
        <v>2</v>
      </c>
      <c r="CU14" s="14">
        <v>3</v>
      </c>
      <c r="CV14" s="14">
        <f>IFERROR(AVERAGE(Tabel1[[#This Row],[In - F3a]:[In - F3a]]),"")</f>
        <v>3</v>
      </c>
      <c r="CW14" s="14">
        <v>4</v>
      </c>
      <c r="CX14" s="14">
        <f>IFERROR(AVERAGE(Tabel1[[#This Row],[In - F1]],Tabel1[[#This Row],[In - F2]],Tabel1[[#This Row],[In - F3]],Tabel1[[#This Row],[In - F4]]),"")</f>
        <v>3.25</v>
      </c>
      <c r="CY14" s="14">
        <v>2</v>
      </c>
      <c r="CZ14" s="14">
        <v>2</v>
      </c>
      <c r="DA14" s="14">
        <v>2</v>
      </c>
      <c r="DB14" s="14">
        <f>IFERROR(AVERAGE(Tabel1[[#This Row],[In - V1a]:[In - V1c]]),"")</f>
        <v>2</v>
      </c>
      <c r="DC14" s="14">
        <v>3</v>
      </c>
      <c r="DD14" s="14">
        <v>3</v>
      </c>
      <c r="DE14" s="14">
        <v>3</v>
      </c>
      <c r="DF14" s="14">
        <f>IFERROR(AVERAGE(Tabel1[[#This Row],[In - V2a]:[In - V2c]]),"")</f>
        <v>3</v>
      </c>
      <c r="DG14" s="14">
        <v>5</v>
      </c>
      <c r="DH14" s="14">
        <v>5</v>
      </c>
      <c r="DI14" s="14">
        <f>IFERROR(AVERAGE(Tabel1[[#This Row],[In - V3a]:[In - V3b]]),"")</f>
        <v>5</v>
      </c>
      <c r="DJ14" s="14">
        <v>4</v>
      </c>
      <c r="DK14" s="14">
        <f>IFERROR(AVERAGE(Tabel1[[#This Row],[In - V1]],Tabel1[[#This Row],[In - V2]],Tabel1[[#This Row],[In - V3]],Tabel1[[#This Row],[In - V4]]),"")</f>
        <v>3.5</v>
      </c>
      <c r="DL14" s="14">
        <v>3</v>
      </c>
      <c r="DM14" s="14">
        <v>3</v>
      </c>
      <c r="DN14" s="14">
        <f>IFERROR(AVERAGE(Tabel1[[#This Row],[In - A1a]:[In - A1b]]),"")</f>
        <v>3</v>
      </c>
      <c r="DO14" s="14">
        <v>3</v>
      </c>
      <c r="DP14" s="14">
        <v>3</v>
      </c>
      <c r="DQ14" s="14">
        <f>IFERROR(AVERAGE(Tabel1[[#This Row],[In - A2a]:[In - A2b]]),"")</f>
        <v>3</v>
      </c>
      <c r="DR14" s="14">
        <v>4</v>
      </c>
      <c r="DS14" s="14">
        <v>4</v>
      </c>
      <c r="DT14" s="14">
        <f>IFERROR(AVERAGE(Tabel1[[#This Row],[In - A3a]:[In - A3a]]),"")</f>
        <v>4</v>
      </c>
      <c r="DU14" s="14">
        <v>2</v>
      </c>
      <c r="DV14" s="14">
        <f>IFERROR(AVERAGE(Tabel1[[#This Row],[In - A1]],Tabel1[[#This Row],[In - A2]],Tabel1[[#This Row],[In - A3]],Tabel1[[#This Row],[In - A4]]),"")</f>
        <v>3</v>
      </c>
      <c r="DW14" s="14">
        <v>2</v>
      </c>
      <c r="DX14" s="14">
        <v>2</v>
      </c>
      <c r="DY14" s="14" t="s">
        <v>189</v>
      </c>
      <c r="DZ14" s="14">
        <f>IFERROR(AVERAGE(Tabel1[[#This Row],[Do - R1a]:[Do - R1c]]),"")</f>
        <v>2</v>
      </c>
      <c r="EA14" s="14">
        <v>4</v>
      </c>
      <c r="EB14" s="14">
        <v>5</v>
      </c>
      <c r="EC14" s="14">
        <v>2</v>
      </c>
      <c r="ED14" s="14">
        <v>2</v>
      </c>
      <c r="EE14" s="14">
        <f>IFERROR(AVERAGE(Tabel1[[#This Row],[Do - R1]:[Do - R5]]),"")</f>
        <v>3</v>
      </c>
      <c r="EF14" s="14">
        <v>2</v>
      </c>
      <c r="EG14" s="14">
        <v>2</v>
      </c>
      <c r="EH14" s="14">
        <v>2</v>
      </c>
      <c r="EI14" s="14">
        <f>IFERROR(AVERAGE(Tabel1[[#This Row],[Do - C1a]:[Do - C1c]]),"")</f>
        <v>2</v>
      </c>
      <c r="EJ14" s="14">
        <v>2</v>
      </c>
      <c r="EK14" s="14">
        <v>3</v>
      </c>
      <c r="EL14" s="14">
        <v>4</v>
      </c>
      <c r="EM14" s="14">
        <f>IFERROR(AVERAGE(Tabel1[[#This Row],[Do - C1]:[Do - C4]]),"")</f>
        <v>2.75</v>
      </c>
      <c r="EN14" s="14">
        <v>2</v>
      </c>
      <c r="EO14" s="14">
        <v>2</v>
      </c>
      <c r="EP14" s="14" t="s">
        <v>189</v>
      </c>
      <c r="EQ14" s="14">
        <f>IFERROR(AVERAGE(Tabel1[[#This Row],[Do - F1a]:[Do - F1c]]),"")</f>
        <v>2</v>
      </c>
      <c r="ER14" s="14">
        <v>4</v>
      </c>
      <c r="ES14" s="14">
        <f>IFERROR(AVERAGE(Tabel1[[#This Row],[Do - F2a]:[Do - F2a]]),"")</f>
        <v>4</v>
      </c>
      <c r="ET14" s="14">
        <v>4</v>
      </c>
      <c r="EU14" s="14">
        <v>4</v>
      </c>
      <c r="EV14" s="14">
        <f>IFERROR(AVERAGE(Tabel1[[#This Row],[Do - F3a]:[Do - F3b]]),"")</f>
        <v>4</v>
      </c>
      <c r="EW14" s="14">
        <v>3</v>
      </c>
      <c r="EX14" s="14">
        <f>IFERROR(AVERAGE(Tabel1[[#This Row],[Do - F1]],Tabel1[[#This Row],[Do - F2]],Tabel1[[#This Row],[Do - F3]],Tabel1[[#This Row],[Do - F4]]),"")</f>
        <v>3.25</v>
      </c>
      <c r="EY14" s="14">
        <v>2</v>
      </c>
      <c r="EZ14" s="14">
        <v>2</v>
      </c>
      <c r="FA14" s="14">
        <v>2</v>
      </c>
      <c r="FB14" s="14">
        <f>IFERROR(AVERAGE(Tabel1[[#This Row],[Do - V1a]:[Do - V1c]]),"")</f>
        <v>2</v>
      </c>
      <c r="FC14" s="14">
        <v>3</v>
      </c>
      <c r="FD14" s="14">
        <v>3</v>
      </c>
      <c r="FE14" s="14">
        <f>IFERROR(AVERAGE(Tabel1[[#This Row],[Do - V2a]:[Do - V2b]]),"")</f>
        <v>3</v>
      </c>
      <c r="FF14" s="14">
        <v>2</v>
      </c>
      <c r="FG14" s="14">
        <f>IFERROR(AVERAGE(Tabel1[[#This Row],[Do - V3a]:[Do - V3a]]),"")</f>
        <v>2</v>
      </c>
      <c r="FH14" s="14">
        <v>2</v>
      </c>
      <c r="FI14" s="14">
        <f>IFERROR(AVERAGE(Tabel1[[#This Row],[Do - V1]],Tabel1[[#This Row],[Do - V2]],Tabel1[[#This Row],[Do - V3]],Tabel1[[#This Row],[Do - V4]]),"")</f>
        <v>2.25</v>
      </c>
      <c r="FJ14" s="14">
        <v>2</v>
      </c>
      <c r="FK14" s="14">
        <v>2</v>
      </c>
      <c r="FL14" s="14">
        <v>2</v>
      </c>
      <c r="FM14" s="14">
        <f>IFERROR(AVERAGE(Tabel1[[#This Row],[Do - A1a]:[Do - A1c]]),"")</f>
        <v>2</v>
      </c>
      <c r="FN14" s="14">
        <v>2</v>
      </c>
      <c r="FO14" s="14">
        <v>2</v>
      </c>
      <c r="FP14" s="14">
        <f>IFERROR(AVERAGE(Tabel1[[#This Row],[Do - A2a]:[Do - A2b]]),"")</f>
        <v>2</v>
      </c>
      <c r="FQ14" s="14">
        <v>3</v>
      </c>
      <c r="FR14" s="14">
        <f>IFERROR(AVERAGE(Tabel1[[#This Row],[Do - A3a]:[Do - A3a]]),"")</f>
        <v>3</v>
      </c>
      <c r="FS14" s="14">
        <v>3</v>
      </c>
      <c r="FT14" s="14">
        <f>IFERROR(AVERAGE(Tabel1[[#This Row],[Do - A1]],Tabel1[[#This Row],[Do - A2]],Tabel1[[#This Row],[Do - A3]],Tabel1[[#This Row],[Do - A4]]),"")</f>
        <v>2.5</v>
      </c>
      <c r="FU1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2.9588888888888887</v>
      </c>
      <c r="FV14" s="16" t="s">
        <v>269</v>
      </c>
      <c r="FW14" t="b">
        <v>1</v>
      </c>
    </row>
    <row r="15" spans="1:179" x14ac:dyDescent="0.3">
      <c r="A15" s="13">
        <v>44883.589907407404</v>
      </c>
      <c r="B15" t="b">
        <v>0</v>
      </c>
      <c r="C15" s="14" t="s">
        <v>270</v>
      </c>
      <c r="D15" s="14" t="s">
        <v>271</v>
      </c>
      <c r="E15" s="14" t="s">
        <v>272</v>
      </c>
      <c r="F15" s="14" t="s">
        <v>184</v>
      </c>
      <c r="G15" s="14"/>
      <c r="H15" s="14" t="s">
        <v>185</v>
      </c>
      <c r="I15" s="14" t="s">
        <v>195</v>
      </c>
      <c r="J15" s="14" t="s">
        <v>273</v>
      </c>
      <c r="K15" s="14" t="s">
        <v>201</v>
      </c>
      <c r="L15" s="14" t="s">
        <v>249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>
        <v>2</v>
      </c>
      <c r="Z15" s="14">
        <v>2</v>
      </c>
      <c r="AA15" s="14">
        <v>2</v>
      </c>
      <c r="AB15" s="15">
        <f>IFERROR(AVERAGE(Tabel1[[#This Row],[Up - R1a]:[Up - R1c]]),"")</f>
        <v>2</v>
      </c>
      <c r="AC15" s="14">
        <v>2</v>
      </c>
      <c r="AD15" s="14">
        <v>4</v>
      </c>
      <c r="AE15" s="14" t="s">
        <v>189</v>
      </c>
      <c r="AF15" s="14" t="s">
        <v>189</v>
      </c>
      <c r="AG15" s="14">
        <f>IFERROR(AVERAGE(Tabel1[[#This Row],[Up - R1]:[Up - R5]]),"")</f>
        <v>2.6666666666666665</v>
      </c>
      <c r="AH15" s="14">
        <v>4</v>
      </c>
      <c r="AI15" s="14">
        <v>4</v>
      </c>
      <c r="AJ15" s="14">
        <v>4</v>
      </c>
      <c r="AK15" s="14">
        <f>IFERROR(AVERAGE(Tabel1[[#This Row],[Up - C1a]:[Up - C1c]]),"")</f>
        <v>4</v>
      </c>
      <c r="AL15" s="14">
        <v>2</v>
      </c>
      <c r="AM15" s="14">
        <v>2</v>
      </c>
      <c r="AN15" s="14" t="s">
        <v>189</v>
      </c>
      <c r="AO15" s="14">
        <f>IFERROR(AVERAGE(Tabel1[[#This Row],[Up - C1]:[Up - C4]]),"")</f>
        <v>2.6666666666666665</v>
      </c>
      <c r="AP15" s="14" t="s">
        <v>189</v>
      </c>
      <c r="AQ15" s="14" t="str">
        <f>IFERROR(AVERAGE(Tabel1[[#This Row],[Up - F1a]:[Up - F1a]]),"")</f>
        <v/>
      </c>
      <c r="AR15" s="14">
        <v>3</v>
      </c>
      <c r="AS15" s="14">
        <v>3</v>
      </c>
      <c r="AT15" s="14">
        <f>IFERROR(AVERAGE(Tabel1[[#This Row],[Up - F2a]:[Up - F2b]]),"")</f>
        <v>3</v>
      </c>
      <c r="AU15" s="14">
        <v>3</v>
      </c>
      <c r="AV15" s="14">
        <v>3</v>
      </c>
      <c r="AW15" s="14">
        <f>IFERROR(AVERAGE(Tabel1[[#This Row],[Up - F3a]:[Up - F3b]]),"")</f>
        <v>3</v>
      </c>
      <c r="AX15" s="14" t="s">
        <v>189</v>
      </c>
      <c r="AY15" s="14">
        <f>IFERROR(AVERAGE(Tabel1[[#This Row],[Up - F1]],Tabel1[[#This Row],[Up - F2]],Tabel1[[#This Row],[Up - F3]],Tabel1[[#This Row],[Up - F4]]),"")</f>
        <v>3</v>
      </c>
      <c r="AZ15" s="14">
        <v>2</v>
      </c>
      <c r="BA15" s="14">
        <v>2</v>
      </c>
      <c r="BB15" s="14">
        <f>IFERROR(AVERAGE(Tabel1[[#This Row],[Up - V1a]:[Up - V1b]]),"")</f>
        <v>2</v>
      </c>
      <c r="BC15" s="14">
        <v>1</v>
      </c>
      <c r="BD15" s="14">
        <v>1</v>
      </c>
      <c r="BE15" s="14">
        <v>1</v>
      </c>
      <c r="BF15" s="14">
        <f>IFERROR(AVERAGE(Tabel1[[#This Row],[Up - V2a]:[Up - V2c]]),"")</f>
        <v>1</v>
      </c>
      <c r="BG15" s="14">
        <v>2</v>
      </c>
      <c r="BH15" s="14">
        <v>2</v>
      </c>
      <c r="BI15" s="14">
        <f>IFERROR(AVERAGE(Tabel1[[#This Row],[Up - V3a]:[Up - V3b]]),"")</f>
        <v>2</v>
      </c>
      <c r="BJ15" s="14" t="s">
        <v>189</v>
      </c>
      <c r="BK15" s="14">
        <f>IFERROR(AVERAGE(Tabel1[[#This Row],[Up - V1]],Tabel1[[#This Row],[Up - V2]],Tabel1[[#This Row],[Up - V3]],Tabel1[[#This Row],[Up - V4]]),"")</f>
        <v>1.6666666666666667</v>
      </c>
      <c r="BL15" s="14">
        <v>4</v>
      </c>
      <c r="BM15" s="14">
        <v>4</v>
      </c>
      <c r="BN15" s="14">
        <v>4</v>
      </c>
      <c r="BO15" s="14">
        <v>4</v>
      </c>
      <c r="BP15" s="14">
        <f>IFERROR(AVERAGE(Tabel1[[#This Row],[Up - A1a]:[Up - A1d]]),"")</f>
        <v>4</v>
      </c>
      <c r="BQ15" s="14">
        <v>4</v>
      </c>
      <c r="BR15" s="14">
        <v>4</v>
      </c>
      <c r="BS15" s="14">
        <f>IFERROR(AVERAGE(Tabel1[[#This Row],[Up - A2a]:[Up - A2b]]),"")</f>
        <v>4</v>
      </c>
      <c r="BT15" s="14">
        <v>3</v>
      </c>
      <c r="BU15" s="14">
        <f>IFERROR(AVERAGE(Tabel1[[#This Row],[Up - A3a]:[Up - A3a]]),"")</f>
        <v>3</v>
      </c>
      <c r="BV15" s="14" t="s">
        <v>189</v>
      </c>
      <c r="BW15" s="14">
        <f>IFERROR(AVERAGE(Tabel1[[#This Row],[Up - A1]],Tabel1[[#This Row],[Up - A2]],Tabel1[[#This Row],[Up - A3]]),"")</f>
        <v>3.6666666666666665</v>
      </c>
      <c r="BX15" s="14">
        <v>2</v>
      </c>
      <c r="BY15" s="14">
        <v>2</v>
      </c>
      <c r="BZ15" s="14">
        <f>IFERROR(AVERAGE(Tabel1[[#This Row],[In - R1a]:[In - R1b]]),"")</f>
        <v>2</v>
      </c>
      <c r="CA15" s="14">
        <v>4</v>
      </c>
      <c r="CB15" s="14" t="s">
        <v>189</v>
      </c>
      <c r="CC15" s="14" t="s">
        <v>189</v>
      </c>
      <c r="CD15" s="14" t="s">
        <v>189</v>
      </c>
      <c r="CE15" s="14">
        <f>IFERROR(AVERAGE(Tabel1[[#This Row],[In - R1]:[In - R5]]),"")</f>
        <v>3</v>
      </c>
      <c r="CF15" s="14">
        <v>2</v>
      </c>
      <c r="CG15" s="14">
        <v>2</v>
      </c>
      <c r="CH15" s="14">
        <v>2</v>
      </c>
      <c r="CI15" s="14">
        <f>IFERROR(AVERAGE(Tabel1[[#This Row],[In - C1a]:[In - C1c]]),"")</f>
        <v>2</v>
      </c>
      <c r="CJ15" s="14">
        <v>2</v>
      </c>
      <c r="CK15" s="14">
        <v>2</v>
      </c>
      <c r="CL15" s="14" t="s">
        <v>189</v>
      </c>
      <c r="CM15" s="14">
        <f>IFERROR(AVERAGE(Tabel1[[#This Row],[In - C1]:[In - C4]]),"")</f>
        <v>2</v>
      </c>
      <c r="CN15" s="14">
        <v>2</v>
      </c>
      <c r="CO15" s="14">
        <v>2</v>
      </c>
      <c r="CP15" s="14">
        <v>2</v>
      </c>
      <c r="CQ15" s="14">
        <f>IFERROR(AVERAGE(Tabel1[[#This Row],[In - F1a]:[In - F1c]]),"")</f>
        <v>2</v>
      </c>
      <c r="CR15" s="14">
        <v>2</v>
      </c>
      <c r="CS15" s="14">
        <v>2</v>
      </c>
      <c r="CT15" s="14">
        <f>IFERROR(AVERAGE(Tabel1[[#This Row],[In - F2a]:[In - F2b]]),"")</f>
        <v>2</v>
      </c>
      <c r="CU15" s="14">
        <v>3</v>
      </c>
      <c r="CV15" s="14">
        <f>IFERROR(AVERAGE(Tabel1[[#This Row],[In - F3a]:[In - F3a]]),"")</f>
        <v>3</v>
      </c>
      <c r="CW15" s="14" t="s">
        <v>189</v>
      </c>
      <c r="CX15" s="14">
        <f>IFERROR(AVERAGE(Tabel1[[#This Row],[In - F1]],Tabel1[[#This Row],[In - F2]],Tabel1[[#This Row],[In - F3]],Tabel1[[#This Row],[In - F4]]),"")</f>
        <v>2.3333333333333335</v>
      </c>
      <c r="CY15" s="14">
        <v>1</v>
      </c>
      <c r="CZ15" s="14">
        <v>1</v>
      </c>
      <c r="DA15" s="14">
        <v>1</v>
      </c>
      <c r="DB15" s="14">
        <f>IFERROR(AVERAGE(Tabel1[[#This Row],[In - V1a]:[In - V1c]]),"")</f>
        <v>1</v>
      </c>
      <c r="DC15" s="14">
        <v>1</v>
      </c>
      <c r="DD15" s="14">
        <v>1</v>
      </c>
      <c r="DE15" s="14">
        <v>1</v>
      </c>
      <c r="DF15" s="14">
        <f>IFERROR(AVERAGE(Tabel1[[#This Row],[In - V2a]:[In - V2c]]),"")</f>
        <v>1</v>
      </c>
      <c r="DG15" s="14">
        <v>2</v>
      </c>
      <c r="DH15" s="14">
        <v>2</v>
      </c>
      <c r="DI15" s="14">
        <f>IFERROR(AVERAGE(Tabel1[[#This Row],[In - V3a]:[In - V3b]]),"")</f>
        <v>2</v>
      </c>
      <c r="DJ15" s="14">
        <v>2</v>
      </c>
      <c r="DK15" s="14">
        <f>IFERROR(AVERAGE(Tabel1[[#This Row],[In - V1]],Tabel1[[#This Row],[In - V2]],Tabel1[[#This Row],[In - V3]],Tabel1[[#This Row],[In - V4]]),"")</f>
        <v>1.5</v>
      </c>
      <c r="DL15" s="14">
        <v>2</v>
      </c>
      <c r="DM15" s="14">
        <v>2</v>
      </c>
      <c r="DN15" s="14">
        <f>IFERROR(AVERAGE(Tabel1[[#This Row],[In - A1a]:[In - A1b]]),"")</f>
        <v>2</v>
      </c>
      <c r="DO15" s="14">
        <v>3</v>
      </c>
      <c r="DP15" s="14">
        <v>3</v>
      </c>
      <c r="DQ15" s="14">
        <f>IFERROR(AVERAGE(Tabel1[[#This Row],[In - A2a]:[In - A2b]]),"")</f>
        <v>3</v>
      </c>
      <c r="DR15" s="14">
        <v>2</v>
      </c>
      <c r="DS15" s="14">
        <v>2</v>
      </c>
      <c r="DT15" s="14">
        <f>IFERROR(AVERAGE(Tabel1[[#This Row],[In - A3a]:[In - A3a]]),"")</f>
        <v>2</v>
      </c>
      <c r="DU15" s="14" t="s">
        <v>189</v>
      </c>
      <c r="DV15" s="14">
        <f>IFERROR(AVERAGE(Tabel1[[#This Row],[In - A1]],Tabel1[[#This Row],[In - A2]],Tabel1[[#This Row],[In - A3]],Tabel1[[#This Row],[In - A4]]),"")</f>
        <v>2.3333333333333335</v>
      </c>
      <c r="DW15" s="14">
        <v>3</v>
      </c>
      <c r="DX15" s="14">
        <v>3</v>
      </c>
      <c r="DY15" s="14" t="s">
        <v>189</v>
      </c>
      <c r="DZ15" s="14">
        <f>IFERROR(AVERAGE(Tabel1[[#This Row],[Do - R1a]:[Do - R1c]]),"")</f>
        <v>3</v>
      </c>
      <c r="EA15" s="14">
        <v>2</v>
      </c>
      <c r="EB15" s="14">
        <v>4</v>
      </c>
      <c r="EC15" s="14" t="s">
        <v>189</v>
      </c>
      <c r="ED15" s="14" t="s">
        <v>189</v>
      </c>
      <c r="EE15" s="14">
        <f>IFERROR(AVERAGE(Tabel1[[#This Row],[Do - R1]:[Do - R5]]),"")</f>
        <v>3</v>
      </c>
      <c r="EF15" s="14">
        <v>3</v>
      </c>
      <c r="EG15" s="14">
        <v>3</v>
      </c>
      <c r="EH15" s="14">
        <v>3</v>
      </c>
      <c r="EI15" s="14">
        <f>IFERROR(AVERAGE(Tabel1[[#This Row],[Do - C1a]:[Do - C1c]]),"")</f>
        <v>3</v>
      </c>
      <c r="EJ15" s="14">
        <v>2</v>
      </c>
      <c r="EK15" s="14">
        <v>2</v>
      </c>
      <c r="EL15" s="14" t="s">
        <v>189</v>
      </c>
      <c r="EM15" s="14">
        <f>IFERROR(AVERAGE(Tabel1[[#This Row],[Do - C1]:[Do - C4]]),"")</f>
        <v>2.3333333333333335</v>
      </c>
      <c r="EN15" s="14">
        <v>3</v>
      </c>
      <c r="EO15" s="14">
        <v>3</v>
      </c>
      <c r="EP15" s="14" t="s">
        <v>189</v>
      </c>
      <c r="EQ15" s="14">
        <f>IFERROR(AVERAGE(Tabel1[[#This Row],[Do - F1a]:[Do - F1c]]),"")</f>
        <v>3</v>
      </c>
      <c r="ER15" s="14">
        <v>3</v>
      </c>
      <c r="ES15" s="14">
        <f>IFERROR(AVERAGE(Tabel1[[#This Row],[Do - F2a]:[Do - F2a]]),"")</f>
        <v>3</v>
      </c>
      <c r="ET15" s="14">
        <v>3</v>
      </c>
      <c r="EU15" s="14">
        <v>3</v>
      </c>
      <c r="EV15" s="14">
        <f>IFERROR(AVERAGE(Tabel1[[#This Row],[Do - F3a]:[Do - F3b]]),"")</f>
        <v>3</v>
      </c>
      <c r="EW15" s="14" t="s">
        <v>189</v>
      </c>
      <c r="EX15" s="14">
        <f>IFERROR(AVERAGE(Tabel1[[#This Row],[Do - F1]],Tabel1[[#This Row],[Do - F2]],Tabel1[[#This Row],[Do - F3]],Tabel1[[#This Row],[Do - F4]]),"")</f>
        <v>3</v>
      </c>
      <c r="EY15" s="14">
        <v>2</v>
      </c>
      <c r="EZ15" s="14">
        <v>2</v>
      </c>
      <c r="FA15" s="14">
        <v>2</v>
      </c>
      <c r="FB15" s="14">
        <f>IFERROR(AVERAGE(Tabel1[[#This Row],[Do - V1a]:[Do - V1c]]),"")</f>
        <v>2</v>
      </c>
      <c r="FC15" s="14">
        <v>2</v>
      </c>
      <c r="FD15" s="14">
        <v>2</v>
      </c>
      <c r="FE15" s="14">
        <f>IFERROR(AVERAGE(Tabel1[[#This Row],[Do - V2a]:[Do - V2b]]),"")</f>
        <v>2</v>
      </c>
      <c r="FF15" s="14">
        <v>1</v>
      </c>
      <c r="FG15" s="14">
        <f>IFERROR(AVERAGE(Tabel1[[#This Row],[Do - V3a]:[Do - V3a]]),"")</f>
        <v>1</v>
      </c>
      <c r="FH15" s="14">
        <v>2</v>
      </c>
      <c r="FI15" s="14">
        <f>IFERROR(AVERAGE(Tabel1[[#This Row],[Do - V1]],Tabel1[[#This Row],[Do - V2]],Tabel1[[#This Row],[Do - V3]],Tabel1[[#This Row],[Do - V4]]),"")</f>
        <v>1.75</v>
      </c>
      <c r="FJ15" s="14">
        <v>3</v>
      </c>
      <c r="FK15" s="14">
        <v>3</v>
      </c>
      <c r="FL15" s="14">
        <v>3</v>
      </c>
      <c r="FM15" s="14">
        <f>IFERROR(AVERAGE(Tabel1[[#This Row],[Do - A1a]:[Do - A1c]]),"")</f>
        <v>3</v>
      </c>
      <c r="FN15" s="14">
        <v>2</v>
      </c>
      <c r="FO15" s="14">
        <v>2</v>
      </c>
      <c r="FP15" s="14">
        <f>IFERROR(AVERAGE(Tabel1[[#This Row],[Do - A2a]:[Do - A2b]]),"")</f>
        <v>2</v>
      </c>
      <c r="FQ15" s="14">
        <v>2</v>
      </c>
      <c r="FR15" s="14">
        <f>IFERROR(AVERAGE(Tabel1[[#This Row],[Do - A3a]:[Do - A3a]]),"")</f>
        <v>2</v>
      </c>
      <c r="FS15" s="14" t="s">
        <v>189</v>
      </c>
      <c r="FT15" s="14">
        <f>IFERROR(AVERAGE(Tabel1[[#This Row],[Do - A1]],Tabel1[[#This Row],[Do - A2]],Tabel1[[#This Row],[Do - A3]],Tabel1[[#This Row],[Do - A4]]),"")</f>
        <v>2.3333333333333335</v>
      </c>
      <c r="FU1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2.4833333333333329</v>
      </c>
      <c r="FV15" s="16" t="s">
        <v>274</v>
      </c>
      <c r="FW15" t="b">
        <v>1</v>
      </c>
    </row>
    <row r="16" spans="1:179" x14ac:dyDescent="0.3">
      <c r="A16" s="13">
        <v>44883.589907407404</v>
      </c>
      <c r="B16" t="b">
        <v>0</v>
      </c>
      <c r="C16" s="14" t="s">
        <v>275</v>
      </c>
      <c r="D16" s="14" t="s">
        <v>215</v>
      </c>
      <c r="E16" s="14" t="s">
        <v>276</v>
      </c>
      <c r="F16" s="14" t="s">
        <v>184</v>
      </c>
      <c r="G16" s="14"/>
      <c r="H16" s="14" t="s">
        <v>242</v>
      </c>
      <c r="I16" s="14" t="s">
        <v>195</v>
      </c>
      <c r="J16" s="14" t="s">
        <v>212</v>
      </c>
      <c r="K16" s="14" t="s">
        <v>201</v>
      </c>
      <c r="L16" s="14" t="s">
        <v>218</v>
      </c>
      <c r="M16" s="14" t="s">
        <v>188</v>
      </c>
      <c r="N16" s="14"/>
      <c r="O16" s="14" t="s">
        <v>200</v>
      </c>
      <c r="P16" s="14"/>
      <c r="Q16" s="14"/>
      <c r="R16" s="14"/>
      <c r="S16" s="14"/>
      <c r="T16" s="14"/>
      <c r="U16" s="14"/>
      <c r="V16" s="14"/>
      <c r="W16" s="14"/>
      <c r="X16" s="14"/>
      <c r="Y16" s="14">
        <v>2</v>
      </c>
      <c r="Z16" s="14">
        <v>2</v>
      </c>
      <c r="AA16" s="14">
        <v>2</v>
      </c>
      <c r="AB16" s="15">
        <f>IFERROR(AVERAGE(Tabel1[[#This Row],[Up - R1a]:[Up - R1c]]),"")</f>
        <v>2</v>
      </c>
      <c r="AC16" s="14">
        <v>1</v>
      </c>
      <c r="AD16" s="14">
        <v>3</v>
      </c>
      <c r="AE16" s="14">
        <v>2</v>
      </c>
      <c r="AF16" s="14">
        <v>4</v>
      </c>
      <c r="AG16" s="14">
        <f>IFERROR(AVERAGE(Tabel1[[#This Row],[Up - R1]:[Up - R5]]),"")</f>
        <v>2.4</v>
      </c>
      <c r="AH16" s="14">
        <v>2</v>
      </c>
      <c r="AI16" s="14">
        <v>2</v>
      </c>
      <c r="AJ16" s="14">
        <v>2</v>
      </c>
      <c r="AK16" s="14">
        <f>IFERROR(AVERAGE(Tabel1[[#This Row],[Up - C1a]:[Up - C1c]]),"")</f>
        <v>2</v>
      </c>
      <c r="AL16" s="14">
        <v>2</v>
      </c>
      <c r="AM16" s="14">
        <v>1</v>
      </c>
      <c r="AN16" s="14">
        <v>3</v>
      </c>
      <c r="AO16" s="14">
        <f>IFERROR(AVERAGE(Tabel1[[#This Row],[Up - C1]:[Up - C4]]),"")</f>
        <v>2</v>
      </c>
      <c r="AP16" s="14">
        <v>2</v>
      </c>
      <c r="AQ16" s="14">
        <f>IFERROR(AVERAGE(Tabel1[[#This Row],[Up - F1a]:[Up - F1a]]),"")</f>
        <v>2</v>
      </c>
      <c r="AR16" s="14">
        <v>1</v>
      </c>
      <c r="AS16" s="14">
        <v>1</v>
      </c>
      <c r="AT16" s="14">
        <f>IFERROR(AVERAGE(Tabel1[[#This Row],[Up - F2a]:[Up - F2b]]),"")</f>
        <v>1</v>
      </c>
      <c r="AU16" s="14">
        <v>1</v>
      </c>
      <c r="AV16" s="14">
        <v>1</v>
      </c>
      <c r="AW16" s="14">
        <f>IFERROR(AVERAGE(Tabel1[[#This Row],[Up - F3a]:[Up - F3b]]),"")</f>
        <v>1</v>
      </c>
      <c r="AX16" s="14">
        <v>2</v>
      </c>
      <c r="AY16" s="14">
        <f>IFERROR(AVERAGE(Tabel1[[#This Row],[Up - F1]],Tabel1[[#This Row],[Up - F2]],Tabel1[[#This Row],[Up - F3]],Tabel1[[#This Row],[Up - F4]]),"")</f>
        <v>1.5</v>
      </c>
      <c r="AZ16" s="14">
        <v>2</v>
      </c>
      <c r="BA16" s="14">
        <v>2</v>
      </c>
      <c r="BB16" s="14">
        <f>IFERROR(AVERAGE(Tabel1[[#This Row],[Up - V1a]:[Up - V1b]]),"")</f>
        <v>2</v>
      </c>
      <c r="BC16" s="14">
        <v>2</v>
      </c>
      <c r="BD16" s="14">
        <v>2</v>
      </c>
      <c r="BE16" s="14">
        <v>2</v>
      </c>
      <c r="BF16" s="14">
        <f>IFERROR(AVERAGE(Tabel1[[#This Row],[Up - V2a]:[Up - V2c]]),"")</f>
        <v>2</v>
      </c>
      <c r="BG16" s="14">
        <v>2</v>
      </c>
      <c r="BH16" s="14">
        <v>2</v>
      </c>
      <c r="BI16" s="14">
        <f>IFERROR(AVERAGE(Tabel1[[#This Row],[Up - V3a]:[Up - V3b]]),"")</f>
        <v>2</v>
      </c>
      <c r="BJ16" s="14">
        <v>5</v>
      </c>
      <c r="BK16" s="14">
        <f>IFERROR(AVERAGE(Tabel1[[#This Row],[Up - V1]],Tabel1[[#This Row],[Up - V2]],Tabel1[[#This Row],[Up - V3]],Tabel1[[#This Row],[Up - V4]]),"")</f>
        <v>2.75</v>
      </c>
      <c r="BL16" s="14">
        <v>2</v>
      </c>
      <c r="BM16" s="14">
        <v>2</v>
      </c>
      <c r="BN16" s="14">
        <v>2</v>
      </c>
      <c r="BO16" s="14">
        <v>2</v>
      </c>
      <c r="BP16" s="14">
        <f>IFERROR(AVERAGE(Tabel1[[#This Row],[Up - A1a]:[Up - A1d]]),"")</f>
        <v>2</v>
      </c>
      <c r="BQ16" s="14">
        <v>2</v>
      </c>
      <c r="BR16" s="14">
        <v>2</v>
      </c>
      <c r="BS16" s="14">
        <f>IFERROR(AVERAGE(Tabel1[[#This Row],[Up - A2a]:[Up - A2b]]),"")</f>
        <v>2</v>
      </c>
      <c r="BT16" s="14">
        <v>2</v>
      </c>
      <c r="BU16" s="14">
        <f>IFERROR(AVERAGE(Tabel1[[#This Row],[Up - A3a]:[Up - A3a]]),"")</f>
        <v>2</v>
      </c>
      <c r="BV16" s="14">
        <v>3</v>
      </c>
      <c r="BW16" s="14">
        <f>IFERROR(AVERAGE(Tabel1[[#This Row],[Up - A1]],Tabel1[[#This Row],[Up - A2]],Tabel1[[#This Row],[Up - A3]]),"")</f>
        <v>2</v>
      </c>
      <c r="BX16" s="14">
        <v>2</v>
      </c>
      <c r="BY16" s="14">
        <v>2</v>
      </c>
      <c r="BZ16" s="14">
        <f>IFERROR(AVERAGE(Tabel1[[#This Row],[In - R1a]:[In - R1b]]),"")</f>
        <v>2</v>
      </c>
      <c r="CA16" s="14">
        <v>4</v>
      </c>
      <c r="CB16" s="14">
        <v>1</v>
      </c>
      <c r="CC16" s="14">
        <v>3</v>
      </c>
      <c r="CD16" s="14">
        <v>5</v>
      </c>
      <c r="CE16" s="14">
        <f>IFERROR(AVERAGE(Tabel1[[#This Row],[In - R1]:[In - R5]]),"")</f>
        <v>3</v>
      </c>
      <c r="CF16" s="14">
        <v>5</v>
      </c>
      <c r="CG16" s="14">
        <v>5</v>
      </c>
      <c r="CH16" s="14">
        <v>5</v>
      </c>
      <c r="CI16" s="14">
        <f>IFERROR(AVERAGE(Tabel1[[#This Row],[In - C1a]:[In - C1c]]),"")</f>
        <v>5</v>
      </c>
      <c r="CJ16" s="14">
        <v>3</v>
      </c>
      <c r="CK16" s="14">
        <v>2</v>
      </c>
      <c r="CL16" s="14">
        <v>3</v>
      </c>
      <c r="CM16" s="14">
        <f>IFERROR(AVERAGE(Tabel1[[#This Row],[In - C1]:[In - C4]]),"")</f>
        <v>3.25</v>
      </c>
      <c r="CN16" s="14">
        <v>3</v>
      </c>
      <c r="CO16" s="14">
        <v>3</v>
      </c>
      <c r="CP16" s="14">
        <v>3</v>
      </c>
      <c r="CQ16" s="14">
        <f>IFERROR(AVERAGE(Tabel1[[#This Row],[In - F1a]:[In - F1c]]),"")</f>
        <v>3</v>
      </c>
      <c r="CR16" s="14">
        <v>2</v>
      </c>
      <c r="CS16" s="14">
        <v>2</v>
      </c>
      <c r="CT16" s="14">
        <f>IFERROR(AVERAGE(Tabel1[[#This Row],[In - F2a]:[In - F2b]]),"")</f>
        <v>2</v>
      </c>
      <c r="CU16" s="14">
        <v>1</v>
      </c>
      <c r="CV16" s="14">
        <f>IFERROR(AVERAGE(Tabel1[[#This Row],[In - F3a]:[In - F3a]]),"")</f>
        <v>1</v>
      </c>
      <c r="CW16" s="14">
        <v>4</v>
      </c>
      <c r="CX16" s="14">
        <f>IFERROR(AVERAGE(Tabel1[[#This Row],[In - F1]],Tabel1[[#This Row],[In - F2]],Tabel1[[#This Row],[In - F3]],Tabel1[[#This Row],[In - F4]]),"")</f>
        <v>2.5</v>
      </c>
      <c r="CY16" s="14">
        <v>4</v>
      </c>
      <c r="CZ16" s="14">
        <v>4</v>
      </c>
      <c r="DA16" s="14">
        <v>4</v>
      </c>
      <c r="DB16" s="14">
        <f>IFERROR(AVERAGE(Tabel1[[#This Row],[In - V1a]:[In - V1c]]),"")</f>
        <v>4</v>
      </c>
      <c r="DC16" s="14">
        <v>3</v>
      </c>
      <c r="DD16" s="14">
        <v>3</v>
      </c>
      <c r="DE16" s="14">
        <v>3</v>
      </c>
      <c r="DF16" s="14">
        <f>IFERROR(AVERAGE(Tabel1[[#This Row],[In - V2a]:[In - V2c]]),"")</f>
        <v>3</v>
      </c>
      <c r="DG16" s="14">
        <v>3</v>
      </c>
      <c r="DH16" s="14">
        <v>3</v>
      </c>
      <c r="DI16" s="14">
        <f>IFERROR(AVERAGE(Tabel1[[#This Row],[In - V3a]:[In - V3b]]),"")</f>
        <v>3</v>
      </c>
      <c r="DJ16" s="14">
        <v>5</v>
      </c>
      <c r="DK16" s="14">
        <f>IFERROR(AVERAGE(Tabel1[[#This Row],[In - V1]],Tabel1[[#This Row],[In - V2]],Tabel1[[#This Row],[In - V3]],Tabel1[[#This Row],[In - V4]]),"")</f>
        <v>3.75</v>
      </c>
      <c r="DL16" s="14">
        <v>4</v>
      </c>
      <c r="DM16" s="14">
        <v>4</v>
      </c>
      <c r="DN16" s="14">
        <f>IFERROR(AVERAGE(Tabel1[[#This Row],[In - A1a]:[In - A1b]]),"")</f>
        <v>4</v>
      </c>
      <c r="DO16" s="14">
        <v>4</v>
      </c>
      <c r="DP16" s="14">
        <v>4</v>
      </c>
      <c r="DQ16" s="14">
        <f>IFERROR(AVERAGE(Tabel1[[#This Row],[In - A2a]:[In - A2b]]),"")</f>
        <v>4</v>
      </c>
      <c r="DR16" s="14">
        <v>3</v>
      </c>
      <c r="DS16" s="14">
        <v>3</v>
      </c>
      <c r="DT16" s="14">
        <f>IFERROR(AVERAGE(Tabel1[[#This Row],[In - A3a]:[In - A3a]]),"")</f>
        <v>3</v>
      </c>
      <c r="DU16" s="14">
        <v>3</v>
      </c>
      <c r="DV16" s="14">
        <f>IFERROR(AVERAGE(Tabel1[[#This Row],[In - A1]],Tabel1[[#This Row],[In - A2]],Tabel1[[#This Row],[In - A3]],Tabel1[[#This Row],[In - A4]]),"")</f>
        <v>3.5</v>
      </c>
      <c r="DW16" s="14">
        <v>3</v>
      </c>
      <c r="DX16" s="14">
        <v>3</v>
      </c>
      <c r="DY16" s="14" t="s">
        <v>189</v>
      </c>
      <c r="DZ16" s="14">
        <f>IFERROR(AVERAGE(Tabel1[[#This Row],[Do - R1a]:[Do - R1c]]),"")</f>
        <v>3</v>
      </c>
      <c r="EA16" s="14">
        <v>4</v>
      </c>
      <c r="EB16" s="14">
        <v>1</v>
      </c>
      <c r="EC16" s="14">
        <v>1</v>
      </c>
      <c r="ED16" s="14">
        <v>5</v>
      </c>
      <c r="EE16" s="14">
        <f>IFERROR(AVERAGE(Tabel1[[#This Row],[Do - R1]:[Do - R5]]),"")</f>
        <v>2.8</v>
      </c>
      <c r="EF16" s="14">
        <v>3</v>
      </c>
      <c r="EG16" s="14">
        <v>3</v>
      </c>
      <c r="EH16" s="14">
        <v>3</v>
      </c>
      <c r="EI16" s="14">
        <f>IFERROR(AVERAGE(Tabel1[[#This Row],[Do - C1a]:[Do - C1c]]),"")</f>
        <v>3</v>
      </c>
      <c r="EJ16" s="14">
        <v>2</v>
      </c>
      <c r="EK16" s="14">
        <v>1</v>
      </c>
      <c r="EL16" s="14">
        <v>3</v>
      </c>
      <c r="EM16" s="14">
        <f>IFERROR(AVERAGE(Tabel1[[#This Row],[Do - C1]:[Do - C4]]),"")</f>
        <v>2.25</v>
      </c>
      <c r="EN16" s="14">
        <v>4</v>
      </c>
      <c r="EO16" s="14">
        <v>4</v>
      </c>
      <c r="EP16" s="14" t="s">
        <v>189</v>
      </c>
      <c r="EQ16" s="14">
        <f>IFERROR(AVERAGE(Tabel1[[#This Row],[Do - F1a]:[Do - F1c]]),"")</f>
        <v>4</v>
      </c>
      <c r="ER16" s="14">
        <v>3</v>
      </c>
      <c r="ES16" s="14">
        <f>IFERROR(AVERAGE(Tabel1[[#This Row],[Do - F2a]:[Do - F2a]]),"")</f>
        <v>3</v>
      </c>
      <c r="ET16" s="14">
        <v>3</v>
      </c>
      <c r="EU16" s="14">
        <v>3</v>
      </c>
      <c r="EV16" s="14">
        <f>IFERROR(AVERAGE(Tabel1[[#This Row],[Do - F3a]:[Do - F3b]]),"")</f>
        <v>3</v>
      </c>
      <c r="EW16" s="14">
        <v>3</v>
      </c>
      <c r="EX16" s="14">
        <f>IFERROR(AVERAGE(Tabel1[[#This Row],[Do - F1]],Tabel1[[#This Row],[Do - F2]],Tabel1[[#This Row],[Do - F3]],Tabel1[[#This Row],[Do - F4]]),"")</f>
        <v>3.25</v>
      </c>
      <c r="EY16" s="14">
        <v>3</v>
      </c>
      <c r="EZ16" s="14">
        <v>3</v>
      </c>
      <c r="FA16" s="14">
        <v>3</v>
      </c>
      <c r="FB16" s="14">
        <f>IFERROR(AVERAGE(Tabel1[[#This Row],[Do - V1a]:[Do - V1c]]),"")</f>
        <v>3</v>
      </c>
      <c r="FC16" s="14">
        <v>3</v>
      </c>
      <c r="FD16" s="14">
        <v>3</v>
      </c>
      <c r="FE16" s="14">
        <f>IFERROR(AVERAGE(Tabel1[[#This Row],[Do - V2a]:[Do - V2b]]),"")</f>
        <v>3</v>
      </c>
      <c r="FF16" s="14">
        <v>3</v>
      </c>
      <c r="FG16" s="14">
        <f>IFERROR(AVERAGE(Tabel1[[#This Row],[Do - V3a]:[Do - V3a]]),"")</f>
        <v>3</v>
      </c>
      <c r="FH16" s="14">
        <v>5</v>
      </c>
      <c r="FI16" s="14">
        <f>IFERROR(AVERAGE(Tabel1[[#This Row],[Do - V1]],Tabel1[[#This Row],[Do - V2]],Tabel1[[#This Row],[Do - V3]],Tabel1[[#This Row],[Do - V4]]),"")</f>
        <v>3.5</v>
      </c>
      <c r="FJ16" s="14">
        <v>4</v>
      </c>
      <c r="FK16" s="14">
        <v>4</v>
      </c>
      <c r="FL16" s="14">
        <v>4</v>
      </c>
      <c r="FM16" s="14">
        <f>IFERROR(AVERAGE(Tabel1[[#This Row],[Do - A1a]:[Do - A1c]]),"")</f>
        <v>4</v>
      </c>
      <c r="FN16" s="14">
        <v>3</v>
      </c>
      <c r="FO16" s="14">
        <v>3</v>
      </c>
      <c r="FP16" s="14">
        <f>IFERROR(AVERAGE(Tabel1[[#This Row],[Do - A2a]:[Do - A2b]]),"")</f>
        <v>3</v>
      </c>
      <c r="FQ16" s="14">
        <v>2</v>
      </c>
      <c r="FR16" s="14">
        <f>IFERROR(AVERAGE(Tabel1[[#This Row],[Do - A3a]:[Do - A3a]]),"")</f>
        <v>2</v>
      </c>
      <c r="FS16" s="14">
        <v>4</v>
      </c>
      <c r="FT16" s="14">
        <f>IFERROR(AVERAGE(Tabel1[[#This Row],[Do - A1]],Tabel1[[#This Row],[Do - A2]],Tabel1[[#This Row],[Do - A3]],Tabel1[[#This Row],[Do - A4]]),"")</f>
        <v>3.25</v>
      </c>
      <c r="FU1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2.7800000000000002</v>
      </c>
      <c r="FV16" s="16" t="s">
        <v>277</v>
      </c>
      <c r="FW16" t="b">
        <v>1</v>
      </c>
    </row>
    <row r="17" spans="1:179" x14ac:dyDescent="0.3">
      <c r="A17" s="13">
        <v>44883.589907407404</v>
      </c>
      <c r="B17" t="b">
        <v>0</v>
      </c>
      <c r="C17" s="14" t="s">
        <v>278</v>
      </c>
      <c r="D17" s="14" t="s">
        <v>279</v>
      </c>
      <c r="E17" s="14" t="s">
        <v>280</v>
      </c>
      <c r="F17" s="14" t="s">
        <v>184</v>
      </c>
      <c r="G17" s="14"/>
      <c r="H17" s="14" t="s">
        <v>242</v>
      </c>
      <c r="I17" s="14" t="s">
        <v>243</v>
      </c>
      <c r="J17" s="14" t="s">
        <v>248</v>
      </c>
      <c r="K17" s="14" t="s">
        <v>235</v>
      </c>
      <c r="L17" s="14" t="s">
        <v>218</v>
      </c>
      <c r="M17" s="14" t="s">
        <v>281</v>
      </c>
      <c r="N17" s="14" t="s">
        <v>282</v>
      </c>
      <c r="O17" s="14" t="s">
        <v>200</v>
      </c>
      <c r="P17" s="14" t="s">
        <v>283</v>
      </c>
      <c r="Q17" s="14" t="s">
        <v>235</v>
      </c>
      <c r="R17" s="14" t="s">
        <v>235</v>
      </c>
      <c r="S17" s="14" t="s">
        <v>187</v>
      </c>
      <c r="T17" s="14" t="s">
        <v>284</v>
      </c>
      <c r="U17" s="14" t="s">
        <v>285</v>
      </c>
      <c r="V17" s="14" t="s">
        <v>224</v>
      </c>
      <c r="W17" s="14"/>
      <c r="X17" s="14"/>
      <c r="Y17" s="14">
        <v>2</v>
      </c>
      <c r="Z17" s="14">
        <v>2</v>
      </c>
      <c r="AA17" s="14">
        <v>2</v>
      </c>
      <c r="AB17" s="15">
        <f>IFERROR(AVERAGE(Tabel1[[#This Row],[Up - R1a]:[Up - R1c]]),"")</f>
        <v>2</v>
      </c>
      <c r="AC17" s="14">
        <v>3</v>
      </c>
      <c r="AD17" s="14">
        <v>3</v>
      </c>
      <c r="AE17" s="14">
        <v>2</v>
      </c>
      <c r="AF17" s="14">
        <v>4</v>
      </c>
      <c r="AG17" s="14">
        <f>IFERROR(AVERAGE(Tabel1[[#This Row],[Up - R1]:[Up - R5]]),"")</f>
        <v>2.8</v>
      </c>
      <c r="AH17" s="14">
        <v>4</v>
      </c>
      <c r="AI17" s="14">
        <v>4</v>
      </c>
      <c r="AJ17" s="14">
        <v>4</v>
      </c>
      <c r="AK17" s="14">
        <f>IFERROR(AVERAGE(Tabel1[[#This Row],[Up - C1a]:[Up - C1c]]),"")</f>
        <v>4</v>
      </c>
      <c r="AL17" s="14">
        <v>2</v>
      </c>
      <c r="AM17" s="14">
        <v>2</v>
      </c>
      <c r="AN17" s="14">
        <v>2</v>
      </c>
      <c r="AO17" s="14">
        <f>IFERROR(AVERAGE(Tabel1[[#This Row],[Up - C1]:[Up - C4]]),"")</f>
        <v>2.5</v>
      </c>
      <c r="AP17" s="14">
        <v>2</v>
      </c>
      <c r="AQ17" s="14">
        <f>IFERROR(AVERAGE(Tabel1[[#This Row],[Up - F1a]:[Up - F1a]]),"")</f>
        <v>2</v>
      </c>
      <c r="AR17" s="14">
        <v>2</v>
      </c>
      <c r="AS17" s="14">
        <v>2</v>
      </c>
      <c r="AT17" s="14">
        <f>IFERROR(AVERAGE(Tabel1[[#This Row],[Up - F2a]:[Up - F2b]]),"")</f>
        <v>2</v>
      </c>
      <c r="AU17" s="14">
        <v>2</v>
      </c>
      <c r="AV17" s="14">
        <v>2</v>
      </c>
      <c r="AW17" s="14">
        <f>IFERROR(AVERAGE(Tabel1[[#This Row],[Up - F3a]:[Up - F3b]]),"")</f>
        <v>2</v>
      </c>
      <c r="AX17" s="14">
        <v>2</v>
      </c>
      <c r="AY17" s="14">
        <f>IFERROR(AVERAGE(Tabel1[[#This Row],[Up - F1]],Tabel1[[#This Row],[Up - F2]],Tabel1[[#This Row],[Up - F3]],Tabel1[[#This Row],[Up - F4]]),"")</f>
        <v>2</v>
      </c>
      <c r="AZ17" s="14">
        <v>3</v>
      </c>
      <c r="BA17" s="14">
        <v>3</v>
      </c>
      <c r="BB17" s="14">
        <f>IFERROR(AVERAGE(Tabel1[[#This Row],[Up - V1a]:[Up - V1b]]),"")</f>
        <v>3</v>
      </c>
      <c r="BC17" s="14">
        <v>4</v>
      </c>
      <c r="BD17" s="14">
        <v>4</v>
      </c>
      <c r="BE17" s="14">
        <v>4</v>
      </c>
      <c r="BF17" s="14">
        <f>IFERROR(AVERAGE(Tabel1[[#This Row],[Up - V2a]:[Up - V2c]]),"")</f>
        <v>4</v>
      </c>
      <c r="BG17" s="14">
        <v>3</v>
      </c>
      <c r="BH17" s="14">
        <v>3</v>
      </c>
      <c r="BI17" s="14">
        <f>IFERROR(AVERAGE(Tabel1[[#This Row],[Up - V3a]:[Up - V3b]]),"")</f>
        <v>3</v>
      </c>
      <c r="BJ17" s="14">
        <v>3</v>
      </c>
      <c r="BK17" s="14">
        <f>IFERROR(AVERAGE(Tabel1[[#This Row],[Up - V1]],Tabel1[[#This Row],[Up - V2]],Tabel1[[#This Row],[Up - V3]],Tabel1[[#This Row],[Up - V4]]),"")</f>
        <v>3.25</v>
      </c>
      <c r="BL17" s="14">
        <v>3</v>
      </c>
      <c r="BM17" s="14">
        <v>3</v>
      </c>
      <c r="BN17" s="14">
        <v>3</v>
      </c>
      <c r="BO17" s="14">
        <v>3</v>
      </c>
      <c r="BP17" s="14">
        <f>IFERROR(AVERAGE(Tabel1[[#This Row],[Up - A1a]:[Up - A1d]]),"")</f>
        <v>3</v>
      </c>
      <c r="BQ17" s="14">
        <v>3</v>
      </c>
      <c r="BR17" s="14">
        <v>3</v>
      </c>
      <c r="BS17" s="14">
        <f>IFERROR(AVERAGE(Tabel1[[#This Row],[Up - A2a]:[Up - A2b]]),"")</f>
        <v>3</v>
      </c>
      <c r="BT17" s="14">
        <v>4</v>
      </c>
      <c r="BU17" s="14">
        <f>IFERROR(AVERAGE(Tabel1[[#This Row],[Up - A3a]:[Up - A3a]]),"")</f>
        <v>4</v>
      </c>
      <c r="BV17" s="14">
        <v>3</v>
      </c>
      <c r="BW17" s="14">
        <f>IFERROR(AVERAGE(Tabel1[[#This Row],[Up - A1]],Tabel1[[#This Row],[Up - A2]],Tabel1[[#This Row],[Up - A3]]),"")</f>
        <v>3.3333333333333335</v>
      </c>
      <c r="BX17" s="14">
        <v>3</v>
      </c>
      <c r="BY17" s="14">
        <v>3</v>
      </c>
      <c r="BZ17" s="14">
        <f>IFERROR(AVERAGE(Tabel1[[#This Row],[In - R1a]:[In - R1b]]),"")</f>
        <v>3</v>
      </c>
      <c r="CA17" s="14">
        <v>4</v>
      </c>
      <c r="CB17" s="14">
        <v>5</v>
      </c>
      <c r="CC17" s="14">
        <v>3</v>
      </c>
      <c r="CD17" s="14">
        <v>4</v>
      </c>
      <c r="CE17" s="14">
        <f>IFERROR(AVERAGE(Tabel1[[#This Row],[In - R1]:[In - R5]]),"")</f>
        <v>3.8</v>
      </c>
      <c r="CF17" s="14">
        <v>4</v>
      </c>
      <c r="CG17" s="14">
        <v>4</v>
      </c>
      <c r="CH17" s="14">
        <v>4</v>
      </c>
      <c r="CI17" s="14">
        <f>IFERROR(AVERAGE(Tabel1[[#This Row],[In - C1a]:[In - C1c]]),"")</f>
        <v>4</v>
      </c>
      <c r="CJ17" s="14">
        <v>4</v>
      </c>
      <c r="CK17" s="14">
        <v>3</v>
      </c>
      <c r="CL17" s="14">
        <v>4</v>
      </c>
      <c r="CM17" s="14">
        <f>IFERROR(AVERAGE(Tabel1[[#This Row],[In - C1]:[In - C4]]),"")</f>
        <v>3.75</v>
      </c>
      <c r="CN17" s="14">
        <v>3</v>
      </c>
      <c r="CO17" s="14">
        <v>3</v>
      </c>
      <c r="CP17" s="14">
        <v>3</v>
      </c>
      <c r="CQ17" s="14">
        <f>IFERROR(AVERAGE(Tabel1[[#This Row],[In - F1a]:[In - F1c]]),"")</f>
        <v>3</v>
      </c>
      <c r="CR17" s="14">
        <v>2</v>
      </c>
      <c r="CS17" s="14">
        <v>2</v>
      </c>
      <c r="CT17" s="14">
        <f>IFERROR(AVERAGE(Tabel1[[#This Row],[In - F2a]:[In - F2b]]),"")</f>
        <v>2</v>
      </c>
      <c r="CU17" s="14">
        <v>3</v>
      </c>
      <c r="CV17" s="14">
        <f>IFERROR(AVERAGE(Tabel1[[#This Row],[In - F3a]:[In - F3a]]),"")</f>
        <v>3</v>
      </c>
      <c r="CW17" s="14">
        <v>4</v>
      </c>
      <c r="CX17" s="14">
        <f>IFERROR(AVERAGE(Tabel1[[#This Row],[In - F1]],Tabel1[[#This Row],[In - F2]],Tabel1[[#This Row],[In - F3]],Tabel1[[#This Row],[In - F4]]),"")</f>
        <v>3</v>
      </c>
      <c r="CY17" s="14">
        <v>5</v>
      </c>
      <c r="CZ17" s="14">
        <v>5</v>
      </c>
      <c r="DA17" s="14">
        <v>5</v>
      </c>
      <c r="DB17" s="14">
        <f>IFERROR(AVERAGE(Tabel1[[#This Row],[In - V1a]:[In - V1c]]),"")</f>
        <v>5</v>
      </c>
      <c r="DC17" s="14">
        <v>4</v>
      </c>
      <c r="DD17" s="14">
        <v>4</v>
      </c>
      <c r="DE17" s="14">
        <v>4</v>
      </c>
      <c r="DF17" s="14">
        <f>IFERROR(AVERAGE(Tabel1[[#This Row],[In - V2a]:[In - V2c]]),"")</f>
        <v>4</v>
      </c>
      <c r="DG17" s="14">
        <v>5</v>
      </c>
      <c r="DH17" s="14">
        <v>5</v>
      </c>
      <c r="DI17" s="14">
        <f>IFERROR(AVERAGE(Tabel1[[#This Row],[In - V3a]:[In - V3b]]),"")</f>
        <v>5</v>
      </c>
      <c r="DJ17" s="14">
        <v>4</v>
      </c>
      <c r="DK17" s="14">
        <f>IFERROR(AVERAGE(Tabel1[[#This Row],[In - V1]],Tabel1[[#This Row],[In - V2]],Tabel1[[#This Row],[In - V3]],Tabel1[[#This Row],[In - V4]]),"")</f>
        <v>4.5</v>
      </c>
      <c r="DL17" s="14">
        <v>4</v>
      </c>
      <c r="DM17" s="14">
        <v>4</v>
      </c>
      <c r="DN17" s="14">
        <f>IFERROR(AVERAGE(Tabel1[[#This Row],[In - A1a]:[In - A1b]]),"")</f>
        <v>4</v>
      </c>
      <c r="DO17" s="14">
        <v>3</v>
      </c>
      <c r="DP17" s="14">
        <v>3</v>
      </c>
      <c r="DQ17" s="14">
        <f>IFERROR(AVERAGE(Tabel1[[#This Row],[In - A2a]:[In - A2b]]),"")</f>
        <v>3</v>
      </c>
      <c r="DR17" s="14">
        <v>4</v>
      </c>
      <c r="DS17" s="14">
        <v>4</v>
      </c>
      <c r="DT17" s="14">
        <f>IFERROR(AVERAGE(Tabel1[[#This Row],[In - A3a]:[In - A3a]]),"")</f>
        <v>4</v>
      </c>
      <c r="DU17" s="14">
        <v>3</v>
      </c>
      <c r="DV17" s="14">
        <f>IFERROR(AVERAGE(Tabel1[[#This Row],[In - A1]],Tabel1[[#This Row],[In - A2]],Tabel1[[#This Row],[In - A3]],Tabel1[[#This Row],[In - A4]]),"")</f>
        <v>3.5</v>
      </c>
      <c r="DW17" s="14">
        <v>4</v>
      </c>
      <c r="DX17" s="14">
        <v>4</v>
      </c>
      <c r="DY17" s="14" t="s">
        <v>189</v>
      </c>
      <c r="DZ17" s="14">
        <f>IFERROR(AVERAGE(Tabel1[[#This Row],[Do - R1a]:[Do - R1c]]),"")</f>
        <v>4</v>
      </c>
      <c r="EA17" s="14">
        <v>1</v>
      </c>
      <c r="EB17" s="14">
        <v>2</v>
      </c>
      <c r="EC17" s="14">
        <v>1</v>
      </c>
      <c r="ED17" s="14">
        <v>3</v>
      </c>
      <c r="EE17" s="14">
        <f>IFERROR(AVERAGE(Tabel1[[#This Row],[Do - R1]:[Do - R5]]),"")</f>
        <v>2.2000000000000002</v>
      </c>
      <c r="EF17" s="14">
        <v>4</v>
      </c>
      <c r="EG17" s="14">
        <v>4</v>
      </c>
      <c r="EH17" s="14">
        <v>4</v>
      </c>
      <c r="EI17" s="14">
        <f>IFERROR(AVERAGE(Tabel1[[#This Row],[Do - C1a]:[Do - C1c]]),"")</f>
        <v>4</v>
      </c>
      <c r="EJ17" s="14">
        <v>2</v>
      </c>
      <c r="EK17" s="14">
        <v>2</v>
      </c>
      <c r="EL17" s="14">
        <v>3</v>
      </c>
      <c r="EM17" s="14">
        <f>IFERROR(AVERAGE(Tabel1[[#This Row],[Do - C1]:[Do - C4]]),"")</f>
        <v>2.75</v>
      </c>
      <c r="EN17" s="14">
        <v>4</v>
      </c>
      <c r="EO17" s="14">
        <v>4</v>
      </c>
      <c r="EP17" s="14" t="s">
        <v>189</v>
      </c>
      <c r="EQ17" s="14">
        <f>IFERROR(AVERAGE(Tabel1[[#This Row],[Do - F1a]:[Do - F1c]]),"")</f>
        <v>4</v>
      </c>
      <c r="ER17" s="14">
        <v>4</v>
      </c>
      <c r="ES17" s="14">
        <f>IFERROR(AVERAGE(Tabel1[[#This Row],[Do - F2a]:[Do - F2a]]),"")</f>
        <v>4</v>
      </c>
      <c r="ET17" s="14">
        <v>3</v>
      </c>
      <c r="EU17" s="14">
        <v>3</v>
      </c>
      <c r="EV17" s="14">
        <f>IFERROR(AVERAGE(Tabel1[[#This Row],[Do - F3a]:[Do - F3b]]),"")</f>
        <v>3</v>
      </c>
      <c r="EW17" s="14">
        <v>3</v>
      </c>
      <c r="EX17" s="14">
        <f>IFERROR(AVERAGE(Tabel1[[#This Row],[Do - F1]],Tabel1[[#This Row],[Do - F2]],Tabel1[[#This Row],[Do - F3]],Tabel1[[#This Row],[Do - F4]]),"")</f>
        <v>3.5</v>
      </c>
      <c r="EY17" s="14">
        <v>3</v>
      </c>
      <c r="EZ17" s="14">
        <v>3</v>
      </c>
      <c r="FA17" s="14">
        <v>3</v>
      </c>
      <c r="FB17" s="14">
        <f>IFERROR(AVERAGE(Tabel1[[#This Row],[Do - V1a]:[Do - V1c]]),"")</f>
        <v>3</v>
      </c>
      <c r="FC17" s="14">
        <v>3</v>
      </c>
      <c r="FD17" s="14">
        <v>3</v>
      </c>
      <c r="FE17" s="14">
        <f>IFERROR(AVERAGE(Tabel1[[#This Row],[Do - V2a]:[Do - V2b]]),"")</f>
        <v>3</v>
      </c>
      <c r="FF17" s="14">
        <v>3</v>
      </c>
      <c r="FG17" s="14">
        <f>IFERROR(AVERAGE(Tabel1[[#This Row],[Do - V3a]:[Do - V3a]]),"")</f>
        <v>3</v>
      </c>
      <c r="FH17" s="14">
        <v>3</v>
      </c>
      <c r="FI17" s="14">
        <f>IFERROR(AVERAGE(Tabel1[[#This Row],[Do - V1]],Tabel1[[#This Row],[Do - V2]],Tabel1[[#This Row],[Do - V3]],Tabel1[[#This Row],[Do - V4]]),"")</f>
        <v>3</v>
      </c>
      <c r="FJ17" s="14">
        <v>5</v>
      </c>
      <c r="FK17" s="14">
        <v>5</v>
      </c>
      <c r="FL17" s="14">
        <v>5</v>
      </c>
      <c r="FM17" s="14">
        <f>IFERROR(AVERAGE(Tabel1[[#This Row],[Do - A1a]:[Do - A1c]]),"")</f>
        <v>5</v>
      </c>
      <c r="FN17" s="14">
        <v>4</v>
      </c>
      <c r="FO17" s="14">
        <v>4</v>
      </c>
      <c r="FP17" s="14">
        <f>IFERROR(AVERAGE(Tabel1[[#This Row],[Do - A2a]:[Do - A2b]]),"")</f>
        <v>4</v>
      </c>
      <c r="FQ17" s="14">
        <v>4</v>
      </c>
      <c r="FR17" s="14">
        <f>IFERROR(AVERAGE(Tabel1[[#This Row],[Do - A3a]:[Do - A3a]]),"")</f>
        <v>4</v>
      </c>
      <c r="FS17" s="14">
        <v>4</v>
      </c>
      <c r="FT17" s="14">
        <f>IFERROR(AVERAGE(Tabel1[[#This Row],[Do - A1]],Tabel1[[#This Row],[Do - A2]],Tabel1[[#This Row],[Do - A3]],Tabel1[[#This Row],[Do - A4]]),"")</f>
        <v>4.25</v>
      </c>
      <c r="FU1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3.2088888888888891</v>
      </c>
      <c r="FV17" s="16" t="s">
        <v>286</v>
      </c>
      <c r="FW17" t="b">
        <v>1</v>
      </c>
    </row>
    <row r="18" spans="1:179" x14ac:dyDescent="0.3">
      <c r="A18" s="13">
        <v>44883.589907407404</v>
      </c>
      <c r="B18" t="b">
        <v>0</v>
      </c>
      <c r="C18" s="14" t="s">
        <v>287</v>
      </c>
      <c r="D18" s="14" t="s">
        <v>288</v>
      </c>
      <c r="E18" s="14" t="s">
        <v>289</v>
      </c>
      <c r="F18" s="14" t="s">
        <v>184</v>
      </c>
      <c r="G18" s="14"/>
      <c r="H18" s="14" t="s">
        <v>185</v>
      </c>
      <c r="I18" s="14" t="s">
        <v>290</v>
      </c>
      <c r="J18" s="14"/>
      <c r="K18" s="14" t="s">
        <v>187</v>
      </c>
      <c r="L18" s="14" t="s">
        <v>249</v>
      </c>
      <c r="M18" s="14" t="s">
        <v>188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4</v>
      </c>
      <c r="Z18" s="14">
        <v>4</v>
      </c>
      <c r="AA18" s="14">
        <v>4</v>
      </c>
      <c r="AB18" s="15">
        <f>IFERROR(AVERAGE(Tabel1[[#This Row],[Up - R1a]:[Up - R1c]]),"")</f>
        <v>4</v>
      </c>
      <c r="AC18" s="14">
        <v>4</v>
      </c>
      <c r="AD18" s="14" t="s">
        <v>189</v>
      </c>
      <c r="AE18" s="14">
        <v>2</v>
      </c>
      <c r="AF18" s="14" t="s">
        <v>189</v>
      </c>
      <c r="AG18" s="14">
        <f>IFERROR(AVERAGE(Tabel1[[#This Row],[Up - R1]:[Up - R5]]),"")</f>
        <v>3.3333333333333335</v>
      </c>
      <c r="AH18" s="14">
        <v>2</v>
      </c>
      <c r="AI18" s="14">
        <v>2</v>
      </c>
      <c r="AJ18" s="14">
        <v>2</v>
      </c>
      <c r="AK18" s="14">
        <f>IFERROR(AVERAGE(Tabel1[[#This Row],[Up - C1a]:[Up - C1c]]),"")</f>
        <v>2</v>
      </c>
      <c r="AL18" s="14">
        <v>2</v>
      </c>
      <c r="AM18" s="14">
        <v>3</v>
      </c>
      <c r="AN18" s="14">
        <v>1</v>
      </c>
      <c r="AO18" s="14">
        <f>IFERROR(AVERAGE(Tabel1[[#This Row],[Up - C1]:[Up - C4]]),"")</f>
        <v>2</v>
      </c>
      <c r="AP18" s="14">
        <v>2</v>
      </c>
      <c r="AQ18" s="14">
        <f>IFERROR(AVERAGE(Tabel1[[#This Row],[Up - F1a]:[Up - F1a]]),"")</f>
        <v>2</v>
      </c>
      <c r="AR18" s="14">
        <v>1</v>
      </c>
      <c r="AS18" s="14">
        <v>1</v>
      </c>
      <c r="AT18" s="14">
        <f>IFERROR(AVERAGE(Tabel1[[#This Row],[Up - F2a]:[Up - F2b]]),"")</f>
        <v>1</v>
      </c>
      <c r="AU18" s="14">
        <v>3</v>
      </c>
      <c r="AV18" s="14">
        <v>3</v>
      </c>
      <c r="AW18" s="14">
        <f>IFERROR(AVERAGE(Tabel1[[#This Row],[Up - F3a]:[Up - F3b]]),"")</f>
        <v>3</v>
      </c>
      <c r="AX18" s="14">
        <v>2</v>
      </c>
      <c r="AY18" s="14">
        <f>IFERROR(AVERAGE(Tabel1[[#This Row],[Up - F1]],Tabel1[[#This Row],[Up - F2]],Tabel1[[#This Row],[Up - F3]],Tabel1[[#This Row],[Up - F4]]),"")</f>
        <v>2</v>
      </c>
      <c r="AZ18" s="14">
        <v>5</v>
      </c>
      <c r="BA18" s="14">
        <v>5</v>
      </c>
      <c r="BB18" s="14">
        <f>IFERROR(AVERAGE(Tabel1[[#This Row],[Up - V1a]:[Up - V1b]]),"")</f>
        <v>5</v>
      </c>
      <c r="BC18" s="14">
        <v>5</v>
      </c>
      <c r="BD18" s="14">
        <v>5</v>
      </c>
      <c r="BE18" s="14">
        <v>5</v>
      </c>
      <c r="BF18" s="14">
        <f>IFERROR(AVERAGE(Tabel1[[#This Row],[Up - V2a]:[Up - V2c]]),"")</f>
        <v>5</v>
      </c>
      <c r="BG18" s="14">
        <v>3</v>
      </c>
      <c r="BH18" s="14">
        <v>3</v>
      </c>
      <c r="BI18" s="14">
        <f>IFERROR(AVERAGE(Tabel1[[#This Row],[Up - V3a]:[Up - V3b]]),"")</f>
        <v>3</v>
      </c>
      <c r="BJ18" s="14">
        <v>4</v>
      </c>
      <c r="BK18" s="14">
        <f>IFERROR(AVERAGE(Tabel1[[#This Row],[Up - V1]],Tabel1[[#This Row],[Up - V2]],Tabel1[[#This Row],[Up - V3]],Tabel1[[#This Row],[Up - V4]]),"")</f>
        <v>4.25</v>
      </c>
      <c r="BL18" s="14">
        <v>3</v>
      </c>
      <c r="BM18" s="14">
        <v>3</v>
      </c>
      <c r="BN18" s="14">
        <v>3</v>
      </c>
      <c r="BO18" s="14">
        <v>3</v>
      </c>
      <c r="BP18" s="14">
        <f>IFERROR(AVERAGE(Tabel1[[#This Row],[Up - A1a]:[Up - A1d]]),"")</f>
        <v>3</v>
      </c>
      <c r="BQ18" s="14">
        <v>3</v>
      </c>
      <c r="BR18" s="14">
        <v>3</v>
      </c>
      <c r="BS18" s="14">
        <f>IFERROR(AVERAGE(Tabel1[[#This Row],[Up - A2a]:[Up - A2b]]),"")</f>
        <v>3</v>
      </c>
      <c r="BT18" s="14">
        <v>3</v>
      </c>
      <c r="BU18" s="14">
        <f>IFERROR(AVERAGE(Tabel1[[#This Row],[Up - A3a]:[Up - A3a]]),"")</f>
        <v>3</v>
      </c>
      <c r="BV18" s="14">
        <v>3</v>
      </c>
      <c r="BW18" s="14">
        <f>IFERROR(AVERAGE(Tabel1[[#This Row],[Up - A1]],Tabel1[[#This Row],[Up - A2]],Tabel1[[#This Row],[Up - A3]]),"")</f>
        <v>3</v>
      </c>
      <c r="BX18" s="14">
        <v>2</v>
      </c>
      <c r="BY18" s="14">
        <v>2</v>
      </c>
      <c r="BZ18" s="14">
        <f>IFERROR(AVERAGE(Tabel1[[#This Row],[In - R1a]:[In - R1b]]),"")</f>
        <v>2</v>
      </c>
      <c r="CA18" s="14" t="s">
        <v>189</v>
      </c>
      <c r="CB18" s="14">
        <v>3</v>
      </c>
      <c r="CC18" s="14">
        <v>3</v>
      </c>
      <c r="CD18" s="14">
        <v>5</v>
      </c>
      <c r="CE18" s="14">
        <f>IFERROR(AVERAGE(Tabel1[[#This Row],[In - R1]:[In - R5]]),"")</f>
        <v>3.25</v>
      </c>
      <c r="CF18" s="14">
        <v>2</v>
      </c>
      <c r="CG18" s="14">
        <v>2</v>
      </c>
      <c r="CH18" s="14">
        <v>2</v>
      </c>
      <c r="CI18" s="14">
        <f>IFERROR(AVERAGE(Tabel1[[#This Row],[In - C1a]:[In - C1c]]),"")</f>
        <v>2</v>
      </c>
      <c r="CJ18" s="14">
        <v>3</v>
      </c>
      <c r="CK18" s="14">
        <v>2</v>
      </c>
      <c r="CL18" s="14">
        <v>4</v>
      </c>
      <c r="CM18" s="14">
        <f>IFERROR(AVERAGE(Tabel1[[#This Row],[In - C1]:[In - C4]]),"")</f>
        <v>2.75</v>
      </c>
      <c r="CN18" s="14">
        <v>2</v>
      </c>
      <c r="CO18" s="14">
        <v>2</v>
      </c>
      <c r="CP18" s="14">
        <v>2</v>
      </c>
      <c r="CQ18" s="14">
        <f>IFERROR(AVERAGE(Tabel1[[#This Row],[In - F1a]:[In - F1c]]),"")</f>
        <v>2</v>
      </c>
      <c r="CR18" s="14">
        <v>3</v>
      </c>
      <c r="CS18" s="14">
        <v>3</v>
      </c>
      <c r="CT18" s="14">
        <f>IFERROR(AVERAGE(Tabel1[[#This Row],[In - F2a]:[In - F2b]]),"")</f>
        <v>3</v>
      </c>
      <c r="CU18" s="14">
        <v>1</v>
      </c>
      <c r="CV18" s="14">
        <f>IFERROR(AVERAGE(Tabel1[[#This Row],[In - F3a]:[In - F3a]]),"")</f>
        <v>1</v>
      </c>
      <c r="CW18" s="14">
        <v>3</v>
      </c>
      <c r="CX18" s="14">
        <f>IFERROR(AVERAGE(Tabel1[[#This Row],[In - F1]],Tabel1[[#This Row],[In - F2]],Tabel1[[#This Row],[In - F3]],Tabel1[[#This Row],[In - F4]]),"")</f>
        <v>2.25</v>
      </c>
      <c r="CY18" s="14">
        <v>3.5</v>
      </c>
      <c r="CZ18" s="14">
        <v>3.5</v>
      </c>
      <c r="DA18" s="14">
        <v>3.5</v>
      </c>
      <c r="DB18" s="14">
        <f>IFERROR(AVERAGE(Tabel1[[#This Row],[In - V1a]:[In - V1c]]),"")</f>
        <v>3.5</v>
      </c>
      <c r="DC18" s="14">
        <v>3</v>
      </c>
      <c r="DD18" s="14">
        <v>3</v>
      </c>
      <c r="DE18" s="14">
        <v>3</v>
      </c>
      <c r="DF18" s="14">
        <f>IFERROR(AVERAGE(Tabel1[[#This Row],[In - V2a]:[In - V2c]]),"")</f>
        <v>3</v>
      </c>
      <c r="DG18" s="14">
        <v>4</v>
      </c>
      <c r="DH18" s="14">
        <v>4</v>
      </c>
      <c r="DI18" s="14">
        <f>IFERROR(AVERAGE(Tabel1[[#This Row],[In - V3a]:[In - V3b]]),"")</f>
        <v>4</v>
      </c>
      <c r="DJ18" s="14">
        <v>4</v>
      </c>
      <c r="DK18" s="14">
        <f>IFERROR(AVERAGE(Tabel1[[#This Row],[In - V1]],Tabel1[[#This Row],[In - V2]],Tabel1[[#This Row],[In - V3]],Tabel1[[#This Row],[In - V4]]),"")</f>
        <v>3.625</v>
      </c>
      <c r="DL18" s="14">
        <v>3</v>
      </c>
      <c r="DM18" s="14">
        <v>3</v>
      </c>
      <c r="DN18" s="14">
        <f>IFERROR(AVERAGE(Tabel1[[#This Row],[In - A1a]:[In - A1b]]),"")</f>
        <v>3</v>
      </c>
      <c r="DO18" s="14">
        <v>3</v>
      </c>
      <c r="DP18" s="14">
        <v>3</v>
      </c>
      <c r="DQ18" s="14">
        <f>IFERROR(AVERAGE(Tabel1[[#This Row],[In - A2a]:[In - A2b]]),"")</f>
        <v>3</v>
      </c>
      <c r="DR18" s="14">
        <v>3</v>
      </c>
      <c r="DS18" s="14">
        <v>3</v>
      </c>
      <c r="DT18" s="14">
        <f>IFERROR(AVERAGE(Tabel1[[#This Row],[In - A3a]:[In - A3a]]),"")</f>
        <v>3</v>
      </c>
      <c r="DU18" s="14">
        <v>3</v>
      </c>
      <c r="DV18" s="14">
        <f>IFERROR(AVERAGE(Tabel1[[#This Row],[In - A1]],Tabel1[[#This Row],[In - A2]],Tabel1[[#This Row],[In - A3]],Tabel1[[#This Row],[In - A4]]),"")</f>
        <v>3</v>
      </c>
      <c r="DW18" s="14" t="s">
        <v>189</v>
      </c>
      <c r="DX18" s="14" t="s">
        <v>189</v>
      </c>
      <c r="DY18" s="14" t="s">
        <v>189</v>
      </c>
      <c r="DZ18" s="14" t="str">
        <f>IFERROR(AVERAGE(Tabel1[[#This Row],[Do - R1a]:[Do - R1c]]),"")</f>
        <v/>
      </c>
      <c r="EA18" s="14">
        <v>4</v>
      </c>
      <c r="EB18" s="14">
        <v>3</v>
      </c>
      <c r="EC18" s="14">
        <v>2</v>
      </c>
      <c r="ED18" s="14" t="s">
        <v>189</v>
      </c>
      <c r="EE18" s="14">
        <f>IFERROR(AVERAGE(Tabel1[[#This Row],[Do - R1]:[Do - R5]]),"")</f>
        <v>3</v>
      </c>
      <c r="EF18" s="14">
        <v>3</v>
      </c>
      <c r="EG18" s="14">
        <v>3</v>
      </c>
      <c r="EH18" s="14">
        <v>3</v>
      </c>
      <c r="EI18" s="14">
        <f>IFERROR(AVERAGE(Tabel1[[#This Row],[Do - C1a]:[Do - C1c]]),"")</f>
        <v>3</v>
      </c>
      <c r="EJ18" s="14">
        <v>3</v>
      </c>
      <c r="EK18" s="14">
        <v>2</v>
      </c>
      <c r="EL18" s="14">
        <v>2</v>
      </c>
      <c r="EM18" s="14">
        <f>IFERROR(AVERAGE(Tabel1[[#This Row],[Do - C1]:[Do - C4]]),"")</f>
        <v>2.5</v>
      </c>
      <c r="EN18" s="14">
        <v>2</v>
      </c>
      <c r="EO18" s="14">
        <v>2</v>
      </c>
      <c r="EP18" s="14" t="s">
        <v>189</v>
      </c>
      <c r="EQ18" s="14">
        <f>IFERROR(AVERAGE(Tabel1[[#This Row],[Do - F1a]:[Do - F1c]]),"")</f>
        <v>2</v>
      </c>
      <c r="ER18" s="14">
        <v>1</v>
      </c>
      <c r="ES18" s="14">
        <f>IFERROR(AVERAGE(Tabel1[[#This Row],[Do - F2a]:[Do - F2a]]),"")</f>
        <v>1</v>
      </c>
      <c r="ET18" s="14">
        <v>3</v>
      </c>
      <c r="EU18" s="14">
        <v>3</v>
      </c>
      <c r="EV18" s="14">
        <f>IFERROR(AVERAGE(Tabel1[[#This Row],[Do - F3a]:[Do - F3b]]),"")</f>
        <v>3</v>
      </c>
      <c r="EW18" s="14">
        <v>1</v>
      </c>
      <c r="EX18" s="14">
        <f>IFERROR(AVERAGE(Tabel1[[#This Row],[Do - F1]],Tabel1[[#This Row],[Do - F2]],Tabel1[[#This Row],[Do - F3]],Tabel1[[#This Row],[Do - F4]]),"")</f>
        <v>1.75</v>
      </c>
      <c r="EY18" s="14">
        <v>4</v>
      </c>
      <c r="EZ18" s="14">
        <v>4</v>
      </c>
      <c r="FA18" s="14">
        <v>4</v>
      </c>
      <c r="FB18" s="14">
        <f>IFERROR(AVERAGE(Tabel1[[#This Row],[Do - V1a]:[Do - V1c]]),"")</f>
        <v>4</v>
      </c>
      <c r="FC18" s="14">
        <v>4</v>
      </c>
      <c r="FD18" s="14">
        <v>4</v>
      </c>
      <c r="FE18" s="14">
        <f>IFERROR(AVERAGE(Tabel1[[#This Row],[Do - V2a]:[Do - V2b]]),"")</f>
        <v>4</v>
      </c>
      <c r="FF18" s="14">
        <v>3</v>
      </c>
      <c r="FG18" s="14">
        <f>IFERROR(AVERAGE(Tabel1[[#This Row],[Do - V3a]:[Do - V3a]]),"")</f>
        <v>3</v>
      </c>
      <c r="FH18" s="14">
        <v>3</v>
      </c>
      <c r="FI18" s="14">
        <f>IFERROR(AVERAGE(Tabel1[[#This Row],[Do - V1]],Tabel1[[#This Row],[Do - V2]],Tabel1[[#This Row],[Do - V3]],Tabel1[[#This Row],[Do - V4]]),"")</f>
        <v>3.5</v>
      </c>
      <c r="FJ18" s="14">
        <v>4</v>
      </c>
      <c r="FK18" s="14">
        <v>4</v>
      </c>
      <c r="FL18" s="14">
        <v>4</v>
      </c>
      <c r="FM18" s="14">
        <f>IFERROR(AVERAGE(Tabel1[[#This Row],[Do - A1a]:[Do - A1c]]),"")</f>
        <v>4</v>
      </c>
      <c r="FN18" s="14">
        <v>3</v>
      </c>
      <c r="FO18" s="14">
        <v>3</v>
      </c>
      <c r="FP18" s="14">
        <f>IFERROR(AVERAGE(Tabel1[[#This Row],[Do - A2a]:[Do - A2b]]),"")</f>
        <v>3</v>
      </c>
      <c r="FQ18" s="14">
        <v>4</v>
      </c>
      <c r="FR18" s="14">
        <f>IFERROR(AVERAGE(Tabel1[[#This Row],[Do - A3a]:[Do - A3a]]),"")</f>
        <v>4</v>
      </c>
      <c r="FS18" s="14">
        <v>4</v>
      </c>
      <c r="FT18" s="14">
        <f>IFERROR(AVERAGE(Tabel1[[#This Row],[Do - A1]],Tabel1[[#This Row],[Do - A2]],Tabel1[[#This Row],[Do - A3]],Tabel1[[#This Row],[Do - A4]]),"")</f>
        <v>3.75</v>
      </c>
      <c r="FU1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2.9305555555555558</v>
      </c>
      <c r="FV18" s="16" t="s">
        <v>291</v>
      </c>
      <c r="FW18" t="b">
        <v>1</v>
      </c>
    </row>
    <row r="19" spans="1:179" x14ac:dyDescent="0.3">
      <c r="A19" s="13">
        <v>44883.589907407404</v>
      </c>
      <c r="B19" t="b">
        <v>0</v>
      </c>
      <c r="C19" s="14" t="s">
        <v>292</v>
      </c>
      <c r="D19" s="14" t="s">
        <v>215</v>
      </c>
      <c r="E19" s="14" t="s">
        <v>293</v>
      </c>
      <c r="F19" s="14" t="s">
        <v>184</v>
      </c>
      <c r="G19" s="14"/>
      <c r="H19" s="14" t="s">
        <v>242</v>
      </c>
      <c r="I19" s="14" t="s">
        <v>195</v>
      </c>
      <c r="J19" s="14" t="s">
        <v>261</v>
      </c>
      <c r="K19" s="14" t="s">
        <v>235</v>
      </c>
      <c r="L19" s="14" t="s">
        <v>197</v>
      </c>
      <c r="M19" s="14" t="s">
        <v>233</v>
      </c>
      <c r="N19" s="14" t="s">
        <v>262</v>
      </c>
      <c r="O19" s="14" t="s">
        <v>200</v>
      </c>
      <c r="P19" s="14" t="s">
        <v>263</v>
      </c>
      <c r="Q19" s="14" t="s">
        <v>202</v>
      </c>
      <c r="R19" s="14" t="s">
        <v>235</v>
      </c>
      <c r="S19" s="14" t="s">
        <v>235</v>
      </c>
      <c r="T19" s="14" t="s">
        <v>204</v>
      </c>
      <c r="U19" s="14" t="s">
        <v>237</v>
      </c>
      <c r="V19" s="14" t="s">
        <v>206</v>
      </c>
      <c r="W19" s="14"/>
      <c r="X19" s="14"/>
      <c r="Y19" s="14">
        <v>3</v>
      </c>
      <c r="Z19" s="14">
        <v>3</v>
      </c>
      <c r="AA19" s="14">
        <v>3</v>
      </c>
      <c r="AB19" s="15">
        <f>IFERROR(AVERAGE(Tabel1[[#This Row],[Up - R1a]:[Up - R1c]]),"")</f>
        <v>3</v>
      </c>
      <c r="AC19" s="14">
        <v>2</v>
      </c>
      <c r="AD19" s="14">
        <v>3</v>
      </c>
      <c r="AE19" s="14">
        <v>2</v>
      </c>
      <c r="AF19" s="14">
        <v>2</v>
      </c>
      <c r="AG19" s="14">
        <f>IFERROR(AVERAGE(Tabel1[[#This Row],[Up - R1]:[Up - R5]]),"")</f>
        <v>2.4</v>
      </c>
      <c r="AH19" s="14">
        <v>3</v>
      </c>
      <c r="AI19" s="14">
        <v>3</v>
      </c>
      <c r="AJ19" s="14">
        <v>3</v>
      </c>
      <c r="AK19" s="14">
        <f>IFERROR(AVERAGE(Tabel1[[#This Row],[Up - C1a]:[Up - C1c]]),"")</f>
        <v>3</v>
      </c>
      <c r="AL19" s="14">
        <v>2</v>
      </c>
      <c r="AM19" s="14">
        <v>2</v>
      </c>
      <c r="AN19" s="14">
        <v>2</v>
      </c>
      <c r="AO19" s="14">
        <f>IFERROR(AVERAGE(Tabel1[[#This Row],[Up - C1]:[Up - C4]]),"")</f>
        <v>2.25</v>
      </c>
      <c r="AP19" s="14">
        <v>2</v>
      </c>
      <c r="AQ19" s="14">
        <f>IFERROR(AVERAGE(Tabel1[[#This Row],[Up - F1a]:[Up - F1a]]),"")</f>
        <v>2</v>
      </c>
      <c r="AR19" s="14">
        <v>3</v>
      </c>
      <c r="AS19" s="14">
        <v>3</v>
      </c>
      <c r="AT19" s="14">
        <f>IFERROR(AVERAGE(Tabel1[[#This Row],[Up - F2a]:[Up - F2b]]),"")</f>
        <v>3</v>
      </c>
      <c r="AU19" s="14">
        <v>3</v>
      </c>
      <c r="AV19" s="14">
        <v>3</v>
      </c>
      <c r="AW19" s="14">
        <f>IFERROR(AVERAGE(Tabel1[[#This Row],[Up - F3a]:[Up - F3b]]),"")</f>
        <v>3</v>
      </c>
      <c r="AX19" s="14">
        <v>2</v>
      </c>
      <c r="AY19" s="14">
        <f>IFERROR(AVERAGE(Tabel1[[#This Row],[Up - F1]],Tabel1[[#This Row],[Up - F2]],Tabel1[[#This Row],[Up - F3]],Tabel1[[#This Row],[Up - F4]]),"")</f>
        <v>2.5</v>
      </c>
      <c r="AZ19" s="14">
        <v>3</v>
      </c>
      <c r="BA19" s="14">
        <v>3</v>
      </c>
      <c r="BB19" s="14">
        <f>IFERROR(AVERAGE(Tabel1[[#This Row],[Up - V1a]:[Up - V1b]]),"")</f>
        <v>3</v>
      </c>
      <c r="BC19" s="14">
        <v>3</v>
      </c>
      <c r="BD19" s="14">
        <v>3</v>
      </c>
      <c r="BE19" s="14">
        <v>3</v>
      </c>
      <c r="BF19" s="14">
        <f>IFERROR(AVERAGE(Tabel1[[#This Row],[Up - V2a]:[Up - V2c]]),"")</f>
        <v>3</v>
      </c>
      <c r="BG19" s="14">
        <v>1</v>
      </c>
      <c r="BH19" s="14">
        <v>1</v>
      </c>
      <c r="BI19" s="14">
        <f>IFERROR(AVERAGE(Tabel1[[#This Row],[Up - V3a]:[Up - V3b]]),"")</f>
        <v>1</v>
      </c>
      <c r="BJ19" s="14">
        <v>3</v>
      </c>
      <c r="BK19" s="14">
        <f>IFERROR(AVERAGE(Tabel1[[#This Row],[Up - V1]],Tabel1[[#This Row],[Up - V2]],Tabel1[[#This Row],[Up - V3]],Tabel1[[#This Row],[Up - V4]]),"")</f>
        <v>2.5</v>
      </c>
      <c r="BL19" s="14">
        <v>3</v>
      </c>
      <c r="BM19" s="14">
        <v>3</v>
      </c>
      <c r="BN19" s="14">
        <v>3</v>
      </c>
      <c r="BO19" s="14">
        <v>3</v>
      </c>
      <c r="BP19" s="14">
        <f>IFERROR(AVERAGE(Tabel1[[#This Row],[Up - A1a]:[Up - A1d]]),"")</f>
        <v>3</v>
      </c>
      <c r="BQ19" s="14">
        <v>3</v>
      </c>
      <c r="BR19" s="14">
        <v>3</v>
      </c>
      <c r="BS19" s="14">
        <f>IFERROR(AVERAGE(Tabel1[[#This Row],[Up - A2a]:[Up - A2b]]),"")</f>
        <v>3</v>
      </c>
      <c r="BT19" s="14">
        <v>4</v>
      </c>
      <c r="BU19" s="14">
        <f>IFERROR(AVERAGE(Tabel1[[#This Row],[Up - A3a]:[Up - A3a]]),"")</f>
        <v>4</v>
      </c>
      <c r="BV19" s="14">
        <v>3</v>
      </c>
      <c r="BW19" s="14">
        <f>IFERROR(AVERAGE(Tabel1[[#This Row],[Up - A1]],Tabel1[[#This Row],[Up - A2]],Tabel1[[#This Row],[Up - A3]]),"")</f>
        <v>3.3333333333333335</v>
      </c>
      <c r="BX19" s="14">
        <v>1</v>
      </c>
      <c r="BY19" s="14">
        <v>1</v>
      </c>
      <c r="BZ19" s="14">
        <f>IFERROR(AVERAGE(Tabel1[[#This Row],[In - R1a]:[In - R1b]]),"")</f>
        <v>1</v>
      </c>
      <c r="CA19" s="14">
        <v>5</v>
      </c>
      <c r="CB19" s="14">
        <v>2</v>
      </c>
      <c r="CC19" s="14">
        <v>1</v>
      </c>
      <c r="CD19" s="14">
        <v>3</v>
      </c>
      <c r="CE19" s="14">
        <f>IFERROR(AVERAGE(Tabel1[[#This Row],[In - R1]:[In - R5]]),"")</f>
        <v>2.4</v>
      </c>
      <c r="CF19" s="14">
        <v>4</v>
      </c>
      <c r="CG19" s="14">
        <v>4</v>
      </c>
      <c r="CH19" s="14">
        <v>4</v>
      </c>
      <c r="CI19" s="14">
        <f>IFERROR(AVERAGE(Tabel1[[#This Row],[In - C1a]:[In - C1c]]),"")</f>
        <v>4</v>
      </c>
      <c r="CJ19" s="14">
        <v>5</v>
      </c>
      <c r="CK19" s="14">
        <v>4</v>
      </c>
      <c r="CL19" s="14">
        <v>2</v>
      </c>
      <c r="CM19" s="14">
        <f>IFERROR(AVERAGE(Tabel1[[#This Row],[In - C1]:[In - C4]]),"")</f>
        <v>3.75</v>
      </c>
      <c r="CN19" s="14">
        <v>2</v>
      </c>
      <c r="CO19" s="14">
        <v>2</v>
      </c>
      <c r="CP19" s="14">
        <v>2</v>
      </c>
      <c r="CQ19" s="14">
        <f>IFERROR(AVERAGE(Tabel1[[#This Row],[In - F1a]:[In - F1c]]),"")</f>
        <v>2</v>
      </c>
      <c r="CR19" s="14">
        <v>2</v>
      </c>
      <c r="CS19" s="14">
        <v>2</v>
      </c>
      <c r="CT19" s="14">
        <f>IFERROR(AVERAGE(Tabel1[[#This Row],[In - F2a]:[In - F2b]]),"")</f>
        <v>2</v>
      </c>
      <c r="CU19" s="14">
        <v>2</v>
      </c>
      <c r="CV19" s="14">
        <f>IFERROR(AVERAGE(Tabel1[[#This Row],[In - F3a]:[In - F3a]]),"")</f>
        <v>2</v>
      </c>
      <c r="CW19" s="14">
        <v>2</v>
      </c>
      <c r="CX19" s="14">
        <f>IFERROR(AVERAGE(Tabel1[[#This Row],[In - F1]],Tabel1[[#This Row],[In - F2]],Tabel1[[#This Row],[In - F3]],Tabel1[[#This Row],[In - F4]]),"")</f>
        <v>2</v>
      </c>
      <c r="CY19" s="14">
        <v>3</v>
      </c>
      <c r="CZ19" s="14">
        <v>3</v>
      </c>
      <c r="DA19" s="14">
        <v>3</v>
      </c>
      <c r="DB19" s="14">
        <f>IFERROR(AVERAGE(Tabel1[[#This Row],[In - V1a]:[In - V1c]]),"")</f>
        <v>3</v>
      </c>
      <c r="DC19" s="14">
        <v>4</v>
      </c>
      <c r="DD19" s="14">
        <v>4</v>
      </c>
      <c r="DE19" s="14">
        <v>4</v>
      </c>
      <c r="DF19" s="14">
        <f>IFERROR(AVERAGE(Tabel1[[#This Row],[In - V2a]:[In - V2c]]),"")</f>
        <v>4</v>
      </c>
      <c r="DG19" s="14">
        <v>4</v>
      </c>
      <c r="DH19" s="14">
        <v>4</v>
      </c>
      <c r="DI19" s="14">
        <f>IFERROR(AVERAGE(Tabel1[[#This Row],[In - V3a]:[In - V3b]]),"")</f>
        <v>4</v>
      </c>
      <c r="DJ19" s="14">
        <v>2</v>
      </c>
      <c r="DK19" s="14">
        <f>IFERROR(AVERAGE(Tabel1[[#This Row],[In - V1]],Tabel1[[#This Row],[In - V2]],Tabel1[[#This Row],[In - V3]],Tabel1[[#This Row],[In - V4]]),"")</f>
        <v>3.25</v>
      </c>
      <c r="DL19" s="14">
        <v>1</v>
      </c>
      <c r="DM19" s="14">
        <v>1</v>
      </c>
      <c r="DN19" s="14">
        <f>IFERROR(AVERAGE(Tabel1[[#This Row],[In - A1a]:[In - A1b]]),"")</f>
        <v>1</v>
      </c>
      <c r="DO19" s="14">
        <v>2</v>
      </c>
      <c r="DP19" s="14">
        <v>2</v>
      </c>
      <c r="DQ19" s="14">
        <f>IFERROR(AVERAGE(Tabel1[[#This Row],[In - A2a]:[In - A2b]]),"")</f>
        <v>2</v>
      </c>
      <c r="DR19" s="14">
        <v>4</v>
      </c>
      <c r="DS19" s="14">
        <v>4</v>
      </c>
      <c r="DT19" s="14">
        <f>IFERROR(AVERAGE(Tabel1[[#This Row],[In - A3a]:[In - A3a]]),"")</f>
        <v>4</v>
      </c>
      <c r="DU19" s="14">
        <v>2</v>
      </c>
      <c r="DV19" s="14">
        <f>IFERROR(AVERAGE(Tabel1[[#This Row],[In - A1]],Tabel1[[#This Row],[In - A2]],Tabel1[[#This Row],[In - A3]],Tabel1[[#This Row],[In - A4]]),"")</f>
        <v>2.25</v>
      </c>
      <c r="DW19" s="14">
        <v>2</v>
      </c>
      <c r="DX19" s="14">
        <v>2</v>
      </c>
      <c r="DY19" s="14" t="s">
        <v>189</v>
      </c>
      <c r="DZ19" s="14">
        <f>IFERROR(AVERAGE(Tabel1[[#This Row],[Do - R1a]:[Do - R1c]]),"")</f>
        <v>2</v>
      </c>
      <c r="EA19" s="14">
        <v>3</v>
      </c>
      <c r="EB19" s="14">
        <v>2</v>
      </c>
      <c r="EC19" s="14">
        <v>2</v>
      </c>
      <c r="ED19" s="14">
        <v>3</v>
      </c>
      <c r="EE19" s="14">
        <f>IFERROR(AVERAGE(Tabel1[[#This Row],[Do - R1]:[Do - R5]]),"")</f>
        <v>2.4</v>
      </c>
      <c r="EF19" s="14">
        <v>3</v>
      </c>
      <c r="EG19" s="14">
        <v>3</v>
      </c>
      <c r="EH19" s="14">
        <v>3</v>
      </c>
      <c r="EI19" s="14">
        <f>IFERROR(AVERAGE(Tabel1[[#This Row],[Do - C1a]:[Do - C1c]]),"")</f>
        <v>3</v>
      </c>
      <c r="EJ19" s="14">
        <v>1</v>
      </c>
      <c r="EK19" s="14">
        <v>1</v>
      </c>
      <c r="EL19" s="14">
        <v>2</v>
      </c>
      <c r="EM19" s="14">
        <f>IFERROR(AVERAGE(Tabel1[[#This Row],[Do - C1]:[Do - C4]]),"")</f>
        <v>1.75</v>
      </c>
      <c r="EN19" s="14">
        <v>2</v>
      </c>
      <c r="EO19" s="14">
        <v>2</v>
      </c>
      <c r="EP19" s="14" t="s">
        <v>189</v>
      </c>
      <c r="EQ19" s="14">
        <f>IFERROR(AVERAGE(Tabel1[[#This Row],[Do - F1a]:[Do - F1c]]),"")</f>
        <v>2</v>
      </c>
      <c r="ER19" s="14">
        <v>2</v>
      </c>
      <c r="ES19" s="14">
        <f>IFERROR(AVERAGE(Tabel1[[#This Row],[Do - F2a]:[Do - F2a]]),"")</f>
        <v>2</v>
      </c>
      <c r="ET19" s="14">
        <v>3</v>
      </c>
      <c r="EU19" s="14">
        <v>3</v>
      </c>
      <c r="EV19" s="14">
        <f>IFERROR(AVERAGE(Tabel1[[#This Row],[Do - F3a]:[Do - F3b]]),"")</f>
        <v>3</v>
      </c>
      <c r="EW19" s="14">
        <v>2</v>
      </c>
      <c r="EX19" s="14">
        <f>IFERROR(AVERAGE(Tabel1[[#This Row],[Do - F1]],Tabel1[[#This Row],[Do - F2]],Tabel1[[#This Row],[Do - F3]],Tabel1[[#This Row],[Do - F4]]),"")</f>
        <v>2.25</v>
      </c>
      <c r="EY19" s="14">
        <v>2</v>
      </c>
      <c r="EZ19" s="14">
        <v>2</v>
      </c>
      <c r="FA19" s="14">
        <v>2</v>
      </c>
      <c r="FB19" s="14">
        <f>IFERROR(AVERAGE(Tabel1[[#This Row],[Do - V1a]:[Do - V1c]]),"")</f>
        <v>2</v>
      </c>
      <c r="FC19" s="14">
        <v>2</v>
      </c>
      <c r="FD19" s="14">
        <v>2</v>
      </c>
      <c r="FE19" s="14">
        <f>IFERROR(AVERAGE(Tabel1[[#This Row],[Do - V2a]:[Do - V2b]]),"")</f>
        <v>2</v>
      </c>
      <c r="FF19" s="14">
        <v>3</v>
      </c>
      <c r="FG19" s="14">
        <f>IFERROR(AVERAGE(Tabel1[[#This Row],[Do - V3a]:[Do - V3a]]),"")</f>
        <v>3</v>
      </c>
      <c r="FH19" s="14">
        <v>2</v>
      </c>
      <c r="FI19" s="14">
        <f>IFERROR(AVERAGE(Tabel1[[#This Row],[Do - V1]],Tabel1[[#This Row],[Do - V2]],Tabel1[[#This Row],[Do - V3]],Tabel1[[#This Row],[Do - V4]]),"")</f>
        <v>2.25</v>
      </c>
      <c r="FJ19" s="14">
        <v>3</v>
      </c>
      <c r="FK19" s="14">
        <v>3</v>
      </c>
      <c r="FL19" s="14">
        <v>3</v>
      </c>
      <c r="FM19" s="14">
        <f>IFERROR(AVERAGE(Tabel1[[#This Row],[Do - A1a]:[Do - A1c]]),"")</f>
        <v>3</v>
      </c>
      <c r="FN19" s="14">
        <v>3</v>
      </c>
      <c r="FO19" s="14">
        <v>3</v>
      </c>
      <c r="FP19" s="14">
        <f>IFERROR(AVERAGE(Tabel1[[#This Row],[Do - A2a]:[Do - A2b]]),"")</f>
        <v>3</v>
      </c>
      <c r="FQ19" s="14">
        <v>4</v>
      </c>
      <c r="FR19" s="14">
        <f>IFERROR(AVERAGE(Tabel1[[#This Row],[Do - A3a]:[Do - A3a]]),"")</f>
        <v>4</v>
      </c>
      <c r="FS19" s="14">
        <v>3</v>
      </c>
      <c r="FT19" s="14">
        <f>IFERROR(AVERAGE(Tabel1[[#This Row],[Do - A1]],Tabel1[[#This Row],[Do - A2]],Tabel1[[#This Row],[Do - A3]],Tabel1[[#This Row],[Do - A4]]),"")</f>
        <v>3.25</v>
      </c>
      <c r="FU1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2.5688888888888886</v>
      </c>
      <c r="FV19" s="16" t="s">
        <v>294</v>
      </c>
      <c r="FW19" t="b">
        <v>1</v>
      </c>
    </row>
    <row r="20" spans="1:179" x14ac:dyDescent="0.3">
      <c r="A20" s="13">
        <v>44883.589907407404</v>
      </c>
      <c r="B20" t="b">
        <v>0</v>
      </c>
      <c r="C20" s="14" t="s">
        <v>295</v>
      </c>
      <c r="D20" s="14" t="s">
        <v>296</v>
      </c>
      <c r="E20" s="14" t="s">
        <v>293</v>
      </c>
      <c r="F20" s="14" t="s">
        <v>184</v>
      </c>
      <c r="G20" s="14"/>
      <c r="H20" s="14" t="s">
        <v>185</v>
      </c>
      <c r="I20" s="14" t="s">
        <v>195</v>
      </c>
      <c r="J20" s="14" t="s">
        <v>261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>
        <v>3</v>
      </c>
      <c r="Z20" s="14">
        <v>3</v>
      </c>
      <c r="AA20" s="14">
        <v>3</v>
      </c>
      <c r="AB20" s="15">
        <f>IFERROR(AVERAGE(Tabel1[[#This Row],[Up - R1a]:[Up - R1c]]),"")</f>
        <v>3</v>
      </c>
      <c r="AC20" s="14">
        <v>2</v>
      </c>
      <c r="AD20" s="14">
        <v>1</v>
      </c>
      <c r="AE20" s="14">
        <v>1</v>
      </c>
      <c r="AF20" s="14" t="s">
        <v>189</v>
      </c>
      <c r="AG20" s="14">
        <f>IFERROR(AVERAGE(Tabel1[[#This Row],[Up - R1]:[Up - R5]]),"")</f>
        <v>1.75</v>
      </c>
      <c r="AH20" s="14">
        <v>3</v>
      </c>
      <c r="AI20" s="14">
        <v>3</v>
      </c>
      <c r="AJ20" s="14">
        <v>3</v>
      </c>
      <c r="AK20" s="14">
        <f>IFERROR(AVERAGE(Tabel1[[#This Row],[Up - C1a]:[Up - C1c]]),"")</f>
        <v>3</v>
      </c>
      <c r="AL20" s="14">
        <v>4</v>
      </c>
      <c r="AM20" s="14">
        <v>2</v>
      </c>
      <c r="AN20" s="14" t="s">
        <v>189</v>
      </c>
      <c r="AO20" s="14">
        <f>IFERROR(AVERAGE(Tabel1[[#This Row],[Up - C1]:[Up - C4]]),"")</f>
        <v>3</v>
      </c>
      <c r="AP20" s="14">
        <v>3</v>
      </c>
      <c r="AQ20" s="14">
        <f>IFERROR(AVERAGE(Tabel1[[#This Row],[Up - F1a]:[Up - F1a]]),"")</f>
        <v>3</v>
      </c>
      <c r="AR20" s="14">
        <v>3</v>
      </c>
      <c r="AS20" s="14">
        <v>3</v>
      </c>
      <c r="AT20" s="14">
        <f>IFERROR(AVERAGE(Tabel1[[#This Row],[Up - F2a]:[Up - F2b]]),"")</f>
        <v>3</v>
      </c>
      <c r="AU20" s="14">
        <v>2</v>
      </c>
      <c r="AV20" s="14">
        <v>2</v>
      </c>
      <c r="AW20" s="14">
        <f>IFERROR(AVERAGE(Tabel1[[#This Row],[Up - F3a]:[Up - F3b]]),"")</f>
        <v>2</v>
      </c>
      <c r="AX20" s="14" t="s">
        <v>189</v>
      </c>
      <c r="AY20" s="14">
        <f>IFERROR(AVERAGE(Tabel1[[#This Row],[Up - F1]],Tabel1[[#This Row],[Up - F2]],Tabel1[[#This Row],[Up - F3]],Tabel1[[#This Row],[Up - F4]]),"")</f>
        <v>2.6666666666666665</v>
      </c>
      <c r="AZ20" s="14">
        <v>5</v>
      </c>
      <c r="BA20" s="14">
        <v>5</v>
      </c>
      <c r="BB20" s="14">
        <f>IFERROR(AVERAGE(Tabel1[[#This Row],[Up - V1a]:[Up - V1b]]),"")</f>
        <v>5</v>
      </c>
      <c r="BC20" s="14">
        <v>3</v>
      </c>
      <c r="BD20" s="14">
        <v>3</v>
      </c>
      <c r="BE20" s="14">
        <v>3</v>
      </c>
      <c r="BF20" s="14">
        <f>IFERROR(AVERAGE(Tabel1[[#This Row],[Up - V2a]:[Up - V2c]]),"")</f>
        <v>3</v>
      </c>
      <c r="BG20" s="14">
        <v>2</v>
      </c>
      <c r="BH20" s="14">
        <v>2</v>
      </c>
      <c r="BI20" s="14">
        <f>IFERROR(AVERAGE(Tabel1[[#This Row],[Up - V3a]:[Up - V3b]]),"")</f>
        <v>2</v>
      </c>
      <c r="BJ20" s="14" t="s">
        <v>189</v>
      </c>
      <c r="BK20" s="14">
        <f>IFERROR(AVERAGE(Tabel1[[#This Row],[Up - V1]],Tabel1[[#This Row],[Up - V2]],Tabel1[[#This Row],[Up - V3]],Tabel1[[#This Row],[Up - V4]]),"")</f>
        <v>3.3333333333333335</v>
      </c>
      <c r="BL20" s="14">
        <v>3</v>
      </c>
      <c r="BM20" s="14">
        <v>3</v>
      </c>
      <c r="BN20" s="14">
        <v>3</v>
      </c>
      <c r="BO20" s="14">
        <v>3</v>
      </c>
      <c r="BP20" s="14">
        <f>IFERROR(AVERAGE(Tabel1[[#This Row],[Up - A1a]:[Up - A1d]]),"")</f>
        <v>3</v>
      </c>
      <c r="BQ20" s="14">
        <v>3</v>
      </c>
      <c r="BR20" s="14">
        <v>3</v>
      </c>
      <c r="BS20" s="14">
        <f>IFERROR(AVERAGE(Tabel1[[#This Row],[Up - A2a]:[Up - A2b]]),"")</f>
        <v>3</v>
      </c>
      <c r="BT20" s="14">
        <v>4</v>
      </c>
      <c r="BU20" s="14">
        <f>IFERROR(AVERAGE(Tabel1[[#This Row],[Up - A3a]:[Up - A3a]]),"")</f>
        <v>4</v>
      </c>
      <c r="BV20" s="14" t="s">
        <v>189</v>
      </c>
      <c r="BW20" s="14">
        <f>IFERROR(AVERAGE(Tabel1[[#This Row],[Up - A1]],Tabel1[[#This Row],[Up - A2]],Tabel1[[#This Row],[Up - A3]]),"")</f>
        <v>3.3333333333333335</v>
      </c>
      <c r="BX20" s="14">
        <v>2</v>
      </c>
      <c r="BY20" s="14">
        <v>2</v>
      </c>
      <c r="BZ20" s="14">
        <f>IFERROR(AVERAGE(Tabel1[[#This Row],[In - R1a]:[In - R1b]]),"")</f>
        <v>2</v>
      </c>
      <c r="CA20" s="14">
        <v>4</v>
      </c>
      <c r="CB20" s="14">
        <v>3</v>
      </c>
      <c r="CC20" s="14" t="s">
        <v>189</v>
      </c>
      <c r="CD20" s="14" t="s">
        <v>189</v>
      </c>
      <c r="CE20" s="14">
        <f>IFERROR(AVERAGE(Tabel1[[#This Row],[In - R1]:[In - R5]]),"")</f>
        <v>3</v>
      </c>
      <c r="CF20" s="14">
        <v>3</v>
      </c>
      <c r="CG20" s="14">
        <v>3</v>
      </c>
      <c r="CH20" s="14">
        <v>3</v>
      </c>
      <c r="CI20" s="14">
        <f>IFERROR(AVERAGE(Tabel1[[#This Row],[In - C1a]:[In - C1c]]),"")</f>
        <v>3</v>
      </c>
      <c r="CJ20" s="14">
        <v>4</v>
      </c>
      <c r="CK20" s="14">
        <v>4</v>
      </c>
      <c r="CL20" s="14">
        <v>2</v>
      </c>
      <c r="CM20" s="14">
        <f>IFERROR(AVERAGE(Tabel1[[#This Row],[In - C1]:[In - C4]]),"")</f>
        <v>3.25</v>
      </c>
      <c r="CN20" s="14">
        <v>3</v>
      </c>
      <c r="CO20" s="14">
        <v>3</v>
      </c>
      <c r="CP20" s="14">
        <v>3</v>
      </c>
      <c r="CQ20" s="14">
        <f>IFERROR(AVERAGE(Tabel1[[#This Row],[In - F1a]:[In - F1c]]),"")</f>
        <v>3</v>
      </c>
      <c r="CR20" s="14">
        <v>2</v>
      </c>
      <c r="CS20" s="14">
        <v>2</v>
      </c>
      <c r="CT20" s="14">
        <f>IFERROR(AVERAGE(Tabel1[[#This Row],[In - F2a]:[In - F2b]]),"")</f>
        <v>2</v>
      </c>
      <c r="CU20" s="14">
        <v>2</v>
      </c>
      <c r="CV20" s="14">
        <f>IFERROR(AVERAGE(Tabel1[[#This Row],[In - F3a]:[In - F3a]]),"")</f>
        <v>2</v>
      </c>
      <c r="CW20" s="14" t="s">
        <v>189</v>
      </c>
      <c r="CX20" s="14">
        <f>IFERROR(AVERAGE(Tabel1[[#This Row],[In - F1]],Tabel1[[#This Row],[In - F2]],Tabel1[[#This Row],[In - F3]],Tabel1[[#This Row],[In - F4]]),"")</f>
        <v>2.3333333333333335</v>
      </c>
      <c r="CY20" s="14">
        <v>4</v>
      </c>
      <c r="CZ20" s="14">
        <v>4</v>
      </c>
      <c r="DA20" s="14">
        <v>4</v>
      </c>
      <c r="DB20" s="14">
        <f>IFERROR(AVERAGE(Tabel1[[#This Row],[In - V1a]:[In - V1c]]),"")</f>
        <v>4</v>
      </c>
      <c r="DC20" s="14">
        <v>4</v>
      </c>
      <c r="DD20" s="14">
        <v>4</v>
      </c>
      <c r="DE20" s="14">
        <v>4</v>
      </c>
      <c r="DF20" s="14">
        <f>IFERROR(AVERAGE(Tabel1[[#This Row],[In - V2a]:[In - V2c]]),"")</f>
        <v>4</v>
      </c>
      <c r="DG20" s="14">
        <v>2</v>
      </c>
      <c r="DH20" s="14">
        <v>2</v>
      </c>
      <c r="DI20" s="14">
        <f>IFERROR(AVERAGE(Tabel1[[#This Row],[In - V3a]:[In - V3b]]),"")</f>
        <v>2</v>
      </c>
      <c r="DJ20" s="14" t="s">
        <v>189</v>
      </c>
      <c r="DK20" s="14">
        <f>IFERROR(AVERAGE(Tabel1[[#This Row],[In - V1]],Tabel1[[#This Row],[In - V2]],Tabel1[[#This Row],[In - V3]],Tabel1[[#This Row],[In - V4]]),"")</f>
        <v>3.3333333333333335</v>
      </c>
      <c r="DL20" s="14">
        <v>4</v>
      </c>
      <c r="DM20" s="14">
        <v>4</v>
      </c>
      <c r="DN20" s="14">
        <f>IFERROR(AVERAGE(Tabel1[[#This Row],[In - A1a]:[In - A1b]]),"")</f>
        <v>4</v>
      </c>
      <c r="DO20" s="14">
        <v>4</v>
      </c>
      <c r="DP20" s="14">
        <v>4</v>
      </c>
      <c r="DQ20" s="14">
        <f>IFERROR(AVERAGE(Tabel1[[#This Row],[In - A2a]:[In - A2b]]),"")</f>
        <v>4</v>
      </c>
      <c r="DR20" s="14">
        <v>3</v>
      </c>
      <c r="DS20" s="14">
        <v>3</v>
      </c>
      <c r="DT20" s="14">
        <f>IFERROR(AVERAGE(Tabel1[[#This Row],[In - A3a]:[In - A3a]]),"")</f>
        <v>3</v>
      </c>
      <c r="DU20" s="14" t="s">
        <v>189</v>
      </c>
      <c r="DV20" s="14">
        <f>IFERROR(AVERAGE(Tabel1[[#This Row],[In - A1]],Tabel1[[#This Row],[In - A2]],Tabel1[[#This Row],[In - A3]],Tabel1[[#This Row],[In - A4]]),"")</f>
        <v>3.6666666666666665</v>
      </c>
      <c r="DW20" s="14">
        <v>3</v>
      </c>
      <c r="DX20" s="14">
        <v>3</v>
      </c>
      <c r="DY20" s="14" t="s">
        <v>189</v>
      </c>
      <c r="DZ20" s="14">
        <f>IFERROR(AVERAGE(Tabel1[[#This Row],[Do - R1a]:[Do - R1c]]),"")</f>
        <v>3</v>
      </c>
      <c r="EA20" s="14">
        <v>3</v>
      </c>
      <c r="EB20" s="14">
        <v>2</v>
      </c>
      <c r="EC20" s="14">
        <v>2</v>
      </c>
      <c r="ED20" s="14" t="s">
        <v>189</v>
      </c>
      <c r="EE20" s="14">
        <f>IFERROR(AVERAGE(Tabel1[[#This Row],[Do - R1]:[Do - R5]]),"")</f>
        <v>2.5</v>
      </c>
      <c r="EF20" s="14">
        <v>3</v>
      </c>
      <c r="EG20" s="14">
        <v>3</v>
      </c>
      <c r="EH20" s="14">
        <v>3</v>
      </c>
      <c r="EI20" s="14">
        <f>IFERROR(AVERAGE(Tabel1[[#This Row],[Do - C1a]:[Do - C1c]]),"")</f>
        <v>3</v>
      </c>
      <c r="EJ20" s="14">
        <v>4</v>
      </c>
      <c r="EK20" s="14">
        <v>3</v>
      </c>
      <c r="EL20" s="14" t="s">
        <v>189</v>
      </c>
      <c r="EM20" s="14">
        <f>IFERROR(AVERAGE(Tabel1[[#This Row],[Do - C1]:[Do - C4]]),"")</f>
        <v>3.3333333333333335</v>
      </c>
      <c r="EN20" s="14">
        <v>3</v>
      </c>
      <c r="EO20" s="14">
        <v>3</v>
      </c>
      <c r="EP20" s="14" t="s">
        <v>189</v>
      </c>
      <c r="EQ20" s="14">
        <f>IFERROR(AVERAGE(Tabel1[[#This Row],[Do - F1a]:[Do - F1c]]),"")</f>
        <v>3</v>
      </c>
      <c r="ER20" s="14">
        <v>1</v>
      </c>
      <c r="ES20" s="14">
        <f>IFERROR(AVERAGE(Tabel1[[#This Row],[Do - F2a]:[Do - F2a]]),"")</f>
        <v>1</v>
      </c>
      <c r="ET20" s="14">
        <v>2</v>
      </c>
      <c r="EU20" s="14">
        <v>2</v>
      </c>
      <c r="EV20" s="14">
        <f>IFERROR(AVERAGE(Tabel1[[#This Row],[Do - F3a]:[Do - F3b]]),"")</f>
        <v>2</v>
      </c>
      <c r="EW20" s="14" t="s">
        <v>189</v>
      </c>
      <c r="EX20" s="14">
        <f>IFERROR(AVERAGE(Tabel1[[#This Row],[Do - F1]],Tabel1[[#This Row],[Do - F2]],Tabel1[[#This Row],[Do - F3]],Tabel1[[#This Row],[Do - F4]]),"")</f>
        <v>2</v>
      </c>
      <c r="EY20" s="14">
        <v>4</v>
      </c>
      <c r="EZ20" s="14">
        <v>4</v>
      </c>
      <c r="FA20" s="14">
        <v>4</v>
      </c>
      <c r="FB20" s="14">
        <f>IFERROR(AVERAGE(Tabel1[[#This Row],[Do - V1a]:[Do - V1c]]),"")</f>
        <v>4</v>
      </c>
      <c r="FC20" s="14">
        <v>3</v>
      </c>
      <c r="FD20" s="14">
        <v>3</v>
      </c>
      <c r="FE20" s="14">
        <f>IFERROR(AVERAGE(Tabel1[[#This Row],[Do - V2a]:[Do - V2b]]),"")</f>
        <v>3</v>
      </c>
      <c r="FF20" s="14">
        <v>4</v>
      </c>
      <c r="FG20" s="14">
        <f>IFERROR(AVERAGE(Tabel1[[#This Row],[Do - V3a]:[Do - V3a]]),"")</f>
        <v>4</v>
      </c>
      <c r="FH20" s="14" t="s">
        <v>189</v>
      </c>
      <c r="FI20" s="14">
        <f>IFERROR(AVERAGE(Tabel1[[#This Row],[Do - V1]],Tabel1[[#This Row],[Do - V2]],Tabel1[[#This Row],[Do - V3]],Tabel1[[#This Row],[Do - V4]]),"")</f>
        <v>3.6666666666666665</v>
      </c>
      <c r="FJ20" s="14">
        <v>2</v>
      </c>
      <c r="FK20" s="14">
        <v>2</v>
      </c>
      <c r="FL20" s="14">
        <v>2</v>
      </c>
      <c r="FM20" s="14">
        <f>IFERROR(AVERAGE(Tabel1[[#This Row],[Do - A1a]:[Do - A1c]]),"")</f>
        <v>2</v>
      </c>
      <c r="FN20" s="14">
        <v>3</v>
      </c>
      <c r="FO20" s="14">
        <v>3</v>
      </c>
      <c r="FP20" s="14">
        <f>IFERROR(AVERAGE(Tabel1[[#This Row],[Do - A2a]:[Do - A2b]]),"")</f>
        <v>3</v>
      </c>
      <c r="FQ20" s="14">
        <v>2</v>
      </c>
      <c r="FR20" s="14">
        <f>IFERROR(AVERAGE(Tabel1[[#This Row],[Do - A3a]:[Do - A3a]]),"")</f>
        <v>2</v>
      </c>
      <c r="FS20" s="14" t="s">
        <v>189</v>
      </c>
      <c r="FT20" s="14">
        <f>IFERROR(AVERAGE(Tabel1[[#This Row],[Do - A1]],Tabel1[[#This Row],[Do - A2]],Tabel1[[#This Row],[Do - A3]],Tabel1[[#This Row],[Do - A4]]),"")</f>
        <v>2.3333333333333335</v>
      </c>
      <c r="FU2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2.9000000000000004</v>
      </c>
      <c r="FV20" s="16" t="s">
        <v>297</v>
      </c>
      <c r="FW20" t="b">
        <v>1</v>
      </c>
    </row>
    <row r="21" spans="1:179" x14ac:dyDescent="0.3">
      <c r="A21" s="13">
        <v>44883.589907407404</v>
      </c>
      <c r="B21" t="b">
        <v>0</v>
      </c>
      <c r="C21" s="14" t="s">
        <v>298</v>
      </c>
      <c r="D21" s="14" t="s">
        <v>296</v>
      </c>
      <c r="E21" s="14" t="s">
        <v>293</v>
      </c>
      <c r="F21" s="14" t="s">
        <v>184</v>
      </c>
      <c r="G21" s="14"/>
      <c r="H21" s="14" t="s">
        <v>185</v>
      </c>
      <c r="I21" s="14" t="s">
        <v>195</v>
      </c>
      <c r="J21" s="14" t="s">
        <v>261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>
        <v>3</v>
      </c>
      <c r="Z21" s="14">
        <v>3</v>
      </c>
      <c r="AA21" s="14">
        <v>3</v>
      </c>
      <c r="AB21" s="15">
        <f>IFERROR(AVERAGE(Tabel1[[#This Row],[Up - R1a]:[Up - R1c]]),"")</f>
        <v>3</v>
      </c>
      <c r="AC21" s="14">
        <v>2</v>
      </c>
      <c r="AD21" s="14">
        <v>1</v>
      </c>
      <c r="AE21" s="14">
        <v>1</v>
      </c>
      <c r="AF21" s="14" t="s">
        <v>189</v>
      </c>
      <c r="AG21" s="14">
        <f>IFERROR(AVERAGE(Tabel1[[#This Row],[Up - R1]:[Up - R5]]),"")</f>
        <v>1.75</v>
      </c>
      <c r="AH21" s="14">
        <v>3</v>
      </c>
      <c r="AI21" s="14">
        <v>3</v>
      </c>
      <c r="AJ21" s="14">
        <v>3</v>
      </c>
      <c r="AK21" s="14">
        <f>IFERROR(AVERAGE(Tabel1[[#This Row],[Up - C1a]:[Up - C1c]]),"")</f>
        <v>3</v>
      </c>
      <c r="AL21" s="14">
        <v>4</v>
      </c>
      <c r="AM21" s="14">
        <v>2</v>
      </c>
      <c r="AN21" s="14">
        <v>3</v>
      </c>
      <c r="AO21" s="14">
        <f>IFERROR(AVERAGE(Tabel1[[#This Row],[Up - C1]:[Up - C4]]),"")</f>
        <v>3</v>
      </c>
      <c r="AP21" s="14">
        <v>2</v>
      </c>
      <c r="AQ21" s="14">
        <f>IFERROR(AVERAGE(Tabel1[[#This Row],[Up - F1a]:[Up - F1a]]),"")</f>
        <v>2</v>
      </c>
      <c r="AR21" s="14">
        <v>2</v>
      </c>
      <c r="AS21" s="14">
        <v>2</v>
      </c>
      <c r="AT21" s="14">
        <f>IFERROR(AVERAGE(Tabel1[[#This Row],[Up - F2a]:[Up - F2b]]),"")</f>
        <v>2</v>
      </c>
      <c r="AU21" s="14">
        <v>2</v>
      </c>
      <c r="AV21" s="14">
        <v>2</v>
      </c>
      <c r="AW21" s="14">
        <f>IFERROR(AVERAGE(Tabel1[[#This Row],[Up - F3a]:[Up - F3b]]),"")</f>
        <v>2</v>
      </c>
      <c r="AX21" s="14" t="s">
        <v>189</v>
      </c>
      <c r="AY21" s="14">
        <f>IFERROR(AVERAGE(Tabel1[[#This Row],[Up - F1]],Tabel1[[#This Row],[Up - F2]],Tabel1[[#This Row],[Up - F3]],Tabel1[[#This Row],[Up - F4]]),"")</f>
        <v>2</v>
      </c>
      <c r="AZ21" s="14">
        <v>4</v>
      </c>
      <c r="BA21" s="14">
        <v>4</v>
      </c>
      <c r="BB21" s="14">
        <f>IFERROR(AVERAGE(Tabel1[[#This Row],[Up - V1a]:[Up - V1b]]),"")</f>
        <v>4</v>
      </c>
      <c r="BC21" s="14">
        <v>3</v>
      </c>
      <c r="BD21" s="14">
        <v>3</v>
      </c>
      <c r="BE21" s="14">
        <v>3</v>
      </c>
      <c r="BF21" s="14">
        <f>IFERROR(AVERAGE(Tabel1[[#This Row],[Up - V2a]:[Up - V2c]]),"")</f>
        <v>3</v>
      </c>
      <c r="BG21" s="14">
        <v>2</v>
      </c>
      <c r="BH21" s="14">
        <v>2</v>
      </c>
      <c r="BI21" s="14">
        <f>IFERROR(AVERAGE(Tabel1[[#This Row],[Up - V3a]:[Up - V3b]]),"")</f>
        <v>2</v>
      </c>
      <c r="BJ21" s="14" t="s">
        <v>189</v>
      </c>
      <c r="BK21" s="14">
        <f>IFERROR(AVERAGE(Tabel1[[#This Row],[Up - V1]],Tabel1[[#This Row],[Up - V2]],Tabel1[[#This Row],[Up - V3]],Tabel1[[#This Row],[Up - V4]]),"")</f>
        <v>3</v>
      </c>
      <c r="BL21" s="14">
        <v>3</v>
      </c>
      <c r="BM21" s="14">
        <v>3</v>
      </c>
      <c r="BN21" s="14">
        <v>3</v>
      </c>
      <c r="BO21" s="14">
        <v>3</v>
      </c>
      <c r="BP21" s="14">
        <f>IFERROR(AVERAGE(Tabel1[[#This Row],[Up - A1a]:[Up - A1d]]),"")</f>
        <v>3</v>
      </c>
      <c r="BQ21" s="14">
        <v>3</v>
      </c>
      <c r="BR21" s="14">
        <v>3</v>
      </c>
      <c r="BS21" s="14">
        <f>IFERROR(AVERAGE(Tabel1[[#This Row],[Up - A2a]:[Up - A2b]]),"")</f>
        <v>3</v>
      </c>
      <c r="BT21" s="14">
        <v>3</v>
      </c>
      <c r="BU21" s="14">
        <f>IFERROR(AVERAGE(Tabel1[[#This Row],[Up - A3a]:[Up - A3a]]),"")</f>
        <v>3</v>
      </c>
      <c r="BV21" s="14" t="s">
        <v>189</v>
      </c>
      <c r="BW21" s="14">
        <f>IFERROR(AVERAGE(Tabel1[[#This Row],[Up - A1]],Tabel1[[#This Row],[Up - A2]],Tabel1[[#This Row],[Up - A3]]),"")</f>
        <v>3</v>
      </c>
      <c r="BX21" s="14">
        <v>2</v>
      </c>
      <c r="BY21" s="14">
        <v>2</v>
      </c>
      <c r="BZ21" s="14">
        <f>IFERROR(AVERAGE(Tabel1[[#This Row],[In - R1a]:[In - R1b]]),"")</f>
        <v>2</v>
      </c>
      <c r="CA21" s="14">
        <v>4</v>
      </c>
      <c r="CB21" s="14">
        <v>3</v>
      </c>
      <c r="CC21" s="14">
        <v>1</v>
      </c>
      <c r="CD21" s="14" t="s">
        <v>189</v>
      </c>
      <c r="CE21" s="14">
        <f>IFERROR(AVERAGE(Tabel1[[#This Row],[In - R1]:[In - R5]]),"")</f>
        <v>2.5</v>
      </c>
      <c r="CF21" s="14">
        <v>3</v>
      </c>
      <c r="CG21" s="14">
        <v>3</v>
      </c>
      <c r="CH21" s="14">
        <v>3</v>
      </c>
      <c r="CI21" s="14">
        <f>IFERROR(AVERAGE(Tabel1[[#This Row],[In - C1a]:[In - C1c]]),"")</f>
        <v>3</v>
      </c>
      <c r="CJ21" s="14">
        <v>4</v>
      </c>
      <c r="CK21" s="14">
        <v>4</v>
      </c>
      <c r="CL21" s="14">
        <v>2</v>
      </c>
      <c r="CM21" s="14">
        <f>IFERROR(AVERAGE(Tabel1[[#This Row],[In - C1]:[In - C4]]),"")</f>
        <v>3.25</v>
      </c>
      <c r="CN21" s="14">
        <v>3</v>
      </c>
      <c r="CO21" s="14">
        <v>3</v>
      </c>
      <c r="CP21" s="14">
        <v>3</v>
      </c>
      <c r="CQ21" s="14">
        <f>IFERROR(AVERAGE(Tabel1[[#This Row],[In - F1a]:[In - F1c]]),"")</f>
        <v>3</v>
      </c>
      <c r="CR21" s="14">
        <v>3</v>
      </c>
      <c r="CS21" s="14">
        <v>3</v>
      </c>
      <c r="CT21" s="14">
        <f>IFERROR(AVERAGE(Tabel1[[#This Row],[In - F2a]:[In - F2b]]),"")</f>
        <v>3</v>
      </c>
      <c r="CU21" s="14">
        <v>2</v>
      </c>
      <c r="CV21" s="14">
        <f>IFERROR(AVERAGE(Tabel1[[#This Row],[In - F3a]:[In - F3a]]),"")</f>
        <v>2</v>
      </c>
      <c r="CW21" s="14" t="s">
        <v>189</v>
      </c>
      <c r="CX21" s="14">
        <f>IFERROR(AVERAGE(Tabel1[[#This Row],[In - F1]],Tabel1[[#This Row],[In - F2]],Tabel1[[#This Row],[In - F3]],Tabel1[[#This Row],[In - F4]]),"")</f>
        <v>2.6666666666666665</v>
      </c>
      <c r="CY21" s="14">
        <v>4</v>
      </c>
      <c r="CZ21" s="14">
        <v>4</v>
      </c>
      <c r="DA21" s="14">
        <v>4</v>
      </c>
      <c r="DB21" s="14">
        <f>IFERROR(AVERAGE(Tabel1[[#This Row],[In - V1a]:[In - V1c]]),"")</f>
        <v>4</v>
      </c>
      <c r="DC21" s="14">
        <v>4</v>
      </c>
      <c r="DD21" s="14">
        <v>4</v>
      </c>
      <c r="DE21" s="14">
        <v>4</v>
      </c>
      <c r="DF21" s="14">
        <f>IFERROR(AVERAGE(Tabel1[[#This Row],[In - V2a]:[In - V2c]]),"")</f>
        <v>4</v>
      </c>
      <c r="DG21" s="14">
        <v>2</v>
      </c>
      <c r="DH21" s="14">
        <v>2</v>
      </c>
      <c r="DI21" s="14">
        <f>IFERROR(AVERAGE(Tabel1[[#This Row],[In - V3a]:[In - V3b]]),"")</f>
        <v>2</v>
      </c>
      <c r="DJ21" s="14" t="s">
        <v>189</v>
      </c>
      <c r="DK21" s="14">
        <f>IFERROR(AVERAGE(Tabel1[[#This Row],[In - V1]],Tabel1[[#This Row],[In - V2]],Tabel1[[#This Row],[In - V3]],Tabel1[[#This Row],[In - V4]]),"")</f>
        <v>3.3333333333333335</v>
      </c>
      <c r="DL21" s="14">
        <v>4</v>
      </c>
      <c r="DM21" s="14">
        <v>4</v>
      </c>
      <c r="DN21" s="14">
        <f>IFERROR(AVERAGE(Tabel1[[#This Row],[In - A1a]:[In - A1b]]),"")</f>
        <v>4</v>
      </c>
      <c r="DO21" s="14">
        <v>4</v>
      </c>
      <c r="DP21" s="14">
        <v>4</v>
      </c>
      <c r="DQ21" s="14">
        <f>IFERROR(AVERAGE(Tabel1[[#This Row],[In - A2a]:[In - A2b]]),"")</f>
        <v>4</v>
      </c>
      <c r="DR21" s="14">
        <v>3</v>
      </c>
      <c r="DS21" s="14">
        <v>3</v>
      </c>
      <c r="DT21" s="14">
        <f>IFERROR(AVERAGE(Tabel1[[#This Row],[In - A3a]:[In - A3a]]),"")</f>
        <v>3</v>
      </c>
      <c r="DU21" s="14" t="s">
        <v>189</v>
      </c>
      <c r="DV21" s="14">
        <f>IFERROR(AVERAGE(Tabel1[[#This Row],[In - A1]],Tabel1[[#This Row],[In - A2]],Tabel1[[#This Row],[In - A3]],Tabel1[[#This Row],[In - A4]]),"")</f>
        <v>3.6666666666666665</v>
      </c>
      <c r="DW21" s="14">
        <v>3</v>
      </c>
      <c r="DX21" s="14">
        <v>3</v>
      </c>
      <c r="DY21" s="14" t="s">
        <v>189</v>
      </c>
      <c r="DZ21" s="14">
        <f>IFERROR(AVERAGE(Tabel1[[#This Row],[Do - R1a]:[Do - R1c]]),"")</f>
        <v>3</v>
      </c>
      <c r="EA21" s="14">
        <v>3</v>
      </c>
      <c r="EB21" s="14">
        <v>2</v>
      </c>
      <c r="EC21" s="14">
        <v>2</v>
      </c>
      <c r="ED21" s="14" t="s">
        <v>189</v>
      </c>
      <c r="EE21" s="14">
        <f>IFERROR(AVERAGE(Tabel1[[#This Row],[Do - R1]:[Do - R5]]),"")</f>
        <v>2.5</v>
      </c>
      <c r="EF21" s="14">
        <v>3</v>
      </c>
      <c r="EG21" s="14">
        <v>3</v>
      </c>
      <c r="EH21" s="14">
        <v>3</v>
      </c>
      <c r="EI21" s="14">
        <f>IFERROR(AVERAGE(Tabel1[[#This Row],[Do - C1a]:[Do - C1c]]),"")</f>
        <v>3</v>
      </c>
      <c r="EJ21" s="14">
        <v>4</v>
      </c>
      <c r="EK21" s="14">
        <v>2</v>
      </c>
      <c r="EL21" s="14">
        <v>3</v>
      </c>
      <c r="EM21" s="14">
        <f>IFERROR(AVERAGE(Tabel1[[#This Row],[Do - C1]:[Do - C4]]),"")</f>
        <v>3</v>
      </c>
      <c r="EN21" s="14">
        <v>3</v>
      </c>
      <c r="EO21" s="14">
        <v>3</v>
      </c>
      <c r="EP21" s="14" t="s">
        <v>189</v>
      </c>
      <c r="EQ21" s="14">
        <f>IFERROR(AVERAGE(Tabel1[[#This Row],[Do - F1a]:[Do - F1c]]),"")</f>
        <v>3</v>
      </c>
      <c r="ER21" s="14">
        <v>2</v>
      </c>
      <c r="ES21" s="14">
        <f>IFERROR(AVERAGE(Tabel1[[#This Row],[Do - F2a]:[Do - F2a]]),"")</f>
        <v>2</v>
      </c>
      <c r="ET21" s="14">
        <v>2</v>
      </c>
      <c r="EU21" s="14">
        <v>2</v>
      </c>
      <c r="EV21" s="14">
        <f>IFERROR(AVERAGE(Tabel1[[#This Row],[Do - F3a]:[Do - F3b]]),"")</f>
        <v>2</v>
      </c>
      <c r="EW21" s="14" t="s">
        <v>189</v>
      </c>
      <c r="EX21" s="14">
        <f>IFERROR(AVERAGE(Tabel1[[#This Row],[Do - F1]],Tabel1[[#This Row],[Do - F2]],Tabel1[[#This Row],[Do - F3]],Tabel1[[#This Row],[Do - F4]]),"")</f>
        <v>2.3333333333333335</v>
      </c>
      <c r="EY21" s="14">
        <v>4</v>
      </c>
      <c r="EZ21" s="14">
        <v>4</v>
      </c>
      <c r="FA21" s="14">
        <v>4</v>
      </c>
      <c r="FB21" s="14">
        <f>IFERROR(AVERAGE(Tabel1[[#This Row],[Do - V1a]:[Do - V1c]]),"")</f>
        <v>4</v>
      </c>
      <c r="FC21" s="14">
        <v>3</v>
      </c>
      <c r="FD21" s="14">
        <v>3</v>
      </c>
      <c r="FE21" s="14">
        <f>IFERROR(AVERAGE(Tabel1[[#This Row],[Do - V2a]:[Do - V2b]]),"")</f>
        <v>3</v>
      </c>
      <c r="FF21" s="14">
        <v>3</v>
      </c>
      <c r="FG21" s="14">
        <f>IFERROR(AVERAGE(Tabel1[[#This Row],[Do - V3a]:[Do - V3a]]),"")</f>
        <v>3</v>
      </c>
      <c r="FH21" s="14" t="s">
        <v>189</v>
      </c>
      <c r="FI21" s="14">
        <f>IFERROR(AVERAGE(Tabel1[[#This Row],[Do - V1]],Tabel1[[#This Row],[Do - V2]],Tabel1[[#This Row],[Do - V3]],Tabel1[[#This Row],[Do - V4]]),"")</f>
        <v>3.3333333333333335</v>
      </c>
      <c r="FJ21" s="14">
        <v>2</v>
      </c>
      <c r="FK21" s="14">
        <v>2</v>
      </c>
      <c r="FL21" s="14">
        <v>2</v>
      </c>
      <c r="FM21" s="14">
        <f>IFERROR(AVERAGE(Tabel1[[#This Row],[Do - A1a]:[Do - A1c]]),"")</f>
        <v>2</v>
      </c>
      <c r="FN21" s="14">
        <v>3</v>
      </c>
      <c r="FO21" s="14">
        <v>3</v>
      </c>
      <c r="FP21" s="14">
        <f>IFERROR(AVERAGE(Tabel1[[#This Row],[Do - A2a]:[Do - A2b]]),"")</f>
        <v>3</v>
      </c>
      <c r="FQ21" s="14">
        <v>3</v>
      </c>
      <c r="FR21" s="14">
        <f>IFERROR(AVERAGE(Tabel1[[#This Row],[Do - A3a]:[Do - A3a]]),"")</f>
        <v>3</v>
      </c>
      <c r="FS21" s="14" t="s">
        <v>189</v>
      </c>
      <c r="FT21" s="14">
        <f>IFERROR(AVERAGE(Tabel1[[#This Row],[Do - A1]],Tabel1[[#This Row],[Do - A2]],Tabel1[[#This Row],[Do - A3]],Tabel1[[#This Row],[Do - A4]]),"")</f>
        <v>2.6666666666666665</v>
      </c>
      <c r="FU2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2.8000000000000003</v>
      </c>
      <c r="FV21" s="16" t="s">
        <v>299</v>
      </c>
      <c r="FW21" t="b">
        <v>1</v>
      </c>
    </row>
    <row r="22" spans="1:179" x14ac:dyDescent="0.3">
      <c r="A22" s="13">
        <v>44883.589907407404</v>
      </c>
      <c r="B22" t="b">
        <v>0</v>
      </c>
      <c r="C22" s="14" t="s">
        <v>300</v>
      </c>
      <c r="D22" s="14" t="s">
        <v>301</v>
      </c>
      <c r="E22" s="14" t="s">
        <v>302</v>
      </c>
      <c r="F22" s="14" t="s">
        <v>184</v>
      </c>
      <c r="G22" s="14" t="s">
        <v>303</v>
      </c>
      <c r="H22" s="14" t="s">
        <v>222</v>
      </c>
      <c r="I22" s="14" t="s">
        <v>195</v>
      </c>
      <c r="J22" s="14" t="s">
        <v>212</v>
      </c>
      <c r="K22" s="17" t="s">
        <v>304</v>
      </c>
      <c r="L22" s="14" t="s">
        <v>249</v>
      </c>
      <c r="M22" s="14" t="s">
        <v>198</v>
      </c>
      <c r="N22" s="14" t="s">
        <v>262</v>
      </c>
      <c r="O22" s="14" t="s">
        <v>200</v>
      </c>
      <c r="P22" s="17" t="s">
        <v>234</v>
      </c>
      <c r="Q22" s="17" t="s">
        <v>304</v>
      </c>
      <c r="R22" s="17" t="s">
        <v>304</v>
      </c>
      <c r="S22" s="14" t="s">
        <v>202</v>
      </c>
      <c r="T22" s="14" t="s">
        <v>236</v>
      </c>
      <c r="U22" s="14" t="s">
        <v>237</v>
      </c>
      <c r="V22" s="14" t="s">
        <v>224</v>
      </c>
      <c r="W22" s="14" t="s">
        <v>305</v>
      </c>
      <c r="X22" s="14" t="s">
        <v>306</v>
      </c>
      <c r="Y22" s="14">
        <v>3</v>
      </c>
      <c r="Z22" s="14">
        <v>3</v>
      </c>
      <c r="AA22" s="14">
        <v>3</v>
      </c>
      <c r="AB22" s="15">
        <f>IFERROR(AVERAGE(Tabel1[[#This Row],[Up - R1a]:[Up - R1c]]),"")</f>
        <v>3</v>
      </c>
      <c r="AC22" s="14">
        <v>2</v>
      </c>
      <c r="AD22" s="14">
        <v>2</v>
      </c>
      <c r="AE22" s="14">
        <v>1</v>
      </c>
      <c r="AF22" s="14">
        <v>3</v>
      </c>
      <c r="AG22" s="14">
        <f>IFERROR(AVERAGE(Tabel1[[#This Row],[Up - R1]:[Up - R5]]),"")</f>
        <v>2.2000000000000002</v>
      </c>
      <c r="AH22" s="14">
        <v>5</v>
      </c>
      <c r="AI22" s="14">
        <v>4</v>
      </c>
      <c r="AJ22" s="14">
        <v>5</v>
      </c>
      <c r="AK22" s="14">
        <f>IFERROR(AVERAGE(Tabel1[[#This Row],[Up - C1a]:[Up - C1c]]),"")</f>
        <v>4.666666666666667</v>
      </c>
      <c r="AL22" s="14">
        <v>3</v>
      </c>
      <c r="AM22" s="14">
        <v>2</v>
      </c>
      <c r="AN22" s="14">
        <v>3</v>
      </c>
      <c r="AO22" s="14">
        <f>IFERROR(AVERAGE(Tabel1[[#This Row],[Up - C1]:[Up - C4]]),"")</f>
        <v>3.166666666666667</v>
      </c>
      <c r="AP22" s="14">
        <v>2</v>
      </c>
      <c r="AQ22" s="14">
        <f>IFERROR(AVERAGE(Tabel1[[#This Row],[Up - F1a]:[Up - F1a]]),"")</f>
        <v>2</v>
      </c>
      <c r="AR22" s="14">
        <v>1</v>
      </c>
      <c r="AS22" s="14">
        <v>2</v>
      </c>
      <c r="AT22" s="14">
        <f>IFERROR(AVERAGE(Tabel1[[#This Row],[Up - F2a]:[Up - F2b]]),"")</f>
        <v>1.5</v>
      </c>
      <c r="AU22" s="14">
        <v>3</v>
      </c>
      <c r="AV22" s="14" t="s">
        <v>189</v>
      </c>
      <c r="AW22" s="14">
        <f>IFERROR(AVERAGE(Tabel1[[#This Row],[Up - F3a]:[Up - F3b]]),"")</f>
        <v>3</v>
      </c>
      <c r="AX22" s="14">
        <v>2</v>
      </c>
      <c r="AY22" s="14">
        <f>IFERROR(AVERAGE(Tabel1[[#This Row],[Up - F1]],Tabel1[[#This Row],[Up - F2]],Tabel1[[#This Row],[Up - F3]],Tabel1[[#This Row],[Up - F4]]),"")</f>
        <v>2.125</v>
      </c>
      <c r="AZ22" s="14">
        <v>5</v>
      </c>
      <c r="BA22" s="14">
        <v>3</v>
      </c>
      <c r="BB22" s="14">
        <f>IFERROR(AVERAGE(Tabel1[[#This Row],[Up - V1a]:[Up - V1b]]),"")</f>
        <v>4</v>
      </c>
      <c r="BC22" s="14">
        <v>5</v>
      </c>
      <c r="BD22" s="14">
        <v>5</v>
      </c>
      <c r="BE22" s="14">
        <v>5</v>
      </c>
      <c r="BF22" s="14">
        <f>IFERROR(AVERAGE(Tabel1[[#This Row],[Up - V2a]:[Up - V2c]]),"")</f>
        <v>5</v>
      </c>
      <c r="BG22" s="14">
        <v>2</v>
      </c>
      <c r="BH22" s="14">
        <v>2</v>
      </c>
      <c r="BI22" s="14">
        <f>IFERROR(AVERAGE(Tabel1[[#This Row],[Up - V3a]:[Up - V3b]]),"")</f>
        <v>2</v>
      </c>
      <c r="BJ22" s="14">
        <v>2</v>
      </c>
      <c r="BK22" s="14">
        <f>IFERROR(AVERAGE(Tabel1[[#This Row],[Up - V1]],Tabel1[[#This Row],[Up - V2]],Tabel1[[#This Row],[Up - V3]],Tabel1[[#This Row],[Up - V4]]),"")</f>
        <v>3.25</v>
      </c>
      <c r="BL22" s="14">
        <v>5</v>
      </c>
      <c r="BM22" s="14">
        <v>5</v>
      </c>
      <c r="BN22" s="14">
        <v>5</v>
      </c>
      <c r="BO22" s="14">
        <v>5</v>
      </c>
      <c r="BP22" s="14">
        <f>IFERROR(AVERAGE(Tabel1[[#This Row],[Up - A1a]:[Up - A1d]]),"")</f>
        <v>5</v>
      </c>
      <c r="BQ22" s="14">
        <v>5</v>
      </c>
      <c r="BR22" s="14" t="s">
        <v>189</v>
      </c>
      <c r="BS22" s="14">
        <f>IFERROR(AVERAGE(Tabel1[[#This Row],[Up - A2a]:[Up - A2b]]),"")</f>
        <v>5</v>
      </c>
      <c r="BT22" s="14">
        <v>5</v>
      </c>
      <c r="BU22" s="14">
        <f>IFERROR(AVERAGE(Tabel1[[#This Row],[Up - A3a]:[Up - A3a]]),"")</f>
        <v>5</v>
      </c>
      <c r="BV22" s="14">
        <v>3</v>
      </c>
      <c r="BW22" s="14">
        <f>IFERROR(AVERAGE(Tabel1[[#This Row],[Up - A1]],Tabel1[[#This Row],[Up - A2]],Tabel1[[#This Row],[Up - A3]]),"")</f>
        <v>5</v>
      </c>
      <c r="BX22" s="14">
        <v>3</v>
      </c>
      <c r="BY22" s="14">
        <v>4</v>
      </c>
      <c r="BZ22" s="14">
        <f>IFERROR(AVERAGE(Tabel1[[#This Row],[In - R1a]:[In - R1b]]),"")</f>
        <v>3.5</v>
      </c>
      <c r="CA22" s="14">
        <v>2</v>
      </c>
      <c r="CB22" s="14" t="s">
        <v>189</v>
      </c>
      <c r="CC22" s="14">
        <v>1</v>
      </c>
      <c r="CD22" s="14">
        <v>3</v>
      </c>
      <c r="CE22" s="14">
        <f>IFERROR(AVERAGE(Tabel1[[#This Row],[In - R1]:[In - R5]]),"")</f>
        <v>2.375</v>
      </c>
      <c r="CF22" s="14">
        <v>5</v>
      </c>
      <c r="CG22" s="14">
        <v>4</v>
      </c>
      <c r="CH22" s="14">
        <v>5</v>
      </c>
      <c r="CI22" s="14">
        <f>IFERROR(AVERAGE(Tabel1[[#This Row],[In - C1a]:[In - C1c]]),"")</f>
        <v>4.666666666666667</v>
      </c>
      <c r="CJ22" s="14">
        <v>4</v>
      </c>
      <c r="CK22" s="14">
        <v>3</v>
      </c>
      <c r="CL22" s="14">
        <v>3</v>
      </c>
      <c r="CM22" s="14">
        <f>IFERROR(AVERAGE(Tabel1[[#This Row],[In - C1]:[In - C4]]),"")</f>
        <v>3.666666666666667</v>
      </c>
      <c r="CN22" s="14">
        <v>5</v>
      </c>
      <c r="CO22" s="14">
        <v>4</v>
      </c>
      <c r="CP22" s="14">
        <v>4</v>
      </c>
      <c r="CQ22" s="14">
        <f>IFERROR(AVERAGE(Tabel1[[#This Row],[In - F1a]:[In - F1c]]),"")</f>
        <v>4.333333333333333</v>
      </c>
      <c r="CR22" s="14">
        <v>2</v>
      </c>
      <c r="CS22" s="14">
        <v>3</v>
      </c>
      <c r="CT22" s="14">
        <f>IFERROR(AVERAGE(Tabel1[[#This Row],[In - F2a]:[In - F2b]]),"")</f>
        <v>2.5</v>
      </c>
      <c r="CU22" s="14">
        <v>4</v>
      </c>
      <c r="CV22" s="14">
        <f>IFERROR(AVERAGE(Tabel1[[#This Row],[In - F3a]:[In - F3a]]),"")</f>
        <v>4</v>
      </c>
      <c r="CW22" s="14">
        <v>2</v>
      </c>
      <c r="CX22" s="14">
        <f>IFERROR(AVERAGE(Tabel1[[#This Row],[In - F1]],Tabel1[[#This Row],[In - F2]],Tabel1[[#This Row],[In - F3]],Tabel1[[#This Row],[In - F4]]),"")</f>
        <v>3.208333333333333</v>
      </c>
      <c r="CY22" s="14">
        <v>5</v>
      </c>
      <c r="CZ22" s="14">
        <v>3</v>
      </c>
      <c r="DA22" s="14">
        <v>4</v>
      </c>
      <c r="DB22" s="14">
        <f>IFERROR(AVERAGE(Tabel1[[#This Row],[In - V1a]:[In - V1c]]),"")</f>
        <v>4</v>
      </c>
      <c r="DC22" s="14">
        <v>5</v>
      </c>
      <c r="DD22" s="14">
        <v>3</v>
      </c>
      <c r="DE22" s="14">
        <v>4</v>
      </c>
      <c r="DF22" s="14">
        <f>IFERROR(AVERAGE(Tabel1[[#This Row],[In - V2a]:[In - V2c]]),"")</f>
        <v>4</v>
      </c>
      <c r="DG22" s="14">
        <v>2</v>
      </c>
      <c r="DH22" s="14">
        <v>3</v>
      </c>
      <c r="DI22" s="14">
        <f>IFERROR(AVERAGE(Tabel1[[#This Row],[In - V3a]:[In - V3b]]),"")</f>
        <v>2.5</v>
      </c>
      <c r="DJ22" s="14">
        <v>3</v>
      </c>
      <c r="DK22" s="14">
        <f>IFERROR(AVERAGE(Tabel1[[#This Row],[In - V1]],Tabel1[[#This Row],[In - V2]],Tabel1[[#This Row],[In - V3]],Tabel1[[#This Row],[In - V4]]),"")</f>
        <v>3.375</v>
      </c>
      <c r="DL22" s="14">
        <v>5</v>
      </c>
      <c r="DM22" s="14">
        <v>5</v>
      </c>
      <c r="DN22" s="14">
        <f>IFERROR(AVERAGE(Tabel1[[#This Row],[In - A1a]:[In - A1b]]),"")</f>
        <v>5</v>
      </c>
      <c r="DO22" s="14">
        <v>5</v>
      </c>
      <c r="DP22" s="14">
        <v>5</v>
      </c>
      <c r="DQ22" s="14">
        <f>IFERROR(AVERAGE(Tabel1[[#This Row],[In - A2a]:[In - A2b]]),"")</f>
        <v>5</v>
      </c>
      <c r="DR22" s="14">
        <v>5</v>
      </c>
      <c r="DS22" s="14">
        <v>4</v>
      </c>
      <c r="DT22" s="14">
        <f>IFERROR(AVERAGE(Tabel1[[#This Row],[In - A3a]:[In - A3a]]),"")</f>
        <v>5</v>
      </c>
      <c r="DU22" s="14">
        <v>3</v>
      </c>
      <c r="DV22" s="14">
        <f>IFERROR(AVERAGE(Tabel1[[#This Row],[In - A1]],Tabel1[[#This Row],[In - A2]],Tabel1[[#This Row],[In - A3]],Tabel1[[#This Row],[In - A4]]),"")</f>
        <v>4.5</v>
      </c>
      <c r="DW22" s="14">
        <v>3</v>
      </c>
      <c r="DX22" s="14">
        <v>4</v>
      </c>
      <c r="DY22" s="14">
        <v>2</v>
      </c>
      <c r="DZ22" s="14">
        <f>IFERROR(AVERAGE(Tabel1[[#This Row],[Do - R1a]:[Do - R1c]]),"")</f>
        <v>3</v>
      </c>
      <c r="EA22" s="14">
        <v>2</v>
      </c>
      <c r="EB22" s="14">
        <v>2</v>
      </c>
      <c r="EC22" s="14">
        <v>1</v>
      </c>
      <c r="ED22" s="14">
        <v>3</v>
      </c>
      <c r="EE22" s="14">
        <f>IFERROR(AVERAGE(Tabel1[[#This Row],[Do - R1]:[Do - R5]]),"")</f>
        <v>2.2000000000000002</v>
      </c>
      <c r="EF22" s="14">
        <v>5</v>
      </c>
      <c r="EG22" s="14">
        <v>4</v>
      </c>
      <c r="EH22" s="14">
        <v>5</v>
      </c>
      <c r="EI22" s="14">
        <f>IFERROR(AVERAGE(Tabel1[[#This Row],[Do - C1a]:[Do - C1c]]),"")</f>
        <v>4.666666666666667</v>
      </c>
      <c r="EJ22" s="14">
        <v>3</v>
      </c>
      <c r="EK22" s="14">
        <v>3</v>
      </c>
      <c r="EL22" s="14">
        <v>3</v>
      </c>
      <c r="EM22" s="14">
        <f>IFERROR(AVERAGE(Tabel1[[#This Row],[Do - C1]:[Do - C4]]),"")</f>
        <v>3.416666666666667</v>
      </c>
      <c r="EN22" s="14">
        <v>4</v>
      </c>
      <c r="EO22" s="14" t="s">
        <v>189</v>
      </c>
      <c r="EP22" s="14" t="s">
        <v>189</v>
      </c>
      <c r="EQ22" s="14">
        <f>IFERROR(AVERAGE(Tabel1[[#This Row],[Do - F1a]:[Do - F1c]]),"")</f>
        <v>4</v>
      </c>
      <c r="ER22" s="14">
        <v>3</v>
      </c>
      <c r="ES22" s="14">
        <f>IFERROR(AVERAGE(Tabel1[[#This Row],[Do - F2a]:[Do - F2a]]),"")</f>
        <v>3</v>
      </c>
      <c r="ET22" s="14">
        <v>3</v>
      </c>
      <c r="EU22" s="14">
        <v>5</v>
      </c>
      <c r="EV22" s="14">
        <f>IFERROR(AVERAGE(Tabel1[[#This Row],[Do - F3a]:[Do - F3b]]),"")</f>
        <v>4</v>
      </c>
      <c r="EW22" s="14">
        <v>3</v>
      </c>
      <c r="EX22" s="14">
        <f>IFERROR(AVERAGE(Tabel1[[#This Row],[Do - F1]],Tabel1[[#This Row],[Do - F2]],Tabel1[[#This Row],[Do - F3]],Tabel1[[#This Row],[Do - F4]]),"")</f>
        <v>3.5</v>
      </c>
      <c r="EY22" s="14">
        <v>4</v>
      </c>
      <c r="EZ22" s="14">
        <v>3</v>
      </c>
      <c r="FA22" s="14">
        <v>3</v>
      </c>
      <c r="FB22" s="14">
        <f>IFERROR(AVERAGE(Tabel1[[#This Row],[Do - V1a]:[Do - V1c]]),"")</f>
        <v>3.3333333333333335</v>
      </c>
      <c r="FC22" s="14">
        <v>4</v>
      </c>
      <c r="FD22" s="14">
        <v>4</v>
      </c>
      <c r="FE22" s="14">
        <f>IFERROR(AVERAGE(Tabel1[[#This Row],[Do - V2a]:[Do - V2b]]),"")</f>
        <v>4</v>
      </c>
      <c r="FF22" s="14">
        <v>2</v>
      </c>
      <c r="FG22" s="14">
        <f>IFERROR(AVERAGE(Tabel1[[#This Row],[Do - V3a]:[Do - V3a]]),"")</f>
        <v>2</v>
      </c>
      <c r="FH22" s="14">
        <v>3</v>
      </c>
      <c r="FI22" s="14">
        <f>IFERROR(AVERAGE(Tabel1[[#This Row],[Do - V1]],Tabel1[[#This Row],[Do - V2]],Tabel1[[#This Row],[Do - V3]],Tabel1[[#This Row],[Do - V4]]),"")</f>
        <v>3.0833333333333335</v>
      </c>
      <c r="FJ22" s="14">
        <v>5</v>
      </c>
      <c r="FK22" s="14">
        <v>5</v>
      </c>
      <c r="FL22" s="14">
        <v>3</v>
      </c>
      <c r="FM22" s="14">
        <f>IFERROR(AVERAGE(Tabel1[[#This Row],[Do - A1a]:[Do - A1c]]),"")</f>
        <v>4.333333333333333</v>
      </c>
      <c r="FN22" s="14">
        <v>3</v>
      </c>
      <c r="FO22" s="14">
        <v>4</v>
      </c>
      <c r="FP22" s="14">
        <f>IFERROR(AVERAGE(Tabel1[[#This Row],[Do - A2a]:[Do - A2b]]),"")</f>
        <v>3.5</v>
      </c>
      <c r="FQ22" s="14">
        <v>5</v>
      </c>
      <c r="FR22" s="14">
        <f>IFERROR(AVERAGE(Tabel1[[#This Row],[Do - A3a]:[Do - A3a]]),"")</f>
        <v>5</v>
      </c>
      <c r="FS22" s="14">
        <v>3</v>
      </c>
      <c r="FT22" s="14">
        <f>IFERROR(AVERAGE(Tabel1[[#This Row],[Do - A1]],Tabel1[[#This Row],[Do - A2]],Tabel1[[#This Row],[Do - A3]],Tabel1[[#This Row],[Do - A4]]),"")</f>
        <v>3.958333333333333</v>
      </c>
      <c r="FU2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3.2683333333333335</v>
      </c>
      <c r="FV22" s="16" t="s">
        <v>307</v>
      </c>
      <c r="FW22" t="b">
        <v>1</v>
      </c>
    </row>
    <row r="23" spans="1:179" x14ac:dyDescent="0.3">
      <c r="A23" s="13">
        <v>44883.589907407404</v>
      </c>
      <c r="B23" t="b">
        <v>0</v>
      </c>
      <c r="C23" s="14" t="s">
        <v>308</v>
      </c>
      <c r="D23" s="14" t="s">
        <v>309</v>
      </c>
      <c r="E23" s="14" t="s">
        <v>302</v>
      </c>
      <c r="F23" s="14" t="s">
        <v>184</v>
      </c>
      <c r="G23" s="14" t="s">
        <v>310</v>
      </c>
      <c r="H23" s="14" t="s">
        <v>222</v>
      </c>
      <c r="I23" s="14" t="s">
        <v>195</v>
      </c>
      <c r="J23" s="14" t="s">
        <v>212</v>
      </c>
      <c r="K23" s="17" t="s">
        <v>304</v>
      </c>
      <c r="L23" s="14" t="s">
        <v>197</v>
      </c>
      <c r="M23" s="14" t="s">
        <v>188</v>
      </c>
      <c r="N23" s="14" t="s">
        <v>262</v>
      </c>
      <c r="O23" s="14" t="s">
        <v>200</v>
      </c>
      <c r="P23" s="17" t="s">
        <v>311</v>
      </c>
      <c r="Q23" s="17" t="s">
        <v>255</v>
      </c>
      <c r="R23" s="17" t="s">
        <v>255</v>
      </c>
      <c r="S23" s="14" t="s">
        <v>202</v>
      </c>
      <c r="T23" s="14" t="s">
        <v>236</v>
      </c>
      <c r="U23" s="14" t="s">
        <v>237</v>
      </c>
      <c r="V23" s="14" t="s">
        <v>224</v>
      </c>
      <c r="W23" s="14" t="s">
        <v>306</v>
      </c>
      <c r="X23" s="14" t="s">
        <v>306</v>
      </c>
      <c r="Y23" s="14">
        <v>3</v>
      </c>
      <c r="Z23" s="14">
        <v>1</v>
      </c>
      <c r="AA23" s="14">
        <v>1</v>
      </c>
      <c r="AB23" s="15">
        <f>IFERROR(AVERAGE(Tabel1[[#This Row],[Up - R1a]:[Up - R1c]]),"")</f>
        <v>1.6666666666666667</v>
      </c>
      <c r="AC23" s="14">
        <v>1</v>
      </c>
      <c r="AD23" s="14">
        <v>2</v>
      </c>
      <c r="AE23" s="14">
        <v>1</v>
      </c>
      <c r="AF23" s="14" t="s">
        <v>189</v>
      </c>
      <c r="AG23" s="14">
        <f>IFERROR(AVERAGE(Tabel1[[#This Row],[Up - R1]:[Up - R5]]),"")</f>
        <v>1.4166666666666667</v>
      </c>
      <c r="AH23" s="14">
        <v>4</v>
      </c>
      <c r="AI23" s="14">
        <v>4</v>
      </c>
      <c r="AJ23" s="14">
        <v>4</v>
      </c>
      <c r="AK23" s="14">
        <f>IFERROR(AVERAGE(Tabel1[[#This Row],[Up - C1a]:[Up - C1c]]),"")</f>
        <v>4</v>
      </c>
      <c r="AL23" s="14">
        <v>3</v>
      </c>
      <c r="AM23" s="14">
        <v>2</v>
      </c>
      <c r="AN23" s="14">
        <v>1</v>
      </c>
      <c r="AO23" s="14">
        <f>IFERROR(AVERAGE(Tabel1[[#This Row],[Up - C1]:[Up - C4]]),"")</f>
        <v>2.5</v>
      </c>
      <c r="AP23" s="14">
        <v>1</v>
      </c>
      <c r="AQ23" s="14">
        <f>IFERROR(AVERAGE(Tabel1[[#This Row],[Up - F1a]:[Up - F1a]]),"")</f>
        <v>1</v>
      </c>
      <c r="AR23" s="14">
        <v>1</v>
      </c>
      <c r="AS23" s="14">
        <v>3</v>
      </c>
      <c r="AT23" s="14">
        <f>IFERROR(AVERAGE(Tabel1[[#This Row],[Up - F2a]:[Up - F2b]]),"")</f>
        <v>2</v>
      </c>
      <c r="AU23" s="14">
        <v>4</v>
      </c>
      <c r="AV23" s="14" t="s">
        <v>189</v>
      </c>
      <c r="AW23" s="14">
        <f>IFERROR(AVERAGE(Tabel1[[#This Row],[Up - F3a]:[Up - F3b]]),"")</f>
        <v>4</v>
      </c>
      <c r="AX23" s="14" t="s">
        <v>189</v>
      </c>
      <c r="AY23" s="14">
        <f>IFERROR(AVERAGE(Tabel1[[#This Row],[Up - F1]],Tabel1[[#This Row],[Up - F2]],Tabel1[[#This Row],[Up - F3]],Tabel1[[#This Row],[Up - F4]]),"")</f>
        <v>2.3333333333333335</v>
      </c>
      <c r="AZ23" s="14">
        <v>1</v>
      </c>
      <c r="BA23" s="14">
        <v>2</v>
      </c>
      <c r="BB23" s="14">
        <f>IFERROR(AVERAGE(Tabel1[[#This Row],[Up - V1a]:[Up - V1b]]),"")</f>
        <v>1.5</v>
      </c>
      <c r="BC23" s="14">
        <v>3</v>
      </c>
      <c r="BD23" s="14">
        <v>2</v>
      </c>
      <c r="BE23" s="14">
        <v>1</v>
      </c>
      <c r="BF23" s="14">
        <f>IFERROR(AVERAGE(Tabel1[[#This Row],[Up - V2a]:[Up - V2c]]),"")</f>
        <v>2</v>
      </c>
      <c r="BG23" s="14">
        <v>1</v>
      </c>
      <c r="BH23" s="14">
        <v>1</v>
      </c>
      <c r="BI23" s="14">
        <f>IFERROR(AVERAGE(Tabel1[[#This Row],[Up - V3a]:[Up - V3b]]),"")</f>
        <v>1</v>
      </c>
      <c r="BJ23" s="14">
        <v>1</v>
      </c>
      <c r="BK23" s="14">
        <f>IFERROR(AVERAGE(Tabel1[[#This Row],[Up - V1]],Tabel1[[#This Row],[Up - V2]],Tabel1[[#This Row],[Up - V3]],Tabel1[[#This Row],[Up - V4]]),"")</f>
        <v>1.375</v>
      </c>
      <c r="BL23" s="14">
        <v>4</v>
      </c>
      <c r="BM23" s="14">
        <v>4</v>
      </c>
      <c r="BN23" s="14">
        <v>4</v>
      </c>
      <c r="BO23" s="14">
        <v>3</v>
      </c>
      <c r="BP23" s="14">
        <f>IFERROR(AVERAGE(Tabel1[[#This Row],[Up - A1a]:[Up - A1d]]),"")</f>
        <v>3.75</v>
      </c>
      <c r="BQ23" s="14">
        <v>3</v>
      </c>
      <c r="BR23" s="14">
        <v>2</v>
      </c>
      <c r="BS23" s="14">
        <f>IFERROR(AVERAGE(Tabel1[[#This Row],[Up - A2a]:[Up - A2b]]),"")</f>
        <v>2.5</v>
      </c>
      <c r="BT23" s="14">
        <v>4</v>
      </c>
      <c r="BU23" s="14">
        <f>IFERROR(AVERAGE(Tabel1[[#This Row],[Up - A3a]:[Up - A3a]]),"")</f>
        <v>4</v>
      </c>
      <c r="BV23" s="14">
        <v>2</v>
      </c>
      <c r="BW23" s="14">
        <f>IFERROR(AVERAGE(Tabel1[[#This Row],[Up - A1]],Tabel1[[#This Row],[Up - A2]],Tabel1[[#This Row],[Up - A3]]),"")</f>
        <v>3.4166666666666665</v>
      </c>
      <c r="BX23" s="14">
        <v>3</v>
      </c>
      <c r="BY23" s="14" t="s">
        <v>189</v>
      </c>
      <c r="BZ23" s="14">
        <f>IFERROR(AVERAGE(Tabel1[[#This Row],[In - R1a]:[In - R1b]]),"")</f>
        <v>3</v>
      </c>
      <c r="CA23" s="14">
        <v>1</v>
      </c>
      <c r="CB23" s="14" t="s">
        <v>189</v>
      </c>
      <c r="CC23" s="14">
        <v>4</v>
      </c>
      <c r="CD23" s="14" t="s">
        <v>189</v>
      </c>
      <c r="CE23" s="14">
        <f>IFERROR(AVERAGE(Tabel1[[#This Row],[In - R1]:[In - R5]]),"")</f>
        <v>2.6666666666666665</v>
      </c>
      <c r="CF23" s="14">
        <v>4</v>
      </c>
      <c r="CG23" s="14">
        <v>2</v>
      </c>
      <c r="CH23" s="14">
        <v>1</v>
      </c>
      <c r="CI23" s="14">
        <f>IFERROR(AVERAGE(Tabel1[[#This Row],[In - C1a]:[In - C1c]]),"")</f>
        <v>2.3333333333333335</v>
      </c>
      <c r="CJ23" s="14" t="s">
        <v>189</v>
      </c>
      <c r="CK23" s="14">
        <v>2</v>
      </c>
      <c r="CL23" s="14">
        <v>1</v>
      </c>
      <c r="CM23" s="14">
        <f>IFERROR(AVERAGE(Tabel1[[#This Row],[In - C1]:[In - C4]]),"")</f>
        <v>1.7777777777777779</v>
      </c>
      <c r="CN23" s="14">
        <v>4</v>
      </c>
      <c r="CO23" s="14">
        <v>4</v>
      </c>
      <c r="CP23" s="14">
        <v>4</v>
      </c>
      <c r="CQ23" s="14">
        <f>IFERROR(AVERAGE(Tabel1[[#This Row],[In - F1a]:[In - F1c]]),"")</f>
        <v>4</v>
      </c>
      <c r="CR23" s="14" t="s">
        <v>189</v>
      </c>
      <c r="CS23" s="14" t="s">
        <v>189</v>
      </c>
      <c r="CT23" s="14" t="str">
        <f>IFERROR(AVERAGE(Tabel1[[#This Row],[In - F2a]:[In - F2b]]),"")</f>
        <v/>
      </c>
      <c r="CU23" s="14">
        <v>4</v>
      </c>
      <c r="CV23" s="14">
        <f>IFERROR(AVERAGE(Tabel1[[#This Row],[In - F3a]:[In - F3a]]),"")</f>
        <v>4</v>
      </c>
      <c r="CW23" s="14" t="s">
        <v>189</v>
      </c>
      <c r="CX23" s="14">
        <f>IFERROR(AVERAGE(Tabel1[[#This Row],[In - F1]],Tabel1[[#This Row],[In - F2]],Tabel1[[#This Row],[In - F3]],Tabel1[[#This Row],[In - F4]]),"")</f>
        <v>4</v>
      </c>
      <c r="CY23" s="14">
        <v>5</v>
      </c>
      <c r="CZ23" s="14">
        <v>3</v>
      </c>
      <c r="DA23" s="14">
        <v>5</v>
      </c>
      <c r="DB23" s="14">
        <f>IFERROR(AVERAGE(Tabel1[[#This Row],[In - V1a]:[In - V1c]]),"")</f>
        <v>4.333333333333333</v>
      </c>
      <c r="DC23" s="14" t="s">
        <v>189</v>
      </c>
      <c r="DD23" s="14">
        <v>3</v>
      </c>
      <c r="DE23" s="14" t="s">
        <v>189</v>
      </c>
      <c r="DF23" s="14">
        <f>IFERROR(AVERAGE(Tabel1[[#This Row],[In - V2a]:[In - V2c]]),"")</f>
        <v>3</v>
      </c>
      <c r="DG23" s="14">
        <v>1</v>
      </c>
      <c r="DH23" s="14">
        <v>2</v>
      </c>
      <c r="DI23" s="14">
        <f>IFERROR(AVERAGE(Tabel1[[#This Row],[In - V3a]:[In - V3b]]),"")</f>
        <v>1.5</v>
      </c>
      <c r="DJ23" s="14" t="s">
        <v>189</v>
      </c>
      <c r="DK23" s="14">
        <f>IFERROR(AVERAGE(Tabel1[[#This Row],[In - V1]],Tabel1[[#This Row],[In - V2]],Tabel1[[#This Row],[In - V3]],Tabel1[[#This Row],[In - V4]]),"")</f>
        <v>2.9444444444444442</v>
      </c>
      <c r="DL23" s="14">
        <v>4</v>
      </c>
      <c r="DM23" s="14">
        <v>2</v>
      </c>
      <c r="DN23" s="14">
        <f>IFERROR(AVERAGE(Tabel1[[#This Row],[In - A1a]:[In - A1b]]),"")</f>
        <v>3</v>
      </c>
      <c r="DO23" s="14">
        <v>4</v>
      </c>
      <c r="DP23" s="14">
        <v>4</v>
      </c>
      <c r="DQ23" s="14">
        <f>IFERROR(AVERAGE(Tabel1[[#This Row],[In - A2a]:[In - A2b]]),"")</f>
        <v>4</v>
      </c>
      <c r="DR23" s="14">
        <v>2</v>
      </c>
      <c r="DS23" s="14">
        <v>4</v>
      </c>
      <c r="DT23" s="14">
        <f>IFERROR(AVERAGE(Tabel1[[#This Row],[In - A3a]:[In - A3a]]),"")</f>
        <v>2</v>
      </c>
      <c r="DU23" s="14">
        <v>3</v>
      </c>
      <c r="DV23" s="14">
        <f>IFERROR(AVERAGE(Tabel1[[#This Row],[In - A1]],Tabel1[[#This Row],[In - A2]],Tabel1[[#This Row],[In - A3]],Tabel1[[#This Row],[In - A4]]),"")</f>
        <v>3</v>
      </c>
      <c r="DW23" s="14">
        <v>2</v>
      </c>
      <c r="DX23" s="14">
        <v>1</v>
      </c>
      <c r="DY23" s="14">
        <v>2</v>
      </c>
      <c r="DZ23" s="14">
        <f>IFERROR(AVERAGE(Tabel1[[#This Row],[Do - R1a]:[Do - R1c]]),"")</f>
        <v>1.6666666666666667</v>
      </c>
      <c r="EA23" s="14">
        <v>1</v>
      </c>
      <c r="EB23" s="14">
        <v>1</v>
      </c>
      <c r="EC23" s="14">
        <v>1</v>
      </c>
      <c r="ED23" s="14" t="s">
        <v>189</v>
      </c>
      <c r="EE23" s="14">
        <f>IFERROR(AVERAGE(Tabel1[[#This Row],[Do - R1]:[Do - R5]]),"")</f>
        <v>1.1666666666666667</v>
      </c>
      <c r="EF23" s="14">
        <v>4</v>
      </c>
      <c r="EG23" s="14">
        <v>3</v>
      </c>
      <c r="EH23" s="14">
        <v>3</v>
      </c>
      <c r="EI23" s="14">
        <f>IFERROR(AVERAGE(Tabel1[[#This Row],[Do - C1a]:[Do - C1c]]),"")</f>
        <v>3.3333333333333335</v>
      </c>
      <c r="EJ23" s="14">
        <v>2</v>
      </c>
      <c r="EK23" s="14">
        <v>1</v>
      </c>
      <c r="EL23" s="14">
        <v>1</v>
      </c>
      <c r="EM23" s="14">
        <f>IFERROR(AVERAGE(Tabel1[[#This Row],[Do - C1]:[Do - C4]]),"")</f>
        <v>1.8333333333333335</v>
      </c>
      <c r="EN23" s="14">
        <v>3</v>
      </c>
      <c r="EO23" s="14">
        <v>1</v>
      </c>
      <c r="EP23" s="14">
        <v>1</v>
      </c>
      <c r="EQ23" s="14">
        <f>IFERROR(AVERAGE(Tabel1[[#This Row],[Do - F1a]:[Do - F1c]]),"")</f>
        <v>1.6666666666666667</v>
      </c>
      <c r="ER23" s="14">
        <v>1</v>
      </c>
      <c r="ES23" s="14">
        <f>IFERROR(AVERAGE(Tabel1[[#This Row],[Do - F2a]:[Do - F2a]]),"")</f>
        <v>1</v>
      </c>
      <c r="ET23" s="14">
        <v>1</v>
      </c>
      <c r="EU23" s="14">
        <v>1</v>
      </c>
      <c r="EV23" s="14">
        <f>IFERROR(AVERAGE(Tabel1[[#This Row],[Do - F3a]:[Do - F3b]]),"")</f>
        <v>1</v>
      </c>
      <c r="EW23" s="14">
        <v>1</v>
      </c>
      <c r="EX23" s="14">
        <f>IFERROR(AVERAGE(Tabel1[[#This Row],[Do - F1]],Tabel1[[#This Row],[Do - F2]],Tabel1[[#This Row],[Do - F3]],Tabel1[[#This Row],[Do - F4]]),"")</f>
        <v>1.1666666666666667</v>
      </c>
      <c r="EY23" s="14">
        <v>1</v>
      </c>
      <c r="EZ23" s="14">
        <v>1</v>
      </c>
      <c r="FA23" s="14">
        <v>1</v>
      </c>
      <c r="FB23" s="14">
        <f>IFERROR(AVERAGE(Tabel1[[#This Row],[Do - V1a]:[Do - V1c]]),"")</f>
        <v>1</v>
      </c>
      <c r="FC23" s="14">
        <v>3</v>
      </c>
      <c r="FD23" s="14">
        <v>2</v>
      </c>
      <c r="FE23" s="14">
        <f>IFERROR(AVERAGE(Tabel1[[#This Row],[Do - V2a]:[Do - V2b]]),"")</f>
        <v>2.5</v>
      </c>
      <c r="FF23" s="14">
        <v>1</v>
      </c>
      <c r="FG23" s="14">
        <f>IFERROR(AVERAGE(Tabel1[[#This Row],[Do - V3a]:[Do - V3a]]),"")</f>
        <v>1</v>
      </c>
      <c r="FH23" s="14">
        <v>1</v>
      </c>
      <c r="FI23" s="14">
        <f>IFERROR(AVERAGE(Tabel1[[#This Row],[Do - V1]],Tabel1[[#This Row],[Do - V2]],Tabel1[[#This Row],[Do - V3]],Tabel1[[#This Row],[Do - V4]]),"")</f>
        <v>1.375</v>
      </c>
      <c r="FJ23" s="14">
        <v>2</v>
      </c>
      <c r="FK23" s="14">
        <v>2</v>
      </c>
      <c r="FL23" s="14">
        <v>2</v>
      </c>
      <c r="FM23" s="14">
        <f>IFERROR(AVERAGE(Tabel1[[#This Row],[Do - A1a]:[Do - A1c]]),"")</f>
        <v>2</v>
      </c>
      <c r="FN23" s="14" t="s">
        <v>189</v>
      </c>
      <c r="FO23" s="14">
        <v>2</v>
      </c>
      <c r="FP23" s="14">
        <f>IFERROR(AVERAGE(Tabel1[[#This Row],[Do - A2a]:[Do - A2b]]),"")</f>
        <v>2</v>
      </c>
      <c r="FQ23" s="14" t="s">
        <v>189</v>
      </c>
      <c r="FR23" s="14" t="str">
        <f>IFERROR(AVERAGE(Tabel1[[#This Row],[Do - A3a]:[Do - A3a]]),"")</f>
        <v/>
      </c>
      <c r="FS23" s="14">
        <v>2</v>
      </c>
      <c r="FT23" s="14">
        <f>IFERROR(AVERAGE(Tabel1[[#This Row],[Do - A1]],Tabel1[[#This Row],[Do - A2]],Tabel1[[#This Row],[Do - A3]],Tabel1[[#This Row],[Do - A4]]),"")</f>
        <v>2</v>
      </c>
      <c r="FU2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2.1981481481481482</v>
      </c>
      <c r="FV23" s="16" t="s">
        <v>312</v>
      </c>
      <c r="FW23" t="b">
        <v>1</v>
      </c>
    </row>
    <row r="24" spans="1:179" x14ac:dyDescent="0.3">
      <c r="A24" s="13">
        <v>44887.887997685182</v>
      </c>
      <c r="B24" t="b">
        <v>0</v>
      </c>
      <c r="C24" s="14" t="s">
        <v>313</v>
      </c>
      <c r="D24" s="14" t="s">
        <v>252</v>
      </c>
      <c r="E24" s="14" t="s">
        <v>314</v>
      </c>
      <c r="F24" s="14" t="s">
        <v>184</v>
      </c>
      <c r="G24" s="14" t="s">
        <v>315</v>
      </c>
      <c r="H24" s="14" t="s">
        <v>222</v>
      </c>
      <c r="I24" s="14" t="s">
        <v>243</v>
      </c>
      <c r="J24" s="14" t="s">
        <v>244</v>
      </c>
      <c r="K24" s="17" t="s">
        <v>304</v>
      </c>
      <c r="L24" s="14" t="s">
        <v>249</v>
      </c>
      <c r="M24" s="14" t="s">
        <v>281</v>
      </c>
      <c r="N24" s="14" t="s">
        <v>316</v>
      </c>
      <c r="O24" s="14" t="s">
        <v>256</v>
      </c>
      <c r="P24" s="17" t="s">
        <v>255</v>
      </c>
      <c r="Q24" s="14" t="s">
        <v>317</v>
      </c>
      <c r="R24" s="14" t="s">
        <v>201</v>
      </c>
      <c r="S24" s="14" t="s">
        <v>203</v>
      </c>
      <c r="T24" s="14" t="s">
        <v>284</v>
      </c>
      <c r="U24" s="14" t="s">
        <v>205</v>
      </c>
      <c r="V24" s="14" t="s">
        <v>224</v>
      </c>
      <c r="W24" s="14" t="s">
        <v>207</v>
      </c>
      <c r="X24" s="14" t="s">
        <v>306</v>
      </c>
      <c r="Y24" s="14">
        <v>2</v>
      </c>
      <c r="Z24" s="14">
        <v>2</v>
      </c>
      <c r="AA24" s="14">
        <v>3</v>
      </c>
      <c r="AB24" s="15">
        <f>IFERROR(AVERAGE(Tabel1[[#This Row],[Up - R1a]:[Up - R1c]]),"")</f>
        <v>2.3333333333333335</v>
      </c>
      <c r="AC24" s="14">
        <v>2</v>
      </c>
      <c r="AD24" s="14">
        <v>3</v>
      </c>
      <c r="AE24" s="14">
        <v>2</v>
      </c>
      <c r="AF24" s="14">
        <v>3</v>
      </c>
      <c r="AG24" s="14">
        <f>IFERROR(AVERAGE(Tabel1[[#This Row],[Up - R1]:[Up - R5]]),"")</f>
        <v>2.4666666666666668</v>
      </c>
      <c r="AH24" s="14">
        <v>2</v>
      </c>
      <c r="AI24" s="14">
        <v>2</v>
      </c>
      <c r="AJ24" s="14">
        <v>1</v>
      </c>
      <c r="AK24" s="14">
        <f>IFERROR(AVERAGE(Tabel1[[#This Row],[Up - C1a]:[Up - C1c]]),"")</f>
        <v>1.6666666666666667</v>
      </c>
      <c r="AL24" s="14">
        <v>3</v>
      </c>
      <c r="AM24" s="14">
        <v>3</v>
      </c>
      <c r="AN24" s="14">
        <v>2</v>
      </c>
      <c r="AO24" s="14">
        <f>IFERROR(AVERAGE(Tabel1[[#This Row],[Up - C1]:[Up - C4]]),"")</f>
        <v>2.416666666666667</v>
      </c>
      <c r="AP24" s="14">
        <v>1</v>
      </c>
      <c r="AQ24" s="14">
        <f>IFERROR(AVERAGE(Tabel1[[#This Row],[Up - F1a]:[Up - F1a]]),"")</f>
        <v>1</v>
      </c>
      <c r="AR24" s="14">
        <v>4</v>
      </c>
      <c r="AS24" s="14">
        <v>3</v>
      </c>
      <c r="AT24" s="14">
        <f>IFERROR(AVERAGE(Tabel1[[#This Row],[Up - F2a]:[Up - F2b]]),"")</f>
        <v>3.5</v>
      </c>
      <c r="AU24" s="14">
        <v>4</v>
      </c>
      <c r="AV24" s="14">
        <v>2</v>
      </c>
      <c r="AW24" s="14">
        <f>IFERROR(AVERAGE(Tabel1[[#This Row],[Up - F3a]:[Up - F3b]]),"")</f>
        <v>3</v>
      </c>
      <c r="AX24" s="14">
        <v>4</v>
      </c>
      <c r="AY24" s="14">
        <f>IFERROR(AVERAGE(Tabel1[[#This Row],[Up - F1]],Tabel1[[#This Row],[Up - F2]],Tabel1[[#This Row],[Up - F3]],Tabel1[[#This Row],[Up - F4]]),"")</f>
        <v>2.875</v>
      </c>
      <c r="AZ24" s="14">
        <v>4</v>
      </c>
      <c r="BA24" s="14">
        <v>4</v>
      </c>
      <c r="BB24" s="14">
        <f>IFERROR(AVERAGE(Tabel1[[#This Row],[Up - V1a]:[Up - V1b]]),"")</f>
        <v>4</v>
      </c>
      <c r="BC24" s="14">
        <v>2</v>
      </c>
      <c r="BD24" s="14">
        <v>4</v>
      </c>
      <c r="BE24" s="14">
        <v>3</v>
      </c>
      <c r="BF24" s="14">
        <f>IFERROR(AVERAGE(Tabel1[[#This Row],[Up - V2a]:[Up - V2c]]),"")</f>
        <v>3</v>
      </c>
      <c r="BG24" s="14">
        <v>3</v>
      </c>
      <c r="BH24" s="14">
        <v>2</v>
      </c>
      <c r="BI24" s="14">
        <f>IFERROR(AVERAGE(Tabel1[[#This Row],[Up - V3a]:[Up - V3b]]),"")</f>
        <v>2.5</v>
      </c>
      <c r="BJ24" s="14">
        <v>4</v>
      </c>
      <c r="BK24" s="14">
        <f>IFERROR(AVERAGE(Tabel1[[#This Row],[Up - V1]],Tabel1[[#This Row],[Up - V2]],Tabel1[[#This Row],[Up - V3]],Tabel1[[#This Row],[Up - V4]]),"")</f>
        <v>3.375</v>
      </c>
      <c r="BL24" s="14">
        <v>1</v>
      </c>
      <c r="BM24" s="14">
        <v>2</v>
      </c>
      <c r="BN24" s="14">
        <v>3</v>
      </c>
      <c r="BO24" s="14">
        <v>3</v>
      </c>
      <c r="BP24" s="14">
        <f>IFERROR(AVERAGE(Tabel1[[#This Row],[Up - A1a]:[Up - A1d]]),"")</f>
        <v>2.25</v>
      </c>
      <c r="BQ24" s="14">
        <v>4</v>
      </c>
      <c r="BR24" s="14">
        <v>4</v>
      </c>
      <c r="BS24" s="14">
        <f>IFERROR(AVERAGE(Tabel1[[#This Row],[Up - A2a]:[Up - A2b]]),"")</f>
        <v>4</v>
      </c>
      <c r="BT24" s="14">
        <v>4</v>
      </c>
      <c r="BU24" s="14">
        <f>IFERROR(AVERAGE(Tabel1[[#This Row],[Up - A3a]:[Up - A3a]]),"")</f>
        <v>4</v>
      </c>
      <c r="BV24" s="14">
        <v>3</v>
      </c>
      <c r="BW24" s="14">
        <f>IFERROR(AVERAGE(Tabel1[[#This Row],[Up - A1]],Tabel1[[#This Row],[Up - A2]],Tabel1[[#This Row],[Up - A3]]),"")</f>
        <v>3.4166666666666665</v>
      </c>
      <c r="BX24" s="14">
        <v>3</v>
      </c>
      <c r="BY24" s="14">
        <v>1</v>
      </c>
      <c r="BZ24" s="14">
        <f>IFERROR(AVERAGE(Tabel1[[#This Row],[In - R1a]:[In - R1b]]),"")</f>
        <v>2</v>
      </c>
      <c r="CA24" s="14">
        <v>4</v>
      </c>
      <c r="CB24" s="14">
        <v>1</v>
      </c>
      <c r="CC24" s="14">
        <v>2</v>
      </c>
      <c r="CD24" s="14">
        <v>3</v>
      </c>
      <c r="CE24" s="14">
        <f>IFERROR(AVERAGE(Tabel1[[#This Row],[In - R1]:[In - R5]]),"")</f>
        <v>2.4</v>
      </c>
      <c r="CF24" s="14">
        <v>3</v>
      </c>
      <c r="CG24" s="14">
        <v>4</v>
      </c>
      <c r="CH24" s="14">
        <v>4</v>
      </c>
      <c r="CI24" s="14">
        <f>IFERROR(AVERAGE(Tabel1[[#This Row],[In - C1a]:[In - C1c]]),"")</f>
        <v>3.6666666666666665</v>
      </c>
      <c r="CJ24" s="14">
        <v>3</v>
      </c>
      <c r="CK24" s="14">
        <v>4</v>
      </c>
      <c r="CL24" s="14">
        <v>3</v>
      </c>
      <c r="CM24" s="14">
        <f>IFERROR(AVERAGE(Tabel1[[#This Row],[In - C1]:[In - C4]]),"")</f>
        <v>3.4166666666666665</v>
      </c>
      <c r="CN24" s="14">
        <v>3</v>
      </c>
      <c r="CO24" s="14">
        <v>4</v>
      </c>
      <c r="CP24" s="14">
        <v>2</v>
      </c>
      <c r="CQ24" s="14">
        <f>IFERROR(AVERAGE(Tabel1[[#This Row],[In - F1a]:[In - F1c]]),"")</f>
        <v>3</v>
      </c>
      <c r="CR24" s="14">
        <v>5</v>
      </c>
      <c r="CS24" s="14">
        <v>3</v>
      </c>
      <c r="CT24" s="14">
        <f>IFERROR(AVERAGE(Tabel1[[#This Row],[In - F2a]:[In - F2b]]),"")</f>
        <v>4</v>
      </c>
      <c r="CU24" s="14">
        <v>2</v>
      </c>
      <c r="CV24" s="14">
        <f>IFERROR(AVERAGE(Tabel1[[#This Row],[In - F3a]:[In - F3a]]),"")</f>
        <v>2</v>
      </c>
      <c r="CW24" s="14">
        <v>3</v>
      </c>
      <c r="CX24" s="14">
        <f>IFERROR(AVERAGE(Tabel1[[#This Row],[In - F1]],Tabel1[[#This Row],[In - F2]],Tabel1[[#This Row],[In - F3]],Tabel1[[#This Row],[In - F4]]),"")</f>
        <v>3</v>
      </c>
      <c r="CY24" s="14">
        <v>4</v>
      </c>
      <c r="CZ24" s="14">
        <v>4</v>
      </c>
      <c r="DA24" s="14">
        <v>3</v>
      </c>
      <c r="DB24" s="14">
        <f>IFERROR(AVERAGE(Tabel1[[#This Row],[In - V1a]:[In - V1c]]),"")</f>
        <v>3.6666666666666665</v>
      </c>
      <c r="DC24" s="14">
        <v>2</v>
      </c>
      <c r="DD24" s="14">
        <v>3</v>
      </c>
      <c r="DE24" s="14">
        <v>3</v>
      </c>
      <c r="DF24" s="14">
        <f>IFERROR(AVERAGE(Tabel1[[#This Row],[In - V2a]:[In - V2c]]),"")</f>
        <v>2.6666666666666665</v>
      </c>
      <c r="DG24" s="14">
        <v>3</v>
      </c>
      <c r="DH24" s="14">
        <v>2</v>
      </c>
      <c r="DI24" s="14">
        <f>IFERROR(AVERAGE(Tabel1[[#This Row],[In - V3a]:[In - V3b]]),"")</f>
        <v>2.5</v>
      </c>
      <c r="DJ24" s="14">
        <v>3</v>
      </c>
      <c r="DK24" s="14">
        <f>IFERROR(AVERAGE(Tabel1[[#This Row],[In - V1]],Tabel1[[#This Row],[In - V2]],Tabel1[[#This Row],[In - V3]],Tabel1[[#This Row],[In - V4]]),"")</f>
        <v>2.958333333333333</v>
      </c>
      <c r="DL24" s="14">
        <v>4</v>
      </c>
      <c r="DM24" s="14">
        <v>4</v>
      </c>
      <c r="DN24" s="14">
        <f>IFERROR(AVERAGE(Tabel1[[#This Row],[In - A1a]:[In - A1b]]),"")</f>
        <v>4</v>
      </c>
      <c r="DO24" s="14">
        <v>3</v>
      </c>
      <c r="DP24" s="14">
        <v>4</v>
      </c>
      <c r="DQ24" s="14">
        <f>IFERROR(AVERAGE(Tabel1[[#This Row],[In - A2a]:[In - A2b]]),"")</f>
        <v>3.5</v>
      </c>
      <c r="DR24" s="14">
        <v>4</v>
      </c>
      <c r="DS24" s="14">
        <v>4</v>
      </c>
      <c r="DT24" s="14">
        <f>IFERROR(AVERAGE(Tabel1[[#This Row],[In - A3a]:[In - A3a]]),"")</f>
        <v>4</v>
      </c>
      <c r="DU24" s="14">
        <v>4</v>
      </c>
      <c r="DV24" s="14">
        <f>IFERROR(AVERAGE(Tabel1[[#This Row],[In - A1]],Tabel1[[#This Row],[In - A2]],Tabel1[[#This Row],[In - A3]],Tabel1[[#This Row],[In - A4]]),"")</f>
        <v>3.875</v>
      </c>
      <c r="DW24" s="14">
        <v>4</v>
      </c>
      <c r="DX24" s="14">
        <v>4</v>
      </c>
      <c r="DY24" s="14">
        <v>4</v>
      </c>
      <c r="DZ24" s="14">
        <f>IFERROR(AVERAGE(Tabel1[[#This Row],[Do - R1a]:[Do - R1c]]),"")</f>
        <v>4</v>
      </c>
      <c r="EA24" s="14">
        <v>1</v>
      </c>
      <c r="EB24" s="14">
        <v>4</v>
      </c>
      <c r="EC24" s="14">
        <v>1</v>
      </c>
      <c r="ED24" s="14">
        <v>1</v>
      </c>
      <c r="EE24" s="14">
        <f>IFERROR(AVERAGE(Tabel1[[#This Row],[Do - R1]:[Do - R5]]),"")</f>
        <v>2.2000000000000002</v>
      </c>
      <c r="EF24" s="14">
        <v>2</v>
      </c>
      <c r="EG24" s="14">
        <v>2</v>
      </c>
      <c r="EH24" s="14">
        <v>2</v>
      </c>
      <c r="EI24" s="14">
        <f>IFERROR(AVERAGE(Tabel1[[#This Row],[Do - C1a]:[Do - C1c]]),"")</f>
        <v>2</v>
      </c>
      <c r="EJ24" s="14">
        <v>3</v>
      </c>
      <c r="EK24" s="14">
        <v>1</v>
      </c>
      <c r="EL24" s="14">
        <v>2</v>
      </c>
      <c r="EM24" s="14">
        <f>IFERROR(AVERAGE(Tabel1[[#This Row],[Do - C1]:[Do - C4]]),"")</f>
        <v>2</v>
      </c>
      <c r="EN24" s="14">
        <v>2</v>
      </c>
      <c r="EO24" s="14">
        <v>2</v>
      </c>
      <c r="EP24" s="14">
        <v>4</v>
      </c>
      <c r="EQ24" s="14">
        <f>IFERROR(AVERAGE(Tabel1[[#This Row],[Do - F1a]:[Do - F1c]]),"")</f>
        <v>2.6666666666666665</v>
      </c>
      <c r="ER24" s="14">
        <v>2</v>
      </c>
      <c r="ES24" s="14">
        <f>IFERROR(AVERAGE(Tabel1[[#This Row],[Do - F2a]:[Do - F2a]]),"")</f>
        <v>2</v>
      </c>
      <c r="ET24" s="14">
        <v>3</v>
      </c>
      <c r="EU24" s="14">
        <v>3</v>
      </c>
      <c r="EV24" s="14">
        <f>IFERROR(AVERAGE(Tabel1[[#This Row],[Do - F3a]:[Do - F3b]]),"")</f>
        <v>3</v>
      </c>
      <c r="EW24" s="14">
        <v>3</v>
      </c>
      <c r="EX24" s="14">
        <f>IFERROR(AVERAGE(Tabel1[[#This Row],[Do - F1]],Tabel1[[#This Row],[Do - F2]],Tabel1[[#This Row],[Do - F3]],Tabel1[[#This Row],[Do - F4]]),"")</f>
        <v>2.6666666666666665</v>
      </c>
      <c r="EY24" s="14">
        <v>3</v>
      </c>
      <c r="EZ24" s="14">
        <v>3</v>
      </c>
      <c r="FA24" s="14">
        <v>3</v>
      </c>
      <c r="FB24" s="14">
        <f>IFERROR(AVERAGE(Tabel1[[#This Row],[Do - V1a]:[Do - V1c]]),"")</f>
        <v>3</v>
      </c>
      <c r="FC24" s="14">
        <v>4</v>
      </c>
      <c r="FD24" s="14">
        <v>5</v>
      </c>
      <c r="FE24" s="14">
        <f>IFERROR(AVERAGE(Tabel1[[#This Row],[Do - V2a]:[Do - V2b]]),"")</f>
        <v>4.5</v>
      </c>
      <c r="FF24" s="14">
        <v>4</v>
      </c>
      <c r="FG24" s="14">
        <f>IFERROR(AVERAGE(Tabel1[[#This Row],[Do - V3a]:[Do - V3a]]),"")</f>
        <v>4</v>
      </c>
      <c r="FH24" s="14">
        <v>3</v>
      </c>
      <c r="FI24" s="14">
        <f>IFERROR(AVERAGE(Tabel1[[#This Row],[Do - V1]],Tabel1[[#This Row],[Do - V2]],Tabel1[[#This Row],[Do - V3]],Tabel1[[#This Row],[Do - V4]]),"")</f>
        <v>3.625</v>
      </c>
      <c r="FJ24" s="14">
        <v>3</v>
      </c>
      <c r="FK24" s="14">
        <v>3</v>
      </c>
      <c r="FL24" s="14">
        <v>4</v>
      </c>
      <c r="FM24" s="14">
        <f>IFERROR(AVERAGE(Tabel1[[#This Row],[Do - A1a]:[Do - A1c]]),"")</f>
        <v>3.3333333333333335</v>
      </c>
      <c r="FN24" s="14">
        <v>2</v>
      </c>
      <c r="FO24" s="14">
        <v>4</v>
      </c>
      <c r="FP24" s="14">
        <f>IFERROR(AVERAGE(Tabel1[[#This Row],[Do - A2a]:[Do - A2b]]),"")</f>
        <v>3</v>
      </c>
      <c r="FQ24" s="14">
        <v>4</v>
      </c>
      <c r="FR24" s="14">
        <f>IFERROR(AVERAGE(Tabel1[[#This Row],[Do - A3a]:[Do - A3a]]),"")</f>
        <v>4</v>
      </c>
      <c r="FS24" s="14">
        <v>4</v>
      </c>
      <c r="FT24" s="14">
        <f>IFERROR(AVERAGE(Tabel1[[#This Row],[Do - A1]],Tabel1[[#This Row],[Do - A2]],Tabel1[[#This Row],[Do - A3]],Tabel1[[#This Row],[Do - A4]]),"")</f>
        <v>3.5833333333333335</v>
      </c>
      <c r="FU2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2.9516666666666667</v>
      </c>
      <c r="FV24" s="16" t="s">
        <v>318</v>
      </c>
      <c r="FW24" t="b">
        <v>1</v>
      </c>
    </row>
    <row r="25" spans="1:179" x14ac:dyDescent="0.3">
      <c r="A25" s="13">
        <v>44889.798194444447</v>
      </c>
      <c r="B25" t="b">
        <v>0</v>
      </c>
      <c r="C25" s="14" t="s">
        <v>319</v>
      </c>
      <c r="D25" s="14" t="s">
        <v>215</v>
      </c>
      <c r="E25" s="14" t="s">
        <v>320</v>
      </c>
      <c r="F25" s="14" t="s">
        <v>184</v>
      </c>
      <c r="G25" s="14" t="s">
        <v>321</v>
      </c>
      <c r="H25" s="14" t="s">
        <v>185</v>
      </c>
      <c r="I25" s="14" t="s">
        <v>322</v>
      </c>
      <c r="J25" s="14" t="s">
        <v>323</v>
      </c>
      <c r="K25" s="14" t="s">
        <v>187</v>
      </c>
      <c r="L25" s="14" t="s">
        <v>324</v>
      </c>
      <c r="M25" s="14" t="s">
        <v>324</v>
      </c>
      <c r="N25" s="14" t="s">
        <v>324</v>
      </c>
      <c r="O25" s="14" t="s">
        <v>324</v>
      </c>
      <c r="P25" s="14" t="s">
        <v>324</v>
      </c>
      <c r="Q25" s="14" t="s">
        <v>324</v>
      </c>
      <c r="R25" s="14" t="s">
        <v>324</v>
      </c>
      <c r="S25" s="14" t="s">
        <v>324</v>
      </c>
      <c r="T25" s="14" t="s">
        <v>324</v>
      </c>
      <c r="U25" s="14" t="s">
        <v>324</v>
      </c>
      <c r="V25" s="14" t="s">
        <v>324</v>
      </c>
      <c r="W25" s="14" t="s">
        <v>324</v>
      </c>
      <c r="X25" s="14" t="s">
        <v>324</v>
      </c>
      <c r="Y25" s="14">
        <v>2</v>
      </c>
      <c r="Z25" s="14">
        <v>2</v>
      </c>
      <c r="AA25" s="14">
        <v>2</v>
      </c>
      <c r="AB25" s="15">
        <f>IFERROR(AVERAGE(Tabel1[[#This Row],[Up - R1a]:[Up - R1c]]),"")</f>
        <v>2</v>
      </c>
      <c r="AC25" s="14">
        <v>3</v>
      </c>
      <c r="AD25" s="14">
        <v>1</v>
      </c>
      <c r="AE25" s="14" t="s">
        <v>189</v>
      </c>
      <c r="AF25" s="14" t="s">
        <v>189</v>
      </c>
      <c r="AG25" s="14">
        <f>IFERROR(AVERAGE(Tabel1[[#This Row],[Up - R1]:[Up - R5]]),"")</f>
        <v>2</v>
      </c>
      <c r="AH25" s="14">
        <v>2</v>
      </c>
      <c r="AI25" s="14">
        <v>2</v>
      </c>
      <c r="AJ25" s="14">
        <v>2</v>
      </c>
      <c r="AK25" s="14">
        <f>IFERROR(AVERAGE(Tabel1[[#This Row],[Up - C1a]:[Up - C1c]]),"")</f>
        <v>2</v>
      </c>
      <c r="AL25" s="14">
        <v>1</v>
      </c>
      <c r="AM25" s="14">
        <v>1</v>
      </c>
      <c r="AN25" s="14" t="s">
        <v>189</v>
      </c>
      <c r="AO25" s="14">
        <f>IFERROR(AVERAGE(Tabel1[[#This Row],[Up - C1]:[Up - C4]]),"")</f>
        <v>1.3333333333333333</v>
      </c>
      <c r="AP25" s="14" t="s">
        <v>189</v>
      </c>
      <c r="AQ25" s="14" t="str">
        <f>IFERROR(AVERAGE(Tabel1[[#This Row],[Up - F1a]:[Up - F1a]]),"")</f>
        <v/>
      </c>
      <c r="AR25" s="14">
        <v>1</v>
      </c>
      <c r="AS25" s="14">
        <v>1</v>
      </c>
      <c r="AT25" s="14">
        <f>IFERROR(AVERAGE(Tabel1[[#This Row],[Up - F2a]:[Up - F2b]]),"")</f>
        <v>1</v>
      </c>
      <c r="AU25" s="14">
        <v>1</v>
      </c>
      <c r="AV25" s="14">
        <v>1</v>
      </c>
      <c r="AW25" s="14">
        <f>IFERROR(AVERAGE(Tabel1[[#This Row],[Up - F3a]:[Up - F3b]]),"")</f>
        <v>1</v>
      </c>
      <c r="AX25" s="14" t="s">
        <v>189</v>
      </c>
      <c r="AY25" s="14">
        <f>IFERROR(AVERAGE(Tabel1[[#This Row],[Up - F1]],Tabel1[[#This Row],[Up - F2]],Tabel1[[#This Row],[Up - F3]],Tabel1[[#This Row],[Up - F4]]),"")</f>
        <v>1</v>
      </c>
      <c r="AZ25" s="14">
        <v>4</v>
      </c>
      <c r="BA25" s="14">
        <v>4</v>
      </c>
      <c r="BB25" s="14">
        <f>IFERROR(AVERAGE(Tabel1[[#This Row],[Up - V1a]:[Up - V1b]]),"")</f>
        <v>4</v>
      </c>
      <c r="BC25" s="14">
        <v>3</v>
      </c>
      <c r="BD25" s="14">
        <v>3</v>
      </c>
      <c r="BE25" s="14">
        <v>3</v>
      </c>
      <c r="BF25" s="14">
        <f>IFERROR(AVERAGE(Tabel1[[#This Row],[Up - V2a]:[Up - V2c]]),"")</f>
        <v>3</v>
      </c>
      <c r="BG25" s="14" t="s">
        <v>189</v>
      </c>
      <c r="BH25" s="14" t="s">
        <v>189</v>
      </c>
      <c r="BI25" s="14" t="str">
        <f>IFERROR(AVERAGE(Tabel1[[#This Row],[Up - V3a]:[Up - V3b]]),"")</f>
        <v/>
      </c>
      <c r="BJ25" s="14">
        <v>2</v>
      </c>
      <c r="BK25" s="14">
        <f>IFERROR(AVERAGE(Tabel1[[#This Row],[Up - V1]],Tabel1[[#This Row],[Up - V2]],Tabel1[[#This Row],[Up - V3]],Tabel1[[#This Row],[Up - V4]]),"")</f>
        <v>3</v>
      </c>
      <c r="BL25" s="14">
        <v>2</v>
      </c>
      <c r="BM25" s="14">
        <v>2</v>
      </c>
      <c r="BN25" s="14">
        <v>2</v>
      </c>
      <c r="BO25" s="14">
        <v>2</v>
      </c>
      <c r="BP25" s="14">
        <f>IFERROR(AVERAGE(Tabel1[[#This Row],[Up - A1a]:[Up - A1d]]),"")</f>
        <v>2</v>
      </c>
      <c r="BQ25" s="14">
        <v>3</v>
      </c>
      <c r="BR25" s="14">
        <v>3</v>
      </c>
      <c r="BS25" s="14">
        <f>IFERROR(AVERAGE(Tabel1[[#This Row],[Up - A2a]:[Up - A2b]]),"")</f>
        <v>3</v>
      </c>
      <c r="BT25" s="14">
        <v>4</v>
      </c>
      <c r="BU25" s="14">
        <f>IFERROR(AVERAGE(Tabel1[[#This Row],[Up - A3a]:[Up - A3a]]),"")</f>
        <v>4</v>
      </c>
      <c r="BV25" s="14">
        <v>2</v>
      </c>
      <c r="BW25" s="14">
        <f>IFERROR(AVERAGE(Tabel1[[#This Row],[Up - A1]],Tabel1[[#This Row],[Up - A2]],Tabel1[[#This Row],[Up - A3]]),"")</f>
        <v>3</v>
      </c>
      <c r="BX25" s="14">
        <v>2</v>
      </c>
      <c r="BY25" s="14">
        <v>2</v>
      </c>
      <c r="BZ25" s="14">
        <f>IFERROR(AVERAGE(Tabel1[[#This Row],[In - R1a]:[In - R1b]]),"")</f>
        <v>2</v>
      </c>
      <c r="CA25" s="14">
        <v>1</v>
      </c>
      <c r="CB25" s="14" t="s">
        <v>189</v>
      </c>
      <c r="CC25" s="14">
        <v>1</v>
      </c>
      <c r="CD25" s="14">
        <v>1</v>
      </c>
      <c r="CE25" s="14">
        <f>IFERROR(AVERAGE(Tabel1[[#This Row],[In - R1]:[In - R5]]),"")</f>
        <v>1.25</v>
      </c>
      <c r="CF25" s="14">
        <v>2</v>
      </c>
      <c r="CG25" s="14">
        <v>2</v>
      </c>
      <c r="CH25" s="14">
        <v>2</v>
      </c>
      <c r="CI25" s="14">
        <f>IFERROR(AVERAGE(Tabel1[[#This Row],[In - C1a]:[In - C1c]]),"")</f>
        <v>2</v>
      </c>
      <c r="CJ25" s="14">
        <v>3</v>
      </c>
      <c r="CK25" s="14">
        <v>2</v>
      </c>
      <c r="CL25" s="14">
        <v>1</v>
      </c>
      <c r="CM25" s="14">
        <f>IFERROR(AVERAGE(Tabel1[[#This Row],[In - C1]:[In - C4]]),"")</f>
        <v>2</v>
      </c>
      <c r="CN25" s="14" t="s">
        <v>189</v>
      </c>
      <c r="CO25" s="14" t="s">
        <v>189</v>
      </c>
      <c r="CP25" s="14" t="s">
        <v>189</v>
      </c>
      <c r="CQ25" s="14" t="str">
        <f>IFERROR(AVERAGE(Tabel1[[#This Row],[In - F1a]:[In - F1c]]),"")</f>
        <v/>
      </c>
      <c r="CR25" s="14">
        <v>4</v>
      </c>
      <c r="CS25" s="14">
        <v>4</v>
      </c>
      <c r="CT25" s="14">
        <f>IFERROR(AVERAGE(Tabel1[[#This Row],[In - F2a]:[In - F2b]]),"")</f>
        <v>4</v>
      </c>
      <c r="CU25" s="14" t="s">
        <v>189</v>
      </c>
      <c r="CV25" s="14" t="str">
        <f>IFERROR(AVERAGE(Tabel1[[#This Row],[In - F3a]:[In - F3a]]),"")</f>
        <v/>
      </c>
      <c r="CW25" s="14">
        <v>2</v>
      </c>
      <c r="CX25" s="14">
        <f>IFERROR(AVERAGE(Tabel1[[#This Row],[In - F1]],Tabel1[[#This Row],[In - F2]],Tabel1[[#This Row],[In - F3]],Tabel1[[#This Row],[In - F4]]),"")</f>
        <v>3</v>
      </c>
      <c r="CY25" s="14">
        <v>1</v>
      </c>
      <c r="CZ25" s="14">
        <v>1</v>
      </c>
      <c r="DA25" s="14">
        <v>1</v>
      </c>
      <c r="DB25" s="14">
        <f>IFERROR(AVERAGE(Tabel1[[#This Row],[In - V1a]:[In - V1c]]),"")</f>
        <v>1</v>
      </c>
      <c r="DC25" s="14">
        <v>3</v>
      </c>
      <c r="DD25" s="14">
        <v>3</v>
      </c>
      <c r="DE25" s="14">
        <v>3</v>
      </c>
      <c r="DF25" s="14">
        <f>IFERROR(AVERAGE(Tabel1[[#This Row],[In - V2a]:[In - V2c]]),"")</f>
        <v>3</v>
      </c>
      <c r="DG25" s="14">
        <v>2</v>
      </c>
      <c r="DH25" s="14">
        <v>2</v>
      </c>
      <c r="DI25" s="14">
        <f>IFERROR(AVERAGE(Tabel1[[#This Row],[In - V3a]:[In - V3b]]),"")</f>
        <v>2</v>
      </c>
      <c r="DJ25" s="14">
        <v>1</v>
      </c>
      <c r="DK25" s="14">
        <f>IFERROR(AVERAGE(Tabel1[[#This Row],[In - V1]],Tabel1[[#This Row],[In - V2]],Tabel1[[#This Row],[In - V3]],Tabel1[[#This Row],[In - V4]]),"")</f>
        <v>1.75</v>
      </c>
      <c r="DL25" s="14">
        <v>1</v>
      </c>
      <c r="DM25" s="14">
        <v>1</v>
      </c>
      <c r="DN25" s="14">
        <f>IFERROR(AVERAGE(Tabel1[[#This Row],[In - A1a]:[In - A1b]]),"")</f>
        <v>1</v>
      </c>
      <c r="DO25" s="14" t="s">
        <v>189</v>
      </c>
      <c r="DP25" s="14" t="s">
        <v>189</v>
      </c>
      <c r="DQ25" s="14" t="str">
        <f>IFERROR(AVERAGE(Tabel1[[#This Row],[In - A2a]:[In - A2b]]),"")</f>
        <v/>
      </c>
      <c r="DR25" s="14">
        <v>4</v>
      </c>
      <c r="DS25" s="14">
        <v>4</v>
      </c>
      <c r="DT25" s="14">
        <f>IFERROR(AVERAGE(Tabel1[[#This Row],[In - A3a]:[In - A3a]]),"")</f>
        <v>4</v>
      </c>
      <c r="DU25" s="14">
        <v>1</v>
      </c>
      <c r="DV25" s="14">
        <f>IFERROR(AVERAGE(Tabel1[[#This Row],[In - A1]],Tabel1[[#This Row],[In - A2]],Tabel1[[#This Row],[In - A3]],Tabel1[[#This Row],[In - A4]]),"")</f>
        <v>2</v>
      </c>
      <c r="DW25" s="14" t="s">
        <v>189</v>
      </c>
      <c r="DX25" s="14" t="s">
        <v>189</v>
      </c>
      <c r="DY25" s="14" t="s">
        <v>189</v>
      </c>
      <c r="DZ25" s="14" t="str">
        <f>IFERROR(AVERAGE(Tabel1[[#This Row],[Do - R1a]:[Do - R1c]]),"")</f>
        <v/>
      </c>
      <c r="EA25" s="14">
        <v>2</v>
      </c>
      <c r="EB25" s="14" t="s">
        <v>189</v>
      </c>
      <c r="EC25" s="14" t="s">
        <v>189</v>
      </c>
      <c r="ED25" s="14" t="s">
        <v>189</v>
      </c>
      <c r="EE25" s="14">
        <f>IFERROR(AVERAGE(Tabel1[[#This Row],[Do - R1]:[Do - R5]]),"")</f>
        <v>2</v>
      </c>
      <c r="EF25" s="14">
        <v>1</v>
      </c>
      <c r="EG25" s="14">
        <v>1</v>
      </c>
      <c r="EH25" s="14">
        <v>1</v>
      </c>
      <c r="EI25" s="14">
        <f>IFERROR(AVERAGE(Tabel1[[#This Row],[Do - C1a]:[Do - C1c]]),"")</f>
        <v>1</v>
      </c>
      <c r="EJ25" s="14">
        <v>3</v>
      </c>
      <c r="EK25" s="14">
        <v>2</v>
      </c>
      <c r="EL25" s="14" t="s">
        <v>189</v>
      </c>
      <c r="EM25" s="14">
        <f>IFERROR(AVERAGE(Tabel1[[#This Row],[Do - C1]:[Do - C4]]),"")</f>
        <v>2</v>
      </c>
      <c r="EN25" s="14">
        <v>3</v>
      </c>
      <c r="EO25" s="14">
        <v>3</v>
      </c>
      <c r="EP25" s="14" t="s">
        <v>189</v>
      </c>
      <c r="EQ25" s="14">
        <f>IFERROR(AVERAGE(Tabel1[[#This Row],[Do - F1a]:[Do - F1c]]),"")</f>
        <v>3</v>
      </c>
      <c r="ER25" s="14">
        <v>1</v>
      </c>
      <c r="ES25" s="14">
        <f>IFERROR(AVERAGE(Tabel1[[#This Row],[Do - F2a]:[Do - F2a]]),"")</f>
        <v>1</v>
      </c>
      <c r="ET25" s="14">
        <v>1</v>
      </c>
      <c r="EU25" s="14">
        <v>1</v>
      </c>
      <c r="EV25" s="14">
        <f>IFERROR(AVERAGE(Tabel1[[#This Row],[Do - F3a]:[Do - F3b]]),"")</f>
        <v>1</v>
      </c>
      <c r="EW25" s="14" t="s">
        <v>189</v>
      </c>
      <c r="EX25" s="14">
        <f>IFERROR(AVERAGE(Tabel1[[#This Row],[Do - F1]],Tabel1[[#This Row],[Do - F2]],Tabel1[[#This Row],[Do - F3]],Tabel1[[#This Row],[Do - F4]]),"")</f>
        <v>1.6666666666666667</v>
      </c>
      <c r="EY25" s="14">
        <v>3</v>
      </c>
      <c r="EZ25" s="14">
        <v>3</v>
      </c>
      <c r="FA25" s="14">
        <v>3</v>
      </c>
      <c r="FB25" s="14">
        <f>IFERROR(AVERAGE(Tabel1[[#This Row],[Do - V1a]:[Do - V1c]]),"")</f>
        <v>3</v>
      </c>
      <c r="FC25" s="14">
        <v>2</v>
      </c>
      <c r="FD25" s="14">
        <v>2</v>
      </c>
      <c r="FE25" s="14">
        <f>IFERROR(AVERAGE(Tabel1[[#This Row],[Do - V2a]:[Do - V2b]]),"")</f>
        <v>2</v>
      </c>
      <c r="FF25" s="14">
        <v>2</v>
      </c>
      <c r="FG25" s="14">
        <f>IFERROR(AVERAGE(Tabel1[[#This Row],[Do - V3a]:[Do - V3a]]),"")</f>
        <v>2</v>
      </c>
      <c r="FH25" s="14">
        <v>1</v>
      </c>
      <c r="FI25" s="14">
        <f>IFERROR(AVERAGE(Tabel1[[#This Row],[Do - V1]],Tabel1[[#This Row],[Do - V2]],Tabel1[[#This Row],[Do - V3]],Tabel1[[#This Row],[Do - V4]]),"")</f>
        <v>2</v>
      </c>
      <c r="FJ25" s="14">
        <v>4</v>
      </c>
      <c r="FK25" s="14">
        <v>4</v>
      </c>
      <c r="FL25" s="14">
        <v>4</v>
      </c>
      <c r="FM25" s="14">
        <f>IFERROR(AVERAGE(Tabel1[[#This Row],[Do - A1a]:[Do - A1c]]),"")</f>
        <v>4</v>
      </c>
      <c r="FN25" s="14">
        <v>3</v>
      </c>
      <c r="FO25" s="14">
        <v>3</v>
      </c>
      <c r="FP25" s="14">
        <f>IFERROR(AVERAGE(Tabel1[[#This Row],[Do - A2a]:[Do - A2b]]),"")</f>
        <v>3</v>
      </c>
      <c r="FQ25" s="14">
        <v>3</v>
      </c>
      <c r="FR25" s="14">
        <f>IFERROR(AVERAGE(Tabel1[[#This Row],[Do - A3a]:[Do - A3a]]),"")</f>
        <v>3</v>
      </c>
      <c r="FS25" s="14">
        <v>1</v>
      </c>
      <c r="FT25" s="14">
        <f>IFERROR(AVERAGE(Tabel1[[#This Row],[Do - A1]],Tabel1[[#This Row],[Do - A2]],Tabel1[[#This Row],[Do - A3]],Tabel1[[#This Row],[Do - A4]]),"")</f>
        <v>2.75</v>
      </c>
      <c r="FU2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2.0499999999999998</v>
      </c>
      <c r="FV25" s="16" t="s">
        <v>325</v>
      </c>
      <c r="FW25" t="b">
        <v>1</v>
      </c>
    </row>
    <row r="26" spans="1:179" x14ac:dyDescent="0.3">
      <c r="A26" s="13">
        <v>44893.424247685187</v>
      </c>
      <c r="B26" t="b">
        <v>0</v>
      </c>
      <c r="C26" s="18" t="s">
        <v>192</v>
      </c>
      <c r="D26" s="14" t="s">
        <v>252</v>
      </c>
      <c r="E26" s="14" t="s">
        <v>326</v>
      </c>
      <c r="F26" s="14" t="s">
        <v>184</v>
      </c>
      <c r="G26" s="14" t="s">
        <v>327</v>
      </c>
      <c r="H26" s="14" t="s">
        <v>222</v>
      </c>
      <c r="I26" s="14" t="s">
        <v>243</v>
      </c>
      <c r="J26" s="14" t="s">
        <v>244</v>
      </c>
      <c r="K26" s="17" t="s">
        <v>255</v>
      </c>
      <c r="L26" s="14" t="s">
        <v>249</v>
      </c>
      <c r="M26" s="14" t="s">
        <v>281</v>
      </c>
      <c r="N26" s="14" t="s">
        <v>199</v>
      </c>
      <c r="O26" s="14" t="s">
        <v>256</v>
      </c>
      <c r="P26" s="17" t="s">
        <v>255</v>
      </c>
      <c r="Q26" s="17" t="s">
        <v>304</v>
      </c>
      <c r="R26" s="14" t="s">
        <v>235</v>
      </c>
      <c r="S26" s="14" t="s">
        <v>201</v>
      </c>
      <c r="T26" s="14" t="s">
        <v>284</v>
      </c>
      <c r="U26" s="14" t="s">
        <v>285</v>
      </c>
      <c r="V26" s="14" t="s">
        <v>224</v>
      </c>
      <c r="W26" s="14" t="s">
        <v>207</v>
      </c>
      <c r="X26" s="14" t="s">
        <v>207</v>
      </c>
      <c r="Y26" s="14">
        <v>3</v>
      </c>
      <c r="Z26" s="14">
        <v>1</v>
      </c>
      <c r="AA26" s="14">
        <v>1</v>
      </c>
      <c r="AB26" s="15">
        <f>IFERROR(AVERAGE(Tabel1[[#This Row],[Up - R1a]:[Up - R1c]]),"")</f>
        <v>1.6666666666666667</v>
      </c>
      <c r="AC26" s="14">
        <v>1</v>
      </c>
      <c r="AD26" s="14">
        <v>4</v>
      </c>
      <c r="AE26" s="14">
        <v>1</v>
      </c>
      <c r="AF26" s="14" t="s">
        <v>189</v>
      </c>
      <c r="AG26" s="14">
        <f>IFERROR(AVERAGE(Tabel1[[#This Row],[Up - R1]:[Up - R5]]),"")</f>
        <v>1.9166666666666667</v>
      </c>
      <c r="AH26" s="14">
        <v>2</v>
      </c>
      <c r="AI26" s="14">
        <v>2</v>
      </c>
      <c r="AJ26" s="14">
        <v>2</v>
      </c>
      <c r="AK26" s="14">
        <f>IFERROR(AVERAGE(Tabel1[[#This Row],[Up - C1a]:[Up - C1c]]),"")</f>
        <v>2</v>
      </c>
      <c r="AL26" s="14">
        <v>1</v>
      </c>
      <c r="AM26" s="14">
        <v>1</v>
      </c>
      <c r="AN26" s="14">
        <v>3</v>
      </c>
      <c r="AO26" s="14">
        <f>IFERROR(AVERAGE(Tabel1[[#This Row],[Up - C1]:[Up - C4]]),"")</f>
        <v>1.75</v>
      </c>
      <c r="AP26" s="14">
        <v>5</v>
      </c>
      <c r="AQ26" s="14">
        <f>IFERROR(AVERAGE(Tabel1[[#This Row],[Up - F1a]:[Up - F1a]]),"")</f>
        <v>5</v>
      </c>
      <c r="AR26" s="14">
        <v>1</v>
      </c>
      <c r="AS26" s="14">
        <v>5</v>
      </c>
      <c r="AT26" s="14">
        <f>IFERROR(AVERAGE(Tabel1[[#This Row],[Up - F2a]:[Up - F2b]]),"")</f>
        <v>3</v>
      </c>
      <c r="AU26" s="14">
        <v>4</v>
      </c>
      <c r="AV26" s="14">
        <v>1</v>
      </c>
      <c r="AW26" s="14">
        <f>IFERROR(AVERAGE(Tabel1[[#This Row],[Up - F3a]:[Up - F3b]]),"")</f>
        <v>2.5</v>
      </c>
      <c r="AX26" s="14">
        <v>4</v>
      </c>
      <c r="AY26" s="14">
        <f>IFERROR(AVERAGE(Tabel1[[#This Row],[Up - F1]],Tabel1[[#This Row],[Up - F2]],Tabel1[[#This Row],[Up - F3]],Tabel1[[#This Row],[Up - F4]]),"")</f>
        <v>3.625</v>
      </c>
      <c r="AZ26" s="14">
        <v>4</v>
      </c>
      <c r="BA26" s="14">
        <v>5</v>
      </c>
      <c r="BB26" s="14">
        <f>IFERROR(AVERAGE(Tabel1[[#This Row],[Up - V1a]:[Up - V1b]]),"")</f>
        <v>4.5</v>
      </c>
      <c r="BC26" s="14">
        <v>2</v>
      </c>
      <c r="BD26" s="14">
        <v>5</v>
      </c>
      <c r="BE26" s="14">
        <v>1</v>
      </c>
      <c r="BF26" s="14">
        <f>IFERROR(AVERAGE(Tabel1[[#This Row],[Up - V2a]:[Up - V2c]]),"")</f>
        <v>2.6666666666666665</v>
      </c>
      <c r="BG26" s="14">
        <v>5</v>
      </c>
      <c r="BH26" s="14">
        <v>1</v>
      </c>
      <c r="BI26" s="14">
        <f>IFERROR(AVERAGE(Tabel1[[#This Row],[Up - V3a]:[Up - V3b]]),"")</f>
        <v>3</v>
      </c>
      <c r="BJ26" s="14">
        <v>1</v>
      </c>
      <c r="BK26" s="14">
        <f>IFERROR(AVERAGE(Tabel1[[#This Row],[Up - V1]],Tabel1[[#This Row],[Up - V2]],Tabel1[[#This Row],[Up - V3]],Tabel1[[#This Row],[Up - V4]]),"")</f>
        <v>2.7916666666666665</v>
      </c>
      <c r="BL26" s="14">
        <v>2</v>
      </c>
      <c r="BM26" s="14">
        <v>2</v>
      </c>
      <c r="BN26" s="14">
        <v>5</v>
      </c>
      <c r="BO26" s="14">
        <v>3</v>
      </c>
      <c r="BP26" s="14">
        <f>IFERROR(AVERAGE(Tabel1[[#This Row],[Up - A1a]:[Up - A1d]]),"")</f>
        <v>3</v>
      </c>
      <c r="BQ26" s="14">
        <v>4</v>
      </c>
      <c r="BR26" s="14">
        <v>4</v>
      </c>
      <c r="BS26" s="14">
        <f>IFERROR(AVERAGE(Tabel1[[#This Row],[Up - A2a]:[Up - A2b]]),"")</f>
        <v>4</v>
      </c>
      <c r="BT26" s="14">
        <v>5</v>
      </c>
      <c r="BU26" s="14">
        <f>IFERROR(AVERAGE(Tabel1[[#This Row],[Up - A3a]:[Up - A3a]]),"")</f>
        <v>5</v>
      </c>
      <c r="BV26" s="14">
        <v>4</v>
      </c>
      <c r="BW26" s="14">
        <f>IFERROR(AVERAGE(Tabel1[[#This Row],[Up - A1]],Tabel1[[#This Row],[Up - A2]],Tabel1[[#This Row],[Up - A3]]),"")</f>
        <v>4</v>
      </c>
      <c r="BX26" s="14" t="s">
        <v>189</v>
      </c>
      <c r="BY26" s="14">
        <v>1</v>
      </c>
      <c r="BZ26" s="14">
        <f>IFERROR(AVERAGE(Tabel1[[#This Row],[In - R1a]:[In - R1b]]),"")</f>
        <v>1</v>
      </c>
      <c r="CA26" s="14">
        <v>5</v>
      </c>
      <c r="CB26" s="14">
        <v>1</v>
      </c>
      <c r="CC26" s="14">
        <v>5</v>
      </c>
      <c r="CD26" s="14">
        <v>5</v>
      </c>
      <c r="CE26" s="14">
        <f>IFERROR(AVERAGE(Tabel1[[#This Row],[In - R1]:[In - R5]]),"")</f>
        <v>3.4</v>
      </c>
      <c r="CF26" s="14">
        <v>2</v>
      </c>
      <c r="CG26" s="14">
        <v>4</v>
      </c>
      <c r="CH26" s="14">
        <v>5</v>
      </c>
      <c r="CI26" s="14">
        <f>IFERROR(AVERAGE(Tabel1[[#This Row],[In - C1a]:[In - C1c]]),"")</f>
        <v>3.6666666666666665</v>
      </c>
      <c r="CJ26" s="14" t="s">
        <v>189</v>
      </c>
      <c r="CK26" s="14">
        <v>5</v>
      </c>
      <c r="CL26" s="14">
        <v>3</v>
      </c>
      <c r="CM26" s="14">
        <f>IFERROR(AVERAGE(Tabel1[[#This Row],[In - C1]:[In - C4]]),"")</f>
        <v>3.8888888888888888</v>
      </c>
      <c r="CN26" s="14">
        <v>4</v>
      </c>
      <c r="CO26" s="14">
        <v>5</v>
      </c>
      <c r="CP26" s="14">
        <v>2</v>
      </c>
      <c r="CQ26" s="14">
        <f>IFERROR(AVERAGE(Tabel1[[#This Row],[In - F1a]:[In - F1c]]),"")</f>
        <v>3.6666666666666665</v>
      </c>
      <c r="CR26" s="14">
        <v>1</v>
      </c>
      <c r="CS26" s="14">
        <v>5</v>
      </c>
      <c r="CT26" s="14">
        <f>IFERROR(AVERAGE(Tabel1[[#This Row],[In - F2a]:[In - F2b]]),"")</f>
        <v>3</v>
      </c>
      <c r="CU26" s="14">
        <v>2</v>
      </c>
      <c r="CV26" s="14">
        <f>IFERROR(AVERAGE(Tabel1[[#This Row],[In - F3a]:[In - F3a]]),"")</f>
        <v>2</v>
      </c>
      <c r="CW26" s="14">
        <v>5</v>
      </c>
      <c r="CX26" s="14">
        <f>IFERROR(AVERAGE(Tabel1[[#This Row],[In - F1]],Tabel1[[#This Row],[In - F2]],Tabel1[[#This Row],[In - F3]],Tabel1[[#This Row],[In - F4]]),"")</f>
        <v>3.4166666666666665</v>
      </c>
      <c r="CY26" s="14">
        <v>3</v>
      </c>
      <c r="CZ26" s="14">
        <v>5</v>
      </c>
      <c r="DA26" s="14">
        <v>4</v>
      </c>
      <c r="DB26" s="14">
        <f>IFERROR(AVERAGE(Tabel1[[#This Row],[In - V1a]:[In - V1c]]),"")</f>
        <v>4</v>
      </c>
      <c r="DC26" s="14">
        <v>5</v>
      </c>
      <c r="DD26" s="14">
        <v>2</v>
      </c>
      <c r="DE26" s="14">
        <v>5</v>
      </c>
      <c r="DF26" s="14">
        <f>IFERROR(AVERAGE(Tabel1[[#This Row],[In - V2a]:[In - V2c]]),"")</f>
        <v>4</v>
      </c>
      <c r="DG26" s="14">
        <v>2</v>
      </c>
      <c r="DH26" s="14">
        <v>2</v>
      </c>
      <c r="DI26" s="14">
        <f>IFERROR(AVERAGE(Tabel1[[#This Row],[In - V3a]:[In - V3b]]),"")</f>
        <v>2</v>
      </c>
      <c r="DJ26" s="14">
        <v>3</v>
      </c>
      <c r="DK26" s="14">
        <f>IFERROR(AVERAGE(Tabel1[[#This Row],[In - V1]],Tabel1[[#This Row],[In - V2]],Tabel1[[#This Row],[In - V3]],Tabel1[[#This Row],[In - V4]]),"")</f>
        <v>3.25</v>
      </c>
      <c r="DL26" s="14">
        <v>3</v>
      </c>
      <c r="DM26" s="14">
        <v>5</v>
      </c>
      <c r="DN26" s="14">
        <f>IFERROR(AVERAGE(Tabel1[[#This Row],[In - A1a]:[In - A1b]]),"")</f>
        <v>4</v>
      </c>
      <c r="DO26" s="14">
        <v>3</v>
      </c>
      <c r="DP26" s="14">
        <v>5</v>
      </c>
      <c r="DQ26" s="14">
        <f>IFERROR(AVERAGE(Tabel1[[#This Row],[In - A2a]:[In - A2b]]),"")</f>
        <v>4</v>
      </c>
      <c r="DR26" s="14">
        <v>4</v>
      </c>
      <c r="DS26" s="14">
        <v>3</v>
      </c>
      <c r="DT26" s="14">
        <f>IFERROR(AVERAGE(Tabel1[[#This Row],[In - A3a]:[In - A3a]]),"")</f>
        <v>4</v>
      </c>
      <c r="DU26" s="14">
        <v>5</v>
      </c>
      <c r="DV26" s="14">
        <f>IFERROR(AVERAGE(Tabel1[[#This Row],[In - A1]],Tabel1[[#This Row],[In - A2]],Tabel1[[#This Row],[In - A3]],Tabel1[[#This Row],[In - A4]]),"")</f>
        <v>4.25</v>
      </c>
      <c r="DW26" s="14">
        <v>5</v>
      </c>
      <c r="DX26" s="14">
        <v>5</v>
      </c>
      <c r="DY26" s="14">
        <v>5</v>
      </c>
      <c r="DZ26" s="14">
        <f>IFERROR(AVERAGE(Tabel1[[#This Row],[Do - R1a]:[Do - R1c]]),"")</f>
        <v>5</v>
      </c>
      <c r="EA26" s="14">
        <v>1</v>
      </c>
      <c r="EB26" s="14">
        <v>4</v>
      </c>
      <c r="EC26" s="14" t="s">
        <v>189</v>
      </c>
      <c r="ED26" s="14">
        <v>3</v>
      </c>
      <c r="EE26" s="14">
        <f>IFERROR(AVERAGE(Tabel1[[#This Row],[Do - R1]:[Do - R5]]),"")</f>
        <v>3.25</v>
      </c>
      <c r="EF26" s="14">
        <v>2</v>
      </c>
      <c r="EG26" s="14">
        <v>3</v>
      </c>
      <c r="EH26" s="14">
        <v>5</v>
      </c>
      <c r="EI26" s="14">
        <f>IFERROR(AVERAGE(Tabel1[[#This Row],[Do - C1a]:[Do - C1c]]),"")</f>
        <v>3.3333333333333335</v>
      </c>
      <c r="EJ26" s="14" t="s">
        <v>189</v>
      </c>
      <c r="EK26" s="14">
        <v>5</v>
      </c>
      <c r="EL26" s="14">
        <v>3</v>
      </c>
      <c r="EM26" s="14">
        <f>IFERROR(AVERAGE(Tabel1[[#This Row],[Do - C1]:[Do - C4]]),"")</f>
        <v>3.7777777777777781</v>
      </c>
      <c r="EN26" s="14">
        <v>2</v>
      </c>
      <c r="EO26" s="14">
        <v>5</v>
      </c>
      <c r="EP26" s="14">
        <v>5</v>
      </c>
      <c r="EQ26" s="14">
        <f>IFERROR(AVERAGE(Tabel1[[#This Row],[Do - F1a]:[Do - F1c]]),"")</f>
        <v>4</v>
      </c>
      <c r="ER26" s="14">
        <v>5</v>
      </c>
      <c r="ES26" s="14">
        <f>IFERROR(AVERAGE(Tabel1[[#This Row],[Do - F2a]:[Do - F2a]]),"")</f>
        <v>5</v>
      </c>
      <c r="ET26" s="14">
        <v>4</v>
      </c>
      <c r="EU26" s="14">
        <v>5</v>
      </c>
      <c r="EV26" s="14">
        <f>IFERROR(AVERAGE(Tabel1[[#This Row],[Do - F3a]:[Do - F3b]]),"")</f>
        <v>4.5</v>
      </c>
      <c r="EW26" s="14">
        <v>3</v>
      </c>
      <c r="EX26" s="14">
        <f>IFERROR(AVERAGE(Tabel1[[#This Row],[Do - F1]],Tabel1[[#This Row],[Do - F2]],Tabel1[[#This Row],[Do - F3]],Tabel1[[#This Row],[Do - F4]]),"")</f>
        <v>4.125</v>
      </c>
      <c r="EY26" s="14">
        <v>5</v>
      </c>
      <c r="EZ26" s="14">
        <v>4</v>
      </c>
      <c r="FA26" s="14">
        <v>5</v>
      </c>
      <c r="FB26" s="14">
        <f>IFERROR(AVERAGE(Tabel1[[#This Row],[Do - V1a]:[Do - V1c]]),"")</f>
        <v>4.666666666666667</v>
      </c>
      <c r="FC26" s="14">
        <v>5</v>
      </c>
      <c r="FD26" s="14">
        <v>5</v>
      </c>
      <c r="FE26" s="14">
        <f>IFERROR(AVERAGE(Tabel1[[#This Row],[Do - V2a]:[Do - V2b]]),"")</f>
        <v>5</v>
      </c>
      <c r="FF26" s="14">
        <v>4</v>
      </c>
      <c r="FG26" s="14">
        <f>IFERROR(AVERAGE(Tabel1[[#This Row],[Do - V3a]:[Do - V3a]]),"")</f>
        <v>4</v>
      </c>
      <c r="FH26" s="14">
        <v>3</v>
      </c>
      <c r="FI26" s="14">
        <f>IFERROR(AVERAGE(Tabel1[[#This Row],[Do - V1]],Tabel1[[#This Row],[Do - V2]],Tabel1[[#This Row],[Do - V3]],Tabel1[[#This Row],[Do - V4]]),"")</f>
        <v>4.166666666666667</v>
      </c>
      <c r="FJ26" s="14">
        <v>4</v>
      </c>
      <c r="FK26" s="14">
        <v>5</v>
      </c>
      <c r="FL26" s="14">
        <v>5</v>
      </c>
      <c r="FM26" s="14">
        <f>IFERROR(AVERAGE(Tabel1[[#This Row],[Do - A1a]:[Do - A1c]]),"")</f>
        <v>4.666666666666667</v>
      </c>
      <c r="FN26" s="14" t="s">
        <v>189</v>
      </c>
      <c r="FO26" s="14">
        <v>5</v>
      </c>
      <c r="FP26" s="14">
        <f>IFERROR(AVERAGE(Tabel1[[#This Row],[Do - A2a]:[Do - A2b]]),"")</f>
        <v>5</v>
      </c>
      <c r="FQ26" s="14">
        <v>4</v>
      </c>
      <c r="FR26" s="14">
        <f>IFERROR(AVERAGE(Tabel1[[#This Row],[Do - A3a]:[Do - A3a]]),"")</f>
        <v>4</v>
      </c>
      <c r="FS26" s="14">
        <v>4</v>
      </c>
      <c r="FT26" s="14">
        <f>IFERROR(AVERAGE(Tabel1[[#This Row],[Do - A1]],Tabel1[[#This Row],[Do - A2]],Tabel1[[#This Row],[Do - A3]],Tabel1[[#This Row],[Do - A4]]),"")</f>
        <v>4.416666666666667</v>
      </c>
      <c r="FU2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3.4683333333333333</v>
      </c>
      <c r="FV26" s="16" t="s">
        <v>328</v>
      </c>
      <c r="FW26" t="b">
        <v>1</v>
      </c>
    </row>
    <row r="27" spans="1:179" x14ac:dyDescent="0.3">
      <c r="A27" s="13">
        <v>44894.598587962966</v>
      </c>
      <c r="B27" t="b">
        <v>0</v>
      </c>
      <c r="C27" s="14" t="s">
        <v>329</v>
      </c>
      <c r="D27" s="14" t="s">
        <v>252</v>
      </c>
      <c r="E27" s="14" t="s">
        <v>253</v>
      </c>
      <c r="F27" s="14" t="s">
        <v>184</v>
      </c>
      <c r="G27" s="14" t="s">
        <v>330</v>
      </c>
      <c r="H27" s="14" t="s">
        <v>222</v>
      </c>
      <c r="I27" s="14" t="s">
        <v>243</v>
      </c>
      <c r="J27" s="14" t="s">
        <v>244</v>
      </c>
      <c r="K27" s="17" t="s">
        <v>255</v>
      </c>
      <c r="L27" s="14" t="s">
        <v>218</v>
      </c>
      <c r="M27" s="14" t="s">
        <v>281</v>
      </c>
      <c r="N27" s="14" t="s">
        <v>331</v>
      </c>
      <c r="O27" s="14" t="s">
        <v>256</v>
      </c>
      <c r="P27" s="17" t="s">
        <v>304</v>
      </c>
      <c r="Q27" s="14" t="s">
        <v>203</v>
      </c>
      <c r="R27" s="14" t="s">
        <v>235</v>
      </c>
      <c r="S27" s="14" t="s">
        <v>235</v>
      </c>
      <c r="T27" s="14" t="s">
        <v>284</v>
      </c>
      <c r="U27" s="14" t="s">
        <v>285</v>
      </c>
      <c r="V27" s="14" t="s">
        <v>224</v>
      </c>
      <c r="W27" s="14" t="s">
        <v>306</v>
      </c>
      <c r="X27" s="14" t="s">
        <v>207</v>
      </c>
      <c r="Y27" s="14">
        <v>2</v>
      </c>
      <c r="Z27" s="14">
        <v>2</v>
      </c>
      <c r="AA27" s="14">
        <v>1</v>
      </c>
      <c r="AB27" s="15">
        <f>IFERROR(AVERAGE(Tabel1[[#This Row],[Up - R1a]:[Up - R1c]]),"")</f>
        <v>1.6666666666666667</v>
      </c>
      <c r="AC27" s="14">
        <v>4</v>
      </c>
      <c r="AD27" s="14">
        <v>4</v>
      </c>
      <c r="AE27" s="14">
        <v>4</v>
      </c>
      <c r="AF27" s="14" t="s">
        <v>189</v>
      </c>
      <c r="AG27" s="14">
        <f>IFERROR(AVERAGE(Tabel1[[#This Row],[Up - R1]:[Up - R5]]),"")</f>
        <v>3.416666666666667</v>
      </c>
      <c r="AH27" s="14">
        <v>4</v>
      </c>
      <c r="AI27" s="14">
        <v>4</v>
      </c>
      <c r="AJ27" s="14">
        <v>4</v>
      </c>
      <c r="AK27" s="14">
        <f>IFERROR(AVERAGE(Tabel1[[#This Row],[Up - C1a]:[Up - C1c]]),"")</f>
        <v>4</v>
      </c>
      <c r="AL27" s="14">
        <v>3</v>
      </c>
      <c r="AM27" s="14">
        <v>3</v>
      </c>
      <c r="AN27" s="14">
        <v>3</v>
      </c>
      <c r="AO27" s="14">
        <f>IFERROR(AVERAGE(Tabel1[[#This Row],[Up - C1]:[Up - C4]]),"")</f>
        <v>3.25</v>
      </c>
      <c r="AP27" s="14">
        <v>2</v>
      </c>
      <c r="AQ27" s="14">
        <f>IFERROR(AVERAGE(Tabel1[[#This Row],[Up - F1a]:[Up - F1a]]),"")</f>
        <v>2</v>
      </c>
      <c r="AR27" s="14">
        <v>1</v>
      </c>
      <c r="AS27" s="14">
        <v>4</v>
      </c>
      <c r="AT27" s="14">
        <f>IFERROR(AVERAGE(Tabel1[[#This Row],[Up - F2a]:[Up - F2b]]),"")</f>
        <v>2.5</v>
      </c>
      <c r="AU27" s="14">
        <v>5</v>
      </c>
      <c r="AV27" s="14">
        <v>1</v>
      </c>
      <c r="AW27" s="14">
        <f>IFERROR(AVERAGE(Tabel1[[#This Row],[Up - F3a]:[Up - F3b]]),"")</f>
        <v>3</v>
      </c>
      <c r="AX27" s="14">
        <v>2</v>
      </c>
      <c r="AY27" s="14">
        <f>IFERROR(AVERAGE(Tabel1[[#This Row],[Up - F1]],Tabel1[[#This Row],[Up - F2]],Tabel1[[#This Row],[Up - F3]],Tabel1[[#This Row],[Up - F4]]),"")</f>
        <v>2.375</v>
      </c>
      <c r="AZ27" s="14">
        <v>2</v>
      </c>
      <c r="BA27" s="14">
        <v>5</v>
      </c>
      <c r="BB27" s="14">
        <f>IFERROR(AVERAGE(Tabel1[[#This Row],[Up - V1a]:[Up - V1b]]),"")</f>
        <v>3.5</v>
      </c>
      <c r="BC27" s="14">
        <v>5</v>
      </c>
      <c r="BD27" s="14">
        <v>5</v>
      </c>
      <c r="BE27" s="14">
        <v>4</v>
      </c>
      <c r="BF27" s="14">
        <f>IFERROR(AVERAGE(Tabel1[[#This Row],[Up - V2a]:[Up - V2c]]),"")</f>
        <v>4.666666666666667</v>
      </c>
      <c r="BG27" s="14">
        <v>5</v>
      </c>
      <c r="BH27" s="14">
        <v>2</v>
      </c>
      <c r="BI27" s="14">
        <f>IFERROR(AVERAGE(Tabel1[[#This Row],[Up - V3a]:[Up - V3b]]),"")</f>
        <v>3.5</v>
      </c>
      <c r="BJ27" s="14">
        <v>1</v>
      </c>
      <c r="BK27" s="14">
        <f>IFERROR(AVERAGE(Tabel1[[#This Row],[Up - V1]],Tabel1[[#This Row],[Up - V2]],Tabel1[[#This Row],[Up - V3]],Tabel1[[#This Row],[Up - V4]]),"")</f>
        <v>3.166666666666667</v>
      </c>
      <c r="BL27" s="14">
        <v>2</v>
      </c>
      <c r="BM27" s="14">
        <v>4</v>
      </c>
      <c r="BN27" s="14">
        <v>5</v>
      </c>
      <c r="BO27" s="14">
        <v>3</v>
      </c>
      <c r="BP27" s="14">
        <f>IFERROR(AVERAGE(Tabel1[[#This Row],[Up - A1a]:[Up - A1d]]),"")</f>
        <v>3.5</v>
      </c>
      <c r="BQ27" s="14">
        <v>2</v>
      </c>
      <c r="BR27" s="14">
        <v>4</v>
      </c>
      <c r="BS27" s="14">
        <f>IFERROR(AVERAGE(Tabel1[[#This Row],[Up - A2a]:[Up - A2b]]),"")</f>
        <v>3</v>
      </c>
      <c r="BT27" s="14">
        <v>5</v>
      </c>
      <c r="BU27" s="14">
        <f>IFERROR(AVERAGE(Tabel1[[#This Row],[Up - A3a]:[Up - A3a]]),"")</f>
        <v>5</v>
      </c>
      <c r="BV27" s="14">
        <v>4</v>
      </c>
      <c r="BW27" s="14">
        <f>IFERROR(AVERAGE(Tabel1[[#This Row],[Up - A1]],Tabel1[[#This Row],[Up - A2]],Tabel1[[#This Row],[Up - A3]]),"")</f>
        <v>3.8333333333333335</v>
      </c>
      <c r="BX27" s="14">
        <v>2</v>
      </c>
      <c r="BY27" s="14" t="s">
        <v>189</v>
      </c>
      <c r="BZ27" s="14">
        <f>IFERROR(AVERAGE(Tabel1[[#This Row],[In - R1a]:[In - R1b]]),"")</f>
        <v>2</v>
      </c>
      <c r="CA27" s="14">
        <v>5</v>
      </c>
      <c r="CB27" s="14" t="s">
        <v>189</v>
      </c>
      <c r="CC27" s="14">
        <v>4</v>
      </c>
      <c r="CD27" s="14">
        <v>5</v>
      </c>
      <c r="CE27" s="14">
        <f>IFERROR(AVERAGE(Tabel1[[#This Row],[In - R1]:[In - R5]]),"")</f>
        <v>4</v>
      </c>
      <c r="CF27" s="14">
        <v>4</v>
      </c>
      <c r="CG27" s="14">
        <v>4</v>
      </c>
      <c r="CH27" s="14">
        <v>4</v>
      </c>
      <c r="CI27" s="14">
        <f>IFERROR(AVERAGE(Tabel1[[#This Row],[In - C1a]:[In - C1c]]),"")</f>
        <v>4</v>
      </c>
      <c r="CJ27" s="14">
        <v>3</v>
      </c>
      <c r="CK27" s="14">
        <v>4</v>
      </c>
      <c r="CL27" s="14">
        <v>3</v>
      </c>
      <c r="CM27" s="14">
        <f>IFERROR(AVERAGE(Tabel1[[#This Row],[In - C1]:[In - C4]]),"")</f>
        <v>3.5</v>
      </c>
      <c r="CN27" s="14">
        <v>4</v>
      </c>
      <c r="CO27" s="14">
        <v>4</v>
      </c>
      <c r="CP27" s="14">
        <v>1</v>
      </c>
      <c r="CQ27" s="14">
        <f>IFERROR(AVERAGE(Tabel1[[#This Row],[In - F1a]:[In - F1c]]),"")</f>
        <v>3</v>
      </c>
      <c r="CR27" s="14">
        <v>2</v>
      </c>
      <c r="CS27" s="14">
        <v>3</v>
      </c>
      <c r="CT27" s="14">
        <f>IFERROR(AVERAGE(Tabel1[[#This Row],[In - F2a]:[In - F2b]]),"")</f>
        <v>2.5</v>
      </c>
      <c r="CU27" s="14">
        <v>1</v>
      </c>
      <c r="CV27" s="14">
        <f>IFERROR(AVERAGE(Tabel1[[#This Row],[In - F3a]:[In - F3a]]),"")</f>
        <v>1</v>
      </c>
      <c r="CW27" s="14">
        <v>4</v>
      </c>
      <c r="CX27" s="14">
        <f>IFERROR(AVERAGE(Tabel1[[#This Row],[In - F1]],Tabel1[[#This Row],[In - F2]],Tabel1[[#This Row],[In - F3]],Tabel1[[#This Row],[In - F4]]),"")</f>
        <v>2.625</v>
      </c>
      <c r="CY27" s="14">
        <v>5</v>
      </c>
      <c r="CZ27" s="14">
        <v>5</v>
      </c>
      <c r="DA27" s="14">
        <v>5</v>
      </c>
      <c r="DB27" s="14">
        <f>IFERROR(AVERAGE(Tabel1[[#This Row],[In - V1a]:[In - V1c]]),"")</f>
        <v>5</v>
      </c>
      <c r="DC27" s="14">
        <v>5</v>
      </c>
      <c r="DD27" s="14">
        <v>2</v>
      </c>
      <c r="DE27" s="14">
        <v>4</v>
      </c>
      <c r="DF27" s="14">
        <f>IFERROR(AVERAGE(Tabel1[[#This Row],[In - V2a]:[In - V2c]]),"")</f>
        <v>3.6666666666666665</v>
      </c>
      <c r="DG27" s="14">
        <v>2</v>
      </c>
      <c r="DH27" s="14">
        <v>2</v>
      </c>
      <c r="DI27" s="14">
        <f>IFERROR(AVERAGE(Tabel1[[#This Row],[In - V3a]:[In - V3b]]),"")</f>
        <v>2</v>
      </c>
      <c r="DJ27" s="14">
        <v>4</v>
      </c>
      <c r="DK27" s="14">
        <f>IFERROR(AVERAGE(Tabel1[[#This Row],[In - V1]],Tabel1[[#This Row],[In - V2]],Tabel1[[#This Row],[In - V3]],Tabel1[[#This Row],[In - V4]]),"")</f>
        <v>3.6666666666666665</v>
      </c>
      <c r="DL27" s="14">
        <v>4</v>
      </c>
      <c r="DM27" s="14">
        <v>4</v>
      </c>
      <c r="DN27" s="14">
        <f>IFERROR(AVERAGE(Tabel1[[#This Row],[In - A1a]:[In - A1b]]),"")</f>
        <v>4</v>
      </c>
      <c r="DO27" s="14" t="s">
        <v>189</v>
      </c>
      <c r="DP27" s="14">
        <v>4</v>
      </c>
      <c r="DQ27" s="14">
        <f>IFERROR(AVERAGE(Tabel1[[#This Row],[In - A2a]:[In - A2b]]),"")</f>
        <v>4</v>
      </c>
      <c r="DR27" s="14">
        <v>4</v>
      </c>
      <c r="DS27" s="14">
        <v>5</v>
      </c>
      <c r="DT27" s="14">
        <f>IFERROR(AVERAGE(Tabel1[[#This Row],[In - A3a]:[In - A3a]]),"")</f>
        <v>4</v>
      </c>
      <c r="DU27" s="14">
        <v>5</v>
      </c>
      <c r="DV27" s="14">
        <f>IFERROR(AVERAGE(Tabel1[[#This Row],[In - A1]],Tabel1[[#This Row],[In - A2]],Tabel1[[#This Row],[In - A3]],Tabel1[[#This Row],[In - A4]]),"")</f>
        <v>4.25</v>
      </c>
      <c r="DW27" s="14">
        <v>5</v>
      </c>
      <c r="DX27" s="14">
        <v>5</v>
      </c>
      <c r="DY27" s="14">
        <v>5</v>
      </c>
      <c r="DZ27" s="14">
        <f>IFERROR(AVERAGE(Tabel1[[#This Row],[Do - R1a]:[Do - R1c]]),"")</f>
        <v>5</v>
      </c>
      <c r="EA27" s="14" t="s">
        <v>189</v>
      </c>
      <c r="EB27" s="14">
        <v>4</v>
      </c>
      <c r="EC27" s="14">
        <v>4</v>
      </c>
      <c r="ED27" s="14">
        <v>3</v>
      </c>
      <c r="EE27" s="14">
        <f>IFERROR(AVERAGE(Tabel1[[#This Row],[Do - R1]:[Do - R5]]),"")</f>
        <v>4</v>
      </c>
      <c r="EF27" s="14">
        <v>5</v>
      </c>
      <c r="EG27" s="14">
        <v>3</v>
      </c>
      <c r="EH27" s="14">
        <v>4</v>
      </c>
      <c r="EI27" s="14">
        <f>IFERROR(AVERAGE(Tabel1[[#This Row],[Do - C1a]:[Do - C1c]]),"")</f>
        <v>4</v>
      </c>
      <c r="EJ27" s="14">
        <v>4</v>
      </c>
      <c r="EK27" s="14">
        <v>3</v>
      </c>
      <c r="EL27" s="14" t="s">
        <v>189</v>
      </c>
      <c r="EM27" s="14">
        <f>IFERROR(AVERAGE(Tabel1[[#This Row],[Do - C1]:[Do - C4]]),"")</f>
        <v>3.6666666666666665</v>
      </c>
      <c r="EN27" s="14">
        <v>2</v>
      </c>
      <c r="EO27" s="14">
        <v>4</v>
      </c>
      <c r="EP27" s="14">
        <v>5</v>
      </c>
      <c r="EQ27" s="14">
        <f>IFERROR(AVERAGE(Tabel1[[#This Row],[Do - F1a]:[Do - F1c]]),"")</f>
        <v>3.6666666666666665</v>
      </c>
      <c r="ER27" s="14">
        <v>5</v>
      </c>
      <c r="ES27" s="14">
        <f>IFERROR(AVERAGE(Tabel1[[#This Row],[Do - F2a]:[Do - F2a]]),"")</f>
        <v>5</v>
      </c>
      <c r="ET27" s="14">
        <v>3</v>
      </c>
      <c r="EU27" s="14">
        <v>5</v>
      </c>
      <c r="EV27" s="14">
        <f>IFERROR(AVERAGE(Tabel1[[#This Row],[Do - F3a]:[Do - F3b]]),"")</f>
        <v>4</v>
      </c>
      <c r="EW27" s="14">
        <v>5</v>
      </c>
      <c r="EX27" s="14">
        <f>IFERROR(AVERAGE(Tabel1[[#This Row],[Do - F1]],Tabel1[[#This Row],[Do - F2]],Tabel1[[#This Row],[Do - F3]],Tabel1[[#This Row],[Do - F4]]),"")</f>
        <v>4.4166666666666661</v>
      </c>
      <c r="EY27" s="14">
        <v>4</v>
      </c>
      <c r="EZ27" s="14">
        <v>3</v>
      </c>
      <c r="FA27" s="14">
        <v>5</v>
      </c>
      <c r="FB27" s="14">
        <f>IFERROR(AVERAGE(Tabel1[[#This Row],[Do - V1a]:[Do - V1c]]),"")</f>
        <v>4</v>
      </c>
      <c r="FC27" s="14">
        <v>5</v>
      </c>
      <c r="FD27" s="14">
        <v>5</v>
      </c>
      <c r="FE27" s="14">
        <f>IFERROR(AVERAGE(Tabel1[[#This Row],[Do - V2a]:[Do - V2b]]),"")</f>
        <v>5</v>
      </c>
      <c r="FF27" s="14">
        <v>4</v>
      </c>
      <c r="FG27" s="14">
        <f>IFERROR(AVERAGE(Tabel1[[#This Row],[Do - V3a]:[Do - V3a]]),"")</f>
        <v>4</v>
      </c>
      <c r="FH27" s="14" t="s">
        <v>189</v>
      </c>
      <c r="FI27" s="14">
        <f>IFERROR(AVERAGE(Tabel1[[#This Row],[Do - V1]],Tabel1[[#This Row],[Do - V2]],Tabel1[[#This Row],[Do - V3]],Tabel1[[#This Row],[Do - V4]]),"")</f>
        <v>4.333333333333333</v>
      </c>
      <c r="FJ27" s="14" t="s">
        <v>189</v>
      </c>
      <c r="FK27" s="14">
        <v>5</v>
      </c>
      <c r="FL27" s="14">
        <v>5</v>
      </c>
      <c r="FM27" s="14">
        <f>IFERROR(AVERAGE(Tabel1[[#This Row],[Do - A1a]:[Do - A1c]]),"")</f>
        <v>5</v>
      </c>
      <c r="FN27" s="14" t="s">
        <v>189</v>
      </c>
      <c r="FO27" s="14">
        <v>4</v>
      </c>
      <c r="FP27" s="14">
        <f>IFERROR(AVERAGE(Tabel1[[#This Row],[Do - A2a]:[Do - A2b]]),"")</f>
        <v>4</v>
      </c>
      <c r="FQ27" s="14">
        <v>4</v>
      </c>
      <c r="FR27" s="14">
        <f>IFERROR(AVERAGE(Tabel1[[#This Row],[Do - A3a]:[Do - A3a]]),"")</f>
        <v>4</v>
      </c>
      <c r="FS27" s="14">
        <v>5</v>
      </c>
      <c r="FT27" s="14">
        <f>IFERROR(AVERAGE(Tabel1[[#This Row],[Do - A1]],Tabel1[[#This Row],[Do - A2]],Tabel1[[#This Row],[Do - A3]],Tabel1[[#This Row],[Do - A4]]),"")</f>
        <v>4.5</v>
      </c>
      <c r="FU2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3.6666666666666665</v>
      </c>
      <c r="FV27" s="16" t="s">
        <v>332</v>
      </c>
      <c r="FW27" t="b">
        <v>1</v>
      </c>
    </row>
    <row r="28" spans="1:179" x14ac:dyDescent="0.3">
      <c r="A28" s="13">
        <v>44894.82671296296</v>
      </c>
      <c r="B28" t="b">
        <v>0</v>
      </c>
      <c r="C28" s="14" t="s">
        <v>333</v>
      </c>
      <c r="D28" s="14" t="s">
        <v>334</v>
      </c>
      <c r="E28" s="14" t="s">
        <v>335</v>
      </c>
      <c r="F28" s="14" t="s">
        <v>184</v>
      </c>
      <c r="G28" s="14" t="s">
        <v>336</v>
      </c>
      <c r="H28" s="14" t="s">
        <v>222</v>
      </c>
      <c r="I28" s="14" t="s">
        <v>243</v>
      </c>
      <c r="J28" s="14" t="s">
        <v>248</v>
      </c>
      <c r="K28" s="17" t="s">
        <v>304</v>
      </c>
      <c r="L28" s="14" t="s">
        <v>249</v>
      </c>
      <c r="M28" s="14" t="s">
        <v>281</v>
      </c>
      <c r="N28" s="14" t="s">
        <v>316</v>
      </c>
      <c r="O28" s="14" t="s">
        <v>200</v>
      </c>
      <c r="P28" s="17" t="s">
        <v>255</v>
      </c>
      <c r="Q28" s="17" t="s">
        <v>255</v>
      </c>
      <c r="R28" s="14" t="s">
        <v>202</v>
      </c>
      <c r="S28" s="14" t="s">
        <v>235</v>
      </c>
      <c r="T28" s="14" t="s">
        <v>284</v>
      </c>
      <c r="U28" s="14" t="s">
        <v>205</v>
      </c>
      <c r="V28" s="14" t="s">
        <v>224</v>
      </c>
      <c r="W28" s="14" t="s">
        <v>207</v>
      </c>
      <c r="X28" s="14" t="s">
        <v>306</v>
      </c>
      <c r="Y28" s="14">
        <v>1</v>
      </c>
      <c r="Z28" s="14">
        <v>2</v>
      </c>
      <c r="AA28" s="14">
        <v>1</v>
      </c>
      <c r="AB28" s="15">
        <f>IFERROR(AVERAGE(Tabel1[[#This Row],[Up - R1a]:[Up - R1c]]),"")</f>
        <v>1.3333333333333333</v>
      </c>
      <c r="AC28" s="14">
        <v>1</v>
      </c>
      <c r="AD28" s="14">
        <v>3</v>
      </c>
      <c r="AE28" s="14">
        <v>3</v>
      </c>
      <c r="AF28" s="14" t="s">
        <v>189</v>
      </c>
      <c r="AG28" s="14">
        <f>IFERROR(AVERAGE(Tabel1[[#This Row],[Up - R1]:[Up - R5]]),"")</f>
        <v>2.083333333333333</v>
      </c>
      <c r="AH28" s="14">
        <v>4</v>
      </c>
      <c r="AI28" s="14">
        <v>4</v>
      </c>
      <c r="AJ28" s="14">
        <v>3</v>
      </c>
      <c r="AK28" s="14">
        <f>IFERROR(AVERAGE(Tabel1[[#This Row],[Up - C1a]:[Up - C1c]]),"")</f>
        <v>3.6666666666666665</v>
      </c>
      <c r="AL28" s="14">
        <v>5</v>
      </c>
      <c r="AM28" s="14">
        <v>4</v>
      </c>
      <c r="AN28" s="14">
        <v>3</v>
      </c>
      <c r="AO28" s="14">
        <f>IFERROR(AVERAGE(Tabel1[[#This Row],[Up - C1]:[Up - C4]]),"")</f>
        <v>3.9166666666666665</v>
      </c>
      <c r="AP28" s="14">
        <v>2</v>
      </c>
      <c r="AQ28" s="14">
        <f>IFERROR(AVERAGE(Tabel1[[#This Row],[Up - F1a]:[Up - F1a]]),"")</f>
        <v>2</v>
      </c>
      <c r="AR28" s="14">
        <v>2</v>
      </c>
      <c r="AS28" s="14">
        <v>3</v>
      </c>
      <c r="AT28" s="14">
        <f>IFERROR(AVERAGE(Tabel1[[#This Row],[Up - F2a]:[Up - F2b]]),"")</f>
        <v>2.5</v>
      </c>
      <c r="AU28" s="14">
        <v>3</v>
      </c>
      <c r="AV28" s="14">
        <v>1</v>
      </c>
      <c r="AW28" s="14">
        <f>IFERROR(AVERAGE(Tabel1[[#This Row],[Up - F3a]:[Up - F3b]]),"")</f>
        <v>2</v>
      </c>
      <c r="AX28" s="14">
        <v>2</v>
      </c>
      <c r="AY28" s="14">
        <f>IFERROR(AVERAGE(Tabel1[[#This Row],[Up - F1]],Tabel1[[#This Row],[Up - F2]],Tabel1[[#This Row],[Up - F3]],Tabel1[[#This Row],[Up - F4]]),"")</f>
        <v>2.125</v>
      </c>
      <c r="AZ28" s="14">
        <v>5</v>
      </c>
      <c r="BA28" s="14">
        <v>2</v>
      </c>
      <c r="BB28" s="14">
        <f>IFERROR(AVERAGE(Tabel1[[#This Row],[Up - V1a]:[Up - V1b]]),"")</f>
        <v>3.5</v>
      </c>
      <c r="BC28" s="14">
        <v>5</v>
      </c>
      <c r="BD28" s="14">
        <v>4</v>
      </c>
      <c r="BE28" s="14">
        <v>5</v>
      </c>
      <c r="BF28" s="14">
        <f>IFERROR(AVERAGE(Tabel1[[#This Row],[Up - V2a]:[Up - V2c]]),"")</f>
        <v>4.666666666666667</v>
      </c>
      <c r="BG28" s="14">
        <v>5</v>
      </c>
      <c r="BH28" s="14">
        <v>4</v>
      </c>
      <c r="BI28" s="14">
        <f>IFERROR(AVERAGE(Tabel1[[#This Row],[Up - V3a]:[Up - V3b]]),"")</f>
        <v>4.5</v>
      </c>
      <c r="BJ28" s="14">
        <v>4</v>
      </c>
      <c r="BK28" s="14">
        <f>IFERROR(AVERAGE(Tabel1[[#This Row],[Up - V1]],Tabel1[[#This Row],[Up - V2]],Tabel1[[#This Row],[Up - V3]],Tabel1[[#This Row],[Up - V4]]),"")</f>
        <v>4.166666666666667</v>
      </c>
      <c r="BL28" s="14">
        <v>2</v>
      </c>
      <c r="BM28" s="14">
        <v>4</v>
      </c>
      <c r="BN28" s="14">
        <v>2</v>
      </c>
      <c r="BO28" s="14">
        <v>1</v>
      </c>
      <c r="BP28" s="14">
        <f>IFERROR(AVERAGE(Tabel1[[#This Row],[Up - A1a]:[Up - A1d]]),"")</f>
        <v>2.25</v>
      </c>
      <c r="BQ28" s="14">
        <v>1</v>
      </c>
      <c r="BR28" s="14">
        <v>3</v>
      </c>
      <c r="BS28" s="14">
        <f>IFERROR(AVERAGE(Tabel1[[#This Row],[Up - A2a]:[Up - A2b]]),"")</f>
        <v>2</v>
      </c>
      <c r="BT28" s="14">
        <v>5</v>
      </c>
      <c r="BU28" s="14">
        <f>IFERROR(AVERAGE(Tabel1[[#This Row],[Up - A3a]:[Up - A3a]]),"")</f>
        <v>5</v>
      </c>
      <c r="BV28" s="14">
        <v>3</v>
      </c>
      <c r="BW28" s="14">
        <f>IFERROR(AVERAGE(Tabel1[[#This Row],[Up - A1]],Tabel1[[#This Row],[Up - A2]],Tabel1[[#This Row],[Up - A3]]),"")</f>
        <v>3.0833333333333335</v>
      </c>
      <c r="BX28" s="14">
        <v>3</v>
      </c>
      <c r="BY28" s="14">
        <v>3</v>
      </c>
      <c r="BZ28" s="14">
        <f>IFERROR(AVERAGE(Tabel1[[#This Row],[In - R1a]:[In - R1b]]),"")</f>
        <v>3</v>
      </c>
      <c r="CA28" s="14">
        <v>5</v>
      </c>
      <c r="CB28" s="14">
        <v>4</v>
      </c>
      <c r="CC28" s="14">
        <v>4</v>
      </c>
      <c r="CD28" s="14">
        <v>5</v>
      </c>
      <c r="CE28" s="14">
        <f>IFERROR(AVERAGE(Tabel1[[#This Row],[In - R1]:[In - R5]]),"")</f>
        <v>4.2</v>
      </c>
      <c r="CF28" s="14">
        <v>4</v>
      </c>
      <c r="CG28" s="14">
        <v>4</v>
      </c>
      <c r="CH28" s="14">
        <v>5</v>
      </c>
      <c r="CI28" s="14">
        <f>IFERROR(AVERAGE(Tabel1[[#This Row],[In - C1a]:[In - C1c]]),"")</f>
        <v>4.333333333333333</v>
      </c>
      <c r="CJ28" s="14">
        <v>5</v>
      </c>
      <c r="CK28" s="14">
        <v>5</v>
      </c>
      <c r="CL28" s="14">
        <v>5</v>
      </c>
      <c r="CM28" s="14">
        <f>IFERROR(AVERAGE(Tabel1[[#This Row],[In - C1]:[In - C4]]),"")</f>
        <v>4.833333333333333</v>
      </c>
      <c r="CN28" s="14">
        <v>4</v>
      </c>
      <c r="CO28" s="14">
        <v>5</v>
      </c>
      <c r="CP28" s="14">
        <v>2</v>
      </c>
      <c r="CQ28" s="14">
        <f>IFERROR(AVERAGE(Tabel1[[#This Row],[In - F1a]:[In - F1c]]),"")</f>
        <v>3.6666666666666665</v>
      </c>
      <c r="CR28" s="14">
        <v>3</v>
      </c>
      <c r="CS28" s="14">
        <v>3</v>
      </c>
      <c r="CT28" s="14">
        <f>IFERROR(AVERAGE(Tabel1[[#This Row],[In - F2a]:[In - F2b]]),"")</f>
        <v>3</v>
      </c>
      <c r="CU28" s="14">
        <v>2</v>
      </c>
      <c r="CV28" s="14">
        <f>IFERROR(AVERAGE(Tabel1[[#This Row],[In - F3a]:[In - F3a]]),"")</f>
        <v>2</v>
      </c>
      <c r="CW28" s="14">
        <v>4</v>
      </c>
      <c r="CX28" s="14">
        <f>IFERROR(AVERAGE(Tabel1[[#This Row],[In - F1]],Tabel1[[#This Row],[In - F2]],Tabel1[[#This Row],[In - F3]],Tabel1[[#This Row],[In - F4]]),"")</f>
        <v>3.1666666666666665</v>
      </c>
      <c r="CY28" s="14">
        <v>5</v>
      </c>
      <c r="CZ28" s="14">
        <v>5</v>
      </c>
      <c r="DA28" s="14">
        <v>4</v>
      </c>
      <c r="DB28" s="14">
        <f>IFERROR(AVERAGE(Tabel1[[#This Row],[In - V1a]:[In - V1c]]),"")</f>
        <v>4.666666666666667</v>
      </c>
      <c r="DC28" s="14">
        <v>5</v>
      </c>
      <c r="DD28" s="14">
        <v>5</v>
      </c>
      <c r="DE28" s="14">
        <v>3</v>
      </c>
      <c r="DF28" s="14">
        <f>IFERROR(AVERAGE(Tabel1[[#This Row],[In - V2a]:[In - V2c]]),"")</f>
        <v>4.333333333333333</v>
      </c>
      <c r="DG28" s="14">
        <v>2</v>
      </c>
      <c r="DH28" s="14">
        <v>2</v>
      </c>
      <c r="DI28" s="14">
        <f>IFERROR(AVERAGE(Tabel1[[#This Row],[In - V3a]:[In - V3b]]),"")</f>
        <v>2</v>
      </c>
      <c r="DJ28" s="14">
        <v>3</v>
      </c>
      <c r="DK28" s="14">
        <f>IFERROR(AVERAGE(Tabel1[[#This Row],[In - V1]],Tabel1[[#This Row],[In - V2]],Tabel1[[#This Row],[In - V3]],Tabel1[[#This Row],[In - V4]]),"")</f>
        <v>3.5</v>
      </c>
      <c r="DL28" s="14">
        <v>4</v>
      </c>
      <c r="DM28" s="14">
        <v>3</v>
      </c>
      <c r="DN28" s="14">
        <f>IFERROR(AVERAGE(Tabel1[[#This Row],[In - A1a]:[In - A1b]]),"")</f>
        <v>3.5</v>
      </c>
      <c r="DO28" s="14" t="s">
        <v>189</v>
      </c>
      <c r="DP28" s="14">
        <v>3</v>
      </c>
      <c r="DQ28" s="14">
        <f>IFERROR(AVERAGE(Tabel1[[#This Row],[In - A2a]:[In - A2b]]),"")</f>
        <v>3</v>
      </c>
      <c r="DR28" s="14">
        <v>5</v>
      </c>
      <c r="DS28" s="14">
        <v>2</v>
      </c>
      <c r="DT28" s="14">
        <f>IFERROR(AVERAGE(Tabel1[[#This Row],[In - A3a]:[In - A3a]]),"")</f>
        <v>5</v>
      </c>
      <c r="DU28" s="14">
        <v>3</v>
      </c>
      <c r="DV28" s="14">
        <f>IFERROR(AVERAGE(Tabel1[[#This Row],[In - A1]],Tabel1[[#This Row],[In - A2]],Tabel1[[#This Row],[In - A3]],Tabel1[[#This Row],[In - A4]]),"")</f>
        <v>3.625</v>
      </c>
      <c r="DW28" s="14">
        <v>2</v>
      </c>
      <c r="DX28" s="14">
        <v>3</v>
      </c>
      <c r="DY28" s="14">
        <v>2</v>
      </c>
      <c r="DZ28" s="14">
        <f>IFERROR(AVERAGE(Tabel1[[#This Row],[Do - R1a]:[Do - R1c]]),"")</f>
        <v>2.3333333333333335</v>
      </c>
      <c r="EA28" s="14">
        <v>4</v>
      </c>
      <c r="EB28" s="14">
        <v>4</v>
      </c>
      <c r="EC28" s="14">
        <v>3</v>
      </c>
      <c r="ED28" s="14">
        <v>2</v>
      </c>
      <c r="EE28" s="14">
        <f>IFERROR(AVERAGE(Tabel1[[#This Row],[Do - R1]:[Do - R5]]),"")</f>
        <v>3.0666666666666669</v>
      </c>
      <c r="EF28" s="14">
        <v>5</v>
      </c>
      <c r="EG28" s="14">
        <v>4</v>
      </c>
      <c r="EH28" s="14">
        <v>5</v>
      </c>
      <c r="EI28" s="14">
        <f>IFERROR(AVERAGE(Tabel1[[#This Row],[Do - C1a]:[Do - C1c]]),"")</f>
        <v>4.666666666666667</v>
      </c>
      <c r="EJ28" s="14">
        <v>4</v>
      </c>
      <c r="EK28" s="14">
        <v>5</v>
      </c>
      <c r="EL28" s="14">
        <v>2</v>
      </c>
      <c r="EM28" s="14">
        <f>IFERROR(AVERAGE(Tabel1[[#This Row],[Do - C1]:[Do - C4]]),"")</f>
        <v>3.916666666666667</v>
      </c>
      <c r="EN28" s="14">
        <v>3</v>
      </c>
      <c r="EO28" s="14">
        <v>2</v>
      </c>
      <c r="EP28" s="14">
        <v>4</v>
      </c>
      <c r="EQ28" s="14">
        <f>IFERROR(AVERAGE(Tabel1[[#This Row],[Do - F1a]:[Do - F1c]]),"")</f>
        <v>3</v>
      </c>
      <c r="ER28" s="14">
        <v>3</v>
      </c>
      <c r="ES28" s="14">
        <f>IFERROR(AVERAGE(Tabel1[[#This Row],[Do - F2a]:[Do - F2a]]),"")</f>
        <v>3</v>
      </c>
      <c r="ET28" s="14">
        <v>4</v>
      </c>
      <c r="EU28" s="14">
        <v>5</v>
      </c>
      <c r="EV28" s="14">
        <f>IFERROR(AVERAGE(Tabel1[[#This Row],[Do - F3a]:[Do - F3b]]),"")</f>
        <v>4.5</v>
      </c>
      <c r="EW28" s="14">
        <v>3</v>
      </c>
      <c r="EX28" s="14">
        <f>IFERROR(AVERAGE(Tabel1[[#This Row],[Do - F1]],Tabel1[[#This Row],[Do - F2]],Tabel1[[#This Row],[Do - F3]],Tabel1[[#This Row],[Do - F4]]),"")</f>
        <v>3.375</v>
      </c>
      <c r="EY28" s="14">
        <v>3</v>
      </c>
      <c r="EZ28" s="14">
        <v>4</v>
      </c>
      <c r="FA28" s="14">
        <v>4</v>
      </c>
      <c r="FB28" s="14">
        <f>IFERROR(AVERAGE(Tabel1[[#This Row],[Do - V1a]:[Do - V1c]]),"")</f>
        <v>3.6666666666666665</v>
      </c>
      <c r="FC28" s="14">
        <v>5</v>
      </c>
      <c r="FD28" s="14">
        <v>5</v>
      </c>
      <c r="FE28" s="14">
        <f>IFERROR(AVERAGE(Tabel1[[#This Row],[Do - V2a]:[Do - V2b]]),"")</f>
        <v>5</v>
      </c>
      <c r="FF28" s="14">
        <v>5</v>
      </c>
      <c r="FG28" s="14">
        <f>IFERROR(AVERAGE(Tabel1[[#This Row],[Do - V3a]:[Do - V3a]]),"")</f>
        <v>5</v>
      </c>
      <c r="FH28" s="14">
        <v>3</v>
      </c>
      <c r="FI28" s="14">
        <f>IFERROR(AVERAGE(Tabel1[[#This Row],[Do - V1]],Tabel1[[#This Row],[Do - V2]],Tabel1[[#This Row],[Do - V3]],Tabel1[[#This Row],[Do - V4]]),"")</f>
        <v>4.1666666666666661</v>
      </c>
      <c r="FJ28" s="14">
        <v>5</v>
      </c>
      <c r="FK28" s="14">
        <v>4</v>
      </c>
      <c r="FL28" s="14">
        <v>5</v>
      </c>
      <c r="FM28" s="14">
        <f>IFERROR(AVERAGE(Tabel1[[#This Row],[Do - A1a]:[Do - A1c]]),"")</f>
        <v>4.666666666666667</v>
      </c>
      <c r="FN28" s="14" t="s">
        <v>189</v>
      </c>
      <c r="FO28" s="14">
        <v>4</v>
      </c>
      <c r="FP28" s="14">
        <f>IFERROR(AVERAGE(Tabel1[[#This Row],[Do - A2a]:[Do - A2b]]),"")</f>
        <v>4</v>
      </c>
      <c r="FQ28" s="14">
        <v>3</v>
      </c>
      <c r="FR28" s="14">
        <f>IFERROR(AVERAGE(Tabel1[[#This Row],[Do - A3a]:[Do - A3a]]),"")</f>
        <v>3</v>
      </c>
      <c r="FS28" s="14">
        <v>4</v>
      </c>
      <c r="FT28" s="14">
        <f>IFERROR(AVERAGE(Tabel1[[#This Row],[Do - A1]],Tabel1[[#This Row],[Do - A2]],Tabel1[[#This Row],[Do - A3]],Tabel1[[#This Row],[Do - A4]]),"")</f>
        <v>3.916666666666667</v>
      </c>
      <c r="FU2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3.5427777777777778</v>
      </c>
      <c r="FV28" s="16" t="s">
        <v>337</v>
      </c>
      <c r="FW28" t="b">
        <v>1</v>
      </c>
    </row>
    <row r="29" spans="1:179" x14ac:dyDescent="0.3">
      <c r="A29" s="13">
        <v>44895.847615740742</v>
      </c>
      <c r="B29" t="b">
        <v>0</v>
      </c>
      <c r="C29" s="14" t="s">
        <v>338</v>
      </c>
      <c r="D29" s="14" t="s">
        <v>339</v>
      </c>
      <c r="E29" s="14" t="s">
        <v>340</v>
      </c>
      <c r="F29" s="14" t="s">
        <v>184</v>
      </c>
      <c r="G29" s="14" t="s">
        <v>341</v>
      </c>
      <c r="H29" s="14" t="s">
        <v>222</v>
      </c>
      <c r="I29" s="14" t="s">
        <v>243</v>
      </c>
      <c r="J29" s="14" t="s">
        <v>244</v>
      </c>
      <c r="K29" s="17" t="s">
        <v>304</v>
      </c>
      <c r="L29" s="14" t="s">
        <v>249</v>
      </c>
      <c r="M29" s="14" t="s">
        <v>198</v>
      </c>
      <c r="N29" s="14" t="s">
        <v>331</v>
      </c>
      <c r="O29" s="14" t="s">
        <v>256</v>
      </c>
      <c r="P29" s="14" t="s">
        <v>235</v>
      </c>
      <c r="Q29" s="17" t="s">
        <v>304</v>
      </c>
      <c r="R29" s="14" t="s">
        <v>202</v>
      </c>
      <c r="S29" s="14" t="s">
        <v>202</v>
      </c>
      <c r="T29" s="14" t="s">
        <v>236</v>
      </c>
      <c r="U29" s="14" t="s">
        <v>205</v>
      </c>
      <c r="V29" s="14" t="s">
        <v>224</v>
      </c>
      <c r="W29" s="14" t="s">
        <v>306</v>
      </c>
      <c r="X29" s="14" t="s">
        <v>305</v>
      </c>
      <c r="Y29" s="14">
        <v>1</v>
      </c>
      <c r="Z29" s="14">
        <v>2</v>
      </c>
      <c r="AA29" s="14">
        <v>1</v>
      </c>
      <c r="AB29" s="15">
        <f>IFERROR(AVERAGE(Tabel1[[#This Row],[Up - R1a]:[Up - R1c]]),"")</f>
        <v>1.3333333333333333</v>
      </c>
      <c r="AC29" s="14">
        <v>3</v>
      </c>
      <c r="AD29" s="14">
        <v>2</v>
      </c>
      <c r="AE29" s="14">
        <v>3</v>
      </c>
      <c r="AF29" s="14">
        <v>5</v>
      </c>
      <c r="AG29" s="14">
        <f>IFERROR(AVERAGE(Tabel1[[#This Row],[Up - R1]:[Up - R5]]),"")</f>
        <v>2.8666666666666663</v>
      </c>
      <c r="AH29" s="14">
        <v>5</v>
      </c>
      <c r="AI29" s="14">
        <v>3</v>
      </c>
      <c r="AJ29" s="14">
        <v>2</v>
      </c>
      <c r="AK29" s="14">
        <f>IFERROR(AVERAGE(Tabel1[[#This Row],[Up - C1a]:[Up - C1c]]),"")</f>
        <v>3.3333333333333335</v>
      </c>
      <c r="AL29" s="14">
        <v>2</v>
      </c>
      <c r="AM29" s="14">
        <v>2</v>
      </c>
      <c r="AN29" s="14">
        <v>2</v>
      </c>
      <c r="AO29" s="14">
        <f>IFERROR(AVERAGE(Tabel1[[#This Row],[Up - C1]:[Up - C4]]),"")</f>
        <v>2.3333333333333335</v>
      </c>
      <c r="AP29" s="14">
        <v>2</v>
      </c>
      <c r="AQ29" s="14">
        <f>IFERROR(AVERAGE(Tabel1[[#This Row],[Up - F1a]:[Up - F1a]]),"")</f>
        <v>2</v>
      </c>
      <c r="AR29" s="14">
        <v>1</v>
      </c>
      <c r="AS29" s="14">
        <v>4</v>
      </c>
      <c r="AT29" s="14">
        <f>IFERROR(AVERAGE(Tabel1[[#This Row],[Up - F2a]:[Up - F2b]]),"")</f>
        <v>2.5</v>
      </c>
      <c r="AU29" s="14">
        <v>3</v>
      </c>
      <c r="AV29" s="14">
        <v>2</v>
      </c>
      <c r="AW29" s="14">
        <f>IFERROR(AVERAGE(Tabel1[[#This Row],[Up - F3a]:[Up - F3b]]),"")</f>
        <v>2.5</v>
      </c>
      <c r="AX29" s="14">
        <v>2</v>
      </c>
      <c r="AY29" s="14">
        <f>IFERROR(AVERAGE(Tabel1[[#This Row],[Up - F1]],Tabel1[[#This Row],[Up - F2]],Tabel1[[#This Row],[Up - F3]],Tabel1[[#This Row],[Up - F4]]),"")</f>
        <v>2.25</v>
      </c>
      <c r="AZ29" s="14">
        <v>5</v>
      </c>
      <c r="BA29" s="14">
        <v>3</v>
      </c>
      <c r="BB29" s="14">
        <f>IFERROR(AVERAGE(Tabel1[[#This Row],[Up - V1a]:[Up - V1b]]),"")</f>
        <v>4</v>
      </c>
      <c r="BC29" s="14">
        <v>5</v>
      </c>
      <c r="BD29" s="14">
        <v>2</v>
      </c>
      <c r="BE29" s="14">
        <v>3</v>
      </c>
      <c r="BF29" s="14">
        <f>IFERROR(AVERAGE(Tabel1[[#This Row],[Up - V2a]:[Up - V2c]]),"")</f>
        <v>3.3333333333333335</v>
      </c>
      <c r="BG29" s="14">
        <v>2</v>
      </c>
      <c r="BH29" s="14">
        <v>3</v>
      </c>
      <c r="BI29" s="14">
        <f>IFERROR(AVERAGE(Tabel1[[#This Row],[Up - V3a]:[Up - V3b]]),"")</f>
        <v>2.5</v>
      </c>
      <c r="BJ29" s="14">
        <v>2</v>
      </c>
      <c r="BK29" s="14">
        <f>IFERROR(AVERAGE(Tabel1[[#This Row],[Up - V1]],Tabel1[[#This Row],[Up - V2]],Tabel1[[#This Row],[Up - V3]],Tabel1[[#This Row],[Up - V4]]),"")</f>
        <v>2.9583333333333335</v>
      </c>
      <c r="BL29" s="14">
        <v>5</v>
      </c>
      <c r="BM29" s="14">
        <v>3</v>
      </c>
      <c r="BN29" s="14">
        <v>4</v>
      </c>
      <c r="BO29" s="14">
        <v>2</v>
      </c>
      <c r="BP29" s="14">
        <f>IFERROR(AVERAGE(Tabel1[[#This Row],[Up - A1a]:[Up - A1d]]),"")</f>
        <v>3.5</v>
      </c>
      <c r="BQ29" s="14">
        <v>3</v>
      </c>
      <c r="BR29" s="14">
        <v>2</v>
      </c>
      <c r="BS29" s="14">
        <f>IFERROR(AVERAGE(Tabel1[[#This Row],[Up - A2a]:[Up - A2b]]),"")</f>
        <v>2.5</v>
      </c>
      <c r="BT29" s="14">
        <v>4</v>
      </c>
      <c r="BU29" s="14">
        <f>IFERROR(AVERAGE(Tabel1[[#This Row],[Up - A3a]:[Up - A3a]]),"")</f>
        <v>4</v>
      </c>
      <c r="BV29" s="14">
        <v>3</v>
      </c>
      <c r="BW29" s="14">
        <f>IFERROR(AVERAGE(Tabel1[[#This Row],[Up - A1]],Tabel1[[#This Row],[Up - A2]],Tabel1[[#This Row],[Up - A3]]),"")</f>
        <v>3.3333333333333335</v>
      </c>
      <c r="BX29" s="14">
        <v>2</v>
      </c>
      <c r="BY29" s="14">
        <v>1</v>
      </c>
      <c r="BZ29" s="14">
        <f>IFERROR(AVERAGE(Tabel1[[#This Row],[In - R1a]:[In - R1b]]),"")</f>
        <v>1.5</v>
      </c>
      <c r="CA29" s="14">
        <v>3</v>
      </c>
      <c r="CB29" s="14">
        <v>1</v>
      </c>
      <c r="CC29" s="14">
        <v>2</v>
      </c>
      <c r="CD29" s="14">
        <v>4</v>
      </c>
      <c r="CE29" s="14">
        <f>IFERROR(AVERAGE(Tabel1[[#This Row],[In - R1]:[In - R5]]),"")</f>
        <v>2.2999999999999998</v>
      </c>
      <c r="CF29" s="14">
        <v>2</v>
      </c>
      <c r="CG29" s="14">
        <v>4</v>
      </c>
      <c r="CH29" s="14">
        <v>4</v>
      </c>
      <c r="CI29" s="14">
        <f>IFERROR(AVERAGE(Tabel1[[#This Row],[In - C1a]:[In - C1c]]),"")</f>
        <v>3.3333333333333335</v>
      </c>
      <c r="CJ29" s="14">
        <v>4</v>
      </c>
      <c r="CK29" s="14">
        <v>2</v>
      </c>
      <c r="CL29" s="14">
        <v>1</v>
      </c>
      <c r="CM29" s="14">
        <f>IFERROR(AVERAGE(Tabel1[[#This Row],[In - C1]:[In - C4]]),"")</f>
        <v>2.5833333333333335</v>
      </c>
      <c r="CN29" s="14">
        <v>2</v>
      </c>
      <c r="CO29" s="14">
        <v>3</v>
      </c>
      <c r="CP29" s="14">
        <v>3</v>
      </c>
      <c r="CQ29" s="14">
        <f>IFERROR(AVERAGE(Tabel1[[#This Row],[In - F1a]:[In - F1c]]),"")</f>
        <v>2.6666666666666665</v>
      </c>
      <c r="CR29" s="14">
        <v>4</v>
      </c>
      <c r="CS29" s="14">
        <v>1</v>
      </c>
      <c r="CT29" s="14">
        <f>IFERROR(AVERAGE(Tabel1[[#This Row],[In - F2a]:[In - F2b]]),"")</f>
        <v>2.5</v>
      </c>
      <c r="CU29" s="14">
        <v>2</v>
      </c>
      <c r="CV29" s="14">
        <f>IFERROR(AVERAGE(Tabel1[[#This Row],[In - F3a]:[In - F3a]]),"")</f>
        <v>2</v>
      </c>
      <c r="CW29" s="14">
        <v>3</v>
      </c>
      <c r="CX29" s="14">
        <f>IFERROR(AVERAGE(Tabel1[[#This Row],[In - F1]],Tabel1[[#This Row],[In - F2]],Tabel1[[#This Row],[In - F3]],Tabel1[[#This Row],[In - F4]]),"")</f>
        <v>2.5416666666666665</v>
      </c>
      <c r="CY29" s="14">
        <v>2</v>
      </c>
      <c r="CZ29" s="14">
        <v>4</v>
      </c>
      <c r="DA29" s="14">
        <v>4</v>
      </c>
      <c r="DB29" s="14">
        <f>IFERROR(AVERAGE(Tabel1[[#This Row],[In - V1a]:[In - V1c]]),"")</f>
        <v>3.3333333333333335</v>
      </c>
      <c r="DC29" s="14">
        <v>4</v>
      </c>
      <c r="DD29" s="14">
        <v>4</v>
      </c>
      <c r="DE29" s="14">
        <v>3</v>
      </c>
      <c r="DF29" s="14">
        <f>IFERROR(AVERAGE(Tabel1[[#This Row],[In - V2a]:[In - V2c]]),"")</f>
        <v>3.6666666666666665</v>
      </c>
      <c r="DG29" s="14">
        <v>3</v>
      </c>
      <c r="DH29" s="14">
        <v>1</v>
      </c>
      <c r="DI29" s="14">
        <f>IFERROR(AVERAGE(Tabel1[[#This Row],[In - V3a]:[In - V3b]]),"")</f>
        <v>2</v>
      </c>
      <c r="DJ29" s="14">
        <v>3</v>
      </c>
      <c r="DK29" s="14">
        <f>IFERROR(AVERAGE(Tabel1[[#This Row],[In - V1]],Tabel1[[#This Row],[In - V2]],Tabel1[[#This Row],[In - V3]],Tabel1[[#This Row],[In - V4]]),"")</f>
        <v>3</v>
      </c>
      <c r="DL29" s="14">
        <v>5</v>
      </c>
      <c r="DM29" s="14">
        <v>3</v>
      </c>
      <c r="DN29" s="14">
        <f>IFERROR(AVERAGE(Tabel1[[#This Row],[In - A1a]:[In - A1b]]),"")</f>
        <v>4</v>
      </c>
      <c r="DO29" s="14">
        <v>3</v>
      </c>
      <c r="DP29" s="14">
        <v>4</v>
      </c>
      <c r="DQ29" s="14">
        <f>IFERROR(AVERAGE(Tabel1[[#This Row],[In - A2a]:[In - A2b]]),"")</f>
        <v>3.5</v>
      </c>
      <c r="DR29" s="14">
        <v>4</v>
      </c>
      <c r="DS29" s="14">
        <v>2</v>
      </c>
      <c r="DT29" s="14">
        <f>IFERROR(AVERAGE(Tabel1[[#This Row],[In - A3a]:[In - A3a]]),"")</f>
        <v>4</v>
      </c>
      <c r="DU29" s="14">
        <v>4</v>
      </c>
      <c r="DV29" s="14">
        <f>IFERROR(AVERAGE(Tabel1[[#This Row],[In - A1]],Tabel1[[#This Row],[In - A2]],Tabel1[[#This Row],[In - A3]],Tabel1[[#This Row],[In - A4]]),"")</f>
        <v>3.875</v>
      </c>
      <c r="DW29" s="14">
        <v>3</v>
      </c>
      <c r="DX29" s="14">
        <v>2</v>
      </c>
      <c r="DY29" s="14">
        <v>4</v>
      </c>
      <c r="DZ29" s="14">
        <f>IFERROR(AVERAGE(Tabel1[[#This Row],[Do - R1a]:[Do - R1c]]),"")</f>
        <v>3</v>
      </c>
      <c r="EA29" s="14">
        <v>1</v>
      </c>
      <c r="EB29" s="14">
        <v>1</v>
      </c>
      <c r="EC29" s="14">
        <v>3</v>
      </c>
      <c r="ED29" s="14">
        <v>5</v>
      </c>
      <c r="EE29" s="14">
        <f>IFERROR(AVERAGE(Tabel1[[#This Row],[Do - R1]:[Do - R5]]),"")</f>
        <v>2.6</v>
      </c>
      <c r="EF29" s="14">
        <v>3</v>
      </c>
      <c r="EG29" s="14">
        <v>2</v>
      </c>
      <c r="EH29" s="14">
        <v>2</v>
      </c>
      <c r="EI29" s="14">
        <f>IFERROR(AVERAGE(Tabel1[[#This Row],[Do - C1a]:[Do - C1c]]),"")</f>
        <v>2.3333333333333335</v>
      </c>
      <c r="EJ29" s="14">
        <v>1</v>
      </c>
      <c r="EK29" s="14">
        <v>3</v>
      </c>
      <c r="EL29" s="14">
        <v>2</v>
      </c>
      <c r="EM29" s="14">
        <f>IFERROR(AVERAGE(Tabel1[[#This Row],[Do - C1]:[Do - C4]]),"")</f>
        <v>2.0833333333333335</v>
      </c>
      <c r="EN29" s="14">
        <v>2</v>
      </c>
      <c r="EO29" s="14">
        <v>3</v>
      </c>
      <c r="EP29" s="14">
        <v>2</v>
      </c>
      <c r="EQ29" s="14">
        <f>IFERROR(AVERAGE(Tabel1[[#This Row],[Do - F1a]:[Do - F1c]]),"")</f>
        <v>2.3333333333333335</v>
      </c>
      <c r="ER29" s="14">
        <v>3</v>
      </c>
      <c r="ES29" s="14">
        <f>IFERROR(AVERAGE(Tabel1[[#This Row],[Do - F2a]:[Do - F2a]]),"")</f>
        <v>3</v>
      </c>
      <c r="ET29" s="14">
        <v>3</v>
      </c>
      <c r="EU29" s="14">
        <v>2</v>
      </c>
      <c r="EV29" s="14">
        <f>IFERROR(AVERAGE(Tabel1[[#This Row],[Do - F3a]:[Do - F3b]]),"")</f>
        <v>2.5</v>
      </c>
      <c r="EW29" s="14">
        <v>4</v>
      </c>
      <c r="EX29" s="14">
        <f>IFERROR(AVERAGE(Tabel1[[#This Row],[Do - F1]],Tabel1[[#This Row],[Do - F2]],Tabel1[[#This Row],[Do - F3]],Tabel1[[#This Row],[Do - F4]]),"")</f>
        <v>2.9583333333333335</v>
      </c>
      <c r="EY29" s="14">
        <v>4</v>
      </c>
      <c r="EZ29" s="14">
        <v>3</v>
      </c>
      <c r="FA29" s="14">
        <v>4</v>
      </c>
      <c r="FB29" s="14">
        <f>IFERROR(AVERAGE(Tabel1[[#This Row],[Do - V1a]:[Do - V1c]]),"")</f>
        <v>3.6666666666666665</v>
      </c>
      <c r="FC29" s="14">
        <v>5</v>
      </c>
      <c r="FD29" s="14">
        <v>3</v>
      </c>
      <c r="FE29" s="14">
        <f>IFERROR(AVERAGE(Tabel1[[#This Row],[Do - V2a]:[Do - V2b]]),"")</f>
        <v>4</v>
      </c>
      <c r="FF29" s="14">
        <v>2</v>
      </c>
      <c r="FG29" s="14">
        <f>IFERROR(AVERAGE(Tabel1[[#This Row],[Do - V3a]:[Do - V3a]]),"")</f>
        <v>2</v>
      </c>
      <c r="FH29" s="14">
        <v>3</v>
      </c>
      <c r="FI29" s="14">
        <f>IFERROR(AVERAGE(Tabel1[[#This Row],[Do - V1]],Tabel1[[#This Row],[Do - V2]],Tabel1[[#This Row],[Do - V3]],Tabel1[[#This Row],[Do - V4]]),"")</f>
        <v>3.1666666666666665</v>
      </c>
      <c r="FJ29" s="14">
        <v>4</v>
      </c>
      <c r="FK29" s="14">
        <v>2</v>
      </c>
      <c r="FL29" s="14">
        <v>5</v>
      </c>
      <c r="FM29" s="14">
        <f>IFERROR(AVERAGE(Tabel1[[#This Row],[Do - A1a]:[Do - A1c]]),"")</f>
        <v>3.6666666666666665</v>
      </c>
      <c r="FN29" s="14">
        <v>2</v>
      </c>
      <c r="FO29" s="14">
        <v>2</v>
      </c>
      <c r="FP29" s="14">
        <f>IFERROR(AVERAGE(Tabel1[[#This Row],[Do - A2a]:[Do - A2b]]),"")</f>
        <v>2</v>
      </c>
      <c r="FQ29" s="14">
        <v>3</v>
      </c>
      <c r="FR29" s="14">
        <f>IFERROR(AVERAGE(Tabel1[[#This Row],[Do - A3a]:[Do - A3a]]),"")</f>
        <v>3</v>
      </c>
      <c r="FS29" s="14">
        <v>4</v>
      </c>
      <c r="FT29" s="14">
        <f>IFERROR(AVERAGE(Tabel1[[#This Row],[Do - A1]],Tabel1[[#This Row],[Do - A2]],Tabel1[[#This Row],[Do - A3]],Tabel1[[#This Row],[Do - A4]]),"")</f>
        <v>3.1666666666666665</v>
      </c>
      <c r="FU2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2.8011111111111111</v>
      </c>
      <c r="FV29" s="16" t="s">
        <v>342</v>
      </c>
      <c r="FW29" t="b">
        <v>1</v>
      </c>
    </row>
    <row r="30" spans="1:179" x14ac:dyDescent="0.3">
      <c r="A30" s="13">
        <v>44900.396886574075</v>
      </c>
      <c r="B30" t="b">
        <v>0</v>
      </c>
      <c r="C30" s="14" t="s">
        <v>343</v>
      </c>
      <c r="D30" s="14" t="s">
        <v>344</v>
      </c>
      <c r="E30" s="14" t="s">
        <v>345</v>
      </c>
      <c r="F30" s="14" t="s">
        <v>184</v>
      </c>
      <c r="G30" s="14" t="s">
        <v>346</v>
      </c>
      <c r="H30" s="14" t="s">
        <v>222</v>
      </c>
      <c r="I30" s="14" t="s">
        <v>195</v>
      </c>
      <c r="J30" s="14" t="s">
        <v>347</v>
      </c>
      <c r="K30" s="14" t="s">
        <v>202</v>
      </c>
      <c r="L30" s="14" t="s">
        <v>218</v>
      </c>
      <c r="M30" s="14" t="s">
        <v>188</v>
      </c>
      <c r="N30" s="14" t="s">
        <v>262</v>
      </c>
      <c r="O30" s="14" t="s">
        <v>200</v>
      </c>
      <c r="P30" s="17" t="s">
        <v>304</v>
      </c>
      <c r="Q30" s="14" t="s">
        <v>201</v>
      </c>
      <c r="R30" s="17" t="s">
        <v>304</v>
      </c>
      <c r="S30" s="14" t="s">
        <v>203</v>
      </c>
      <c r="T30" s="14" t="s">
        <v>348</v>
      </c>
      <c r="U30" s="14" t="s">
        <v>349</v>
      </c>
      <c r="V30" s="14" t="s">
        <v>224</v>
      </c>
      <c r="W30" s="14" t="s">
        <v>207</v>
      </c>
      <c r="X30" s="14" t="s">
        <v>207</v>
      </c>
      <c r="Y30" s="14">
        <v>2</v>
      </c>
      <c r="Z30" s="14">
        <v>4</v>
      </c>
      <c r="AA30" s="14">
        <v>2</v>
      </c>
      <c r="AB30" s="15">
        <f>IFERROR(AVERAGE(Tabel1[[#This Row],[Up - R1a]:[Up - R1c]]),"")</f>
        <v>2.6666666666666665</v>
      </c>
      <c r="AC30" s="14">
        <v>3</v>
      </c>
      <c r="AD30" s="14">
        <v>4</v>
      </c>
      <c r="AE30" s="14">
        <v>1</v>
      </c>
      <c r="AF30" s="14">
        <v>4</v>
      </c>
      <c r="AG30" s="14">
        <f>IFERROR(AVERAGE(Tabel1[[#This Row],[Up - R1]:[Up - R5]]),"")</f>
        <v>2.9333333333333331</v>
      </c>
      <c r="AH30" s="14">
        <v>4</v>
      </c>
      <c r="AI30" s="14">
        <v>2</v>
      </c>
      <c r="AJ30" s="14">
        <v>3</v>
      </c>
      <c r="AK30" s="14">
        <f>IFERROR(AVERAGE(Tabel1[[#This Row],[Up - C1a]:[Up - C1c]]),"")</f>
        <v>3</v>
      </c>
      <c r="AL30" s="14">
        <v>2</v>
      </c>
      <c r="AM30" s="14">
        <v>2</v>
      </c>
      <c r="AN30" s="14">
        <v>1</v>
      </c>
      <c r="AO30" s="14">
        <f>IFERROR(AVERAGE(Tabel1[[#This Row],[Up - C1]:[Up - C4]]),"")</f>
        <v>2</v>
      </c>
      <c r="AP30" s="14">
        <v>4</v>
      </c>
      <c r="AQ30" s="14">
        <f>IFERROR(AVERAGE(Tabel1[[#This Row],[Up - F1a]:[Up - F1a]]),"")</f>
        <v>4</v>
      </c>
      <c r="AR30" s="14">
        <v>3</v>
      </c>
      <c r="AS30" s="14">
        <v>4</v>
      </c>
      <c r="AT30" s="14">
        <f>IFERROR(AVERAGE(Tabel1[[#This Row],[Up - F2a]:[Up - F2b]]),"")</f>
        <v>3.5</v>
      </c>
      <c r="AU30" s="14">
        <v>3</v>
      </c>
      <c r="AV30" s="14">
        <v>2</v>
      </c>
      <c r="AW30" s="14">
        <f>IFERROR(AVERAGE(Tabel1[[#This Row],[Up - F3a]:[Up - F3b]]),"")</f>
        <v>2.5</v>
      </c>
      <c r="AX30" s="14">
        <v>2</v>
      </c>
      <c r="AY30" s="14">
        <f>IFERROR(AVERAGE(Tabel1[[#This Row],[Up - F1]],Tabel1[[#This Row],[Up - F2]],Tabel1[[#This Row],[Up - F3]],Tabel1[[#This Row],[Up - F4]]),"")</f>
        <v>3</v>
      </c>
      <c r="AZ30" s="14">
        <v>2</v>
      </c>
      <c r="BA30" s="14">
        <v>4</v>
      </c>
      <c r="BB30" s="14">
        <f>IFERROR(AVERAGE(Tabel1[[#This Row],[Up - V1a]:[Up - V1b]]),"")</f>
        <v>3</v>
      </c>
      <c r="BC30" s="14">
        <v>2</v>
      </c>
      <c r="BD30" s="14">
        <v>3</v>
      </c>
      <c r="BE30" s="14">
        <v>4</v>
      </c>
      <c r="BF30" s="14">
        <f>IFERROR(AVERAGE(Tabel1[[#This Row],[Up - V2a]:[Up - V2c]]),"")</f>
        <v>3</v>
      </c>
      <c r="BG30" s="14">
        <v>2</v>
      </c>
      <c r="BH30" s="14">
        <v>1</v>
      </c>
      <c r="BI30" s="14">
        <f>IFERROR(AVERAGE(Tabel1[[#This Row],[Up - V3a]:[Up - V3b]]),"")</f>
        <v>1.5</v>
      </c>
      <c r="BJ30" s="14">
        <v>2</v>
      </c>
      <c r="BK30" s="14">
        <f>IFERROR(AVERAGE(Tabel1[[#This Row],[Up - V1]],Tabel1[[#This Row],[Up - V2]],Tabel1[[#This Row],[Up - V3]],Tabel1[[#This Row],[Up - V4]]),"")</f>
        <v>2.375</v>
      </c>
      <c r="BL30" s="14">
        <v>2</v>
      </c>
      <c r="BM30" s="14">
        <v>2</v>
      </c>
      <c r="BN30" s="14">
        <v>4</v>
      </c>
      <c r="BO30" s="14">
        <v>2</v>
      </c>
      <c r="BP30" s="14">
        <f>IFERROR(AVERAGE(Tabel1[[#This Row],[Up - A1a]:[Up - A1d]]),"")</f>
        <v>2.5</v>
      </c>
      <c r="BQ30" s="14">
        <v>3</v>
      </c>
      <c r="BR30" s="14">
        <v>3</v>
      </c>
      <c r="BS30" s="14">
        <f>IFERROR(AVERAGE(Tabel1[[#This Row],[Up - A2a]:[Up - A2b]]),"")</f>
        <v>3</v>
      </c>
      <c r="BT30" s="14">
        <v>4</v>
      </c>
      <c r="BU30" s="14">
        <f>IFERROR(AVERAGE(Tabel1[[#This Row],[Up - A3a]:[Up - A3a]]),"")</f>
        <v>4</v>
      </c>
      <c r="BV30" s="14">
        <v>2</v>
      </c>
      <c r="BW30" s="14">
        <f>IFERROR(AVERAGE(Tabel1[[#This Row],[Up - A1]],Tabel1[[#This Row],[Up - A2]],Tabel1[[#This Row],[Up - A3]]),"")</f>
        <v>3.1666666666666665</v>
      </c>
      <c r="BX30" s="14">
        <v>3</v>
      </c>
      <c r="BY30" s="14">
        <v>4</v>
      </c>
      <c r="BZ30" s="14">
        <f>IFERROR(AVERAGE(Tabel1[[#This Row],[In - R1a]:[In - R1b]]),"")</f>
        <v>3.5</v>
      </c>
      <c r="CA30" s="14">
        <v>2</v>
      </c>
      <c r="CB30" s="14">
        <v>2</v>
      </c>
      <c r="CC30" s="14">
        <v>1</v>
      </c>
      <c r="CD30" s="14">
        <v>1</v>
      </c>
      <c r="CE30" s="14">
        <f>IFERROR(AVERAGE(Tabel1[[#This Row],[In - R1]:[In - R5]]),"")</f>
        <v>1.9</v>
      </c>
      <c r="CF30" s="14">
        <v>3</v>
      </c>
      <c r="CG30" s="14">
        <v>2</v>
      </c>
      <c r="CH30" s="14">
        <v>2</v>
      </c>
      <c r="CI30" s="14">
        <f>IFERROR(AVERAGE(Tabel1[[#This Row],[In - C1a]:[In - C1c]]),"")</f>
        <v>2.3333333333333335</v>
      </c>
      <c r="CJ30" s="14">
        <v>3</v>
      </c>
      <c r="CK30" s="14">
        <v>2</v>
      </c>
      <c r="CL30" s="14">
        <v>1</v>
      </c>
      <c r="CM30" s="14">
        <f>IFERROR(AVERAGE(Tabel1[[#This Row],[In - C1]:[In - C4]]),"")</f>
        <v>2.0833333333333335</v>
      </c>
      <c r="CN30" s="14">
        <v>3</v>
      </c>
      <c r="CO30" s="14">
        <v>2</v>
      </c>
      <c r="CP30" s="14">
        <v>3</v>
      </c>
      <c r="CQ30" s="14">
        <f>IFERROR(AVERAGE(Tabel1[[#This Row],[In - F1a]:[In - F1c]]),"")</f>
        <v>2.6666666666666665</v>
      </c>
      <c r="CR30" s="14">
        <v>4</v>
      </c>
      <c r="CS30" s="14">
        <v>4</v>
      </c>
      <c r="CT30" s="14">
        <f>IFERROR(AVERAGE(Tabel1[[#This Row],[In - F2a]:[In - F2b]]),"")</f>
        <v>4</v>
      </c>
      <c r="CU30" s="14">
        <v>4</v>
      </c>
      <c r="CV30" s="14">
        <f>IFERROR(AVERAGE(Tabel1[[#This Row],[In - F3a]:[In - F3a]]),"")</f>
        <v>4</v>
      </c>
      <c r="CW30" s="14">
        <v>1</v>
      </c>
      <c r="CX30" s="14">
        <f>IFERROR(AVERAGE(Tabel1[[#This Row],[In - F1]],Tabel1[[#This Row],[In - F2]],Tabel1[[#This Row],[In - F3]],Tabel1[[#This Row],[In - F4]]),"")</f>
        <v>2.9166666666666665</v>
      </c>
      <c r="CY30" s="14">
        <v>1</v>
      </c>
      <c r="CZ30" s="14">
        <v>2</v>
      </c>
      <c r="DA30" s="14">
        <v>1</v>
      </c>
      <c r="DB30" s="14">
        <f>IFERROR(AVERAGE(Tabel1[[#This Row],[In - V1a]:[In - V1c]]),"")</f>
        <v>1.3333333333333333</v>
      </c>
      <c r="DC30" s="14">
        <v>2</v>
      </c>
      <c r="DD30" s="14">
        <v>2</v>
      </c>
      <c r="DE30" s="14">
        <v>1</v>
      </c>
      <c r="DF30" s="14">
        <f>IFERROR(AVERAGE(Tabel1[[#This Row],[In - V2a]:[In - V2c]]),"")</f>
        <v>1.6666666666666667</v>
      </c>
      <c r="DG30" s="14">
        <v>1</v>
      </c>
      <c r="DH30" s="14">
        <v>2</v>
      </c>
      <c r="DI30" s="14">
        <f>IFERROR(AVERAGE(Tabel1[[#This Row],[In - V3a]:[In - V3b]]),"")</f>
        <v>1.5</v>
      </c>
      <c r="DJ30" s="14">
        <v>1</v>
      </c>
      <c r="DK30" s="14">
        <f>IFERROR(AVERAGE(Tabel1[[#This Row],[In - V1]],Tabel1[[#This Row],[In - V2]],Tabel1[[#This Row],[In - V3]],Tabel1[[#This Row],[In - V4]]),"")</f>
        <v>1.375</v>
      </c>
      <c r="DL30" s="14">
        <v>1</v>
      </c>
      <c r="DM30" s="14">
        <v>3</v>
      </c>
      <c r="DN30" s="14">
        <f>IFERROR(AVERAGE(Tabel1[[#This Row],[In - A1a]:[In - A1b]]),"")</f>
        <v>2</v>
      </c>
      <c r="DO30" s="14">
        <v>1</v>
      </c>
      <c r="DP30" s="14">
        <v>2</v>
      </c>
      <c r="DQ30" s="14">
        <f>IFERROR(AVERAGE(Tabel1[[#This Row],[In - A2a]:[In - A2b]]),"")</f>
        <v>1.5</v>
      </c>
      <c r="DR30" s="14">
        <v>4</v>
      </c>
      <c r="DS30" s="14">
        <v>2</v>
      </c>
      <c r="DT30" s="14">
        <f>IFERROR(AVERAGE(Tabel1[[#This Row],[In - A3a]:[In - A3a]]),"")</f>
        <v>4</v>
      </c>
      <c r="DU30" s="14">
        <v>3</v>
      </c>
      <c r="DV30" s="14">
        <f>IFERROR(AVERAGE(Tabel1[[#This Row],[In - A1]],Tabel1[[#This Row],[In - A2]],Tabel1[[#This Row],[In - A3]],Tabel1[[#This Row],[In - A4]]),"")</f>
        <v>2.625</v>
      </c>
      <c r="DW30" s="14">
        <v>2</v>
      </c>
      <c r="DX30" s="14">
        <v>4</v>
      </c>
      <c r="DY30" s="14">
        <v>2</v>
      </c>
      <c r="DZ30" s="14">
        <f>IFERROR(AVERAGE(Tabel1[[#This Row],[Do - R1a]:[Do - R1c]]),"")</f>
        <v>2.6666666666666665</v>
      </c>
      <c r="EA30" s="14">
        <v>1</v>
      </c>
      <c r="EB30" s="14">
        <v>1</v>
      </c>
      <c r="EC30" s="14">
        <v>1</v>
      </c>
      <c r="ED30" s="14">
        <v>2</v>
      </c>
      <c r="EE30" s="14">
        <f>IFERROR(AVERAGE(Tabel1[[#This Row],[Do - R1]:[Do - R5]]),"")</f>
        <v>1.5333333333333332</v>
      </c>
      <c r="EF30" s="14">
        <v>4</v>
      </c>
      <c r="EG30" s="14">
        <v>2</v>
      </c>
      <c r="EH30" s="14">
        <v>4</v>
      </c>
      <c r="EI30" s="14">
        <f>IFERROR(AVERAGE(Tabel1[[#This Row],[Do - C1a]:[Do - C1c]]),"")</f>
        <v>3.3333333333333335</v>
      </c>
      <c r="EJ30" s="14">
        <v>3</v>
      </c>
      <c r="EK30" s="14">
        <v>2</v>
      </c>
      <c r="EL30" s="14">
        <v>1</v>
      </c>
      <c r="EM30" s="14">
        <f>IFERROR(AVERAGE(Tabel1[[#This Row],[Do - C1]:[Do - C4]]),"")</f>
        <v>2.3333333333333335</v>
      </c>
      <c r="EN30" s="14">
        <v>1</v>
      </c>
      <c r="EO30" s="14">
        <v>2</v>
      </c>
      <c r="EP30" s="14">
        <v>2</v>
      </c>
      <c r="EQ30" s="14">
        <f>IFERROR(AVERAGE(Tabel1[[#This Row],[Do - F1a]:[Do - F1c]]),"")</f>
        <v>1.6666666666666667</v>
      </c>
      <c r="ER30" s="14">
        <v>3</v>
      </c>
      <c r="ES30" s="14">
        <f>IFERROR(AVERAGE(Tabel1[[#This Row],[Do - F2a]:[Do - F2a]]),"")</f>
        <v>3</v>
      </c>
      <c r="ET30" s="14">
        <v>2</v>
      </c>
      <c r="EU30" s="14">
        <v>1</v>
      </c>
      <c r="EV30" s="14">
        <f>IFERROR(AVERAGE(Tabel1[[#This Row],[Do - F3a]:[Do - F3b]]),"")</f>
        <v>1.5</v>
      </c>
      <c r="EW30" s="14">
        <v>2</v>
      </c>
      <c r="EX30" s="14">
        <f>IFERROR(AVERAGE(Tabel1[[#This Row],[Do - F1]],Tabel1[[#This Row],[Do - F2]],Tabel1[[#This Row],[Do - F3]],Tabel1[[#This Row],[Do - F4]]),"")</f>
        <v>2.041666666666667</v>
      </c>
      <c r="EY30" s="14">
        <v>2</v>
      </c>
      <c r="EZ30" s="14">
        <v>1</v>
      </c>
      <c r="FA30" s="14">
        <v>1</v>
      </c>
      <c r="FB30" s="14">
        <f>IFERROR(AVERAGE(Tabel1[[#This Row],[Do - V1a]:[Do - V1c]]),"")</f>
        <v>1.3333333333333333</v>
      </c>
      <c r="FC30" s="14">
        <v>1</v>
      </c>
      <c r="FD30" s="14">
        <v>4</v>
      </c>
      <c r="FE30" s="14">
        <f>IFERROR(AVERAGE(Tabel1[[#This Row],[Do - V2a]:[Do - V2b]]),"")</f>
        <v>2.5</v>
      </c>
      <c r="FF30" s="14">
        <v>1</v>
      </c>
      <c r="FG30" s="14">
        <f>IFERROR(AVERAGE(Tabel1[[#This Row],[Do - V3a]:[Do - V3a]]),"")</f>
        <v>1</v>
      </c>
      <c r="FH30" s="14">
        <v>3</v>
      </c>
      <c r="FI30" s="14">
        <f>IFERROR(AVERAGE(Tabel1[[#This Row],[Do - V1]],Tabel1[[#This Row],[Do - V2]],Tabel1[[#This Row],[Do - V3]],Tabel1[[#This Row],[Do - V4]]),"")</f>
        <v>1.9583333333333333</v>
      </c>
      <c r="FJ30" s="14">
        <v>2</v>
      </c>
      <c r="FK30" s="14">
        <v>1</v>
      </c>
      <c r="FL30" s="14">
        <v>3</v>
      </c>
      <c r="FM30" s="14">
        <f>IFERROR(AVERAGE(Tabel1[[#This Row],[Do - A1a]:[Do - A1c]]),"")</f>
        <v>2</v>
      </c>
      <c r="FN30" s="14" t="s">
        <v>189</v>
      </c>
      <c r="FO30" s="14">
        <v>4</v>
      </c>
      <c r="FP30" s="14">
        <f>IFERROR(AVERAGE(Tabel1[[#This Row],[Do - A2a]:[Do - A2b]]),"")</f>
        <v>4</v>
      </c>
      <c r="FQ30" s="14">
        <v>1</v>
      </c>
      <c r="FR30" s="14">
        <f>IFERROR(AVERAGE(Tabel1[[#This Row],[Do - A3a]:[Do - A3a]]),"")</f>
        <v>1</v>
      </c>
      <c r="FS30" s="14">
        <v>1</v>
      </c>
      <c r="FT30" s="14">
        <f>IFERROR(AVERAGE(Tabel1[[#This Row],[Do - A1]],Tabel1[[#This Row],[Do - A2]],Tabel1[[#This Row],[Do - A3]],Tabel1[[#This Row],[Do - A4]]),"")</f>
        <v>2</v>
      </c>
      <c r="FU3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2.282777777777778</v>
      </c>
      <c r="FV30" s="16" t="s">
        <v>350</v>
      </c>
      <c r="FW30" t="b">
        <v>1</v>
      </c>
    </row>
    <row r="31" spans="1:179" x14ac:dyDescent="0.3">
      <c r="A31" s="13">
        <v>44902.482499999998</v>
      </c>
      <c r="B31" t="b">
        <v>0</v>
      </c>
      <c r="C31" s="14" t="s">
        <v>351</v>
      </c>
      <c r="D31" s="14" t="s">
        <v>252</v>
      </c>
      <c r="E31" s="14" t="s">
        <v>352</v>
      </c>
      <c r="F31" s="14" t="s">
        <v>184</v>
      </c>
      <c r="G31" s="14" t="s">
        <v>353</v>
      </c>
      <c r="H31" s="14" t="s">
        <v>222</v>
      </c>
      <c r="I31" s="14" t="s">
        <v>243</v>
      </c>
      <c r="J31" s="14" t="s">
        <v>244</v>
      </c>
      <c r="K31" s="17" t="s">
        <v>255</v>
      </c>
      <c r="L31" s="14" t="s">
        <v>249</v>
      </c>
      <c r="M31" s="14" t="s">
        <v>198</v>
      </c>
      <c r="N31" s="14" t="s">
        <v>331</v>
      </c>
      <c r="O31" s="14" t="s">
        <v>256</v>
      </c>
      <c r="P31" s="14" t="s">
        <v>317</v>
      </c>
      <c r="Q31" s="17" t="s">
        <v>304</v>
      </c>
      <c r="R31" s="14" t="s">
        <v>201</v>
      </c>
      <c r="S31" s="17" t="s">
        <v>255</v>
      </c>
      <c r="T31" s="14" t="s">
        <v>236</v>
      </c>
      <c r="U31" s="14" t="s">
        <v>285</v>
      </c>
      <c r="V31" s="14" t="s">
        <v>224</v>
      </c>
      <c r="W31" s="14" t="s">
        <v>306</v>
      </c>
      <c r="X31" s="14" t="s">
        <v>207</v>
      </c>
      <c r="Y31" s="14">
        <v>1</v>
      </c>
      <c r="Z31" s="14">
        <v>1</v>
      </c>
      <c r="AA31" s="14">
        <v>1</v>
      </c>
      <c r="AB31" s="15">
        <f>IFERROR(AVERAGE(Tabel1[[#This Row],[Up - R1a]:[Up - R1c]]),"")</f>
        <v>1</v>
      </c>
      <c r="AC31" s="14">
        <v>4</v>
      </c>
      <c r="AD31" s="14">
        <v>4</v>
      </c>
      <c r="AE31" s="14">
        <v>2</v>
      </c>
      <c r="AF31" s="14" t="s">
        <v>189</v>
      </c>
      <c r="AG31" s="14">
        <f>IFERROR(AVERAGE(Tabel1[[#This Row],[Up - R1]:[Up - R5]]),"")</f>
        <v>2.75</v>
      </c>
      <c r="AH31" s="14">
        <v>5</v>
      </c>
      <c r="AI31" s="14">
        <v>5</v>
      </c>
      <c r="AJ31" s="14">
        <v>4</v>
      </c>
      <c r="AK31" s="14">
        <f>IFERROR(AVERAGE(Tabel1[[#This Row],[Up - C1a]:[Up - C1c]]),"")</f>
        <v>4.666666666666667</v>
      </c>
      <c r="AL31" s="14">
        <v>4</v>
      </c>
      <c r="AM31" s="14">
        <v>4</v>
      </c>
      <c r="AN31" s="14">
        <v>5</v>
      </c>
      <c r="AO31" s="14">
        <f>IFERROR(AVERAGE(Tabel1[[#This Row],[Up - C1]:[Up - C4]]),"")</f>
        <v>4.416666666666667</v>
      </c>
      <c r="AP31" s="14">
        <v>3</v>
      </c>
      <c r="AQ31" s="14">
        <f>IFERROR(AVERAGE(Tabel1[[#This Row],[Up - F1a]:[Up - F1a]]),"")</f>
        <v>3</v>
      </c>
      <c r="AR31" s="14">
        <v>1</v>
      </c>
      <c r="AS31" s="14">
        <v>1</v>
      </c>
      <c r="AT31" s="14">
        <f>IFERROR(AVERAGE(Tabel1[[#This Row],[Up - F2a]:[Up - F2b]]),"")</f>
        <v>1</v>
      </c>
      <c r="AU31" s="14">
        <v>3</v>
      </c>
      <c r="AV31" s="14">
        <v>1</v>
      </c>
      <c r="AW31" s="14">
        <f>IFERROR(AVERAGE(Tabel1[[#This Row],[Up - F3a]:[Up - F3b]]),"")</f>
        <v>2</v>
      </c>
      <c r="AX31" s="14">
        <v>2</v>
      </c>
      <c r="AY31" s="14">
        <f>IFERROR(AVERAGE(Tabel1[[#This Row],[Up - F1]],Tabel1[[#This Row],[Up - F2]],Tabel1[[#This Row],[Up - F3]],Tabel1[[#This Row],[Up - F4]]),"")</f>
        <v>2</v>
      </c>
      <c r="AZ31" s="14">
        <v>4</v>
      </c>
      <c r="BA31" s="14">
        <v>3</v>
      </c>
      <c r="BB31" s="14">
        <f>IFERROR(AVERAGE(Tabel1[[#This Row],[Up - V1a]:[Up - V1b]]),"")</f>
        <v>3.5</v>
      </c>
      <c r="BC31" s="14">
        <v>1</v>
      </c>
      <c r="BD31" s="14">
        <v>3</v>
      </c>
      <c r="BE31" s="14">
        <v>3</v>
      </c>
      <c r="BF31" s="14">
        <f>IFERROR(AVERAGE(Tabel1[[#This Row],[Up - V2a]:[Up - V2c]]),"")</f>
        <v>2.3333333333333335</v>
      </c>
      <c r="BG31" s="14">
        <v>3</v>
      </c>
      <c r="BH31" s="14">
        <v>2</v>
      </c>
      <c r="BI31" s="14">
        <f>IFERROR(AVERAGE(Tabel1[[#This Row],[Up - V3a]:[Up - V3b]]),"")</f>
        <v>2.5</v>
      </c>
      <c r="BJ31" s="14">
        <v>2</v>
      </c>
      <c r="BK31" s="14">
        <f>IFERROR(AVERAGE(Tabel1[[#This Row],[Up - V1]],Tabel1[[#This Row],[Up - V2]],Tabel1[[#This Row],[Up - V3]],Tabel1[[#This Row],[Up - V4]]),"")</f>
        <v>2.5833333333333335</v>
      </c>
      <c r="BL31" s="14">
        <v>2</v>
      </c>
      <c r="BM31" s="14">
        <v>1</v>
      </c>
      <c r="BN31" s="14">
        <v>3</v>
      </c>
      <c r="BO31" s="14">
        <v>2</v>
      </c>
      <c r="BP31" s="14">
        <f>IFERROR(AVERAGE(Tabel1[[#This Row],[Up - A1a]:[Up - A1d]]),"")</f>
        <v>2</v>
      </c>
      <c r="BQ31" s="14">
        <v>2</v>
      </c>
      <c r="BR31" s="14">
        <v>4</v>
      </c>
      <c r="BS31" s="14">
        <f>IFERROR(AVERAGE(Tabel1[[#This Row],[Up - A2a]:[Up - A2b]]),"")</f>
        <v>3</v>
      </c>
      <c r="BT31" s="14">
        <v>5</v>
      </c>
      <c r="BU31" s="14">
        <f>IFERROR(AVERAGE(Tabel1[[#This Row],[Up - A3a]:[Up - A3a]]),"")</f>
        <v>5</v>
      </c>
      <c r="BV31" s="14">
        <v>2</v>
      </c>
      <c r="BW31" s="14">
        <f>IFERROR(AVERAGE(Tabel1[[#This Row],[Up - A1]],Tabel1[[#This Row],[Up - A2]],Tabel1[[#This Row],[Up - A3]]),"")</f>
        <v>3.3333333333333335</v>
      </c>
      <c r="BX31" s="14">
        <v>1</v>
      </c>
      <c r="BY31" s="14">
        <v>1</v>
      </c>
      <c r="BZ31" s="14">
        <f>IFERROR(AVERAGE(Tabel1[[#This Row],[In - R1a]:[In - R1b]]),"")</f>
        <v>1</v>
      </c>
      <c r="CA31" s="14">
        <v>3</v>
      </c>
      <c r="CB31" s="14">
        <v>1</v>
      </c>
      <c r="CC31" s="14">
        <v>3</v>
      </c>
      <c r="CD31" s="14">
        <v>4</v>
      </c>
      <c r="CE31" s="14">
        <f>IFERROR(AVERAGE(Tabel1[[#This Row],[In - R1]:[In - R5]]),"")</f>
        <v>2.4</v>
      </c>
      <c r="CF31" s="14">
        <v>3</v>
      </c>
      <c r="CG31" s="14">
        <v>3</v>
      </c>
      <c r="CH31" s="14">
        <v>4</v>
      </c>
      <c r="CI31" s="14">
        <f>IFERROR(AVERAGE(Tabel1[[#This Row],[In - C1a]:[In - C1c]]),"")</f>
        <v>3.3333333333333335</v>
      </c>
      <c r="CJ31" s="14" t="s">
        <v>189</v>
      </c>
      <c r="CK31" s="14" t="s">
        <v>189</v>
      </c>
      <c r="CL31" s="14">
        <v>4</v>
      </c>
      <c r="CM31" s="14">
        <f>IFERROR(AVERAGE(Tabel1[[#This Row],[In - C1]:[In - C4]]),"")</f>
        <v>3.666666666666667</v>
      </c>
      <c r="CN31" s="14">
        <v>5</v>
      </c>
      <c r="CO31" s="14">
        <v>4</v>
      </c>
      <c r="CP31" s="14">
        <v>1</v>
      </c>
      <c r="CQ31" s="14">
        <f>IFERROR(AVERAGE(Tabel1[[#This Row],[In - F1a]:[In - F1c]]),"")</f>
        <v>3.3333333333333335</v>
      </c>
      <c r="CR31" s="14">
        <v>1</v>
      </c>
      <c r="CS31" s="14">
        <v>3</v>
      </c>
      <c r="CT31" s="14">
        <f>IFERROR(AVERAGE(Tabel1[[#This Row],[In - F2a]:[In - F2b]]),"")</f>
        <v>2</v>
      </c>
      <c r="CU31" s="14">
        <v>1</v>
      </c>
      <c r="CV31" s="14">
        <f>IFERROR(AVERAGE(Tabel1[[#This Row],[In - F3a]:[In - F3a]]),"")</f>
        <v>1</v>
      </c>
      <c r="CW31" s="14">
        <v>3</v>
      </c>
      <c r="CX31" s="14">
        <f>IFERROR(AVERAGE(Tabel1[[#This Row],[In - F1]],Tabel1[[#This Row],[In - F2]],Tabel1[[#This Row],[In - F3]],Tabel1[[#This Row],[In - F4]]),"")</f>
        <v>2.3333333333333335</v>
      </c>
      <c r="CY31" s="14">
        <v>4</v>
      </c>
      <c r="CZ31" s="14">
        <v>4</v>
      </c>
      <c r="DA31" s="14">
        <v>4</v>
      </c>
      <c r="DB31" s="14">
        <f>IFERROR(AVERAGE(Tabel1[[#This Row],[In - V1a]:[In - V1c]]),"")</f>
        <v>4</v>
      </c>
      <c r="DC31" s="14">
        <v>4</v>
      </c>
      <c r="DD31" s="14">
        <v>3</v>
      </c>
      <c r="DE31" s="14" t="s">
        <v>189</v>
      </c>
      <c r="DF31" s="14">
        <f>IFERROR(AVERAGE(Tabel1[[#This Row],[In - V2a]:[In - V2c]]),"")</f>
        <v>3.5</v>
      </c>
      <c r="DG31" s="14">
        <v>1</v>
      </c>
      <c r="DH31" s="14">
        <v>1</v>
      </c>
      <c r="DI31" s="14">
        <f>IFERROR(AVERAGE(Tabel1[[#This Row],[In - V3a]:[In - V3b]]),"")</f>
        <v>1</v>
      </c>
      <c r="DJ31" s="14">
        <v>3</v>
      </c>
      <c r="DK31" s="14">
        <f>IFERROR(AVERAGE(Tabel1[[#This Row],[In - V1]],Tabel1[[#This Row],[In - V2]],Tabel1[[#This Row],[In - V3]],Tabel1[[#This Row],[In - V4]]),"")</f>
        <v>2.875</v>
      </c>
      <c r="DL31" s="14">
        <v>4</v>
      </c>
      <c r="DM31" s="14" t="s">
        <v>189</v>
      </c>
      <c r="DN31" s="14">
        <f>IFERROR(AVERAGE(Tabel1[[#This Row],[In - A1a]:[In - A1b]]),"")</f>
        <v>4</v>
      </c>
      <c r="DO31" s="14">
        <v>3</v>
      </c>
      <c r="DP31" s="14">
        <v>2</v>
      </c>
      <c r="DQ31" s="14">
        <f>IFERROR(AVERAGE(Tabel1[[#This Row],[In - A2a]:[In - A2b]]),"")</f>
        <v>2.5</v>
      </c>
      <c r="DR31" s="14">
        <v>3</v>
      </c>
      <c r="DS31" s="14">
        <v>1</v>
      </c>
      <c r="DT31" s="14">
        <f>IFERROR(AVERAGE(Tabel1[[#This Row],[In - A3a]:[In - A3a]]),"")</f>
        <v>3</v>
      </c>
      <c r="DU31" s="14">
        <v>2</v>
      </c>
      <c r="DV31" s="14">
        <f>IFERROR(AVERAGE(Tabel1[[#This Row],[In - A1]],Tabel1[[#This Row],[In - A2]],Tabel1[[#This Row],[In - A3]],Tabel1[[#This Row],[In - A4]]),"")</f>
        <v>2.875</v>
      </c>
      <c r="DW31" s="14">
        <v>1</v>
      </c>
      <c r="DX31" s="14">
        <v>3</v>
      </c>
      <c r="DY31" s="14">
        <v>1</v>
      </c>
      <c r="DZ31" s="14">
        <f>IFERROR(AVERAGE(Tabel1[[#This Row],[Do - R1a]:[Do - R1c]]),"")</f>
        <v>1.6666666666666667</v>
      </c>
      <c r="EA31" s="14">
        <v>5</v>
      </c>
      <c r="EB31" s="14">
        <v>4</v>
      </c>
      <c r="EC31" s="14">
        <v>4</v>
      </c>
      <c r="ED31" s="14">
        <v>4</v>
      </c>
      <c r="EE31" s="14">
        <f>IFERROR(AVERAGE(Tabel1[[#This Row],[Do - R1]:[Do - R5]]),"")</f>
        <v>3.7333333333333334</v>
      </c>
      <c r="EF31" s="14">
        <v>5</v>
      </c>
      <c r="EG31" s="14">
        <v>4</v>
      </c>
      <c r="EH31" s="14">
        <v>5</v>
      </c>
      <c r="EI31" s="14">
        <f>IFERROR(AVERAGE(Tabel1[[#This Row],[Do - C1a]:[Do - C1c]]),"")</f>
        <v>4.666666666666667</v>
      </c>
      <c r="EJ31" s="14">
        <v>4</v>
      </c>
      <c r="EK31" s="14">
        <v>4</v>
      </c>
      <c r="EL31" s="14">
        <v>4</v>
      </c>
      <c r="EM31" s="14">
        <f>IFERROR(AVERAGE(Tabel1[[#This Row],[Do - C1]:[Do - C4]]),"")</f>
        <v>4.166666666666667</v>
      </c>
      <c r="EN31" s="14">
        <v>3</v>
      </c>
      <c r="EO31" s="14">
        <v>2</v>
      </c>
      <c r="EP31" s="14">
        <v>1</v>
      </c>
      <c r="EQ31" s="14">
        <f>IFERROR(AVERAGE(Tabel1[[#This Row],[Do - F1a]:[Do - F1c]]),"")</f>
        <v>2</v>
      </c>
      <c r="ER31" s="14">
        <v>3</v>
      </c>
      <c r="ES31" s="14">
        <f>IFERROR(AVERAGE(Tabel1[[#This Row],[Do - F2a]:[Do - F2a]]),"")</f>
        <v>3</v>
      </c>
      <c r="ET31" s="14">
        <v>4</v>
      </c>
      <c r="EU31" s="14">
        <v>2</v>
      </c>
      <c r="EV31" s="14">
        <f>IFERROR(AVERAGE(Tabel1[[#This Row],[Do - F3a]:[Do - F3b]]),"")</f>
        <v>3</v>
      </c>
      <c r="EW31" s="14">
        <v>4</v>
      </c>
      <c r="EX31" s="14">
        <f>IFERROR(AVERAGE(Tabel1[[#This Row],[Do - F1]],Tabel1[[#This Row],[Do - F2]],Tabel1[[#This Row],[Do - F3]],Tabel1[[#This Row],[Do - F4]]),"")</f>
        <v>3</v>
      </c>
      <c r="EY31" s="14">
        <v>3</v>
      </c>
      <c r="EZ31" s="14">
        <v>1</v>
      </c>
      <c r="FA31" s="14">
        <v>3</v>
      </c>
      <c r="FB31" s="14">
        <f>IFERROR(AVERAGE(Tabel1[[#This Row],[Do - V1a]:[Do - V1c]]),"")</f>
        <v>2.3333333333333335</v>
      </c>
      <c r="FC31" s="14">
        <v>2</v>
      </c>
      <c r="FD31" s="14">
        <v>5</v>
      </c>
      <c r="FE31" s="14">
        <f>IFERROR(AVERAGE(Tabel1[[#This Row],[Do - V2a]:[Do - V2b]]),"")</f>
        <v>3.5</v>
      </c>
      <c r="FF31" s="14">
        <v>5</v>
      </c>
      <c r="FG31" s="14">
        <f>IFERROR(AVERAGE(Tabel1[[#This Row],[Do - V3a]:[Do - V3a]]),"")</f>
        <v>5</v>
      </c>
      <c r="FH31" s="14">
        <v>4</v>
      </c>
      <c r="FI31" s="14">
        <f>IFERROR(AVERAGE(Tabel1[[#This Row],[Do - V1]],Tabel1[[#This Row],[Do - V2]],Tabel1[[#This Row],[Do - V3]],Tabel1[[#This Row],[Do - V4]]),"")</f>
        <v>3.7083333333333335</v>
      </c>
      <c r="FJ31" s="14">
        <v>4</v>
      </c>
      <c r="FK31" s="14">
        <v>2</v>
      </c>
      <c r="FL31" s="14">
        <v>5</v>
      </c>
      <c r="FM31" s="14">
        <f>IFERROR(AVERAGE(Tabel1[[#This Row],[Do - A1a]:[Do - A1c]]),"")</f>
        <v>3.6666666666666665</v>
      </c>
      <c r="FN31" s="14" t="s">
        <v>189</v>
      </c>
      <c r="FO31" s="14">
        <v>5</v>
      </c>
      <c r="FP31" s="14">
        <f>IFERROR(AVERAGE(Tabel1[[#This Row],[Do - A2a]:[Do - A2b]]),"")</f>
        <v>5</v>
      </c>
      <c r="FQ31" s="14">
        <v>4</v>
      </c>
      <c r="FR31" s="14">
        <f>IFERROR(AVERAGE(Tabel1[[#This Row],[Do - A3a]:[Do - A3a]]),"")</f>
        <v>4</v>
      </c>
      <c r="FS31" s="14">
        <v>3</v>
      </c>
      <c r="FT31" s="14">
        <f>IFERROR(AVERAGE(Tabel1[[#This Row],[Do - A1]],Tabel1[[#This Row],[Do - A2]],Tabel1[[#This Row],[Do - A3]],Tabel1[[#This Row],[Do - A4]]),"")</f>
        <v>3.9166666666666665</v>
      </c>
      <c r="FU3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3.1838888888888888</v>
      </c>
      <c r="FV31" s="16" t="s">
        <v>354</v>
      </c>
      <c r="FW31" t="b">
        <v>1</v>
      </c>
    </row>
    <row r="32" spans="1:179" x14ac:dyDescent="0.3">
      <c r="A32" s="13">
        <v>44902.613518518519</v>
      </c>
      <c r="B32" t="b">
        <v>0</v>
      </c>
      <c r="C32" s="14" t="s">
        <v>355</v>
      </c>
      <c r="D32" s="14" t="s">
        <v>356</v>
      </c>
      <c r="E32" s="14" t="s">
        <v>357</v>
      </c>
      <c r="F32" s="14" t="s">
        <v>184</v>
      </c>
      <c r="G32" s="14" t="s">
        <v>358</v>
      </c>
      <c r="H32" s="14" t="s">
        <v>222</v>
      </c>
      <c r="I32" s="14" t="s">
        <v>243</v>
      </c>
      <c r="J32" s="14" t="s">
        <v>244</v>
      </c>
      <c r="K32" s="14" t="s">
        <v>201</v>
      </c>
      <c r="L32" s="14" t="s">
        <v>218</v>
      </c>
      <c r="M32" s="14" t="s">
        <v>198</v>
      </c>
      <c r="N32" s="14" t="s">
        <v>199</v>
      </c>
      <c r="O32" s="14" t="s">
        <v>256</v>
      </c>
      <c r="P32" s="17" t="s">
        <v>304</v>
      </c>
      <c r="Q32" s="14" t="s">
        <v>201</v>
      </c>
      <c r="R32" s="14" t="s">
        <v>235</v>
      </c>
      <c r="S32" s="14" t="s">
        <v>235</v>
      </c>
      <c r="T32" s="14" t="s">
        <v>284</v>
      </c>
      <c r="U32" s="14" t="s">
        <v>205</v>
      </c>
      <c r="V32" s="14" t="s">
        <v>359</v>
      </c>
      <c r="W32" s="14" t="s">
        <v>207</v>
      </c>
      <c r="X32" s="14" t="s">
        <v>207</v>
      </c>
      <c r="Y32" s="14">
        <v>3</v>
      </c>
      <c r="Z32" s="14">
        <v>3</v>
      </c>
      <c r="AA32" s="14">
        <v>2</v>
      </c>
      <c r="AB32" s="15">
        <f>IFERROR(AVERAGE(Tabel1[[#This Row],[Up - R1a]:[Up - R1c]]),"")</f>
        <v>2.6666666666666665</v>
      </c>
      <c r="AC32" s="14">
        <v>2</v>
      </c>
      <c r="AD32" s="14">
        <v>4</v>
      </c>
      <c r="AE32" s="14">
        <v>4</v>
      </c>
      <c r="AF32" s="14">
        <v>3</v>
      </c>
      <c r="AG32" s="14">
        <f>IFERROR(AVERAGE(Tabel1[[#This Row],[Up - R1]:[Up - R5]]),"")</f>
        <v>3.1333333333333333</v>
      </c>
      <c r="AH32" s="14">
        <v>4</v>
      </c>
      <c r="AI32" s="14">
        <v>3</v>
      </c>
      <c r="AJ32" s="14">
        <v>5</v>
      </c>
      <c r="AK32" s="14">
        <f>IFERROR(AVERAGE(Tabel1[[#This Row],[Up - C1a]:[Up - C1c]]),"")</f>
        <v>4</v>
      </c>
      <c r="AL32" s="14">
        <v>5</v>
      </c>
      <c r="AM32" s="14">
        <v>4</v>
      </c>
      <c r="AN32" s="14">
        <v>4</v>
      </c>
      <c r="AO32" s="14">
        <f>IFERROR(AVERAGE(Tabel1[[#This Row],[Up - C1]:[Up - C4]]),"")</f>
        <v>4.25</v>
      </c>
      <c r="AP32" s="14">
        <v>4</v>
      </c>
      <c r="AQ32" s="14">
        <f>IFERROR(AVERAGE(Tabel1[[#This Row],[Up - F1a]:[Up - F1a]]),"")</f>
        <v>4</v>
      </c>
      <c r="AR32" s="14">
        <v>2</v>
      </c>
      <c r="AS32" s="14">
        <v>4</v>
      </c>
      <c r="AT32" s="14">
        <f>IFERROR(AVERAGE(Tabel1[[#This Row],[Up - F2a]:[Up - F2b]]),"")</f>
        <v>3</v>
      </c>
      <c r="AU32" s="14">
        <v>2</v>
      </c>
      <c r="AV32" s="14">
        <v>1</v>
      </c>
      <c r="AW32" s="14">
        <f>IFERROR(AVERAGE(Tabel1[[#This Row],[Up - F3a]:[Up - F3b]]),"")</f>
        <v>1.5</v>
      </c>
      <c r="AX32" s="14">
        <v>4</v>
      </c>
      <c r="AY32" s="14">
        <f>IFERROR(AVERAGE(Tabel1[[#This Row],[Up - F1]],Tabel1[[#This Row],[Up - F2]],Tabel1[[#This Row],[Up - F3]],Tabel1[[#This Row],[Up - F4]]),"")</f>
        <v>3.125</v>
      </c>
      <c r="AZ32" s="14">
        <v>4</v>
      </c>
      <c r="BA32" s="14">
        <v>5</v>
      </c>
      <c r="BB32" s="14">
        <f>IFERROR(AVERAGE(Tabel1[[#This Row],[Up - V1a]:[Up - V1b]]),"")</f>
        <v>4.5</v>
      </c>
      <c r="BC32" s="14">
        <v>2</v>
      </c>
      <c r="BD32" s="14">
        <v>5</v>
      </c>
      <c r="BE32" s="14">
        <v>4</v>
      </c>
      <c r="BF32" s="14">
        <f>IFERROR(AVERAGE(Tabel1[[#This Row],[Up - V2a]:[Up - V2c]]),"")</f>
        <v>3.6666666666666665</v>
      </c>
      <c r="BG32" s="14">
        <v>5</v>
      </c>
      <c r="BH32" s="14">
        <v>1</v>
      </c>
      <c r="BI32" s="14">
        <f>IFERROR(AVERAGE(Tabel1[[#This Row],[Up - V3a]:[Up - V3b]]),"")</f>
        <v>3</v>
      </c>
      <c r="BJ32" s="14">
        <v>1</v>
      </c>
      <c r="BK32" s="14">
        <f>IFERROR(AVERAGE(Tabel1[[#This Row],[Up - V1]],Tabel1[[#This Row],[Up - V2]],Tabel1[[#This Row],[Up - V3]],Tabel1[[#This Row],[Up - V4]]),"")</f>
        <v>3.0416666666666665</v>
      </c>
      <c r="BL32" s="14">
        <v>3</v>
      </c>
      <c r="BM32" s="14">
        <v>2</v>
      </c>
      <c r="BN32" s="14">
        <v>5</v>
      </c>
      <c r="BO32" s="14">
        <v>4</v>
      </c>
      <c r="BP32" s="14">
        <f>IFERROR(AVERAGE(Tabel1[[#This Row],[Up - A1a]:[Up - A1d]]),"")</f>
        <v>3.5</v>
      </c>
      <c r="BQ32" s="14">
        <v>3</v>
      </c>
      <c r="BR32" s="14">
        <v>3</v>
      </c>
      <c r="BS32" s="14">
        <f>IFERROR(AVERAGE(Tabel1[[#This Row],[Up - A2a]:[Up - A2b]]),"")</f>
        <v>3</v>
      </c>
      <c r="BT32" s="14">
        <v>4</v>
      </c>
      <c r="BU32" s="14">
        <f>IFERROR(AVERAGE(Tabel1[[#This Row],[Up - A3a]:[Up - A3a]]),"")</f>
        <v>4</v>
      </c>
      <c r="BV32" s="14">
        <v>3</v>
      </c>
      <c r="BW32" s="14">
        <f>IFERROR(AVERAGE(Tabel1[[#This Row],[Up - A1]],Tabel1[[#This Row],[Up - A2]],Tabel1[[#This Row],[Up - A3]]),"")</f>
        <v>3.5</v>
      </c>
      <c r="BX32" s="14">
        <v>2</v>
      </c>
      <c r="BY32" s="14">
        <v>1</v>
      </c>
      <c r="BZ32" s="14">
        <f>IFERROR(AVERAGE(Tabel1[[#This Row],[In - R1a]:[In - R1b]]),"")</f>
        <v>1.5</v>
      </c>
      <c r="CA32" s="14">
        <v>5</v>
      </c>
      <c r="CB32" s="14" t="s">
        <v>189</v>
      </c>
      <c r="CC32" s="14">
        <v>3</v>
      </c>
      <c r="CD32" s="14">
        <v>2</v>
      </c>
      <c r="CE32" s="14">
        <f>IFERROR(AVERAGE(Tabel1[[#This Row],[In - R1]:[In - R5]]),"")</f>
        <v>2.875</v>
      </c>
      <c r="CF32" s="14">
        <v>4</v>
      </c>
      <c r="CG32" s="14">
        <v>2</v>
      </c>
      <c r="CH32" s="14">
        <v>2</v>
      </c>
      <c r="CI32" s="14">
        <f>IFERROR(AVERAGE(Tabel1[[#This Row],[In - C1a]:[In - C1c]]),"")</f>
        <v>2.6666666666666665</v>
      </c>
      <c r="CJ32" s="14">
        <v>2</v>
      </c>
      <c r="CK32" s="14">
        <v>1</v>
      </c>
      <c r="CL32" s="14">
        <v>1</v>
      </c>
      <c r="CM32" s="14">
        <f>IFERROR(AVERAGE(Tabel1[[#This Row],[In - C1]:[In - C4]]),"")</f>
        <v>1.6666666666666665</v>
      </c>
      <c r="CN32" s="14">
        <v>5</v>
      </c>
      <c r="CO32" s="14">
        <v>2</v>
      </c>
      <c r="CP32" s="14">
        <v>1</v>
      </c>
      <c r="CQ32" s="14">
        <f>IFERROR(AVERAGE(Tabel1[[#This Row],[In - F1a]:[In - F1c]]),"")</f>
        <v>2.6666666666666665</v>
      </c>
      <c r="CR32" s="14">
        <v>1</v>
      </c>
      <c r="CS32" s="14">
        <v>4</v>
      </c>
      <c r="CT32" s="14">
        <f>IFERROR(AVERAGE(Tabel1[[#This Row],[In - F2a]:[In - F2b]]),"")</f>
        <v>2.5</v>
      </c>
      <c r="CU32" s="14">
        <v>3</v>
      </c>
      <c r="CV32" s="14">
        <f>IFERROR(AVERAGE(Tabel1[[#This Row],[In - F3a]:[In - F3a]]),"")</f>
        <v>3</v>
      </c>
      <c r="CW32" s="14">
        <v>2</v>
      </c>
      <c r="CX32" s="14">
        <f>IFERROR(AVERAGE(Tabel1[[#This Row],[In - F1]],Tabel1[[#This Row],[In - F2]],Tabel1[[#This Row],[In - F3]],Tabel1[[#This Row],[In - F4]]),"")</f>
        <v>2.5416666666666665</v>
      </c>
      <c r="CY32" s="14">
        <v>1</v>
      </c>
      <c r="CZ32" s="14">
        <v>1</v>
      </c>
      <c r="DA32" s="14">
        <v>2</v>
      </c>
      <c r="DB32" s="14">
        <f>IFERROR(AVERAGE(Tabel1[[#This Row],[In - V1a]:[In - V1c]]),"")</f>
        <v>1.3333333333333333</v>
      </c>
      <c r="DC32" s="14">
        <v>1</v>
      </c>
      <c r="DD32" s="14">
        <v>1</v>
      </c>
      <c r="DE32" s="14">
        <v>1</v>
      </c>
      <c r="DF32" s="14">
        <f>IFERROR(AVERAGE(Tabel1[[#This Row],[In - V2a]:[In - V2c]]),"")</f>
        <v>1</v>
      </c>
      <c r="DG32" s="14">
        <v>1</v>
      </c>
      <c r="DH32" s="14">
        <v>1</v>
      </c>
      <c r="DI32" s="14">
        <f>IFERROR(AVERAGE(Tabel1[[#This Row],[In - V3a]:[In - V3b]]),"")</f>
        <v>1</v>
      </c>
      <c r="DJ32" s="14">
        <v>1</v>
      </c>
      <c r="DK32" s="14">
        <f>IFERROR(AVERAGE(Tabel1[[#This Row],[In - V1]],Tabel1[[#This Row],[In - V2]],Tabel1[[#This Row],[In - V3]],Tabel1[[#This Row],[In - V4]]),"")</f>
        <v>1.0833333333333333</v>
      </c>
      <c r="DL32" s="14">
        <v>4</v>
      </c>
      <c r="DM32" s="14">
        <v>1</v>
      </c>
      <c r="DN32" s="14">
        <f>IFERROR(AVERAGE(Tabel1[[#This Row],[In - A1a]:[In - A1b]]),"")</f>
        <v>2.5</v>
      </c>
      <c r="DO32" s="14">
        <v>2</v>
      </c>
      <c r="DP32" s="14">
        <v>2</v>
      </c>
      <c r="DQ32" s="14">
        <f>IFERROR(AVERAGE(Tabel1[[#This Row],[In - A2a]:[In - A2b]]),"")</f>
        <v>2</v>
      </c>
      <c r="DR32" s="14">
        <v>2</v>
      </c>
      <c r="DS32" s="14">
        <v>2</v>
      </c>
      <c r="DT32" s="14">
        <f>IFERROR(AVERAGE(Tabel1[[#This Row],[In - A3a]:[In - A3a]]),"")</f>
        <v>2</v>
      </c>
      <c r="DU32" s="14">
        <v>3</v>
      </c>
      <c r="DV32" s="14">
        <f>IFERROR(AVERAGE(Tabel1[[#This Row],[In - A1]],Tabel1[[#This Row],[In - A2]],Tabel1[[#This Row],[In - A3]],Tabel1[[#This Row],[In - A4]]),"")</f>
        <v>2.375</v>
      </c>
      <c r="DW32" s="14">
        <v>2</v>
      </c>
      <c r="DX32" s="14">
        <v>4</v>
      </c>
      <c r="DY32" s="14">
        <v>2</v>
      </c>
      <c r="DZ32" s="14">
        <f>IFERROR(AVERAGE(Tabel1[[#This Row],[Do - R1a]:[Do - R1c]]),"")</f>
        <v>2.6666666666666665</v>
      </c>
      <c r="EA32" s="14" t="s">
        <v>189</v>
      </c>
      <c r="EB32" s="14">
        <v>5</v>
      </c>
      <c r="EC32" s="14" t="s">
        <v>189</v>
      </c>
      <c r="ED32" s="14" t="s">
        <v>189</v>
      </c>
      <c r="EE32" s="14">
        <f>IFERROR(AVERAGE(Tabel1[[#This Row],[Do - R1]:[Do - R5]]),"")</f>
        <v>3.833333333333333</v>
      </c>
      <c r="EF32" s="14">
        <v>4</v>
      </c>
      <c r="EG32" s="14">
        <v>3</v>
      </c>
      <c r="EH32" s="14">
        <v>4</v>
      </c>
      <c r="EI32" s="14">
        <f>IFERROR(AVERAGE(Tabel1[[#This Row],[Do - C1a]:[Do - C1c]]),"")</f>
        <v>3.6666666666666665</v>
      </c>
      <c r="EJ32" s="14">
        <v>4</v>
      </c>
      <c r="EK32" s="14">
        <v>3</v>
      </c>
      <c r="EL32" s="14">
        <v>3</v>
      </c>
      <c r="EM32" s="14">
        <f>IFERROR(AVERAGE(Tabel1[[#This Row],[Do - C1]:[Do - C4]]),"")</f>
        <v>3.4166666666666665</v>
      </c>
      <c r="EN32" s="14">
        <v>5</v>
      </c>
      <c r="EO32" s="14">
        <v>3</v>
      </c>
      <c r="EP32" s="14">
        <v>2</v>
      </c>
      <c r="EQ32" s="14">
        <f>IFERROR(AVERAGE(Tabel1[[#This Row],[Do - F1a]:[Do - F1c]]),"")</f>
        <v>3.3333333333333335</v>
      </c>
      <c r="ER32" s="14">
        <v>4</v>
      </c>
      <c r="ES32" s="14">
        <f>IFERROR(AVERAGE(Tabel1[[#This Row],[Do - F2a]:[Do - F2a]]),"")</f>
        <v>4</v>
      </c>
      <c r="ET32" s="14">
        <v>3</v>
      </c>
      <c r="EU32" s="14">
        <v>2</v>
      </c>
      <c r="EV32" s="14">
        <f>IFERROR(AVERAGE(Tabel1[[#This Row],[Do - F3a]:[Do - F3b]]),"")</f>
        <v>2.5</v>
      </c>
      <c r="EW32" s="14">
        <v>2</v>
      </c>
      <c r="EX32" s="14">
        <f>IFERROR(AVERAGE(Tabel1[[#This Row],[Do - F1]],Tabel1[[#This Row],[Do - F2]],Tabel1[[#This Row],[Do - F3]],Tabel1[[#This Row],[Do - F4]]),"")</f>
        <v>2.9583333333333335</v>
      </c>
      <c r="EY32" s="14">
        <v>2</v>
      </c>
      <c r="EZ32" s="14">
        <v>1</v>
      </c>
      <c r="FA32" s="14">
        <v>4</v>
      </c>
      <c r="FB32" s="14">
        <f>IFERROR(AVERAGE(Tabel1[[#This Row],[Do - V1a]:[Do - V1c]]),"")</f>
        <v>2.3333333333333335</v>
      </c>
      <c r="FC32" s="14">
        <v>1</v>
      </c>
      <c r="FD32" s="14">
        <v>4</v>
      </c>
      <c r="FE32" s="14">
        <f>IFERROR(AVERAGE(Tabel1[[#This Row],[Do - V2a]:[Do - V2b]]),"")</f>
        <v>2.5</v>
      </c>
      <c r="FF32" s="14">
        <v>3</v>
      </c>
      <c r="FG32" s="14">
        <f>IFERROR(AVERAGE(Tabel1[[#This Row],[Do - V3a]:[Do - V3a]]),"")</f>
        <v>3</v>
      </c>
      <c r="FH32" s="14">
        <v>2</v>
      </c>
      <c r="FI32" s="14">
        <f>IFERROR(AVERAGE(Tabel1[[#This Row],[Do - V1]],Tabel1[[#This Row],[Do - V2]],Tabel1[[#This Row],[Do - V3]],Tabel1[[#This Row],[Do - V4]]),"")</f>
        <v>2.4583333333333335</v>
      </c>
      <c r="FJ32" s="14">
        <v>5</v>
      </c>
      <c r="FK32" s="14">
        <v>3</v>
      </c>
      <c r="FL32" s="14">
        <v>4</v>
      </c>
      <c r="FM32" s="14">
        <f>IFERROR(AVERAGE(Tabel1[[#This Row],[Do - A1a]:[Do - A1c]]),"")</f>
        <v>4</v>
      </c>
      <c r="FN32" s="14" t="s">
        <v>189</v>
      </c>
      <c r="FO32" s="14">
        <v>3</v>
      </c>
      <c r="FP32" s="14">
        <f>IFERROR(AVERAGE(Tabel1[[#This Row],[Do - A2a]:[Do - A2b]]),"")</f>
        <v>3</v>
      </c>
      <c r="FQ32" s="14">
        <v>3</v>
      </c>
      <c r="FR32" s="14">
        <f>IFERROR(AVERAGE(Tabel1[[#This Row],[Do - A3a]:[Do - A3a]]),"")</f>
        <v>3</v>
      </c>
      <c r="FS32" s="14">
        <v>3</v>
      </c>
      <c r="FT32" s="14">
        <f>IFERROR(AVERAGE(Tabel1[[#This Row],[Do - A1]],Tabel1[[#This Row],[Do - A2]],Tabel1[[#This Row],[Do - A3]],Tabel1[[#This Row],[Do - A4]]),"")</f>
        <v>3.25</v>
      </c>
      <c r="FU3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2.9005555555555556</v>
      </c>
      <c r="FV32" s="16" t="s">
        <v>360</v>
      </c>
      <c r="FW32" t="b">
        <v>1</v>
      </c>
    </row>
    <row r="33" spans="1:179" x14ac:dyDescent="0.3">
      <c r="A33" s="13">
        <v>44903.583749999998</v>
      </c>
      <c r="B33" t="b">
        <v>0</v>
      </c>
      <c r="C33" s="14" t="s">
        <v>361</v>
      </c>
      <c r="D33" s="14" t="s">
        <v>252</v>
      </c>
      <c r="E33" s="14" t="s">
        <v>362</v>
      </c>
      <c r="F33" s="14" t="s">
        <v>184</v>
      </c>
      <c r="G33" s="14" t="s">
        <v>363</v>
      </c>
      <c r="H33" s="14" t="s">
        <v>222</v>
      </c>
      <c r="I33" s="14" t="s">
        <v>243</v>
      </c>
      <c r="J33" s="14" t="s">
        <v>244</v>
      </c>
      <c r="K33" s="17" t="s">
        <v>304</v>
      </c>
      <c r="L33" s="14" t="s">
        <v>218</v>
      </c>
      <c r="M33" s="14" t="s">
        <v>198</v>
      </c>
      <c r="N33" s="14" t="s">
        <v>331</v>
      </c>
      <c r="O33" s="14" t="s">
        <v>256</v>
      </c>
      <c r="P33" s="17" t="s">
        <v>304</v>
      </c>
      <c r="Q33" s="14" t="s">
        <v>201</v>
      </c>
      <c r="R33" s="14" t="s">
        <v>235</v>
      </c>
      <c r="S33" s="14" t="s">
        <v>201</v>
      </c>
      <c r="T33" s="14" t="s">
        <v>236</v>
      </c>
      <c r="U33" s="14" t="s">
        <v>285</v>
      </c>
      <c r="V33" s="14" t="s">
        <v>359</v>
      </c>
      <c r="W33" s="14" t="s">
        <v>306</v>
      </c>
      <c r="X33" s="14" t="s">
        <v>306</v>
      </c>
      <c r="Y33" s="14">
        <v>4</v>
      </c>
      <c r="Z33" s="14">
        <v>4</v>
      </c>
      <c r="AA33" s="14">
        <v>4</v>
      </c>
      <c r="AB33" s="15">
        <f>IFERROR(AVERAGE(Tabel1[[#This Row],[Up - R1a]:[Up - R1c]]),"")</f>
        <v>4</v>
      </c>
      <c r="AC33" s="14">
        <v>1</v>
      </c>
      <c r="AD33" s="14">
        <v>4</v>
      </c>
      <c r="AE33" s="14">
        <v>1</v>
      </c>
      <c r="AF33" s="14" t="s">
        <v>189</v>
      </c>
      <c r="AG33" s="14">
        <f>IFERROR(AVERAGE(Tabel1[[#This Row],[Up - R1]:[Up - R5]]),"")</f>
        <v>2.5</v>
      </c>
      <c r="AH33" s="14">
        <v>5</v>
      </c>
      <c r="AI33" s="14">
        <v>4</v>
      </c>
      <c r="AJ33" s="14">
        <v>4</v>
      </c>
      <c r="AK33" s="14">
        <f>IFERROR(AVERAGE(Tabel1[[#This Row],[Up - C1a]:[Up - C1c]]),"")</f>
        <v>4.333333333333333</v>
      </c>
      <c r="AL33" s="14">
        <v>5</v>
      </c>
      <c r="AM33" s="14">
        <v>4</v>
      </c>
      <c r="AN33" s="14">
        <v>2</v>
      </c>
      <c r="AO33" s="14">
        <f>IFERROR(AVERAGE(Tabel1[[#This Row],[Up - C1]:[Up - C4]]),"")</f>
        <v>3.833333333333333</v>
      </c>
      <c r="AP33" s="14">
        <v>5</v>
      </c>
      <c r="AQ33" s="14">
        <f>IFERROR(AVERAGE(Tabel1[[#This Row],[Up - F1a]:[Up - F1a]]),"")</f>
        <v>5</v>
      </c>
      <c r="AR33" s="14">
        <v>2</v>
      </c>
      <c r="AS33" s="14">
        <v>1</v>
      </c>
      <c r="AT33" s="14">
        <f>IFERROR(AVERAGE(Tabel1[[#This Row],[Up - F2a]:[Up - F2b]]),"")</f>
        <v>1.5</v>
      </c>
      <c r="AU33" s="14">
        <v>3</v>
      </c>
      <c r="AV33" s="14">
        <v>1</v>
      </c>
      <c r="AW33" s="14">
        <f>IFERROR(AVERAGE(Tabel1[[#This Row],[Up - F3a]:[Up - F3b]]),"")</f>
        <v>2</v>
      </c>
      <c r="AX33" s="14">
        <v>3</v>
      </c>
      <c r="AY33" s="14">
        <f>IFERROR(AVERAGE(Tabel1[[#This Row],[Up - F1]],Tabel1[[#This Row],[Up - F2]],Tabel1[[#This Row],[Up - F3]],Tabel1[[#This Row],[Up - F4]]),"")</f>
        <v>2.875</v>
      </c>
      <c r="AZ33" s="14">
        <v>4</v>
      </c>
      <c r="BA33" s="14">
        <v>5</v>
      </c>
      <c r="BB33" s="14">
        <f>IFERROR(AVERAGE(Tabel1[[#This Row],[Up - V1a]:[Up - V1b]]),"")</f>
        <v>4.5</v>
      </c>
      <c r="BC33" s="14">
        <v>4</v>
      </c>
      <c r="BD33" s="14">
        <v>5</v>
      </c>
      <c r="BE33" s="14">
        <v>4</v>
      </c>
      <c r="BF33" s="14">
        <f>IFERROR(AVERAGE(Tabel1[[#This Row],[Up - V2a]:[Up - V2c]]),"")</f>
        <v>4.333333333333333</v>
      </c>
      <c r="BG33" s="14">
        <v>5</v>
      </c>
      <c r="BH33" s="14">
        <v>1</v>
      </c>
      <c r="BI33" s="14">
        <f>IFERROR(AVERAGE(Tabel1[[#This Row],[Up - V3a]:[Up - V3b]]),"")</f>
        <v>3</v>
      </c>
      <c r="BJ33" s="14">
        <v>3</v>
      </c>
      <c r="BK33" s="14">
        <f>IFERROR(AVERAGE(Tabel1[[#This Row],[Up - V1]],Tabel1[[#This Row],[Up - V2]],Tabel1[[#This Row],[Up - V3]],Tabel1[[#This Row],[Up - V4]]),"")</f>
        <v>3.708333333333333</v>
      </c>
      <c r="BL33" s="14">
        <v>1</v>
      </c>
      <c r="BM33" s="14">
        <v>3</v>
      </c>
      <c r="BN33" s="14">
        <v>3</v>
      </c>
      <c r="BO33" s="14">
        <v>3</v>
      </c>
      <c r="BP33" s="14">
        <f>IFERROR(AVERAGE(Tabel1[[#This Row],[Up - A1a]:[Up - A1d]]),"")</f>
        <v>2.5</v>
      </c>
      <c r="BQ33" s="14">
        <v>4</v>
      </c>
      <c r="BR33" s="14">
        <v>4</v>
      </c>
      <c r="BS33" s="14">
        <f>IFERROR(AVERAGE(Tabel1[[#This Row],[Up - A2a]:[Up - A2b]]),"")</f>
        <v>4</v>
      </c>
      <c r="BT33" s="14">
        <v>5</v>
      </c>
      <c r="BU33" s="14">
        <f>IFERROR(AVERAGE(Tabel1[[#This Row],[Up - A3a]:[Up - A3a]]),"")</f>
        <v>5</v>
      </c>
      <c r="BV33" s="14">
        <v>3</v>
      </c>
      <c r="BW33" s="14">
        <f>IFERROR(AVERAGE(Tabel1[[#This Row],[Up - A1]],Tabel1[[#This Row],[Up - A2]],Tabel1[[#This Row],[Up - A3]]),"")</f>
        <v>3.8333333333333335</v>
      </c>
      <c r="BX33" s="14">
        <v>4</v>
      </c>
      <c r="BY33" s="14">
        <v>4</v>
      </c>
      <c r="BZ33" s="14">
        <f>IFERROR(AVERAGE(Tabel1[[#This Row],[In - R1a]:[In - R1b]]),"")</f>
        <v>4</v>
      </c>
      <c r="CA33" s="14">
        <v>1</v>
      </c>
      <c r="CB33" s="14" t="s">
        <v>189</v>
      </c>
      <c r="CC33" s="14">
        <v>1</v>
      </c>
      <c r="CD33" s="14">
        <v>5</v>
      </c>
      <c r="CE33" s="14">
        <f>IFERROR(AVERAGE(Tabel1[[#This Row],[In - R1]:[In - R5]]),"")</f>
        <v>2.75</v>
      </c>
      <c r="CF33" s="14">
        <v>3</v>
      </c>
      <c r="CG33" s="14">
        <v>5</v>
      </c>
      <c r="CH33" s="14">
        <v>5</v>
      </c>
      <c r="CI33" s="14">
        <f>IFERROR(AVERAGE(Tabel1[[#This Row],[In - C1a]:[In - C1c]]),"")</f>
        <v>4.333333333333333</v>
      </c>
      <c r="CJ33" s="14">
        <v>4</v>
      </c>
      <c r="CK33" s="14">
        <v>3</v>
      </c>
      <c r="CL33" s="14">
        <v>4</v>
      </c>
      <c r="CM33" s="14">
        <f>IFERROR(AVERAGE(Tabel1[[#This Row],[In - C1]:[In - C4]]),"")</f>
        <v>3.833333333333333</v>
      </c>
      <c r="CN33" s="14">
        <v>2</v>
      </c>
      <c r="CO33" s="14">
        <v>3</v>
      </c>
      <c r="CP33" s="14">
        <v>1</v>
      </c>
      <c r="CQ33" s="14">
        <f>IFERROR(AVERAGE(Tabel1[[#This Row],[In - F1a]:[In - F1c]]),"")</f>
        <v>2</v>
      </c>
      <c r="CR33" s="14">
        <v>3</v>
      </c>
      <c r="CS33" s="14">
        <v>5</v>
      </c>
      <c r="CT33" s="14">
        <f>IFERROR(AVERAGE(Tabel1[[#This Row],[In - F2a]:[In - F2b]]),"")</f>
        <v>4</v>
      </c>
      <c r="CU33" s="14">
        <v>2</v>
      </c>
      <c r="CV33" s="14">
        <f>IFERROR(AVERAGE(Tabel1[[#This Row],[In - F3a]:[In - F3a]]),"")</f>
        <v>2</v>
      </c>
      <c r="CW33" s="14">
        <v>4</v>
      </c>
      <c r="CX33" s="14">
        <f>IFERROR(AVERAGE(Tabel1[[#This Row],[In - F1]],Tabel1[[#This Row],[In - F2]],Tabel1[[#This Row],[In - F3]],Tabel1[[#This Row],[In - F4]]),"")</f>
        <v>3</v>
      </c>
      <c r="CY33" s="14">
        <v>4</v>
      </c>
      <c r="CZ33" s="14">
        <v>4</v>
      </c>
      <c r="DA33" s="14">
        <v>4</v>
      </c>
      <c r="DB33" s="14">
        <f>IFERROR(AVERAGE(Tabel1[[#This Row],[In - V1a]:[In - V1c]]),"")</f>
        <v>4</v>
      </c>
      <c r="DC33" s="14">
        <v>5</v>
      </c>
      <c r="DD33" s="14">
        <v>3</v>
      </c>
      <c r="DE33" s="14">
        <v>4</v>
      </c>
      <c r="DF33" s="14">
        <f>IFERROR(AVERAGE(Tabel1[[#This Row],[In - V2a]:[In - V2c]]),"")</f>
        <v>4</v>
      </c>
      <c r="DG33" s="14">
        <v>3</v>
      </c>
      <c r="DH33" s="14">
        <v>4</v>
      </c>
      <c r="DI33" s="14">
        <f>IFERROR(AVERAGE(Tabel1[[#This Row],[In - V3a]:[In - V3b]]),"")</f>
        <v>3.5</v>
      </c>
      <c r="DJ33" s="14">
        <v>3</v>
      </c>
      <c r="DK33" s="14">
        <f>IFERROR(AVERAGE(Tabel1[[#This Row],[In - V1]],Tabel1[[#This Row],[In - V2]],Tabel1[[#This Row],[In - V3]],Tabel1[[#This Row],[In - V4]]),"")</f>
        <v>3.625</v>
      </c>
      <c r="DL33" s="14">
        <v>2</v>
      </c>
      <c r="DM33" s="14">
        <v>1</v>
      </c>
      <c r="DN33" s="14">
        <f>IFERROR(AVERAGE(Tabel1[[#This Row],[In - A1a]:[In - A1b]]),"")</f>
        <v>1.5</v>
      </c>
      <c r="DO33" s="14" t="s">
        <v>189</v>
      </c>
      <c r="DP33" s="14">
        <v>4</v>
      </c>
      <c r="DQ33" s="14">
        <f>IFERROR(AVERAGE(Tabel1[[#This Row],[In - A2a]:[In - A2b]]),"")</f>
        <v>4</v>
      </c>
      <c r="DR33" s="14">
        <v>4</v>
      </c>
      <c r="DS33" s="14">
        <v>4</v>
      </c>
      <c r="DT33" s="14">
        <f>IFERROR(AVERAGE(Tabel1[[#This Row],[In - A3a]:[In - A3a]]),"")</f>
        <v>4</v>
      </c>
      <c r="DU33" s="14">
        <v>3</v>
      </c>
      <c r="DV33" s="14">
        <f>IFERROR(AVERAGE(Tabel1[[#This Row],[In - A1]],Tabel1[[#This Row],[In - A2]],Tabel1[[#This Row],[In - A3]],Tabel1[[#This Row],[In - A4]]),"")</f>
        <v>3.125</v>
      </c>
      <c r="DW33" s="14">
        <v>1</v>
      </c>
      <c r="DX33" s="14">
        <v>5</v>
      </c>
      <c r="DY33" s="14">
        <v>2</v>
      </c>
      <c r="DZ33" s="14">
        <f>IFERROR(AVERAGE(Tabel1[[#This Row],[Do - R1a]:[Do - R1c]]),"")</f>
        <v>2.6666666666666665</v>
      </c>
      <c r="EA33" s="14" t="s">
        <v>189</v>
      </c>
      <c r="EB33" s="14">
        <v>4</v>
      </c>
      <c r="EC33" s="14">
        <v>4</v>
      </c>
      <c r="ED33" s="14">
        <v>4</v>
      </c>
      <c r="EE33" s="14">
        <f>IFERROR(AVERAGE(Tabel1[[#This Row],[Do - R1]:[Do - R5]]),"")</f>
        <v>3.6666666666666665</v>
      </c>
      <c r="EF33" s="14">
        <v>5</v>
      </c>
      <c r="EG33" s="14">
        <v>5</v>
      </c>
      <c r="EH33" s="14">
        <v>4</v>
      </c>
      <c r="EI33" s="14">
        <f>IFERROR(AVERAGE(Tabel1[[#This Row],[Do - C1a]:[Do - C1c]]),"")</f>
        <v>4.666666666666667</v>
      </c>
      <c r="EJ33" s="14" t="s">
        <v>189</v>
      </c>
      <c r="EK33" s="14" t="s">
        <v>189</v>
      </c>
      <c r="EL33" s="14">
        <v>1</v>
      </c>
      <c r="EM33" s="14">
        <f>IFERROR(AVERAGE(Tabel1[[#This Row],[Do - C1]:[Do - C4]]),"")</f>
        <v>2.8333333333333335</v>
      </c>
      <c r="EN33" s="14">
        <v>2</v>
      </c>
      <c r="EO33" s="14">
        <v>2</v>
      </c>
      <c r="EP33" s="14">
        <v>3</v>
      </c>
      <c r="EQ33" s="14">
        <f>IFERROR(AVERAGE(Tabel1[[#This Row],[Do - F1a]:[Do - F1c]]),"")</f>
        <v>2.3333333333333335</v>
      </c>
      <c r="ER33" s="14">
        <v>5</v>
      </c>
      <c r="ES33" s="14">
        <f>IFERROR(AVERAGE(Tabel1[[#This Row],[Do - F2a]:[Do - F2a]]),"")</f>
        <v>5</v>
      </c>
      <c r="ET33" s="14">
        <v>4</v>
      </c>
      <c r="EU33" s="14">
        <v>2</v>
      </c>
      <c r="EV33" s="14">
        <f>IFERROR(AVERAGE(Tabel1[[#This Row],[Do - F3a]:[Do - F3b]]),"")</f>
        <v>3</v>
      </c>
      <c r="EW33" s="14">
        <v>2</v>
      </c>
      <c r="EX33" s="14">
        <f>IFERROR(AVERAGE(Tabel1[[#This Row],[Do - F1]],Tabel1[[#This Row],[Do - F2]],Tabel1[[#This Row],[Do - F3]],Tabel1[[#This Row],[Do - F4]]),"")</f>
        <v>3.0833333333333335</v>
      </c>
      <c r="EY33" s="14">
        <v>4</v>
      </c>
      <c r="EZ33" s="14">
        <v>4</v>
      </c>
      <c r="FA33" s="14">
        <v>5</v>
      </c>
      <c r="FB33" s="14">
        <f>IFERROR(AVERAGE(Tabel1[[#This Row],[Do - V1a]:[Do - V1c]]),"")</f>
        <v>4.333333333333333</v>
      </c>
      <c r="FC33" s="14">
        <v>5</v>
      </c>
      <c r="FD33" s="14">
        <v>5</v>
      </c>
      <c r="FE33" s="14">
        <f>IFERROR(AVERAGE(Tabel1[[#This Row],[Do - V2a]:[Do - V2b]]),"")</f>
        <v>5</v>
      </c>
      <c r="FF33" s="14">
        <v>4</v>
      </c>
      <c r="FG33" s="14">
        <f>IFERROR(AVERAGE(Tabel1[[#This Row],[Do - V3a]:[Do - V3a]]),"")</f>
        <v>4</v>
      </c>
      <c r="FH33" s="14">
        <v>3</v>
      </c>
      <c r="FI33" s="14">
        <f>IFERROR(AVERAGE(Tabel1[[#This Row],[Do - V1]],Tabel1[[#This Row],[Do - V2]],Tabel1[[#This Row],[Do - V3]],Tabel1[[#This Row],[Do - V4]]),"")</f>
        <v>4.083333333333333</v>
      </c>
      <c r="FJ33" s="14">
        <v>1</v>
      </c>
      <c r="FK33" s="14">
        <v>4</v>
      </c>
      <c r="FL33" s="14">
        <v>5</v>
      </c>
      <c r="FM33" s="14">
        <f>IFERROR(AVERAGE(Tabel1[[#This Row],[Do - A1a]:[Do - A1c]]),"")</f>
        <v>3.3333333333333335</v>
      </c>
      <c r="FN33" s="14" t="s">
        <v>189</v>
      </c>
      <c r="FO33" s="14">
        <v>4</v>
      </c>
      <c r="FP33" s="14">
        <f>IFERROR(AVERAGE(Tabel1[[#This Row],[Do - A2a]:[Do - A2b]]),"")</f>
        <v>4</v>
      </c>
      <c r="FQ33" s="14">
        <v>4</v>
      </c>
      <c r="FR33" s="14">
        <f>IFERROR(AVERAGE(Tabel1[[#This Row],[Do - A3a]:[Do - A3a]]),"")</f>
        <v>4</v>
      </c>
      <c r="FS33" s="14">
        <v>3</v>
      </c>
      <c r="FT33" s="14">
        <f>IFERROR(AVERAGE(Tabel1[[#This Row],[Do - A1]],Tabel1[[#This Row],[Do - A2]],Tabel1[[#This Row],[Do - A3]],Tabel1[[#This Row],[Do - A4]]),"")</f>
        <v>3.5833333333333335</v>
      </c>
      <c r="FU3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3.3555555555555556</v>
      </c>
      <c r="FV33" s="16" t="s">
        <v>364</v>
      </c>
      <c r="FW33" t="b">
        <v>1</v>
      </c>
    </row>
    <row r="34" spans="1:179" x14ac:dyDescent="0.3">
      <c r="A34" s="13">
        <v>44903.600486111114</v>
      </c>
      <c r="B34" t="b">
        <v>0</v>
      </c>
      <c r="C34" s="14" t="s">
        <v>365</v>
      </c>
      <c r="D34" s="14" t="s">
        <v>252</v>
      </c>
      <c r="E34" s="14" t="s">
        <v>366</v>
      </c>
      <c r="F34" s="14" t="s">
        <v>184</v>
      </c>
      <c r="G34" s="14" t="s">
        <v>367</v>
      </c>
      <c r="H34" s="14" t="s">
        <v>222</v>
      </c>
      <c r="I34" s="14" t="s">
        <v>243</v>
      </c>
      <c r="J34" s="14" t="s">
        <v>244</v>
      </c>
      <c r="K34" s="17" t="s">
        <v>255</v>
      </c>
      <c r="L34" s="14" t="s">
        <v>249</v>
      </c>
      <c r="M34" s="14" t="s">
        <v>233</v>
      </c>
      <c r="N34" s="14" t="s">
        <v>331</v>
      </c>
      <c r="O34" s="14" t="s">
        <v>256</v>
      </c>
      <c r="P34" s="17" t="s">
        <v>304</v>
      </c>
      <c r="Q34" s="17" t="s">
        <v>255</v>
      </c>
      <c r="R34" s="14" t="s">
        <v>187</v>
      </c>
      <c r="S34" s="17" t="s">
        <v>255</v>
      </c>
      <c r="T34" s="14" t="s">
        <v>284</v>
      </c>
      <c r="U34" s="14" t="s">
        <v>285</v>
      </c>
      <c r="V34" s="14" t="s">
        <v>359</v>
      </c>
      <c r="W34" s="14" t="s">
        <v>306</v>
      </c>
      <c r="X34" s="14" t="s">
        <v>207</v>
      </c>
      <c r="Y34" s="14">
        <v>1</v>
      </c>
      <c r="Z34" s="14">
        <v>1</v>
      </c>
      <c r="AA34" s="14">
        <v>3</v>
      </c>
      <c r="AB34" s="15">
        <f>IFERROR(AVERAGE(Tabel1[[#This Row],[Up - R1a]:[Up - R1c]]),"")</f>
        <v>1.6666666666666667</v>
      </c>
      <c r="AC34" s="14">
        <v>3</v>
      </c>
      <c r="AD34" s="14">
        <v>5</v>
      </c>
      <c r="AE34" s="14">
        <v>1</v>
      </c>
      <c r="AF34" s="14" t="s">
        <v>189</v>
      </c>
      <c r="AG34" s="14">
        <f>IFERROR(AVERAGE(Tabel1[[#This Row],[Up - R1]:[Up - R5]]),"")</f>
        <v>2.666666666666667</v>
      </c>
      <c r="AH34" s="14">
        <v>5</v>
      </c>
      <c r="AI34" s="14">
        <v>1</v>
      </c>
      <c r="AJ34" s="14">
        <v>5</v>
      </c>
      <c r="AK34" s="14">
        <f>IFERROR(AVERAGE(Tabel1[[#This Row],[Up - C1a]:[Up - C1c]]),"")</f>
        <v>3.6666666666666665</v>
      </c>
      <c r="AL34" s="14" t="s">
        <v>189</v>
      </c>
      <c r="AM34" s="14" t="s">
        <v>189</v>
      </c>
      <c r="AN34" s="14">
        <v>2</v>
      </c>
      <c r="AO34" s="14">
        <f>IFERROR(AVERAGE(Tabel1[[#This Row],[Up - C1]:[Up - C4]]),"")</f>
        <v>2.833333333333333</v>
      </c>
      <c r="AP34" s="14">
        <v>4</v>
      </c>
      <c r="AQ34" s="14">
        <f>IFERROR(AVERAGE(Tabel1[[#This Row],[Up - F1a]:[Up - F1a]]),"")</f>
        <v>4</v>
      </c>
      <c r="AR34" s="14">
        <v>2</v>
      </c>
      <c r="AS34" s="14">
        <v>5</v>
      </c>
      <c r="AT34" s="14">
        <f>IFERROR(AVERAGE(Tabel1[[#This Row],[Up - F2a]:[Up - F2b]]),"")</f>
        <v>3.5</v>
      </c>
      <c r="AU34" s="14">
        <v>3</v>
      </c>
      <c r="AV34" s="14">
        <v>2</v>
      </c>
      <c r="AW34" s="14">
        <f>IFERROR(AVERAGE(Tabel1[[#This Row],[Up - F3a]:[Up - F3b]]),"")</f>
        <v>2.5</v>
      </c>
      <c r="AX34" s="14">
        <v>4</v>
      </c>
      <c r="AY34" s="14">
        <f>IFERROR(AVERAGE(Tabel1[[#This Row],[Up - F1]],Tabel1[[#This Row],[Up - F2]],Tabel1[[#This Row],[Up - F3]],Tabel1[[#This Row],[Up - F4]]),"")</f>
        <v>3.5</v>
      </c>
      <c r="AZ34" s="14">
        <v>4</v>
      </c>
      <c r="BA34" s="14">
        <v>4</v>
      </c>
      <c r="BB34" s="14">
        <f>IFERROR(AVERAGE(Tabel1[[#This Row],[Up - V1a]:[Up - V1b]]),"")</f>
        <v>4</v>
      </c>
      <c r="BC34" s="14">
        <v>4</v>
      </c>
      <c r="BD34" s="14">
        <v>5</v>
      </c>
      <c r="BE34" s="14">
        <v>3</v>
      </c>
      <c r="BF34" s="14">
        <f>IFERROR(AVERAGE(Tabel1[[#This Row],[Up - V2a]:[Up - V2c]]),"")</f>
        <v>4</v>
      </c>
      <c r="BG34" s="14">
        <v>4</v>
      </c>
      <c r="BH34" s="14">
        <v>1</v>
      </c>
      <c r="BI34" s="14">
        <f>IFERROR(AVERAGE(Tabel1[[#This Row],[Up - V3a]:[Up - V3b]]),"")</f>
        <v>2.5</v>
      </c>
      <c r="BJ34" s="14">
        <v>1</v>
      </c>
      <c r="BK34" s="14">
        <f>IFERROR(AVERAGE(Tabel1[[#This Row],[Up - V1]],Tabel1[[#This Row],[Up - V2]],Tabel1[[#This Row],[Up - V3]],Tabel1[[#This Row],[Up - V4]]),"")</f>
        <v>2.875</v>
      </c>
      <c r="BL34" s="14">
        <v>1</v>
      </c>
      <c r="BM34" s="14">
        <v>2</v>
      </c>
      <c r="BN34" s="14">
        <v>3</v>
      </c>
      <c r="BO34" s="14">
        <v>3</v>
      </c>
      <c r="BP34" s="14">
        <f>IFERROR(AVERAGE(Tabel1[[#This Row],[Up - A1a]:[Up - A1d]]),"")</f>
        <v>2.25</v>
      </c>
      <c r="BQ34" s="14">
        <v>3</v>
      </c>
      <c r="BR34" s="14">
        <v>5</v>
      </c>
      <c r="BS34" s="14">
        <f>IFERROR(AVERAGE(Tabel1[[#This Row],[Up - A2a]:[Up - A2b]]),"")</f>
        <v>4</v>
      </c>
      <c r="BT34" s="14">
        <v>5</v>
      </c>
      <c r="BU34" s="14">
        <f>IFERROR(AVERAGE(Tabel1[[#This Row],[Up - A3a]:[Up - A3a]]),"")</f>
        <v>5</v>
      </c>
      <c r="BV34" s="14">
        <v>3</v>
      </c>
      <c r="BW34" s="14">
        <f>IFERROR(AVERAGE(Tabel1[[#This Row],[Up - A1]],Tabel1[[#This Row],[Up - A2]],Tabel1[[#This Row],[Up - A3]]),"")</f>
        <v>3.75</v>
      </c>
      <c r="BX34" s="14">
        <v>1</v>
      </c>
      <c r="BY34" s="14">
        <v>2</v>
      </c>
      <c r="BZ34" s="14">
        <f>IFERROR(AVERAGE(Tabel1[[#This Row],[In - R1a]:[In - R1b]]),"")</f>
        <v>1.5</v>
      </c>
      <c r="CA34" s="14">
        <v>5</v>
      </c>
      <c r="CB34" s="14" t="s">
        <v>189</v>
      </c>
      <c r="CC34" s="14">
        <v>5</v>
      </c>
      <c r="CD34" s="14">
        <v>5</v>
      </c>
      <c r="CE34" s="14">
        <f>IFERROR(AVERAGE(Tabel1[[#This Row],[In - R1]:[In - R5]]),"")</f>
        <v>4.125</v>
      </c>
      <c r="CF34" s="14">
        <v>1</v>
      </c>
      <c r="CG34" s="14" t="s">
        <v>189</v>
      </c>
      <c r="CH34" s="14">
        <v>5</v>
      </c>
      <c r="CI34" s="14">
        <f>IFERROR(AVERAGE(Tabel1[[#This Row],[In - C1a]:[In - C1c]]),"")</f>
        <v>3</v>
      </c>
      <c r="CJ34" s="14">
        <v>4</v>
      </c>
      <c r="CK34" s="14">
        <v>3</v>
      </c>
      <c r="CL34" s="14">
        <v>4</v>
      </c>
      <c r="CM34" s="14">
        <f>IFERROR(AVERAGE(Tabel1[[#This Row],[In - C1]:[In - C4]]),"")</f>
        <v>3.5</v>
      </c>
      <c r="CN34" s="14">
        <v>1</v>
      </c>
      <c r="CO34" s="14">
        <v>3</v>
      </c>
      <c r="CP34" s="14">
        <v>1</v>
      </c>
      <c r="CQ34" s="14">
        <f>IFERROR(AVERAGE(Tabel1[[#This Row],[In - F1a]:[In - F1c]]),"")</f>
        <v>1.6666666666666667</v>
      </c>
      <c r="CR34" s="14">
        <v>1</v>
      </c>
      <c r="CS34" s="14">
        <v>1</v>
      </c>
      <c r="CT34" s="14">
        <f>IFERROR(AVERAGE(Tabel1[[#This Row],[In - F2a]:[In - F2b]]),"")</f>
        <v>1</v>
      </c>
      <c r="CU34" s="14">
        <v>1</v>
      </c>
      <c r="CV34" s="14">
        <f>IFERROR(AVERAGE(Tabel1[[#This Row],[In - F3a]:[In - F3a]]),"")</f>
        <v>1</v>
      </c>
      <c r="CW34" s="14">
        <v>4</v>
      </c>
      <c r="CX34" s="14">
        <f>IFERROR(AVERAGE(Tabel1[[#This Row],[In - F1]],Tabel1[[#This Row],[In - F2]],Tabel1[[#This Row],[In - F3]],Tabel1[[#This Row],[In - F4]]),"")</f>
        <v>1.9166666666666667</v>
      </c>
      <c r="CY34" s="14">
        <v>3</v>
      </c>
      <c r="CZ34" s="14" t="s">
        <v>189</v>
      </c>
      <c r="DA34" s="14">
        <v>4</v>
      </c>
      <c r="DB34" s="14">
        <f>IFERROR(AVERAGE(Tabel1[[#This Row],[In - V1a]:[In - V1c]]),"")</f>
        <v>3.5</v>
      </c>
      <c r="DC34" s="14" t="s">
        <v>189</v>
      </c>
      <c r="DD34" s="14">
        <v>4</v>
      </c>
      <c r="DE34" s="14" t="s">
        <v>189</v>
      </c>
      <c r="DF34" s="14">
        <f>IFERROR(AVERAGE(Tabel1[[#This Row],[In - V2a]:[In - V2c]]),"")</f>
        <v>4</v>
      </c>
      <c r="DG34" s="14">
        <v>1</v>
      </c>
      <c r="DH34" s="14">
        <v>1</v>
      </c>
      <c r="DI34" s="14">
        <f>IFERROR(AVERAGE(Tabel1[[#This Row],[In - V3a]:[In - V3b]]),"")</f>
        <v>1</v>
      </c>
      <c r="DJ34" s="14">
        <v>4</v>
      </c>
      <c r="DK34" s="14">
        <f>IFERROR(AVERAGE(Tabel1[[#This Row],[In - V1]],Tabel1[[#This Row],[In - V2]],Tabel1[[#This Row],[In - V3]],Tabel1[[#This Row],[In - V4]]),"")</f>
        <v>3.125</v>
      </c>
      <c r="DL34" s="14">
        <v>3</v>
      </c>
      <c r="DM34" s="14" t="s">
        <v>189</v>
      </c>
      <c r="DN34" s="14">
        <f>IFERROR(AVERAGE(Tabel1[[#This Row],[In - A1a]:[In - A1b]]),"")</f>
        <v>3</v>
      </c>
      <c r="DO34" s="14" t="s">
        <v>189</v>
      </c>
      <c r="DP34" s="14">
        <v>3</v>
      </c>
      <c r="DQ34" s="14">
        <f>IFERROR(AVERAGE(Tabel1[[#This Row],[In - A2a]:[In - A2b]]),"")</f>
        <v>3</v>
      </c>
      <c r="DR34" s="14">
        <v>4</v>
      </c>
      <c r="DS34" s="14">
        <v>3</v>
      </c>
      <c r="DT34" s="14">
        <f>IFERROR(AVERAGE(Tabel1[[#This Row],[In - A3a]:[In - A3a]]),"")</f>
        <v>4</v>
      </c>
      <c r="DU34" s="14">
        <v>4</v>
      </c>
      <c r="DV34" s="14">
        <f>IFERROR(AVERAGE(Tabel1[[#This Row],[In - A1]],Tabel1[[#This Row],[In - A2]],Tabel1[[#This Row],[In - A3]],Tabel1[[#This Row],[In - A4]]),"")</f>
        <v>3.5</v>
      </c>
      <c r="DW34" s="14">
        <v>1</v>
      </c>
      <c r="DX34" s="14">
        <v>5</v>
      </c>
      <c r="DY34" s="14">
        <v>5</v>
      </c>
      <c r="DZ34" s="14">
        <f>IFERROR(AVERAGE(Tabel1[[#This Row],[Do - R1a]:[Do - R1c]]),"")</f>
        <v>3.6666666666666665</v>
      </c>
      <c r="EA34" s="14">
        <v>4</v>
      </c>
      <c r="EB34" s="14">
        <v>5</v>
      </c>
      <c r="EC34" s="14">
        <v>4</v>
      </c>
      <c r="ED34" s="14" t="s">
        <v>189</v>
      </c>
      <c r="EE34" s="14">
        <f>IFERROR(AVERAGE(Tabel1[[#This Row],[Do - R1]:[Do - R5]]),"")</f>
        <v>4.1666666666666661</v>
      </c>
      <c r="EF34" s="14">
        <v>5</v>
      </c>
      <c r="EG34" s="14">
        <v>4</v>
      </c>
      <c r="EH34" s="14">
        <v>4</v>
      </c>
      <c r="EI34" s="14">
        <f>IFERROR(AVERAGE(Tabel1[[#This Row],[Do - C1a]:[Do - C1c]]),"")</f>
        <v>4.333333333333333</v>
      </c>
      <c r="EJ34" s="14">
        <v>2</v>
      </c>
      <c r="EK34" s="14">
        <v>1</v>
      </c>
      <c r="EL34" s="14">
        <v>3</v>
      </c>
      <c r="EM34" s="14">
        <f>IFERROR(AVERAGE(Tabel1[[#This Row],[Do - C1]:[Do - C4]]),"")</f>
        <v>2.583333333333333</v>
      </c>
      <c r="EN34" s="14">
        <v>2</v>
      </c>
      <c r="EO34" s="14">
        <v>4</v>
      </c>
      <c r="EP34" s="14">
        <v>3</v>
      </c>
      <c r="EQ34" s="14">
        <f>IFERROR(AVERAGE(Tabel1[[#This Row],[Do - F1a]:[Do - F1c]]),"")</f>
        <v>3</v>
      </c>
      <c r="ER34" s="14">
        <v>3</v>
      </c>
      <c r="ES34" s="14">
        <f>IFERROR(AVERAGE(Tabel1[[#This Row],[Do - F2a]:[Do - F2a]]),"")</f>
        <v>3</v>
      </c>
      <c r="ET34" s="14">
        <v>4</v>
      </c>
      <c r="EU34" s="14">
        <v>3</v>
      </c>
      <c r="EV34" s="14">
        <f>IFERROR(AVERAGE(Tabel1[[#This Row],[Do - F3a]:[Do - F3b]]),"")</f>
        <v>3.5</v>
      </c>
      <c r="EW34" s="14">
        <v>3</v>
      </c>
      <c r="EX34" s="14">
        <f>IFERROR(AVERAGE(Tabel1[[#This Row],[Do - F1]],Tabel1[[#This Row],[Do - F2]],Tabel1[[#This Row],[Do - F3]],Tabel1[[#This Row],[Do - F4]]),"")</f>
        <v>3.125</v>
      </c>
      <c r="EY34" s="14">
        <v>5</v>
      </c>
      <c r="EZ34" s="14">
        <v>4</v>
      </c>
      <c r="FA34" s="14">
        <v>4</v>
      </c>
      <c r="FB34" s="14">
        <f>IFERROR(AVERAGE(Tabel1[[#This Row],[Do - V1a]:[Do - V1c]]),"")</f>
        <v>4.333333333333333</v>
      </c>
      <c r="FC34" s="14">
        <v>5</v>
      </c>
      <c r="FD34" s="14">
        <v>5</v>
      </c>
      <c r="FE34" s="14">
        <f>IFERROR(AVERAGE(Tabel1[[#This Row],[Do - V2a]:[Do - V2b]]),"")</f>
        <v>5</v>
      </c>
      <c r="FF34" s="14">
        <v>4</v>
      </c>
      <c r="FG34" s="14">
        <f>IFERROR(AVERAGE(Tabel1[[#This Row],[Do - V3a]:[Do - V3a]]),"")</f>
        <v>4</v>
      </c>
      <c r="FH34" s="14">
        <v>3</v>
      </c>
      <c r="FI34" s="14">
        <f>IFERROR(AVERAGE(Tabel1[[#This Row],[Do - V1]],Tabel1[[#This Row],[Do - V2]],Tabel1[[#This Row],[Do - V3]],Tabel1[[#This Row],[Do - V4]]),"")</f>
        <v>4.083333333333333</v>
      </c>
      <c r="FJ34" s="14">
        <v>4</v>
      </c>
      <c r="FK34" s="14">
        <v>5</v>
      </c>
      <c r="FL34" s="14">
        <v>5</v>
      </c>
      <c r="FM34" s="14">
        <f>IFERROR(AVERAGE(Tabel1[[#This Row],[Do - A1a]:[Do - A1c]]),"")</f>
        <v>4.666666666666667</v>
      </c>
      <c r="FN34" s="14" t="s">
        <v>189</v>
      </c>
      <c r="FO34" s="14">
        <v>4</v>
      </c>
      <c r="FP34" s="14">
        <f>IFERROR(AVERAGE(Tabel1[[#This Row],[Do - A2a]:[Do - A2b]]),"")</f>
        <v>4</v>
      </c>
      <c r="FQ34" s="14">
        <v>5</v>
      </c>
      <c r="FR34" s="14">
        <f>IFERROR(AVERAGE(Tabel1[[#This Row],[Do - A3a]:[Do - A3a]]),"")</f>
        <v>5</v>
      </c>
      <c r="FS34" s="14">
        <v>3</v>
      </c>
      <c r="FT34" s="14">
        <f>IFERROR(AVERAGE(Tabel1[[#This Row],[Do - A1]],Tabel1[[#This Row],[Do - A2]],Tabel1[[#This Row],[Do - A3]],Tabel1[[#This Row],[Do - A4]]),"")</f>
        <v>4.166666666666667</v>
      </c>
      <c r="FU3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3.3277777777777779</v>
      </c>
      <c r="FV34" s="16" t="s">
        <v>368</v>
      </c>
      <c r="FW34" t="b">
        <v>1</v>
      </c>
    </row>
    <row r="35" spans="1:179" x14ac:dyDescent="0.3">
      <c r="A35" s="13">
        <v>44903.824189814812</v>
      </c>
      <c r="B35" t="b">
        <v>0</v>
      </c>
      <c r="C35" s="14" t="s">
        <v>369</v>
      </c>
      <c r="D35" s="14" t="s">
        <v>252</v>
      </c>
      <c r="E35" s="14" t="s">
        <v>370</v>
      </c>
      <c r="F35" s="14" t="s">
        <v>184</v>
      </c>
      <c r="G35" s="14"/>
      <c r="H35" s="14" t="s">
        <v>222</v>
      </c>
      <c r="I35" s="14" t="s">
        <v>243</v>
      </c>
      <c r="J35" s="14" t="s">
        <v>244</v>
      </c>
      <c r="K35" s="17" t="s">
        <v>255</v>
      </c>
      <c r="L35" s="14" t="s">
        <v>249</v>
      </c>
      <c r="M35" s="14" t="s">
        <v>281</v>
      </c>
      <c r="N35" s="14" t="s">
        <v>331</v>
      </c>
      <c r="O35" s="14" t="s">
        <v>256</v>
      </c>
      <c r="P35" s="17" t="s">
        <v>255</v>
      </c>
      <c r="Q35" s="17" t="s">
        <v>304</v>
      </c>
      <c r="R35" s="14" t="s">
        <v>202</v>
      </c>
      <c r="S35" s="14" t="s">
        <v>201</v>
      </c>
      <c r="T35" s="14" t="s">
        <v>284</v>
      </c>
      <c r="U35" s="14" t="s">
        <v>285</v>
      </c>
      <c r="V35" s="14" t="s">
        <v>359</v>
      </c>
      <c r="W35" s="14" t="s">
        <v>207</v>
      </c>
      <c r="X35" s="14" t="s">
        <v>306</v>
      </c>
      <c r="Y35" s="14">
        <v>1</v>
      </c>
      <c r="Z35" s="14">
        <v>1</v>
      </c>
      <c r="AA35" s="14">
        <v>1</v>
      </c>
      <c r="AB35" s="15">
        <f>IFERROR(AVERAGE(Tabel1[[#This Row],[Up - R1a]:[Up - R1c]]),"")</f>
        <v>1</v>
      </c>
      <c r="AC35" s="14">
        <v>1</v>
      </c>
      <c r="AD35" s="14">
        <v>2</v>
      </c>
      <c r="AE35" s="14">
        <v>1</v>
      </c>
      <c r="AF35" s="14" t="s">
        <v>189</v>
      </c>
      <c r="AG35" s="14">
        <f>IFERROR(AVERAGE(Tabel1[[#This Row],[Up - R1]:[Up - R5]]),"")</f>
        <v>1.25</v>
      </c>
      <c r="AH35" s="14">
        <v>5</v>
      </c>
      <c r="AI35" s="14">
        <v>4</v>
      </c>
      <c r="AJ35" s="14">
        <v>4</v>
      </c>
      <c r="AK35" s="14">
        <f>IFERROR(AVERAGE(Tabel1[[#This Row],[Up - C1a]:[Up - C1c]]),"")</f>
        <v>4.333333333333333</v>
      </c>
      <c r="AL35" s="14" t="s">
        <v>189</v>
      </c>
      <c r="AM35" s="14" t="s">
        <v>189</v>
      </c>
      <c r="AN35" s="14">
        <v>3</v>
      </c>
      <c r="AO35" s="14">
        <f>IFERROR(AVERAGE(Tabel1[[#This Row],[Up - C1]:[Up - C4]]),"")</f>
        <v>3.6666666666666665</v>
      </c>
      <c r="AP35" s="14">
        <v>5</v>
      </c>
      <c r="AQ35" s="14">
        <f>IFERROR(AVERAGE(Tabel1[[#This Row],[Up - F1a]:[Up - F1a]]),"")</f>
        <v>5</v>
      </c>
      <c r="AR35" s="14">
        <v>1</v>
      </c>
      <c r="AS35" s="14">
        <v>1</v>
      </c>
      <c r="AT35" s="14">
        <f>IFERROR(AVERAGE(Tabel1[[#This Row],[Up - F2a]:[Up - F2b]]),"")</f>
        <v>1</v>
      </c>
      <c r="AU35" s="14">
        <v>1</v>
      </c>
      <c r="AV35" s="14">
        <v>1</v>
      </c>
      <c r="AW35" s="14">
        <f>IFERROR(AVERAGE(Tabel1[[#This Row],[Up - F3a]:[Up - F3b]]),"")</f>
        <v>1</v>
      </c>
      <c r="AX35" s="14">
        <v>1</v>
      </c>
      <c r="AY35" s="14">
        <f>IFERROR(AVERAGE(Tabel1[[#This Row],[Up - F1]],Tabel1[[#This Row],[Up - F2]],Tabel1[[#This Row],[Up - F3]],Tabel1[[#This Row],[Up - F4]]),"")</f>
        <v>2</v>
      </c>
      <c r="AZ35" s="14">
        <v>2</v>
      </c>
      <c r="BA35" s="14">
        <v>5</v>
      </c>
      <c r="BB35" s="14">
        <f>IFERROR(AVERAGE(Tabel1[[#This Row],[Up - V1a]:[Up - V1b]]),"")</f>
        <v>3.5</v>
      </c>
      <c r="BC35" s="14">
        <v>5</v>
      </c>
      <c r="BD35" s="14">
        <v>5</v>
      </c>
      <c r="BE35" s="14">
        <v>5</v>
      </c>
      <c r="BF35" s="14">
        <f>IFERROR(AVERAGE(Tabel1[[#This Row],[Up - V2a]:[Up - V2c]]),"")</f>
        <v>5</v>
      </c>
      <c r="BG35" s="14">
        <v>5</v>
      </c>
      <c r="BH35" s="14">
        <v>1</v>
      </c>
      <c r="BI35" s="14">
        <f>IFERROR(AVERAGE(Tabel1[[#This Row],[Up - V3a]:[Up - V3b]]),"")</f>
        <v>3</v>
      </c>
      <c r="BJ35" s="14">
        <v>2</v>
      </c>
      <c r="BK35" s="14">
        <f>IFERROR(AVERAGE(Tabel1[[#This Row],[Up - V1]],Tabel1[[#This Row],[Up - V2]],Tabel1[[#This Row],[Up - V3]],Tabel1[[#This Row],[Up - V4]]),"")</f>
        <v>3.375</v>
      </c>
      <c r="BL35" s="14">
        <v>5</v>
      </c>
      <c r="BM35" s="14">
        <v>4</v>
      </c>
      <c r="BN35" s="14">
        <v>5</v>
      </c>
      <c r="BO35" s="14">
        <v>4</v>
      </c>
      <c r="BP35" s="14">
        <f>IFERROR(AVERAGE(Tabel1[[#This Row],[Up - A1a]:[Up - A1d]]),"")</f>
        <v>4.5</v>
      </c>
      <c r="BQ35" s="14">
        <v>4</v>
      </c>
      <c r="BR35" s="14">
        <v>1</v>
      </c>
      <c r="BS35" s="14">
        <f>IFERROR(AVERAGE(Tabel1[[#This Row],[Up - A2a]:[Up - A2b]]),"")</f>
        <v>2.5</v>
      </c>
      <c r="BT35" s="14">
        <v>5</v>
      </c>
      <c r="BU35" s="14">
        <f>IFERROR(AVERAGE(Tabel1[[#This Row],[Up - A3a]:[Up - A3a]]),"")</f>
        <v>5</v>
      </c>
      <c r="BV35" s="14">
        <v>3</v>
      </c>
      <c r="BW35" s="14">
        <f>IFERROR(AVERAGE(Tabel1[[#This Row],[Up - A1]],Tabel1[[#This Row],[Up - A2]],Tabel1[[#This Row],[Up - A3]]),"")</f>
        <v>4</v>
      </c>
      <c r="BX35" s="14">
        <v>2</v>
      </c>
      <c r="BY35" s="14">
        <v>1</v>
      </c>
      <c r="BZ35" s="14">
        <f>IFERROR(AVERAGE(Tabel1[[#This Row],[In - R1a]:[In - R1b]]),"")</f>
        <v>1.5</v>
      </c>
      <c r="CA35" s="14">
        <v>2</v>
      </c>
      <c r="CB35" s="14">
        <v>2</v>
      </c>
      <c r="CC35" s="14">
        <v>1</v>
      </c>
      <c r="CD35" s="14">
        <v>5</v>
      </c>
      <c r="CE35" s="14">
        <f>IFERROR(AVERAGE(Tabel1[[#This Row],[In - R1]:[In - R5]]),"")</f>
        <v>2.2999999999999998</v>
      </c>
      <c r="CF35" s="14">
        <v>3</v>
      </c>
      <c r="CG35" s="14">
        <v>3</v>
      </c>
      <c r="CH35" s="14">
        <v>5</v>
      </c>
      <c r="CI35" s="14">
        <f>IFERROR(AVERAGE(Tabel1[[#This Row],[In - C1a]:[In - C1c]]),"")</f>
        <v>3.6666666666666665</v>
      </c>
      <c r="CJ35" s="14" t="s">
        <v>189</v>
      </c>
      <c r="CK35" s="14">
        <v>3</v>
      </c>
      <c r="CL35" s="14">
        <v>3</v>
      </c>
      <c r="CM35" s="14">
        <f>IFERROR(AVERAGE(Tabel1[[#This Row],[In - C1]:[In - C4]]),"")</f>
        <v>3.2222222222222219</v>
      </c>
      <c r="CN35" s="14">
        <v>4</v>
      </c>
      <c r="CO35" s="14">
        <v>3</v>
      </c>
      <c r="CP35" s="14">
        <v>1</v>
      </c>
      <c r="CQ35" s="14">
        <f>IFERROR(AVERAGE(Tabel1[[#This Row],[In - F1a]:[In - F1c]]),"")</f>
        <v>2.6666666666666665</v>
      </c>
      <c r="CR35" s="14">
        <v>1</v>
      </c>
      <c r="CS35" s="14">
        <v>3</v>
      </c>
      <c r="CT35" s="14">
        <f>IFERROR(AVERAGE(Tabel1[[#This Row],[In - F2a]:[In - F2b]]),"")</f>
        <v>2</v>
      </c>
      <c r="CU35" s="14">
        <v>3</v>
      </c>
      <c r="CV35" s="14">
        <f>IFERROR(AVERAGE(Tabel1[[#This Row],[In - F3a]:[In - F3a]]),"")</f>
        <v>3</v>
      </c>
      <c r="CW35" s="14">
        <v>4</v>
      </c>
      <c r="CX35" s="14">
        <f>IFERROR(AVERAGE(Tabel1[[#This Row],[In - F1]],Tabel1[[#This Row],[In - F2]],Tabel1[[#This Row],[In - F3]],Tabel1[[#This Row],[In - F4]]),"")</f>
        <v>2.9166666666666665</v>
      </c>
      <c r="CY35" s="14">
        <v>3</v>
      </c>
      <c r="CZ35" s="14">
        <v>4</v>
      </c>
      <c r="DA35" s="14">
        <v>3</v>
      </c>
      <c r="DB35" s="14">
        <f>IFERROR(AVERAGE(Tabel1[[#This Row],[In - V1a]:[In - V1c]]),"")</f>
        <v>3.3333333333333335</v>
      </c>
      <c r="DC35" s="14">
        <v>3</v>
      </c>
      <c r="DD35" s="14">
        <v>4</v>
      </c>
      <c r="DE35" s="14">
        <v>3</v>
      </c>
      <c r="DF35" s="14">
        <f>IFERROR(AVERAGE(Tabel1[[#This Row],[In - V2a]:[In - V2c]]),"")</f>
        <v>3.3333333333333335</v>
      </c>
      <c r="DG35" s="14">
        <v>1</v>
      </c>
      <c r="DH35" s="14">
        <v>1</v>
      </c>
      <c r="DI35" s="14">
        <f>IFERROR(AVERAGE(Tabel1[[#This Row],[In - V3a]:[In - V3b]]),"")</f>
        <v>1</v>
      </c>
      <c r="DJ35" s="14">
        <v>3</v>
      </c>
      <c r="DK35" s="14">
        <f>IFERROR(AVERAGE(Tabel1[[#This Row],[In - V1]],Tabel1[[#This Row],[In - V2]],Tabel1[[#This Row],[In - V3]],Tabel1[[#This Row],[In - V4]]),"")</f>
        <v>2.666666666666667</v>
      </c>
      <c r="DL35" s="14">
        <v>4</v>
      </c>
      <c r="DM35" s="14">
        <v>3</v>
      </c>
      <c r="DN35" s="14">
        <f>IFERROR(AVERAGE(Tabel1[[#This Row],[In - A1a]:[In - A1b]]),"")</f>
        <v>3.5</v>
      </c>
      <c r="DO35" s="14" t="s">
        <v>189</v>
      </c>
      <c r="DP35" s="14">
        <v>5</v>
      </c>
      <c r="DQ35" s="14">
        <f>IFERROR(AVERAGE(Tabel1[[#This Row],[In - A2a]:[In - A2b]]),"")</f>
        <v>5</v>
      </c>
      <c r="DR35" s="14">
        <v>5</v>
      </c>
      <c r="DS35" s="14">
        <v>5</v>
      </c>
      <c r="DT35" s="14">
        <f>IFERROR(AVERAGE(Tabel1[[#This Row],[In - A3a]:[In - A3a]]),"")</f>
        <v>5</v>
      </c>
      <c r="DU35" s="14">
        <v>3</v>
      </c>
      <c r="DV35" s="14">
        <f>IFERROR(AVERAGE(Tabel1[[#This Row],[In - A1]],Tabel1[[#This Row],[In - A2]],Tabel1[[#This Row],[In - A3]],Tabel1[[#This Row],[In - A4]]),"")</f>
        <v>4.125</v>
      </c>
      <c r="DW35" s="14">
        <v>1</v>
      </c>
      <c r="DX35" s="14">
        <v>4</v>
      </c>
      <c r="DY35" s="14">
        <v>4</v>
      </c>
      <c r="DZ35" s="14">
        <f>IFERROR(AVERAGE(Tabel1[[#This Row],[Do - R1a]:[Do - R1c]]),"")</f>
        <v>3</v>
      </c>
      <c r="EA35" s="14" t="s">
        <v>189</v>
      </c>
      <c r="EB35" s="14">
        <v>4</v>
      </c>
      <c r="EC35" s="14">
        <v>3</v>
      </c>
      <c r="ED35" s="14">
        <v>3</v>
      </c>
      <c r="EE35" s="14">
        <f>IFERROR(AVERAGE(Tabel1[[#This Row],[Do - R1]:[Do - R5]]),"")</f>
        <v>3.25</v>
      </c>
      <c r="EF35" s="14">
        <v>5</v>
      </c>
      <c r="EG35" s="14">
        <v>3</v>
      </c>
      <c r="EH35" s="14">
        <v>5</v>
      </c>
      <c r="EI35" s="14">
        <f>IFERROR(AVERAGE(Tabel1[[#This Row],[Do - C1a]:[Do - C1c]]),"")</f>
        <v>4.333333333333333</v>
      </c>
      <c r="EJ35" s="14" t="s">
        <v>189</v>
      </c>
      <c r="EK35" s="14" t="s">
        <v>189</v>
      </c>
      <c r="EL35" s="14">
        <v>3</v>
      </c>
      <c r="EM35" s="14">
        <f>IFERROR(AVERAGE(Tabel1[[#This Row],[Do - C1]:[Do - C4]]),"")</f>
        <v>3.6666666666666665</v>
      </c>
      <c r="EN35" s="14">
        <v>1</v>
      </c>
      <c r="EO35" s="14">
        <v>3</v>
      </c>
      <c r="EP35" s="14">
        <v>3</v>
      </c>
      <c r="EQ35" s="14">
        <f>IFERROR(AVERAGE(Tabel1[[#This Row],[Do - F1a]:[Do - F1c]]),"")</f>
        <v>2.3333333333333335</v>
      </c>
      <c r="ER35" s="14">
        <v>4</v>
      </c>
      <c r="ES35" s="14">
        <f>IFERROR(AVERAGE(Tabel1[[#This Row],[Do - F2a]:[Do - F2a]]),"")</f>
        <v>4</v>
      </c>
      <c r="ET35" s="14">
        <v>2</v>
      </c>
      <c r="EU35" s="14">
        <v>4</v>
      </c>
      <c r="EV35" s="14">
        <f>IFERROR(AVERAGE(Tabel1[[#This Row],[Do - F3a]:[Do - F3b]]),"")</f>
        <v>3</v>
      </c>
      <c r="EW35" s="14">
        <v>3</v>
      </c>
      <c r="EX35" s="14">
        <f>IFERROR(AVERAGE(Tabel1[[#This Row],[Do - F1]],Tabel1[[#This Row],[Do - F2]],Tabel1[[#This Row],[Do - F3]],Tabel1[[#This Row],[Do - F4]]),"")</f>
        <v>3.0833333333333335</v>
      </c>
      <c r="EY35" s="14">
        <v>4</v>
      </c>
      <c r="EZ35" s="14" t="s">
        <v>189</v>
      </c>
      <c r="FA35" s="14">
        <v>5</v>
      </c>
      <c r="FB35" s="14">
        <f>IFERROR(AVERAGE(Tabel1[[#This Row],[Do - V1a]:[Do - V1c]]),"")</f>
        <v>4.5</v>
      </c>
      <c r="FC35" s="14">
        <v>5</v>
      </c>
      <c r="FD35" s="14">
        <v>5</v>
      </c>
      <c r="FE35" s="14">
        <f>IFERROR(AVERAGE(Tabel1[[#This Row],[Do - V2a]:[Do - V2b]]),"")</f>
        <v>5</v>
      </c>
      <c r="FF35" s="14">
        <v>5</v>
      </c>
      <c r="FG35" s="14">
        <f>IFERROR(AVERAGE(Tabel1[[#This Row],[Do - V3a]:[Do - V3a]]),"")</f>
        <v>5</v>
      </c>
      <c r="FH35" s="14">
        <v>1</v>
      </c>
      <c r="FI35" s="14">
        <f>IFERROR(AVERAGE(Tabel1[[#This Row],[Do - V1]],Tabel1[[#This Row],[Do - V2]],Tabel1[[#This Row],[Do - V3]],Tabel1[[#This Row],[Do - V4]]),"")</f>
        <v>3.875</v>
      </c>
      <c r="FJ35" s="14">
        <v>5</v>
      </c>
      <c r="FK35" s="14">
        <v>2</v>
      </c>
      <c r="FL35" s="14">
        <v>4</v>
      </c>
      <c r="FM35" s="14">
        <f>IFERROR(AVERAGE(Tabel1[[#This Row],[Do - A1a]:[Do - A1c]]),"")</f>
        <v>3.6666666666666665</v>
      </c>
      <c r="FN35" s="14" t="s">
        <v>189</v>
      </c>
      <c r="FO35" s="14">
        <v>1</v>
      </c>
      <c r="FP35" s="14">
        <f>IFERROR(AVERAGE(Tabel1[[#This Row],[Do - A2a]:[Do - A2b]]),"")</f>
        <v>1</v>
      </c>
      <c r="FQ35" s="14">
        <v>4</v>
      </c>
      <c r="FR35" s="14">
        <f>IFERROR(AVERAGE(Tabel1[[#This Row],[Do - A3a]:[Do - A3a]]),"")</f>
        <v>4</v>
      </c>
      <c r="FS35" s="14">
        <v>3</v>
      </c>
      <c r="FT35" s="14">
        <f>IFERROR(AVERAGE(Tabel1[[#This Row],[Do - A1]],Tabel1[[#This Row],[Do - A2]],Tabel1[[#This Row],[Do - A3]],Tabel1[[#This Row],[Do - A4]]),"")</f>
        <v>2.9166666666666665</v>
      </c>
      <c r="FU3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3.0875925925925927</v>
      </c>
      <c r="FV35" s="16" t="s">
        <v>371</v>
      </c>
      <c r="FW35" t="b">
        <v>1</v>
      </c>
    </row>
    <row r="36" spans="1:179" x14ac:dyDescent="0.3">
      <c r="A36" s="13">
        <v>44904.450127314813</v>
      </c>
      <c r="B36" t="b">
        <v>0</v>
      </c>
      <c r="C36" s="14" t="s">
        <v>372</v>
      </c>
      <c r="D36" s="14" t="s">
        <v>373</v>
      </c>
      <c r="E36" s="14" t="s">
        <v>374</v>
      </c>
      <c r="F36" s="14" t="s">
        <v>184</v>
      </c>
      <c r="G36" s="14"/>
      <c r="H36" s="14" t="s">
        <v>222</v>
      </c>
      <c r="I36" s="14" t="s">
        <v>243</v>
      </c>
      <c r="J36" s="14" t="s">
        <v>244</v>
      </c>
      <c r="K36" s="17" t="s">
        <v>304</v>
      </c>
      <c r="L36" s="14" t="s">
        <v>218</v>
      </c>
      <c r="M36" s="14" t="s">
        <v>281</v>
      </c>
      <c r="N36" s="14" t="s">
        <v>199</v>
      </c>
      <c r="O36" s="14" t="s">
        <v>256</v>
      </c>
      <c r="P36" s="14" t="s">
        <v>203</v>
      </c>
      <c r="Q36" s="14" t="s">
        <v>201</v>
      </c>
      <c r="R36" s="14" t="s">
        <v>187</v>
      </c>
      <c r="S36" s="14" t="s">
        <v>235</v>
      </c>
      <c r="T36" s="14" t="s">
        <v>284</v>
      </c>
      <c r="U36" s="14" t="s">
        <v>205</v>
      </c>
      <c r="V36" s="14" t="s">
        <v>224</v>
      </c>
      <c r="W36" s="14" t="s">
        <v>207</v>
      </c>
      <c r="X36" s="14" t="s">
        <v>306</v>
      </c>
      <c r="Y36" s="14">
        <v>1</v>
      </c>
      <c r="Z36" s="14">
        <v>2</v>
      </c>
      <c r="AA36" s="14">
        <v>2</v>
      </c>
      <c r="AB36" s="15">
        <f>IFERROR(AVERAGE(Tabel1[[#This Row],[Up - R1a]:[Up - R1c]]),"")</f>
        <v>1.6666666666666667</v>
      </c>
      <c r="AC36" s="14">
        <v>2</v>
      </c>
      <c r="AD36" s="14">
        <v>3</v>
      </c>
      <c r="AE36" s="14">
        <v>1</v>
      </c>
      <c r="AF36" s="14" t="s">
        <v>189</v>
      </c>
      <c r="AG36" s="14">
        <f>IFERROR(AVERAGE(Tabel1[[#This Row],[Up - R1]:[Up - R5]]),"")</f>
        <v>1.9166666666666667</v>
      </c>
      <c r="AH36" s="14">
        <v>4</v>
      </c>
      <c r="AI36" s="14">
        <v>3</v>
      </c>
      <c r="AJ36" s="14">
        <v>3</v>
      </c>
      <c r="AK36" s="14">
        <f>IFERROR(AVERAGE(Tabel1[[#This Row],[Up - C1a]:[Up - C1c]]),"")</f>
        <v>3.3333333333333335</v>
      </c>
      <c r="AL36" s="14" t="s">
        <v>189</v>
      </c>
      <c r="AM36" s="14" t="s">
        <v>189</v>
      </c>
      <c r="AN36" s="14" t="s">
        <v>189</v>
      </c>
      <c r="AO36" s="14">
        <f>IFERROR(AVERAGE(Tabel1[[#This Row],[Up - C1]:[Up - C4]]),"")</f>
        <v>3.3333333333333335</v>
      </c>
      <c r="AP36" s="14">
        <v>4</v>
      </c>
      <c r="AQ36" s="14">
        <f>IFERROR(AVERAGE(Tabel1[[#This Row],[Up - F1a]:[Up - F1a]]),"")</f>
        <v>4</v>
      </c>
      <c r="AR36" s="14">
        <v>1</v>
      </c>
      <c r="AS36" s="14">
        <v>5</v>
      </c>
      <c r="AT36" s="14">
        <f>IFERROR(AVERAGE(Tabel1[[#This Row],[Up - F2a]:[Up - F2b]]),"")</f>
        <v>3</v>
      </c>
      <c r="AU36" s="14">
        <v>2</v>
      </c>
      <c r="AV36" s="14">
        <v>1</v>
      </c>
      <c r="AW36" s="14">
        <f>IFERROR(AVERAGE(Tabel1[[#This Row],[Up - F3a]:[Up - F3b]]),"")</f>
        <v>1.5</v>
      </c>
      <c r="AX36" s="14">
        <v>2</v>
      </c>
      <c r="AY36" s="14">
        <f>IFERROR(AVERAGE(Tabel1[[#This Row],[Up - F1]],Tabel1[[#This Row],[Up - F2]],Tabel1[[#This Row],[Up - F3]],Tabel1[[#This Row],[Up - F4]]),"")</f>
        <v>2.625</v>
      </c>
      <c r="AZ36" s="14">
        <v>3</v>
      </c>
      <c r="BA36" s="14">
        <v>5</v>
      </c>
      <c r="BB36" s="14">
        <f>IFERROR(AVERAGE(Tabel1[[#This Row],[Up - V1a]:[Up - V1b]]),"")</f>
        <v>4</v>
      </c>
      <c r="BC36" s="14">
        <v>5</v>
      </c>
      <c r="BD36" s="14">
        <v>5</v>
      </c>
      <c r="BE36" s="14">
        <v>4</v>
      </c>
      <c r="BF36" s="14">
        <f>IFERROR(AVERAGE(Tabel1[[#This Row],[Up - V2a]:[Up - V2c]]),"")</f>
        <v>4.666666666666667</v>
      </c>
      <c r="BG36" s="14">
        <v>5</v>
      </c>
      <c r="BH36" s="14">
        <v>1</v>
      </c>
      <c r="BI36" s="14">
        <f>IFERROR(AVERAGE(Tabel1[[#This Row],[Up - V3a]:[Up - V3b]]),"")</f>
        <v>3</v>
      </c>
      <c r="BJ36" s="14">
        <v>1</v>
      </c>
      <c r="BK36" s="14">
        <f>IFERROR(AVERAGE(Tabel1[[#This Row],[Up - V1]],Tabel1[[#This Row],[Up - V2]],Tabel1[[#This Row],[Up - V3]],Tabel1[[#This Row],[Up - V4]]),"")</f>
        <v>3.166666666666667</v>
      </c>
      <c r="BL36" s="14">
        <v>3</v>
      </c>
      <c r="BM36" s="14">
        <v>4</v>
      </c>
      <c r="BN36" s="14">
        <v>5</v>
      </c>
      <c r="BO36" s="14">
        <v>4</v>
      </c>
      <c r="BP36" s="14">
        <f>IFERROR(AVERAGE(Tabel1[[#This Row],[Up - A1a]:[Up - A1d]]),"")</f>
        <v>4</v>
      </c>
      <c r="BQ36" s="14">
        <v>4</v>
      </c>
      <c r="BR36" s="14">
        <v>4</v>
      </c>
      <c r="BS36" s="14">
        <f>IFERROR(AVERAGE(Tabel1[[#This Row],[Up - A2a]:[Up - A2b]]),"")</f>
        <v>4</v>
      </c>
      <c r="BT36" s="14">
        <v>5</v>
      </c>
      <c r="BU36" s="14">
        <f>IFERROR(AVERAGE(Tabel1[[#This Row],[Up - A3a]:[Up - A3a]]),"")</f>
        <v>5</v>
      </c>
      <c r="BV36" s="14">
        <v>3</v>
      </c>
      <c r="BW36" s="14">
        <f>IFERROR(AVERAGE(Tabel1[[#This Row],[Up - A1]],Tabel1[[#This Row],[Up - A2]],Tabel1[[#This Row],[Up - A3]]),"")</f>
        <v>4.333333333333333</v>
      </c>
      <c r="BX36" s="14">
        <v>1</v>
      </c>
      <c r="BY36" s="14">
        <v>1</v>
      </c>
      <c r="BZ36" s="14">
        <f>IFERROR(AVERAGE(Tabel1[[#This Row],[In - R1a]:[In - R1b]]),"")</f>
        <v>1</v>
      </c>
      <c r="CA36" s="14">
        <v>5</v>
      </c>
      <c r="CB36" s="14" t="s">
        <v>189</v>
      </c>
      <c r="CC36" s="14" t="s">
        <v>189</v>
      </c>
      <c r="CD36" s="14">
        <v>3</v>
      </c>
      <c r="CE36" s="14">
        <f>IFERROR(AVERAGE(Tabel1[[#This Row],[In - R1]:[In - R5]]),"")</f>
        <v>3</v>
      </c>
      <c r="CF36" s="14">
        <v>4</v>
      </c>
      <c r="CG36" s="14">
        <v>5</v>
      </c>
      <c r="CH36" s="14">
        <v>5</v>
      </c>
      <c r="CI36" s="14">
        <f>IFERROR(AVERAGE(Tabel1[[#This Row],[In - C1a]:[In - C1c]]),"")</f>
        <v>4.666666666666667</v>
      </c>
      <c r="CJ36" s="14">
        <v>3</v>
      </c>
      <c r="CK36" s="14">
        <v>3</v>
      </c>
      <c r="CL36" s="14">
        <v>4</v>
      </c>
      <c r="CM36" s="14">
        <f>IFERROR(AVERAGE(Tabel1[[#This Row],[In - C1]:[In - C4]]),"")</f>
        <v>3.666666666666667</v>
      </c>
      <c r="CN36" s="14">
        <v>4</v>
      </c>
      <c r="CO36" s="14">
        <v>3</v>
      </c>
      <c r="CP36" s="14" t="s">
        <v>189</v>
      </c>
      <c r="CQ36" s="14">
        <f>IFERROR(AVERAGE(Tabel1[[#This Row],[In - F1a]:[In - F1c]]),"")</f>
        <v>3.5</v>
      </c>
      <c r="CR36" s="14">
        <v>4</v>
      </c>
      <c r="CS36" s="14">
        <v>4</v>
      </c>
      <c r="CT36" s="14">
        <f>IFERROR(AVERAGE(Tabel1[[#This Row],[In - F2a]:[In - F2b]]),"")</f>
        <v>4</v>
      </c>
      <c r="CU36" s="14" t="s">
        <v>189</v>
      </c>
      <c r="CV36" s="14" t="str">
        <f>IFERROR(AVERAGE(Tabel1[[#This Row],[In - F3a]:[In - F3a]]),"")</f>
        <v/>
      </c>
      <c r="CW36" s="14">
        <v>3</v>
      </c>
      <c r="CX36" s="14">
        <f>IFERROR(AVERAGE(Tabel1[[#This Row],[In - F1]],Tabel1[[#This Row],[In - F2]],Tabel1[[#This Row],[In - F3]],Tabel1[[#This Row],[In - F4]]),"")</f>
        <v>3.5</v>
      </c>
      <c r="CY36" s="14">
        <v>3</v>
      </c>
      <c r="CZ36" s="14">
        <v>4</v>
      </c>
      <c r="DA36" s="14">
        <v>4</v>
      </c>
      <c r="DB36" s="14">
        <f>IFERROR(AVERAGE(Tabel1[[#This Row],[In - V1a]:[In - V1c]]),"")</f>
        <v>3.6666666666666665</v>
      </c>
      <c r="DC36" s="14">
        <v>2</v>
      </c>
      <c r="DD36" s="14">
        <v>4</v>
      </c>
      <c r="DE36" s="14">
        <v>5</v>
      </c>
      <c r="DF36" s="14">
        <f>IFERROR(AVERAGE(Tabel1[[#This Row],[In - V2a]:[In - V2c]]),"")</f>
        <v>3.6666666666666665</v>
      </c>
      <c r="DG36" s="14">
        <v>1</v>
      </c>
      <c r="DH36" s="14">
        <v>1</v>
      </c>
      <c r="DI36" s="14">
        <f>IFERROR(AVERAGE(Tabel1[[#This Row],[In - V3a]:[In - V3b]]),"")</f>
        <v>1</v>
      </c>
      <c r="DJ36" s="14">
        <v>5</v>
      </c>
      <c r="DK36" s="14">
        <f>IFERROR(AVERAGE(Tabel1[[#This Row],[In - V1]],Tabel1[[#This Row],[In - V2]],Tabel1[[#This Row],[In - V3]],Tabel1[[#This Row],[In - V4]]),"")</f>
        <v>3.333333333333333</v>
      </c>
      <c r="DL36" s="14">
        <v>4</v>
      </c>
      <c r="DM36" s="14">
        <v>4</v>
      </c>
      <c r="DN36" s="14">
        <f>IFERROR(AVERAGE(Tabel1[[#This Row],[In - A1a]:[In - A1b]]),"")</f>
        <v>4</v>
      </c>
      <c r="DO36" s="14" t="s">
        <v>189</v>
      </c>
      <c r="DP36" s="14">
        <v>5</v>
      </c>
      <c r="DQ36" s="14">
        <f>IFERROR(AVERAGE(Tabel1[[#This Row],[In - A2a]:[In - A2b]]),"")</f>
        <v>5</v>
      </c>
      <c r="DR36" s="14">
        <v>4</v>
      </c>
      <c r="DS36" s="14">
        <v>5</v>
      </c>
      <c r="DT36" s="14">
        <f>IFERROR(AVERAGE(Tabel1[[#This Row],[In - A3a]:[In - A3a]]),"")</f>
        <v>4</v>
      </c>
      <c r="DU36" s="14">
        <v>5</v>
      </c>
      <c r="DV36" s="14">
        <f>IFERROR(AVERAGE(Tabel1[[#This Row],[In - A1]],Tabel1[[#This Row],[In - A2]],Tabel1[[#This Row],[In - A3]],Tabel1[[#This Row],[In - A4]]),"")</f>
        <v>4.5</v>
      </c>
      <c r="DW36" s="14">
        <v>5</v>
      </c>
      <c r="DX36" s="14">
        <v>5</v>
      </c>
      <c r="DY36" s="14">
        <v>5</v>
      </c>
      <c r="DZ36" s="14">
        <f>IFERROR(AVERAGE(Tabel1[[#This Row],[Do - R1a]:[Do - R1c]]),"")</f>
        <v>5</v>
      </c>
      <c r="EA36" s="14" t="s">
        <v>189</v>
      </c>
      <c r="EB36" s="14">
        <v>5</v>
      </c>
      <c r="EC36" s="14" t="s">
        <v>189</v>
      </c>
      <c r="ED36" s="14" t="s">
        <v>189</v>
      </c>
      <c r="EE36" s="14">
        <f>IFERROR(AVERAGE(Tabel1[[#This Row],[Do - R1]:[Do - R5]]),"")</f>
        <v>5</v>
      </c>
      <c r="EF36" s="14">
        <v>5</v>
      </c>
      <c r="EG36" s="14">
        <v>3</v>
      </c>
      <c r="EH36" s="14">
        <v>4</v>
      </c>
      <c r="EI36" s="14">
        <f>IFERROR(AVERAGE(Tabel1[[#This Row],[Do - C1a]:[Do - C1c]]),"")</f>
        <v>4</v>
      </c>
      <c r="EJ36" s="14" t="s">
        <v>189</v>
      </c>
      <c r="EK36" s="14" t="s">
        <v>189</v>
      </c>
      <c r="EL36" s="14">
        <v>1</v>
      </c>
      <c r="EM36" s="14">
        <f>IFERROR(AVERAGE(Tabel1[[#This Row],[Do - C1]:[Do - C4]]),"")</f>
        <v>2.5</v>
      </c>
      <c r="EN36" s="14">
        <v>2</v>
      </c>
      <c r="EO36" s="14">
        <v>4</v>
      </c>
      <c r="EP36" s="14">
        <v>5</v>
      </c>
      <c r="EQ36" s="14">
        <f>IFERROR(AVERAGE(Tabel1[[#This Row],[Do - F1a]:[Do - F1c]]),"")</f>
        <v>3.6666666666666665</v>
      </c>
      <c r="ER36" s="14">
        <v>4</v>
      </c>
      <c r="ES36" s="14">
        <f>IFERROR(AVERAGE(Tabel1[[#This Row],[Do - F2a]:[Do - F2a]]),"")</f>
        <v>4</v>
      </c>
      <c r="ET36" s="14">
        <v>4</v>
      </c>
      <c r="EU36" s="14">
        <v>5</v>
      </c>
      <c r="EV36" s="14">
        <f>IFERROR(AVERAGE(Tabel1[[#This Row],[Do - F3a]:[Do - F3b]]),"")</f>
        <v>4.5</v>
      </c>
      <c r="EW36" s="14">
        <v>5</v>
      </c>
      <c r="EX36" s="14">
        <f>IFERROR(AVERAGE(Tabel1[[#This Row],[Do - F1]],Tabel1[[#This Row],[Do - F2]],Tabel1[[#This Row],[Do - F3]],Tabel1[[#This Row],[Do - F4]]),"")</f>
        <v>4.2916666666666661</v>
      </c>
      <c r="EY36" s="14">
        <v>4</v>
      </c>
      <c r="EZ36" s="14">
        <v>4</v>
      </c>
      <c r="FA36" s="14">
        <v>5</v>
      </c>
      <c r="FB36" s="14">
        <f>IFERROR(AVERAGE(Tabel1[[#This Row],[Do - V1a]:[Do - V1c]]),"")</f>
        <v>4.333333333333333</v>
      </c>
      <c r="FC36" s="14">
        <v>5</v>
      </c>
      <c r="FD36" s="14">
        <v>5</v>
      </c>
      <c r="FE36" s="14">
        <f>IFERROR(AVERAGE(Tabel1[[#This Row],[Do - V2a]:[Do - V2b]]),"")</f>
        <v>5</v>
      </c>
      <c r="FF36" s="14">
        <v>5</v>
      </c>
      <c r="FG36" s="14">
        <f>IFERROR(AVERAGE(Tabel1[[#This Row],[Do - V3a]:[Do - V3a]]),"")</f>
        <v>5</v>
      </c>
      <c r="FH36" s="14">
        <v>2</v>
      </c>
      <c r="FI36" s="14">
        <f>IFERROR(AVERAGE(Tabel1[[#This Row],[Do - V1]],Tabel1[[#This Row],[Do - V2]],Tabel1[[#This Row],[Do - V3]],Tabel1[[#This Row],[Do - V4]]),"")</f>
        <v>4.083333333333333</v>
      </c>
      <c r="FJ36" s="14">
        <v>4</v>
      </c>
      <c r="FK36" s="14">
        <v>5</v>
      </c>
      <c r="FL36" s="14">
        <v>5</v>
      </c>
      <c r="FM36" s="14">
        <f>IFERROR(AVERAGE(Tabel1[[#This Row],[Do - A1a]:[Do - A1c]]),"")</f>
        <v>4.666666666666667</v>
      </c>
      <c r="FN36" s="14" t="s">
        <v>189</v>
      </c>
      <c r="FO36" s="14">
        <v>5</v>
      </c>
      <c r="FP36" s="14">
        <f>IFERROR(AVERAGE(Tabel1[[#This Row],[Do - A2a]:[Do - A2b]]),"")</f>
        <v>5</v>
      </c>
      <c r="FQ36" s="14">
        <v>5</v>
      </c>
      <c r="FR36" s="14">
        <f>IFERROR(AVERAGE(Tabel1[[#This Row],[Do - A3a]:[Do - A3a]]),"")</f>
        <v>5</v>
      </c>
      <c r="FS36" s="14">
        <v>4</v>
      </c>
      <c r="FT36" s="14">
        <f>IFERROR(AVERAGE(Tabel1[[#This Row],[Do - A1]],Tabel1[[#This Row],[Do - A2]],Tabel1[[#This Row],[Do - A3]],Tabel1[[#This Row],[Do - A4]]),"")</f>
        <v>4.666666666666667</v>
      </c>
      <c r="FU3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3.5944444444444441</v>
      </c>
      <c r="FV36" s="16" t="s">
        <v>375</v>
      </c>
      <c r="FW36" t="b">
        <v>1</v>
      </c>
    </row>
    <row r="37" spans="1:179" x14ac:dyDescent="0.3">
      <c r="A37" s="13">
        <v>44904.468229166669</v>
      </c>
      <c r="B37" t="b">
        <v>0</v>
      </c>
      <c r="C37" s="14" t="s">
        <v>376</v>
      </c>
      <c r="D37" s="14" t="s">
        <v>377</v>
      </c>
      <c r="E37" s="14" t="s">
        <v>378</v>
      </c>
      <c r="F37" s="14" t="s">
        <v>184</v>
      </c>
      <c r="G37" s="14" t="s">
        <v>379</v>
      </c>
      <c r="H37" s="14" t="s">
        <v>222</v>
      </c>
      <c r="I37" s="14" t="s">
        <v>243</v>
      </c>
      <c r="J37" s="14" t="s">
        <v>244</v>
      </c>
      <c r="K37" s="17" t="s">
        <v>255</v>
      </c>
      <c r="L37" s="14" t="s">
        <v>249</v>
      </c>
      <c r="M37" s="14" t="s">
        <v>198</v>
      </c>
      <c r="N37" s="14" t="s">
        <v>331</v>
      </c>
      <c r="O37" s="14" t="s">
        <v>200</v>
      </c>
      <c r="P37" s="17" t="s">
        <v>304</v>
      </c>
      <c r="Q37" s="14" t="s">
        <v>317</v>
      </c>
      <c r="R37" s="14" t="s">
        <v>203</v>
      </c>
      <c r="S37" s="17" t="s">
        <v>304</v>
      </c>
      <c r="T37" s="14" t="s">
        <v>380</v>
      </c>
      <c r="U37" s="14" t="s">
        <v>237</v>
      </c>
      <c r="V37" s="14" t="s">
        <v>359</v>
      </c>
      <c r="W37" s="14" t="s">
        <v>306</v>
      </c>
      <c r="X37" s="14" t="s">
        <v>306</v>
      </c>
      <c r="Y37" s="14">
        <v>3</v>
      </c>
      <c r="Z37" s="14">
        <v>3</v>
      </c>
      <c r="AA37" s="14">
        <v>3</v>
      </c>
      <c r="AB37" s="15">
        <f>IFERROR(AVERAGE(Tabel1[[#This Row],[Up - R1a]:[Up - R1c]]),"")</f>
        <v>3</v>
      </c>
      <c r="AC37" s="14">
        <v>3</v>
      </c>
      <c r="AD37" s="14">
        <v>3</v>
      </c>
      <c r="AE37" s="14">
        <v>2</v>
      </c>
      <c r="AF37" s="14">
        <v>4</v>
      </c>
      <c r="AG37" s="14">
        <f>IFERROR(AVERAGE(Tabel1[[#This Row],[Up - R1]:[Up - R5]]),"")</f>
        <v>3</v>
      </c>
      <c r="AH37" s="14">
        <v>3</v>
      </c>
      <c r="AI37" s="14">
        <v>3</v>
      </c>
      <c r="AJ37" s="14">
        <v>4</v>
      </c>
      <c r="AK37" s="14">
        <f>IFERROR(AVERAGE(Tabel1[[#This Row],[Up - C1a]:[Up - C1c]]),"")</f>
        <v>3.3333333333333335</v>
      </c>
      <c r="AL37" s="14">
        <v>2</v>
      </c>
      <c r="AM37" s="14">
        <v>3</v>
      </c>
      <c r="AN37" s="14">
        <v>2</v>
      </c>
      <c r="AO37" s="14">
        <f>IFERROR(AVERAGE(Tabel1[[#This Row],[Up - C1]:[Up - C4]]),"")</f>
        <v>2.5833333333333335</v>
      </c>
      <c r="AP37" s="14">
        <v>3</v>
      </c>
      <c r="AQ37" s="14">
        <f>IFERROR(AVERAGE(Tabel1[[#This Row],[Up - F1a]:[Up - F1a]]),"")</f>
        <v>3</v>
      </c>
      <c r="AR37" s="14">
        <v>5</v>
      </c>
      <c r="AS37" s="14">
        <v>4</v>
      </c>
      <c r="AT37" s="14">
        <f>IFERROR(AVERAGE(Tabel1[[#This Row],[Up - F2a]:[Up - F2b]]),"")</f>
        <v>4.5</v>
      </c>
      <c r="AU37" s="14">
        <v>4</v>
      </c>
      <c r="AV37" s="14">
        <v>2</v>
      </c>
      <c r="AW37" s="14">
        <f>IFERROR(AVERAGE(Tabel1[[#This Row],[Up - F3a]:[Up - F3b]]),"")</f>
        <v>3</v>
      </c>
      <c r="AX37" s="14">
        <v>3</v>
      </c>
      <c r="AY37" s="14">
        <f>IFERROR(AVERAGE(Tabel1[[#This Row],[Up - F1]],Tabel1[[#This Row],[Up - F2]],Tabel1[[#This Row],[Up - F3]],Tabel1[[#This Row],[Up - F4]]),"")</f>
        <v>3.375</v>
      </c>
      <c r="AZ37" s="14">
        <v>4</v>
      </c>
      <c r="BA37" s="14">
        <v>4</v>
      </c>
      <c r="BB37" s="14">
        <f>IFERROR(AVERAGE(Tabel1[[#This Row],[Up - V1a]:[Up - V1b]]),"")</f>
        <v>4</v>
      </c>
      <c r="BC37" s="14">
        <v>2</v>
      </c>
      <c r="BD37" s="14">
        <v>4</v>
      </c>
      <c r="BE37" s="14">
        <v>4</v>
      </c>
      <c r="BF37" s="14">
        <f>IFERROR(AVERAGE(Tabel1[[#This Row],[Up - V2a]:[Up - V2c]]),"")</f>
        <v>3.3333333333333335</v>
      </c>
      <c r="BG37" s="14">
        <v>4</v>
      </c>
      <c r="BH37" s="14">
        <v>2</v>
      </c>
      <c r="BI37" s="14">
        <f>IFERROR(AVERAGE(Tabel1[[#This Row],[Up - V3a]:[Up - V3b]]),"")</f>
        <v>3</v>
      </c>
      <c r="BJ37" s="14">
        <v>3</v>
      </c>
      <c r="BK37" s="14">
        <f>IFERROR(AVERAGE(Tabel1[[#This Row],[Up - V1]],Tabel1[[#This Row],[Up - V2]],Tabel1[[#This Row],[Up - V3]],Tabel1[[#This Row],[Up - V4]]),"")</f>
        <v>3.3333333333333335</v>
      </c>
      <c r="BL37" s="14">
        <v>3</v>
      </c>
      <c r="BM37" s="14">
        <v>4</v>
      </c>
      <c r="BN37" s="14">
        <v>1</v>
      </c>
      <c r="BO37" s="14">
        <v>3</v>
      </c>
      <c r="BP37" s="14">
        <f>IFERROR(AVERAGE(Tabel1[[#This Row],[Up - A1a]:[Up - A1d]]),"")</f>
        <v>2.75</v>
      </c>
      <c r="BQ37" s="14">
        <v>4</v>
      </c>
      <c r="BR37" s="14">
        <v>3</v>
      </c>
      <c r="BS37" s="14">
        <f>IFERROR(AVERAGE(Tabel1[[#This Row],[Up - A2a]:[Up - A2b]]),"")</f>
        <v>3.5</v>
      </c>
      <c r="BT37" s="14">
        <v>5</v>
      </c>
      <c r="BU37" s="14">
        <f>IFERROR(AVERAGE(Tabel1[[#This Row],[Up - A3a]:[Up - A3a]]),"")</f>
        <v>5</v>
      </c>
      <c r="BV37" s="14">
        <v>3</v>
      </c>
      <c r="BW37" s="14">
        <f>IFERROR(AVERAGE(Tabel1[[#This Row],[Up - A1]],Tabel1[[#This Row],[Up - A2]],Tabel1[[#This Row],[Up - A3]]),"")</f>
        <v>3.75</v>
      </c>
      <c r="BX37" s="14">
        <v>5</v>
      </c>
      <c r="BY37" s="14">
        <v>1</v>
      </c>
      <c r="BZ37" s="14">
        <f>IFERROR(AVERAGE(Tabel1[[#This Row],[In - R1a]:[In - R1b]]),"")</f>
        <v>3</v>
      </c>
      <c r="CA37" s="14">
        <v>4</v>
      </c>
      <c r="CB37" s="14">
        <v>2</v>
      </c>
      <c r="CC37" s="14">
        <v>4</v>
      </c>
      <c r="CD37" s="14">
        <v>1</v>
      </c>
      <c r="CE37" s="14">
        <f>IFERROR(AVERAGE(Tabel1[[#This Row],[In - R1]:[In - R5]]),"")</f>
        <v>2.8</v>
      </c>
      <c r="CF37" s="14">
        <v>3</v>
      </c>
      <c r="CG37" s="14">
        <v>1</v>
      </c>
      <c r="CH37" s="14">
        <v>4</v>
      </c>
      <c r="CI37" s="14">
        <f>IFERROR(AVERAGE(Tabel1[[#This Row],[In - C1a]:[In - C1c]]),"")</f>
        <v>2.6666666666666665</v>
      </c>
      <c r="CJ37" s="14">
        <v>4</v>
      </c>
      <c r="CK37" s="14">
        <v>4</v>
      </c>
      <c r="CL37" s="14">
        <v>3</v>
      </c>
      <c r="CM37" s="14">
        <f>IFERROR(AVERAGE(Tabel1[[#This Row],[In - C1]:[In - C4]]),"")</f>
        <v>3.4166666666666665</v>
      </c>
      <c r="CN37" s="14">
        <v>3</v>
      </c>
      <c r="CO37" s="14">
        <v>4</v>
      </c>
      <c r="CP37" s="14">
        <v>3</v>
      </c>
      <c r="CQ37" s="14">
        <f>IFERROR(AVERAGE(Tabel1[[#This Row],[In - F1a]:[In - F1c]]),"")</f>
        <v>3.3333333333333335</v>
      </c>
      <c r="CR37" s="14">
        <v>2</v>
      </c>
      <c r="CS37" s="14">
        <v>3</v>
      </c>
      <c r="CT37" s="14">
        <f>IFERROR(AVERAGE(Tabel1[[#This Row],[In - F2a]:[In - F2b]]),"")</f>
        <v>2.5</v>
      </c>
      <c r="CU37" s="14">
        <v>2</v>
      </c>
      <c r="CV37" s="14">
        <f>IFERROR(AVERAGE(Tabel1[[#This Row],[In - F3a]:[In - F3a]]),"")</f>
        <v>2</v>
      </c>
      <c r="CW37" s="14">
        <v>4</v>
      </c>
      <c r="CX37" s="14">
        <f>IFERROR(AVERAGE(Tabel1[[#This Row],[In - F1]],Tabel1[[#This Row],[In - F2]],Tabel1[[#This Row],[In - F3]],Tabel1[[#This Row],[In - F4]]),"")</f>
        <v>2.9583333333333335</v>
      </c>
      <c r="CY37" s="14">
        <v>3</v>
      </c>
      <c r="CZ37" s="14">
        <v>2</v>
      </c>
      <c r="DA37" s="14">
        <v>4</v>
      </c>
      <c r="DB37" s="14">
        <f>IFERROR(AVERAGE(Tabel1[[#This Row],[In - V1a]:[In - V1c]]),"")</f>
        <v>3</v>
      </c>
      <c r="DC37" s="14">
        <v>3</v>
      </c>
      <c r="DD37" s="14">
        <v>4</v>
      </c>
      <c r="DE37" s="14">
        <v>3</v>
      </c>
      <c r="DF37" s="14">
        <f>IFERROR(AVERAGE(Tabel1[[#This Row],[In - V2a]:[In - V2c]]),"")</f>
        <v>3.3333333333333335</v>
      </c>
      <c r="DG37" s="14">
        <v>4</v>
      </c>
      <c r="DH37" s="14">
        <v>2</v>
      </c>
      <c r="DI37" s="14">
        <f>IFERROR(AVERAGE(Tabel1[[#This Row],[In - V3a]:[In - V3b]]),"")</f>
        <v>3</v>
      </c>
      <c r="DJ37" s="14">
        <v>4</v>
      </c>
      <c r="DK37" s="14">
        <f>IFERROR(AVERAGE(Tabel1[[#This Row],[In - V1]],Tabel1[[#This Row],[In - V2]],Tabel1[[#This Row],[In - V3]],Tabel1[[#This Row],[In - V4]]),"")</f>
        <v>3.3333333333333335</v>
      </c>
      <c r="DL37" s="14">
        <v>2</v>
      </c>
      <c r="DM37" s="14">
        <v>4</v>
      </c>
      <c r="DN37" s="14">
        <f>IFERROR(AVERAGE(Tabel1[[#This Row],[In - A1a]:[In - A1b]]),"")</f>
        <v>3</v>
      </c>
      <c r="DO37" s="14">
        <v>3</v>
      </c>
      <c r="DP37" s="14">
        <v>4</v>
      </c>
      <c r="DQ37" s="14">
        <f>IFERROR(AVERAGE(Tabel1[[#This Row],[In - A2a]:[In - A2b]]),"")</f>
        <v>3.5</v>
      </c>
      <c r="DR37" s="14">
        <v>4</v>
      </c>
      <c r="DS37" s="14">
        <v>3</v>
      </c>
      <c r="DT37" s="14">
        <f>IFERROR(AVERAGE(Tabel1[[#This Row],[In - A3a]:[In - A3a]]),"")</f>
        <v>4</v>
      </c>
      <c r="DU37" s="14">
        <v>2</v>
      </c>
      <c r="DV37" s="14">
        <f>IFERROR(AVERAGE(Tabel1[[#This Row],[In - A1]],Tabel1[[#This Row],[In - A2]],Tabel1[[#This Row],[In - A3]],Tabel1[[#This Row],[In - A4]]),"")</f>
        <v>3.125</v>
      </c>
      <c r="DW37" s="14">
        <v>3</v>
      </c>
      <c r="DX37" s="14">
        <v>5</v>
      </c>
      <c r="DY37" s="14">
        <v>3</v>
      </c>
      <c r="DZ37" s="14">
        <f>IFERROR(AVERAGE(Tabel1[[#This Row],[Do - R1a]:[Do - R1c]]),"")</f>
        <v>3.6666666666666665</v>
      </c>
      <c r="EA37" s="14">
        <v>3</v>
      </c>
      <c r="EB37" s="14">
        <v>4</v>
      </c>
      <c r="EC37" s="14">
        <v>5</v>
      </c>
      <c r="ED37" s="14">
        <v>3</v>
      </c>
      <c r="EE37" s="14">
        <f>IFERROR(AVERAGE(Tabel1[[#This Row],[Do - R1]:[Do - R5]]),"")</f>
        <v>3.7333333333333329</v>
      </c>
      <c r="EF37" s="14">
        <v>2</v>
      </c>
      <c r="EG37" s="14">
        <v>4</v>
      </c>
      <c r="EH37" s="14">
        <v>4</v>
      </c>
      <c r="EI37" s="14">
        <f>IFERROR(AVERAGE(Tabel1[[#This Row],[Do - C1a]:[Do - C1c]]),"")</f>
        <v>3.3333333333333335</v>
      </c>
      <c r="EJ37" s="14">
        <v>2</v>
      </c>
      <c r="EK37" s="14">
        <v>1</v>
      </c>
      <c r="EL37" s="14">
        <v>3</v>
      </c>
      <c r="EM37" s="14">
        <f>IFERROR(AVERAGE(Tabel1[[#This Row],[Do - C1]:[Do - C4]]),"")</f>
        <v>2.3333333333333335</v>
      </c>
      <c r="EN37" s="14">
        <v>4</v>
      </c>
      <c r="EO37" s="14">
        <v>4</v>
      </c>
      <c r="EP37" s="14">
        <v>4</v>
      </c>
      <c r="EQ37" s="14">
        <f>IFERROR(AVERAGE(Tabel1[[#This Row],[Do - F1a]:[Do - F1c]]),"")</f>
        <v>4</v>
      </c>
      <c r="ER37" s="14">
        <v>3</v>
      </c>
      <c r="ES37" s="14">
        <f>IFERROR(AVERAGE(Tabel1[[#This Row],[Do - F2a]:[Do - F2a]]),"")</f>
        <v>3</v>
      </c>
      <c r="ET37" s="14">
        <v>3</v>
      </c>
      <c r="EU37" s="14">
        <v>3</v>
      </c>
      <c r="EV37" s="14">
        <f>IFERROR(AVERAGE(Tabel1[[#This Row],[Do - F3a]:[Do - F3b]]),"")</f>
        <v>3</v>
      </c>
      <c r="EW37" s="14">
        <v>4</v>
      </c>
      <c r="EX37" s="14">
        <f>IFERROR(AVERAGE(Tabel1[[#This Row],[Do - F1]],Tabel1[[#This Row],[Do - F2]],Tabel1[[#This Row],[Do - F3]],Tabel1[[#This Row],[Do - F4]]),"")</f>
        <v>3.5</v>
      </c>
      <c r="EY37" s="14">
        <v>2</v>
      </c>
      <c r="EZ37" s="14">
        <v>3</v>
      </c>
      <c r="FA37" s="14">
        <v>4</v>
      </c>
      <c r="FB37" s="14">
        <f>IFERROR(AVERAGE(Tabel1[[#This Row],[Do - V1a]:[Do - V1c]]),"")</f>
        <v>3</v>
      </c>
      <c r="FC37" s="14">
        <v>2</v>
      </c>
      <c r="FD37" s="14">
        <v>3</v>
      </c>
      <c r="FE37" s="14">
        <f>IFERROR(AVERAGE(Tabel1[[#This Row],[Do - V2a]:[Do - V2b]]),"")</f>
        <v>2.5</v>
      </c>
      <c r="FF37" s="14">
        <v>3</v>
      </c>
      <c r="FG37" s="14">
        <f>IFERROR(AVERAGE(Tabel1[[#This Row],[Do - V3a]:[Do - V3a]]),"")</f>
        <v>3</v>
      </c>
      <c r="FH37" s="14">
        <v>5</v>
      </c>
      <c r="FI37" s="14">
        <f>IFERROR(AVERAGE(Tabel1[[#This Row],[Do - V1]],Tabel1[[#This Row],[Do - V2]],Tabel1[[#This Row],[Do - V3]],Tabel1[[#This Row],[Do - V4]]),"")</f>
        <v>3.375</v>
      </c>
      <c r="FJ37" s="14">
        <v>2</v>
      </c>
      <c r="FK37" s="14">
        <v>3</v>
      </c>
      <c r="FL37" s="14">
        <v>4</v>
      </c>
      <c r="FM37" s="14">
        <f>IFERROR(AVERAGE(Tabel1[[#This Row],[Do - A1a]:[Do - A1c]]),"")</f>
        <v>3</v>
      </c>
      <c r="FN37" s="14">
        <v>2</v>
      </c>
      <c r="FO37" s="14">
        <v>4</v>
      </c>
      <c r="FP37" s="14">
        <f>IFERROR(AVERAGE(Tabel1[[#This Row],[Do - A2a]:[Do - A2b]]),"")</f>
        <v>3</v>
      </c>
      <c r="FQ37" s="14">
        <v>2</v>
      </c>
      <c r="FR37" s="14">
        <f>IFERROR(AVERAGE(Tabel1[[#This Row],[Do - A3a]:[Do - A3a]]),"")</f>
        <v>2</v>
      </c>
      <c r="FS37" s="14">
        <v>4</v>
      </c>
      <c r="FT37" s="14">
        <f>IFERROR(AVERAGE(Tabel1[[#This Row],[Do - A1]],Tabel1[[#This Row],[Do - A2]],Tabel1[[#This Row],[Do - A3]],Tabel1[[#This Row],[Do - A4]]),"")</f>
        <v>3</v>
      </c>
      <c r="FU3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3.1744444444444446</v>
      </c>
      <c r="FV37" s="16" t="s">
        <v>381</v>
      </c>
      <c r="FW37" t="b">
        <v>1</v>
      </c>
    </row>
    <row r="38" spans="1:179" x14ac:dyDescent="0.3">
      <c r="A38" s="13">
        <v>44907.443090277775</v>
      </c>
      <c r="B38" t="b">
        <v>0</v>
      </c>
      <c r="C38" s="14" t="s">
        <v>382</v>
      </c>
      <c r="D38" s="14" t="s">
        <v>252</v>
      </c>
      <c r="E38" s="14" t="s">
        <v>383</v>
      </c>
      <c r="F38" s="14" t="s">
        <v>184</v>
      </c>
      <c r="G38" s="3" t="s">
        <v>384</v>
      </c>
      <c r="H38" s="14" t="s">
        <v>222</v>
      </c>
      <c r="I38" s="14" t="s">
        <v>243</v>
      </c>
      <c r="J38" s="14" t="s">
        <v>244</v>
      </c>
      <c r="K38" s="17" t="s">
        <v>255</v>
      </c>
      <c r="L38" s="14" t="s">
        <v>385</v>
      </c>
      <c r="M38" s="14" t="s">
        <v>233</v>
      </c>
      <c r="N38" s="14" t="s">
        <v>331</v>
      </c>
      <c r="O38" s="14" t="s">
        <v>256</v>
      </c>
      <c r="P38" s="14" t="s">
        <v>201</v>
      </c>
      <c r="Q38" s="14" t="s">
        <v>203</v>
      </c>
      <c r="R38" s="14" t="s">
        <v>235</v>
      </c>
      <c r="S38" s="14" t="s">
        <v>201</v>
      </c>
      <c r="T38" s="14" t="s">
        <v>284</v>
      </c>
      <c r="U38" s="14" t="s">
        <v>285</v>
      </c>
      <c r="V38" s="14" t="s">
        <v>359</v>
      </c>
      <c r="W38" s="14" t="s">
        <v>207</v>
      </c>
      <c r="X38" s="14" t="s">
        <v>207</v>
      </c>
      <c r="Y38" s="14">
        <v>4</v>
      </c>
      <c r="Z38" s="14">
        <v>1</v>
      </c>
      <c r="AA38" s="14">
        <v>3</v>
      </c>
      <c r="AB38" s="15">
        <f>IFERROR(AVERAGE(Tabel1[[#This Row],[Up - R1a]:[Up - R1c]]),"")</f>
        <v>2.6666666666666665</v>
      </c>
      <c r="AC38" s="14">
        <v>1</v>
      </c>
      <c r="AD38" s="14">
        <v>5</v>
      </c>
      <c r="AE38" s="14">
        <v>4</v>
      </c>
      <c r="AF38" s="14" t="s">
        <v>189</v>
      </c>
      <c r="AG38" s="14">
        <f>IFERROR(AVERAGE(Tabel1[[#This Row],[Up - R1]:[Up - R5]]),"")</f>
        <v>3.1666666666666665</v>
      </c>
      <c r="AH38" s="14">
        <v>4</v>
      </c>
      <c r="AI38" s="14">
        <v>4</v>
      </c>
      <c r="AJ38" s="14">
        <v>4</v>
      </c>
      <c r="AK38" s="14">
        <f>IFERROR(AVERAGE(Tabel1[[#This Row],[Up - C1a]:[Up - C1c]]),"")</f>
        <v>4</v>
      </c>
      <c r="AL38" s="14" t="s">
        <v>189</v>
      </c>
      <c r="AM38" s="14" t="s">
        <v>189</v>
      </c>
      <c r="AN38" s="14">
        <v>3</v>
      </c>
      <c r="AO38" s="14">
        <f>IFERROR(AVERAGE(Tabel1[[#This Row],[Up - C1]:[Up - C4]]),"")</f>
        <v>3.5</v>
      </c>
      <c r="AP38" s="14">
        <v>3</v>
      </c>
      <c r="AQ38" s="14">
        <f>IFERROR(AVERAGE(Tabel1[[#This Row],[Up - F1a]:[Up - F1a]]),"")</f>
        <v>3</v>
      </c>
      <c r="AR38" s="14">
        <v>1</v>
      </c>
      <c r="AS38" s="14">
        <v>4</v>
      </c>
      <c r="AT38" s="14">
        <f>IFERROR(AVERAGE(Tabel1[[#This Row],[Up - F2a]:[Up - F2b]]),"")</f>
        <v>2.5</v>
      </c>
      <c r="AU38" s="14">
        <v>5</v>
      </c>
      <c r="AV38" s="14">
        <v>1</v>
      </c>
      <c r="AW38" s="14">
        <f>IFERROR(AVERAGE(Tabel1[[#This Row],[Up - F3a]:[Up - F3b]]),"")</f>
        <v>3</v>
      </c>
      <c r="AX38" s="14">
        <v>1</v>
      </c>
      <c r="AY38" s="14">
        <f>IFERROR(AVERAGE(Tabel1[[#This Row],[Up - F1]],Tabel1[[#This Row],[Up - F2]],Tabel1[[#This Row],[Up - F3]],Tabel1[[#This Row],[Up - F4]]),"")</f>
        <v>2.375</v>
      </c>
      <c r="AZ38" s="14">
        <v>3</v>
      </c>
      <c r="BA38" s="14">
        <v>5</v>
      </c>
      <c r="BB38" s="14">
        <f>IFERROR(AVERAGE(Tabel1[[#This Row],[Up - V1a]:[Up - V1b]]),"")</f>
        <v>4</v>
      </c>
      <c r="BC38" s="14">
        <v>1</v>
      </c>
      <c r="BD38" s="14">
        <v>5</v>
      </c>
      <c r="BE38" s="14">
        <v>4</v>
      </c>
      <c r="BF38" s="14">
        <f>IFERROR(AVERAGE(Tabel1[[#This Row],[Up - V2a]:[Up - V2c]]),"")</f>
        <v>3.3333333333333335</v>
      </c>
      <c r="BG38" s="14">
        <v>5</v>
      </c>
      <c r="BH38" s="14">
        <v>1</v>
      </c>
      <c r="BI38" s="14">
        <f>IFERROR(AVERAGE(Tabel1[[#This Row],[Up - V3a]:[Up - V3b]]),"")</f>
        <v>3</v>
      </c>
      <c r="BJ38" s="14">
        <v>4</v>
      </c>
      <c r="BK38" s="14">
        <f>IFERROR(AVERAGE(Tabel1[[#This Row],[Up - V1]],Tabel1[[#This Row],[Up - V2]],Tabel1[[#This Row],[Up - V3]],Tabel1[[#This Row],[Up - V4]]),"")</f>
        <v>3.5833333333333335</v>
      </c>
      <c r="BL38" s="14">
        <v>1</v>
      </c>
      <c r="BM38" s="14" t="s">
        <v>189</v>
      </c>
      <c r="BN38" s="14">
        <v>5</v>
      </c>
      <c r="BO38" s="14">
        <v>2</v>
      </c>
      <c r="BP38" s="14">
        <f>IFERROR(AVERAGE(Tabel1[[#This Row],[Up - A1a]:[Up - A1d]]),"")</f>
        <v>2.6666666666666665</v>
      </c>
      <c r="BQ38" s="14">
        <v>4</v>
      </c>
      <c r="BR38" s="14">
        <v>5</v>
      </c>
      <c r="BS38" s="14">
        <f>IFERROR(AVERAGE(Tabel1[[#This Row],[Up - A2a]:[Up - A2b]]),"")</f>
        <v>4.5</v>
      </c>
      <c r="BT38" s="14">
        <v>5</v>
      </c>
      <c r="BU38" s="14">
        <f>IFERROR(AVERAGE(Tabel1[[#This Row],[Up - A3a]:[Up - A3a]]),"")</f>
        <v>5</v>
      </c>
      <c r="BV38" s="14">
        <v>4</v>
      </c>
      <c r="BW38" s="14">
        <f>IFERROR(AVERAGE(Tabel1[[#This Row],[Up - A1]],Tabel1[[#This Row],[Up - A2]],Tabel1[[#This Row],[Up - A3]]),"")</f>
        <v>4.0555555555555554</v>
      </c>
      <c r="BX38" s="14">
        <v>1</v>
      </c>
      <c r="BY38" s="14">
        <v>1</v>
      </c>
      <c r="BZ38" s="14">
        <f>IFERROR(AVERAGE(Tabel1[[#This Row],[In - R1a]:[In - R1b]]),"")</f>
        <v>1</v>
      </c>
      <c r="CA38" s="14">
        <v>4</v>
      </c>
      <c r="CB38" s="14" t="s">
        <v>189</v>
      </c>
      <c r="CC38" s="14">
        <v>3</v>
      </c>
      <c r="CD38" s="14">
        <v>4</v>
      </c>
      <c r="CE38" s="14">
        <f>IFERROR(AVERAGE(Tabel1[[#This Row],[In - R1]:[In - R5]]),"")</f>
        <v>3</v>
      </c>
      <c r="CF38" s="14">
        <v>4</v>
      </c>
      <c r="CG38" s="14">
        <v>1</v>
      </c>
      <c r="CH38" s="14">
        <v>5</v>
      </c>
      <c r="CI38" s="14">
        <f>IFERROR(AVERAGE(Tabel1[[#This Row],[In - C1a]:[In - C1c]]),"")</f>
        <v>3.3333333333333335</v>
      </c>
      <c r="CJ38" s="14" t="s">
        <v>189</v>
      </c>
      <c r="CK38" s="14">
        <v>1</v>
      </c>
      <c r="CL38" s="14">
        <v>3</v>
      </c>
      <c r="CM38" s="14">
        <f>IFERROR(AVERAGE(Tabel1[[#This Row],[In - C1]:[In - C4]]),"")</f>
        <v>2.4444444444444446</v>
      </c>
      <c r="CN38" s="14">
        <v>2</v>
      </c>
      <c r="CO38" s="14">
        <v>2</v>
      </c>
      <c r="CP38" s="14" t="s">
        <v>189</v>
      </c>
      <c r="CQ38" s="14">
        <f>IFERROR(AVERAGE(Tabel1[[#This Row],[In - F1a]:[In - F1c]]),"")</f>
        <v>2</v>
      </c>
      <c r="CR38" s="14">
        <v>1</v>
      </c>
      <c r="CS38" s="14">
        <v>4</v>
      </c>
      <c r="CT38" s="14">
        <f>IFERROR(AVERAGE(Tabel1[[#This Row],[In - F2a]:[In - F2b]]),"")</f>
        <v>2.5</v>
      </c>
      <c r="CU38" s="14">
        <v>1</v>
      </c>
      <c r="CV38" s="14">
        <f>IFERROR(AVERAGE(Tabel1[[#This Row],[In - F3a]:[In - F3a]]),"")</f>
        <v>1</v>
      </c>
      <c r="CW38" s="14">
        <v>2</v>
      </c>
      <c r="CX38" s="14">
        <f>IFERROR(AVERAGE(Tabel1[[#This Row],[In - F1]],Tabel1[[#This Row],[In - F2]],Tabel1[[#This Row],[In - F3]],Tabel1[[#This Row],[In - F4]]),"")</f>
        <v>1.875</v>
      </c>
      <c r="CY38" s="14">
        <v>5</v>
      </c>
      <c r="CZ38" s="14">
        <v>4</v>
      </c>
      <c r="DA38" s="14">
        <v>1</v>
      </c>
      <c r="DB38" s="14">
        <f>IFERROR(AVERAGE(Tabel1[[#This Row],[In - V1a]:[In - V1c]]),"")</f>
        <v>3.3333333333333335</v>
      </c>
      <c r="DC38" s="14">
        <v>5</v>
      </c>
      <c r="DD38" s="14">
        <v>4</v>
      </c>
      <c r="DE38" s="14">
        <v>5</v>
      </c>
      <c r="DF38" s="14">
        <f>IFERROR(AVERAGE(Tabel1[[#This Row],[In - V2a]:[In - V2c]]),"")</f>
        <v>4.666666666666667</v>
      </c>
      <c r="DG38" s="14">
        <v>3</v>
      </c>
      <c r="DH38" s="14">
        <v>2</v>
      </c>
      <c r="DI38" s="14">
        <f>IFERROR(AVERAGE(Tabel1[[#This Row],[In - V3a]:[In - V3b]]),"")</f>
        <v>2.5</v>
      </c>
      <c r="DJ38" s="14">
        <v>5</v>
      </c>
      <c r="DK38" s="14">
        <f>IFERROR(AVERAGE(Tabel1[[#This Row],[In - V1]],Tabel1[[#This Row],[In - V2]],Tabel1[[#This Row],[In - V3]],Tabel1[[#This Row],[In - V4]]),"")</f>
        <v>3.875</v>
      </c>
      <c r="DL38" s="14">
        <v>4</v>
      </c>
      <c r="DM38" s="14">
        <v>4</v>
      </c>
      <c r="DN38" s="14">
        <f>IFERROR(AVERAGE(Tabel1[[#This Row],[In - A1a]:[In - A1b]]),"")</f>
        <v>4</v>
      </c>
      <c r="DO38" s="14" t="s">
        <v>189</v>
      </c>
      <c r="DP38" s="14">
        <v>4</v>
      </c>
      <c r="DQ38" s="14">
        <f>IFERROR(AVERAGE(Tabel1[[#This Row],[In - A2a]:[In - A2b]]),"")</f>
        <v>4</v>
      </c>
      <c r="DR38" s="14">
        <v>4</v>
      </c>
      <c r="DS38" s="14">
        <v>5</v>
      </c>
      <c r="DT38" s="14">
        <f>IFERROR(AVERAGE(Tabel1[[#This Row],[In - A3a]:[In - A3a]]),"")</f>
        <v>4</v>
      </c>
      <c r="DU38" s="14">
        <v>5</v>
      </c>
      <c r="DV38" s="14">
        <f>IFERROR(AVERAGE(Tabel1[[#This Row],[In - A1]],Tabel1[[#This Row],[In - A2]],Tabel1[[#This Row],[In - A3]],Tabel1[[#This Row],[In - A4]]),"")</f>
        <v>4.25</v>
      </c>
      <c r="DW38" s="14">
        <v>4</v>
      </c>
      <c r="DX38" s="14">
        <v>4</v>
      </c>
      <c r="DY38" s="14">
        <v>4</v>
      </c>
      <c r="DZ38" s="14">
        <f>IFERROR(AVERAGE(Tabel1[[#This Row],[Do - R1a]:[Do - R1c]]),"")</f>
        <v>4</v>
      </c>
      <c r="EA38" s="14" t="s">
        <v>189</v>
      </c>
      <c r="EB38" s="14">
        <v>5</v>
      </c>
      <c r="EC38" s="14">
        <v>3</v>
      </c>
      <c r="ED38" s="14" t="s">
        <v>189</v>
      </c>
      <c r="EE38" s="14">
        <f>IFERROR(AVERAGE(Tabel1[[#This Row],[Do - R1]:[Do - R5]]),"")</f>
        <v>4</v>
      </c>
      <c r="EF38" s="14">
        <v>5</v>
      </c>
      <c r="EG38" s="14">
        <v>1</v>
      </c>
      <c r="EH38" s="14">
        <v>4</v>
      </c>
      <c r="EI38" s="14">
        <f>IFERROR(AVERAGE(Tabel1[[#This Row],[Do - C1a]:[Do - C1c]]),"")</f>
        <v>3.3333333333333335</v>
      </c>
      <c r="EJ38" s="14" t="s">
        <v>189</v>
      </c>
      <c r="EK38" s="14" t="s">
        <v>189</v>
      </c>
      <c r="EL38" s="14">
        <v>2</v>
      </c>
      <c r="EM38" s="14">
        <f>IFERROR(AVERAGE(Tabel1[[#This Row],[Do - C1]:[Do - C4]]),"")</f>
        <v>2.666666666666667</v>
      </c>
      <c r="EN38" s="14" t="s">
        <v>189</v>
      </c>
      <c r="EO38" s="14">
        <v>5</v>
      </c>
      <c r="EP38" s="14">
        <v>5</v>
      </c>
      <c r="EQ38" s="14">
        <f>IFERROR(AVERAGE(Tabel1[[#This Row],[Do - F1a]:[Do - F1c]]),"")</f>
        <v>5</v>
      </c>
      <c r="ER38" s="14">
        <v>5</v>
      </c>
      <c r="ES38" s="14">
        <f>IFERROR(AVERAGE(Tabel1[[#This Row],[Do - F2a]:[Do - F2a]]),"")</f>
        <v>5</v>
      </c>
      <c r="ET38" s="14">
        <v>5</v>
      </c>
      <c r="EU38" s="14">
        <v>5</v>
      </c>
      <c r="EV38" s="14">
        <f>IFERROR(AVERAGE(Tabel1[[#This Row],[Do - F3a]:[Do - F3b]]),"")</f>
        <v>5</v>
      </c>
      <c r="EW38" s="14">
        <v>5</v>
      </c>
      <c r="EX38" s="14">
        <f>IFERROR(AVERAGE(Tabel1[[#This Row],[Do - F1]],Tabel1[[#This Row],[Do - F2]],Tabel1[[#This Row],[Do - F3]],Tabel1[[#This Row],[Do - F4]]),"")</f>
        <v>5</v>
      </c>
      <c r="EY38" s="14">
        <v>5</v>
      </c>
      <c r="EZ38" s="14">
        <v>5</v>
      </c>
      <c r="FA38" s="14">
        <v>5</v>
      </c>
      <c r="FB38" s="14">
        <f>IFERROR(AVERAGE(Tabel1[[#This Row],[Do - V1a]:[Do - V1c]]),"")</f>
        <v>5</v>
      </c>
      <c r="FC38" s="14">
        <v>5</v>
      </c>
      <c r="FD38" s="14">
        <v>5</v>
      </c>
      <c r="FE38" s="14">
        <f>IFERROR(AVERAGE(Tabel1[[#This Row],[Do - V2a]:[Do - V2b]]),"")</f>
        <v>5</v>
      </c>
      <c r="FF38" s="14">
        <v>4</v>
      </c>
      <c r="FG38" s="14">
        <f>IFERROR(AVERAGE(Tabel1[[#This Row],[Do - V3a]:[Do - V3a]]),"")</f>
        <v>4</v>
      </c>
      <c r="FH38" s="14">
        <v>5</v>
      </c>
      <c r="FI38" s="14">
        <f>IFERROR(AVERAGE(Tabel1[[#This Row],[Do - V1]],Tabel1[[#This Row],[Do - V2]],Tabel1[[#This Row],[Do - V3]],Tabel1[[#This Row],[Do - V4]]),"")</f>
        <v>4.75</v>
      </c>
      <c r="FJ38" s="14" t="s">
        <v>189</v>
      </c>
      <c r="FK38" s="14">
        <v>5</v>
      </c>
      <c r="FL38" s="14">
        <v>5</v>
      </c>
      <c r="FM38" s="14">
        <f>IFERROR(AVERAGE(Tabel1[[#This Row],[Do - A1a]:[Do - A1c]]),"")</f>
        <v>5</v>
      </c>
      <c r="FN38" s="14" t="s">
        <v>189</v>
      </c>
      <c r="FO38" s="14">
        <v>4</v>
      </c>
      <c r="FP38" s="14">
        <f>IFERROR(AVERAGE(Tabel1[[#This Row],[Do - A2a]:[Do - A2b]]),"")</f>
        <v>4</v>
      </c>
      <c r="FQ38" s="14" t="s">
        <v>189</v>
      </c>
      <c r="FR38" s="14" t="str">
        <f>IFERROR(AVERAGE(Tabel1[[#This Row],[Do - A3a]:[Do - A3a]]),"")</f>
        <v/>
      </c>
      <c r="FS38" s="14">
        <v>5</v>
      </c>
      <c r="FT38" s="14">
        <f>IFERROR(AVERAGE(Tabel1[[#This Row],[Do - A1]],Tabel1[[#This Row],[Do - A2]],Tabel1[[#This Row],[Do - A3]],Tabel1[[#This Row],[Do - A4]]),"")</f>
        <v>4.666666666666667</v>
      </c>
      <c r="FU3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3.5472222222222221</v>
      </c>
      <c r="FV38" s="16" t="s">
        <v>386</v>
      </c>
      <c r="FW38" t="b">
        <v>1</v>
      </c>
    </row>
    <row r="39" spans="1:179" x14ac:dyDescent="0.3">
      <c r="A39" s="13">
        <v>44907.476435185185</v>
      </c>
      <c r="B39" t="b">
        <v>0</v>
      </c>
      <c r="C39" s="14" t="s">
        <v>382</v>
      </c>
      <c r="D39" s="14" t="s">
        <v>387</v>
      </c>
      <c r="E39" s="14" t="s">
        <v>388</v>
      </c>
      <c r="F39" s="14" t="s">
        <v>184</v>
      </c>
      <c r="G39" s="14" t="s">
        <v>389</v>
      </c>
      <c r="H39" s="14" t="s">
        <v>222</v>
      </c>
      <c r="I39" s="14" t="s">
        <v>243</v>
      </c>
      <c r="J39" s="14" t="s">
        <v>244</v>
      </c>
      <c r="K39" s="17" t="s">
        <v>304</v>
      </c>
      <c r="L39" s="14" t="s">
        <v>249</v>
      </c>
      <c r="M39" s="14" t="s">
        <v>198</v>
      </c>
      <c r="N39" s="14" t="s">
        <v>331</v>
      </c>
      <c r="O39" s="14" t="s">
        <v>256</v>
      </c>
      <c r="P39" s="14" t="s">
        <v>201</v>
      </c>
      <c r="Q39" s="17" t="s">
        <v>304</v>
      </c>
      <c r="R39" s="14" t="s">
        <v>187</v>
      </c>
      <c r="S39" s="14" t="s">
        <v>202</v>
      </c>
      <c r="T39" s="14" t="s">
        <v>284</v>
      </c>
      <c r="U39" s="14" t="s">
        <v>285</v>
      </c>
      <c r="V39" s="14" t="s">
        <v>224</v>
      </c>
      <c r="W39" s="14" t="s">
        <v>207</v>
      </c>
      <c r="X39" s="14" t="s">
        <v>207</v>
      </c>
      <c r="Y39" s="14">
        <v>1</v>
      </c>
      <c r="Z39" s="14">
        <v>1</v>
      </c>
      <c r="AA39" s="14">
        <v>5</v>
      </c>
      <c r="AB39" s="15">
        <f>IFERROR(AVERAGE(Tabel1[[#This Row],[Up - R1a]:[Up - R1c]]),"")</f>
        <v>2.3333333333333335</v>
      </c>
      <c r="AC39" s="14">
        <v>3</v>
      </c>
      <c r="AD39" s="14">
        <v>4</v>
      </c>
      <c r="AE39" s="14">
        <v>4</v>
      </c>
      <c r="AF39" s="14" t="s">
        <v>189</v>
      </c>
      <c r="AG39" s="14">
        <f>IFERROR(AVERAGE(Tabel1[[#This Row],[Up - R1]:[Up - R5]]),"")</f>
        <v>3.3333333333333335</v>
      </c>
      <c r="AH39" s="14">
        <v>5</v>
      </c>
      <c r="AI39" s="14">
        <v>4</v>
      </c>
      <c r="AJ39" s="14">
        <v>5</v>
      </c>
      <c r="AK39" s="14">
        <f>IFERROR(AVERAGE(Tabel1[[#This Row],[Up - C1a]:[Up - C1c]]),"")</f>
        <v>4.666666666666667</v>
      </c>
      <c r="AL39" s="14">
        <v>4</v>
      </c>
      <c r="AM39" s="14">
        <v>4</v>
      </c>
      <c r="AN39" s="14">
        <v>4</v>
      </c>
      <c r="AO39" s="14">
        <f>IFERROR(AVERAGE(Tabel1[[#This Row],[Up - C1]:[Up - C4]]),"")</f>
        <v>4.166666666666667</v>
      </c>
      <c r="AP39" s="14">
        <v>1</v>
      </c>
      <c r="AQ39" s="14">
        <f>IFERROR(AVERAGE(Tabel1[[#This Row],[Up - F1a]:[Up - F1a]]),"")</f>
        <v>1</v>
      </c>
      <c r="AR39" s="14">
        <v>3</v>
      </c>
      <c r="AS39" s="14">
        <v>3</v>
      </c>
      <c r="AT39" s="14">
        <f>IFERROR(AVERAGE(Tabel1[[#This Row],[Up - F2a]:[Up - F2b]]),"")</f>
        <v>3</v>
      </c>
      <c r="AU39" s="14">
        <v>4</v>
      </c>
      <c r="AV39" s="14">
        <v>4</v>
      </c>
      <c r="AW39" s="14">
        <f>IFERROR(AVERAGE(Tabel1[[#This Row],[Up - F3a]:[Up - F3b]]),"")</f>
        <v>4</v>
      </c>
      <c r="AX39" s="14">
        <v>2</v>
      </c>
      <c r="AY39" s="14">
        <f>IFERROR(AVERAGE(Tabel1[[#This Row],[Up - F1]],Tabel1[[#This Row],[Up - F2]],Tabel1[[#This Row],[Up - F3]],Tabel1[[#This Row],[Up - F4]]),"")</f>
        <v>2.5</v>
      </c>
      <c r="AZ39" s="14">
        <v>2</v>
      </c>
      <c r="BA39" s="14">
        <v>3</v>
      </c>
      <c r="BB39" s="14">
        <f>IFERROR(AVERAGE(Tabel1[[#This Row],[Up - V1a]:[Up - V1b]]),"")</f>
        <v>2.5</v>
      </c>
      <c r="BC39" s="14">
        <v>2</v>
      </c>
      <c r="BD39" s="14">
        <v>5</v>
      </c>
      <c r="BE39" s="14">
        <v>4</v>
      </c>
      <c r="BF39" s="14">
        <f>IFERROR(AVERAGE(Tabel1[[#This Row],[Up - V2a]:[Up - V2c]]),"")</f>
        <v>3.6666666666666665</v>
      </c>
      <c r="BG39" s="14">
        <v>4</v>
      </c>
      <c r="BH39" s="14">
        <v>2</v>
      </c>
      <c r="BI39" s="14">
        <f>IFERROR(AVERAGE(Tabel1[[#This Row],[Up - V3a]:[Up - V3b]]),"")</f>
        <v>3</v>
      </c>
      <c r="BJ39" s="14">
        <v>4</v>
      </c>
      <c r="BK39" s="14">
        <f>IFERROR(AVERAGE(Tabel1[[#This Row],[Up - V1]],Tabel1[[#This Row],[Up - V2]],Tabel1[[#This Row],[Up - V3]],Tabel1[[#This Row],[Up - V4]]),"")</f>
        <v>3.2916666666666665</v>
      </c>
      <c r="BL39" s="14">
        <v>4</v>
      </c>
      <c r="BM39" s="14">
        <v>4</v>
      </c>
      <c r="BN39" s="14">
        <v>1</v>
      </c>
      <c r="BO39" s="14">
        <v>1</v>
      </c>
      <c r="BP39" s="14">
        <f>IFERROR(AVERAGE(Tabel1[[#This Row],[Up - A1a]:[Up - A1d]]),"")</f>
        <v>2.5</v>
      </c>
      <c r="BQ39" s="14">
        <v>1</v>
      </c>
      <c r="BR39" s="14">
        <v>4</v>
      </c>
      <c r="BS39" s="14">
        <f>IFERROR(AVERAGE(Tabel1[[#This Row],[Up - A2a]:[Up - A2b]]),"")</f>
        <v>2.5</v>
      </c>
      <c r="BT39" s="14">
        <v>4</v>
      </c>
      <c r="BU39" s="14">
        <f>IFERROR(AVERAGE(Tabel1[[#This Row],[Up - A3a]:[Up - A3a]]),"")</f>
        <v>4</v>
      </c>
      <c r="BV39" s="14">
        <v>4</v>
      </c>
      <c r="BW39" s="14">
        <f>IFERROR(AVERAGE(Tabel1[[#This Row],[Up - A1]],Tabel1[[#This Row],[Up - A2]],Tabel1[[#This Row],[Up - A3]]),"")</f>
        <v>3</v>
      </c>
      <c r="BX39" s="14">
        <v>4</v>
      </c>
      <c r="BY39" s="14">
        <v>1</v>
      </c>
      <c r="BZ39" s="14">
        <f>IFERROR(AVERAGE(Tabel1[[#This Row],[In - R1a]:[In - R1b]]),"")</f>
        <v>2.5</v>
      </c>
      <c r="CA39" s="14">
        <v>5</v>
      </c>
      <c r="CB39" s="14">
        <v>4</v>
      </c>
      <c r="CC39" s="14">
        <v>4</v>
      </c>
      <c r="CD39" s="14">
        <v>3</v>
      </c>
      <c r="CE39" s="14">
        <f>IFERROR(AVERAGE(Tabel1[[#This Row],[In - R1]:[In - R5]]),"")</f>
        <v>3.7</v>
      </c>
      <c r="CF39" s="14">
        <v>3</v>
      </c>
      <c r="CG39" s="14">
        <v>5</v>
      </c>
      <c r="CH39" s="14">
        <v>5</v>
      </c>
      <c r="CI39" s="14">
        <f>IFERROR(AVERAGE(Tabel1[[#This Row],[In - C1a]:[In - C1c]]),"")</f>
        <v>4.333333333333333</v>
      </c>
      <c r="CJ39" s="14">
        <v>4</v>
      </c>
      <c r="CK39" s="14">
        <v>2</v>
      </c>
      <c r="CL39" s="14">
        <v>4</v>
      </c>
      <c r="CM39" s="14">
        <f>IFERROR(AVERAGE(Tabel1[[#This Row],[In - C1]:[In - C4]]),"")</f>
        <v>3.583333333333333</v>
      </c>
      <c r="CN39" s="14">
        <v>3</v>
      </c>
      <c r="CO39" s="14">
        <v>4</v>
      </c>
      <c r="CP39" s="14">
        <v>1</v>
      </c>
      <c r="CQ39" s="14">
        <f>IFERROR(AVERAGE(Tabel1[[#This Row],[In - F1a]:[In - F1c]]),"")</f>
        <v>2.6666666666666665</v>
      </c>
      <c r="CR39" s="14">
        <v>2</v>
      </c>
      <c r="CS39" s="14">
        <v>4</v>
      </c>
      <c r="CT39" s="14">
        <f>IFERROR(AVERAGE(Tabel1[[#This Row],[In - F2a]:[In - F2b]]),"")</f>
        <v>3</v>
      </c>
      <c r="CU39" s="14">
        <v>1</v>
      </c>
      <c r="CV39" s="14">
        <f>IFERROR(AVERAGE(Tabel1[[#This Row],[In - F3a]:[In - F3a]]),"")</f>
        <v>1</v>
      </c>
      <c r="CW39" s="14">
        <v>3</v>
      </c>
      <c r="CX39" s="14">
        <f>IFERROR(AVERAGE(Tabel1[[#This Row],[In - F1]],Tabel1[[#This Row],[In - F2]],Tabel1[[#This Row],[In - F3]],Tabel1[[#This Row],[In - F4]]),"")</f>
        <v>2.4166666666666665</v>
      </c>
      <c r="CY39" s="14">
        <v>5</v>
      </c>
      <c r="CZ39" s="14">
        <v>5</v>
      </c>
      <c r="DA39" s="14">
        <v>1</v>
      </c>
      <c r="DB39" s="14">
        <f>IFERROR(AVERAGE(Tabel1[[#This Row],[In - V1a]:[In - V1c]]),"")</f>
        <v>3.6666666666666665</v>
      </c>
      <c r="DC39" s="14">
        <v>5</v>
      </c>
      <c r="DD39" s="14">
        <v>5</v>
      </c>
      <c r="DE39" s="14">
        <v>5</v>
      </c>
      <c r="DF39" s="14">
        <f>IFERROR(AVERAGE(Tabel1[[#This Row],[In - V2a]:[In - V2c]]),"")</f>
        <v>5</v>
      </c>
      <c r="DG39" s="14">
        <v>5</v>
      </c>
      <c r="DH39" s="14">
        <v>1</v>
      </c>
      <c r="DI39" s="14">
        <f>IFERROR(AVERAGE(Tabel1[[#This Row],[In - V3a]:[In - V3b]]),"")</f>
        <v>3</v>
      </c>
      <c r="DJ39" s="14">
        <v>5</v>
      </c>
      <c r="DK39" s="14">
        <f>IFERROR(AVERAGE(Tabel1[[#This Row],[In - V1]],Tabel1[[#This Row],[In - V2]],Tabel1[[#This Row],[In - V3]],Tabel1[[#This Row],[In - V4]]),"")</f>
        <v>4.1666666666666661</v>
      </c>
      <c r="DL39" s="14">
        <v>5</v>
      </c>
      <c r="DM39" s="14">
        <v>5</v>
      </c>
      <c r="DN39" s="14">
        <f>IFERROR(AVERAGE(Tabel1[[#This Row],[In - A1a]:[In - A1b]]),"")</f>
        <v>5</v>
      </c>
      <c r="DO39" s="14">
        <v>4</v>
      </c>
      <c r="DP39" s="14">
        <v>4</v>
      </c>
      <c r="DQ39" s="14">
        <f>IFERROR(AVERAGE(Tabel1[[#This Row],[In - A2a]:[In - A2b]]),"")</f>
        <v>4</v>
      </c>
      <c r="DR39" s="14">
        <v>3</v>
      </c>
      <c r="DS39" s="14">
        <v>3</v>
      </c>
      <c r="DT39" s="14">
        <f>IFERROR(AVERAGE(Tabel1[[#This Row],[In - A3a]:[In - A3a]]),"")</f>
        <v>3</v>
      </c>
      <c r="DU39" s="14">
        <v>1</v>
      </c>
      <c r="DV39" s="14">
        <f>IFERROR(AVERAGE(Tabel1[[#This Row],[In - A1]],Tabel1[[#This Row],[In - A2]],Tabel1[[#This Row],[In - A3]],Tabel1[[#This Row],[In - A4]]),"")</f>
        <v>3.25</v>
      </c>
      <c r="DW39" s="14">
        <v>4</v>
      </c>
      <c r="DX39" s="14">
        <v>5</v>
      </c>
      <c r="DY39" s="14">
        <v>4</v>
      </c>
      <c r="DZ39" s="14">
        <f>IFERROR(AVERAGE(Tabel1[[#This Row],[Do - R1a]:[Do - R1c]]),"")</f>
        <v>4.333333333333333</v>
      </c>
      <c r="EA39" s="14" t="s">
        <v>189</v>
      </c>
      <c r="EB39" s="14">
        <v>4</v>
      </c>
      <c r="EC39" s="14">
        <v>5</v>
      </c>
      <c r="ED39" s="14">
        <v>3</v>
      </c>
      <c r="EE39" s="14">
        <f>IFERROR(AVERAGE(Tabel1[[#This Row],[Do - R1]:[Do - R5]]),"")</f>
        <v>4.083333333333333</v>
      </c>
      <c r="EF39" s="14">
        <v>5</v>
      </c>
      <c r="EG39" s="14">
        <v>5</v>
      </c>
      <c r="EH39" s="14">
        <v>5</v>
      </c>
      <c r="EI39" s="14">
        <f>IFERROR(AVERAGE(Tabel1[[#This Row],[Do - C1a]:[Do - C1c]]),"")</f>
        <v>5</v>
      </c>
      <c r="EJ39" s="14">
        <v>4</v>
      </c>
      <c r="EK39" s="14">
        <v>4</v>
      </c>
      <c r="EL39" s="14">
        <v>4</v>
      </c>
      <c r="EM39" s="14">
        <f>IFERROR(AVERAGE(Tabel1[[#This Row],[Do - C1]:[Do - C4]]),"")</f>
        <v>4.25</v>
      </c>
      <c r="EN39" s="14">
        <v>3</v>
      </c>
      <c r="EO39" s="14">
        <v>3</v>
      </c>
      <c r="EP39" s="14">
        <v>4</v>
      </c>
      <c r="EQ39" s="14">
        <f>IFERROR(AVERAGE(Tabel1[[#This Row],[Do - F1a]:[Do - F1c]]),"")</f>
        <v>3.3333333333333335</v>
      </c>
      <c r="ER39" s="14">
        <v>1</v>
      </c>
      <c r="ES39" s="14">
        <f>IFERROR(AVERAGE(Tabel1[[#This Row],[Do - F2a]:[Do - F2a]]),"")</f>
        <v>1</v>
      </c>
      <c r="ET39" s="14">
        <v>3</v>
      </c>
      <c r="EU39" s="14">
        <v>3</v>
      </c>
      <c r="EV39" s="14">
        <f>IFERROR(AVERAGE(Tabel1[[#This Row],[Do - F3a]:[Do - F3b]]),"")</f>
        <v>3</v>
      </c>
      <c r="EW39" s="14">
        <v>2</v>
      </c>
      <c r="EX39" s="14">
        <f>IFERROR(AVERAGE(Tabel1[[#This Row],[Do - F1]],Tabel1[[#This Row],[Do - F2]],Tabel1[[#This Row],[Do - F3]],Tabel1[[#This Row],[Do - F4]]),"")</f>
        <v>2.3333333333333335</v>
      </c>
      <c r="EY39" s="14">
        <v>4</v>
      </c>
      <c r="EZ39" s="14">
        <v>5</v>
      </c>
      <c r="FA39" s="14">
        <v>5</v>
      </c>
      <c r="FB39" s="14">
        <f>IFERROR(AVERAGE(Tabel1[[#This Row],[Do - V1a]:[Do - V1c]]),"")</f>
        <v>4.666666666666667</v>
      </c>
      <c r="FC39" s="14">
        <v>5</v>
      </c>
      <c r="FD39" s="14">
        <v>5</v>
      </c>
      <c r="FE39" s="14">
        <f>IFERROR(AVERAGE(Tabel1[[#This Row],[Do - V2a]:[Do - V2b]]),"")</f>
        <v>5</v>
      </c>
      <c r="FF39" s="14">
        <v>5</v>
      </c>
      <c r="FG39" s="14">
        <f>IFERROR(AVERAGE(Tabel1[[#This Row],[Do - V3a]:[Do - V3a]]),"")</f>
        <v>5</v>
      </c>
      <c r="FH39" s="14">
        <v>3</v>
      </c>
      <c r="FI39" s="14">
        <f>IFERROR(AVERAGE(Tabel1[[#This Row],[Do - V1]],Tabel1[[#This Row],[Do - V2]],Tabel1[[#This Row],[Do - V3]],Tabel1[[#This Row],[Do - V4]]),"")</f>
        <v>4.416666666666667</v>
      </c>
      <c r="FJ39" s="14">
        <v>5</v>
      </c>
      <c r="FK39" s="14">
        <v>5</v>
      </c>
      <c r="FL39" s="14">
        <v>5</v>
      </c>
      <c r="FM39" s="14">
        <f>IFERROR(AVERAGE(Tabel1[[#This Row],[Do - A1a]:[Do - A1c]]),"")</f>
        <v>5</v>
      </c>
      <c r="FN39" s="14">
        <v>1</v>
      </c>
      <c r="FO39" s="14">
        <v>3</v>
      </c>
      <c r="FP39" s="14">
        <f>IFERROR(AVERAGE(Tabel1[[#This Row],[Do - A2a]:[Do - A2b]]),"")</f>
        <v>2</v>
      </c>
      <c r="FQ39" s="14">
        <v>5</v>
      </c>
      <c r="FR39" s="14">
        <f>IFERROR(AVERAGE(Tabel1[[#This Row],[Do - A3a]:[Do - A3a]]),"")</f>
        <v>5</v>
      </c>
      <c r="FS39" s="14">
        <v>4</v>
      </c>
      <c r="FT39" s="14">
        <f>IFERROR(AVERAGE(Tabel1[[#This Row],[Do - A1]],Tabel1[[#This Row],[Do - A2]],Tabel1[[#This Row],[Do - A3]],Tabel1[[#This Row],[Do - A4]]),"")</f>
        <v>4</v>
      </c>
      <c r="FU3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3.4994444444444444</v>
      </c>
      <c r="FV39" s="16" t="s">
        <v>390</v>
      </c>
      <c r="FW39" t="b">
        <v>1</v>
      </c>
    </row>
    <row r="40" spans="1:179" x14ac:dyDescent="0.3">
      <c r="A40" s="13">
        <v>44909.381678240738</v>
      </c>
      <c r="B40" t="b">
        <v>0</v>
      </c>
      <c r="C40" s="14" t="s">
        <v>391</v>
      </c>
      <c r="D40" s="14" t="s">
        <v>392</v>
      </c>
      <c r="E40" s="14" t="s">
        <v>393</v>
      </c>
      <c r="F40" s="14" t="s">
        <v>184</v>
      </c>
      <c r="G40" s="14" t="s">
        <v>394</v>
      </c>
      <c r="H40" s="14" t="s">
        <v>222</v>
      </c>
      <c r="I40" s="14" t="s">
        <v>243</v>
      </c>
      <c r="J40" s="14" t="s">
        <v>244</v>
      </c>
      <c r="K40" s="14" t="s">
        <v>201</v>
      </c>
      <c r="L40" s="14" t="s">
        <v>197</v>
      </c>
      <c r="M40" s="14" t="s">
        <v>233</v>
      </c>
      <c r="N40" s="14" t="s">
        <v>331</v>
      </c>
      <c r="O40" s="14" t="s">
        <v>256</v>
      </c>
      <c r="P40" s="17" t="s">
        <v>304</v>
      </c>
      <c r="Q40" s="14" t="s">
        <v>203</v>
      </c>
      <c r="R40" s="14" t="s">
        <v>187</v>
      </c>
      <c r="S40" s="14" t="s">
        <v>235</v>
      </c>
      <c r="T40" s="14" t="s">
        <v>284</v>
      </c>
      <c r="U40" s="14" t="s">
        <v>285</v>
      </c>
      <c r="V40" s="14" t="s">
        <v>359</v>
      </c>
      <c r="W40" s="14" t="s">
        <v>207</v>
      </c>
      <c r="X40" s="14" t="s">
        <v>395</v>
      </c>
      <c r="Y40" s="14">
        <v>3</v>
      </c>
      <c r="Z40" s="14">
        <v>3</v>
      </c>
      <c r="AA40" s="14">
        <v>3</v>
      </c>
      <c r="AB40" s="15">
        <f>IFERROR(AVERAGE(Tabel1[[#This Row],[Up - R1a]:[Up - R1c]]),"")</f>
        <v>3</v>
      </c>
      <c r="AC40" s="14">
        <v>3</v>
      </c>
      <c r="AD40" s="14">
        <v>4</v>
      </c>
      <c r="AE40" s="14">
        <v>1</v>
      </c>
      <c r="AF40" s="14">
        <v>3</v>
      </c>
      <c r="AG40" s="14">
        <f>IFERROR(AVERAGE(Tabel1[[#This Row],[Up - R1]:[Up - R5]]),"")</f>
        <v>2.8</v>
      </c>
      <c r="AH40" s="14">
        <v>4</v>
      </c>
      <c r="AI40" s="14">
        <v>3</v>
      </c>
      <c r="AJ40" s="14">
        <v>4</v>
      </c>
      <c r="AK40" s="14">
        <f>IFERROR(AVERAGE(Tabel1[[#This Row],[Up - C1a]:[Up - C1c]]),"")</f>
        <v>3.6666666666666665</v>
      </c>
      <c r="AL40" s="14">
        <v>4</v>
      </c>
      <c r="AM40" s="14">
        <v>1</v>
      </c>
      <c r="AN40" s="14">
        <v>3</v>
      </c>
      <c r="AO40" s="14">
        <f>IFERROR(AVERAGE(Tabel1[[#This Row],[Up - C1]:[Up - C4]]),"")</f>
        <v>2.9166666666666665</v>
      </c>
      <c r="AP40" s="14">
        <v>3</v>
      </c>
      <c r="AQ40" s="14">
        <f>IFERROR(AVERAGE(Tabel1[[#This Row],[Up - F1a]:[Up - F1a]]),"")</f>
        <v>3</v>
      </c>
      <c r="AR40" s="14">
        <v>3</v>
      </c>
      <c r="AS40" s="14">
        <v>3</v>
      </c>
      <c r="AT40" s="14">
        <f>IFERROR(AVERAGE(Tabel1[[#This Row],[Up - F2a]:[Up - F2b]]),"")</f>
        <v>3</v>
      </c>
      <c r="AU40" s="14">
        <v>3</v>
      </c>
      <c r="AV40" s="14">
        <v>3</v>
      </c>
      <c r="AW40" s="14">
        <f>IFERROR(AVERAGE(Tabel1[[#This Row],[Up - F3a]:[Up - F3b]]),"")</f>
        <v>3</v>
      </c>
      <c r="AX40" s="14">
        <v>3</v>
      </c>
      <c r="AY40" s="14">
        <f>IFERROR(AVERAGE(Tabel1[[#This Row],[Up - F1]],Tabel1[[#This Row],[Up - F2]],Tabel1[[#This Row],[Up - F3]],Tabel1[[#This Row],[Up - F4]]),"")</f>
        <v>3</v>
      </c>
      <c r="AZ40" s="14">
        <v>4</v>
      </c>
      <c r="BA40" s="14">
        <v>4</v>
      </c>
      <c r="BB40" s="14">
        <f>IFERROR(AVERAGE(Tabel1[[#This Row],[Up - V1a]:[Up - V1b]]),"")</f>
        <v>4</v>
      </c>
      <c r="BC40" s="14">
        <v>4</v>
      </c>
      <c r="BD40" s="14">
        <v>3</v>
      </c>
      <c r="BE40" s="14">
        <v>4</v>
      </c>
      <c r="BF40" s="14">
        <f>IFERROR(AVERAGE(Tabel1[[#This Row],[Up - V2a]:[Up - V2c]]),"")</f>
        <v>3.6666666666666665</v>
      </c>
      <c r="BG40" s="14">
        <v>3</v>
      </c>
      <c r="BH40" s="14">
        <v>3</v>
      </c>
      <c r="BI40" s="14">
        <f>IFERROR(AVERAGE(Tabel1[[#This Row],[Up - V3a]:[Up - V3b]]),"")</f>
        <v>3</v>
      </c>
      <c r="BJ40" s="14">
        <v>4</v>
      </c>
      <c r="BK40" s="14">
        <f>IFERROR(AVERAGE(Tabel1[[#This Row],[Up - V1]],Tabel1[[#This Row],[Up - V2]],Tabel1[[#This Row],[Up - V3]],Tabel1[[#This Row],[Up - V4]]),"")</f>
        <v>3.6666666666666665</v>
      </c>
      <c r="BL40" s="14">
        <v>2</v>
      </c>
      <c r="BM40" s="14">
        <v>3</v>
      </c>
      <c r="BN40" s="14">
        <v>2</v>
      </c>
      <c r="BO40" s="14">
        <v>3</v>
      </c>
      <c r="BP40" s="14">
        <f>IFERROR(AVERAGE(Tabel1[[#This Row],[Up - A1a]:[Up - A1d]]),"")</f>
        <v>2.5</v>
      </c>
      <c r="BQ40" s="14">
        <v>3</v>
      </c>
      <c r="BR40" s="14">
        <v>2</v>
      </c>
      <c r="BS40" s="14">
        <f>IFERROR(AVERAGE(Tabel1[[#This Row],[Up - A2a]:[Up - A2b]]),"")</f>
        <v>2.5</v>
      </c>
      <c r="BT40" s="14">
        <v>4</v>
      </c>
      <c r="BU40" s="14">
        <f>IFERROR(AVERAGE(Tabel1[[#This Row],[Up - A3a]:[Up - A3a]]),"")</f>
        <v>4</v>
      </c>
      <c r="BV40" s="14">
        <v>4</v>
      </c>
      <c r="BW40" s="14">
        <f>IFERROR(AVERAGE(Tabel1[[#This Row],[Up - A1]],Tabel1[[#This Row],[Up - A2]],Tabel1[[#This Row],[Up - A3]]),"")</f>
        <v>3</v>
      </c>
      <c r="BX40" s="14">
        <v>3</v>
      </c>
      <c r="BY40" s="14">
        <v>3</v>
      </c>
      <c r="BZ40" s="14">
        <f>IFERROR(AVERAGE(Tabel1[[#This Row],[In - R1a]:[In - R1b]]),"")</f>
        <v>3</v>
      </c>
      <c r="CA40" s="14">
        <v>3</v>
      </c>
      <c r="CB40" s="14">
        <v>1</v>
      </c>
      <c r="CC40" s="14">
        <v>2</v>
      </c>
      <c r="CD40" s="14">
        <v>3</v>
      </c>
      <c r="CE40" s="14">
        <f>IFERROR(AVERAGE(Tabel1[[#This Row],[In - R1]:[In - R5]]),"")</f>
        <v>2.4</v>
      </c>
      <c r="CF40" s="14">
        <v>2</v>
      </c>
      <c r="CG40" s="14">
        <v>4</v>
      </c>
      <c r="CH40" s="14">
        <v>3</v>
      </c>
      <c r="CI40" s="14">
        <f>IFERROR(AVERAGE(Tabel1[[#This Row],[In - C1a]:[In - C1c]]),"")</f>
        <v>3</v>
      </c>
      <c r="CJ40" s="14">
        <v>3</v>
      </c>
      <c r="CK40" s="14">
        <v>4</v>
      </c>
      <c r="CL40" s="14">
        <v>2</v>
      </c>
      <c r="CM40" s="14">
        <f>IFERROR(AVERAGE(Tabel1[[#This Row],[In - C1]:[In - C4]]),"")</f>
        <v>3</v>
      </c>
      <c r="CN40" s="14">
        <v>2</v>
      </c>
      <c r="CO40" s="14">
        <v>2</v>
      </c>
      <c r="CP40" s="14">
        <v>1</v>
      </c>
      <c r="CQ40" s="14">
        <f>IFERROR(AVERAGE(Tabel1[[#This Row],[In - F1a]:[In - F1c]]),"")</f>
        <v>1.6666666666666667</v>
      </c>
      <c r="CR40" s="14">
        <v>3</v>
      </c>
      <c r="CS40" s="14">
        <v>1</v>
      </c>
      <c r="CT40" s="14">
        <f>IFERROR(AVERAGE(Tabel1[[#This Row],[In - F2a]:[In - F2b]]),"")</f>
        <v>2</v>
      </c>
      <c r="CU40" s="14">
        <v>1</v>
      </c>
      <c r="CV40" s="14">
        <f>IFERROR(AVERAGE(Tabel1[[#This Row],[In - F3a]:[In - F3a]]),"")</f>
        <v>1</v>
      </c>
      <c r="CW40" s="14">
        <v>3</v>
      </c>
      <c r="CX40" s="14">
        <f>IFERROR(AVERAGE(Tabel1[[#This Row],[In - F1]],Tabel1[[#This Row],[In - F2]],Tabel1[[#This Row],[In - F3]],Tabel1[[#This Row],[In - F4]]),"")</f>
        <v>1.9166666666666667</v>
      </c>
      <c r="CY40" s="14">
        <v>4</v>
      </c>
      <c r="CZ40" s="14">
        <v>4</v>
      </c>
      <c r="DA40" s="14">
        <v>3</v>
      </c>
      <c r="DB40" s="14">
        <f>IFERROR(AVERAGE(Tabel1[[#This Row],[In - V1a]:[In - V1c]]),"")</f>
        <v>3.6666666666666665</v>
      </c>
      <c r="DC40" s="14">
        <v>5</v>
      </c>
      <c r="DD40" s="14">
        <v>3</v>
      </c>
      <c r="DE40" s="14">
        <v>3</v>
      </c>
      <c r="DF40" s="14">
        <f>IFERROR(AVERAGE(Tabel1[[#This Row],[In - V2a]:[In - V2c]]),"")</f>
        <v>3.6666666666666665</v>
      </c>
      <c r="DG40" s="14">
        <v>3</v>
      </c>
      <c r="DH40" s="14">
        <v>5</v>
      </c>
      <c r="DI40" s="14">
        <f>IFERROR(AVERAGE(Tabel1[[#This Row],[In - V3a]:[In - V3b]]),"")</f>
        <v>4</v>
      </c>
      <c r="DJ40" s="14">
        <v>4</v>
      </c>
      <c r="DK40" s="14">
        <f>IFERROR(AVERAGE(Tabel1[[#This Row],[In - V1]],Tabel1[[#This Row],[In - V2]],Tabel1[[#This Row],[In - V3]],Tabel1[[#This Row],[In - V4]]),"")</f>
        <v>3.833333333333333</v>
      </c>
      <c r="DL40" s="14">
        <v>1</v>
      </c>
      <c r="DM40" s="14">
        <v>3</v>
      </c>
      <c r="DN40" s="14">
        <f>IFERROR(AVERAGE(Tabel1[[#This Row],[In - A1a]:[In - A1b]]),"")</f>
        <v>2</v>
      </c>
      <c r="DO40" s="14">
        <v>3</v>
      </c>
      <c r="DP40" s="14">
        <v>4</v>
      </c>
      <c r="DQ40" s="14">
        <f>IFERROR(AVERAGE(Tabel1[[#This Row],[In - A2a]:[In - A2b]]),"")</f>
        <v>3.5</v>
      </c>
      <c r="DR40" s="14">
        <v>4</v>
      </c>
      <c r="DS40" s="14">
        <v>3</v>
      </c>
      <c r="DT40" s="14">
        <f>IFERROR(AVERAGE(Tabel1[[#This Row],[In - A3a]:[In - A3a]]),"")</f>
        <v>4</v>
      </c>
      <c r="DU40" s="14">
        <v>3</v>
      </c>
      <c r="DV40" s="14">
        <f>IFERROR(AVERAGE(Tabel1[[#This Row],[In - A1]],Tabel1[[#This Row],[In - A2]],Tabel1[[#This Row],[In - A3]],Tabel1[[#This Row],[In - A4]]),"")</f>
        <v>3.125</v>
      </c>
      <c r="DW40" s="14">
        <v>2</v>
      </c>
      <c r="DX40" s="14">
        <v>4</v>
      </c>
      <c r="DY40" s="14">
        <v>4</v>
      </c>
      <c r="DZ40" s="14">
        <f>IFERROR(AVERAGE(Tabel1[[#This Row],[Do - R1a]:[Do - R1c]]),"")</f>
        <v>3.3333333333333335</v>
      </c>
      <c r="EA40" s="14" t="s">
        <v>189</v>
      </c>
      <c r="EB40" s="14">
        <v>1</v>
      </c>
      <c r="EC40" s="14">
        <v>1</v>
      </c>
      <c r="ED40" s="14" t="s">
        <v>189</v>
      </c>
      <c r="EE40" s="14">
        <f>IFERROR(AVERAGE(Tabel1[[#This Row],[Do - R1]:[Do - R5]]),"")</f>
        <v>1.7777777777777779</v>
      </c>
      <c r="EF40" s="14">
        <v>4</v>
      </c>
      <c r="EG40" s="14">
        <v>3</v>
      </c>
      <c r="EH40" s="14">
        <v>4</v>
      </c>
      <c r="EI40" s="14">
        <f>IFERROR(AVERAGE(Tabel1[[#This Row],[Do - C1a]:[Do - C1c]]),"")</f>
        <v>3.6666666666666665</v>
      </c>
      <c r="EJ40" s="14">
        <v>3</v>
      </c>
      <c r="EK40" s="14">
        <v>3</v>
      </c>
      <c r="EL40" s="14" t="s">
        <v>189</v>
      </c>
      <c r="EM40" s="14">
        <f>IFERROR(AVERAGE(Tabel1[[#This Row],[Do - C1]:[Do - C4]]),"")</f>
        <v>3.2222222222222219</v>
      </c>
      <c r="EN40" s="14">
        <v>2</v>
      </c>
      <c r="EO40" s="14">
        <v>4</v>
      </c>
      <c r="EP40" s="14">
        <v>4</v>
      </c>
      <c r="EQ40" s="14">
        <f>IFERROR(AVERAGE(Tabel1[[#This Row],[Do - F1a]:[Do - F1c]]),"")</f>
        <v>3.3333333333333335</v>
      </c>
      <c r="ER40" s="14">
        <v>3</v>
      </c>
      <c r="ES40" s="14">
        <f>IFERROR(AVERAGE(Tabel1[[#This Row],[Do - F2a]:[Do - F2a]]),"")</f>
        <v>3</v>
      </c>
      <c r="ET40" s="14">
        <v>4</v>
      </c>
      <c r="EU40" s="14">
        <v>3</v>
      </c>
      <c r="EV40" s="14">
        <f>IFERROR(AVERAGE(Tabel1[[#This Row],[Do - F3a]:[Do - F3b]]),"")</f>
        <v>3.5</v>
      </c>
      <c r="EW40" s="14">
        <v>2</v>
      </c>
      <c r="EX40" s="14">
        <f>IFERROR(AVERAGE(Tabel1[[#This Row],[Do - F1]],Tabel1[[#This Row],[Do - F2]],Tabel1[[#This Row],[Do - F3]],Tabel1[[#This Row],[Do - F4]]),"")</f>
        <v>2.9583333333333335</v>
      </c>
      <c r="EY40" s="14">
        <v>4</v>
      </c>
      <c r="EZ40" s="14">
        <v>4</v>
      </c>
      <c r="FA40" s="14">
        <v>4</v>
      </c>
      <c r="FB40" s="14">
        <f>IFERROR(AVERAGE(Tabel1[[#This Row],[Do - V1a]:[Do - V1c]]),"")</f>
        <v>4</v>
      </c>
      <c r="FC40" s="14">
        <v>4</v>
      </c>
      <c r="FD40" s="14">
        <v>5</v>
      </c>
      <c r="FE40" s="14">
        <f>IFERROR(AVERAGE(Tabel1[[#This Row],[Do - V2a]:[Do - V2b]]),"")</f>
        <v>4.5</v>
      </c>
      <c r="FF40" s="14">
        <v>3</v>
      </c>
      <c r="FG40" s="14">
        <f>IFERROR(AVERAGE(Tabel1[[#This Row],[Do - V3a]:[Do - V3a]]),"")</f>
        <v>3</v>
      </c>
      <c r="FH40" s="14" t="s">
        <v>189</v>
      </c>
      <c r="FI40" s="14">
        <f>IFERROR(AVERAGE(Tabel1[[#This Row],[Do - V1]],Tabel1[[#This Row],[Do - V2]],Tabel1[[#This Row],[Do - V3]],Tabel1[[#This Row],[Do - V4]]),"")</f>
        <v>3.8333333333333335</v>
      </c>
      <c r="FJ40" s="14">
        <v>4</v>
      </c>
      <c r="FK40" s="14">
        <v>4</v>
      </c>
      <c r="FL40" s="14">
        <v>4</v>
      </c>
      <c r="FM40" s="14">
        <f>IFERROR(AVERAGE(Tabel1[[#This Row],[Do - A1a]:[Do - A1c]]),"")</f>
        <v>4</v>
      </c>
      <c r="FN40" s="14">
        <v>4</v>
      </c>
      <c r="FO40" s="14">
        <v>2</v>
      </c>
      <c r="FP40" s="14">
        <f>IFERROR(AVERAGE(Tabel1[[#This Row],[Do - A2a]:[Do - A2b]]),"")</f>
        <v>3</v>
      </c>
      <c r="FQ40" s="14">
        <v>3</v>
      </c>
      <c r="FR40" s="14">
        <f>IFERROR(AVERAGE(Tabel1[[#This Row],[Do - A3a]:[Do - A3a]]),"")</f>
        <v>3</v>
      </c>
      <c r="FS40" s="14">
        <v>4</v>
      </c>
      <c r="FT40" s="14">
        <f>IFERROR(AVERAGE(Tabel1[[#This Row],[Do - A1]],Tabel1[[#This Row],[Do - A2]],Tabel1[[#This Row],[Do - A3]],Tabel1[[#This Row],[Do - A4]]),"")</f>
        <v>3.5</v>
      </c>
      <c r="FU4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2.996666666666667</v>
      </c>
      <c r="FV40" s="16" t="s">
        <v>396</v>
      </c>
      <c r="FW40" t="b">
        <v>1</v>
      </c>
    </row>
    <row r="41" spans="1:179" x14ac:dyDescent="0.3">
      <c r="A41" s="13">
        <v>44910.624930555554</v>
      </c>
      <c r="B41" t="b">
        <v>0</v>
      </c>
      <c r="C41" s="14" t="s">
        <v>397</v>
      </c>
      <c r="D41" s="14" t="s">
        <v>398</v>
      </c>
      <c r="E41" s="14" t="s">
        <v>399</v>
      </c>
      <c r="F41" s="14" t="s">
        <v>184</v>
      </c>
      <c r="G41" s="14" t="s">
        <v>400</v>
      </c>
      <c r="H41" s="14" t="s">
        <v>222</v>
      </c>
      <c r="I41" s="14" t="s">
        <v>195</v>
      </c>
      <c r="J41" s="14" t="s">
        <v>273</v>
      </c>
      <c r="K41" s="14" t="s">
        <v>201</v>
      </c>
      <c r="L41" s="14" t="s">
        <v>197</v>
      </c>
      <c r="M41" s="14" t="s">
        <v>198</v>
      </c>
      <c r="N41" s="14" t="s">
        <v>199</v>
      </c>
      <c r="O41" s="14" t="s">
        <v>200</v>
      </c>
      <c r="P41" s="17" t="s">
        <v>304</v>
      </c>
      <c r="Q41" s="14" t="s">
        <v>201</v>
      </c>
      <c r="R41" s="14" t="s">
        <v>201</v>
      </c>
      <c r="S41" s="14" t="s">
        <v>187</v>
      </c>
      <c r="T41" s="14" t="s">
        <v>380</v>
      </c>
      <c r="U41" s="14" t="s">
        <v>285</v>
      </c>
      <c r="V41" s="14" t="s">
        <v>224</v>
      </c>
      <c r="W41" s="14" t="s">
        <v>207</v>
      </c>
      <c r="X41" s="14" t="s">
        <v>207</v>
      </c>
      <c r="Y41" s="14">
        <v>2</v>
      </c>
      <c r="Z41" s="14">
        <v>4</v>
      </c>
      <c r="AA41" s="14">
        <v>3</v>
      </c>
      <c r="AB41" s="15">
        <f>IFERROR(AVERAGE(Tabel1[[#This Row],[Up - R1a]:[Up - R1c]]),"")</f>
        <v>3</v>
      </c>
      <c r="AC41" s="14">
        <v>3</v>
      </c>
      <c r="AD41" s="14">
        <v>3</v>
      </c>
      <c r="AE41" s="14">
        <v>2</v>
      </c>
      <c r="AF41" s="14">
        <v>4</v>
      </c>
      <c r="AG41" s="14">
        <f>IFERROR(AVERAGE(Tabel1[[#This Row],[Up - R1]:[Up - R5]]),"")</f>
        <v>3</v>
      </c>
      <c r="AH41" s="14">
        <v>4</v>
      </c>
      <c r="AI41" s="14">
        <v>5</v>
      </c>
      <c r="AJ41" s="14">
        <v>4</v>
      </c>
      <c r="AK41" s="14">
        <f>IFERROR(AVERAGE(Tabel1[[#This Row],[Up - C1a]:[Up - C1c]]),"")</f>
        <v>4.333333333333333</v>
      </c>
      <c r="AL41" s="14">
        <v>5</v>
      </c>
      <c r="AM41" s="14">
        <v>4</v>
      </c>
      <c r="AN41" s="14">
        <v>3</v>
      </c>
      <c r="AO41" s="14">
        <f>IFERROR(AVERAGE(Tabel1[[#This Row],[Up - C1]:[Up - C4]]),"")</f>
        <v>4.083333333333333</v>
      </c>
      <c r="AP41" s="14">
        <v>3</v>
      </c>
      <c r="AQ41" s="14">
        <f>IFERROR(AVERAGE(Tabel1[[#This Row],[Up - F1a]:[Up - F1a]]),"")</f>
        <v>3</v>
      </c>
      <c r="AR41" s="14">
        <v>2</v>
      </c>
      <c r="AS41" s="14">
        <v>3</v>
      </c>
      <c r="AT41" s="14">
        <f>IFERROR(AVERAGE(Tabel1[[#This Row],[Up - F2a]:[Up - F2b]]),"")</f>
        <v>2.5</v>
      </c>
      <c r="AU41" s="14">
        <v>4</v>
      </c>
      <c r="AV41" s="14">
        <v>2</v>
      </c>
      <c r="AW41" s="14">
        <f>IFERROR(AVERAGE(Tabel1[[#This Row],[Up - F3a]:[Up - F3b]]),"")</f>
        <v>3</v>
      </c>
      <c r="AX41" s="14">
        <v>2</v>
      </c>
      <c r="AY41" s="14">
        <f>IFERROR(AVERAGE(Tabel1[[#This Row],[Up - F1]],Tabel1[[#This Row],[Up - F2]],Tabel1[[#This Row],[Up - F3]],Tabel1[[#This Row],[Up - F4]]),"")</f>
        <v>2.625</v>
      </c>
      <c r="AZ41" s="14">
        <v>4</v>
      </c>
      <c r="BA41" s="14">
        <v>4</v>
      </c>
      <c r="BB41" s="14">
        <f>IFERROR(AVERAGE(Tabel1[[#This Row],[Up - V1a]:[Up - V1b]]),"")</f>
        <v>4</v>
      </c>
      <c r="BC41" s="14">
        <v>2</v>
      </c>
      <c r="BD41" s="14">
        <v>2</v>
      </c>
      <c r="BE41" s="14">
        <v>3</v>
      </c>
      <c r="BF41" s="14">
        <f>IFERROR(AVERAGE(Tabel1[[#This Row],[Up - V2a]:[Up - V2c]]),"")</f>
        <v>2.3333333333333335</v>
      </c>
      <c r="BG41" s="14">
        <v>3</v>
      </c>
      <c r="BH41" s="14">
        <v>3</v>
      </c>
      <c r="BI41" s="14">
        <f>IFERROR(AVERAGE(Tabel1[[#This Row],[Up - V3a]:[Up - V3b]]),"")</f>
        <v>3</v>
      </c>
      <c r="BJ41" s="14">
        <v>2</v>
      </c>
      <c r="BK41" s="14">
        <f>IFERROR(AVERAGE(Tabel1[[#This Row],[Up - V1]],Tabel1[[#This Row],[Up - V2]],Tabel1[[#This Row],[Up - V3]],Tabel1[[#This Row],[Up - V4]]),"")</f>
        <v>2.8333333333333335</v>
      </c>
      <c r="BL41" s="14">
        <v>4</v>
      </c>
      <c r="BM41" s="14">
        <v>2</v>
      </c>
      <c r="BN41" s="14">
        <v>4</v>
      </c>
      <c r="BO41" s="14">
        <v>4</v>
      </c>
      <c r="BP41" s="14">
        <f>IFERROR(AVERAGE(Tabel1[[#This Row],[Up - A1a]:[Up - A1d]]),"")</f>
        <v>3.5</v>
      </c>
      <c r="BQ41" s="14">
        <v>4</v>
      </c>
      <c r="BR41" s="14">
        <v>3</v>
      </c>
      <c r="BS41" s="14">
        <f>IFERROR(AVERAGE(Tabel1[[#This Row],[Up - A2a]:[Up - A2b]]),"")</f>
        <v>3.5</v>
      </c>
      <c r="BT41" s="14">
        <v>4</v>
      </c>
      <c r="BU41" s="14">
        <f>IFERROR(AVERAGE(Tabel1[[#This Row],[Up - A3a]:[Up - A3a]]),"")</f>
        <v>4</v>
      </c>
      <c r="BV41" s="14">
        <v>3</v>
      </c>
      <c r="BW41" s="14">
        <f>IFERROR(AVERAGE(Tabel1[[#This Row],[Up - A1]],Tabel1[[#This Row],[Up - A2]],Tabel1[[#This Row],[Up - A3]]),"")</f>
        <v>3.6666666666666665</v>
      </c>
      <c r="BX41" s="14">
        <v>2</v>
      </c>
      <c r="BY41" s="14">
        <v>1</v>
      </c>
      <c r="BZ41" s="14">
        <f>IFERROR(AVERAGE(Tabel1[[#This Row],[In - R1a]:[In - R1b]]),"")</f>
        <v>1.5</v>
      </c>
      <c r="CA41" s="14">
        <v>1</v>
      </c>
      <c r="CB41" s="14">
        <v>1</v>
      </c>
      <c r="CC41" s="14">
        <v>5</v>
      </c>
      <c r="CD41" s="14">
        <v>1</v>
      </c>
      <c r="CE41" s="14">
        <f>IFERROR(AVERAGE(Tabel1[[#This Row],[In - R1]:[In - R5]]),"")</f>
        <v>1.9</v>
      </c>
      <c r="CF41" s="14">
        <v>4</v>
      </c>
      <c r="CG41" s="14">
        <v>3</v>
      </c>
      <c r="CH41" s="14">
        <v>4</v>
      </c>
      <c r="CI41" s="14">
        <f>IFERROR(AVERAGE(Tabel1[[#This Row],[In - C1a]:[In - C1c]]),"")</f>
        <v>3.6666666666666665</v>
      </c>
      <c r="CJ41" s="14">
        <v>4</v>
      </c>
      <c r="CK41" s="14">
        <v>4</v>
      </c>
      <c r="CL41" s="14">
        <v>5</v>
      </c>
      <c r="CM41" s="14">
        <f>IFERROR(AVERAGE(Tabel1[[#This Row],[In - C1]:[In - C4]]),"")</f>
        <v>4.1666666666666661</v>
      </c>
      <c r="CN41" s="14">
        <v>4</v>
      </c>
      <c r="CO41" s="14">
        <v>4</v>
      </c>
      <c r="CP41" s="14">
        <v>2</v>
      </c>
      <c r="CQ41" s="14">
        <f>IFERROR(AVERAGE(Tabel1[[#This Row],[In - F1a]:[In - F1c]]),"")</f>
        <v>3.3333333333333335</v>
      </c>
      <c r="CR41" s="14">
        <v>3</v>
      </c>
      <c r="CS41" s="14">
        <v>3</v>
      </c>
      <c r="CT41" s="14">
        <f>IFERROR(AVERAGE(Tabel1[[#This Row],[In - F2a]:[In - F2b]]),"")</f>
        <v>3</v>
      </c>
      <c r="CU41" s="14">
        <v>3</v>
      </c>
      <c r="CV41" s="14">
        <f>IFERROR(AVERAGE(Tabel1[[#This Row],[In - F3a]:[In - F3a]]),"")</f>
        <v>3</v>
      </c>
      <c r="CW41" s="14">
        <v>2</v>
      </c>
      <c r="CX41" s="14">
        <f>IFERROR(AVERAGE(Tabel1[[#This Row],[In - F1]],Tabel1[[#This Row],[In - F2]],Tabel1[[#This Row],[In - F3]],Tabel1[[#This Row],[In - F4]]),"")</f>
        <v>2.8333333333333335</v>
      </c>
      <c r="CY41" s="14">
        <v>4</v>
      </c>
      <c r="CZ41" s="14">
        <v>4</v>
      </c>
      <c r="DA41" s="14">
        <v>3</v>
      </c>
      <c r="DB41" s="14">
        <f>IFERROR(AVERAGE(Tabel1[[#This Row],[In - V1a]:[In - V1c]]),"")</f>
        <v>3.6666666666666665</v>
      </c>
      <c r="DC41" s="14">
        <v>3</v>
      </c>
      <c r="DD41" s="14">
        <v>2</v>
      </c>
      <c r="DE41" s="14">
        <v>2</v>
      </c>
      <c r="DF41" s="14">
        <f>IFERROR(AVERAGE(Tabel1[[#This Row],[In - V2a]:[In - V2c]]),"")</f>
        <v>2.3333333333333335</v>
      </c>
      <c r="DG41" s="14">
        <v>4</v>
      </c>
      <c r="DH41" s="14">
        <v>4</v>
      </c>
      <c r="DI41" s="14">
        <f>IFERROR(AVERAGE(Tabel1[[#This Row],[In - V3a]:[In - V3b]]),"")</f>
        <v>4</v>
      </c>
      <c r="DJ41" s="14">
        <v>4</v>
      </c>
      <c r="DK41" s="14">
        <f>IFERROR(AVERAGE(Tabel1[[#This Row],[In - V1]],Tabel1[[#This Row],[In - V2]],Tabel1[[#This Row],[In - V3]],Tabel1[[#This Row],[In - V4]]),"")</f>
        <v>3.5</v>
      </c>
      <c r="DL41" s="14">
        <v>1</v>
      </c>
      <c r="DM41" s="14">
        <v>3</v>
      </c>
      <c r="DN41" s="14">
        <f>IFERROR(AVERAGE(Tabel1[[#This Row],[In - A1a]:[In - A1b]]),"")</f>
        <v>2</v>
      </c>
      <c r="DO41" s="14">
        <v>4</v>
      </c>
      <c r="DP41" s="14">
        <v>4</v>
      </c>
      <c r="DQ41" s="14">
        <f>IFERROR(AVERAGE(Tabel1[[#This Row],[In - A2a]:[In - A2b]]),"")</f>
        <v>4</v>
      </c>
      <c r="DR41" s="14">
        <v>4</v>
      </c>
      <c r="DS41" s="14">
        <v>4</v>
      </c>
      <c r="DT41" s="14">
        <f>IFERROR(AVERAGE(Tabel1[[#This Row],[In - A3a]:[In - A3a]]),"")</f>
        <v>4</v>
      </c>
      <c r="DU41" s="14">
        <v>3</v>
      </c>
      <c r="DV41" s="14">
        <f>IFERROR(AVERAGE(Tabel1[[#This Row],[In - A1]],Tabel1[[#This Row],[In - A2]],Tabel1[[#This Row],[In - A3]],Tabel1[[#This Row],[In - A4]]),"")</f>
        <v>3.25</v>
      </c>
      <c r="DW41" s="14">
        <v>2</v>
      </c>
      <c r="DX41" s="14">
        <v>4</v>
      </c>
      <c r="DY41" s="14">
        <v>2</v>
      </c>
      <c r="DZ41" s="14">
        <f>IFERROR(AVERAGE(Tabel1[[#This Row],[Do - R1a]:[Do - R1c]]),"")</f>
        <v>2.6666666666666665</v>
      </c>
      <c r="EA41" s="14">
        <v>3</v>
      </c>
      <c r="EB41" s="14">
        <v>3</v>
      </c>
      <c r="EC41" s="14">
        <v>3</v>
      </c>
      <c r="ED41" s="14">
        <v>3</v>
      </c>
      <c r="EE41" s="14">
        <f>IFERROR(AVERAGE(Tabel1[[#This Row],[Do - R1]:[Do - R5]]),"")</f>
        <v>2.9333333333333331</v>
      </c>
      <c r="EF41" s="14">
        <v>4</v>
      </c>
      <c r="EG41" s="14">
        <v>4</v>
      </c>
      <c r="EH41" s="14">
        <v>3</v>
      </c>
      <c r="EI41" s="14">
        <f>IFERROR(AVERAGE(Tabel1[[#This Row],[Do - C1a]:[Do - C1c]]),"")</f>
        <v>3.6666666666666665</v>
      </c>
      <c r="EJ41" s="14">
        <v>4</v>
      </c>
      <c r="EK41" s="14">
        <v>4</v>
      </c>
      <c r="EL41" s="14">
        <v>3</v>
      </c>
      <c r="EM41" s="14">
        <f>IFERROR(AVERAGE(Tabel1[[#This Row],[Do - C1]:[Do - C4]]),"")</f>
        <v>3.6666666666666665</v>
      </c>
      <c r="EN41" s="14">
        <v>3</v>
      </c>
      <c r="EO41" s="14">
        <v>2</v>
      </c>
      <c r="EP41" s="14">
        <v>2</v>
      </c>
      <c r="EQ41" s="14">
        <f>IFERROR(AVERAGE(Tabel1[[#This Row],[Do - F1a]:[Do - F1c]]),"")</f>
        <v>2.3333333333333335</v>
      </c>
      <c r="ER41" s="14">
        <v>2</v>
      </c>
      <c r="ES41" s="14">
        <f>IFERROR(AVERAGE(Tabel1[[#This Row],[Do - F2a]:[Do - F2a]]),"")</f>
        <v>2</v>
      </c>
      <c r="ET41" s="14">
        <v>2</v>
      </c>
      <c r="EU41" s="14">
        <v>4</v>
      </c>
      <c r="EV41" s="14">
        <f>IFERROR(AVERAGE(Tabel1[[#This Row],[Do - F3a]:[Do - F3b]]),"")</f>
        <v>3</v>
      </c>
      <c r="EW41" s="14">
        <v>3</v>
      </c>
      <c r="EX41" s="14">
        <f>IFERROR(AVERAGE(Tabel1[[#This Row],[Do - F1]],Tabel1[[#This Row],[Do - F2]],Tabel1[[#This Row],[Do - F3]],Tabel1[[#This Row],[Do - F4]]),"")</f>
        <v>2.5833333333333335</v>
      </c>
      <c r="EY41" s="14">
        <v>3</v>
      </c>
      <c r="EZ41" s="14">
        <v>3</v>
      </c>
      <c r="FA41" s="14">
        <v>3</v>
      </c>
      <c r="FB41" s="14">
        <f>IFERROR(AVERAGE(Tabel1[[#This Row],[Do - V1a]:[Do - V1c]]),"")</f>
        <v>3</v>
      </c>
      <c r="FC41" s="14">
        <v>2</v>
      </c>
      <c r="FD41" s="14">
        <v>3</v>
      </c>
      <c r="FE41" s="14">
        <f>IFERROR(AVERAGE(Tabel1[[#This Row],[Do - V2a]:[Do - V2b]]),"")</f>
        <v>2.5</v>
      </c>
      <c r="FF41" s="14">
        <v>4</v>
      </c>
      <c r="FG41" s="14">
        <f>IFERROR(AVERAGE(Tabel1[[#This Row],[Do - V3a]:[Do - V3a]]),"")</f>
        <v>4</v>
      </c>
      <c r="FH41" s="14">
        <v>3</v>
      </c>
      <c r="FI41" s="14">
        <f>IFERROR(AVERAGE(Tabel1[[#This Row],[Do - V1]],Tabel1[[#This Row],[Do - V2]],Tabel1[[#This Row],[Do - V3]],Tabel1[[#This Row],[Do - V4]]),"")</f>
        <v>3.125</v>
      </c>
      <c r="FJ41" s="14">
        <v>4</v>
      </c>
      <c r="FK41" s="14">
        <v>3</v>
      </c>
      <c r="FL41" s="14">
        <v>4</v>
      </c>
      <c r="FM41" s="14">
        <f>IFERROR(AVERAGE(Tabel1[[#This Row],[Do - A1a]:[Do - A1c]]),"")</f>
        <v>3.6666666666666665</v>
      </c>
      <c r="FN41" s="14">
        <v>3</v>
      </c>
      <c r="FO41" s="14">
        <v>4</v>
      </c>
      <c r="FP41" s="14">
        <f>IFERROR(AVERAGE(Tabel1[[#This Row],[Do - A2a]:[Do - A2b]]),"")</f>
        <v>3.5</v>
      </c>
      <c r="FQ41" s="14">
        <v>4</v>
      </c>
      <c r="FR41" s="14">
        <f>IFERROR(AVERAGE(Tabel1[[#This Row],[Do - A3a]:[Do - A3a]]),"")</f>
        <v>4</v>
      </c>
      <c r="FS41" s="14">
        <v>3</v>
      </c>
      <c r="FT41" s="14">
        <f>IFERROR(AVERAGE(Tabel1[[#This Row],[Do - A1]],Tabel1[[#This Row],[Do - A2]],Tabel1[[#This Row],[Do - A3]],Tabel1[[#This Row],[Do - A4]]),"")</f>
        <v>3.5416666666666665</v>
      </c>
      <c r="FU4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3.1805555555555554</v>
      </c>
      <c r="FV41" s="16" t="s">
        <v>401</v>
      </c>
      <c r="FW41" t="b">
        <v>1</v>
      </c>
    </row>
    <row r="42" spans="1:179" x14ac:dyDescent="0.3">
      <c r="A42" s="13">
        <v>44911.539849537039</v>
      </c>
      <c r="B42" t="b">
        <v>0</v>
      </c>
      <c r="C42" s="14" t="s">
        <v>402</v>
      </c>
      <c r="D42" s="14" t="s">
        <v>403</v>
      </c>
      <c r="E42" s="14" t="s">
        <v>404</v>
      </c>
      <c r="F42" s="14" t="s">
        <v>184</v>
      </c>
      <c r="G42" s="14" t="s">
        <v>405</v>
      </c>
      <c r="H42" s="14" t="s">
        <v>222</v>
      </c>
      <c r="I42" s="14" t="s">
        <v>195</v>
      </c>
      <c r="J42" s="14" t="s">
        <v>406</v>
      </c>
      <c r="K42" s="14" t="s">
        <v>235</v>
      </c>
      <c r="L42" s="14" t="s">
        <v>197</v>
      </c>
      <c r="M42" s="14" t="s">
        <v>281</v>
      </c>
      <c r="N42" s="14" t="s">
        <v>262</v>
      </c>
      <c r="O42" s="14" t="s">
        <v>200</v>
      </c>
      <c r="P42" s="17" t="s">
        <v>255</v>
      </c>
      <c r="Q42" s="14" t="s">
        <v>202</v>
      </c>
      <c r="R42" s="14" t="s">
        <v>235</v>
      </c>
      <c r="S42" s="14" t="s">
        <v>235</v>
      </c>
      <c r="T42" s="14" t="s">
        <v>204</v>
      </c>
      <c r="U42" s="14" t="s">
        <v>237</v>
      </c>
      <c r="V42" s="14" t="s">
        <v>224</v>
      </c>
      <c r="W42" s="14" t="s">
        <v>395</v>
      </c>
      <c r="X42" s="14" t="s">
        <v>207</v>
      </c>
      <c r="Y42" s="14">
        <v>2</v>
      </c>
      <c r="Z42" s="14">
        <v>3</v>
      </c>
      <c r="AA42" s="14">
        <v>3</v>
      </c>
      <c r="AB42" s="15">
        <f>IFERROR(AVERAGE(Tabel1[[#This Row],[Up - R1a]:[Up - R1c]]),"")</f>
        <v>2.6666666666666665</v>
      </c>
      <c r="AC42" s="14">
        <v>3</v>
      </c>
      <c r="AD42" s="14">
        <v>3</v>
      </c>
      <c r="AE42" s="14">
        <v>2</v>
      </c>
      <c r="AF42" s="14">
        <v>4</v>
      </c>
      <c r="AG42" s="14">
        <f>IFERROR(AVERAGE(Tabel1[[#This Row],[Up - R1]:[Up - R5]]),"")</f>
        <v>2.9333333333333331</v>
      </c>
      <c r="AH42" s="14">
        <v>4</v>
      </c>
      <c r="AI42" s="14">
        <v>3</v>
      </c>
      <c r="AJ42" s="14">
        <v>3</v>
      </c>
      <c r="AK42" s="14">
        <f>IFERROR(AVERAGE(Tabel1[[#This Row],[Up - C1a]:[Up - C1c]]),"")</f>
        <v>3.3333333333333335</v>
      </c>
      <c r="AL42" s="14">
        <v>3</v>
      </c>
      <c r="AM42" s="14">
        <v>4</v>
      </c>
      <c r="AN42" s="14">
        <v>3</v>
      </c>
      <c r="AO42" s="14">
        <f>IFERROR(AVERAGE(Tabel1[[#This Row],[Up - C1]:[Up - C4]]),"")</f>
        <v>3.3333333333333335</v>
      </c>
      <c r="AP42" s="14">
        <v>2</v>
      </c>
      <c r="AQ42" s="14">
        <f>IFERROR(AVERAGE(Tabel1[[#This Row],[Up - F1a]:[Up - F1a]]),"")</f>
        <v>2</v>
      </c>
      <c r="AR42" s="14">
        <v>2</v>
      </c>
      <c r="AS42" s="14">
        <v>2</v>
      </c>
      <c r="AT42" s="14">
        <f>IFERROR(AVERAGE(Tabel1[[#This Row],[Up - F2a]:[Up - F2b]]),"")</f>
        <v>2</v>
      </c>
      <c r="AU42" s="14">
        <v>3</v>
      </c>
      <c r="AV42" s="14">
        <v>2</v>
      </c>
      <c r="AW42" s="14">
        <f>IFERROR(AVERAGE(Tabel1[[#This Row],[Up - F3a]:[Up - F3b]]),"")</f>
        <v>2.5</v>
      </c>
      <c r="AX42" s="14">
        <v>3</v>
      </c>
      <c r="AY42" s="14">
        <f>IFERROR(AVERAGE(Tabel1[[#This Row],[Up - F1]],Tabel1[[#This Row],[Up - F2]],Tabel1[[#This Row],[Up - F3]],Tabel1[[#This Row],[Up - F4]]),"")</f>
        <v>2.375</v>
      </c>
      <c r="AZ42" s="14">
        <v>3</v>
      </c>
      <c r="BA42" s="14">
        <v>4</v>
      </c>
      <c r="BB42" s="14">
        <f>IFERROR(AVERAGE(Tabel1[[#This Row],[Up - V1a]:[Up - V1b]]),"")</f>
        <v>3.5</v>
      </c>
      <c r="BC42" s="14">
        <v>3</v>
      </c>
      <c r="BD42" s="14">
        <v>2</v>
      </c>
      <c r="BE42" s="14">
        <v>4</v>
      </c>
      <c r="BF42" s="14">
        <f>IFERROR(AVERAGE(Tabel1[[#This Row],[Up - V2a]:[Up - V2c]]),"")</f>
        <v>3</v>
      </c>
      <c r="BG42" s="14">
        <v>1</v>
      </c>
      <c r="BH42" s="14">
        <v>2</v>
      </c>
      <c r="BI42" s="14">
        <f>IFERROR(AVERAGE(Tabel1[[#This Row],[Up - V3a]:[Up - V3b]]),"")</f>
        <v>1.5</v>
      </c>
      <c r="BJ42" s="14">
        <v>2</v>
      </c>
      <c r="BK42" s="14">
        <f>IFERROR(AVERAGE(Tabel1[[#This Row],[Up - V1]],Tabel1[[#This Row],[Up - V2]],Tabel1[[#This Row],[Up - V3]],Tabel1[[#This Row],[Up - V4]]),"")</f>
        <v>2.5</v>
      </c>
      <c r="BL42" s="14">
        <v>4</v>
      </c>
      <c r="BM42" s="14">
        <v>3</v>
      </c>
      <c r="BN42" s="14">
        <v>1</v>
      </c>
      <c r="BO42" s="14">
        <v>1</v>
      </c>
      <c r="BP42" s="14">
        <f>IFERROR(AVERAGE(Tabel1[[#This Row],[Up - A1a]:[Up - A1d]]),"")</f>
        <v>2.25</v>
      </c>
      <c r="BQ42" s="14">
        <v>2</v>
      </c>
      <c r="BR42" s="14">
        <v>2</v>
      </c>
      <c r="BS42" s="14">
        <f>IFERROR(AVERAGE(Tabel1[[#This Row],[Up - A2a]:[Up - A2b]]),"")</f>
        <v>2</v>
      </c>
      <c r="BT42" s="14">
        <v>4</v>
      </c>
      <c r="BU42" s="14">
        <f>IFERROR(AVERAGE(Tabel1[[#This Row],[Up - A3a]:[Up - A3a]]),"")</f>
        <v>4</v>
      </c>
      <c r="BV42" s="14">
        <v>2</v>
      </c>
      <c r="BW42" s="14">
        <f>IFERROR(AVERAGE(Tabel1[[#This Row],[Up - A1]],Tabel1[[#This Row],[Up - A2]],Tabel1[[#This Row],[Up - A3]]),"")</f>
        <v>2.75</v>
      </c>
      <c r="BX42" s="14">
        <v>3</v>
      </c>
      <c r="BY42" s="14">
        <v>1</v>
      </c>
      <c r="BZ42" s="14">
        <f>IFERROR(AVERAGE(Tabel1[[#This Row],[In - R1a]:[In - R1b]]),"")</f>
        <v>2</v>
      </c>
      <c r="CA42" s="14">
        <v>1</v>
      </c>
      <c r="CB42" s="14">
        <v>5</v>
      </c>
      <c r="CC42" s="14">
        <v>1</v>
      </c>
      <c r="CD42" s="14">
        <v>5</v>
      </c>
      <c r="CE42" s="14">
        <f>IFERROR(AVERAGE(Tabel1[[#This Row],[In - R1]:[In - R5]]),"")</f>
        <v>2.8</v>
      </c>
      <c r="CF42" s="14">
        <v>5</v>
      </c>
      <c r="CG42" s="14">
        <v>4</v>
      </c>
      <c r="CH42" s="14">
        <v>4</v>
      </c>
      <c r="CI42" s="14">
        <f>IFERROR(AVERAGE(Tabel1[[#This Row],[In - C1a]:[In - C1c]]),"")</f>
        <v>4.333333333333333</v>
      </c>
      <c r="CJ42" s="14">
        <v>5</v>
      </c>
      <c r="CK42" s="14">
        <v>5</v>
      </c>
      <c r="CL42" s="14">
        <v>4</v>
      </c>
      <c r="CM42" s="14">
        <f>IFERROR(AVERAGE(Tabel1[[#This Row],[In - C1]:[In - C4]]),"")</f>
        <v>4.583333333333333</v>
      </c>
      <c r="CN42" s="14">
        <v>1</v>
      </c>
      <c r="CO42" s="14">
        <v>3</v>
      </c>
      <c r="CP42" s="14">
        <v>1</v>
      </c>
      <c r="CQ42" s="14">
        <f>IFERROR(AVERAGE(Tabel1[[#This Row],[In - F1a]:[In - F1c]]),"")</f>
        <v>1.6666666666666667</v>
      </c>
      <c r="CR42" s="14">
        <v>1</v>
      </c>
      <c r="CS42" s="14">
        <v>1</v>
      </c>
      <c r="CT42" s="14">
        <f>IFERROR(AVERAGE(Tabel1[[#This Row],[In - F2a]:[In - F2b]]),"")</f>
        <v>1</v>
      </c>
      <c r="CU42" s="14">
        <v>2</v>
      </c>
      <c r="CV42" s="14">
        <f>IFERROR(AVERAGE(Tabel1[[#This Row],[In - F3a]:[In - F3a]]),"")</f>
        <v>2</v>
      </c>
      <c r="CW42" s="14">
        <v>3</v>
      </c>
      <c r="CX42" s="14">
        <f>IFERROR(AVERAGE(Tabel1[[#This Row],[In - F1]],Tabel1[[#This Row],[In - F2]],Tabel1[[#This Row],[In - F3]],Tabel1[[#This Row],[In - F4]]),"")</f>
        <v>1.9166666666666667</v>
      </c>
      <c r="CY42" s="14">
        <v>5</v>
      </c>
      <c r="CZ42" s="14">
        <v>5</v>
      </c>
      <c r="DA42" s="14">
        <v>3</v>
      </c>
      <c r="DB42" s="14">
        <f>IFERROR(AVERAGE(Tabel1[[#This Row],[In - V1a]:[In - V1c]]),"")</f>
        <v>4.333333333333333</v>
      </c>
      <c r="DC42" s="14">
        <v>3</v>
      </c>
      <c r="DD42" s="14">
        <v>4</v>
      </c>
      <c r="DE42" s="14">
        <v>5</v>
      </c>
      <c r="DF42" s="14">
        <f>IFERROR(AVERAGE(Tabel1[[#This Row],[In - V2a]:[In - V2c]]),"")</f>
        <v>4</v>
      </c>
      <c r="DG42" s="14">
        <v>4</v>
      </c>
      <c r="DH42" s="14">
        <v>4</v>
      </c>
      <c r="DI42" s="14">
        <f>IFERROR(AVERAGE(Tabel1[[#This Row],[In - V3a]:[In - V3b]]),"")</f>
        <v>4</v>
      </c>
      <c r="DJ42" s="14">
        <v>2</v>
      </c>
      <c r="DK42" s="14">
        <f>IFERROR(AVERAGE(Tabel1[[#This Row],[In - V1]],Tabel1[[#This Row],[In - V2]],Tabel1[[#This Row],[In - V3]],Tabel1[[#This Row],[In - V4]]),"")</f>
        <v>3.583333333333333</v>
      </c>
      <c r="DL42" s="14">
        <v>4</v>
      </c>
      <c r="DM42" s="14">
        <v>5</v>
      </c>
      <c r="DN42" s="14">
        <f>IFERROR(AVERAGE(Tabel1[[#This Row],[In - A1a]:[In - A1b]]),"")</f>
        <v>4.5</v>
      </c>
      <c r="DO42" s="14">
        <v>2</v>
      </c>
      <c r="DP42" s="14">
        <v>4</v>
      </c>
      <c r="DQ42" s="14">
        <f>IFERROR(AVERAGE(Tabel1[[#This Row],[In - A2a]:[In - A2b]]),"")</f>
        <v>3</v>
      </c>
      <c r="DR42" s="14">
        <v>4</v>
      </c>
      <c r="DS42" s="14">
        <v>1</v>
      </c>
      <c r="DT42" s="14">
        <f>IFERROR(AVERAGE(Tabel1[[#This Row],[In - A3a]:[In - A3a]]),"")</f>
        <v>4</v>
      </c>
      <c r="DU42" s="14">
        <v>2</v>
      </c>
      <c r="DV42" s="14">
        <f>IFERROR(AVERAGE(Tabel1[[#This Row],[In - A1]],Tabel1[[#This Row],[In - A2]],Tabel1[[#This Row],[In - A3]],Tabel1[[#This Row],[In - A4]]),"")</f>
        <v>3.375</v>
      </c>
      <c r="DW42" s="14">
        <v>2</v>
      </c>
      <c r="DX42" s="14">
        <v>5</v>
      </c>
      <c r="DY42" s="14">
        <v>2</v>
      </c>
      <c r="DZ42" s="14">
        <f>IFERROR(AVERAGE(Tabel1[[#This Row],[Do - R1a]:[Do - R1c]]),"")</f>
        <v>3</v>
      </c>
      <c r="EA42" s="14">
        <v>4</v>
      </c>
      <c r="EB42" s="14">
        <v>4</v>
      </c>
      <c r="EC42" s="14">
        <v>2</v>
      </c>
      <c r="ED42" s="14">
        <v>5</v>
      </c>
      <c r="EE42" s="14">
        <f>IFERROR(AVERAGE(Tabel1[[#This Row],[Do - R1]:[Do - R5]]),"")</f>
        <v>3.6</v>
      </c>
      <c r="EF42" s="14">
        <v>5</v>
      </c>
      <c r="EG42" s="14">
        <v>4</v>
      </c>
      <c r="EH42" s="14">
        <v>4</v>
      </c>
      <c r="EI42" s="14">
        <f>IFERROR(AVERAGE(Tabel1[[#This Row],[Do - C1a]:[Do - C1c]]),"")</f>
        <v>4.333333333333333</v>
      </c>
      <c r="EJ42" s="14">
        <v>3</v>
      </c>
      <c r="EK42" s="14">
        <v>2</v>
      </c>
      <c r="EL42" s="14">
        <v>4</v>
      </c>
      <c r="EM42" s="14">
        <f>IFERROR(AVERAGE(Tabel1[[#This Row],[Do - C1]:[Do - C4]]),"")</f>
        <v>3.333333333333333</v>
      </c>
      <c r="EN42" s="14">
        <v>2</v>
      </c>
      <c r="EO42" s="14" t="s">
        <v>189</v>
      </c>
      <c r="EP42" s="14">
        <v>1</v>
      </c>
      <c r="EQ42" s="14">
        <f>IFERROR(AVERAGE(Tabel1[[#This Row],[Do - F1a]:[Do - F1c]]),"")</f>
        <v>1.5</v>
      </c>
      <c r="ER42" s="14">
        <v>1</v>
      </c>
      <c r="ES42" s="14">
        <f>IFERROR(AVERAGE(Tabel1[[#This Row],[Do - F2a]:[Do - F2a]]),"")</f>
        <v>1</v>
      </c>
      <c r="ET42" s="14">
        <v>3</v>
      </c>
      <c r="EU42" s="14">
        <v>3</v>
      </c>
      <c r="EV42" s="14">
        <f>IFERROR(AVERAGE(Tabel1[[#This Row],[Do - F3a]:[Do - F3b]]),"")</f>
        <v>3</v>
      </c>
      <c r="EW42" s="14">
        <v>3</v>
      </c>
      <c r="EX42" s="14">
        <f>IFERROR(AVERAGE(Tabel1[[#This Row],[Do - F1]],Tabel1[[#This Row],[Do - F2]],Tabel1[[#This Row],[Do - F3]],Tabel1[[#This Row],[Do - F4]]),"")</f>
        <v>2.125</v>
      </c>
      <c r="EY42" s="14">
        <v>5</v>
      </c>
      <c r="EZ42" s="14">
        <v>2</v>
      </c>
      <c r="FA42" s="14">
        <v>4</v>
      </c>
      <c r="FB42" s="14">
        <f>IFERROR(AVERAGE(Tabel1[[#This Row],[Do - V1a]:[Do - V1c]]),"")</f>
        <v>3.6666666666666665</v>
      </c>
      <c r="FC42" s="14">
        <v>4</v>
      </c>
      <c r="FD42" s="14">
        <v>4</v>
      </c>
      <c r="FE42" s="14">
        <f>IFERROR(AVERAGE(Tabel1[[#This Row],[Do - V2a]:[Do - V2b]]),"")</f>
        <v>4</v>
      </c>
      <c r="FF42" s="14">
        <v>4</v>
      </c>
      <c r="FG42" s="14">
        <f>IFERROR(AVERAGE(Tabel1[[#This Row],[Do - V3a]:[Do - V3a]]),"")</f>
        <v>4</v>
      </c>
      <c r="FH42" s="14">
        <v>2</v>
      </c>
      <c r="FI42" s="14">
        <f>IFERROR(AVERAGE(Tabel1[[#This Row],[Do - V1]],Tabel1[[#This Row],[Do - V2]],Tabel1[[#This Row],[Do - V3]],Tabel1[[#This Row],[Do - V4]]),"")</f>
        <v>3.4166666666666665</v>
      </c>
      <c r="FJ42" s="14">
        <v>3</v>
      </c>
      <c r="FK42" s="14">
        <v>2</v>
      </c>
      <c r="FL42" s="14">
        <v>4</v>
      </c>
      <c r="FM42" s="14">
        <f>IFERROR(AVERAGE(Tabel1[[#This Row],[Do - A1a]:[Do - A1c]]),"")</f>
        <v>3</v>
      </c>
      <c r="FN42" s="14">
        <v>3</v>
      </c>
      <c r="FO42" s="14">
        <v>4</v>
      </c>
      <c r="FP42" s="14">
        <f>IFERROR(AVERAGE(Tabel1[[#This Row],[Do - A2a]:[Do - A2b]]),"")</f>
        <v>3.5</v>
      </c>
      <c r="FQ42" s="14">
        <v>5</v>
      </c>
      <c r="FR42" s="14">
        <f>IFERROR(AVERAGE(Tabel1[[#This Row],[Do - A3a]:[Do - A3a]]),"")</f>
        <v>5</v>
      </c>
      <c r="FS42" s="14">
        <v>3</v>
      </c>
      <c r="FT42" s="14">
        <f>IFERROR(AVERAGE(Tabel1[[#This Row],[Do - A1]],Tabel1[[#This Row],[Do - A2]],Tabel1[[#This Row],[Do - A3]],Tabel1[[#This Row],[Do - A4]]),"")</f>
        <v>3.625</v>
      </c>
      <c r="FU4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3.0833333333333335</v>
      </c>
      <c r="FV42" s="16" t="s">
        <v>407</v>
      </c>
      <c r="FW42" t="b">
        <v>1</v>
      </c>
    </row>
    <row r="43" spans="1:179" x14ac:dyDescent="0.3">
      <c r="A43" s="13">
        <v>44912.389976851853</v>
      </c>
      <c r="B43" t="b">
        <v>0</v>
      </c>
      <c r="C43" s="14" t="s">
        <v>408</v>
      </c>
      <c r="D43" s="14" t="s">
        <v>409</v>
      </c>
      <c r="E43" s="14" t="s">
        <v>410</v>
      </c>
      <c r="F43" s="14" t="s">
        <v>184</v>
      </c>
      <c r="G43" s="14" t="s">
        <v>411</v>
      </c>
      <c r="H43" s="14" t="s">
        <v>222</v>
      </c>
      <c r="I43" s="14" t="s">
        <v>195</v>
      </c>
      <c r="J43" s="14" t="s">
        <v>261</v>
      </c>
      <c r="K43" s="14" t="s">
        <v>187</v>
      </c>
      <c r="L43" s="14" t="s">
        <v>385</v>
      </c>
      <c r="M43" s="14" t="s">
        <v>233</v>
      </c>
      <c r="N43" s="14" t="s">
        <v>199</v>
      </c>
      <c r="O43" s="14" t="s">
        <v>256</v>
      </c>
      <c r="P43" s="17" t="s">
        <v>255</v>
      </c>
      <c r="Q43" s="14" t="s">
        <v>187</v>
      </c>
      <c r="R43" s="14" t="s">
        <v>235</v>
      </c>
      <c r="S43" s="14" t="s">
        <v>235</v>
      </c>
      <c r="T43" s="14" t="s">
        <v>236</v>
      </c>
      <c r="U43" s="14" t="s">
        <v>285</v>
      </c>
      <c r="V43" s="14" t="s">
        <v>206</v>
      </c>
      <c r="W43" s="14" t="s">
        <v>207</v>
      </c>
      <c r="X43" s="14" t="s">
        <v>207</v>
      </c>
      <c r="Y43" s="14">
        <v>4</v>
      </c>
      <c r="Z43" s="14">
        <v>3</v>
      </c>
      <c r="AA43" s="14" t="s">
        <v>189</v>
      </c>
      <c r="AB43" s="15">
        <f>IFERROR(AVERAGE(Tabel1[[#This Row],[Up - R1a]:[Up - R1c]]),"")</f>
        <v>3.5</v>
      </c>
      <c r="AC43" s="14">
        <v>4</v>
      </c>
      <c r="AD43" s="14">
        <v>2</v>
      </c>
      <c r="AE43" s="14">
        <v>2</v>
      </c>
      <c r="AF43" s="14">
        <v>4</v>
      </c>
      <c r="AG43" s="14">
        <f>IFERROR(AVERAGE(Tabel1[[#This Row],[Up - R1]:[Up - R5]]),"")</f>
        <v>3.1</v>
      </c>
      <c r="AH43" s="14">
        <v>3</v>
      </c>
      <c r="AI43" s="14">
        <v>2</v>
      </c>
      <c r="AJ43" s="14">
        <v>2</v>
      </c>
      <c r="AK43" s="14">
        <f>IFERROR(AVERAGE(Tabel1[[#This Row],[Up - C1a]:[Up - C1c]]),"")</f>
        <v>2.3333333333333335</v>
      </c>
      <c r="AL43" s="14">
        <v>4</v>
      </c>
      <c r="AM43" s="14">
        <v>2</v>
      </c>
      <c r="AN43" s="14" t="s">
        <v>189</v>
      </c>
      <c r="AO43" s="14">
        <f>IFERROR(AVERAGE(Tabel1[[#This Row],[Up - C1]:[Up - C4]]),"")</f>
        <v>2.7777777777777781</v>
      </c>
      <c r="AP43" s="14">
        <v>2</v>
      </c>
      <c r="AQ43" s="14">
        <f>IFERROR(AVERAGE(Tabel1[[#This Row],[Up - F1a]:[Up - F1a]]),"")</f>
        <v>2</v>
      </c>
      <c r="AR43" s="14">
        <v>3</v>
      </c>
      <c r="AS43" s="14">
        <v>1</v>
      </c>
      <c r="AT43" s="14">
        <f>IFERROR(AVERAGE(Tabel1[[#This Row],[Up - F2a]:[Up - F2b]]),"")</f>
        <v>2</v>
      </c>
      <c r="AU43" s="14">
        <v>2</v>
      </c>
      <c r="AV43" s="14">
        <v>3</v>
      </c>
      <c r="AW43" s="14">
        <f>IFERROR(AVERAGE(Tabel1[[#This Row],[Up - F3a]:[Up - F3b]]),"")</f>
        <v>2.5</v>
      </c>
      <c r="AX43" s="14">
        <v>3</v>
      </c>
      <c r="AY43" s="14">
        <f>IFERROR(AVERAGE(Tabel1[[#This Row],[Up - F1]],Tabel1[[#This Row],[Up - F2]],Tabel1[[#This Row],[Up - F3]],Tabel1[[#This Row],[Up - F4]]),"")</f>
        <v>2.375</v>
      </c>
      <c r="AZ43" s="14">
        <v>1</v>
      </c>
      <c r="BA43" s="14">
        <v>3</v>
      </c>
      <c r="BB43" s="14">
        <f>IFERROR(AVERAGE(Tabel1[[#This Row],[Up - V1a]:[Up - V1b]]),"")</f>
        <v>2</v>
      </c>
      <c r="BC43" s="14">
        <v>4</v>
      </c>
      <c r="BD43" s="14">
        <v>3</v>
      </c>
      <c r="BE43" s="14" t="s">
        <v>189</v>
      </c>
      <c r="BF43" s="14">
        <f>IFERROR(AVERAGE(Tabel1[[#This Row],[Up - V2a]:[Up - V2c]]),"")</f>
        <v>3.5</v>
      </c>
      <c r="BG43" s="14">
        <v>2</v>
      </c>
      <c r="BH43" s="14">
        <v>4</v>
      </c>
      <c r="BI43" s="14">
        <f>IFERROR(AVERAGE(Tabel1[[#This Row],[Up - V3a]:[Up - V3b]]),"")</f>
        <v>3</v>
      </c>
      <c r="BJ43" s="14">
        <v>5</v>
      </c>
      <c r="BK43" s="14">
        <f>IFERROR(AVERAGE(Tabel1[[#This Row],[Up - V1]],Tabel1[[#This Row],[Up - V2]],Tabel1[[#This Row],[Up - V3]],Tabel1[[#This Row],[Up - V4]]),"")</f>
        <v>3.375</v>
      </c>
      <c r="BL43" s="14">
        <v>4</v>
      </c>
      <c r="BM43" s="14">
        <v>5</v>
      </c>
      <c r="BN43" s="14">
        <v>2</v>
      </c>
      <c r="BO43" s="14">
        <v>3</v>
      </c>
      <c r="BP43" s="14">
        <f>IFERROR(AVERAGE(Tabel1[[#This Row],[Up - A1a]:[Up - A1d]]),"")</f>
        <v>3.5</v>
      </c>
      <c r="BQ43" s="14">
        <v>4</v>
      </c>
      <c r="BR43" s="14">
        <v>2</v>
      </c>
      <c r="BS43" s="14">
        <f>IFERROR(AVERAGE(Tabel1[[#This Row],[Up - A2a]:[Up - A2b]]),"")</f>
        <v>3</v>
      </c>
      <c r="BT43" s="14">
        <v>3</v>
      </c>
      <c r="BU43" s="14">
        <f>IFERROR(AVERAGE(Tabel1[[#This Row],[Up - A3a]:[Up - A3a]]),"")</f>
        <v>3</v>
      </c>
      <c r="BV43" s="14">
        <v>3</v>
      </c>
      <c r="BW43" s="14">
        <f>IFERROR(AVERAGE(Tabel1[[#This Row],[Up - A1]],Tabel1[[#This Row],[Up - A2]],Tabel1[[#This Row],[Up - A3]]),"")</f>
        <v>3.1666666666666665</v>
      </c>
      <c r="BX43" s="14">
        <v>2</v>
      </c>
      <c r="BY43" s="14">
        <v>4</v>
      </c>
      <c r="BZ43" s="14">
        <f>IFERROR(AVERAGE(Tabel1[[#This Row],[In - R1a]:[In - R1b]]),"")</f>
        <v>3</v>
      </c>
      <c r="CA43" s="14">
        <v>3</v>
      </c>
      <c r="CB43" s="14">
        <v>2</v>
      </c>
      <c r="CC43" s="14">
        <v>2</v>
      </c>
      <c r="CD43" s="14">
        <v>4</v>
      </c>
      <c r="CE43" s="14">
        <f>IFERROR(AVERAGE(Tabel1[[#This Row],[In - R1]:[In - R5]]),"")</f>
        <v>2.8</v>
      </c>
      <c r="CF43" s="14">
        <v>3</v>
      </c>
      <c r="CG43" s="14">
        <v>3</v>
      </c>
      <c r="CH43" s="14">
        <v>3</v>
      </c>
      <c r="CI43" s="14">
        <f>IFERROR(AVERAGE(Tabel1[[#This Row],[In - C1a]:[In - C1c]]),"")</f>
        <v>3</v>
      </c>
      <c r="CJ43" s="14">
        <v>4</v>
      </c>
      <c r="CK43" s="14">
        <v>2</v>
      </c>
      <c r="CL43" s="14">
        <v>2</v>
      </c>
      <c r="CM43" s="14">
        <f>IFERROR(AVERAGE(Tabel1[[#This Row],[In - C1]:[In - C4]]),"")</f>
        <v>2.75</v>
      </c>
      <c r="CN43" s="14">
        <v>1</v>
      </c>
      <c r="CO43" s="14">
        <v>2</v>
      </c>
      <c r="CP43" s="14">
        <v>1</v>
      </c>
      <c r="CQ43" s="14">
        <f>IFERROR(AVERAGE(Tabel1[[#This Row],[In - F1a]:[In - F1c]]),"")</f>
        <v>1.3333333333333333</v>
      </c>
      <c r="CR43" s="14">
        <v>4</v>
      </c>
      <c r="CS43" s="14">
        <v>1</v>
      </c>
      <c r="CT43" s="14">
        <f>IFERROR(AVERAGE(Tabel1[[#This Row],[In - F2a]:[In - F2b]]),"")</f>
        <v>2.5</v>
      </c>
      <c r="CU43" s="14">
        <v>1</v>
      </c>
      <c r="CV43" s="14">
        <f>IFERROR(AVERAGE(Tabel1[[#This Row],[In - F3a]:[In - F3a]]),"")</f>
        <v>1</v>
      </c>
      <c r="CW43" s="14">
        <v>3</v>
      </c>
      <c r="CX43" s="14">
        <f>IFERROR(AVERAGE(Tabel1[[#This Row],[In - F1]],Tabel1[[#This Row],[In - F2]],Tabel1[[#This Row],[In - F3]],Tabel1[[#This Row],[In - F4]]),"")</f>
        <v>1.9583333333333333</v>
      </c>
      <c r="CY43" s="14">
        <v>5</v>
      </c>
      <c r="CZ43" s="14">
        <v>1</v>
      </c>
      <c r="DA43" s="14">
        <v>4</v>
      </c>
      <c r="DB43" s="14">
        <f>IFERROR(AVERAGE(Tabel1[[#This Row],[In - V1a]:[In - V1c]]),"")</f>
        <v>3.3333333333333335</v>
      </c>
      <c r="DC43" s="14">
        <v>3</v>
      </c>
      <c r="DD43" s="14">
        <v>2</v>
      </c>
      <c r="DE43" s="14">
        <v>2</v>
      </c>
      <c r="DF43" s="14">
        <f>IFERROR(AVERAGE(Tabel1[[#This Row],[In - V2a]:[In - V2c]]),"")</f>
        <v>2.3333333333333335</v>
      </c>
      <c r="DG43" s="14">
        <v>2</v>
      </c>
      <c r="DH43" s="14">
        <v>4</v>
      </c>
      <c r="DI43" s="14">
        <f>IFERROR(AVERAGE(Tabel1[[#This Row],[In - V3a]:[In - V3b]]),"")</f>
        <v>3</v>
      </c>
      <c r="DJ43" s="14">
        <v>4</v>
      </c>
      <c r="DK43" s="14">
        <f>IFERROR(AVERAGE(Tabel1[[#This Row],[In - V1]],Tabel1[[#This Row],[In - V2]],Tabel1[[#This Row],[In - V3]],Tabel1[[#This Row],[In - V4]]),"")</f>
        <v>3.166666666666667</v>
      </c>
      <c r="DL43" s="14">
        <v>4</v>
      </c>
      <c r="DM43" s="14">
        <v>4</v>
      </c>
      <c r="DN43" s="14">
        <f>IFERROR(AVERAGE(Tabel1[[#This Row],[In - A1a]:[In - A1b]]),"")</f>
        <v>4</v>
      </c>
      <c r="DO43" s="14">
        <v>4</v>
      </c>
      <c r="DP43" s="14">
        <v>3</v>
      </c>
      <c r="DQ43" s="14">
        <f>IFERROR(AVERAGE(Tabel1[[#This Row],[In - A2a]:[In - A2b]]),"")</f>
        <v>3.5</v>
      </c>
      <c r="DR43" s="14">
        <v>5</v>
      </c>
      <c r="DS43" s="14">
        <v>2</v>
      </c>
      <c r="DT43" s="14">
        <f>IFERROR(AVERAGE(Tabel1[[#This Row],[In - A3a]:[In - A3a]]),"")</f>
        <v>5</v>
      </c>
      <c r="DU43" s="14">
        <v>3</v>
      </c>
      <c r="DV43" s="14">
        <f>IFERROR(AVERAGE(Tabel1[[#This Row],[In - A1]],Tabel1[[#This Row],[In - A2]],Tabel1[[#This Row],[In - A3]],Tabel1[[#This Row],[In - A4]]),"")</f>
        <v>3.875</v>
      </c>
      <c r="DW43" s="14">
        <v>2</v>
      </c>
      <c r="DX43" s="14">
        <v>4</v>
      </c>
      <c r="DY43" s="14">
        <v>2</v>
      </c>
      <c r="DZ43" s="14">
        <f>IFERROR(AVERAGE(Tabel1[[#This Row],[Do - R1a]:[Do - R1c]]),"")</f>
        <v>2.6666666666666665</v>
      </c>
      <c r="EA43" s="14">
        <v>3</v>
      </c>
      <c r="EB43" s="14">
        <v>3</v>
      </c>
      <c r="EC43" s="14">
        <v>3</v>
      </c>
      <c r="ED43" s="14">
        <v>3</v>
      </c>
      <c r="EE43" s="14">
        <f>IFERROR(AVERAGE(Tabel1[[#This Row],[Do - R1]:[Do - R5]]),"")</f>
        <v>2.9333333333333331</v>
      </c>
      <c r="EF43" s="14">
        <v>4</v>
      </c>
      <c r="EG43" s="14">
        <v>2</v>
      </c>
      <c r="EH43" s="14">
        <v>3</v>
      </c>
      <c r="EI43" s="14">
        <f>IFERROR(AVERAGE(Tabel1[[#This Row],[Do - C1a]:[Do - C1c]]),"")</f>
        <v>3</v>
      </c>
      <c r="EJ43" s="14">
        <v>3</v>
      </c>
      <c r="EK43" s="14">
        <v>2</v>
      </c>
      <c r="EL43" s="14" t="s">
        <v>189</v>
      </c>
      <c r="EM43" s="14">
        <f>IFERROR(AVERAGE(Tabel1[[#This Row],[Do - C1]:[Do - C4]]),"")</f>
        <v>2.6666666666666665</v>
      </c>
      <c r="EN43" s="14">
        <v>2</v>
      </c>
      <c r="EO43" s="14">
        <v>2</v>
      </c>
      <c r="EP43" s="14">
        <v>3</v>
      </c>
      <c r="EQ43" s="14">
        <f>IFERROR(AVERAGE(Tabel1[[#This Row],[Do - F1a]:[Do - F1c]]),"")</f>
        <v>2.3333333333333335</v>
      </c>
      <c r="ER43" s="14">
        <v>2</v>
      </c>
      <c r="ES43" s="14">
        <f>IFERROR(AVERAGE(Tabel1[[#This Row],[Do - F2a]:[Do - F2a]]),"")</f>
        <v>2</v>
      </c>
      <c r="ET43" s="14">
        <v>2</v>
      </c>
      <c r="EU43" s="14">
        <v>3</v>
      </c>
      <c r="EV43" s="14">
        <f>IFERROR(AVERAGE(Tabel1[[#This Row],[Do - F3a]:[Do - F3b]]),"")</f>
        <v>2.5</v>
      </c>
      <c r="EW43" s="14">
        <v>3</v>
      </c>
      <c r="EX43" s="14">
        <f>IFERROR(AVERAGE(Tabel1[[#This Row],[Do - F1]],Tabel1[[#This Row],[Do - F2]],Tabel1[[#This Row],[Do - F3]],Tabel1[[#This Row],[Do - F4]]),"")</f>
        <v>2.4583333333333335</v>
      </c>
      <c r="EY43" s="14">
        <v>3</v>
      </c>
      <c r="EZ43" s="14">
        <v>2</v>
      </c>
      <c r="FA43" s="14">
        <v>3</v>
      </c>
      <c r="FB43" s="14">
        <f>IFERROR(AVERAGE(Tabel1[[#This Row],[Do - V1a]:[Do - V1c]]),"")</f>
        <v>2.6666666666666665</v>
      </c>
      <c r="FC43" s="14">
        <v>4</v>
      </c>
      <c r="FD43" s="14">
        <v>4</v>
      </c>
      <c r="FE43" s="14">
        <f>IFERROR(AVERAGE(Tabel1[[#This Row],[Do - V2a]:[Do - V2b]]),"")</f>
        <v>4</v>
      </c>
      <c r="FF43" s="14">
        <v>3</v>
      </c>
      <c r="FG43" s="14">
        <f>IFERROR(AVERAGE(Tabel1[[#This Row],[Do - V3a]:[Do - V3a]]),"")</f>
        <v>3</v>
      </c>
      <c r="FH43" s="14">
        <v>5</v>
      </c>
      <c r="FI43" s="14">
        <f>IFERROR(AVERAGE(Tabel1[[#This Row],[Do - V1]],Tabel1[[#This Row],[Do - V2]],Tabel1[[#This Row],[Do - V3]],Tabel1[[#This Row],[Do - V4]]),"")</f>
        <v>3.6666666666666665</v>
      </c>
      <c r="FJ43" s="14">
        <v>4</v>
      </c>
      <c r="FK43" s="14">
        <v>2</v>
      </c>
      <c r="FL43" s="14">
        <v>2</v>
      </c>
      <c r="FM43" s="14">
        <f>IFERROR(AVERAGE(Tabel1[[#This Row],[Do - A1a]:[Do - A1c]]),"")</f>
        <v>2.6666666666666665</v>
      </c>
      <c r="FN43" s="14">
        <v>3</v>
      </c>
      <c r="FO43" s="14">
        <v>2</v>
      </c>
      <c r="FP43" s="14">
        <f>IFERROR(AVERAGE(Tabel1[[#This Row],[Do - A2a]:[Do - A2b]]),"")</f>
        <v>2.5</v>
      </c>
      <c r="FQ43" s="14">
        <v>3</v>
      </c>
      <c r="FR43" s="14">
        <f>IFERROR(AVERAGE(Tabel1[[#This Row],[Do - A3a]:[Do - A3a]]),"")</f>
        <v>3</v>
      </c>
      <c r="FS43" s="14">
        <v>3</v>
      </c>
      <c r="FT43" s="14">
        <f>IFERROR(AVERAGE(Tabel1[[#This Row],[Do - A1]],Tabel1[[#This Row],[Do - A2]],Tabel1[[#This Row],[Do - A3]],Tabel1[[#This Row],[Do - A4]]),"")</f>
        <v>2.7916666666666665</v>
      </c>
      <c r="FU4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2.9240740740740736</v>
      </c>
      <c r="FV43" s="16" t="s">
        <v>412</v>
      </c>
      <c r="FW43" t="b">
        <v>1</v>
      </c>
    </row>
    <row r="44" spans="1:179" x14ac:dyDescent="0.3">
      <c r="A44" s="13">
        <v>44914.444305555553</v>
      </c>
      <c r="B44" t="b">
        <v>0</v>
      </c>
      <c r="C44" s="14" t="s">
        <v>413</v>
      </c>
      <c r="D44" s="14" t="s">
        <v>414</v>
      </c>
      <c r="E44" s="14" t="s">
        <v>415</v>
      </c>
      <c r="F44" s="14" t="s">
        <v>184</v>
      </c>
      <c r="G44" s="14" t="s">
        <v>416</v>
      </c>
      <c r="H44" s="14" t="s">
        <v>222</v>
      </c>
      <c r="I44" s="14" t="s">
        <v>417</v>
      </c>
      <c r="J44" s="14" t="s">
        <v>418</v>
      </c>
      <c r="K44" s="14" t="s">
        <v>201</v>
      </c>
      <c r="L44" s="14" t="s">
        <v>249</v>
      </c>
      <c r="M44" s="14" t="s">
        <v>188</v>
      </c>
      <c r="N44" s="14" t="s">
        <v>262</v>
      </c>
      <c r="O44" s="14" t="s">
        <v>200</v>
      </c>
      <c r="P44" s="17" t="s">
        <v>255</v>
      </c>
      <c r="Q44" s="14" t="s">
        <v>201</v>
      </c>
      <c r="R44" s="14" t="s">
        <v>203</v>
      </c>
      <c r="S44" s="14" t="s">
        <v>187</v>
      </c>
      <c r="T44" s="14" t="s">
        <v>348</v>
      </c>
      <c r="U44" s="14" t="s">
        <v>237</v>
      </c>
      <c r="V44" s="14" t="s">
        <v>359</v>
      </c>
      <c r="W44" s="14" t="s">
        <v>395</v>
      </c>
      <c r="X44" s="14" t="s">
        <v>306</v>
      </c>
      <c r="Y44" s="14">
        <v>3</v>
      </c>
      <c r="Z44" s="14">
        <v>4</v>
      </c>
      <c r="AA44" s="14">
        <v>2</v>
      </c>
      <c r="AB44" s="15">
        <f>IFERROR(AVERAGE(Tabel1[[#This Row],[Up - R1a]:[Up - R1c]]),"")</f>
        <v>3</v>
      </c>
      <c r="AC44" s="14">
        <v>4</v>
      </c>
      <c r="AD44" s="14">
        <v>2</v>
      </c>
      <c r="AE44" s="14">
        <v>3</v>
      </c>
      <c r="AF44" s="14">
        <v>4</v>
      </c>
      <c r="AG44" s="14">
        <f>IFERROR(AVERAGE(Tabel1[[#This Row],[Up - R1]:[Up - R5]]),"")</f>
        <v>3.2</v>
      </c>
      <c r="AH44" s="14">
        <v>4</v>
      </c>
      <c r="AI44" s="14">
        <v>2</v>
      </c>
      <c r="AJ44" s="14">
        <v>2</v>
      </c>
      <c r="AK44" s="14">
        <f>IFERROR(AVERAGE(Tabel1[[#This Row],[Up - C1a]:[Up - C1c]]),"")</f>
        <v>2.6666666666666665</v>
      </c>
      <c r="AL44" s="14">
        <v>2</v>
      </c>
      <c r="AM44" s="14">
        <v>2</v>
      </c>
      <c r="AN44" s="14">
        <v>4</v>
      </c>
      <c r="AO44" s="14">
        <f>IFERROR(AVERAGE(Tabel1[[#This Row],[Up - C1]:[Up - C4]]),"")</f>
        <v>2.6666666666666665</v>
      </c>
      <c r="AP44" s="14">
        <v>4</v>
      </c>
      <c r="AQ44" s="14">
        <f>IFERROR(AVERAGE(Tabel1[[#This Row],[Up - F1a]:[Up - F1a]]),"")</f>
        <v>4</v>
      </c>
      <c r="AR44" s="14">
        <v>2</v>
      </c>
      <c r="AS44" s="14">
        <v>4</v>
      </c>
      <c r="AT44" s="14">
        <f>IFERROR(AVERAGE(Tabel1[[#This Row],[Up - F2a]:[Up - F2b]]),"")</f>
        <v>3</v>
      </c>
      <c r="AU44" s="14">
        <v>3</v>
      </c>
      <c r="AV44" s="14">
        <v>5</v>
      </c>
      <c r="AW44" s="14">
        <f>IFERROR(AVERAGE(Tabel1[[#This Row],[Up - F3a]:[Up - F3b]]),"")</f>
        <v>4</v>
      </c>
      <c r="AX44" s="14">
        <v>4</v>
      </c>
      <c r="AY44" s="14">
        <f>IFERROR(AVERAGE(Tabel1[[#This Row],[Up - F1]],Tabel1[[#This Row],[Up - F2]],Tabel1[[#This Row],[Up - F3]],Tabel1[[#This Row],[Up - F4]]),"")</f>
        <v>3.75</v>
      </c>
      <c r="AZ44" s="14">
        <v>4</v>
      </c>
      <c r="BA44" s="14">
        <v>3</v>
      </c>
      <c r="BB44" s="14">
        <f>IFERROR(AVERAGE(Tabel1[[#This Row],[Up - V1a]:[Up - V1b]]),"")</f>
        <v>3.5</v>
      </c>
      <c r="BC44" s="14">
        <v>4</v>
      </c>
      <c r="BD44" s="14">
        <v>4</v>
      </c>
      <c r="BE44" s="14">
        <v>3</v>
      </c>
      <c r="BF44" s="14">
        <f>IFERROR(AVERAGE(Tabel1[[#This Row],[Up - V2a]:[Up - V2c]]),"")</f>
        <v>3.6666666666666665</v>
      </c>
      <c r="BG44" s="14">
        <v>2</v>
      </c>
      <c r="BH44" s="14">
        <v>3</v>
      </c>
      <c r="BI44" s="14">
        <f>IFERROR(AVERAGE(Tabel1[[#This Row],[Up - V3a]:[Up - V3b]]),"")</f>
        <v>2.5</v>
      </c>
      <c r="BJ44" s="14">
        <v>3</v>
      </c>
      <c r="BK44" s="14">
        <f>IFERROR(AVERAGE(Tabel1[[#This Row],[Up - V1]],Tabel1[[#This Row],[Up - V2]],Tabel1[[#This Row],[Up - V3]],Tabel1[[#This Row],[Up - V4]]),"")</f>
        <v>3.1666666666666665</v>
      </c>
      <c r="BL44" s="14">
        <v>4</v>
      </c>
      <c r="BM44" s="14">
        <v>4</v>
      </c>
      <c r="BN44" s="14">
        <v>2</v>
      </c>
      <c r="BO44" s="14">
        <v>2</v>
      </c>
      <c r="BP44" s="14">
        <f>IFERROR(AVERAGE(Tabel1[[#This Row],[Up - A1a]:[Up - A1d]]),"")</f>
        <v>3</v>
      </c>
      <c r="BQ44" s="14">
        <v>4</v>
      </c>
      <c r="BR44" s="14">
        <v>3</v>
      </c>
      <c r="BS44" s="14">
        <f>IFERROR(AVERAGE(Tabel1[[#This Row],[Up - A2a]:[Up - A2b]]),"")</f>
        <v>3.5</v>
      </c>
      <c r="BT44" s="14">
        <v>3</v>
      </c>
      <c r="BU44" s="14">
        <f>IFERROR(AVERAGE(Tabel1[[#This Row],[Up - A3a]:[Up - A3a]]),"")</f>
        <v>3</v>
      </c>
      <c r="BV44" s="14">
        <v>4</v>
      </c>
      <c r="BW44" s="14">
        <f>IFERROR(AVERAGE(Tabel1[[#This Row],[Up - A1]],Tabel1[[#This Row],[Up - A2]],Tabel1[[#This Row],[Up - A3]]),"")</f>
        <v>3.1666666666666665</v>
      </c>
      <c r="BX44" s="14">
        <v>4</v>
      </c>
      <c r="BY44" s="14">
        <v>3</v>
      </c>
      <c r="BZ44" s="14">
        <f>IFERROR(AVERAGE(Tabel1[[#This Row],[In - R1a]:[In - R1b]]),"")</f>
        <v>3.5</v>
      </c>
      <c r="CA44" s="14">
        <v>3</v>
      </c>
      <c r="CB44" s="14">
        <v>2</v>
      </c>
      <c r="CC44" s="14">
        <v>4</v>
      </c>
      <c r="CD44" s="14">
        <v>4</v>
      </c>
      <c r="CE44" s="14">
        <f>IFERROR(AVERAGE(Tabel1[[#This Row],[In - R1]:[In - R5]]),"")</f>
        <v>3.3</v>
      </c>
      <c r="CF44" s="14">
        <v>3</v>
      </c>
      <c r="CG44" s="14">
        <v>3</v>
      </c>
      <c r="CH44" s="14">
        <v>3</v>
      </c>
      <c r="CI44" s="14">
        <f>IFERROR(AVERAGE(Tabel1[[#This Row],[In - C1a]:[In - C1c]]),"")</f>
        <v>3</v>
      </c>
      <c r="CJ44" s="14">
        <v>2</v>
      </c>
      <c r="CK44" s="14">
        <v>4</v>
      </c>
      <c r="CL44" s="14">
        <v>4</v>
      </c>
      <c r="CM44" s="14">
        <f>IFERROR(AVERAGE(Tabel1[[#This Row],[In - C1]:[In - C4]]),"")</f>
        <v>3.25</v>
      </c>
      <c r="CN44" s="14">
        <v>4</v>
      </c>
      <c r="CO44" s="14">
        <v>3</v>
      </c>
      <c r="CP44" s="14">
        <v>4</v>
      </c>
      <c r="CQ44" s="14">
        <f>IFERROR(AVERAGE(Tabel1[[#This Row],[In - F1a]:[In - F1c]]),"")</f>
        <v>3.6666666666666665</v>
      </c>
      <c r="CR44" s="14">
        <v>2</v>
      </c>
      <c r="CS44" s="14">
        <v>3</v>
      </c>
      <c r="CT44" s="14">
        <f>IFERROR(AVERAGE(Tabel1[[#This Row],[In - F2a]:[In - F2b]]),"")</f>
        <v>2.5</v>
      </c>
      <c r="CU44" s="14">
        <v>4</v>
      </c>
      <c r="CV44" s="14">
        <f>IFERROR(AVERAGE(Tabel1[[#This Row],[In - F3a]:[In - F3a]]),"")</f>
        <v>4</v>
      </c>
      <c r="CW44" s="14">
        <v>3</v>
      </c>
      <c r="CX44" s="14">
        <f>IFERROR(AVERAGE(Tabel1[[#This Row],[In - F1]],Tabel1[[#This Row],[In - F2]],Tabel1[[#This Row],[In - F3]],Tabel1[[#This Row],[In - F4]]),"")</f>
        <v>3.2916666666666665</v>
      </c>
      <c r="CY44" s="14">
        <v>3</v>
      </c>
      <c r="CZ44" s="14">
        <v>3</v>
      </c>
      <c r="DA44" s="14">
        <v>2</v>
      </c>
      <c r="DB44" s="14">
        <f>IFERROR(AVERAGE(Tabel1[[#This Row],[In - V1a]:[In - V1c]]),"")</f>
        <v>2.6666666666666665</v>
      </c>
      <c r="DC44" s="14">
        <v>4</v>
      </c>
      <c r="DD44" s="14">
        <v>3</v>
      </c>
      <c r="DE44" s="14">
        <v>2</v>
      </c>
      <c r="DF44" s="14">
        <f>IFERROR(AVERAGE(Tabel1[[#This Row],[In - V2a]:[In - V2c]]),"")</f>
        <v>3</v>
      </c>
      <c r="DG44" s="14">
        <v>4</v>
      </c>
      <c r="DH44" s="14">
        <v>4</v>
      </c>
      <c r="DI44" s="14">
        <f>IFERROR(AVERAGE(Tabel1[[#This Row],[In - V3a]:[In - V3b]]),"")</f>
        <v>4</v>
      </c>
      <c r="DJ44" s="14">
        <v>4</v>
      </c>
      <c r="DK44" s="14">
        <f>IFERROR(AVERAGE(Tabel1[[#This Row],[In - V1]],Tabel1[[#This Row],[In - V2]],Tabel1[[#This Row],[In - V3]],Tabel1[[#This Row],[In - V4]]),"")</f>
        <v>3.4166666666666665</v>
      </c>
      <c r="DL44" s="14">
        <v>4</v>
      </c>
      <c r="DM44" s="14">
        <v>4</v>
      </c>
      <c r="DN44" s="14">
        <f>IFERROR(AVERAGE(Tabel1[[#This Row],[In - A1a]:[In - A1b]]),"")</f>
        <v>4</v>
      </c>
      <c r="DO44" s="14">
        <v>4</v>
      </c>
      <c r="DP44" s="14">
        <v>3</v>
      </c>
      <c r="DQ44" s="14">
        <f>IFERROR(AVERAGE(Tabel1[[#This Row],[In - A2a]:[In - A2b]]),"")</f>
        <v>3.5</v>
      </c>
      <c r="DR44" s="14">
        <v>4</v>
      </c>
      <c r="DS44" s="14">
        <v>3</v>
      </c>
      <c r="DT44" s="14">
        <f>IFERROR(AVERAGE(Tabel1[[#This Row],[In - A3a]:[In - A3a]]),"")</f>
        <v>4</v>
      </c>
      <c r="DU44" s="14">
        <v>3</v>
      </c>
      <c r="DV44" s="14">
        <f>IFERROR(AVERAGE(Tabel1[[#This Row],[In - A1]],Tabel1[[#This Row],[In - A2]],Tabel1[[#This Row],[In - A3]],Tabel1[[#This Row],[In - A4]]),"")</f>
        <v>3.625</v>
      </c>
      <c r="DW44" s="14">
        <v>2</v>
      </c>
      <c r="DX44" s="14">
        <v>3</v>
      </c>
      <c r="DY44" s="14">
        <v>2</v>
      </c>
      <c r="DZ44" s="14">
        <f>IFERROR(AVERAGE(Tabel1[[#This Row],[Do - R1a]:[Do - R1c]]),"")</f>
        <v>2.3333333333333335</v>
      </c>
      <c r="EA44" s="14">
        <v>2</v>
      </c>
      <c r="EB44" s="14">
        <v>1</v>
      </c>
      <c r="EC44" s="14">
        <v>1</v>
      </c>
      <c r="ED44" s="14">
        <v>4</v>
      </c>
      <c r="EE44" s="14">
        <f>IFERROR(AVERAGE(Tabel1[[#This Row],[Do - R1]:[Do - R5]]),"")</f>
        <v>2.0666666666666669</v>
      </c>
      <c r="EF44" s="14">
        <v>4</v>
      </c>
      <c r="EG44" s="14">
        <v>4</v>
      </c>
      <c r="EH44" s="14">
        <v>4</v>
      </c>
      <c r="EI44" s="14">
        <f>IFERROR(AVERAGE(Tabel1[[#This Row],[Do - C1a]:[Do - C1c]]),"")</f>
        <v>4</v>
      </c>
      <c r="EJ44" s="14">
        <v>3</v>
      </c>
      <c r="EK44" s="14">
        <v>3</v>
      </c>
      <c r="EL44" s="14">
        <v>2</v>
      </c>
      <c r="EM44" s="14">
        <f>IFERROR(AVERAGE(Tabel1[[#This Row],[Do - C1]:[Do - C4]]),"")</f>
        <v>3</v>
      </c>
      <c r="EN44" s="14">
        <v>4</v>
      </c>
      <c r="EO44" s="14">
        <v>2</v>
      </c>
      <c r="EP44" s="14">
        <v>2</v>
      </c>
      <c r="EQ44" s="14">
        <f>IFERROR(AVERAGE(Tabel1[[#This Row],[Do - F1a]:[Do - F1c]]),"")</f>
        <v>2.6666666666666665</v>
      </c>
      <c r="ER44" s="14">
        <v>2</v>
      </c>
      <c r="ES44" s="14">
        <f>IFERROR(AVERAGE(Tabel1[[#This Row],[Do - F2a]:[Do - F2a]]),"")</f>
        <v>2</v>
      </c>
      <c r="ET44" s="14">
        <v>2</v>
      </c>
      <c r="EU44" s="14">
        <v>3</v>
      </c>
      <c r="EV44" s="14">
        <f>IFERROR(AVERAGE(Tabel1[[#This Row],[Do - F3a]:[Do - F3b]]),"")</f>
        <v>2.5</v>
      </c>
      <c r="EW44" s="14">
        <v>4</v>
      </c>
      <c r="EX44" s="14">
        <f>IFERROR(AVERAGE(Tabel1[[#This Row],[Do - F1]],Tabel1[[#This Row],[Do - F2]],Tabel1[[#This Row],[Do - F3]],Tabel1[[#This Row],[Do - F4]]),"")</f>
        <v>2.7916666666666665</v>
      </c>
      <c r="EY44" s="14">
        <v>4</v>
      </c>
      <c r="EZ44" s="14">
        <v>4</v>
      </c>
      <c r="FA44" s="14">
        <v>4</v>
      </c>
      <c r="FB44" s="14">
        <f>IFERROR(AVERAGE(Tabel1[[#This Row],[Do - V1a]:[Do - V1c]]),"")</f>
        <v>4</v>
      </c>
      <c r="FC44" s="14">
        <v>4</v>
      </c>
      <c r="FD44" s="14">
        <v>4</v>
      </c>
      <c r="FE44" s="14">
        <f>IFERROR(AVERAGE(Tabel1[[#This Row],[Do - V2a]:[Do - V2b]]),"")</f>
        <v>4</v>
      </c>
      <c r="FF44" s="14">
        <v>4</v>
      </c>
      <c r="FG44" s="14">
        <f>IFERROR(AVERAGE(Tabel1[[#This Row],[Do - V3a]:[Do - V3a]]),"")</f>
        <v>4</v>
      </c>
      <c r="FH44" s="14">
        <v>4</v>
      </c>
      <c r="FI44" s="14">
        <f>IFERROR(AVERAGE(Tabel1[[#This Row],[Do - V1]],Tabel1[[#This Row],[Do - V2]],Tabel1[[#This Row],[Do - V3]],Tabel1[[#This Row],[Do - V4]]),"")</f>
        <v>4</v>
      </c>
      <c r="FJ44" s="14">
        <v>2</v>
      </c>
      <c r="FK44" s="14">
        <v>1</v>
      </c>
      <c r="FL44" s="14">
        <v>4</v>
      </c>
      <c r="FM44" s="14">
        <f>IFERROR(AVERAGE(Tabel1[[#This Row],[Do - A1a]:[Do - A1c]]),"")</f>
        <v>2.3333333333333335</v>
      </c>
      <c r="FN44" s="14">
        <v>4</v>
      </c>
      <c r="FO44" s="14">
        <v>2</v>
      </c>
      <c r="FP44" s="14">
        <f>IFERROR(AVERAGE(Tabel1[[#This Row],[Do - A2a]:[Do - A2b]]),"")</f>
        <v>3</v>
      </c>
      <c r="FQ44" s="14">
        <v>4</v>
      </c>
      <c r="FR44" s="14">
        <f>IFERROR(AVERAGE(Tabel1[[#This Row],[Do - A3a]:[Do - A3a]]),"")</f>
        <v>4</v>
      </c>
      <c r="FS44" s="14">
        <v>4</v>
      </c>
      <c r="FT44" s="14">
        <f>IFERROR(AVERAGE(Tabel1[[#This Row],[Do - A1]],Tabel1[[#This Row],[Do - A2]],Tabel1[[#This Row],[Do - A3]],Tabel1[[#This Row],[Do - A4]]),"")</f>
        <v>3.3333333333333335</v>
      </c>
      <c r="FU4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3.2016666666666671</v>
      </c>
      <c r="FV44" s="16" t="s">
        <v>419</v>
      </c>
      <c r="FW44" t="b">
        <v>1</v>
      </c>
    </row>
    <row r="45" spans="1:179" x14ac:dyDescent="0.3">
      <c r="A45" s="13">
        <v>44914.650821759256</v>
      </c>
      <c r="B45" t="b">
        <v>0</v>
      </c>
      <c r="C45" s="14" t="s">
        <v>420</v>
      </c>
      <c r="D45" s="14" t="s">
        <v>421</v>
      </c>
      <c r="E45" s="14" t="s">
        <v>422</v>
      </c>
      <c r="F45" s="14" t="s">
        <v>184</v>
      </c>
      <c r="G45" s="3" t="s">
        <v>423</v>
      </c>
      <c r="H45" s="14" t="s">
        <v>222</v>
      </c>
      <c r="I45" s="14" t="s">
        <v>195</v>
      </c>
      <c r="J45" s="14" t="s">
        <v>261</v>
      </c>
      <c r="K45" s="17" t="s">
        <v>304</v>
      </c>
      <c r="L45" s="14" t="s">
        <v>218</v>
      </c>
      <c r="M45" s="14" t="s">
        <v>188</v>
      </c>
      <c r="N45" s="14" t="s">
        <v>199</v>
      </c>
      <c r="O45" s="14" t="s">
        <v>200</v>
      </c>
      <c r="P45" s="17" t="s">
        <v>255</v>
      </c>
      <c r="Q45" s="17" t="s">
        <v>304</v>
      </c>
      <c r="R45" s="17" t="s">
        <v>304</v>
      </c>
      <c r="S45" s="14" t="s">
        <v>201</v>
      </c>
      <c r="T45" s="14" t="s">
        <v>204</v>
      </c>
      <c r="U45" s="14" t="s">
        <v>349</v>
      </c>
      <c r="V45" s="14" t="s">
        <v>224</v>
      </c>
      <c r="W45" s="14" t="s">
        <v>207</v>
      </c>
      <c r="X45" s="14" t="s">
        <v>395</v>
      </c>
      <c r="Y45" s="14">
        <v>2</v>
      </c>
      <c r="Z45" s="14">
        <v>4</v>
      </c>
      <c r="AA45" s="14">
        <v>2</v>
      </c>
      <c r="AB45" s="15">
        <f>IFERROR(AVERAGE(Tabel1[[#This Row],[Up - R1a]:[Up - R1c]]),"")</f>
        <v>2.6666666666666665</v>
      </c>
      <c r="AC45" s="14">
        <v>2</v>
      </c>
      <c r="AD45" s="14">
        <v>2</v>
      </c>
      <c r="AE45" s="14">
        <v>1</v>
      </c>
      <c r="AF45" s="14" t="s">
        <v>189</v>
      </c>
      <c r="AG45" s="14">
        <f>IFERROR(AVERAGE(Tabel1[[#This Row],[Up - R1]:[Up - R5]]),"")</f>
        <v>1.9166666666666665</v>
      </c>
      <c r="AH45" s="14">
        <v>4</v>
      </c>
      <c r="AI45" s="14">
        <v>2</v>
      </c>
      <c r="AJ45" s="14">
        <v>2</v>
      </c>
      <c r="AK45" s="14">
        <f>IFERROR(AVERAGE(Tabel1[[#This Row],[Up - C1a]:[Up - C1c]]),"")</f>
        <v>2.6666666666666665</v>
      </c>
      <c r="AL45" s="14">
        <v>3</v>
      </c>
      <c r="AM45" s="14">
        <v>2</v>
      </c>
      <c r="AN45" s="14" t="s">
        <v>189</v>
      </c>
      <c r="AO45" s="14">
        <f>IFERROR(AVERAGE(Tabel1[[#This Row],[Up - C1]:[Up - C4]]),"")</f>
        <v>2.5555555555555554</v>
      </c>
      <c r="AP45" s="14">
        <v>4</v>
      </c>
      <c r="AQ45" s="14">
        <f>IFERROR(AVERAGE(Tabel1[[#This Row],[Up - F1a]:[Up - F1a]]),"")</f>
        <v>4</v>
      </c>
      <c r="AR45" s="14">
        <v>1</v>
      </c>
      <c r="AS45" s="14">
        <v>1</v>
      </c>
      <c r="AT45" s="14">
        <f>IFERROR(AVERAGE(Tabel1[[#This Row],[Up - F2a]:[Up - F2b]]),"")</f>
        <v>1</v>
      </c>
      <c r="AU45" s="14">
        <v>2</v>
      </c>
      <c r="AV45" s="14" t="s">
        <v>189</v>
      </c>
      <c r="AW45" s="14">
        <f>IFERROR(AVERAGE(Tabel1[[#This Row],[Up - F3a]:[Up - F3b]]),"")</f>
        <v>2</v>
      </c>
      <c r="AX45" s="14">
        <v>2</v>
      </c>
      <c r="AY45" s="14">
        <f>IFERROR(AVERAGE(Tabel1[[#This Row],[Up - F1]],Tabel1[[#This Row],[Up - F2]],Tabel1[[#This Row],[Up - F3]],Tabel1[[#This Row],[Up - F4]]),"")</f>
        <v>2.25</v>
      </c>
      <c r="AZ45" s="14">
        <v>1</v>
      </c>
      <c r="BA45" s="14">
        <v>3</v>
      </c>
      <c r="BB45" s="14">
        <f>IFERROR(AVERAGE(Tabel1[[#This Row],[Up - V1a]:[Up - V1b]]),"")</f>
        <v>2</v>
      </c>
      <c r="BC45" s="14">
        <v>1</v>
      </c>
      <c r="BD45" s="14">
        <v>1</v>
      </c>
      <c r="BE45" s="14">
        <v>3</v>
      </c>
      <c r="BF45" s="14">
        <f>IFERROR(AVERAGE(Tabel1[[#This Row],[Up - V2a]:[Up - V2c]]),"")</f>
        <v>1.6666666666666667</v>
      </c>
      <c r="BG45" s="14">
        <v>2</v>
      </c>
      <c r="BH45" s="14">
        <v>3</v>
      </c>
      <c r="BI45" s="14">
        <f>IFERROR(AVERAGE(Tabel1[[#This Row],[Up - V3a]:[Up - V3b]]),"")</f>
        <v>2.5</v>
      </c>
      <c r="BJ45" s="14">
        <v>4</v>
      </c>
      <c r="BK45" s="14">
        <f>IFERROR(AVERAGE(Tabel1[[#This Row],[Up - V1]],Tabel1[[#This Row],[Up - V2]],Tabel1[[#This Row],[Up - V3]],Tabel1[[#This Row],[Up - V4]]),"")</f>
        <v>2.541666666666667</v>
      </c>
      <c r="BL45" s="14">
        <v>3</v>
      </c>
      <c r="BM45" s="14">
        <v>2</v>
      </c>
      <c r="BN45" s="14">
        <v>5</v>
      </c>
      <c r="BO45" s="14">
        <v>4</v>
      </c>
      <c r="BP45" s="14">
        <f>IFERROR(AVERAGE(Tabel1[[#This Row],[Up - A1a]:[Up - A1d]]),"")</f>
        <v>3.5</v>
      </c>
      <c r="BQ45" s="14">
        <v>4</v>
      </c>
      <c r="BR45" s="14">
        <v>4</v>
      </c>
      <c r="BS45" s="14">
        <f>IFERROR(AVERAGE(Tabel1[[#This Row],[Up - A2a]:[Up - A2b]]),"")</f>
        <v>4</v>
      </c>
      <c r="BT45" s="14">
        <v>4</v>
      </c>
      <c r="BU45" s="14">
        <f>IFERROR(AVERAGE(Tabel1[[#This Row],[Up - A3a]:[Up - A3a]]),"")</f>
        <v>4</v>
      </c>
      <c r="BV45" s="14" t="s">
        <v>189</v>
      </c>
      <c r="BW45" s="14">
        <f>IFERROR(AVERAGE(Tabel1[[#This Row],[Up - A1]],Tabel1[[#This Row],[Up - A2]],Tabel1[[#This Row],[Up - A3]]),"")</f>
        <v>3.8333333333333335</v>
      </c>
      <c r="BX45" s="14">
        <v>2</v>
      </c>
      <c r="BY45" s="14">
        <v>4</v>
      </c>
      <c r="BZ45" s="14">
        <f>IFERROR(AVERAGE(Tabel1[[#This Row],[In - R1a]:[In - R1b]]),"")</f>
        <v>3</v>
      </c>
      <c r="CA45" s="14">
        <v>4</v>
      </c>
      <c r="CB45" s="14">
        <v>5</v>
      </c>
      <c r="CC45" s="14">
        <v>5</v>
      </c>
      <c r="CD45" s="14">
        <v>4</v>
      </c>
      <c r="CE45" s="14">
        <f>IFERROR(AVERAGE(Tabel1[[#This Row],[In - R1]:[In - R5]]),"")</f>
        <v>4.2</v>
      </c>
      <c r="CF45" s="14">
        <v>4</v>
      </c>
      <c r="CG45" s="14">
        <v>2</v>
      </c>
      <c r="CH45" s="14">
        <v>3</v>
      </c>
      <c r="CI45" s="14">
        <f>IFERROR(AVERAGE(Tabel1[[#This Row],[In - C1a]:[In - C1c]]),"")</f>
        <v>3</v>
      </c>
      <c r="CJ45" s="14">
        <v>2</v>
      </c>
      <c r="CK45" s="14">
        <v>2</v>
      </c>
      <c r="CL45" s="14">
        <v>1</v>
      </c>
      <c r="CM45" s="14">
        <f>IFERROR(AVERAGE(Tabel1[[#This Row],[In - C1]:[In - C4]]),"")</f>
        <v>2</v>
      </c>
      <c r="CN45" s="14">
        <v>4</v>
      </c>
      <c r="CO45" s="14">
        <v>4</v>
      </c>
      <c r="CP45" s="14">
        <v>3</v>
      </c>
      <c r="CQ45" s="14">
        <f>IFERROR(AVERAGE(Tabel1[[#This Row],[In - F1a]:[In - F1c]]),"")</f>
        <v>3.6666666666666665</v>
      </c>
      <c r="CR45" s="14">
        <v>2</v>
      </c>
      <c r="CS45" s="14">
        <v>1</v>
      </c>
      <c r="CT45" s="14">
        <f>IFERROR(AVERAGE(Tabel1[[#This Row],[In - F2a]:[In - F2b]]),"")</f>
        <v>1.5</v>
      </c>
      <c r="CU45" s="14">
        <v>1</v>
      </c>
      <c r="CV45" s="14">
        <f>IFERROR(AVERAGE(Tabel1[[#This Row],[In - F3a]:[In - F3a]]),"")</f>
        <v>1</v>
      </c>
      <c r="CW45" s="14">
        <v>4</v>
      </c>
      <c r="CX45" s="14">
        <f>IFERROR(AVERAGE(Tabel1[[#This Row],[In - F1]],Tabel1[[#This Row],[In - F2]],Tabel1[[#This Row],[In - F3]],Tabel1[[#This Row],[In - F4]]),"")</f>
        <v>2.5416666666666665</v>
      </c>
      <c r="CY45" s="14">
        <v>3</v>
      </c>
      <c r="CZ45" s="14">
        <v>2</v>
      </c>
      <c r="DA45" s="14">
        <v>2</v>
      </c>
      <c r="DB45" s="14">
        <f>IFERROR(AVERAGE(Tabel1[[#This Row],[In - V1a]:[In - V1c]]),"")</f>
        <v>2.3333333333333335</v>
      </c>
      <c r="DC45" s="14">
        <v>1</v>
      </c>
      <c r="DD45" s="14">
        <v>3</v>
      </c>
      <c r="DE45" s="14">
        <v>1</v>
      </c>
      <c r="DF45" s="14">
        <f>IFERROR(AVERAGE(Tabel1[[#This Row],[In - V2a]:[In - V2c]]),"")</f>
        <v>1.6666666666666667</v>
      </c>
      <c r="DG45" s="14">
        <v>2</v>
      </c>
      <c r="DH45" s="14">
        <v>2</v>
      </c>
      <c r="DI45" s="14">
        <f>IFERROR(AVERAGE(Tabel1[[#This Row],[In - V3a]:[In - V3b]]),"")</f>
        <v>2</v>
      </c>
      <c r="DJ45" s="14" t="s">
        <v>189</v>
      </c>
      <c r="DK45" s="14">
        <f>IFERROR(AVERAGE(Tabel1[[#This Row],[In - V1]],Tabel1[[#This Row],[In - V2]],Tabel1[[#This Row],[In - V3]],Tabel1[[#This Row],[In - V4]]),"")</f>
        <v>2</v>
      </c>
      <c r="DL45" s="14">
        <v>4</v>
      </c>
      <c r="DM45" s="14">
        <v>3</v>
      </c>
      <c r="DN45" s="14">
        <f>IFERROR(AVERAGE(Tabel1[[#This Row],[In - A1a]:[In - A1b]]),"")</f>
        <v>3.5</v>
      </c>
      <c r="DO45" s="14">
        <v>2</v>
      </c>
      <c r="DP45" s="14">
        <v>4</v>
      </c>
      <c r="DQ45" s="14">
        <f>IFERROR(AVERAGE(Tabel1[[#This Row],[In - A2a]:[In - A2b]]),"")</f>
        <v>3</v>
      </c>
      <c r="DR45" s="14">
        <v>4</v>
      </c>
      <c r="DS45" s="14">
        <v>3</v>
      </c>
      <c r="DT45" s="14">
        <f>IFERROR(AVERAGE(Tabel1[[#This Row],[In - A3a]:[In - A3a]]),"")</f>
        <v>4</v>
      </c>
      <c r="DU45" s="14" t="s">
        <v>189</v>
      </c>
      <c r="DV45" s="14">
        <f>IFERROR(AVERAGE(Tabel1[[#This Row],[In - A1]],Tabel1[[#This Row],[In - A2]],Tabel1[[#This Row],[In - A3]],Tabel1[[#This Row],[In - A4]]),"")</f>
        <v>3.5</v>
      </c>
      <c r="DW45" s="14">
        <v>3</v>
      </c>
      <c r="DX45" s="14">
        <v>2</v>
      </c>
      <c r="DY45" s="14">
        <v>1</v>
      </c>
      <c r="DZ45" s="14">
        <f>IFERROR(AVERAGE(Tabel1[[#This Row],[Do - R1a]:[Do - R1c]]),"")</f>
        <v>2</v>
      </c>
      <c r="EA45" s="14">
        <v>1</v>
      </c>
      <c r="EB45" s="14">
        <v>1</v>
      </c>
      <c r="EC45" s="14">
        <v>1</v>
      </c>
      <c r="ED45" s="14">
        <v>4</v>
      </c>
      <c r="EE45" s="14">
        <f>IFERROR(AVERAGE(Tabel1[[#This Row],[Do - R1]:[Do - R5]]),"")</f>
        <v>1.8</v>
      </c>
      <c r="EF45" s="14">
        <v>3</v>
      </c>
      <c r="EG45" s="14">
        <v>3</v>
      </c>
      <c r="EH45" s="14">
        <v>2</v>
      </c>
      <c r="EI45" s="14">
        <f>IFERROR(AVERAGE(Tabel1[[#This Row],[Do - C1a]:[Do - C1c]]),"")</f>
        <v>2.6666666666666665</v>
      </c>
      <c r="EJ45" s="14">
        <v>2</v>
      </c>
      <c r="EK45" s="14">
        <v>2</v>
      </c>
      <c r="EL45" s="14" t="s">
        <v>189</v>
      </c>
      <c r="EM45" s="14">
        <f>IFERROR(AVERAGE(Tabel1[[#This Row],[Do - C1]:[Do - C4]]),"")</f>
        <v>2.2222222222222219</v>
      </c>
      <c r="EN45" s="14">
        <v>4</v>
      </c>
      <c r="EO45" s="14">
        <v>2</v>
      </c>
      <c r="EP45" s="14">
        <v>2</v>
      </c>
      <c r="EQ45" s="14">
        <f>IFERROR(AVERAGE(Tabel1[[#This Row],[Do - F1a]:[Do - F1c]]),"")</f>
        <v>2.6666666666666665</v>
      </c>
      <c r="ER45" s="14">
        <v>1</v>
      </c>
      <c r="ES45" s="14">
        <f>IFERROR(AVERAGE(Tabel1[[#This Row],[Do - F2a]:[Do - F2a]]),"")</f>
        <v>1</v>
      </c>
      <c r="ET45" s="14">
        <v>2</v>
      </c>
      <c r="EU45" s="14">
        <v>2</v>
      </c>
      <c r="EV45" s="14">
        <f>IFERROR(AVERAGE(Tabel1[[#This Row],[Do - F3a]:[Do - F3b]]),"")</f>
        <v>2</v>
      </c>
      <c r="EW45" s="14" t="s">
        <v>189</v>
      </c>
      <c r="EX45" s="14">
        <f>IFERROR(AVERAGE(Tabel1[[#This Row],[Do - F1]],Tabel1[[#This Row],[Do - F2]],Tabel1[[#This Row],[Do - F3]],Tabel1[[#This Row],[Do - F4]]),"")</f>
        <v>1.8888888888888886</v>
      </c>
      <c r="EY45" s="14">
        <v>4</v>
      </c>
      <c r="EZ45" s="14">
        <v>3</v>
      </c>
      <c r="FA45" s="14">
        <v>3</v>
      </c>
      <c r="FB45" s="14">
        <f>IFERROR(AVERAGE(Tabel1[[#This Row],[Do - V1a]:[Do - V1c]]),"")</f>
        <v>3.3333333333333335</v>
      </c>
      <c r="FC45" s="14">
        <v>1</v>
      </c>
      <c r="FD45" s="14">
        <v>1</v>
      </c>
      <c r="FE45" s="14">
        <f>IFERROR(AVERAGE(Tabel1[[#This Row],[Do - V2a]:[Do - V2b]]),"")</f>
        <v>1</v>
      </c>
      <c r="FF45" s="14">
        <v>2</v>
      </c>
      <c r="FG45" s="14">
        <f>IFERROR(AVERAGE(Tabel1[[#This Row],[Do - V3a]:[Do - V3a]]),"")</f>
        <v>2</v>
      </c>
      <c r="FH45" s="14" t="s">
        <v>189</v>
      </c>
      <c r="FI45" s="14">
        <f>IFERROR(AVERAGE(Tabel1[[#This Row],[Do - V1]],Tabel1[[#This Row],[Do - V2]],Tabel1[[#This Row],[Do - V3]],Tabel1[[#This Row],[Do - V4]]),"")</f>
        <v>2.1111111111111112</v>
      </c>
      <c r="FJ45" s="14">
        <v>3</v>
      </c>
      <c r="FK45" s="14">
        <v>4</v>
      </c>
      <c r="FL45" s="14">
        <v>5</v>
      </c>
      <c r="FM45" s="14">
        <f>IFERROR(AVERAGE(Tabel1[[#This Row],[Do - A1a]:[Do - A1c]]),"")</f>
        <v>4</v>
      </c>
      <c r="FN45" s="14">
        <v>4</v>
      </c>
      <c r="FO45" s="14">
        <v>3</v>
      </c>
      <c r="FP45" s="14">
        <f>IFERROR(AVERAGE(Tabel1[[#This Row],[Do - A2a]:[Do - A2b]]),"")</f>
        <v>3.5</v>
      </c>
      <c r="FQ45" s="14">
        <v>4</v>
      </c>
      <c r="FR45" s="14">
        <f>IFERROR(AVERAGE(Tabel1[[#This Row],[Do - A3a]:[Do - A3a]]),"")</f>
        <v>4</v>
      </c>
      <c r="FS45" s="14" t="s">
        <v>189</v>
      </c>
      <c r="FT45" s="14">
        <f>IFERROR(AVERAGE(Tabel1[[#This Row],[Do - A1]],Tabel1[[#This Row],[Do - A2]],Tabel1[[#This Row],[Do - A3]],Tabel1[[#This Row],[Do - A4]]),"")</f>
        <v>3.8333333333333335</v>
      </c>
      <c r="FU4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2.6129629629629632</v>
      </c>
      <c r="FV45" s="16" t="s">
        <v>424</v>
      </c>
      <c r="FW45" t="b">
        <v>1</v>
      </c>
    </row>
    <row r="46" spans="1:179" x14ac:dyDescent="0.3">
      <c r="A46" s="13">
        <v>44918.538437499999</v>
      </c>
      <c r="B46" t="b">
        <v>0</v>
      </c>
      <c r="C46" s="14" t="s">
        <v>425</v>
      </c>
      <c r="D46" s="14" t="s">
        <v>426</v>
      </c>
      <c r="E46" s="14" t="s">
        <v>427</v>
      </c>
      <c r="F46" s="14" t="s">
        <v>184</v>
      </c>
      <c r="G46" s="14" t="s">
        <v>428</v>
      </c>
      <c r="H46" s="14" t="s">
        <v>222</v>
      </c>
      <c r="I46" s="14" t="s">
        <v>195</v>
      </c>
      <c r="J46" s="14" t="s">
        <v>268</v>
      </c>
      <c r="K46" s="14" t="s">
        <v>201</v>
      </c>
      <c r="L46" s="14" t="s">
        <v>249</v>
      </c>
      <c r="M46" s="14" t="s">
        <v>198</v>
      </c>
      <c r="N46" s="14" t="s">
        <v>199</v>
      </c>
      <c r="O46" s="14" t="s">
        <v>200</v>
      </c>
      <c r="P46" s="17" t="s">
        <v>255</v>
      </c>
      <c r="Q46" s="14" t="s">
        <v>203</v>
      </c>
      <c r="R46" s="17" t="s">
        <v>304</v>
      </c>
      <c r="S46" s="17" t="s">
        <v>304</v>
      </c>
      <c r="T46" s="14" t="s">
        <v>236</v>
      </c>
      <c r="U46" s="14" t="s">
        <v>285</v>
      </c>
      <c r="V46" s="14" t="s">
        <v>224</v>
      </c>
      <c r="W46" s="14" t="s">
        <v>395</v>
      </c>
      <c r="X46" s="14" t="s">
        <v>207</v>
      </c>
      <c r="Y46" s="14">
        <v>3</v>
      </c>
      <c r="Z46" s="14">
        <v>3</v>
      </c>
      <c r="AA46" s="14" t="s">
        <v>189</v>
      </c>
      <c r="AB46" s="15">
        <f>IFERROR(AVERAGE(Tabel1[[#This Row],[Up - R1a]:[Up - R1c]]),"")</f>
        <v>3</v>
      </c>
      <c r="AC46" s="14">
        <v>3</v>
      </c>
      <c r="AD46" s="14">
        <v>2</v>
      </c>
      <c r="AE46" s="14" t="s">
        <v>189</v>
      </c>
      <c r="AF46" s="14">
        <v>4</v>
      </c>
      <c r="AG46" s="14">
        <f>IFERROR(AVERAGE(Tabel1[[#This Row],[Up - R1]:[Up - R5]]),"")</f>
        <v>3</v>
      </c>
      <c r="AH46" s="14">
        <v>3</v>
      </c>
      <c r="AI46" s="14">
        <v>2</v>
      </c>
      <c r="AJ46" s="14">
        <v>2</v>
      </c>
      <c r="AK46" s="14">
        <f>IFERROR(AVERAGE(Tabel1[[#This Row],[Up - C1a]:[Up - C1c]]),"")</f>
        <v>2.3333333333333335</v>
      </c>
      <c r="AL46" s="14">
        <v>2</v>
      </c>
      <c r="AM46" s="14">
        <v>3</v>
      </c>
      <c r="AN46" s="14" t="s">
        <v>189</v>
      </c>
      <c r="AO46" s="14">
        <f>IFERROR(AVERAGE(Tabel1[[#This Row],[Up - C1]:[Up - C4]]),"")</f>
        <v>2.4444444444444446</v>
      </c>
      <c r="AP46" s="14">
        <v>2</v>
      </c>
      <c r="AQ46" s="14">
        <f>IFERROR(AVERAGE(Tabel1[[#This Row],[Up - F1a]:[Up - F1a]]),"")</f>
        <v>2</v>
      </c>
      <c r="AR46" s="14">
        <v>3</v>
      </c>
      <c r="AS46" s="14" t="s">
        <v>189</v>
      </c>
      <c r="AT46" s="14">
        <f>IFERROR(AVERAGE(Tabel1[[#This Row],[Up - F2a]:[Up - F2b]]),"")</f>
        <v>3</v>
      </c>
      <c r="AU46" s="14">
        <v>4</v>
      </c>
      <c r="AV46" s="14" t="s">
        <v>189</v>
      </c>
      <c r="AW46" s="14">
        <f>IFERROR(AVERAGE(Tabel1[[#This Row],[Up - F3a]:[Up - F3b]]),"")</f>
        <v>4</v>
      </c>
      <c r="AX46" s="14" t="s">
        <v>189</v>
      </c>
      <c r="AY46" s="14">
        <f>IFERROR(AVERAGE(Tabel1[[#This Row],[Up - F1]],Tabel1[[#This Row],[Up - F2]],Tabel1[[#This Row],[Up - F3]],Tabel1[[#This Row],[Up - F4]]),"")</f>
        <v>3</v>
      </c>
      <c r="AZ46" s="14" t="s">
        <v>189</v>
      </c>
      <c r="BA46" s="14">
        <v>4</v>
      </c>
      <c r="BB46" s="14">
        <f>IFERROR(AVERAGE(Tabel1[[#This Row],[Up - V1a]:[Up - V1b]]),"")</f>
        <v>4</v>
      </c>
      <c r="BC46" s="14">
        <v>2</v>
      </c>
      <c r="BD46" s="14">
        <v>2</v>
      </c>
      <c r="BE46" s="14">
        <v>3</v>
      </c>
      <c r="BF46" s="14">
        <f>IFERROR(AVERAGE(Tabel1[[#This Row],[Up - V2a]:[Up - V2c]]),"")</f>
        <v>2.3333333333333335</v>
      </c>
      <c r="BG46" s="14">
        <v>2</v>
      </c>
      <c r="BH46" s="14" t="s">
        <v>189</v>
      </c>
      <c r="BI46" s="14">
        <f>IFERROR(AVERAGE(Tabel1[[#This Row],[Up - V3a]:[Up - V3b]]),"")</f>
        <v>2</v>
      </c>
      <c r="BJ46" s="14" t="s">
        <v>189</v>
      </c>
      <c r="BK46" s="14">
        <f>IFERROR(AVERAGE(Tabel1[[#This Row],[Up - V1]],Tabel1[[#This Row],[Up - V2]],Tabel1[[#This Row],[Up - V3]],Tabel1[[#This Row],[Up - V4]]),"")</f>
        <v>2.7777777777777781</v>
      </c>
      <c r="BL46" s="14">
        <v>3</v>
      </c>
      <c r="BM46" s="14">
        <v>4</v>
      </c>
      <c r="BN46" s="14">
        <v>4</v>
      </c>
      <c r="BO46" s="14">
        <v>4</v>
      </c>
      <c r="BP46" s="14">
        <f>IFERROR(AVERAGE(Tabel1[[#This Row],[Up - A1a]:[Up - A1d]]),"")</f>
        <v>3.75</v>
      </c>
      <c r="BQ46" s="14" t="s">
        <v>189</v>
      </c>
      <c r="BR46" s="14">
        <v>4</v>
      </c>
      <c r="BS46" s="14">
        <f>IFERROR(AVERAGE(Tabel1[[#This Row],[Up - A2a]:[Up - A2b]]),"")</f>
        <v>4</v>
      </c>
      <c r="BT46" s="14">
        <v>4</v>
      </c>
      <c r="BU46" s="14">
        <f>IFERROR(AVERAGE(Tabel1[[#This Row],[Up - A3a]:[Up - A3a]]),"")</f>
        <v>4</v>
      </c>
      <c r="BV46" s="14" t="s">
        <v>189</v>
      </c>
      <c r="BW46" s="14">
        <f>IFERROR(AVERAGE(Tabel1[[#This Row],[Up - A1]],Tabel1[[#This Row],[Up - A2]],Tabel1[[#This Row],[Up - A3]]),"")</f>
        <v>3.9166666666666665</v>
      </c>
      <c r="BX46" s="14">
        <v>2</v>
      </c>
      <c r="BY46" s="14">
        <v>1</v>
      </c>
      <c r="BZ46" s="14">
        <f>IFERROR(AVERAGE(Tabel1[[#This Row],[In - R1a]:[In - R1b]]),"")</f>
        <v>1.5</v>
      </c>
      <c r="CA46" s="14">
        <v>2</v>
      </c>
      <c r="CB46" s="14">
        <v>5</v>
      </c>
      <c r="CC46" s="14">
        <v>2</v>
      </c>
      <c r="CD46" s="14">
        <v>5</v>
      </c>
      <c r="CE46" s="14">
        <f>IFERROR(AVERAGE(Tabel1[[#This Row],[In - R1]:[In - R5]]),"")</f>
        <v>3.1</v>
      </c>
      <c r="CF46" s="14">
        <v>2</v>
      </c>
      <c r="CG46" s="14">
        <v>2</v>
      </c>
      <c r="CH46" s="14">
        <v>3</v>
      </c>
      <c r="CI46" s="14">
        <f>IFERROR(AVERAGE(Tabel1[[#This Row],[In - C1a]:[In - C1c]]),"")</f>
        <v>2.3333333333333335</v>
      </c>
      <c r="CJ46" s="14">
        <v>3</v>
      </c>
      <c r="CK46" s="14">
        <v>3</v>
      </c>
      <c r="CL46" s="14" t="s">
        <v>189</v>
      </c>
      <c r="CM46" s="14">
        <f>IFERROR(AVERAGE(Tabel1[[#This Row],[In - C1]:[In - C4]]),"")</f>
        <v>2.7777777777777781</v>
      </c>
      <c r="CN46" s="14">
        <v>3</v>
      </c>
      <c r="CO46" s="14">
        <v>2</v>
      </c>
      <c r="CP46" s="14">
        <v>3</v>
      </c>
      <c r="CQ46" s="14">
        <f>IFERROR(AVERAGE(Tabel1[[#This Row],[In - F1a]:[In - F1c]]),"")</f>
        <v>2.6666666666666665</v>
      </c>
      <c r="CR46" s="14">
        <v>3</v>
      </c>
      <c r="CS46" s="14">
        <v>4</v>
      </c>
      <c r="CT46" s="14">
        <f>IFERROR(AVERAGE(Tabel1[[#This Row],[In - F2a]:[In - F2b]]),"")</f>
        <v>3.5</v>
      </c>
      <c r="CU46" s="14">
        <v>3</v>
      </c>
      <c r="CV46" s="14">
        <f>IFERROR(AVERAGE(Tabel1[[#This Row],[In - F3a]:[In - F3a]]),"")</f>
        <v>3</v>
      </c>
      <c r="CW46" s="14" t="s">
        <v>189</v>
      </c>
      <c r="CX46" s="14">
        <f>IFERROR(AVERAGE(Tabel1[[#This Row],[In - F1]],Tabel1[[#This Row],[In - F2]],Tabel1[[#This Row],[In - F3]],Tabel1[[#This Row],[In - F4]]),"")</f>
        <v>3.0555555555555554</v>
      </c>
      <c r="CY46" s="14">
        <v>3</v>
      </c>
      <c r="CZ46" s="14">
        <v>2</v>
      </c>
      <c r="DA46" s="14">
        <v>2</v>
      </c>
      <c r="DB46" s="14">
        <f>IFERROR(AVERAGE(Tabel1[[#This Row],[In - V1a]:[In - V1c]]),"")</f>
        <v>2.3333333333333335</v>
      </c>
      <c r="DC46" s="14">
        <v>3</v>
      </c>
      <c r="DD46" s="14">
        <v>3</v>
      </c>
      <c r="DE46" s="14">
        <v>2</v>
      </c>
      <c r="DF46" s="14">
        <f>IFERROR(AVERAGE(Tabel1[[#This Row],[In - V2a]:[In - V2c]]),"")</f>
        <v>2.6666666666666665</v>
      </c>
      <c r="DG46" s="14">
        <v>2</v>
      </c>
      <c r="DH46" s="14" t="s">
        <v>189</v>
      </c>
      <c r="DI46" s="14">
        <f>IFERROR(AVERAGE(Tabel1[[#This Row],[In - V3a]:[In - V3b]]),"")</f>
        <v>2</v>
      </c>
      <c r="DJ46" s="14">
        <v>3</v>
      </c>
      <c r="DK46" s="14">
        <f>IFERROR(AVERAGE(Tabel1[[#This Row],[In - V1]],Tabel1[[#This Row],[In - V2]],Tabel1[[#This Row],[In - V3]],Tabel1[[#This Row],[In - V4]]),"")</f>
        <v>2.5</v>
      </c>
      <c r="DL46" s="14">
        <v>3</v>
      </c>
      <c r="DM46" s="14">
        <v>3</v>
      </c>
      <c r="DN46" s="14">
        <f>IFERROR(AVERAGE(Tabel1[[#This Row],[In - A1a]:[In - A1b]]),"")</f>
        <v>3</v>
      </c>
      <c r="DO46" s="14">
        <v>4</v>
      </c>
      <c r="DP46" s="14">
        <v>3</v>
      </c>
      <c r="DQ46" s="14">
        <f>IFERROR(AVERAGE(Tabel1[[#This Row],[In - A2a]:[In - A2b]]),"")</f>
        <v>3.5</v>
      </c>
      <c r="DR46" s="14" t="s">
        <v>189</v>
      </c>
      <c r="DS46" s="14">
        <v>4</v>
      </c>
      <c r="DT46" s="14" t="str">
        <f>IFERROR(AVERAGE(Tabel1[[#This Row],[In - A3a]:[In - A3a]]),"")</f>
        <v/>
      </c>
      <c r="DU46" s="14" t="s">
        <v>189</v>
      </c>
      <c r="DV46" s="14">
        <f>IFERROR(AVERAGE(Tabel1[[#This Row],[In - A1]],Tabel1[[#This Row],[In - A2]],Tabel1[[#This Row],[In - A3]],Tabel1[[#This Row],[In - A4]]),"")</f>
        <v>3.25</v>
      </c>
      <c r="DW46" s="14">
        <v>1</v>
      </c>
      <c r="DX46" s="14">
        <v>5</v>
      </c>
      <c r="DY46" s="14">
        <v>3</v>
      </c>
      <c r="DZ46" s="14">
        <f>IFERROR(AVERAGE(Tabel1[[#This Row],[Do - R1a]:[Do - R1c]]),"")</f>
        <v>3</v>
      </c>
      <c r="EA46" s="14">
        <v>2</v>
      </c>
      <c r="EB46" s="14">
        <v>3</v>
      </c>
      <c r="EC46" s="14" t="s">
        <v>189</v>
      </c>
      <c r="ED46" s="14">
        <v>5</v>
      </c>
      <c r="EE46" s="14">
        <f>IFERROR(AVERAGE(Tabel1[[#This Row],[Do - R1]:[Do - R5]]),"")</f>
        <v>3.25</v>
      </c>
      <c r="EF46" s="14">
        <v>4</v>
      </c>
      <c r="EG46" s="14">
        <v>3</v>
      </c>
      <c r="EH46" s="14">
        <v>2</v>
      </c>
      <c r="EI46" s="14">
        <f>IFERROR(AVERAGE(Tabel1[[#This Row],[Do - C1a]:[Do - C1c]]),"")</f>
        <v>3</v>
      </c>
      <c r="EJ46" s="14">
        <v>3</v>
      </c>
      <c r="EK46" s="14">
        <v>3</v>
      </c>
      <c r="EL46" s="14" t="s">
        <v>189</v>
      </c>
      <c r="EM46" s="14">
        <f>IFERROR(AVERAGE(Tabel1[[#This Row],[Do - C1]:[Do - C4]]),"")</f>
        <v>3</v>
      </c>
      <c r="EN46" s="14">
        <v>4</v>
      </c>
      <c r="EO46" s="14">
        <v>1</v>
      </c>
      <c r="EP46" s="14">
        <v>5</v>
      </c>
      <c r="EQ46" s="14">
        <f>IFERROR(AVERAGE(Tabel1[[#This Row],[Do - F1a]:[Do - F1c]]),"")</f>
        <v>3.3333333333333335</v>
      </c>
      <c r="ER46" s="14">
        <v>1</v>
      </c>
      <c r="ES46" s="14">
        <f>IFERROR(AVERAGE(Tabel1[[#This Row],[Do - F2a]:[Do - F2a]]),"")</f>
        <v>1</v>
      </c>
      <c r="ET46" s="14" t="s">
        <v>189</v>
      </c>
      <c r="EU46" s="14">
        <v>3</v>
      </c>
      <c r="EV46" s="14">
        <f>IFERROR(AVERAGE(Tabel1[[#This Row],[Do - F3a]:[Do - F3b]]),"")</f>
        <v>3</v>
      </c>
      <c r="EW46" s="14" t="s">
        <v>189</v>
      </c>
      <c r="EX46" s="14">
        <f>IFERROR(AVERAGE(Tabel1[[#This Row],[Do - F1]],Tabel1[[#This Row],[Do - F2]],Tabel1[[#This Row],[Do - F3]],Tabel1[[#This Row],[Do - F4]]),"")</f>
        <v>2.4444444444444446</v>
      </c>
      <c r="EY46" s="14">
        <v>4</v>
      </c>
      <c r="EZ46" s="14">
        <v>2</v>
      </c>
      <c r="FA46" s="14">
        <v>4</v>
      </c>
      <c r="FB46" s="14">
        <f>IFERROR(AVERAGE(Tabel1[[#This Row],[Do - V1a]:[Do - V1c]]),"")</f>
        <v>3.3333333333333335</v>
      </c>
      <c r="FC46" s="14" t="s">
        <v>189</v>
      </c>
      <c r="FD46" s="14" t="s">
        <v>189</v>
      </c>
      <c r="FE46" s="14" t="str">
        <f>IFERROR(AVERAGE(Tabel1[[#This Row],[Do - V2a]:[Do - V2b]]),"")</f>
        <v/>
      </c>
      <c r="FF46" s="14">
        <v>4</v>
      </c>
      <c r="FG46" s="14">
        <f>IFERROR(AVERAGE(Tabel1[[#This Row],[Do - V3a]:[Do - V3a]]),"")</f>
        <v>4</v>
      </c>
      <c r="FH46" s="14">
        <v>4</v>
      </c>
      <c r="FI46" s="14">
        <f>IFERROR(AVERAGE(Tabel1[[#This Row],[Do - V1]],Tabel1[[#This Row],[Do - V2]],Tabel1[[#This Row],[Do - V3]],Tabel1[[#This Row],[Do - V4]]),"")</f>
        <v>3.7777777777777781</v>
      </c>
      <c r="FJ46" s="14">
        <v>3</v>
      </c>
      <c r="FK46" s="14">
        <v>2</v>
      </c>
      <c r="FL46" s="14">
        <v>4</v>
      </c>
      <c r="FM46" s="14">
        <f>IFERROR(AVERAGE(Tabel1[[#This Row],[Do - A1a]:[Do - A1c]]),"")</f>
        <v>3</v>
      </c>
      <c r="FN46" s="14" t="s">
        <v>189</v>
      </c>
      <c r="FO46" s="14" t="s">
        <v>189</v>
      </c>
      <c r="FP46" s="14" t="str">
        <f>IFERROR(AVERAGE(Tabel1[[#This Row],[Do - A2a]:[Do - A2b]]),"")</f>
        <v/>
      </c>
      <c r="FQ46" s="14">
        <v>4</v>
      </c>
      <c r="FR46" s="14">
        <f>IFERROR(AVERAGE(Tabel1[[#This Row],[Do - A3a]:[Do - A3a]]),"")</f>
        <v>4</v>
      </c>
      <c r="FS46" s="14" t="s">
        <v>189</v>
      </c>
      <c r="FT46" s="14">
        <f>IFERROR(AVERAGE(Tabel1[[#This Row],[Do - A1]],Tabel1[[#This Row],[Do - A2]],Tabel1[[#This Row],[Do - A3]],Tabel1[[#This Row],[Do - A4]]),"")</f>
        <v>3.5</v>
      </c>
      <c r="FU4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3.0529629629629631</v>
      </c>
      <c r="FV46" s="16" t="s">
        <v>429</v>
      </c>
      <c r="FW46" t="b">
        <v>1</v>
      </c>
    </row>
    <row r="47" spans="1:179" x14ac:dyDescent="0.3">
      <c r="A47" s="13">
        <v>44918.652280092596</v>
      </c>
      <c r="B47" t="b">
        <v>0</v>
      </c>
      <c r="C47" s="14" t="s">
        <v>430</v>
      </c>
      <c r="D47" s="14" t="s">
        <v>431</v>
      </c>
      <c r="E47" s="14" t="s">
        <v>432</v>
      </c>
      <c r="F47" s="14" t="s">
        <v>184</v>
      </c>
      <c r="G47" s="14" t="s">
        <v>433</v>
      </c>
      <c r="H47" s="14" t="s">
        <v>222</v>
      </c>
      <c r="I47" s="14" t="s">
        <v>195</v>
      </c>
      <c r="J47" s="14" t="s">
        <v>261</v>
      </c>
      <c r="K47" s="17" t="s">
        <v>304</v>
      </c>
      <c r="L47" s="14" t="s">
        <v>249</v>
      </c>
      <c r="M47" s="14" t="s">
        <v>188</v>
      </c>
      <c r="N47" s="14" t="s">
        <v>199</v>
      </c>
      <c r="O47" s="14" t="s">
        <v>200</v>
      </c>
      <c r="P47" s="17" t="s">
        <v>255</v>
      </c>
      <c r="Q47" s="14" t="s">
        <v>201</v>
      </c>
      <c r="R47" s="14" t="s">
        <v>202</v>
      </c>
      <c r="S47" s="14" t="s">
        <v>201</v>
      </c>
      <c r="T47" s="14" t="s">
        <v>236</v>
      </c>
      <c r="U47" s="14" t="s">
        <v>285</v>
      </c>
      <c r="V47" s="14" t="s">
        <v>224</v>
      </c>
      <c r="W47" s="14" t="s">
        <v>207</v>
      </c>
      <c r="X47" s="14" t="s">
        <v>207</v>
      </c>
      <c r="Y47" s="14">
        <v>3</v>
      </c>
      <c r="Z47" s="14">
        <v>3</v>
      </c>
      <c r="AA47" s="14" t="s">
        <v>189</v>
      </c>
      <c r="AB47" s="15">
        <f>IFERROR(AVERAGE(Tabel1[[#This Row],[Up - R1a]:[Up - R1c]]),"")</f>
        <v>3</v>
      </c>
      <c r="AC47" s="14">
        <v>4</v>
      </c>
      <c r="AD47" s="14">
        <v>4</v>
      </c>
      <c r="AE47" s="14">
        <v>1</v>
      </c>
      <c r="AF47" s="14">
        <v>1</v>
      </c>
      <c r="AG47" s="14">
        <f>IFERROR(AVERAGE(Tabel1[[#This Row],[Up - R1]:[Up - R5]]),"")</f>
        <v>2.6</v>
      </c>
      <c r="AH47" s="14">
        <v>4</v>
      </c>
      <c r="AI47" s="14">
        <v>3</v>
      </c>
      <c r="AJ47" s="14">
        <v>3</v>
      </c>
      <c r="AK47" s="14">
        <f>IFERROR(AVERAGE(Tabel1[[#This Row],[Up - C1a]:[Up - C1c]]),"")</f>
        <v>3.3333333333333335</v>
      </c>
      <c r="AL47" s="14">
        <v>3</v>
      </c>
      <c r="AM47" s="14">
        <v>2</v>
      </c>
      <c r="AN47" s="14">
        <v>2</v>
      </c>
      <c r="AO47" s="14">
        <f>IFERROR(AVERAGE(Tabel1[[#This Row],[Up - C1]:[Up - C4]]),"")</f>
        <v>2.5833333333333335</v>
      </c>
      <c r="AP47" s="14">
        <v>2</v>
      </c>
      <c r="AQ47" s="14">
        <f>IFERROR(AVERAGE(Tabel1[[#This Row],[Up - F1a]:[Up - F1a]]),"")</f>
        <v>2</v>
      </c>
      <c r="AR47" s="14">
        <v>2</v>
      </c>
      <c r="AS47" s="14">
        <v>4</v>
      </c>
      <c r="AT47" s="14">
        <f>IFERROR(AVERAGE(Tabel1[[#This Row],[Up - F2a]:[Up - F2b]]),"")</f>
        <v>3</v>
      </c>
      <c r="AU47" s="14">
        <v>4</v>
      </c>
      <c r="AV47" s="14">
        <v>2</v>
      </c>
      <c r="AW47" s="14">
        <f>IFERROR(AVERAGE(Tabel1[[#This Row],[Up - F3a]:[Up - F3b]]),"")</f>
        <v>3</v>
      </c>
      <c r="AX47" s="14">
        <v>2</v>
      </c>
      <c r="AY47" s="14">
        <f>IFERROR(AVERAGE(Tabel1[[#This Row],[Up - F1]],Tabel1[[#This Row],[Up - F2]],Tabel1[[#This Row],[Up - F3]],Tabel1[[#This Row],[Up - F4]]),"")</f>
        <v>2.5</v>
      </c>
      <c r="AZ47" s="14">
        <v>3</v>
      </c>
      <c r="BA47" s="14">
        <v>1</v>
      </c>
      <c r="BB47" s="14">
        <f>IFERROR(AVERAGE(Tabel1[[#This Row],[Up - V1a]:[Up - V1b]]),"")</f>
        <v>2</v>
      </c>
      <c r="BC47" s="14">
        <v>4</v>
      </c>
      <c r="BD47" s="14">
        <v>4</v>
      </c>
      <c r="BE47" s="14">
        <v>3</v>
      </c>
      <c r="BF47" s="14">
        <f>IFERROR(AVERAGE(Tabel1[[#This Row],[Up - V2a]:[Up - V2c]]),"")</f>
        <v>3.6666666666666665</v>
      </c>
      <c r="BG47" s="14">
        <v>3</v>
      </c>
      <c r="BH47" s="14">
        <v>3</v>
      </c>
      <c r="BI47" s="14">
        <f>IFERROR(AVERAGE(Tabel1[[#This Row],[Up - V3a]:[Up - V3b]]),"")</f>
        <v>3</v>
      </c>
      <c r="BJ47" s="14">
        <v>4</v>
      </c>
      <c r="BK47" s="14">
        <f>IFERROR(AVERAGE(Tabel1[[#This Row],[Up - V1]],Tabel1[[#This Row],[Up - V2]],Tabel1[[#This Row],[Up - V3]],Tabel1[[#This Row],[Up - V4]]),"")</f>
        <v>3.1666666666666665</v>
      </c>
      <c r="BL47" s="14">
        <v>4</v>
      </c>
      <c r="BM47" s="14">
        <v>3</v>
      </c>
      <c r="BN47" s="14">
        <v>4</v>
      </c>
      <c r="BO47" s="14">
        <v>4</v>
      </c>
      <c r="BP47" s="14">
        <f>IFERROR(AVERAGE(Tabel1[[#This Row],[Up - A1a]:[Up - A1d]]),"")</f>
        <v>3.75</v>
      </c>
      <c r="BQ47" s="14">
        <v>4</v>
      </c>
      <c r="BR47" s="14">
        <v>4</v>
      </c>
      <c r="BS47" s="14">
        <f>IFERROR(AVERAGE(Tabel1[[#This Row],[Up - A2a]:[Up - A2b]]),"")</f>
        <v>4</v>
      </c>
      <c r="BT47" s="14">
        <v>3</v>
      </c>
      <c r="BU47" s="14">
        <f>IFERROR(AVERAGE(Tabel1[[#This Row],[Up - A3a]:[Up - A3a]]),"")</f>
        <v>3</v>
      </c>
      <c r="BV47" s="14">
        <v>4</v>
      </c>
      <c r="BW47" s="14">
        <f>IFERROR(AVERAGE(Tabel1[[#This Row],[Up - A1]],Tabel1[[#This Row],[Up - A2]],Tabel1[[#This Row],[Up - A3]]),"")</f>
        <v>3.5833333333333335</v>
      </c>
      <c r="BX47" s="14">
        <v>1</v>
      </c>
      <c r="BY47" s="14" t="s">
        <v>189</v>
      </c>
      <c r="BZ47" s="14">
        <f>IFERROR(AVERAGE(Tabel1[[#This Row],[In - R1a]:[In - R1b]]),"")</f>
        <v>1</v>
      </c>
      <c r="CA47" s="14">
        <v>4</v>
      </c>
      <c r="CB47" s="14">
        <v>4</v>
      </c>
      <c r="CC47" s="14">
        <v>2</v>
      </c>
      <c r="CD47" s="14">
        <v>1</v>
      </c>
      <c r="CE47" s="14">
        <f>IFERROR(AVERAGE(Tabel1[[#This Row],[In - R1]:[In - R5]]),"")</f>
        <v>2.4</v>
      </c>
      <c r="CF47" s="14">
        <v>4</v>
      </c>
      <c r="CG47" s="14">
        <v>4</v>
      </c>
      <c r="CH47" s="14">
        <v>4</v>
      </c>
      <c r="CI47" s="14">
        <f>IFERROR(AVERAGE(Tabel1[[#This Row],[In - C1a]:[In - C1c]]),"")</f>
        <v>4</v>
      </c>
      <c r="CJ47" s="14">
        <v>3</v>
      </c>
      <c r="CK47" s="14">
        <v>3</v>
      </c>
      <c r="CL47" s="14">
        <v>3</v>
      </c>
      <c r="CM47" s="14">
        <f>IFERROR(AVERAGE(Tabel1[[#This Row],[In - C1]:[In - C4]]),"")</f>
        <v>3.25</v>
      </c>
      <c r="CN47" s="14">
        <v>3</v>
      </c>
      <c r="CO47" s="14">
        <v>4</v>
      </c>
      <c r="CP47" s="14">
        <v>2</v>
      </c>
      <c r="CQ47" s="14">
        <f>IFERROR(AVERAGE(Tabel1[[#This Row],[In - F1a]:[In - F1c]]),"")</f>
        <v>3</v>
      </c>
      <c r="CR47" s="14">
        <v>4</v>
      </c>
      <c r="CS47" s="14">
        <v>4</v>
      </c>
      <c r="CT47" s="14">
        <f>IFERROR(AVERAGE(Tabel1[[#This Row],[In - F2a]:[In - F2b]]),"")</f>
        <v>4</v>
      </c>
      <c r="CU47" s="14">
        <v>4</v>
      </c>
      <c r="CV47" s="14">
        <f>IFERROR(AVERAGE(Tabel1[[#This Row],[In - F3a]:[In - F3a]]),"")</f>
        <v>4</v>
      </c>
      <c r="CW47" s="14">
        <v>3</v>
      </c>
      <c r="CX47" s="14">
        <f>IFERROR(AVERAGE(Tabel1[[#This Row],[In - F1]],Tabel1[[#This Row],[In - F2]],Tabel1[[#This Row],[In - F3]],Tabel1[[#This Row],[In - F4]]),"")</f>
        <v>3.5</v>
      </c>
      <c r="CY47" s="14">
        <v>4</v>
      </c>
      <c r="CZ47" s="14">
        <v>4</v>
      </c>
      <c r="DA47" s="14">
        <v>3</v>
      </c>
      <c r="DB47" s="14">
        <f>IFERROR(AVERAGE(Tabel1[[#This Row],[In - V1a]:[In - V1c]]),"")</f>
        <v>3.6666666666666665</v>
      </c>
      <c r="DC47" s="14">
        <v>3</v>
      </c>
      <c r="DD47" s="14">
        <v>3</v>
      </c>
      <c r="DE47" s="14">
        <v>4</v>
      </c>
      <c r="DF47" s="14">
        <f>IFERROR(AVERAGE(Tabel1[[#This Row],[In - V2a]:[In - V2c]]),"")</f>
        <v>3.3333333333333335</v>
      </c>
      <c r="DG47" s="14">
        <v>4</v>
      </c>
      <c r="DH47" s="14">
        <v>2</v>
      </c>
      <c r="DI47" s="14">
        <f>IFERROR(AVERAGE(Tabel1[[#This Row],[In - V3a]:[In - V3b]]),"")</f>
        <v>3</v>
      </c>
      <c r="DJ47" s="14">
        <v>3</v>
      </c>
      <c r="DK47" s="14">
        <f>IFERROR(AVERAGE(Tabel1[[#This Row],[In - V1]],Tabel1[[#This Row],[In - V2]],Tabel1[[#This Row],[In - V3]],Tabel1[[#This Row],[In - V4]]),"")</f>
        <v>3.25</v>
      </c>
      <c r="DL47" s="14">
        <v>4</v>
      </c>
      <c r="DM47" s="14">
        <v>4</v>
      </c>
      <c r="DN47" s="14">
        <f>IFERROR(AVERAGE(Tabel1[[#This Row],[In - A1a]:[In - A1b]]),"")</f>
        <v>4</v>
      </c>
      <c r="DO47" s="14">
        <v>3</v>
      </c>
      <c r="DP47" s="14">
        <v>4</v>
      </c>
      <c r="DQ47" s="14">
        <f>IFERROR(AVERAGE(Tabel1[[#This Row],[In - A2a]:[In - A2b]]),"")</f>
        <v>3.5</v>
      </c>
      <c r="DR47" s="14">
        <v>3</v>
      </c>
      <c r="DS47" s="14">
        <v>3</v>
      </c>
      <c r="DT47" s="14">
        <f>IFERROR(AVERAGE(Tabel1[[#This Row],[In - A3a]:[In - A3a]]),"")</f>
        <v>3</v>
      </c>
      <c r="DU47" s="14">
        <v>4</v>
      </c>
      <c r="DV47" s="14">
        <f>IFERROR(AVERAGE(Tabel1[[#This Row],[In - A1]],Tabel1[[#This Row],[In - A2]],Tabel1[[#This Row],[In - A3]],Tabel1[[#This Row],[In - A4]]),"")</f>
        <v>3.625</v>
      </c>
      <c r="DW47" s="14">
        <v>1</v>
      </c>
      <c r="DX47" s="14" t="s">
        <v>189</v>
      </c>
      <c r="DY47" s="14">
        <v>1</v>
      </c>
      <c r="DZ47" s="14">
        <f>IFERROR(AVERAGE(Tabel1[[#This Row],[Do - R1a]:[Do - R1c]]),"")</f>
        <v>1</v>
      </c>
      <c r="EA47" s="14">
        <v>4</v>
      </c>
      <c r="EB47" s="14">
        <v>4</v>
      </c>
      <c r="EC47" s="14">
        <v>2</v>
      </c>
      <c r="ED47" s="14">
        <v>2</v>
      </c>
      <c r="EE47" s="14">
        <f>IFERROR(AVERAGE(Tabel1[[#This Row],[Do - R1]:[Do - R5]]),"")</f>
        <v>2.6</v>
      </c>
      <c r="EF47" s="14">
        <v>4</v>
      </c>
      <c r="EG47" s="14">
        <v>3</v>
      </c>
      <c r="EH47" s="14">
        <v>3</v>
      </c>
      <c r="EI47" s="14">
        <f>IFERROR(AVERAGE(Tabel1[[#This Row],[Do - C1a]:[Do - C1c]]),"")</f>
        <v>3.3333333333333335</v>
      </c>
      <c r="EJ47" s="14">
        <v>3</v>
      </c>
      <c r="EK47" s="14">
        <v>3</v>
      </c>
      <c r="EL47" s="14">
        <v>3</v>
      </c>
      <c r="EM47" s="14">
        <f>IFERROR(AVERAGE(Tabel1[[#This Row],[Do - C1]:[Do - C4]]),"")</f>
        <v>3.0833333333333335</v>
      </c>
      <c r="EN47" s="14">
        <v>1</v>
      </c>
      <c r="EO47" s="14">
        <v>2</v>
      </c>
      <c r="EP47" s="14">
        <v>3</v>
      </c>
      <c r="EQ47" s="14">
        <f>IFERROR(AVERAGE(Tabel1[[#This Row],[Do - F1a]:[Do - F1c]]),"")</f>
        <v>2</v>
      </c>
      <c r="ER47" s="14">
        <v>3</v>
      </c>
      <c r="ES47" s="14">
        <f>IFERROR(AVERAGE(Tabel1[[#This Row],[Do - F2a]:[Do - F2a]]),"")</f>
        <v>3</v>
      </c>
      <c r="ET47" s="14">
        <v>4</v>
      </c>
      <c r="EU47" s="14">
        <v>4</v>
      </c>
      <c r="EV47" s="14">
        <f>IFERROR(AVERAGE(Tabel1[[#This Row],[Do - F3a]:[Do - F3b]]),"")</f>
        <v>4</v>
      </c>
      <c r="EW47" s="14">
        <v>4</v>
      </c>
      <c r="EX47" s="14">
        <f>IFERROR(AVERAGE(Tabel1[[#This Row],[Do - F1]],Tabel1[[#This Row],[Do - F2]],Tabel1[[#This Row],[Do - F3]],Tabel1[[#This Row],[Do - F4]]),"")</f>
        <v>3.25</v>
      </c>
      <c r="EY47" s="14">
        <v>3</v>
      </c>
      <c r="EZ47" s="14">
        <v>4</v>
      </c>
      <c r="FA47" s="14">
        <v>3</v>
      </c>
      <c r="FB47" s="14">
        <f>IFERROR(AVERAGE(Tabel1[[#This Row],[Do - V1a]:[Do - V1c]]),"")</f>
        <v>3.3333333333333335</v>
      </c>
      <c r="FC47" s="14">
        <v>4</v>
      </c>
      <c r="FD47" s="14">
        <v>4</v>
      </c>
      <c r="FE47" s="14">
        <f>IFERROR(AVERAGE(Tabel1[[#This Row],[Do - V2a]:[Do - V2b]]),"")</f>
        <v>4</v>
      </c>
      <c r="FF47" s="14">
        <v>3</v>
      </c>
      <c r="FG47" s="14">
        <f>IFERROR(AVERAGE(Tabel1[[#This Row],[Do - V3a]:[Do - V3a]]),"")</f>
        <v>3</v>
      </c>
      <c r="FH47" s="14">
        <v>3</v>
      </c>
      <c r="FI47" s="14">
        <f>IFERROR(AVERAGE(Tabel1[[#This Row],[Do - V1]],Tabel1[[#This Row],[Do - V2]],Tabel1[[#This Row],[Do - V3]],Tabel1[[#This Row],[Do - V4]]),"")</f>
        <v>3.3333333333333335</v>
      </c>
      <c r="FJ47" s="14">
        <v>3</v>
      </c>
      <c r="FK47" s="14">
        <v>4</v>
      </c>
      <c r="FL47" s="14">
        <v>4</v>
      </c>
      <c r="FM47" s="14">
        <f>IFERROR(AVERAGE(Tabel1[[#This Row],[Do - A1a]:[Do - A1c]]),"")</f>
        <v>3.6666666666666665</v>
      </c>
      <c r="FN47" s="14">
        <v>4</v>
      </c>
      <c r="FO47" s="14">
        <v>4</v>
      </c>
      <c r="FP47" s="14">
        <f>IFERROR(AVERAGE(Tabel1[[#This Row],[Do - A2a]:[Do - A2b]]),"")</f>
        <v>4</v>
      </c>
      <c r="FQ47" s="14">
        <v>4</v>
      </c>
      <c r="FR47" s="14">
        <f>IFERROR(AVERAGE(Tabel1[[#This Row],[Do - A3a]:[Do - A3a]]),"")</f>
        <v>4</v>
      </c>
      <c r="FS47" s="14">
        <v>4</v>
      </c>
      <c r="FT47" s="14">
        <f>IFERROR(AVERAGE(Tabel1[[#This Row],[Do - A1]],Tabel1[[#This Row],[Do - A2]],Tabel1[[#This Row],[Do - A3]],Tabel1[[#This Row],[Do - A4]]),"")</f>
        <v>3.9166666666666665</v>
      </c>
      <c r="FU4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3.1094444444444442</v>
      </c>
      <c r="FV47" s="16" t="s">
        <v>434</v>
      </c>
      <c r="FW47" t="b">
        <v>1</v>
      </c>
    </row>
    <row r="48" spans="1:179" x14ac:dyDescent="0.3">
      <c r="A48" s="13">
        <v>44922.627025462964</v>
      </c>
      <c r="B48" t="b">
        <v>0</v>
      </c>
      <c r="C48" s="14" t="s">
        <v>435</v>
      </c>
      <c r="D48" s="14" t="s">
        <v>436</v>
      </c>
      <c r="E48" s="14" t="s">
        <v>437</v>
      </c>
      <c r="F48" s="14" t="s">
        <v>184</v>
      </c>
      <c r="G48" s="14" t="s">
        <v>438</v>
      </c>
      <c r="H48" s="14" t="s">
        <v>222</v>
      </c>
      <c r="I48" s="14" t="s">
        <v>195</v>
      </c>
      <c r="J48" s="14" t="s">
        <v>261</v>
      </c>
      <c r="K48" s="14" t="s">
        <v>187</v>
      </c>
      <c r="L48" s="14" t="s">
        <v>249</v>
      </c>
      <c r="M48" s="14" t="s">
        <v>233</v>
      </c>
      <c r="N48" s="14" t="s">
        <v>199</v>
      </c>
      <c r="O48" s="14" t="s">
        <v>200</v>
      </c>
      <c r="P48" s="17" t="s">
        <v>304</v>
      </c>
      <c r="Q48" s="14" t="s">
        <v>235</v>
      </c>
      <c r="R48" s="14" t="s">
        <v>187</v>
      </c>
      <c r="S48" s="14" t="s">
        <v>187</v>
      </c>
      <c r="T48" s="14" t="s">
        <v>236</v>
      </c>
      <c r="U48" s="14" t="s">
        <v>205</v>
      </c>
      <c r="V48" s="14" t="s">
        <v>359</v>
      </c>
      <c r="W48" s="14" t="s">
        <v>207</v>
      </c>
      <c r="X48" s="14" t="s">
        <v>207</v>
      </c>
      <c r="Y48" s="14">
        <v>4</v>
      </c>
      <c r="Z48" s="14">
        <v>4</v>
      </c>
      <c r="AA48" s="14" t="s">
        <v>189</v>
      </c>
      <c r="AB48" s="15">
        <f>IFERROR(AVERAGE(Tabel1[[#This Row],[Up - R1a]:[Up - R1c]]),"")</f>
        <v>4</v>
      </c>
      <c r="AC48" s="14">
        <v>3</v>
      </c>
      <c r="AD48" s="14">
        <v>2</v>
      </c>
      <c r="AE48" s="14">
        <v>2</v>
      </c>
      <c r="AF48" s="14" t="s">
        <v>189</v>
      </c>
      <c r="AG48" s="14">
        <f>IFERROR(AVERAGE(Tabel1[[#This Row],[Up - R1]:[Up - R5]]),"")</f>
        <v>2.75</v>
      </c>
      <c r="AH48" s="14">
        <v>3</v>
      </c>
      <c r="AI48" s="14">
        <v>3</v>
      </c>
      <c r="AJ48" s="14">
        <v>3</v>
      </c>
      <c r="AK48" s="14">
        <f>IFERROR(AVERAGE(Tabel1[[#This Row],[Up - C1a]:[Up - C1c]]),"")</f>
        <v>3</v>
      </c>
      <c r="AL48" s="14">
        <v>2</v>
      </c>
      <c r="AM48" s="14" t="s">
        <v>189</v>
      </c>
      <c r="AN48" s="14" t="s">
        <v>189</v>
      </c>
      <c r="AO48" s="14">
        <f>IFERROR(AVERAGE(Tabel1[[#This Row],[Up - C1]:[Up - C4]]),"")</f>
        <v>2.5</v>
      </c>
      <c r="AP48" s="14">
        <v>1</v>
      </c>
      <c r="AQ48" s="14">
        <f>IFERROR(AVERAGE(Tabel1[[#This Row],[Up - F1a]:[Up - F1a]]),"")</f>
        <v>1</v>
      </c>
      <c r="AR48" s="14">
        <v>2</v>
      </c>
      <c r="AS48" s="14">
        <v>2</v>
      </c>
      <c r="AT48" s="14">
        <f>IFERROR(AVERAGE(Tabel1[[#This Row],[Up - F2a]:[Up - F2b]]),"")</f>
        <v>2</v>
      </c>
      <c r="AU48" s="14">
        <v>3</v>
      </c>
      <c r="AV48" s="14">
        <v>2</v>
      </c>
      <c r="AW48" s="14">
        <f>IFERROR(AVERAGE(Tabel1[[#This Row],[Up - F3a]:[Up - F3b]]),"")</f>
        <v>2.5</v>
      </c>
      <c r="AX48" s="14">
        <v>2</v>
      </c>
      <c r="AY48" s="14">
        <f>IFERROR(AVERAGE(Tabel1[[#This Row],[Up - F1]],Tabel1[[#This Row],[Up - F2]],Tabel1[[#This Row],[Up - F3]],Tabel1[[#This Row],[Up - F4]]),"")</f>
        <v>1.875</v>
      </c>
      <c r="AZ48" s="14">
        <v>2</v>
      </c>
      <c r="BA48" s="14">
        <v>4</v>
      </c>
      <c r="BB48" s="14">
        <f>IFERROR(AVERAGE(Tabel1[[#This Row],[Up - V1a]:[Up - V1b]]),"")</f>
        <v>3</v>
      </c>
      <c r="BC48" s="14">
        <v>2</v>
      </c>
      <c r="BD48" s="14">
        <v>2</v>
      </c>
      <c r="BE48" s="14">
        <v>5</v>
      </c>
      <c r="BF48" s="14">
        <f>IFERROR(AVERAGE(Tabel1[[#This Row],[Up - V2a]:[Up - V2c]]),"")</f>
        <v>3</v>
      </c>
      <c r="BG48" s="14">
        <v>3</v>
      </c>
      <c r="BH48" s="14">
        <v>2</v>
      </c>
      <c r="BI48" s="14">
        <f>IFERROR(AVERAGE(Tabel1[[#This Row],[Up - V3a]:[Up - V3b]]),"")</f>
        <v>2.5</v>
      </c>
      <c r="BJ48" s="14" t="s">
        <v>189</v>
      </c>
      <c r="BK48" s="14">
        <f>IFERROR(AVERAGE(Tabel1[[#This Row],[Up - V1]],Tabel1[[#This Row],[Up - V2]],Tabel1[[#This Row],[Up - V3]],Tabel1[[#This Row],[Up - V4]]),"")</f>
        <v>2.8333333333333335</v>
      </c>
      <c r="BL48" s="14">
        <v>4</v>
      </c>
      <c r="BM48" s="14">
        <v>3</v>
      </c>
      <c r="BN48" s="14">
        <v>3</v>
      </c>
      <c r="BO48" s="14">
        <v>3</v>
      </c>
      <c r="BP48" s="14">
        <f>IFERROR(AVERAGE(Tabel1[[#This Row],[Up - A1a]:[Up - A1d]]),"")</f>
        <v>3.25</v>
      </c>
      <c r="BQ48" s="14">
        <v>4</v>
      </c>
      <c r="BR48" s="14">
        <v>4</v>
      </c>
      <c r="BS48" s="14">
        <f>IFERROR(AVERAGE(Tabel1[[#This Row],[Up - A2a]:[Up - A2b]]),"")</f>
        <v>4</v>
      </c>
      <c r="BT48" s="14">
        <v>4</v>
      </c>
      <c r="BU48" s="14">
        <f>IFERROR(AVERAGE(Tabel1[[#This Row],[Up - A3a]:[Up - A3a]]),"")</f>
        <v>4</v>
      </c>
      <c r="BV48" s="14" t="s">
        <v>189</v>
      </c>
      <c r="BW48" s="14">
        <f>IFERROR(AVERAGE(Tabel1[[#This Row],[Up - A1]],Tabel1[[#This Row],[Up - A2]],Tabel1[[#This Row],[Up - A3]]),"")</f>
        <v>3.75</v>
      </c>
      <c r="BX48" s="14">
        <v>2</v>
      </c>
      <c r="BY48" s="14">
        <v>4</v>
      </c>
      <c r="BZ48" s="14">
        <f>IFERROR(AVERAGE(Tabel1[[#This Row],[In - R1a]:[In - R1b]]),"")</f>
        <v>3</v>
      </c>
      <c r="CA48" s="14">
        <v>2</v>
      </c>
      <c r="CB48" s="14">
        <v>4</v>
      </c>
      <c r="CC48" s="14">
        <v>1</v>
      </c>
      <c r="CD48" s="14">
        <v>4</v>
      </c>
      <c r="CE48" s="14">
        <f>IFERROR(AVERAGE(Tabel1[[#This Row],[In - R1]:[In - R5]]),"")</f>
        <v>2.8</v>
      </c>
      <c r="CF48" s="14">
        <v>3</v>
      </c>
      <c r="CG48" s="14">
        <v>4</v>
      </c>
      <c r="CH48" s="14">
        <v>5</v>
      </c>
      <c r="CI48" s="14">
        <f>IFERROR(AVERAGE(Tabel1[[#This Row],[In - C1a]:[In - C1c]]),"")</f>
        <v>4</v>
      </c>
      <c r="CJ48" s="14">
        <v>3</v>
      </c>
      <c r="CK48" s="14">
        <v>4</v>
      </c>
      <c r="CL48" s="14">
        <v>4</v>
      </c>
      <c r="CM48" s="14">
        <f>IFERROR(AVERAGE(Tabel1[[#This Row],[In - C1]:[In - C4]]),"")</f>
        <v>3.75</v>
      </c>
      <c r="CN48" s="14">
        <v>2</v>
      </c>
      <c r="CO48" s="14">
        <v>2</v>
      </c>
      <c r="CP48" s="14">
        <v>2</v>
      </c>
      <c r="CQ48" s="14">
        <f>IFERROR(AVERAGE(Tabel1[[#This Row],[In - F1a]:[In - F1c]]),"")</f>
        <v>2</v>
      </c>
      <c r="CR48" s="14">
        <v>2</v>
      </c>
      <c r="CS48" s="14">
        <v>2</v>
      </c>
      <c r="CT48" s="14">
        <f>IFERROR(AVERAGE(Tabel1[[#This Row],[In - F2a]:[In - F2b]]),"")</f>
        <v>2</v>
      </c>
      <c r="CU48" s="14">
        <v>2</v>
      </c>
      <c r="CV48" s="14">
        <f>IFERROR(AVERAGE(Tabel1[[#This Row],[In - F3a]:[In - F3a]]),"")</f>
        <v>2</v>
      </c>
      <c r="CW48" s="14" t="s">
        <v>189</v>
      </c>
      <c r="CX48" s="14">
        <f>IFERROR(AVERAGE(Tabel1[[#This Row],[In - F1]],Tabel1[[#This Row],[In - F2]],Tabel1[[#This Row],[In - F3]],Tabel1[[#This Row],[In - F4]]),"")</f>
        <v>2</v>
      </c>
      <c r="CY48" s="14">
        <v>4</v>
      </c>
      <c r="CZ48" s="14">
        <v>3</v>
      </c>
      <c r="DA48" s="14">
        <v>2</v>
      </c>
      <c r="DB48" s="14">
        <f>IFERROR(AVERAGE(Tabel1[[#This Row],[In - V1a]:[In - V1c]]),"")</f>
        <v>3</v>
      </c>
      <c r="DC48" s="14">
        <v>3</v>
      </c>
      <c r="DD48" s="14">
        <v>3</v>
      </c>
      <c r="DE48" s="14">
        <v>4</v>
      </c>
      <c r="DF48" s="14">
        <f>IFERROR(AVERAGE(Tabel1[[#This Row],[In - V2a]:[In - V2c]]),"")</f>
        <v>3.3333333333333335</v>
      </c>
      <c r="DG48" s="14">
        <v>3</v>
      </c>
      <c r="DH48" s="14">
        <v>5</v>
      </c>
      <c r="DI48" s="14">
        <f>IFERROR(AVERAGE(Tabel1[[#This Row],[In - V3a]:[In - V3b]]),"")</f>
        <v>4</v>
      </c>
      <c r="DJ48" s="14" t="s">
        <v>189</v>
      </c>
      <c r="DK48" s="14">
        <f>IFERROR(AVERAGE(Tabel1[[#This Row],[In - V1]],Tabel1[[#This Row],[In - V2]],Tabel1[[#This Row],[In - V3]],Tabel1[[#This Row],[In - V4]]),"")</f>
        <v>3.4444444444444446</v>
      </c>
      <c r="DL48" s="14">
        <v>4</v>
      </c>
      <c r="DM48" s="14">
        <v>5</v>
      </c>
      <c r="DN48" s="14">
        <f>IFERROR(AVERAGE(Tabel1[[#This Row],[In - A1a]:[In - A1b]]),"")</f>
        <v>4.5</v>
      </c>
      <c r="DO48" s="14">
        <v>3</v>
      </c>
      <c r="DP48" s="14">
        <v>3</v>
      </c>
      <c r="DQ48" s="14">
        <f>IFERROR(AVERAGE(Tabel1[[#This Row],[In - A2a]:[In - A2b]]),"")</f>
        <v>3</v>
      </c>
      <c r="DR48" s="14">
        <v>3</v>
      </c>
      <c r="DS48" s="14">
        <v>3</v>
      </c>
      <c r="DT48" s="14">
        <f>IFERROR(AVERAGE(Tabel1[[#This Row],[In - A3a]:[In - A3a]]),"")</f>
        <v>3</v>
      </c>
      <c r="DU48" s="14">
        <v>4</v>
      </c>
      <c r="DV48" s="14">
        <f>IFERROR(AVERAGE(Tabel1[[#This Row],[In - A1]],Tabel1[[#This Row],[In - A2]],Tabel1[[#This Row],[In - A3]],Tabel1[[#This Row],[In - A4]]),"")</f>
        <v>3.625</v>
      </c>
      <c r="DW48" s="14">
        <v>2</v>
      </c>
      <c r="DX48" s="14">
        <v>5</v>
      </c>
      <c r="DY48" s="14">
        <v>2</v>
      </c>
      <c r="DZ48" s="14">
        <f>IFERROR(AVERAGE(Tabel1[[#This Row],[Do - R1a]:[Do - R1c]]),"")</f>
        <v>3</v>
      </c>
      <c r="EA48" s="14">
        <v>3</v>
      </c>
      <c r="EB48" s="14">
        <v>3</v>
      </c>
      <c r="EC48" s="14">
        <v>1</v>
      </c>
      <c r="ED48" s="14" t="s">
        <v>189</v>
      </c>
      <c r="EE48" s="14">
        <f>IFERROR(AVERAGE(Tabel1[[#This Row],[Do - R1]:[Do - R5]]),"")</f>
        <v>2.5</v>
      </c>
      <c r="EF48" s="14">
        <v>5</v>
      </c>
      <c r="EG48" s="14">
        <v>4</v>
      </c>
      <c r="EH48" s="14">
        <v>3</v>
      </c>
      <c r="EI48" s="14">
        <f>IFERROR(AVERAGE(Tabel1[[#This Row],[Do - C1a]:[Do - C1c]]),"")</f>
        <v>4</v>
      </c>
      <c r="EJ48" s="14">
        <v>5</v>
      </c>
      <c r="EK48" s="14" t="s">
        <v>189</v>
      </c>
      <c r="EL48" s="14" t="s">
        <v>189</v>
      </c>
      <c r="EM48" s="14">
        <f>IFERROR(AVERAGE(Tabel1[[#This Row],[Do - C1]:[Do - C4]]),"")</f>
        <v>4.5</v>
      </c>
      <c r="EN48" s="14">
        <v>3</v>
      </c>
      <c r="EO48" s="14">
        <v>3</v>
      </c>
      <c r="EP48" s="14">
        <v>5</v>
      </c>
      <c r="EQ48" s="14">
        <f>IFERROR(AVERAGE(Tabel1[[#This Row],[Do - F1a]:[Do - F1c]]),"")</f>
        <v>3.6666666666666665</v>
      </c>
      <c r="ER48" s="14">
        <v>3</v>
      </c>
      <c r="ES48" s="14">
        <f>IFERROR(AVERAGE(Tabel1[[#This Row],[Do - F2a]:[Do - F2a]]),"")</f>
        <v>3</v>
      </c>
      <c r="ET48" s="14">
        <v>2</v>
      </c>
      <c r="EU48" s="14">
        <v>3</v>
      </c>
      <c r="EV48" s="14">
        <f>IFERROR(AVERAGE(Tabel1[[#This Row],[Do - F3a]:[Do - F3b]]),"")</f>
        <v>2.5</v>
      </c>
      <c r="EW48" s="14">
        <v>2</v>
      </c>
      <c r="EX48" s="14">
        <f>IFERROR(AVERAGE(Tabel1[[#This Row],[Do - F1]],Tabel1[[#This Row],[Do - F2]],Tabel1[[#This Row],[Do - F3]],Tabel1[[#This Row],[Do - F4]]),"")</f>
        <v>2.7916666666666665</v>
      </c>
      <c r="EY48" s="14">
        <v>3</v>
      </c>
      <c r="EZ48" s="14">
        <v>2</v>
      </c>
      <c r="FA48" s="14">
        <v>4</v>
      </c>
      <c r="FB48" s="14">
        <f>IFERROR(AVERAGE(Tabel1[[#This Row],[Do - V1a]:[Do - V1c]]),"")</f>
        <v>3</v>
      </c>
      <c r="FC48" s="14">
        <v>3</v>
      </c>
      <c r="FD48" s="14">
        <v>1</v>
      </c>
      <c r="FE48" s="14">
        <f>IFERROR(AVERAGE(Tabel1[[#This Row],[Do - V2a]:[Do - V2b]]),"")</f>
        <v>2</v>
      </c>
      <c r="FF48" s="14">
        <v>5</v>
      </c>
      <c r="FG48" s="14">
        <f>IFERROR(AVERAGE(Tabel1[[#This Row],[Do - V3a]:[Do - V3a]]),"")</f>
        <v>5</v>
      </c>
      <c r="FH48" s="14" t="s">
        <v>189</v>
      </c>
      <c r="FI48" s="14">
        <f>IFERROR(AVERAGE(Tabel1[[#This Row],[Do - V1]],Tabel1[[#This Row],[Do - V2]],Tabel1[[#This Row],[Do - V3]],Tabel1[[#This Row],[Do - V4]]),"")</f>
        <v>3.3333333333333335</v>
      </c>
      <c r="FJ48" s="14">
        <v>5</v>
      </c>
      <c r="FK48" s="14">
        <v>4</v>
      </c>
      <c r="FL48" s="14">
        <v>3</v>
      </c>
      <c r="FM48" s="14">
        <f>IFERROR(AVERAGE(Tabel1[[#This Row],[Do - A1a]:[Do - A1c]]),"")</f>
        <v>4</v>
      </c>
      <c r="FN48" s="14">
        <v>2</v>
      </c>
      <c r="FO48" s="14">
        <v>3</v>
      </c>
      <c r="FP48" s="14">
        <f>IFERROR(AVERAGE(Tabel1[[#This Row],[Do - A2a]:[Do - A2b]]),"")</f>
        <v>2.5</v>
      </c>
      <c r="FQ48" s="14">
        <v>4</v>
      </c>
      <c r="FR48" s="14">
        <f>IFERROR(AVERAGE(Tabel1[[#This Row],[Do - A3a]:[Do - A3a]]),"")</f>
        <v>4</v>
      </c>
      <c r="FS48" s="14" t="s">
        <v>189</v>
      </c>
      <c r="FT48" s="14">
        <f>IFERROR(AVERAGE(Tabel1[[#This Row],[Do - A1]],Tabel1[[#This Row],[Do - A2]],Tabel1[[#This Row],[Do - A3]],Tabel1[[#This Row],[Do - A4]]),"")</f>
        <v>3.5</v>
      </c>
      <c r="FU4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3.0635185185185185</v>
      </c>
      <c r="FV48" s="16" t="s">
        <v>439</v>
      </c>
      <c r="FW48" t="b">
        <v>1</v>
      </c>
    </row>
    <row r="49" spans="1:179" x14ac:dyDescent="0.3">
      <c r="A49" s="13">
        <v>44923.362511574072</v>
      </c>
      <c r="B49" t="b">
        <v>0</v>
      </c>
      <c r="C49" s="14" t="s">
        <v>440</v>
      </c>
      <c r="D49" s="14" t="s">
        <v>441</v>
      </c>
      <c r="E49" s="14" t="s">
        <v>437</v>
      </c>
      <c r="F49" s="14" t="s">
        <v>184</v>
      </c>
      <c r="G49" s="14" t="s">
        <v>442</v>
      </c>
      <c r="H49" s="14" t="s">
        <v>222</v>
      </c>
      <c r="I49" s="14" t="s">
        <v>195</v>
      </c>
      <c r="J49" s="14" t="s">
        <v>261</v>
      </c>
      <c r="K49" s="14" t="s">
        <v>187</v>
      </c>
      <c r="L49" s="14" t="s">
        <v>249</v>
      </c>
      <c r="M49" s="14" t="s">
        <v>233</v>
      </c>
      <c r="N49" s="14" t="s">
        <v>199</v>
      </c>
      <c r="O49" s="14" t="s">
        <v>256</v>
      </c>
      <c r="P49" s="17" t="s">
        <v>304</v>
      </c>
      <c r="Q49" s="14" t="s">
        <v>202</v>
      </c>
      <c r="R49" s="14" t="s">
        <v>202</v>
      </c>
      <c r="S49" s="14" t="s">
        <v>187</v>
      </c>
      <c r="T49" s="14" t="s">
        <v>236</v>
      </c>
      <c r="U49" s="14" t="s">
        <v>349</v>
      </c>
      <c r="V49" s="14" t="s">
        <v>359</v>
      </c>
      <c r="W49" s="14" t="s">
        <v>207</v>
      </c>
      <c r="X49" s="14" t="s">
        <v>207</v>
      </c>
      <c r="Y49" s="14">
        <v>4</v>
      </c>
      <c r="Z49" s="14">
        <v>4</v>
      </c>
      <c r="AA49" s="14" t="s">
        <v>189</v>
      </c>
      <c r="AB49" s="15">
        <f>IFERROR(AVERAGE(Tabel1[[#This Row],[Up - R1a]:[Up - R1c]]),"")</f>
        <v>4</v>
      </c>
      <c r="AC49" s="14">
        <v>4</v>
      </c>
      <c r="AD49" s="14">
        <v>4</v>
      </c>
      <c r="AE49" s="14">
        <v>2</v>
      </c>
      <c r="AF49" s="14">
        <v>4</v>
      </c>
      <c r="AG49" s="14">
        <f>IFERROR(AVERAGE(Tabel1[[#This Row],[Up - R1]:[Up - R5]]),"")</f>
        <v>3.6</v>
      </c>
      <c r="AH49" s="14">
        <v>4</v>
      </c>
      <c r="AI49" s="14">
        <v>3</v>
      </c>
      <c r="AJ49" s="14">
        <v>3</v>
      </c>
      <c r="AK49" s="14">
        <f>IFERROR(AVERAGE(Tabel1[[#This Row],[Up - C1a]:[Up - C1c]]),"")</f>
        <v>3.3333333333333335</v>
      </c>
      <c r="AL49" s="14">
        <v>1</v>
      </c>
      <c r="AM49" s="14">
        <v>2</v>
      </c>
      <c r="AN49" s="14">
        <v>3</v>
      </c>
      <c r="AO49" s="14">
        <f>IFERROR(AVERAGE(Tabel1[[#This Row],[Up - C1]:[Up - C4]]),"")</f>
        <v>2.3333333333333335</v>
      </c>
      <c r="AP49" s="14">
        <v>4</v>
      </c>
      <c r="AQ49" s="14">
        <f>IFERROR(AVERAGE(Tabel1[[#This Row],[Up - F1a]:[Up - F1a]]),"")</f>
        <v>4</v>
      </c>
      <c r="AR49" s="14">
        <v>2</v>
      </c>
      <c r="AS49" s="14">
        <v>2</v>
      </c>
      <c r="AT49" s="14">
        <f>IFERROR(AVERAGE(Tabel1[[#This Row],[Up - F2a]:[Up - F2b]]),"")</f>
        <v>2</v>
      </c>
      <c r="AU49" s="14">
        <v>4</v>
      </c>
      <c r="AV49" s="14">
        <v>2</v>
      </c>
      <c r="AW49" s="14">
        <f>IFERROR(AVERAGE(Tabel1[[#This Row],[Up - F3a]:[Up - F3b]]),"")</f>
        <v>3</v>
      </c>
      <c r="AX49" s="14">
        <v>3</v>
      </c>
      <c r="AY49" s="14">
        <f>IFERROR(AVERAGE(Tabel1[[#This Row],[Up - F1]],Tabel1[[#This Row],[Up - F2]],Tabel1[[#This Row],[Up - F3]],Tabel1[[#This Row],[Up - F4]]),"")</f>
        <v>3</v>
      </c>
      <c r="AZ49" s="14">
        <v>3</v>
      </c>
      <c r="BA49" s="14">
        <v>5</v>
      </c>
      <c r="BB49" s="14">
        <f>IFERROR(AVERAGE(Tabel1[[#This Row],[Up - V1a]:[Up - V1b]]),"")</f>
        <v>4</v>
      </c>
      <c r="BC49" s="14">
        <v>2</v>
      </c>
      <c r="BD49" s="14">
        <v>2</v>
      </c>
      <c r="BE49" s="14">
        <v>3</v>
      </c>
      <c r="BF49" s="14">
        <f>IFERROR(AVERAGE(Tabel1[[#This Row],[Up - V2a]:[Up - V2c]]),"")</f>
        <v>2.3333333333333335</v>
      </c>
      <c r="BG49" s="14">
        <v>3</v>
      </c>
      <c r="BH49" s="14" t="s">
        <v>189</v>
      </c>
      <c r="BI49" s="14">
        <f>IFERROR(AVERAGE(Tabel1[[#This Row],[Up - V3a]:[Up - V3b]]),"")</f>
        <v>3</v>
      </c>
      <c r="BJ49" s="14">
        <v>4</v>
      </c>
      <c r="BK49" s="14">
        <f>IFERROR(AVERAGE(Tabel1[[#This Row],[Up - V1]],Tabel1[[#This Row],[Up - V2]],Tabel1[[#This Row],[Up - V3]],Tabel1[[#This Row],[Up - V4]]),"")</f>
        <v>3.3333333333333335</v>
      </c>
      <c r="BL49" s="14">
        <v>3</v>
      </c>
      <c r="BM49" s="14">
        <v>2</v>
      </c>
      <c r="BN49" s="14">
        <v>4</v>
      </c>
      <c r="BO49" s="14">
        <v>2</v>
      </c>
      <c r="BP49" s="14">
        <f>IFERROR(AVERAGE(Tabel1[[#This Row],[Up - A1a]:[Up - A1d]]),"")</f>
        <v>2.75</v>
      </c>
      <c r="BQ49" s="14">
        <v>3</v>
      </c>
      <c r="BR49" s="14">
        <v>4</v>
      </c>
      <c r="BS49" s="14">
        <f>IFERROR(AVERAGE(Tabel1[[#This Row],[Up - A2a]:[Up - A2b]]),"")</f>
        <v>3.5</v>
      </c>
      <c r="BT49" s="14" t="s">
        <v>189</v>
      </c>
      <c r="BU49" s="14" t="str">
        <f>IFERROR(AVERAGE(Tabel1[[#This Row],[Up - A3a]:[Up - A3a]]),"")</f>
        <v/>
      </c>
      <c r="BV49" s="14">
        <v>2</v>
      </c>
      <c r="BW49" s="14">
        <f>IFERROR(AVERAGE(Tabel1[[#This Row],[Up - A1]],Tabel1[[#This Row],[Up - A2]],Tabel1[[#This Row],[Up - A3]]),"")</f>
        <v>3.125</v>
      </c>
      <c r="BX49" s="14">
        <v>3</v>
      </c>
      <c r="BY49" s="14">
        <v>5</v>
      </c>
      <c r="BZ49" s="14">
        <f>IFERROR(AVERAGE(Tabel1[[#This Row],[In - R1a]:[In - R1b]]),"")</f>
        <v>4</v>
      </c>
      <c r="CA49" s="14">
        <v>4</v>
      </c>
      <c r="CB49" s="14">
        <v>3</v>
      </c>
      <c r="CC49" s="14">
        <v>1</v>
      </c>
      <c r="CD49" s="14">
        <v>5</v>
      </c>
      <c r="CE49" s="14">
        <f>IFERROR(AVERAGE(Tabel1[[#This Row],[In - R1]:[In - R5]]),"")</f>
        <v>3.4</v>
      </c>
      <c r="CF49" s="14">
        <v>4</v>
      </c>
      <c r="CG49" s="14">
        <v>4</v>
      </c>
      <c r="CH49" s="14">
        <v>3</v>
      </c>
      <c r="CI49" s="14">
        <f>IFERROR(AVERAGE(Tabel1[[#This Row],[In - C1a]:[In - C1c]]),"")</f>
        <v>3.6666666666666665</v>
      </c>
      <c r="CJ49" s="14">
        <v>2</v>
      </c>
      <c r="CK49" s="14">
        <v>2</v>
      </c>
      <c r="CL49" s="14">
        <v>1</v>
      </c>
      <c r="CM49" s="14">
        <f>IFERROR(AVERAGE(Tabel1[[#This Row],[In - C1]:[In - C4]]),"")</f>
        <v>2.1666666666666665</v>
      </c>
      <c r="CN49" s="14">
        <v>3</v>
      </c>
      <c r="CO49" s="14">
        <v>2</v>
      </c>
      <c r="CP49" s="14">
        <v>2</v>
      </c>
      <c r="CQ49" s="14">
        <f>IFERROR(AVERAGE(Tabel1[[#This Row],[In - F1a]:[In - F1c]]),"")</f>
        <v>2.3333333333333335</v>
      </c>
      <c r="CR49" s="14">
        <v>4</v>
      </c>
      <c r="CS49" s="14">
        <v>3</v>
      </c>
      <c r="CT49" s="14">
        <f>IFERROR(AVERAGE(Tabel1[[#This Row],[In - F2a]:[In - F2b]]),"")</f>
        <v>3.5</v>
      </c>
      <c r="CU49" s="14">
        <v>2</v>
      </c>
      <c r="CV49" s="14">
        <f>IFERROR(AVERAGE(Tabel1[[#This Row],[In - F3a]:[In - F3a]]),"")</f>
        <v>2</v>
      </c>
      <c r="CW49" s="14">
        <v>5</v>
      </c>
      <c r="CX49" s="14">
        <f>IFERROR(AVERAGE(Tabel1[[#This Row],[In - F1]],Tabel1[[#This Row],[In - F2]],Tabel1[[#This Row],[In - F3]],Tabel1[[#This Row],[In - F4]]),"")</f>
        <v>3.2083333333333335</v>
      </c>
      <c r="CY49" s="14">
        <v>2</v>
      </c>
      <c r="CZ49" s="14">
        <v>4</v>
      </c>
      <c r="DA49" s="14">
        <v>2</v>
      </c>
      <c r="DB49" s="14">
        <f>IFERROR(AVERAGE(Tabel1[[#This Row],[In - V1a]:[In - V1c]]),"")</f>
        <v>2.6666666666666665</v>
      </c>
      <c r="DC49" s="14">
        <v>3</v>
      </c>
      <c r="DD49" s="14">
        <v>2</v>
      </c>
      <c r="DE49" s="14">
        <v>2</v>
      </c>
      <c r="DF49" s="14">
        <f>IFERROR(AVERAGE(Tabel1[[#This Row],[In - V2a]:[In - V2c]]),"")</f>
        <v>2.3333333333333335</v>
      </c>
      <c r="DG49" s="14">
        <v>1</v>
      </c>
      <c r="DH49" s="14">
        <v>4</v>
      </c>
      <c r="DI49" s="14">
        <f>IFERROR(AVERAGE(Tabel1[[#This Row],[In - V3a]:[In - V3b]]),"")</f>
        <v>2.5</v>
      </c>
      <c r="DJ49" s="14">
        <v>4</v>
      </c>
      <c r="DK49" s="14">
        <f>IFERROR(AVERAGE(Tabel1[[#This Row],[In - V1]],Tabel1[[#This Row],[In - V2]],Tabel1[[#This Row],[In - V3]],Tabel1[[#This Row],[In - V4]]),"")</f>
        <v>2.875</v>
      </c>
      <c r="DL49" s="14">
        <v>3</v>
      </c>
      <c r="DM49" s="14">
        <v>3</v>
      </c>
      <c r="DN49" s="14">
        <f>IFERROR(AVERAGE(Tabel1[[#This Row],[In - A1a]:[In - A1b]]),"")</f>
        <v>3</v>
      </c>
      <c r="DO49" s="14">
        <v>3</v>
      </c>
      <c r="DP49" s="14">
        <v>3</v>
      </c>
      <c r="DQ49" s="14">
        <f>IFERROR(AVERAGE(Tabel1[[#This Row],[In - A2a]:[In - A2b]]),"")</f>
        <v>3</v>
      </c>
      <c r="DR49" s="14" t="s">
        <v>189</v>
      </c>
      <c r="DS49" s="14">
        <v>2</v>
      </c>
      <c r="DT49" s="14" t="str">
        <f>IFERROR(AVERAGE(Tabel1[[#This Row],[In - A3a]:[In - A3a]]),"")</f>
        <v/>
      </c>
      <c r="DU49" s="14">
        <v>2</v>
      </c>
      <c r="DV49" s="14">
        <f>IFERROR(AVERAGE(Tabel1[[#This Row],[In - A1]],Tabel1[[#This Row],[In - A2]],Tabel1[[#This Row],[In - A3]],Tabel1[[#This Row],[In - A4]]),"")</f>
        <v>2.6666666666666665</v>
      </c>
      <c r="DW49" s="14">
        <v>4</v>
      </c>
      <c r="DX49" s="14">
        <v>5</v>
      </c>
      <c r="DY49" s="14">
        <v>4</v>
      </c>
      <c r="DZ49" s="14">
        <f>IFERROR(AVERAGE(Tabel1[[#This Row],[Do - R1a]:[Do - R1c]]),"")</f>
        <v>4.333333333333333</v>
      </c>
      <c r="EA49" s="14">
        <v>5</v>
      </c>
      <c r="EB49" s="14">
        <v>2</v>
      </c>
      <c r="EC49" s="14">
        <v>1</v>
      </c>
      <c r="ED49" s="14">
        <v>4</v>
      </c>
      <c r="EE49" s="14">
        <f>IFERROR(AVERAGE(Tabel1[[#This Row],[Do - R1]:[Do - R5]]),"")</f>
        <v>3.2666666666666666</v>
      </c>
      <c r="EF49" s="14">
        <v>4</v>
      </c>
      <c r="EG49" s="14">
        <v>2</v>
      </c>
      <c r="EH49" s="14">
        <v>3</v>
      </c>
      <c r="EI49" s="14">
        <f>IFERROR(AVERAGE(Tabel1[[#This Row],[Do - C1a]:[Do - C1c]]),"")</f>
        <v>3</v>
      </c>
      <c r="EJ49" s="14">
        <v>3</v>
      </c>
      <c r="EK49" s="14">
        <v>2</v>
      </c>
      <c r="EL49" s="14">
        <v>2</v>
      </c>
      <c r="EM49" s="14">
        <f>IFERROR(AVERAGE(Tabel1[[#This Row],[Do - C1]:[Do - C4]]),"")</f>
        <v>2.5</v>
      </c>
      <c r="EN49" s="14">
        <v>3</v>
      </c>
      <c r="EO49" s="14">
        <v>4</v>
      </c>
      <c r="EP49" s="14">
        <v>2</v>
      </c>
      <c r="EQ49" s="14">
        <f>IFERROR(AVERAGE(Tabel1[[#This Row],[Do - F1a]:[Do - F1c]]),"")</f>
        <v>3</v>
      </c>
      <c r="ER49" s="14">
        <v>4</v>
      </c>
      <c r="ES49" s="14">
        <f>IFERROR(AVERAGE(Tabel1[[#This Row],[Do - F2a]:[Do - F2a]]),"")</f>
        <v>4</v>
      </c>
      <c r="ET49" s="14">
        <v>3</v>
      </c>
      <c r="EU49" s="14">
        <v>3</v>
      </c>
      <c r="EV49" s="14">
        <f>IFERROR(AVERAGE(Tabel1[[#This Row],[Do - F3a]:[Do - F3b]]),"")</f>
        <v>3</v>
      </c>
      <c r="EW49" s="14">
        <v>3</v>
      </c>
      <c r="EX49" s="14">
        <f>IFERROR(AVERAGE(Tabel1[[#This Row],[Do - F1]],Tabel1[[#This Row],[Do - F2]],Tabel1[[#This Row],[Do - F3]],Tabel1[[#This Row],[Do - F4]]),"")</f>
        <v>3.25</v>
      </c>
      <c r="EY49" s="14">
        <v>2</v>
      </c>
      <c r="EZ49" s="14">
        <v>3</v>
      </c>
      <c r="FA49" s="14">
        <v>4</v>
      </c>
      <c r="FB49" s="14">
        <f>IFERROR(AVERAGE(Tabel1[[#This Row],[Do - V1a]:[Do - V1c]]),"")</f>
        <v>3</v>
      </c>
      <c r="FC49" s="14">
        <v>2</v>
      </c>
      <c r="FD49" s="14">
        <v>2</v>
      </c>
      <c r="FE49" s="14">
        <f>IFERROR(AVERAGE(Tabel1[[#This Row],[Do - V2a]:[Do - V2b]]),"")</f>
        <v>2</v>
      </c>
      <c r="FF49" s="14">
        <v>3</v>
      </c>
      <c r="FG49" s="14">
        <f>IFERROR(AVERAGE(Tabel1[[#This Row],[Do - V3a]:[Do - V3a]]),"")</f>
        <v>3</v>
      </c>
      <c r="FH49" s="14">
        <v>4</v>
      </c>
      <c r="FI49" s="14">
        <f>IFERROR(AVERAGE(Tabel1[[#This Row],[Do - V1]],Tabel1[[#This Row],[Do - V2]],Tabel1[[#This Row],[Do - V3]],Tabel1[[#This Row],[Do - V4]]),"")</f>
        <v>3</v>
      </c>
      <c r="FJ49" s="14">
        <v>4</v>
      </c>
      <c r="FK49" s="14">
        <v>3</v>
      </c>
      <c r="FL49" s="14">
        <v>4</v>
      </c>
      <c r="FM49" s="14">
        <f>IFERROR(AVERAGE(Tabel1[[#This Row],[Do - A1a]:[Do - A1c]]),"")</f>
        <v>3.6666666666666665</v>
      </c>
      <c r="FN49" s="14">
        <v>4</v>
      </c>
      <c r="FO49" s="14">
        <v>3</v>
      </c>
      <c r="FP49" s="14">
        <f>IFERROR(AVERAGE(Tabel1[[#This Row],[Do - A2a]:[Do - A2b]]),"")</f>
        <v>3.5</v>
      </c>
      <c r="FQ49" s="14" t="s">
        <v>189</v>
      </c>
      <c r="FR49" s="14" t="str">
        <f>IFERROR(AVERAGE(Tabel1[[#This Row],[Do - A3a]:[Do - A3a]]),"")</f>
        <v/>
      </c>
      <c r="FS49" s="14">
        <v>2</v>
      </c>
      <c r="FT49" s="14">
        <f>IFERROR(AVERAGE(Tabel1[[#This Row],[Do - A1]],Tabel1[[#This Row],[Do - A2]],Tabel1[[#This Row],[Do - A3]],Tabel1[[#This Row],[Do - A4]]),"")</f>
        <v>3.0555555555555554</v>
      </c>
      <c r="FU4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2.9853703703703705</v>
      </c>
      <c r="FV49" s="16" t="s">
        <v>443</v>
      </c>
      <c r="FW49" t="b">
        <v>1</v>
      </c>
    </row>
    <row r="50" spans="1:179" x14ac:dyDescent="0.3">
      <c r="A50" s="13">
        <v>44923.46503472222</v>
      </c>
      <c r="B50" t="b">
        <v>0</v>
      </c>
      <c r="C50" s="14" t="s">
        <v>444</v>
      </c>
      <c r="D50" s="14" t="s">
        <v>445</v>
      </c>
      <c r="E50" s="14" t="s">
        <v>437</v>
      </c>
      <c r="F50" s="14" t="s">
        <v>184</v>
      </c>
      <c r="G50" s="14" t="s">
        <v>446</v>
      </c>
      <c r="H50" s="14" t="s">
        <v>222</v>
      </c>
      <c r="I50" s="14" t="s">
        <v>195</v>
      </c>
      <c r="J50" s="14" t="s">
        <v>261</v>
      </c>
      <c r="K50" s="14" t="s">
        <v>235</v>
      </c>
      <c r="L50" s="14" t="s">
        <v>249</v>
      </c>
      <c r="M50" s="14" t="s">
        <v>198</v>
      </c>
      <c r="N50" s="14" t="s">
        <v>199</v>
      </c>
      <c r="O50" s="14" t="s">
        <v>200</v>
      </c>
      <c r="P50" s="17" t="s">
        <v>255</v>
      </c>
      <c r="Q50" s="14" t="s">
        <v>235</v>
      </c>
      <c r="R50" s="14" t="s">
        <v>202</v>
      </c>
      <c r="S50" s="14" t="s">
        <v>202</v>
      </c>
      <c r="T50" s="14" t="s">
        <v>204</v>
      </c>
      <c r="U50" s="14" t="s">
        <v>285</v>
      </c>
      <c r="V50" s="14" t="s">
        <v>359</v>
      </c>
      <c r="W50" s="14" t="s">
        <v>207</v>
      </c>
      <c r="X50" s="14" t="s">
        <v>306</v>
      </c>
      <c r="Y50" s="14">
        <v>4</v>
      </c>
      <c r="Z50" s="14">
        <v>2</v>
      </c>
      <c r="AA50" s="14">
        <v>1</v>
      </c>
      <c r="AB50" s="15">
        <f>IFERROR(AVERAGE(Tabel1[[#This Row],[Up - R1a]:[Up - R1c]]),"")</f>
        <v>2.3333333333333335</v>
      </c>
      <c r="AC50" s="14">
        <v>1</v>
      </c>
      <c r="AD50" s="14">
        <v>3</v>
      </c>
      <c r="AE50" s="14">
        <v>1</v>
      </c>
      <c r="AF50" s="14">
        <v>4</v>
      </c>
      <c r="AG50" s="14">
        <f>IFERROR(AVERAGE(Tabel1[[#This Row],[Up - R1]:[Up - R5]]),"")</f>
        <v>2.2666666666666666</v>
      </c>
      <c r="AH50" s="14">
        <v>2</v>
      </c>
      <c r="AI50" s="14">
        <v>5</v>
      </c>
      <c r="AJ50" s="14">
        <v>3</v>
      </c>
      <c r="AK50" s="14">
        <f>IFERROR(AVERAGE(Tabel1[[#This Row],[Up - C1a]:[Up - C1c]]),"")</f>
        <v>3.3333333333333335</v>
      </c>
      <c r="AL50" s="14">
        <v>1</v>
      </c>
      <c r="AM50" s="14">
        <v>1</v>
      </c>
      <c r="AN50" s="14">
        <v>1</v>
      </c>
      <c r="AO50" s="14">
        <f>IFERROR(AVERAGE(Tabel1[[#This Row],[Up - C1]:[Up - C4]]),"")</f>
        <v>1.5833333333333335</v>
      </c>
      <c r="AP50" s="14">
        <v>3</v>
      </c>
      <c r="AQ50" s="14">
        <f>IFERROR(AVERAGE(Tabel1[[#This Row],[Up - F1a]:[Up - F1a]]),"")</f>
        <v>3</v>
      </c>
      <c r="AR50" s="14">
        <v>2</v>
      </c>
      <c r="AS50" s="14">
        <v>2</v>
      </c>
      <c r="AT50" s="14">
        <f>IFERROR(AVERAGE(Tabel1[[#This Row],[Up - F2a]:[Up - F2b]]),"")</f>
        <v>2</v>
      </c>
      <c r="AU50" s="14">
        <v>2</v>
      </c>
      <c r="AV50" s="14">
        <v>1</v>
      </c>
      <c r="AW50" s="14">
        <f>IFERROR(AVERAGE(Tabel1[[#This Row],[Up - F3a]:[Up - F3b]]),"")</f>
        <v>1.5</v>
      </c>
      <c r="AX50" s="14">
        <v>2</v>
      </c>
      <c r="AY50" s="14">
        <f>IFERROR(AVERAGE(Tabel1[[#This Row],[Up - F1]],Tabel1[[#This Row],[Up - F2]],Tabel1[[#This Row],[Up - F3]],Tabel1[[#This Row],[Up - F4]]),"")</f>
        <v>2.125</v>
      </c>
      <c r="AZ50" s="14">
        <v>1</v>
      </c>
      <c r="BA50" s="14">
        <v>5</v>
      </c>
      <c r="BB50" s="14">
        <f>IFERROR(AVERAGE(Tabel1[[#This Row],[Up - V1a]:[Up - V1b]]),"")</f>
        <v>3</v>
      </c>
      <c r="BC50" s="14">
        <v>2</v>
      </c>
      <c r="BD50" s="14">
        <v>2</v>
      </c>
      <c r="BE50" s="14">
        <v>2</v>
      </c>
      <c r="BF50" s="14">
        <f>IFERROR(AVERAGE(Tabel1[[#This Row],[Up - V2a]:[Up - V2c]]),"")</f>
        <v>2</v>
      </c>
      <c r="BG50" s="14">
        <v>1</v>
      </c>
      <c r="BH50" s="14">
        <v>2</v>
      </c>
      <c r="BI50" s="14">
        <f>IFERROR(AVERAGE(Tabel1[[#This Row],[Up - V3a]:[Up - V3b]]),"")</f>
        <v>1.5</v>
      </c>
      <c r="BJ50" s="14">
        <v>1</v>
      </c>
      <c r="BK50" s="14">
        <f>IFERROR(AVERAGE(Tabel1[[#This Row],[Up - V1]],Tabel1[[#This Row],[Up - V2]],Tabel1[[#This Row],[Up - V3]],Tabel1[[#This Row],[Up - V4]]),"")</f>
        <v>1.875</v>
      </c>
      <c r="BL50" s="14">
        <v>3</v>
      </c>
      <c r="BM50" s="14">
        <v>2</v>
      </c>
      <c r="BN50" s="14">
        <v>3</v>
      </c>
      <c r="BO50" s="14">
        <v>3</v>
      </c>
      <c r="BP50" s="14">
        <f>IFERROR(AVERAGE(Tabel1[[#This Row],[Up - A1a]:[Up - A1d]]),"")</f>
        <v>2.75</v>
      </c>
      <c r="BQ50" s="14">
        <v>3</v>
      </c>
      <c r="BR50" s="14">
        <v>3</v>
      </c>
      <c r="BS50" s="14">
        <f>IFERROR(AVERAGE(Tabel1[[#This Row],[Up - A2a]:[Up - A2b]]),"")</f>
        <v>3</v>
      </c>
      <c r="BT50" s="14">
        <v>2</v>
      </c>
      <c r="BU50" s="14">
        <f>IFERROR(AVERAGE(Tabel1[[#This Row],[Up - A3a]:[Up - A3a]]),"")</f>
        <v>2</v>
      </c>
      <c r="BV50" s="14">
        <v>2</v>
      </c>
      <c r="BW50" s="14">
        <f>IFERROR(AVERAGE(Tabel1[[#This Row],[Up - A1]],Tabel1[[#This Row],[Up - A2]],Tabel1[[#This Row],[Up - A3]]),"")</f>
        <v>2.5833333333333335</v>
      </c>
      <c r="BX50" s="14">
        <v>2</v>
      </c>
      <c r="BY50" s="14">
        <v>2</v>
      </c>
      <c r="BZ50" s="14">
        <f>IFERROR(AVERAGE(Tabel1[[#This Row],[In - R1a]:[In - R1b]]),"")</f>
        <v>2</v>
      </c>
      <c r="CA50" s="14">
        <v>2</v>
      </c>
      <c r="CB50" s="14">
        <v>2</v>
      </c>
      <c r="CC50" s="14">
        <v>1</v>
      </c>
      <c r="CD50" s="14">
        <v>5</v>
      </c>
      <c r="CE50" s="14">
        <f>IFERROR(AVERAGE(Tabel1[[#This Row],[In - R1]:[In - R5]]),"")</f>
        <v>2.4</v>
      </c>
      <c r="CF50" s="14">
        <v>5</v>
      </c>
      <c r="CG50" s="14">
        <v>5</v>
      </c>
      <c r="CH50" s="14">
        <v>3</v>
      </c>
      <c r="CI50" s="14">
        <f>IFERROR(AVERAGE(Tabel1[[#This Row],[In - C1a]:[In - C1c]]),"")</f>
        <v>4.333333333333333</v>
      </c>
      <c r="CJ50" s="14">
        <v>2</v>
      </c>
      <c r="CK50" s="14">
        <v>2</v>
      </c>
      <c r="CL50" s="14">
        <v>3</v>
      </c>
      <c r="CM50" s="14">
        <f>IFERROR(AVERAGE(Tabel1[[#This Row],[In - C1]:[In - C4]]),"")</f>
        <v>2.833333333333333</v>
      </c>
      <c r="CN50" s="14">
        <v>2</v>
      </c>
      <c r="CO50" s="14">
        <v>3</v>
      </c>
      <c r="CP50" s="14">
        <v>1</v>
      </c>
      <c r="CQ50" s="14">
        <f>IFERROR(AVERAGE(Tabel1[[#This Row],[In - F1a]:[In - F1c]]),"")</f>
        <v>2</v>
      </c>
      <c r="CR50" s="14">
        <v>4</v>
      </c>
      <c r="CS50" s="14">
        <v>2</v>
      </c>
      <c r="CT50" s="14">
        <f>IFERROR(AVERAGE(Tabel1[[#This Row],[In - F2a]:[In - F2b]]),"")</f>
        <v>3</v>
      </c>
      <c r="CU50" s="14">
        <v>1</v>
      </c>
      <c r="CV50" s="14">
        <f>IFERROR(AVERAGE(Tabel1[[#This Row],[In - F3a]:[In - F3a]]),"")</f>
        <v>1</v>
      </c>
      <c r="CW50" s="14">
        <v>5</v>
      </c>
      <c r="CX50" s="14">
        <f>IFERROR(AVERAGE(Tabel1[[#This Row],[In - F1]],Tabel1[[#This Row],[In - F2]],Tabel1[[#This Row],[In - F3]],Tabel1[[#This Row],[In - F4]]),"")</f>
        <v>2.75</v>
      </c>
      <c r="CY50" s="14">
        <v>2</v>
      </c>
      <c r="CZ50" s="14">
        <v>2</v>
      </c>
      <c r="DA50" s="14">
        <v>1</v>
      </c>
      <c r="DB50" s="14">
        <f>IFERROR(AVERAGE(Tabel1[[#This Row],[In - V1a]:[In - V1c]]),"")</f>
        <v>1.6666666666666667</v>
      </c>
      <c r="DC50" s="14">
        <v>1</v>
      </c>
      <c r="DD50" s="14">
        <v>2</v>
      </c>
      <c r="DE50" s="14">
        <v>2</v>
      </c>
      <c r="DF50" s="14">
        <f>IFERROR(AVERAGE(Tabel1[[#This Row],[In - V2a]:[In - V2c]]),"")</f>
        <v>1.6666666666666667</v>
      </c>
      <c r="DG50" s="14">
        <v>2</v>
      </c>
      <c r="DH50" s="14">
        <v>2</v>
      </c>
      <c r="DI50" s="14">
        <f>IFERROR(AVERAGE(Tabel1[[#This Row],[In - V3a]:[In - V3b]]),"")</f>
        <v>2</v>
      </c>
      <c r="DJ50" s="14">
        <v>2</v>
      </c>
      <c r="DK50" s="14">
        <f>IFERROR(AVERAGE(Tabel1[[#This Row],[In - V1]],Tabel1[[#This Row],[In - V2]],Tabel1[[#This Row],[In - V3]],Tabel1[[#This Row],[In - V4]]),"")</f>
        <v>1.8333333333333335</v>
      </c>
      <c r="DL50" s="14">
        <v>3</v>
      </c>
      <c r="DM50" s="14">
        <v>1</v>
      </c>
      <c r="DN50" s="14">
        <f>IFERROR(AVERAGE(Tabel1[[#This Row],[In - A1a]:[In - A1b]]),"")</f>
        <v>2</v>
      </c>
      <c r="DO50" s="14">
        <v>3</v>
      </c>
      <c r="DP50" s="14">
        <v>2</v>
      </c>
      <c r="DQ50" s="14">
        <f>IFERROR(AVERAGE(Tabel1[[#This Row],[In - A2a]:[In - A2b]]),"")</f>
        <v>2.5</v>
      </c>
      <c r="DR50" s="14">
        <v>2</v>
      </c>
      <c r="DS50" s="14">
        <v>3</v>
      </c>
      <c r="DT50" s="14">
        <f>IFERROR(AVERAGE(Tabel1[[#This Row],[In - A3a]:[In - A3a]]),"")</f>
        <v>2</v>
      </c>
      <c r="DU50" s="14">
        <v>2</v>
      </c>
      <c r="DV50" s="14">
        <f>IFERROR(AVERAGE(Tabel1[[#This Row],[In - A1]],Tabel1[[#This Row],[In - A2]],Tabel1[[#This Row],[In - A3]],Tabel1[[#This Row],[In - A4]]),"")</f>
        <v>2.125</v>
      </c>
      <c r="DW50" s="14">
        <v>4</v>
      </c>
      <c r="DX50" s="14">
        <v>3</v>
      </c>
      <c r="DY50" s="14">
        <v>3</v>
      </c>
      <c r="DZ50" s="14">
        <f>IFERROR(AVERAGE(Tabel1[[#This Row],[Do - R1a]:[Do - R1c]]),"")</f>
        <v>3.3333333333333335</v>
      </c>
      <c r="EA50" s="14">
        <v>3</v>
      </c>
      <c r="EB50" s="14">
        <v>3</v>
      </c>
      <c r="EC50" s="14">
        <v>2</v>
      </c>
      <c r="ED50" s="14">
        <v>4</v>
      </c>
      <c r="EE50" s="14">
        <f>IFERROR(AVERAGE(Tabel1[[#This Row],[Do - R1]:[Do - R5]]),"")</f>
        <v>3.0666666666666669</v>
      </c>
      <c r="EF50" s="14">
        <v>2</v>
      </c>
      <c r="EG50" s="14">
        <v>4</v>
      </c>
      <c r="EH50" s="14">
        <v>3</v>
      </c>
      <c r="EI50" s="14">
        <f>IFERROR(AVERAGE(Tabel1[[#This Row],[Do - C1a]:[Do - C1c]]),"")</f>
        <v>3</v>
      </c>
      <c r="EJ50" s="14">
        <v>2</v>
      </c>
      <c r="EK50" s="14">
        <v>1</v>
      </c>
      <c r="EL50" s="14">
        <v>1</v>
      </c>
      <c r="EM50" s="14">
        <f>IFERROR(AVERAGE(Tabel1[[#This Row],[Do - C1]:[Do - C4]]),"")</f>
        <v>1.75</v>
      </c>
      <c r="EN50" s="14">
        <v>1</v>
      </c>
      <c r="EO50" s="14">
        <v>3</v>
      </c>
      <c r="EP50" s="14">
        <v>3</v>
      </c>
      <c r="EQ50" s="14">
        <f>IFERROR(AVERAGE(Tabel1[[#This Row],[Do - F1a]:[Do - F1c]]),"")</f>
        <v>2.3333333333333335</v>
      </c>
      <c r="ER50" s="14">
        <v>3</v>
      </c>
      <c r="ES50" s="14">
        <f>IFERROR(AVERAGE(Tabel1[[#This Row],[Do - F2a]:[Do - F2a]]),"")</f>
        <v>3</v>
      </c>
      <c r="ET50" s="14">
        <v>2</v>
      </c>
      <c r="EU50" s="14">
        <v>1</v>
      </c>
      <c r="EV50" s="14">
        <f>IFERROR(AVERAGE(Tabel1[[#This Row],[Do - F3a]:[Do - F3b]]),"")</f>
        <v>1.5</v>
      </c>
      <c r="EW50" s="14">
        <v>2</v>
      </c>
      <c r="EX50" s="14">
        <f>IFERROR(AVERAGE(Tabel1[[#This Row],[Do - F1]],Tabel1[[#This Row],[Do - F2]],Tabel1[[#This Row],[Do - F3]],Tabel1[[#This Row],[Do - F4]]),"")</f>
        <v>2.2083333333333335</v>
      </c>
      <c r="EY50" s="14">
        <v>2</v>
      </c>
      <c r="EZ50" s="14">
        <v>2</v>
      </c>
      <c r="FA50" s="14">
        <v>2</v>
      </c>
      <c r="FB50" s="14">
        <f>IFERROR(AVERAGE(Tabel1[[#This Row],[Do - V1a]:[Do - V1c]]),"")</f>
        <v>2</v>
      </c>
      <c r="FC50" s="14">
        <v>2</v>
      </c>
      <c r="FD50" s="14">
        <v>2</v>
      </c>
      <c r="FE50" s="14">
        <f>IFERROR(AVERAGE(Tabel1[[#This Row],[Do - V2a]:[Do - V2b]]),"")</f>
        <v>2</v>
      </c>
      <c r="FF50" s="14">
        <v>1</v>
      </c>
      <c r="FG50" s="14">
        <f>IFERROR(AVERAGE(Tabel1[[#This Row],[Do - V3a]:[Do - V3a]]),"")</f>
        <v>1</v>
      </c>
      <c r="FH50" s="14">
        <v>2</v>
      </c>
      <c r="FI50" s="14">
        <f>IFERROR(AVERAGE(Tabel1[[#This Row],[Do - V1]],Tabel1[[#This Row],[Do - V2]],Tabel1[[#This Row],[Do - V3]],Tabel1[[#This Row],[Do - V4]]),"")</f>
        <v>1.75</v>
      </c>
      <c r="FJ50" s="14">
        <v>3</v>
      </c>
      <c r="FK50" s="14">
        <v>2</v>
      </c>
      <c r="FL50" s="14">
        <v>3</v>
      </c>
      <c r="FM50" s="14">
        <f>IFERROR(AVERAGE(Tabel1[[#This Row],[Do - A1a]:[Do - A1c]]),"")</f>
        <v>2.6666666666666665</v>
      </c>
      <c r="FN50" s="14">
        <v>3</v>
      </c>
      <c r="FO50" s="14">
        <v>3</v>
      </c>
      <c r="FP50" s="14">
        <f>IFERROR(AVERAGE(Tabel1[[#This Row],[Do - A2a]:[Do - A2b]]),"")</f>
        <v>3</v>
      </c>
      <c r="FQ50" s="14">
        <v>2</v>
      </c>
      <c r="FR50" s="14">
        <f>IFERROR(AVERAGE(Tabel1[[#This Row],[Do - A3a]:[Do - A3a]]),"")</f>
        <v>2</v>
      </c>
      <c r="FS50" s="14">
        <v>2</v>
      </c>
      <c r="FT50" s="14">
        <f>IFERROR(AVERAGE(Tabel1[[#This Row],[Do - A1]],Tabel1[[#This Row],[Do - A2]],Tabel1[[#This Row],[Do - A3]],Tabel1[[#This Row],[Do - A4]]),"")</f>
        <v>2.4166666666666665</v>
      </c>
      <c r="FU5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2.2377777777777776</v>
      </c>
      <c r="FV50" s="16" t="s">
        <v>447</v>
      </c>
      <c r="FW50" t="b">
        <v>1</v>
      </c>
    </row>
    <row r="51" spans="1:179" x14ac:dyDescent="0.3">
      <c r="A51" s="13">
        <v>44925.380428240744</v>
      </c>
      <c r="B51" t="b">
        <v>0</v>
      </c>
      <c r="C51" s="14" t="s">
        <v>448</v>
      </c>
      <c r="D51" s="14" t="s">
        <v>449</v>
      </c>
      <c r="E51" s="14" t="s">
        <v>450</v>
      </c>
      <c r="F51" s="14" t="s">
        <v>184</v>
      </c>
      <c r="G51" s="14" t="s">
        <v>451</v>
      </c>
      <c r="H51" s="14" t="s">
        <v>222</v>
      </c>
      <c r="I51" s="14" t="s">
        <v>243</v>
      </c>
      <c r="J51" s="14" t="s">
        <v>248</v>
      </c>
      <c r="K51" s="14" t="s">
        <v>201</v>
      </c>
      <c r="L51" s="14" t="s">
        <v>218</v>
      </c>
      <c r="M51" s="14" t="s">
        <v>281</v>
      </c>
      <c r="N51" s="14" t="s">
        <v>316</v>
      </c>
      <c r="O51" s="14" t="s">
        <v>200</v>
      </c>
      <c r="P51" s="17" t="s">
        <v>304</v>
      </c>
      <c r="Q51" s="14" t="s">
        <v>203</v>
      </c>
      <c r="R51" s="14" t="s">
        <v>235</v>
      </c>
      <c r="S51" s="14" t="s">
        <v>235</v>
      </c>
      <c r="T51" s="14" t="s">
        <v>284</v>
      </c>
      <c r="U51" s="14" t="s">
        <v>285</v>
      </c>
      <c r="V51" s="14" t="s">
        <v>359</v>
      </c>
      <c r="W51" s="14" t="s">
        <v>207</v>
      </c>
      <c r="X51" s="14" t="s">
        <v>395</v>
      </c>
      <c r="Y51" s="14">
        <v>3</v>
      </c>
      <c r="Z51" s="14">
        <v>3</v>
      </c>
      <c r="AA51" s="14">
        <v>2</v>
      </c>
      <c r="AB51" s="15">
        <f>IFERROR(AVERAGE(Tabel1[[#This Row],[Up - R1a]:[Up - R1c]]),"")</f>
        <v>2.6666666666666665</v>
      </c>
      <c r="AC51" s="14">
        <v>1</v>
      </c>
      <c r="AD51" s="14">
        <v>4</v>
      </c>
      <c r="AE51" s="14">
        <v>1</v>
      </c>
      <c r="AF51" s="14">
        <v>3</v>
      </c>
      <c r="AG51" s="14">
        <f>IFERROR(AVERAGE(Tabel1[[#This Row],[Up - R1]:[Up - R5]]),"")</f>
        <v>2.333333333333333</v>
      </c>
      <c r="AH51" s="14">
        <v>3</v>
      </c>
      <c r="AI51" s="14">
        <v>3</v>
      </c>
      <c r="AJ51" s="14">
        <v>2</v>
      </c>
      <c r="AK51" s="14">
        <f>IFERROR(AVERAGE(Tabel1[[#This Row],[Up - C1a]:[Up - C1c]]),"")</f>
        <v>2.6666666666666665</v>
      </c>
      <c r="AL51" s="14">
        <v>4</v>
      </c>
      <c r="AM51" s="14">
        <v>1</v>
      </c>
      <c r="AN51" s="14">
        <v>4</v>
      </c>
      <c r="AO51" s="14">
        <f>IFERROR(AVERAGE(Tabel1[[#This Row],[Up - C1]:[Up - C4]]),"")</f>
        <v>2.9166666666666665</v>
      </c>
      <c r="AP51" s="14">
        <v>1</v>
      </c>
      <c r="AQ51" s="14">
        <f>IFERROR(AVERAGE(Tabel1[[#This Row],[Up - F1a]:[Up - F1a]]),"")</f>
        <v>1</v>
      </c>
      <c r="AR51" s="14">
        <v>1</v>
      </c>
      <c r="AS51" s="14" t="s">
        <v>189</v>
      </c>
      <c r="AT51" s="14">
        <f>IFERROR(AVERAGE(Tabel1[[#This Row],[Up - F2a]:[Up - F2b]]),"")</f>
        <v>1</v>
      </c>
      <c r="AU51" s="14">
        <v>1</v>
      </c>
      <c r="AV51" s="14">
        <v>1</v>
      </c>
      <c r="AW51" s="14">
        <f>IFERROR(AVERAGE(Tabel1[[#This Row],[Up - F3a]:[Up - F3b]]),"")</f>
        <v>1</v>
      </c>
      <c r="AX51" s="14">
        <v>4</v>
      </c>
      <c r="AY51" s="14">
        <f>IFERROR(AVERAGE(Tabel1[[#This Row],[Up - F1]],Tabel1[[#This Row],[Up - F2]],Tabel1[[#This Row],[Up - F3]],Tabel1[[#This Row],[Up - F4]]),"")</f>
        <v>1.75</v>
      </c>
      <c r="AZ51" s="14">
        <v>1</v>
      </c>
      <c r="BA51" s="14">
        <v>2</v>
      </c>
      <c r="BB51" s="14">
        <f>IFERROR(AVERAGE(Tabel1[[#This Row],[Up - V1a]:[Up - V1b]]),"")</f>
        <v>1.5</v>
      </c>
      <c r="BC51" s="14">
        <v>2</v>
      </c>
      <c r="BD51" s="14">
        <v>1</v>
      </c>
      <c r="BE51" s="14">
        <v>1</v>
      </c>
      <c r="BF51" s="14">
        <f>IFERROR(AVERAGE(Tabel1[[#This Row],[Up - V2a]:[Up - V2c]]),"")</f>
        <v>1.3333333333333333</v>
      </c>
      <c r="BG51" s="14">
        <v>4</v>
      </c>
      <c r="BH51" s="14">
        <v>1</v>
      </c>
      <c r="BI51" s="14">
        <f>IFERROR(AVERAGE(Tabel1[[#This Row],[Up - V3a]:[Up - V3b]]),"")</f>
        <v>2.5</v>
      </c>
      <c r="BJ51" s="14">
        <v>3</v>
      </c>
      <c r="BK51" s="14">
        <f>IFERROR(AVERAGE(Tabel1[[#This Row],[Up - V1]],Tabel1[[#This Row],[Up - V2]],Tabel1[[#This Row],[Up - V3]],Tabel1[[#This Row],[Up - V4]]),"")</f>
        <v>2.083333333333333</v>
      </c>
      <c r="BL51" s="14">
        <v>3</v>
      </c>
      <c r="BM51" s="14">
        <v>4</v>
      </c>
      <c r="BN51" s="14">
        <v>5</v>
      </c>
      <c r="BO51" s="14">
        <v>4</v>
      </c>
      <c r="BP51" s="14">
        <f>IFERROR(AVERAGE(Tabel1[[#This Row],[Up - A1a]:[Up - A1d]]),"")</f>
        <v>4</v>
      </c>
      <c r="BQ51" s="14">
        <v>4</v>
      </c>
      <c r="BR51" s="14">
        <v>4</v>
      </c>
      <c r="BS51" s="14">
        <f>IFERROR(AVERAGE(Tabel1[[#This Row],[Up - A2a]:[Up - A2b]]),"")</f>
        <v>4</v>
      </c>
      <c r="BT51" s="14">
        <v>4</v>
      </c>
      <c r="BU51" s="14">
        <f>IFERROR(AVERAGE(Tabel1[[#This Row],[Up - A3a]:[Up - A3a]]),"")</f>
        <v>4</v>
      </c>
      <c r="BV51" s="14">
        <v>4</v>
      </c>
      <c r="BW51" s="14">
        <f>IFERROR(AVERAGE(Tabel1[[#This Row],[Up - A1]],Tabel1[[#This Row],[Up - A2]],Tabel1[[#This Row],[Up - A3]]),"")</f>
        <v>4</v>
      </c>
      <c r="BX51" s="14" t="s">
        <v>189</v>
      </c>
      <c r="BY51" s="14" t="s">
        <v>189</v>
      </c>
      <c r="BZ51" s="14" t="str">
        <f>IFERROR(AVERAGE(Tabel1[[#This Row],[In - R1a]:[In - R1b]]),"")</f>
        <v/>
      </c>
      <c r="CA51" s="14">
        <v>4</v>
      </c>
      <c r="CB51" s="14">
        <v>4</v>
      </c>
      <c r="CC51" s="14" t="s">
        <v>189</v>
      </c>
      <c r="CD51" s="14">
        <v>5</v>
      </c>
      <c r="CE51" s="14">
        <f>IFERROR(AVERAGE(Tabel1[[#This Row],[In - R1]:[In - R5]]),"")</f>
        <v>4.333333333333333</v>
      </c>
      <c r="CF51" s="14">
        <v>4</v>
      </c>
      <c r="CG51" s="14">
        <v>4</v>
      </c>
      <c r="CH51" s="14">
        <v>5</v>
      </c>
      <c r="CI51" s="14">
        <f>IFERROR(AVERAGE(Tabel1[[#This Row],[In - C1a]:[In - C1c]]),"")</f>
        <v>4.333333333333333</v>
      </c>
      <c r="CJ51" s="14">
        <v>4</v>
      </c>
      <c r="CK51" s="14">
        <v>2</v>
      </c>
      <c r="CL51" s="14">
        <v>4</v>
      </c>
      <c r="CM51" s="14">
        <f>IFERROR(AVERAGE(Tabel1[[#This Row],[In - C1]:[In - C4]]),"")</f>
        <v>3.583333333333333</v>
      </c>
      <c r="CN51" s="14">
        <v>4</v>
      </c>
      <c r="CO51" s="14">
        <v>3</v>
      </c>
      <c r="CP51" s="14">
        <v>2</v>
      </c>
      <c r="CQ51" s="14">
        <f>IFERROR(AVERAGE(Tabel1[[#This Row],[In - F1a]:[In - F1c]]),"")</f>
        <v>3</v>
      </c>
      <c r="CR51" s="14" t="s">
        <v>189</v>
      </c>
      <c r="CS51" s="14" t="s">
        <v>189</v>
      </c>
      <c r="CT51" s="14" t="str">
        <f>IFERROR(AVERAGE(Tabel1[[#This Row],[In - F2a]:[In - F2b]]),"")</f>
        <v/>
      </c>
      <c r="CU51" s="14" t="s">
        <v>189</v>
      </c>
      <c r="CV51" s="14" t="str">
        <f>IFERROR(AVERAGE(Tabel1[[#This Row],[In - F3a]:[In - F3a]]),"")</f>
        <v/>
      </c>
      <c r="CW51" s="14">
        <v>3</v>
      </c>
      <c r="CX51" s="14">
        <f>IFERROR(AVERAGE(Tabel1[[#This Row],[In - F1]],Tabel1[[#This Row],[In - F2]],Tabel1[[#This Row],[In - F3]],Tabel1[[#This Row],[In - F4]]),"")</f>
        <v>3</v>
      </c>
      <c r="CY51" s="14">
        <v>4</v>
      </c>
      <c r="CZ51" s="14">
        <v>4</v>
      </c>
      <c r="DA51" s="14">
        <v>4</v>
      </c>
      <c r="DB51" s="14">
        <f>IFERROR(AVERAGE(Tabel1[[#This Row],[In - V1a]:[In - V1c]]),"")</f>
        <v>4</v>
      </c>
      <c r="DC51" s="14">
        <v>5</v>
      </c>
      <c r="DD51" s="14">
        <v>4</v>
      </c>
      <c r="DE51" s="14">
        <v>5</v>
      </c>
      <c r="DF51" s="14">
        <f>IFERROR(AVERAGE(Tabel1[[#This Row],[In - V2a]:[In - V2c]]),"")</f>
        <v>4.666666666666667</v>
      </c>
      <c r="DG51" s="14">
        <v>3</v>
      </c>
      <c r="DH51" s="14">
        <v>4</v>
      </c>
      <c r="DI51" s="14">
        <f>IFERROR(AVERAGE(Tabel1[[#This Row],[In - V3a]:[In - V3b]]),"")</f>
        <v>3.5</v>
      </c>
      <c r="DJ51" s="14">
        <v>4</v>
      </c>
      <c r="DK51" s="14">
        <f>IFERROR(AVERAGE(Tabel1[[#This Row],[In - V1]],Tabel1[[#This Row],[In - V2]],Tabel1[[#This Row],[In - V3]],Tabel1[[#This Row],[In - V4]]),"")</f>
        <v>4.041666666666667</v>
      </c>
      <c r="DL51" s="14">
        <v>5</v>
      </c>
      <c r="DM51" s="14" t="s">
        <v>189</v>
      </c>
      <c r="DN51" s="14">
        <f>IFERROR(AVERAGE(Tabel1[[#This Row],[In - A1a]:[In - A1b]]),"")</f>
        <v>5</v>
      </c>
      <c r="DO51" s="14" t="s">
        <v>189</v>
      </c>
      <c r="DP51" s="14">
        <v>3</v>
      </c>
      <c r="DQ51" s="14">
        <f>IFERROR(AVERAGE(Tabel1[[#This Row],[In - A2a]:[In - A2b]]),"")</f>
        <v>3</v>
      </c>
      <c r="DR51" s="14">
        <v>5</v>
      </c>
      <c r="DS51" s="14">
        <v>4</v>
      </c>
      <c r="DT51" s="14">
        <f>IFERROR(AVERAGE(Tabel1[[#This Row],[In - A3a]:[In - A3a]]),"")</f>
        <v>5</v>
      </c>
      <c r="DU51" s="14">
        <v>4</v>
      </c>
      <c r="DV51" s="14">
        <f>IFERROR(AVERAGE(Tabel1[[#This Row],[In - A1]],Tabel1[[#This Row],[In - A2]],Tabel1[[#This Row],[In - A3]],Tabel1[[#This Row],[In - A4]]),"")</f>
        <v>4.25</v>
      </c>
      <c r="DW51" s="14">
        <v>4</v>
      </c>
      <c r="DX51" s="14">
        <v>4</v>
      </c>
      <c r="DY51" s="14">
        <v>3</v>
      </c>
      <c r="DZ51" s="14">
        <f>IFERROR(AVERAGE(Tabel1[[#This Row],[Do - R1a]:[Do - R1c]]),"")</f>
        <v>3.6666666666666665</v>
      </c>
      <c r="EA51" s="14">
        <v>4</v>
      </c>
      <c r="EB51" s="14">
        <v>4</v>
      </c>
      <c r="EC51" s="14">
        <v>4</v>
      </c>
      <c r="ED51" s="14">
        <v>3</v>
      </c>
      <c r="EE51" s="14">
        <f>IFERROR(AVERAGE(Tabel1[[#This Row],[Do - R1]:[Do - R5]]),"")</f>
        <v>3.7333333333333329</v>
      </c>
      <c r="EF51" s="14">
        <v>3</v>
      </c>
      <c r="EG51" s="14">
        <v>4</v>
      </c>
      <c r="EH51" s="14">
        <v>3</v>
      </c>
      <c r="EI51" s="14">
        <f>IFERROR(AVERAGE(Tabel1[[#This Row],[Do - C1a]:[Do - C1c]]),"")</f>
        <v>3.3333333333333335</v>
      </c>
      <c r="EJ51" s="14">
        <v>2</v>
      </c>
      <c r="EK51" s="14">
        <v>2</v>
      </c>
      <c r="EL51" s="14">
        <v>3</v>
      </c>
      <c r="EM51" s="14">
        <f>IFERROR(AVERAGE(Tabel1[[#This Row],[Do - C1]:[Do - C4]]),"")</f>
        <v>2.5833333333333335</v>
      </c>
      <c r="EN51" s="14">
        <v>4</v>
      </c>
      <c r="EO51" s="14">
        <v>4</v>
      </c>
      <c r="EP51" s="14">
        <v>4</v>
      </c>
      <c r="EQ51" s="14">
        <f>IFERROR(AVERAGE(Tabel1[[#This Row],[Do - F1a]:[Do - F1c]]),"")</f>
        <v>4</v>
      </c>
      <c r="ER51" s="14">
        <v>2</v>
      </c>
      <c r="ES51" s="14">
        <f>IFERROR(AVERAGE(Tabel1[[#This Row],[Do - F2a]:[Do - F2a]]),"")</f>
        <v>2</v>
      </c>
      <c r="ET51" s="14">
        <v>1</v>
      </c>
      <c r="EU51" s="14">
        <v>3</v>
      </c>
      <c r="EV51" s="14">
        <f>IFERROR(AVERAGE(Tabel1[[#This Row],[Do - F3a]:[Do - F3b]]),"")</f>
        <v>2</v>
      </c>
      <c r="EW51" s="14">
        <v>3</v>
      </c>
      <c r="EX51" s="14">
        <f>IFERROR(AVERAGE(Tabel1[[#This Row],[Do - F1]],Tabel1[[#This Row],[Do - F2]],Tabel1[[#This Row],[Do - F3]],Tabel1[[#This Row],[Do - F4]]),"")</f>
        <v>2.75</v>
      </c>
      <c r="EY51" s="14">
        <v>1</v>
      </c>
      <c r="EZ51" s="14">
        <v>3</v>
      </c>
      <c r="FA51" s="14">
        <v>4</v>
      </c>
      <c r="FB51" s="14">
        <f>IFERROR(AVERAGE(Tabel1[[#This Row],[Do - V1a]:[Do - V1c]]),"")</f>
        <v>2.6666666666666665</v>
      </c>
      <c r="FC51" s="14">
        <v>4</v>
      </c>
      <c r="FD51" s="14">
        <v>5</v>
      </c>
      <c r="FE51" s="14">
        <f>IFERROR(AVERAGE(Tabel1[[#This Row],[Do - V2a]:[Do - V2b]]),"")</f>
        <v>4.5</v>
      </c>
      <c r="FF51" s="14">
        <v>3</v>
      </c>
      <c r="FG51" s="14">
        <f>IFERROR(AVERAGE(Tabel1[[#This Row],[Do - V3a]:[Do - V3a]]),"")</f>
        <v>3</v>
      </c>
      <c r="FH51" s="14">
        <v>4</v>
      </c>
      <c r="FI51" s="14">
        <f>IFERROR(AVERAGE(Tabel1[[#This Row],[Do - V1]],Tabel1[[#This Row],[Do - V2]],Tabel1[[#This Row],[Do - V3]],Tabel1[[#This Row],[Do - V4]]),"")</f>
        <v>3.5416666666666665</v>
      </c>
      <c r="FJ51" s="14">
        <v>5</v>
      </c>
      <c r="FK51" s="14">
        <v>4</v>
      </c>
      <c r="FL51" s="14">
        <v>5</v>
      </c>
      <c r="FM51" s="14">
        <f>IFERROR(AVERAGE(Tabel1[[#This Row],[Do - A1a]:[Do - A1c]]),"")</f>
        <v>4.666666666666667</v>
      </c>
      <c r="FN51" s="14">
        <v>5</v>
      </c>
      <c r="FO51" s="14">
        <v>4</v>
      </c>
      <c r="FP51" s="14">
        <f>IFERROR(AVERAGE(Tabel1[[#This Row],[Do - A2a]:[Do - A2b]]),"")</f>
        <v>4.5</v>
      </c>
      <c r="FQ51" s="14">
        <v>4</v>
      </c>
      <c r="FR51" s="14">
        <f>IFERROR(AVERAGE(Tabel1[[#This Row],[Do - A3a]:[Do - A3a]]),"")</f>
        <v>4</v>
      </c>
      <c r="FS51" s="14">
        <v>4</v>
      </c>
      <c r="FT51" s="14">
        <f>IFERROR(AVERAGE(Tabel1[[#This Row],[Do - A1]],Tabel1[[#This Row],[Do - A2]],Tabel1[[#This Row],[Do - A3]],Tabel1[[#This Row],[Do - A4]]),"")</f>
        <v>4.291666666666667</v>
      </c>
      <c r="FU5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3.2794444444444442</v>
      </c>
      <c r="FV51" s="16" t="s">
        <v>452</v>
      </c>
      <c r="FW51" t="b">
        <v>1</v>
      </c>
    </row>
    <row r="52" spans="1:179" x14ac:dyDescent="0.3">
      <c r="A52" s="13">
        <v>44928.435150462959</v>
      </c>
      <c r="B52" t="b">
        <v>0</v>
      </c>
      <c r="C52" s="14" t="s">
        <v>453</v>
      </c>
      <c r="D52" s="14" t="s">
        <v>454</v>
      </c>
      <c r="E52" s="14" t="s">
        <v>293</v>
      </c>
      <c r="F52" s="14" t="s">
        <v>184</v>
      </c>
      <c r="G52" s="14" t="s">
        <v>455</v>
      </c>
      <c r="H52" s="14" t="s">
        <v>222</v>
      </c>
      <c r="I52" s="14" t="s">
        <v>195</v>
      </c>
      <c r="J52" s="14" t="s">
        <v>261</v>
      </c>
      <c r="K52" s="14" t="s">
        <v>235</v>
      </c>
      <c r="L52" s="14" t="s">
        <v>385</v>
      </c>
      <c r="M52" s="14" t="s">
        <v>233</v>
      </c>
      <c r="N52" s="14" t="s">
        <v>262</v>
      </c>
      <c r="O52" s="14" t="s">
        <v>200</v>
      </c>
      <c r="P52" s="17" t="s">
        <v>255</v>
      </c>
      <c r="Q52" s="14" t="s">
        <v>201</v>
      </c>
      <c r="R52" s="14" t="s">
        <v>202</v>
      </c>
      <c r="S52" s="14" t="s">
        <v>202</v>
      </c>
      <c r="T52" s="14" t="s">
        <v>204</v>
      </c>
      <c r="U52" s="14" t="s">
        <v>237</v>
      </c>
      <c r="V52" s="14" t="s">
        <v>206</v>
      </c>
      <c r="W52" s="14" t="s">
        <v>395</v>
      </c>
      <c r="X52" s="14" t="s">
        <v>207</v>
      </c>
      <c r="Y52" s="14">
        <v>4</v>
      </c>
      <c r="Z52" s="14">
        <v>3</v>
      </c>
      <c r="AA52" s="14">
        <v>2</v>
      </c>
      <c r="AB52" s="15">
        <f>IFERROR(AVERAGE(Tabel1[[#This Row],[Up - R1a]:[Up - R1c]]),"")</f>
        <v>3</v>
      </c>
      <c r="AC52" s="14">
        <v>3</v>
      </c>
      <c r="AD52" s="14">
        <v>3</v>
      </c>
      <c r="AE52" s="14">
        <v>2</v>
      </c>
      <c r="AF52" s="14">
        <v>3</v>
      </c>
      <c r="AG52" s="14">
        <f>IFERROR(AVERAGE(Tabel1[[#This Row],[Up - R1]:[Up - R5]]),"")</f>
        <v>2.8</v>
      </c>
      <c r="AH52" s="14">
        <v>4</v>
      </c>
      <c r="AI52" s="14">
        <v>1</v>
      </c>
      <c r="AJ52" s="14">
        <v>2</v>
      </c>
      <c r="AK52" s="14">
        <f>IFERROR(AVERAGE(Tabel1[[#This Row],[Up - C1a]:[Up - C1c]]),"")</f>
        <v>2.3333333333333335</v>
      </c>
      <c r="AL52" s="14">
        <v>2</v>
      </c>
      <c r="AM52" s="14">
        <v>1</v>
      </c>
      <c r="AN52" s="14">
        <v>3</v>
      </c>
      <c r="AO52" s="14">
        <f>IFERROR(AVERAGE(Tabel1[[#This Row],[Up - C1]:[Up - C4]]),"")</f>
        <v>2.0833333333333335</v>
      </c>
      <c r="AP52" s="14">
        <v>3</v>
      </c>
      <c r="AQ52" s="14">
        <f>IFERROR(AVERAGE(Tabel1[[#This Row],[Up - F1a]:[Up - F1a]]),"")</f>
        <v>3</v>
      </c>
      <c r="AR52" s="14">
        <v>2</v>
      </c>
      <c r="AS52" s="14">
        <v>2</v>
      </c>
      <c r="AT52" s="14">
        <f>IFERROR(AVERAGE(Tabel1[[#This Row],[Up - F2a]:[Up - F2b]]),"")</f>
        <v>2</v>
      </c>
      <c r="AU52" s="14">
        <v>3</v>
      </c>
      <c r="AV52" s="14">
        <v>1</v>
      </c>
      <c r="AW52" s="14">
        <f>IFERROR(AVERAGE(Tabel1[[#This Row],[Up - F3a]:[Up - F3b]]),"")</f>
        <v>2</v>
      </c>
      <c r="AX52" s="14">
        <v>2</v>
      </c>
      <c r="AY52" s="14">
        <f>IFERROR(AVERAGE(Tabel1[[#This Row],[Up - F1]],Tabel1[[#This Row],[Up - F2]],Tabel1[[#This Row],[Up - F3]],Tabel1[[#This Row],[Up - F4]]),"")</f>
        <v>2.25</v>
      </c>
      <c r="AZ52" s="14">
        <v>3</v>
      </c>
      <c r="BA52" s="14">
        <v>2</v>
      </c>
      <c r="BB52" s="14">
        <f>IFERROR(AVERAGE(Tabel1[[#This Row],[Up - V1a]:[Up - V1b]]),"")</f>
        <v>2.5</v>
      </c>
      <c r="BC52" s="14">
        <v>2</v>
      </c>
      <c r="BD52" s="14">
        <v>1</v>
      </c>
      <c r="BE52" s="14">
        <v>1</v>
      </c>
      <c r="BF52" s="14">
        <f>IFERROR(AVERAGE(Tabel1[[#This Row],[Up - V2a]:[Up - V2c]]),"")</f>
        <v>1.3333333333333333</v>
      </c>
      <c r="BG52" s="14">
        <v>1</v>
      </c>
      <c r="BH52" s="14">
        <v>2</v>
      </c>
      <c r="BI52" s="14">
        <f>IFERROR(AVERAGE(Tabel1[[#This Row],[Up - V3a]:[Up - V3b]]),"")</f>
        <v>1.5</v>
      </c>
      <c r="BJ52" s="14">
        <v>2</v>
      </c>
      <c r="BK52" s="14">
        <f>IFERROR(AVERAGE(Tabel1[[#This Row],[Up - V1]],Tabel1[[#This Row],[Up - V2]],Tabel1[[#This Row],[Up - V3]],Tabel1[[#This Row],[Up - V4]]),"")</f>
        <v>1.8333333333333333</v>
      </c>
      <c r="BL52" s="14">
        <v>3</v>
      </c>
      <c r="BM52" s="14">
        <v>3</v>
      </c>
      <c r="BN52" s="14">
        <v>2</v>
      </c>
      <c r="BO52" s="14">
        <v>3</v>
      </c>
      <c r="BP52" s="14">
        <f>IFERROR(AVERAGE(Tabel1[[#This Row],[Up - A1a]:[Up - A1d]]),"")</f>
        <v>2.75</v>
      </c>
      <c r="BQ52" s="14">
        <v>3</v>
      </c>
      <c r="BR52" s="14">
        <v>2</v>
      </c>
      <c r="BS52" s="14">
        <f>IFERROR(AVERAGE(Tabel1[[#This Row],[Up - A2a]:[Up - A2b]]),"")</f>
        <v>2.5</v>
      </c>
      <c r="BT52" s="14">
        <v>4</v>
      </c>
      <c r="BU52" s="14">
        <f>IFERROR(AVERAGE(Tabel1[[#This Row],[Up - A3a]:[Up - A3a]]),"")</f>
        <v>4</v>
      </c>
      <c r="BV52" s="14">
        <v>2</v>
      </c>
      <c r="BW52" s="14">
        <f>IFERROR(AVERAGE(Tabel1[[#This Row],[Up - A1]],Tabel1[[#This Row],[Up - A2]],Tabel1[[#This Row],[Up - A3]]),"")</f>
        <v>3.0833333333333335</v>
      </c>
      <c r="BX52" s="14">
        <v>1</v>
      </c>
      <c r="BY52" s="14">
        <v>1</v>
      </c>
      <c r="BZ52" s="14">
        <f>IFERROR(AVERAGE(Tabel1[[#This Row],[In - R1a]:[In - R1b]]),"")</f>
        <v>1</v>
      </c>
      <c r="CA52" s="14">
        <v>5</v>
      </c>
      <c r="CB52" s="14">
        <v>2</v>
      </c>
      <c r="CC52" s="14">
        <v>3</v>
      </c>
      <c r="CD52" s="14">
        <v>3</v>
      </c>
      <c r="CE52" s="14">
        <f>IFERROR(AVERAGE(Tabel1[[#This Row],[In - R1]:[In - R5]]),"")</f>
        <v>2.8</v>
      </c>
      <c r="CF52" s="14">
        <v>4</v>
      </c>
      <c r="CG52" s="14">
        <v>3</v>
      </c>
      <c r="CH52" s="14">
        <v>3</v>
      </c>
      <c r="CI52" s="14">
        <f>IFERROR(AVERAGE(Tabel1[[#This Row],[In - C1a]:[In - C1c]]),"")</f>
        <v>3.3333333333333335</v>
      </c>
      <c r="CJ52" s="14">
        <v>5</v>
      </c>
      <c r="CK52" s="14">
        <v>3</v>
      </c>
      <c r="CL52" s="14">
        <v>2</v>
      </c>
      <c r="CM52" s="14">
        <f>IFERROR(AVERAGE(Tabel1[[#This Row],[In - C1]:[In - C4]]),"")</f>
        <v>3.3333333333333335</v>
      </c>
      <c r="CN52" s="14">
        <v>2</v>
      </c>
      <c r="CO52" s="14">
        <v>1</v>
      </c>
      <c r="CP52" s="14">
        <v>1</v>
      </c>
      <c r="CQ52" s="14">
        <f>IFERROR(AVERAGE(Tabel1[[#This Row],[In - F1a]:[In - F1c]]),"")</f>
        <v>1.3333333333333333</v>
      </c>
      <c r="CR52" s="14">
        <v>5</v>
      </c>
      <c r="CS52" s="14">
        <v>1</v>
      </c>
      <c r="CT52" s="14">
        <f>IFERROR(AVERAGE(Tabel1[[#This Row],[In - F2a]:[In - F2b]]),"")</f>
        <v>3</v>
      </c>
      <c r="CU52" s="14">
        <v>2</v>
      </c>
      <c r="CV52" s="14">
        <f>IFERROR(AVERAGE(Tabel1[[#This Row],[In - F3a]:[In - F3a]]),"")</f>
        <v>2</v>
      </c>
      <c r="CW52" s="14">
        <v>3</v>
      </c>
      <c r="CX52" s="14">
        <f>IFERROR(AVERAGE(Tabel1[[#This Row],[In - F1]],Tabel1[[#This Row],[In - F2]],Tabel1[[#This Row],[In - F3]],Tabel1[[#This Row],[In - F4]]),"")</f>
        <v>2.333333333333333</v>
      </c>
      <c r="CY52" s="14">
        <v>4</v>
      </c>
      <c r="CZ52" s="14">
        <v>3</v>
      </c>
      <c r="DA52" s="14">
        <v>3</v>
      </c>
      <c r="DB52" s="14">
        <f>IFERROR(AVERAGE(Tabel1[[#This Row],[In - V1a]:[In - V1c]]),"")</f>
        <v>3.3333333333333335</v>
      </c>
      <c r="DC52" s="14">
        <v>5</v>
      </c>
      <c r="DD52" s="14">
        <v>3</v>
      </c>
      <c r="DE52" s="14">
        <v>3</v>
      </c>
      <c r="DF52" s="14">
        <f>IFERROR(AVERAGE(Tabel1[[#This Row],[In - V2a]:[In - V2c]]),"")</f>
        <v>3.6666666666666665</v>
      </c>
      <c r="DG52" s="14">
        <v>3</v>
      </c>
      <c r="DH52" s="14">
        <v>3</v>
      </c>
      <c r="DI52" s="14">
        <f>IFERROR(AVERAGE(Tabel1[[#This Row],[In - V3a]:[In - V3b]]),"")</f>
        <v>3</v>
      </c>
      <c r="DJ52" s="14">
        <v>2</v>
      </c>
      <c r="DK52" s="14">
        <f>IFERROR(AVERAGE(Tabel1[[#This Row],[In - V1]],Tabel1[[#This Row],[In - V2]],Tabel1[[#This Row],[In - V3]],Tabel1[[#This Row],[In - V4]]),"")</f>
        <v>3</v>
      </c>
      <c r="DL52" s="14">
        <v>3</v>
      </c>
      <c r="DM52" s="14">
        <v>3</v>
      </c>
      <c r="DN52" s="14">
        <f>IFERROR(AVERAGE(Tabel1[[#This Row],[In - A1a]:[In - A1b]]),"")</f>
        <v>3</v>
      </c>
      <c r="DO52" s="14">
        <v>2</v>
      </c>
      <c r="DP52" s="14">
        <v>3</v>
      </c>
      <c r="DQ52" s="14">
        <f>IFERROR(AVERAGE(Tabel1[[#This Row],[In - A2a]:[In - A2b]]),"")</f>
        <v>2.5</v>
      </c>
      <c r="DR52" s="14">
        <v>3</v>
      </c>
      <c r="DS52" s="14">
        <v>3</v>
      </c>
      <c r="DT52" s="14">
        <f>IFERROR(AVERAGE(Tabel1[[#This Row],[In - A3a]:[In - A3a]]),"")</f>
        <v>3</v>
      </c>
      <c r="DU52" s="14">
        <v>1</v>
      </c>
      <c r="DV52" s="14">
        <f>IFERROR(AVERAGE(Tabel1[[#This Row],[In - A1]],Tabel1[[#This Row],[In - A2]],Tabel1[[#This Row],[In - A3]],Tabel1[[#This Row],[In - A4]]),"")</f>
        <v>2.375</v>
      </c>
      <c r="DW52" s="14">
        <v>3</v>
      </c>
      <c r="DX52" s="14">
        <v>5</v>
      </c>
      <c r="DY52" s="14">
        <v>3</v>
      </c>
      <c r="DZ52" s="14">
        <f>IFERROR(AVERAGE(Tabel1[[#This Row],[Do - R1a]:[Do - R1c]]),"")</f>
        <v>3.6666666666666665</v>
      </c>
      <c r="EA52" s="14">
        <v>3</v>
      </c>
      <c r="EB52" s="14">
        <v>3</v>
      </c>
      <c r="EC52" s="14">
        <v>3</v>
      </c>
      <c r="ED52" s="14">
        <v>3</v>
      </c>
      <c r="EE52" s="14">
        <f>IFERROR(AVERAGE(Tabel1[[#This Row],[Do - R1]:[Do - R5]]),"")</f>
        <v>3.1333333333333333</v>
      </c>
      <c r="EF52" s="14">
        <v>3</v>
      </c>
      <c r="EG52" s="14">
        <v>1</v>
      </c>
      <c r="EH52" s="14">
        <v>2</v>
      </c>
      <c r="EI52" s="14">
        <f>IFERROR(AVERAGE(Tabel1[[#This Row],[Do - C1a]:[Do - C1c]]),"")</f>
        <v>2</v>
      </c>
      <c r="EJ52" s="14">
        <v>2</v>
      </c>
      <c r="EK52" s="14">
        <v>2</v>
      </c>
      <c r="EL52" s="14">
        <v>3</v>
      </c>
      <c r="EM52" s="14">
        <f>IFERROR(AVERAGE(Tabel1[[#This Row],[Do - C1]:[Do - C4]]),"")</f>
        <v>2.25</v>
      </c>
      <c r="EN52" s="14">
        <v>3</v>
      </c>
      <c r="EO52" s="14">
        <v>3</v>
      </c>
      <c r="EP52" s="14">
        <v>4</v>
      </c>
      <c r="EQ52" s="14">
        <f>IFERROR(AVERAGE(Tabel1[[#This Row],[Do - F1a]:[Do - F1c]]),"")</f>
        <v>3.3333333333333335</v>
      </c>
      <c r="ER52" s="14">
        <v>2</v>
      </c>
      <c r="ES52" s="14">
        <f>IFERROR(AVERAGE(Tabel1[[#This Row],[Do - F2a]:[Do - F2a]]),"")</f>
        <v>2</v>
      </c>
      <c r="ET52" s="14">
        <v>1</v>
      </c>
      <c r="EU52" s="14">
        <v>4</v>
      </c>
      <c r="EV52" s="14">
        <f>IFERROR(AVERAGE(Tabel1[[#This Row],[Do - F3a]:[Do - F3b]]),"")</f>
        <v>2.5</v>
      </c>
      <c r="EW52" s="14">
        <v>3</v>
      </c>
      <c r="EX52" s="14">
        <f>IFERROR(AVERAGE(Tabel1[[#This Row],[Do - F1]],Tabel1[[#This Row],[Do - F2]],Tabel1[[#This Row],[Do - F3]],Tabel1[[#This Row],[Do - F4]]),"")</f>
        <v>2.7083333333333335</v>
      </c>
      <c r="EY52" s="14">
        <v>2</v>
      </c>
      <c r="EZ52" s="14">
        <v>1</v>
      </c>
      <c r="FA52" s="14">
        <v>3</v>
      </c>
      <c r="FB52" s="14">
        <f>IFERROR(AVERAGE(Tabel1[[#This Row],[Do - V1a]:[Do - V1c]]),"")</f>
        <v>2</v>
      </c>
      <c r="FC52" s="14">
        <v>2</v>
      </c>
      <c r="FD52" s="14">
        <v>2</v>
      </c>
      <c r="FE52" s="14">
        <f>IFERROR(AVERAGE(Tabel1[[#This Row],[Do - V2a]:[Do - V2b]]),"")</f>
        <v>2</v>
      </c>
      <c r="FF52" s="14">
        <v>2</v>
      </c>
      <c r="FG52" s="14">
        <f>IFERROR(AVERAGE(Tabel1[[#This Row],[Do - V3a]:[Do - V3a]]),"")</f>
        <v>2</v>
      </c>
      <c r="FH52" s="14">
        <v>2</v>
      </c>
      <c r="FI52" s="14">
        <f>IFERROR(AVERAGE(Tabel1[[#This Row],[Do - V1]],Tabel1[[#This Row],[Do - V2]],Tabel1[[#This Row],[Do - V3]],Tabel1[[#This Row],[Do - V4]]),"")</f>
        <v>2</v>
      </c>
      <c r="FJ52" s="14">
        <v>3</v>
      </c>
      <c r="FK52" s="14">
        <v>2</v>
      </c>
      <c r="FL52" s="14">
        <v>3</v>
      </c>
      <c r="FM52" s="14">
        <f>IFERROR(AVERAGE(Tabel1[[#This Row],[Do - A1a]:[Do - A1c]]),"")</f>
        <v>2.6666666666666665</v>
      </c>
      <c r="FN52" s="14">
        <v>2</v>
      </c>
      <c r="FO52" s="14">
        <v>3</v>
      </c>
      <c r="FP52" s="14">
        <f>IFERROR(AVERAGE(Tabel1[[#This Row],[Do - A2a]:[Do - A2b]]),"")</f>
        <v>2.5</v>
      </c>
      <c r="FQ52" s="14">
        <v>3</v>
      </c>
      <c r="FR52" s="14">
        <f>IFERROR(AVERAGE(Tabel1[[#This Row],[Do - A3a]:[Do - A3a]]),"")</f>
        <v>3</v>
      </c>
      <c r="FS52" s="14">
        <v>2</v>
      </c>
      <c r="FT52" s="14">
        <f>IFERROR(AVERAGE(Tabel1[[#This Row],[Do - A1]],Tabel1[[#This Row],[Do - A2]],Tabel1[[#This Row],[Do - A3]],Tabel1[[#This Row],[Do - A4]]),"")</f>
        <v>2.5416666666666665</v>
      </c>
      <c r="FU5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2.5683333333333334</v>
      </c>
      <c r="FV52" s="16" t="s">
        <v>456</v>
      </c>
      <c r="FW52" t="b">
        <v>1</v>
      </c>
    </row>
    <row r="53" spans="1:179" x14ac:dyDescent="0.3">
      <c r="A53" s="13">
        <v>44929.558993055558</v>
      </c>
      <c r="B53" t="b">
        <v>0</v>
      </c>
      <c r="C53" s="14" t="s">
        <v>457</v>
      </c>
      <c r="D53" s="14" t="s">
        <v>458</v>
      </c>
      <c r="E53" s="14" t="s">
        <v>459</v>
      </c>
      <c r="F53" s="14" t="s">
        <v>184</v>
      </c>
      <c r="G53" s="14" t="s">
        <v>460</v>
      </c>
      <c r="H53" s="14" t="s">
        <v>194</v>
      </c>
      <c r="I53" s="14" t="s">
        <v>195</v>
      </c>
      <c r="J53" s="14" t="s">
        <v>461</v>
      </c>
      <c r="K53" s="14" t="s">
        <v>201</v>
      </c>
      <c r="L53" s="14" t="s">
        <v>218</v>
      </c>
      <c r="M53" s="14" t="s">
        <v>188</v>
      </c>
      <c r="N53" s="14" t="s">
        <v>199</v>
      </c>
      <c r="O53" s="14" t="s">
        <v>256</v>
      </c>
      <c r="P53" s="17" t="s">
        <v>255</v>
      </c>
      <c r="Q53" s="17" t="s">
        <v>304</v>
      </c>
      <c r="R53" s="14" t="s">
        <v>202</v>
      </c>
      <c r="S53" s="14" t="s">
        <v>201</v>
      </c>
      <c r="T53" s="14" t="s">
        <v>236</v>
      </c>
      <c r="U53" s="14" t="s">
        <v>205</v>
      </c>
      <c r="V53" s="14" t="s">
        <v>359</v>
      </c>
      <c r="W53" s="14" t="s">
        <v>395</v>
      </c>
      <c r="X53" s="14" t="s">
        <v>395</v>
      </c>
      <c r="Y53" s="14">
        <v>3</v>
      </c>
      <c r="Z53" s="14">
        <v>5</v>
      </c>
      <c r="AA53" s="14">
        <v>4</v>
      </c>
      <c r="AB53" s="15">
        <f>IFERROR(AVERAGE(Tabel1[[#This Row],[Up - R1a]:[Up - R1c]]),"")</f>
        <v>4</v>
      </c>
      <c r="AC53" s="14">
        <v>1</v>
      </c>
      <c r="AD53" s="14">
        <v>2</v>
      </c>
      <c r="AE53" s="14">
        <v>1</v>
      </c>
      <c r="AF53" s="14" t="s">
        <v>189</v>
      </c>
      <c r="AG53" s="14">
        <f>IFERROR(AVERAGE(Tabel1[[#This Row],[Up - R1]:[Up - R5]]),"")</f>
        <v>2</v>
      </c>
      <c r="AH53" s="14">
        <v>3</v>
      </c>
      <c r="AI53" s="14">
        <v>2</v>
      </c>
      <c r="AJ53" s="14">
        <v>2</v>
      </c>
      <c r="AK53" s="14">
        <f>IFERROR(AVERAGE(Tabel1[[#This Row],[Up - C1a]:[Up - C1c]]),"")</f>
        <v>2.3333333333333335</v>
      </c>
      <c r="AL53" s="14">
        <v>2</v>
      </c>
      <c r="AM53" s="14">
        <v>1</v>
      </c>
      <c r="AN53" s="14" t="s">
        <v>189</v>
      </c>
      <c r="AO53" s="14">
        <f>IFERROR(AVERAGE(Tabel1[[#This Row],[Up - C1]:[Up - C4]]),"")</f>
        <v>1.7777777777777779</v>
      </c>
      <c r="AP53" s="14">
        <v>1</v>
      </c>
      <c r="AQ53" s="14">
        <f>IFERROR(AVERAGE(Tabel1[[#This Row],[Up - F1a]:[Up - F1a]]),"")</f>
        <v>1</v>
      </c>
      <c r="AR53" s="14">
        <v>1</v>
      </c>
      <c r="AS53" s="14">
        <v>4</v>
      </c>
      <c r="AT53" s="14">
        <f>IFERROR(AVERAGE(Tabel1[[#This Row],[Up - F2a]:[Up - F2b]]),"")</f>
        <v>2.5</v>
      </c>
      <c r="AU53" s="14">
        <v>2</v>
      </c>
      <c r="AV53" s="14">
        <v>3</v>
      </c>
      <c r="AW53" s="14">
        <f>IFERROR(AVERAGE(Tabel1[[#This Row],[Up - F3a]:[Up - F3b]]),"")</f>
        <v>2.5</v>
      </c>
      <c r="AX53" s="14" t="s">
        <v>189</v>
      </c>
      <c r="AY53" s="14">
        <f>IFERROR(AVERAGE(Tabel1[[#This Row],[Up - F1]],Tabel1[[#This Row],[Up - F2]],Tabel1[[#This Row],[Up - F3]],Tabel1[[#This Row],[Up - F4]]),"")</f>
        <v>2</v>
      </c>
      <c r="AZ53" s="14">
        <v>1</v>
      </c>
      <c r="BA53" s="14">
        <v>4</v>
      </c>
      <c r="BB53" s="14">
        <f>IFERROR(AVERAGE(Tabel1[[#This Row],[Up - V1a]:[Up - V1b]]),"")</f>
        <v>2.5</v>
      </c>
      <c r="BC53" s="14" t="s">
        <v>189</v>
      </c>
      <c r="BD53" s="14">
        <v>1</v>
      </c>
      <c r="BE53" s="14" t="s">
        <v>189</v>
      </c>
      <c r="BF53" s="14">
        <f>IFERROR(AVERAGE(Tabel1[[#This Row],[Up - V2a]:[Up - V2c]]),"")</f>
        <v>1</v>
      </c>
      <c r="BG53" s="14" t="s">
        <v>189</v>
      </c>
      <c r="BH53" s="14">
        <v>2</v>
      </c>
      <c r="BI53" s="14">
        <f>IFERROR(AVERAGE(Tabel1[[#This Row],[Up - V3a]:[Up - V3b]]),"")</f>
        <v>2</v>
      </c>
      <c r="BJ53" s="14" t="s">
        <v>189</v>
      </c>
      <c r="BK53" s="14">
        <f>IFERROR(AVERAGE(Tabel1[[#This Row],[Up - V1]],Tabel1[[#This Row],[Up - V2]],Tabel1[[#This Row],[Up - V3]],Tabel1[[#This Row],[Up - V4]]),"")</f>
        <v>1.8333333333333333</v>
      </c>
      <c r="BL53" s="14">
        <v>2</v>
      </c>
      <c r="BM53" s="14">
        <v>2</v>
      </c>
      <c r="BN53" s="14">
        <v>4</v>
      </c>
      <c r="BO53" s="14" t="s">
        <v>189</v>
      </c>
      <c r="BP53" s="14">
        <f>IFERROR(AVERAGE(Tabel1[[#This Row],[Up - A1a]:[Up - A1d]]),"")</f>
        <v>2.6666666666666665</v>
      </c>
      <c r="BQ53" s="14">
        <v>4</v>
      </c>
      <c r="BR53" s="14">
        <v>3</v>
      </c>
      <c r="BS53" s="14">
        <f>IFERROR(AVERAGE(Tabel1[[#This Row],[Up - A2a]:[Up - A2b]]),"")</f>
        <v>3.5</v>
      </c>
      <c r="BT53" s="14" t="s">
        <v>189</v>
      </c>
      <c r="BU53" s="14" t="str">
        <f>IFERROR(AVERAGE(Tabel1[[#This Row],[Up - A3a]:[Up - A3a]]),"")</f>
        <v/>
      </c>
      <c r="BV53" s="14" t="s">
        <v>189</v>
      </c>
      <c r="BW53" s="14">
        <f>IFERROR(AVERAGE(Tabel1[[#This Row],[Up - A1]],Tabel1[[#This Row],[Up - A2]],Tabel1[[#This Row],[Up - A3]]),"")</f>
        <v>3.083333333333333</v>
      </c>
      <c r="BX53" s="14">
        <v>4</v>
      </c>
      <c r="BY53" s="14">
        <v>4</v>
      </c>
      <c r="BZ53" s="14">
        <f>IFERROR(AVERAGE(Tabel1[[#This Row],[In - R1a]:[In - R1b]]),"")</f>
        <v>4</v>
      </c>
      <c r="CA53" s="14">
        <v>2</v>
      </c>
      <c r="CB53" s="14" t="s">
        <v>189</v>
      </c>
      <c r="CC53" s="14">
        <v>1</v>
      </c>
      <c r="CD53" s="14" t="s">
        <v>189</v>
      </c>
      <c r="CE53" s="14">
        <f>IFERROR(AVERAGE(Tabel1[[#This Row],[In - R1]:[In - R5]]),"")</f>
        <v>2.3333333333333335</v>
      </c>
      <c r="CF53" s="14">
        <v>2</v>
      </c>
      <c r="CG53" s="14">
        <v>3</v>
      </c>
      <c r="CH53" s="14">
        <v>2</v>
      </c>
      <c r="CI53" s="14">
        <f>IFERROR(AVERAGE(Tabel1[[#This Row],[In - C1a]:[In - C1c]]),"")</f>
        <v>2.3333333333333335</v>
      </c>
      <c r="CJ53" s="14">
        <v>1</v>
      </c>
      <c r="CK53" s="14">
        <v>3</v>
      </c>
      <c r="CL53" s="14">
        <v>1</v>
      </c>
      <c r="CM53" s="14">
        <f>IFERROR(AVERAGE(Tabel1[[#This Row],[In - C1]:[In - C4]]),"")</f>
        <v>1.8333333333333335</v>
      </c>
      <c r="CN53" s="14">
        <v>2</v>
      </c>
      <c r="CO53" s="14">
        <v>4</v>
      </c>
      <c r="CP53" s="14">
        <v>4</v>
      </c>
      <c r="CQ53" s="14">
        <f>IFERROR(AVERAGE(Tabel1[[#This Row],[In - F1a]:[In - F1c]]),"")</f>
        <v>3.3333333333333335</v>
      </c>
      <c r="CR53" s="14">
        <v>4</v>
      </c>
      <c r="CS53" s="14">
        <v>3</v>
      </c>
      <c r="CT53" s="14">
        <f>IFERROR(AVERAGE(Tabel1[[#This Row],[In - F2a]:[In - F2b]]),"")</f>
        <v>3.5</v>
      </c>
      <c r="CU53" s="14">
        <v>2</v>
      </c>
      <c r="CV53" s="14">
        <f>IFERROR(AVERAGE(Tabel1[[#This Row],[In - F3a]:[In - F3a]]),"")</f>
        <v>2</v>
      </c>
      <c r="CW53" s="14" t="s">
        <v>189</v>
      </c>
      <c r="CX53" s="14">
        <f>IFERROR(AVERAGE(Tabel1[[#This Row],[In - F1]],Tabel1[[#This Row],[In - F2]],Tabel1[[#This Row],[In - F3]],Tabel1[[#This Row],[In - F4]]),"")</f>
        <v>2.9444444444444446</v>
      </c>
      <c r="CY53" s="14">
        <v>3</v>
      </c>
      <c r="CZ53" s="14">
        <v>2</v>
      </c>
      <c r="DA53" s="14">
        <v>1</v>
      </c>
      <c r="DB53" s="14">
        <f>IFERROR(AVERAGE(Tabel1[[#This Row],[In - V1a]:[In - V1c]]),"")</f>
        <v>2</v>
      </c>
      <c r="DC53" s="14">
        <v>4</v>
      </c>
      <c r="DD53" s="14">
        <v>1</v>
      </c>
      <c r="DE53" s="14">
        <v>2</v>
      </c>
      <c r="DF53" s="14">
        <f>IFERROR(AVERAGE(Tabel1[[#This Row],[In - V2a]:[In - V2c]]),"")</f>
        <v>2.3333333333333335</v>
      </c>
      <c r="DG53" s="14">
        <v>1</v>
      </c>
      <c r="DH53" s="14">
        <v>2</v>
      </c>
      <c r="DI53" s="14">
        <f>IFERROR(AVERAGE(Tabel1[[#This Row],[In - V3a]:[In - V3b]]),"")</f>
        <v>1.5</v>
      </c>
      <c r="DJ53" s="14">
        <v>2</v>
      </c>
      <c r="DK53" s="14">
        <f>IFERROR(AVERAGE(Tabel1[[#This Row],[In - V1]],Tabel1[[#This Row],[In - V2]],Tabel1[[#This Row],[In - V3]],Tabel1[[#This Row],[In - V4]]),"")</f>
        <v>1.9583333333333335</v>
      </c>
      <c r="DL53" s="14">
        <v>3</v>
      </c>
      <c r="DM53" s="14">
        <v>2</v>
      </c>
      <c r="DN53" s="14">
        <f>IFERROR(AVERAGE(Tabel1[[#This Row],[In - A1a]:[In - A1b]]),"")</f>
        <v>2.5</v>
      </c>
      <c r="DO53" s="14">
        <v>1</v>
      </c>
      <c r="DP53" s="14">
        <v>3</v>
      </c>
      <c r="DQ53" s="14">
        <f>IFERROR(AVERAGE(Tabel1[[#This Row],[In - A2a]:[In - A2b]]),"")</f>
        <v>2</v>
      </c>
      <c r="DR53" s="14">
        <v>3</v>
      </c>
      <c r="DS53" s="14">
        <v>2</v>
      </c>
      <c r="DT53" s="14">
        <f>IFERROR(AVERAGE(Tabel1[[#This Row],[In - A3a]:[In - A3a]]),"")</f>
        <v>3</v>
      </c>
      <c r="DU53" s="14">
        <v>2</v>
      </c>
      <c r="DV53" s="14">
        <f>IFERROR(AVERAGE(Tabel1[[#This Row],[In - A1]],Tabel1[[#This Row],[In - A2]],Tabel1[[#This Row],[In - A3]],Tabel1[[#This Row],[In - A4]]),"")</f>
        <v>2.375</v>
      </c>
      <c r="DW53" s="14">
        <v>2</v>
      </c>
      <c r="DX53" s="14">
        <v>5</v>
      </c>
      <c r="DY53" s="14">
        <v>3</v>
      </c>
      <c r="DZ53" s="14">
        <f>IFERROR(AVERAGE(Tabel1[[#This Row],[Do - R1a]:[Do - R1c]]),"")</f>
        <v>3.3333333333333335</v>
      </c>
      <c r="EA53" s="14">
        <v>2</v>
      </c>
      <c r="EB53" s="14">
        <v>1</v>
      </c>
      <c r="EC53" s="14">
        <v>1</v>
      </c>
      <c r="ED53" s="14" t="s">
        <v>189</v>
      </c>
      <c r="EE53" s="14">
        <f>IFERROR(AVERAGE(Tabel1[[#This Row],[Do - R1]:[Do - R5]]),"")</f>
        <v>1.8333333333333335</v>
      </c>
      <c r="EF53" s="14">
        <v>4</v>
      </c>
      <c r="EG53" s="14">
        <v>3</v>
      </c>
      <c r="EH53" s="14">
        <v>3</v>
      </c>
      <c r="EI53" s="14">
        <f>IFERROR(AVERAGE(Tabel1[[#This Row],[Do - C1a]:[Do - C1c]]),"")</f>
        <v>3.3333333333333335</v>
      </c>
      <c r="EJ53" s="14">
        <v>2</v>
      </c>
      <c r="EK53" s="14">
        <v>1</v>
      </c>
      <c r="EL53" s="14" t="s">
        <v>189</v>
      </c>
      <c r="EM53" s="14">
        <f>IFERROR(AVERAGE(Tabel1[[#This Row],[Do - C1]:[Do - C4]]),"")</f>
        <v>2.1111111111111112</v>
      </c>
      <c r="EN53" s="14">
        <v>2</v>
      </c>
      <c r="EO53" s="14">
        <v>2</v>
      </c>
      <c r="EP53" s="14">
        <v>4</v>
      </c>
      <c r="EQ53" s="14">
        <f>IFERROR(AVERAGE(Tabel1[[#This Row],[Do - F1a]:[Do - F1c]]),"")</f>
        <v>2.6666666666666665</v>
      </c>
      <c r="ER53" s="14">
        <v>2</v>
      </c>
      <c r="ES53" s="14">
        <f>IFERROR(AVERAGE(Tabel1[[#This Row],[Do - F2a]:[Do - F2a]]),"")</f>
        <v>2</v>
      </c>
      <c r="ET53" s="14">
        <v>3</v>
      </c>
      <c r="EU53" s="14">
        <v>3</v>
      </c>
      <c r="EV53" s="14">
        <f>IFERROR(AVERAGE(Tabel1[[#This Row],[Do - F3a]:[Do - F3b]]),"")</f>
        <v>3</v>
      </c>
      <c r="EW53" s="14" t="s">
        <v>189</v>
      </c>
      <c r="EX53" s="14">
        <f>IFERROR(AVERAGE(Tabel1[[#This Row],[Do - F1]],Tabel1[[#This Row],[Do - F2]],Tabel1[[#This Row],[Do - F3]],Tabel1[[#This Row],[Do - F4]]),"")</f>
        <v>2.5555555555555554</v>
      </c>
      <c r="EY53" s="14">
        <v>2</v>
      </c>
      <c r="EZ53" s="14">
        <v>3</v>
      </c>
      <c r="FA53" s="14" t="s">
        <v>189</v>
      </c>
      <c r="FB53" s="14">
        <f>IFERROR(AVERAGE(Tabel1[[#This Row],[Do - V1a]:[Do - V1c]]),"")</f>
        <v>2.5</v>
      </c>
      <c r="FC53" s="14" t="s">
        <v>189</v>
      </c>
      <c r="FD53" s="14">
        <v>3</v>
      </c>
      <c r="FE53" s="14">
        <f>IFERROR(AVERAGE(Tabel1[[#This Row],[Do - V2a]:[Do - V2b]]),"")</f>
        <v>3</v>
      </c>
      <c r="FF53" s="14">
        <v>2</v>
      </c>
      <c r="FG53" s="14">
        <f>IFERROR(AVERAGE(Tabel1[[#This Row],[Do - V3a]:[Do - V3a]]),"")</f>
        <v>2</v>
      </c>
      <c r="FH53" s="14" t="s">
        <v>189</v>
      </c>
      <c r="FI53" s="14">
        <f>IFERROR(AVERAGE(Tabel1[[#This Row],[Do - V1]],Tabel1[[#This Row],[Do - V2]],Tabel1[[#This Row],[Do - V3]],Tabel1[[#This Row],[Do - V4]]),"")</f>
        <v>2.5</v>
      </c>
      <c r="FJ53" s="14">
        <v>3</v>
      </c>
      <c r="FK53" s="14">
        <v>3</v>
      </c>
      <c r="FL53" s="14">
        <v>4</v>
      </c>
      <c r="FM53" s="14">
        <f>IFERROR(AVERAGE(Tabel1[[#This Row],[Do - A1a]:[Do - A1c]]),"")</f>
        <v>3.3333333333333335</v>
      </c>
      <c r="FN53" s="14">
        <v>4</v>
      </c>
      <c r="FO53" s="14">
        <v>2</v>
      </c>
      <c r="FP53" s="14">
        <f>IFERROR(AVERAGE(Tabel1[[#This Row],[Do - A2a]:[Do - A2b]]),"")</f>
        <v>3</v>
      </c>
      <c r="FQ53" s="14">
        <v>2</v>
      </c>
      <c r="FR53" s="14">
        <f>IFERROR(AVERAGE(Tabel1[[#This Row],[Do - A3a]:[Do - A3a]]),"")</f>
        <v>2</v>
      </c>
      <c r="FS53" s="14" t="s">
        <v>189</v>
      </c>
      <c r="FT53" s="14">
        <f>IFERROR(AVERAGE(Tabel1[[#This Row],[Do - A1]],Tabel1[[#This Row],[Do - A2]],Tabel1[[#This Row],[Do - A3]],Tabel1[[#This Row],[Do - A4]]),"")</f>
        <v>2.7777777777777781</v>
      </c>
      <c r="FU5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2.2611111111111111</v>
      </c>
      <c r="FV53" s="16" t="s">
        <v>462</v>
      </c>
      <c r="FW53" t="b">
        <v>1</v>
      </c>
    </row>
    <row r="54" spans="1:179" x14ac:dyDescent="0.3">
      <c r="A54" s="13">
        <v>44930.556087962963</v>
      </c>
      <c r="B54" t="b">
        <v>0</v>
      </c>
      <c r="C54" s="14" t="s">
        <v>463</v>
      </c>
      <c r="D54" s="14" t="s">
        <v>464</v>
      </c>
      <c r="E54" s="14" t="s">
        <v>459</v>
      </c>
      <c r="F54" s="14" t="s">
        <v>184</v>
      </c>
      <c r="G54" s="14" t="s">
        <v>465</v>
      </c>
      <c r="H54" s="14" t="s">
        <v>194</v>
      </c>
      <c r="I54" s="14" t="s">
        <v>195</v>
      </c>
      <c r="J54" s="14" t="s">
        <v>461</v>
      </c>
      <c r="K54" s="14" t="s">
        <v>202</v>
      </c>
      <c r="L54" s="14" t="s">
        <v>218</v>
      </c>
      <c r="M54" s="14" t="s">
        <v>188</v>
      </c>
      <c r="N54" s="14" t="s">
        <v>199</v>
      </c>
      <c r="O54" s="14" t="s">
        <v>200</v>
      </c>
      <c r="P54" s="14" t="s">
        <v>201</v>
      </c>
      <c r="Q54" s="17" t="s">
        <v>304</v>
      </c>
      <c r="R54" s="14" t="s">
        <v>201</v>
      </c>
      <c r="S54" s="14" t="s">
        <v>235</v>
      </c>
      <c r="T54" s="14" t="s">
        <v>380</v>
      </c>
      <c r="U54" s="14" t="s">
        <v>349</v>
      </c>
      <c r="V54" s="14" t="s">
        <v>359</v>
      </c>
      <c r="W54" s="14" t="s">
        <v>207</v>
      </c>
      <c r="X54" s="14" t="s">
        <v>207</v>
      </c>
      <c r="Y54" s="14">
        <v>2</v>
      </c>
      <c r="Z54" s="14">
        <v>3</v>
      </c>
      <c r="AA54" s="14" t="s">
        <v>189</v>
      </c>
      <c r="AB54" s="15">
        <f>IFERROR(AVERAGE(Tabel1[[#This Row],[Up - R1a]:[Up - R1c]]),"")</f>
        <v>2.5</v>
      </c>
      <c r="AC54" s="14">
        <v>2</v>
      </c>
      <c r="AD54" s="14">
        <v>4</v>
      </c>
      <c r="AE54" s="14">
        <v>1</v>
      </c>
      <c r="AF54" s="14">
        <v>2</v>
      </c>
      <c r="AG54" s="14">
        <f>IFERROR(AVERAGE(Tabel1[[#This Row],[Up - R1]:[Up - R5]]),"")</f>
        <v>2.2999999999999998</v>
      </c>
      <c r="AH54" s="14">
        <v>2</v>
      </c>
      <c r="AI54" s="14">
        <v>2</v>
      </c>
      <c r="AJ54" s="14">
        <v>3</v>
      </c>
      <c r="AK54" s="14">
        <f>IFERROR(AVERAGE(Tabel1[[#This Row],[Up - C1a]:[Up - C1c]]),"")</f>
        <v>2.3333333333333335</v>
      </c>
      <c r="AL54" s="14">
        <v>1</v>
      </c>
      <c r="AM54" s="14">
        <v>1</v>
      </c>
      <c r="AN54" s="14">
        <v>1</v>
      </c>
      <c r="AO54" s="14">
        <f>IFERROR(AVERAGE(Tabel1[[#This Row],[Up - C1]:[Up - C4]]),"")</f>
        <v>1.3333333333333335</v>
      </c>
      <c r="AP54" s="14">
        <v>1</v>
      </c>
      <c r="AQ54" s="14">
        <f>IFERROR(AVERAGE(Tabel1[[#This Row],[Up - F1a]:[Up - F1a]]),"")</f>
        <v>1</v>
      </c>
      <c r="AR54" s="14">
        <v>2</v>
      </c>
      <c r="AS54" s="14">
        <v>3</v>
      </c>
      <c r="AT54" s="14">
        <f>IFERROR(AVERAGE(Tabel1[[#This Row],[Up - F2a]:[Up - F2b]]),"")</f>
        <v>2.5</v>
      </c>
      <c r="AU54" s="14">
        <v>3</v>
      </c>
      <c r="AV54" s="14">
        <v>3</v>
      </c>
      <c r="AW54" s="14">
        <f>IFERROR(AVERAGE(Tabel1[[#This Row],[Up - F3a]:[Up - F3b]]),"")</f>
        <v>3</v>
      </c>
      <c r="AX54" s="14">
        <v>1</v>
      </c>
      <c r="AY54" s="14">
        <f>IFERROR(AVERAGE(Tabel1[[#This Row],[Up - F1]],Tabel1[[#This Row],[Up - F2]],Tabel1[[#This Row],[Up - F3]],Tabel1[[#This Row],[Up - F4]]),"")</f>
        <v>1.875</v>
      </c>
      <c r="AZ54" s="14">
        <v>1</v>
      </c>
      <c r="BA54" s="14">
        <v>2</v>
      </c>
      <c r="BB54" s="14">
        <f>IFERROR(AVERAGE(Tabel1[[#This Row],[Up - V1a]:[Up - V1b]]),"")</f>
        <v>1.5</v>
      </c>
      <c r="BC54" s="14">
        <v>3</v>
      </c>
      <c r="BD54" s="14">
        <v>2</v>
      </c>
      <c r="BE54" s="14">
        <v>1</v>
      </c>
      <c r="BF54" s="14">
        <f>IFERROR(AVERAGE(Tabel1[[#This Row],[Up - V2a]:[Up - V2c]]),"")</f>
        <v>2</v>
      </c>
      <c r="BG54" s="14">
        <v>1</v>
      </c>
      <c r="BH54" s="14">
        <v>1</v>
      </c>
      <c r="BI54" s="14">
        <f>IFERROR(AVERAGE(Tabel1[[#This Row],[Up - V3a]:[Up - V3b]]),"")</f>
        <v>1</v>
      </c>
      <c r="BJ54" s="14">
        <v>1</v>
      </c>
      <c r="BK54" s="14">
        <f>IFERROR(AVERAGE(Tabel1[[#This Row],[Up - V1]],Tabel1[[#This Row],[Up - V2]],Tabel1[[#This Row],[Up - V3]],Tabel1[[#This Row],[Up - V4]]),"")</f>
        <v>1.375</v>
      </c>
      <c r="BL54" s="14">
        <v>3</v>
      </c>
      <c r="BM54" s="14">
        <v>3</v>
      </c>
      <c r="BN54" s="14">
        <v>3</v>
      </c>
      <c r="BO54" s="14">
        <v>1</v>
      </c>
      <c r="BP54" s="14">
        <f>IFERROR(AVERAGE(Tabel1[[#This Row],[Up - A1a]:[Up - A1d]]),"")</f>
        <v>2.5</v>
      </c>
      <c r="BQ54" s="14">
        <v>1</v>
      </c>
      <c r="BR54" s="14">
        <v>3</v>
      </c>
      <c r="BS54" s="14">
        <f>IFERROR(AVERAGE(Tabel1[[#This Row],[Up - A2a]:[Up - A2b]]),"")</f>
        <v>2</v>
      </c>
      <c r="BT54" s="14">
        <v>2</v>
      </c>
      <c r="BU54" s="14">
        <f>IFERROR(AVERAGE(Tabel1[[#This Row],[Up - A3a]:[Up - A3a]]),"")</f>
        <v>2</v>
      </c>
      <c r="BV54" s="14">
        <v>1</v>
      </c>
      <c r="BW54" s="14">
        <f>IFERROR(AVERAGE(Tabel1[[#This Row],[Up - A1]],Tabel1[[#This Row],[Up - A2]],Tabel1[[#This Row],[Up - A3]]),"")</f>
        <v>2.1666666666666665</v>
      </c>
      <c r="BX54" s="14">
        <v>4</v>
      </c>
      <c r="BY54" s="14">
        <v>5</v>
      </c>
      <c r="BZ54" s="14">
        <f>IFERROR(AVERAGE(Tabel1[[#This Row],[In - R1a]:[In - R1b]]),"")</f>
        <v>4.5</v>
      </c>
      <c r="CA54" s="14" t="s">
        <v>189</v>
      </c>
      <c r="CB54" s="14">
        <v>1</v>
      </c>
      <c r="CC54" s="14">
        <v>1</v>
      </c>
      <c r="CD54" s="14">
        <v>4</v>
      </c>
      <c r="CE54" s="14">
        <f>IFERROR(AVERAGE(Tabel1[[#This Row],[In - R1]:[In - R5]]),"")</f>
        <v>2.625</v>
      </c>
      <c r="CF54" s="14">
        <v>2</v>
      </c>
      <c r="CG54" s="14">
        <v>2</v>
      </c>
      <c r="CH54" s="14">
        <v>2</v>
      </c>
      <c r="CI54" s="14">
        <f>IFERROR(AVERAGE(Tabel1[[#This Row],[In - C1a]:[In - C1c]]),"")</f>
        <v>2</v>
      </c>
      <c r="CJ54" s="14">
        <v>1</v>
      </c>
      <c r="CK54" s="14">
        <v>1</v>
      </c>
      <c r="CL54" s="14">
        <v>1</v>
      </c>
      <c r="CM54" s="14">
        <f>IFERROR(AVERAGE(Tabel1[[#This Row],[In - C1]:[In - C4]]),"")</f>
        <v>1.25</v>
      </c>
      <c r="CN54" s="14">
        <v>2</v>
      </c>
      <c r="CO54" s="14">
        <v>2</v>
      </c>
      <c r="CP54" s="14">
        <v>3</v>
      </c>
      <c r="CQ54" s="14">
        <f>IFERROR(AVERAGE(Tabel1[[#This Row],[In - F1a]:[In - F1c]]),"")</f>
        <v>2.3333333333333335</v>
      </c>
      <c r="CR54" s="14">
        <v>4</v>
      </c>
      <c r="CS54" s="14">
        <v>3</v>
      </c>
      <c r="CT54" s="14">
        <f>IFERROR(AVERAGE(Tabel1[[#This Row],[In - F2a]:[In - F2b]]),"")</f>
        <v>3.5</v>
      </c>
      <c r="CU54" s="14">
        <v>3</v>
      </c>
      <c r="CV54" s="14">
        <f>IFERROR(AVERAGE(Tabel1[[#This Row],[In - F3a]:[In - F3a]]),"")</f>
        <v>3</v>
      </c>
      <c r="CW54" s="14">
        <v>4</v>
      </c>
      <c r="CX54" s="14">
        <f>IFERROR(AVERAGE(Tabel1[[#This Row],[In - F1]],Tabel1[[#This Row],[In - F2]],Tabel1[[#This Row],[In - F3]],Tabel1[[#This Row],[In - F4]]),"")</f>
        <v>3.2083333333333335</v>
      </c>
      <c r="CY54" s="14">
        <v>2</v>
      </c>
      <c r="CZ54" s="14">
        <v>2</v>
      </c>
      <c r="DA54" s="14">
        <v>1</v>
      </c>
      <c r="DB54" s="14">
        <f>IFERROR(AVERAGE(Tabel1[[#This Row],[In - V1a]:[In - V1c]]),"")</f>
        <v>1.6666666666666667</v>
      </c>
      <c r="DC54" s="14">
        <v>2</v>
      </c>
      <c r="DD54" s="14">
        <v>1</v>
      </c>
      <c r="DE54" s="14">
        <v>2</v>
      </c>
      <c r="DF54" s="14">
        <f>IFERROR(AVERAGE(Tabel1[[#This Row],[In - V2a]:[In - V2c]]),"")</f>
        <v>1.6666666666666667</v>
      </c>
      <c r="DG54" s="14">
        <v>2</v>
      </c>
      <c r="DH54" s="14">
        <v>1</v>
      </c>
      <c r="DI54" s="14">
        <f>IFERROR(AVERAGE(Tabel1[[#This Row],[In - V3a]:[In - V3b]]),"")</f>
        <v>1.5</v>
      </c>
      <c r="DJ54" s="14">
        <v>1</v>
      </c>
      <c r="DK54" s="14">
        <f>IFERROR(AVERAGE(Tabel1[[#This Row],[In - V1]],Tabel1[[#This Row],[In - V2]],Tabel1[[#This Row],[In - V3]],Tabel1[[#This Row],[In - V4]]),"")</f>
        <v>1.4583333333333335</v>
      </c>
      <c r="DL54" s="14">
        <v>1</v>
      </c>
      <c r="DM54" s="14">
        <v>2</v>
      </c>
      <c r="DN54" s="14">
        <f>IFERROR(AVERAGE(Tabel1[[#This Row],[In - A1a]:[In - A1b]]),"")</f>
        <v>1.5</v>
      </c>
      <c r="DO54" s="14">
        <v>3</v>
      </c>
      <c r="DP54" s="14">
        <v>2</v>
      </c>
      <c r="DQ54" s="14">
        <f>IFERROR(AVERAGE(Tabel1[[#This Row],[In - A2a]:[In - A2b]]),"")</f>
        <v>2.5</v>
      </c>
      <c r="DR54" s="14">
        <v>3</v>
      </c>
      <c r="DS54" s="14">
        <v>2</v>
      </c>
      <c r="DT54" s="14">
        <f>IFERROR(AVERAGE(Tabel1[[#This Row],[In - A3a]:[In - A3a]]),"")</f>
        <v>3</v>
      </c>
      <c r="DU54" s="14">
        <v>1</v>
      </c>
      <c r="DV54" s="14">
        <f>IFERROR(AVERAGE(Tabel1[[#This Row],[In - A1]],Tabel1[[#This Row],[In - A2]],Tabel1[[#This Row],[In - A3]],Tabel1[[#This Row],[In - A4]]),"")</f>
        <v>2</v>
      </c>
      <c r="DW54" s="14">
        <v>2</v>
      </c>
      <c r="DX54" s="14">
        <v>5</v>
      </c>
      <c r="DY54" s="14">
        <v>3</v>
      </c>
      <c r="DZ54" s="14">
        <f>IFERROR(AVERAGE(Tabel1[[#This Row],[Do - R1a]:[Do - R1c]]),"")</f>
        <v>3.3333333333333335</v>
      </c>
      <c r="EA54" s="14" t="s">
        <v>189</v>
      </c>
      <c r="EB54" s="14">
        <v>3</v>
      </c>
      <c r="EC54" s="14">
        <v>2</v>
      </c>
      <c r="ED54" s="14">
        <v>3</v>
      </c>
      <c r="EE54" s="14">
        <f>IFERROR(AVERAGE(Tabel1[[#This Row],[Do - R1]:[Do - R5]]),"")</f>
        <v>2.8333333333333335</v>
      </c>
      <c r="EF54" s="14">
        <v>5</v>
      </c>
      <c r="EG54" s="14">
        <v>3</v>
      </c>
      <c r="EH54" s="14">
        <v>2</v>
      </c>
      <c r="EI54" s="14">
        <f>IFERROR(AVERAGE(Tabel1[[#This Row],[Do - C1a]:[Do - C1c]]),"")</f>
        <v>3.3333333333333335</v>
      </c>
      <c r="EJ54" s="14">
        <v>1</v>
      </c>
      <c r="EK54" s="14">
        <v>1</v>
      </c>
      <c r="EL54" s="14">
        <v>1</v>
      </c>
      <c r="EM54" s="14">
        <f>IFERROR(AVERAGE(Tabel1[[#This Row],[Do - C1]:[Do - C4]]),"")</f>
        <v>1.5833333333333335</v>
      </c>
      <c r="EN54" s="14">
        <v>2</v>
      </c>
      <c r="EO54" s="14">
        <v>2</v>
      </c>
      <c r="EP54" s="14">
        <v>4</v>
      </c>
      <c r="EQ54" s="14">
        <f>IFERROR(AVERAGE(Tabel1[[#This Row],[Do - F1a]:[Do - F1c]]),"")</f>
        <v>2.6666666666666665</v>
      </c>
      <c r="ER54" s="14">
        <v>2</v>
      </c>
      <c r="ES54" s="14">
        <f>IFERROR(AVERAGE(Tabel1[[#This Row],[Do - F2a]:[Do - F2a]]),"")</f>
        <v>2</v>
      </c>
      <c r="ET54" s="14">
        <v>2</v>
      </c>
      <c r="EU54" s="14">
        <v>2</v>
      </c>
      <c r="EV54" s="14">
        <f>IFERROR(AVERAGE(Tabel1[[#This Row],[Do - F3a]:[Do - F3b]]),"")</f>
        <v>2</v>
      </c>
      <c r="EW54" s="14">
        <v>2</v>
      </c>
      <c r="EX54" s="14">
        <f>IFERROR(AVERAGE(Tabel1[[#This Row],[Do - F1]],Tabel1[[#This Row],[Do - F2]],Tabel1[[#This Row],[Do - F3]],Tabel1[[#This Row],[Do - F4]]),"")</f>
        <v>2.1666666666666665</v>
      </c>
      <c r="EY54" s="14">
        <v>1</v>
      </c>
      <c r="EZ54" s="14">
        <v>1</v>
      </c>
      <c r="FA54" s="14">
        <v>2</v>
      </c>
      <c r="FB54" s="14">
        <f>IFERROR(AVERAGE(Tabel1[[#This Row],[Do - V1a]:[Do - V1c]]),"")</f>
        <v>1.3333333333333333</v>
      </c>
      <c r="FC54" s="14">
        <v>2</v>
      </c>
      <c r="FD54" s="14">
        <v>3</v>
      </c>
      <c r="FE54" s="14">
        <f>IFERROR(AVERAGE(Tabel1[[#This Row],[Do - V2a]:[Do - V2b]]),"")</f>
        <v>2.5</v>
      </c>
      <c r="FF54" s="14">
        <v>2</v>
      </c>
      <c r="FG54" s="14">
        <f>IFERROR(AVERAGE(Tabel1[[#This Row],[Do - V3a]:[Do - V3a]]),"")</f>
        <v>2</v>
      </c>
      <c r="FH54" s="14">
        <v>1</v>
      </c>
      <c r="FI54" s="14">
        <f>IFERROR(AVERAGE(Tabel1[[#This Row],[Do - V1]],Tabel1[[#This Row],[Do - V2]],Tabel1[[#This Row],[Do - V3]],Tabel1[[#This Row],[Do - V4]]),"")</f>
        <v>1.7083333333333333</v>
      </c>
      <c r="FJ54" s="14" t="s">
        <v>189</v>
      </c>
      <c r="FK54" s="14">
        <v>2</v>
      </c>
      <c r="FL54" s="14">
        <v>2</v>
      </c>
      <c r="FM54" s="14">
        <f>IFERROR(AVERAGE(Tabel1[[#This Row],[Do - A1a]:[Do - A1c]]),"")</f>
        <v>2</v>
      </c>
      <c r="FN54" s="14" t="s">
        <v>189</v>
      </c>
      <c r="FO54" s="14">
        <v>3</v>
      </c>
      <c r="FP54" s="14">
        <f>IFERROR(AVERAGE(Tabel1[[#This Row],[Do - A2a]:[Do - A2b]]),"")</f>
        <v>3</v>
      </c>
      <c r="FQ54" s="14">
        <v>3</v>
      </c>
      <c r="FR54" s="14">
        <f>IFERROR(AVERAGE(Tabel1[[#This Row],[Do - A3a]:[Do - A3a]]),"")</f>
        <v>3</v>
      </c>
      <c r="FS54" s="14">
        <v>1</v>
      </c>
      <c r="FT54" s="14">
        <f>IFERROR(AVERAGE(Tabel1[[#This Row],[Do - A1]],Tabel1[[#This Row],[Do - A2]],Tabel1[[#This Row],[Do - A3]],Tabel1[[#This Row],[Do - A4]]),"")</f>
        <v>2.25</v>
      </c>
      <c r="FU5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2.0088888888888885</v>
      </c>
      <c r="FV54" s="16" t="s">
        <v>466</v>
      </c>
      <c r="FW54" t="b">
        <v>1</v>
      </c>
    </row>
    <row r="55" spans="1:179" x14ac:dyDescent="0.3">
      <c r="A55" s="13">
        <v>44931.314525462964</v>
      </c>
      <c r="B55" t="b">
        <v>0</v>
      </c>
      <c r="C55" s="14" t="s">
        <v>467</v>
      </c>
      <c r="D55" s="14" t="s">
        <v>468</v>
      </c>
      <c r="E55" s="14" t="s">
        <v>469</v>
      </c>
      <c r="F55" s="14" t="s">
        <v>184</v>
      </c>
      <c r="G55" s="14" t="s">
        <v>470</v>
      </c>
      <c r="H55" s="14" t="s">
        <v>222</v>
      </c>
      <c r="I55" s="14" t="s">
        <v>243</v>
      </c>
      <c r="J55" s="14" t="s">
        <v>248</v>
      </c>
      <c r="K55" s="14" t="s">
        <v>201</v>
      </c>
      <c r="L55" s="14" t="s">
        <v>218</v>
      </c>
      <c r="M55" s="14" t="s">
        <v>281</v>
      </c>
      <c r="N55" s="14"/>
      <c r="O55" s="14" t="s">
        <v>256</v>
      </c>
      <c r="P55" s="17" t="s">
        <v>255</v>
      </c>
      <c r="Q55" s="14" t="s">
        <v>203</v>
      </c>
      <c r="R55" s="14" t="s">
        <v>202</v>
      </c>
      <c r="S55" s="14" t="s">
        <v>202</v>
      </c>
      <c r="T55" s="14" t="s">
        <v>204</v>
      </c>
      <c r="U55" s="14" t="s">
        <v>285</v>
      </c>
      <c r="V55" s="14" t="s">
        <v>359</v>
      </c>
      <c r="W55" s="14" t="s">
        <v>207</v>
      </c>
      <c r="X55" s="14" t="s">
        <v>395</v>
      </c>
      <c r="Y55" s="14">
        <v>2</v>
      </c>
      <c r="Z55" s="14">
        <v>3</v>
      </c>
      <c r="AA55" s="14">
        <v>3</v>
      </c>
      <c r="AB55" s="15">
        <f>IFERROR(AVERAGE(Tabel1[[#This Row],[Up - R1a]:[Up - R1c]]),"")</f>
        <v>2.6666666666666665</v>
      </c>
      <c r="AC55" s="14">
        <v>1</v>
      </c>
      <c r="AD55" s="14">
        <v>5</v>
      </c>
      <c r="AE55" s="14">
        <v>1</v>
      </c>
      <c r="AF55" s="14">
        <v>2</v>
      </c>
      <c r="AG55" s="14">
        <f>IFERROR(AVERAGE(Tabel1[[#This Row],[Up - R1]:[Up - R5]]),"")</f>
        <v>2.333333333333333</v>
      </c>
      <c r="AH55" s="14">
        <v>4</v>
      </c>
      <c r="AI55" s="14">
        <v>4</v>
      </c>
      <c r="AJ55" s="14">
        <v>4</v>
      </c>
      <c r="AK55" s="14">
        <f>IFERROR(AVERAGE(Tabel1[[#This Row],[Up - C1a]:[Up - C1c]]),"")</f>
        <v>4</v>
      </c>
      <c r="AL55" s="14">
        <v>3</v>
      </c>
      <c r="AM55" s="14">
        <v>3</v>
      </c>
      <c r="AN55" s="14">
        <v>4</v>
      </c>
      <c r="AO55" s="14">
        <f>IFERROR(AVERAGE(Tabel1[[#This Row],[Up - C1]:[Up - C4]]),"")</f>
        <v>3.5</v>
      </c>
      <c r="AP55" s="14">
        <v>4</v>
      </c>
      <c r="AQ55" s="14">
        <f>IFERROR(AVERAGE(Tabel1[[#This Row],[Up - F1a]:[Up - F1a]]),"")</f>
        <v>4</v>
      </c>
      <c r="AR55" s="14">
        <v>2</v>
      </c>
      <c r="AS55" s="14">
        <v>3</v>
      </c>
      <c r="AT55" s="14">
        <f>IFERROR(AVERAGE(Tabel1[[#This Row],[Up - F2a]:[Up - F2b]]),"")</f>
        <v>2.5</v>
      </c>
      <c r="AU55" s="14">
        <v>2</v>
      </c>
      <c r="AV55" s="14">
        <v>4</v>
      </c>
      <c r="AW55" s="14">
        <f>IFERROR(AVERAGE(Tabel1[[#This Row],[Up - F3a]:[Up - F3b]]),"")</f>
        <v>3</v>
      </c>
      <c r="AX55" s="14">
        <v>2</v>
      </c>
      <c r="AY55" s="14">
        <f>IFERROR(AVERAGE(Tabel1[[#This Row],[Up - F1]],Tabel1[[#This Row],[Up - F2]],Tabel1[[#This Row],[Up - F3]],Tabel1[[#This Row],[Up - F4]]),"")</f>
        <v>2.875</v>
      </c>
      <c r="AZ55" s="14">
        <v>3</v>
      </c>
      <c r="BA55" s="14">
        <v>2</v>
      </c>
      <c r="BB55" s="14">
        <f>IFERROR(AVERAGE(Tabel1[[#This Row],[Up - V1a]:[Up - V1b]]),"")</f>
        <v>2.5</v>
      </c>
      <c r="BC55" s="14">
        <v>4</v>
      </c>
      <c r="BD55" s="14">
        <v>3</v>
      </c>
      <c r="BE55" s="14">
        <v>2</v>
      </c>
      <c r="BF55" s="14">
        <f>IFERROR(AVERAGE(Tabel1[[#This Row],[Up - V2a]:[Up - V2c]]),"")</f>
        <v>3</v>
      </c>
      <c r="BG55" s="14">
        <v>2</v>
      </c>
      <c r="BH55" s="14">
        <v>2</v>
      </c>
      <c r="BI55" s="14">
        <f>IFERROR(AVERAGE(Tabel1[[#This Row],[Up - V3a]:[Up - V3b]]),"")</f>
        <v>2</v>
      </c>
      <c r="BJ55" s="14">
        <v>3</v>
      </c>
      <c r="BK55" s="14">
        <f>IFERROR(AVERAGE(Tabel1[[#This Row],[Up - V1]],Tabel1[[#This Row],[Up - V2]],Tabel1[[#This Row],[Up - V3]],Tabel1[[#This Row],[Up - V4]]),"")</f>
        <v>2.625</v>
      </c>
      <c r="BL55" s="14">
        <v>2</v>
      </c>
      <c r="BM55" s="14">
        <v>2</v>
      </c>
      <c r="BN55" s="14">
        <v>2</v>
      </c>
      <c r="BO55" s="14">
        <v>2</v>
      </c>
      <c r="BP55" s="14">
        <f>IFERROR(AVERAGE(Tabel1[[#This Row],[Up - A1a]:[Up - A1d]]),"")</f>
        <v>2</v>
      </c>
      <c r="BQ55" s="14">
        <v>2</v>
      </c>
      <c r="BR55" s="14">
        <v>2</v>
      </c>
      <c r="BS55" s="14">
        <f>IFERROR(AVERAGE(Tabel1[[#This Row],[Up - A2a]:[Up - A2b]]),"")</f>
        <v>2</v>
      </c>
      <c r="BT55" s="14">
        <v>3</v>
      </c>
      <c r="BU55" s="14">
        <f>IFERROR(AVERAGE(Tabel1[[#This Row],[Up - A3a]:[Up - A3a]]),"")</f>
        <v>3</v>
      </c>
      <c r="BV55" s="14">
        <v>2</v>
      </c>
      <c r="BW55" s="14">
        <f>IFERROR(AVERAGE(Tabel1[[#This Row],[Up - A1]],Tabel1[[#This Row],[Up - A2]],Tabel1[[#This Row],[Up - A3]]),"")</f>
        <v>2.3333333333333335</v>
      </c>
      <c r="BX55" s="14">
        <v>2</v>
      </c>
      <c r="BY55" s="14">
        <v>1</v>
      </c>
      <c r="BZ55" s="14">
        <f>IFERROR(AVERAGE(Tabel1[[#This Row],[In - R1a]:[In - R1b]]),"")</f>
        <v>1.5</v>
      </c>
      <c r="CA55" s="14">
        <v>4</v>
      </c>
      <c r="CB55" s="14">
        <v>1</v>
      </c>
      <c r="CC55" s="14">
        <v>1</v>
      </c>
      <c r="CD55" s="14">
        <v>5</v>
      </c>
      <c r="CE55" s="14">
        <f>IFERROR(AVERAGE(Tabel1[[#This Row],[In - R1]:[In - R5]]),"")</f>
        <v>2.5</v>
      </c>
      <c r="CF55" s="14">
        <v>3</v>
      </c>
      <c r="CG55" s="14">
        <v>3</v>
      </c>
      <c r="CH55" s="14">
        <v>3</v>
      </c>
      <c r="CI55" s="14">
        <f>IFERROR(AVERAGE(Tabel1[[#This Row],[In - C1a]:[In - C1c]]),"")</f>
        <v>3</v>
      </c>
      <c r="CJ55" s="14">
        <v>3</v>
      </c>
      <c r="CK55" s="14">
        <v>3</v>
      </c>
      <c r="CL55" s="14">
        <v>3</v>
      </c>
      <c r="CM55" s="14">
        <f>IFERROR(AVERAGE(Tabel1[[#This Row],[In - C1]:[In - C4]]),"")</f>
        <v>3</v>
      </c>
      <c r="CN55" s="14">
        <v>3</v>
      </c>
      <c r="CO55" s="14">
        <v>2</v>
      </c>
      <c r="CP55" s="14">
        <v>3</v>
      </c>
      <c r="CQ55" s="14">
        <f>IFERROR(AVERAGE(Tabel1[[#This Row],[In - F1a]:[In - F1c]]),"")</f>
        <v>2.6666666666666665</v>
      </c>
      <c r="CR55" s="14">
        <v>3</v>
      </c>
      <c r="CS55" s="14">
        <v>3</v>
      </c>
      <c r="CT55" s="14">
        <f>IFERROR(AVERAGE(Tabel1[[#This Row],[In - F2a]:[In - F2b]]),"")</f>
        <v>3</v>
      </c>
      <c r="CU55" s="14">
        <v>3</v>
      </c>
      <c r="CV55" s="14">
        <f>IFERROR(AVERAGE(Tabel1[[#This Row],[In - F3a]:[In - F3a]]),"")</f>
        <v>3</v>
      </c>
      <c r="CW55" s="14">
        <v>2</v>
      </c>
      <c r="CX55" s="14">
        <f>IFERROR(AVERAGE(Tabel1[[#This Row],[In - F1]],Tabel1[[#This Row],[In - F2]],Tabel1[[#This Row],[In - F3]],Tabel1[[#This Row],[In - F4]]),"")</f>
        <v>2.6666666666666665</v>
      </c>
      <c r="CY55" s="14">
        <v>2</v>
      </c>
      <c r="CZ55" s="14">
        <v>3</v>
      </c>
      <c r="DA55" s="14">
        <v>3</v>
      </c>
      <c r="DB55" s="14">
        <f>IFERROR(AVERAGE(Tabel1[[#This Row],[In - V1a]:[In - V1c]]),"")</f>
        <v>2.6666666666666665</v>
      </c>
      <c r="DC55" s="14">
        <v>2</v>
      </c>
      <c r="DD55" s="14">
        <v>3</v>
      </c>
      <c r="DE55" s="14">
        <v>4</v>
      </c>
      <c r="DF55" s="14">
        <f>IFERROR(AVERAGE(Tabel1[[#This Row],[In - V2a]:[In - V2c]]),"")</f>
        <v>3</v>
      </c>
      <c r="DG55" s="14">
        <v>3</v>
      </c>
      <c r="DH55" s="14">
        <v>3</v>
      </c>
      <c r="DI55" s="14">
        <f>IFERROR(AVERAGE(Tabel1[[#This Row],[In - V3a]:[In - V3b]]),"")</f>
        <v>3</v>
      </c>
      <c r="DJ55" s="14">
        <v>3</v>
      </c>
      <c r="DK55" s="14">
        <f>IFERROR(AVERAGE(Tabel1[[#This Row],[In - V1]],Tabel1[[#This Row],[In - V2]],Tabel1[[#This Row],[In - V3]],Tabel1[[#This Row],[In - V4]]),"")</f>
        <v>2.9166666666666665</v>
      </c>
      <c r="DL55" s="14">
        <v>2</v>
      </c>
      <c r="DM55" s="14">
        <v>2</v>
      </c>
      <c r="DN55" s="14">
        <f>IFERROR(AVERAGE(Tabel1[[#This Row],[In - A1a]:[In - A1b]]),"")</f>
        <v>2</v>
      </c>
      <c r="DO55" s="14">
        <v>2</v>
      </c>
      <c r="DP55" s="14">
        <v>2</v>
      </c>
      <c r="DQ55" s="14">
        <f>IFERROR(AVERAGE(Tabel1[[#This Row],[In - A2a]:[In - A2b]]),"")</f>
        <v>2</v>
      </c>
      <c r="DR55" s="14">
        <v>2</v>
      </c>
      <c r="DS55" s="14">
        <v>2</v>
      </c>
      <c r="DT55" s="14">
        <f>IFERROR(AVERAGE(Tabel1[[#This Row],[In - A3a]:[In - A3a]]),"")</f>
        <v>2</v>
      </c>
      <c r="DU55" s="14">
        <v>2</v>
      </c>
      <c r="DV55" s="14">
        <f>IFERROR(AVERAGE(Tabel1[[#This Row],[In - A1]],Tabel1[[#This Row],[In - A2]],Tabel1[[#This Row],[In - A3]],Tabel1[[#This Row],[In - A4]]),"")</f>
        <v>2</v>
      </c>
      <c r="DW55" s="14">
        <v>2</v>
      </c>
      <c r="DX55" s="14">
        <v>3</v>
      </c>
      <c r="DY55" s="14">
        <v>3</v>
      </c>
      <c r="DZ55" s="14">
        <f>IFERROR(AVERAGE(Tabel1[[#This Row],[Do - R1a]:[Do - R1c]]),"")</f>
        <v>2.6666666666666665</v>
      </c>
      <c r="EA55" s="14">
        <v>2</v>
      </c>
      <c r="EB55" s="14">
        <v>3</v>
      </c>
      <c r="EC55" s="14">
        <v>3</v>
      </c>
      <c r="ED55" s="14">
        <v>3</v>
      </c>
      <c r="EE55" s="14">
        <f>IFERROR(AVERAGE(Tabel1[[#This Row],[Do - R1]:[Do - R5]]),"")</f>
        <v>2.7333333333333334</v>
      </c>
      <c r="EF55" s="14">
        <v>3</v>
      </c>
      <c r="EG55" s="14">
        <v>3</v>
      </c>
      <c r="EH55" s="14">
        <v>4</v>
      </c>
      <c r="EI55" s="14">
        <f>IFERROR(AVERAGE(Tabel1[[#This Row],[Do - C1a]:[Do - C1c]]),"")</f>
        <v>3.3333333333333335</v>
      </c>
      <c r="EJ55" s="14">
        <v>3</v>
      </c>
      <c r="EK55" s="14">
        <v>3</v>
      </c>
      <c r="EL55" s="14">
        <v>3</v>
      </c>
      <c r="EM55" s="14">
        <f>IFERROR(AVERAGE(Tabel1[[#This Row],[Do - C1]:[Do - C4]]),"")</f>
        <v>3.0833333333333335</v>
      </c>
      <c r="EN55" s="14">
        <v>4</v>
      </c>
      <c r="EO55" s="14">
        <v>3</v>
      </c>
      <c r="EP55" s="14">
        <v>2</v>
      </c>
      <c r="EQ55" s="14">
        <f>IFERROR(AVERAGE(Tabel1[[#This Row],[Do - F1a]:[Do - F1c]]),"")</f>
        <v>3</v>
      </c>
      <c r="ER55" s="14">
        <v>4</v>
      </c>
      <c r="ES55" s="14">
        <f>IFERROR(AVERAGE(Tabel1[[#This Row],[Do - F2a]:[Do - F2a]]),"")</f>
        <v>4</v>
      </c>
      <c r="ET55" s="14">
        <v>3</v>
      </c>
      <c r="EU55" s="14">
        <v>3</v>
      </c>
      <c r="EV55" s="14">
        <f>IFERROR(AVERAGE(Tabel1[[#This Row],[Do - F3a]:[Do - F3b]]),"")</f>
        <v>3</v>
      </c>
      <c r="EW55" s="14">
        <v>3</v>
      </c>
      <c r="EX55" s="14">
        <f>IFERROR(AVERAGE(Tabel1[[#This Row],[Do - F1]],Tabel1[[#This Row],[Do - F2]],Tabel1[[#This Row],[Do - F3]],Tabel1[[#This Row],[Do - F4]]),"")</f>
        <v>3.25</v>
      </c>
      <c r="EY55" s="14">
        <v>2</v>
      </c>
      <c r="EZ55" s="14">
        <v>2</v>
      </c>
      <c r="FA55" s="14">
        <v>2</v>
      </c>
      <c r="FB55" s="14">
        <f>IFERROR(AVERAGE(Tabel1[[#This Row],[Do - V1a]:[Do - V1c]]),"")</f>
        <v>2</v>
      </c>
      <c r="FC55" s="14">
        <v>2</v>
      </c>
      <c r="FD55" s="14">
        <v>3</v>
      </c>
      <c r="FE55" s="14">
        <f>IFERROR(AVERAGE(Tabel1[[#This Row],[Do - V2a]:[Do - V2b]]),"")</f>
        <v>2.5</v>
      </c>
      <c r="FF55" s="14">
        <v>2</v>
      </c>
      <c r="FG55" s="14">
        <f>IFERROR(AVERAGE(Tabel1[[#This Row],[Do - V3a]:[Do - V3a]]),"")</f>
        <v>2</v>
      </c>
      <c r="FH55" s="14">
        <v>2</v>
      </c>
      <c r="FI55" s="14">
        <f>IFERROR(AVERAGE(Tabel1[[#This Row],[Do - V1]],Tabel1[[#This Row],[Do - V2]],Tabel1[[#This Row],[Do - V3]],Tabel1[[#This Row],[Do - V4]]),"")</f>
        <v>2.125</v>
      </c>
      <c r="FJ55" s="14">
        <v>2</v>
      </c>
      <c r="FK55" s="14">
        <v>2</v>
      </c>
      <c r="FL55" s="14">
        <v>2</v>
      </c>
      <c r="FM55" s="14">
        <f>IFERROR(AVERAGE(Tabel1[[#This Row],[Do - A1a]:[Do - A1c]]),"")</f>
        <v>2</v>
      </c>
      <c r="FN55" s="14">
        <v>2</v>
      </c>
      <c r="FO55" s="14">
        <v>2</v>
      </c>
      <c r="FP55" s="14">
        <f>IFERROR(AVERAGE(Tabel1[[#This Row],[Do - A2a]:[Do - A2b]]),"")</f>
        <v>2</v>
      </c>
      <c r="FQ55" s="14">
        <v>2</v>
      </c>
      <c r="FR55" s="14">
        <f>IFERROR(AVERAGE(Tabel1[[#This Row],[Do - A3a]:[Do - A3a]]),"")</f>
        <v>2</v>
      </c>
      <c r="FS55" s="14">
        <v>2</v>
      </c>
      <c r="FT55" s="14">
        <f>IFERROR(AVERAGE(Tabel1[[#This Row],[Do - A1]],Tabel1[[#This Row],[Do - A2]],Tabel1[[#This Row],[Do - A3]],Tabel1[[#This Row],[Do - A4]]),"")</f>
        <v>2</v>
      </c>
      <c r="FU5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2.6627777777777779</v>
      </c>
      <c r="FV55" s="16" t="s">
        <v>471</v>
      </c>
      <c r="FW55" t="b">
        <v>1</v>
      </c>
    </row>
    <row r="56" spans="1:179" x14ac:dyDescent="0.3">
      <c r="A56" s="13">
        <v>44931.328946759262</v>
      </c>
      <c r="B56" t="b">
        <v>0</v>
      </c>
      <c r="C56" s="14" t="s">
        <v>472</v>
      </c>
      <c r="D56" s="14" t="s">
        <v>473</v>
      </c>
      <c r="E56" s="14" t="s">
        <v>241</v>
      </c>
      <c r="F56" s="14" t="s">
        <v>184</v>
      </c>
      <c r="G56" s="14" t="s">
        <v>474</v>
      </c>
      <c r="H56" s="14" t="s">
        <v>222</v>
      </c>
      <c r="I56" s="14" t="s">
        <v>243</v>
      </c>
      <c r="J56" s="14" t="s">
        <v>248</v>
      </c>
      <c r="K56" s="14" t="s">
        <v>235</v>
      </c>
      <c r="L56" s="14" t="s">
        <v>249</v>
      </c>
      <c r="M56" s="14" t="s">
        <v>233</v>
      </c>
      <c r="N56" s="14" t="s">
        <v>331</v>
      </c>
      <c r="O56" s="14" t="s">
        <v>200</v>
      </c>
      <c r="P56" s="14" t="s">
        <v>201</v>
      </c>
      <c r="Q56" s="14" t="s">
        <v>203</v>
      </c>
      <c r="R56" s="14" t="s">
        <v>202</v>
      </c>
      <c r="S56" s="14" t="s">
        <v>235</v>
      </c>
      <c r="T56" s="14" t="s">
        <v>204</v>
      </c>
      <c r="U56" s="14" t="s">
        <v>349</v>
      </c>
      <c r="V56" s="14" t="s">
        <v>359</v>
      </c>
      <c r="W56" s="14" t="s">
        <v>207</v>
      </c>
      <c r="X56" s="14" t="s">
        <v>207</v>
      </c>
      <c r="Y56" s="14">
        <v>4</v>
      </c>
      <c r="Z56" s="14">
        <v>4</v>
      </c>
      <c r="AA56" s="14">
        <v>3</v>
      </c>
      <c r="AB56" s="15">
        <f>IFERROR(AVERAGE(Tabel1[[#This Row],[Up - R1a]:[Up - R1c]]),"")</f>
        <v>3.6666666666666665</v>
      </c>
      <c r="AC56" s="14">
        <v>4</v>
      </c>
      <c r="AD56" s="14">
        <v>1</v>
      </c>
      <c r="AE56" s="14">
        <v>2</v>
      </c>
      <c r="AF56" s="14">
        <v>3</v>
      </c>
      <c r="AG56" s="14">
        <f>IFERROR(AVERAGE(Tabel1[[#This Row],[Up - R1]:[Up - R5]]),"")</f>
        <v>2.7333333333333334</v>
      </c>
      <c r="AH56" s="14">
        <v>4</v>
      </c>
      <c r="AI56" s="14">
        <v>4</v>
      </c>
      <c r="AJ56" s="14">
        <v>3</v>
      </c>
      <c r="AK56" s="14">
        <f>IFERROR(AVERAGE(Tabel1[[#This Row],[Up - C1a]:[Up - C1c]]),"")</f>
        <v>3.6666666666666665</v>
      </c>
      <c r="AL56" s="14">
        <v>3</v>
      </c>
      <c r="AM56" s="14">
        <v>2</v>
      </c>
      <c r="AN56" s="14">
        <v>4</v>
      </c>
      <c r="AO56" s="14">
        <f>IFERROR(AVERAGE(Tabel1[[#This Row],[Up - C1]:[Up - C4]]),"")</f>
        <v>3.1666666666666665</v>
      </c>
      <c r="AP56" s="14">
        <v>2</v>
      </c>
      <c r="AQ56" s="14">
        <f>IFERROR(AVERAGE(Tabel1[[#This Row],[Up - F1a]:[Up - F1a]]),"")</f>
        <v>2</v>
      </c>
      <c r="AR56" s="14">
        <v>2</v>
      </c>
      <c r="AS56" s="14">
        <v>3</v>
      </c>
      <c r="AT56" s="14">
        <f>IFERROR(AVERAGE(Tabel1[[#This Row],[Up - F2a]:[Up - F2b]]),"")</f>
        <v>2.5</v>
      </c>
      <c r="AU56" s="14">
        <v>2</v>
      </c>
      <c r="AV56" s="14">
        <v>4</v>
      </c>
      <c r="AW56" s="14">
        <f>IFERROR(AVERAGE(Tabel1[[#This Row],[Up - F3a]:[Up - F3b]]),"")</f>
        <v>3</v>
      </c>
      <c r="AX56" s="14">
        <v>2</v>
      </c>
      <c r="AY56" s="14">
        <f>IFERROR(AVERAGE(Tabel1[[#This Row],[Up - F1]],Tabel1[[#This Row],[Up - F2]],Tabel1[[#This Row],[Up - F3]],Tabel1[[#This Row],[Up - F4]]),"")</f>
        <v>2.375</v>
      </c>
      <c r="AZ56" s="14">
        <v>4</v>
      </c>
      <c r="BA56" s="14">
        <v>4</v>
      </c>
      <c r="BB56" s="14">
        <f>IFERROR(AVERAGE(Tabel1[[#This Row],[Up - V1a]:[Up - V1b]]),"")</f>
        <v>4</v>
      </c>
      <c r="BC56" s="14">
        <v>2</v>
      </c>
      <c r="BD56" s="14">
        <v>2</v>
      </c>
      <c r="BE56" s="14">
        <v>3</v>
      </c>
      <c r="BF56" s="14">
        <f>IFERROR(AVERAGE(Tabel1[[#This Row],[Up - V2a]:[Up - V2c]]),"")</f>
        <v>2.3333333333333335</v>
      </c>
      <c r="BG56" s="14">
        <v>3</v>
      </c>
      <c r="BH56" s="14">
        <v>3</v>
      </c>
      <c r="BI56" s="14">
        <f>IFERROR(AVERAGE(Tabel1[[#This Row],[Up - V3a]:[Up - V3b]]),"")</f>
        <v>3</v>
      </c>
      <c r="BJ56" s="14">
        <v>3</v>
      </c>
      <c r="BK56" s="14">
        <f>IFERROR(AVERAGE(Tabel1[[#This Row],[Up - V1]],Tabel1[[#This Row],[Up - V2]],Tabel1[[#This Row],[Up - V3]],Tabel1[[#This Row],[Up - V4]]),"")</f>
        <v>3.0833333333333335</v>
      </c>
      <c r="BL56" s="14">
        <v>4</v>
      </c>
      <c r="BM56" s="14">
        <v>2</v>
      </c>
      <c r="BN56" s="14">
        <v>2</v>
      </c>
      <c r="BO56" s="14">
        <v>2</v>
      </c>
      <c r="BP56" s="14">
        <f>IFERROR(AVERAGE(Tabel1[[#This Row],[Up - A1a]:[Up - A1d]]),"")</f>
        <v>2.5</v>
      </c>
      <c r="BQ56" s="14">
        <v>2</v>
      </c>
      <c r="BR56" s="14">
        <v>2</v>
      </c>
      <c r="BS56" s="14">
        <f>IFERROR(AVERAGE(Tabel1[[#This Row],[Up - A2a]:[Up - A2b]]),"")</f>
        <v>2</v>
      </c>
      <c r="BT56" s="14">
        <v>4</v>
      </c>
      <c r="BU56" s="14">
        <f>IFERROR(AVERAGE(Tabel1[[#This Row],[Up - A3a]:[Up - A3a]]),"")</f>
        <v>4</v>
      </c>
      <c r="BV56" s="14">
        <v>2</v>
      </c>
      <c r="BW56" s="14">
        <f>IFERROR(AVERAGE(Tabel1[[#This Row],[Up - A1]],Tabel1[[#This Row],[Up - A2]],Tabel1[[#This Row],[Up - A3]]),"")</f>
        <v>2.8333333333333335</v>
      </c>
      <c r="BX56" s="14" t="s">
        <v>189</v>
      </c>
      <c r="BY56" s="14" t="s">
        <v>189</v>
      </c>
      <c r="BZ56" s="14" t="str">
        <f>IFERROR(AVERAGE(Tabel1[[#This Row],[In - R1a]:[In - R1b]]),"")</f>
        <v/>
      </c>
      <c r="CA56" s="14">
        <v>4</v>
      </c>
      <c r="CB56" s="14">
        <v>4</v>
      </c>
      <c r="CC56" s="14" t="s">
        <v>189</v>
      </c>
      <c r="CD56" s="14">
        <v>5</v>
      </c>
      <c r="CE56" s="14">
        <f>IFERROR(AVERAGE(Tabel1[[#This Row],[In - R1]:[In - R5]]),"")</f>
        <v>4.333333333333333</v>
      </c>
      <c r="CF56" s="14">
        <v>4</v>
      </c>
      <c r="CG56" s="14">
        <v>3</v>
      </c>
      <c r="CH56" s="14">
        <v>5</v>
      </c>
      <c r="CI56" s="14">
        <f>IFERROR(AVERAGE(Tabel1[[#This Row],[In - C1a]:[In - C1c]]),"")</f>
        <v>4</v>
      </c>
      <c r="CJ56" s="14">
        <v>3</v>
      </c>
      <c r="CK56" s="14">
        <v>3</v>
      </c>
      <c r="CL56" s="14">
        <v>5</v>
      </c>
      <c r="CM56" s="14">
        <f>IFERROR(AVERAGE(Tabel1[[#This Row],[In - C1]:[In - C4]]),"")</f>
        <v>3.75</v>
      </c>
      <c r="CN56" s="14" t="s">
        <v>189</v>
      </c>
      <c r="CO56" s="14">
        <v>3</v>
      </c>
      <c r="CP56" s="14">
        <v>3</v>
      </c>
      <c r="CQ56" s="14">
        <f>IFERROR(AVERAGE(Tabel1[[#This Row],[In - F1a]:[In - F1c]]),"")</f>
        <v>3</v>
      </c>
      <c r="CR56" s="14">
        <v>3</v>
      </c>
      <c r="CS56" s="14" t="s">
        <v>189</v>
      </c>
      <c r="CT56" s="14">
        <f>IFERROR(AVERAGE(Tabel1[[#This Row],[In - F2a]:[In - F2b]]),"")</f>
        <v>3</v>
      </c>
      <c r="CU56" s="14" t="s">
        <v>189</v>
      </c>
      <c r="CV56" s="14" t="str">
        <f>IFERROR(AVERAGE(Tabel1[[#This Row],[In - F3a]:[In - F3a]]),"")</f>
        <v/>
      </c>
      <c r="CW56" s="14" t="s">
        <v>189</v>
      </c>
      <c r="CX56" s="14">
        <f>IFERROR(AVERAGE(Tabel1[[#This Row],[In - F1]],Tabel1[[#This Row],[In - F2]],Tabel1[[#This Row],[In - F3]],Tabel1[[#This Row],[In - F4]]),"")</f>
        <v>3</v>
      </c>
      <c r="CY56" s="14">
        <v>3</v>
      </c>
      <c r="CZ56" s="14">
        <v>3</v>
      </c>
      <c r="DA56" s="14">
        <v>2</v>
      </c>
      <c r="DB56" s="14">
        <f>IFERROR(AVERAGE(Tabel1[[#This Row],[In - V1a]:[In - V1c]]),"")</f>
        <v>2.6666666666666665</v>
      </c>
      <c r="DC56" s="14">
        <v>3</v>
      </c>
      <c r="DD56" s="14">
        <v>4</v>
      </c>
      <c r="DE56" s="14">
        <v>2</v>
      </c>
      <c r="DF56" s="14">
        <f>IFERROR(AVERAGE(Tabel1[[#This Row],[In - V2a]:[In - V2c]]),"")</f>
        <v>3</v>
      </c>
      <c r="DG56" s="14">
        <v>2</v>
      </c>
      <c r="DH56" s="14">
        <v>4</v>
      </c>
      <c r="DI56" s="14">
        <f>IFERROR(AVERAGE(Tabel1[[#This Row],[In - V3a]:[In - V3b]]),"")</f>
        <v>3</v>
      </c>
      <c r="DJ56" s="14">
        <v>2</v>
      </c>
      <c r="DK56" s="14">
        <f>IFERROR(AVERAGE(Tabel1[[#This Row],[In - V1]],Tabel1[[#This Row],[In - V2]],Tabel1[[#This Row],[In - V3]],Tabel1[[#This Row],[In - V4]]),"")</f>
        <v>2.6666666666666665</v>
      </c>
      <c r="DL56" s="14" t="s">
        <v>189</v>
      </c>
      <c r="DM56" s="14" t="s">
        <v>189</v>
      </c>
      <c r="DN56" s="14" t="str">
        <f>IFERROR(AVERAGE(Tabel1[[#This Row],[In - A1a]:[In - A1b]]),"")</f>
        <v/>
      </c>
      <c r="DO56" s="14" t="s">
        <v>189</v>
      </c>
      <c r="DP56" s="14" t="s">
        <v>189</v>
      </c>
      <c r="DQ56" s="14" t="str">
        <f>IFERROR(AVERAGE(Tabel1[[#This Row],[In - A2a]:[In - A2b]]),"")</f>
        <v/>
      </c>
      <c r="DR56" s="14">
        <v>3</v>
      </c>
      <c r="DS56" s="14">
        <v>3</v>
      </c>
      <c r="DT56" s="14">
        <f>IFERROR(AVERAGE(Tabel1[[#This Row],[In - A3a]:[In - A3a]]),"")</f>
        <v>3</v>
      </c>
      <c r="DU56" s="14" t="s">
        <v>189</v>
      </c>
      <c r="DV56" s="14">
        <f>IFERROR(AVERAGE(Tabel1[[#This Row],[In - A1]],Tabel1[[#This Row],[In - A2]],Tabel1[[#This Row],[In - A3]],Tabel1[[#This Row],[In - A4]]),"")</f>
        <v>3</v>
      </c>
      <c r="DW56" s="14">
        <v>4</v>
      </c>
      <c r="DX56" s="14">
        <v>4</v>
      </c>
      <c r="DY56" s="14">
        <v>1</v>
      </c>
      <c r="DZ56" s="14">
        <f>IFERROR(AVERAGE(Tabel1[[#This Row],[Do - R1a]:[Do - R1c]]),"")</f>
        <v>3</v>
      </c>
      <c r="EA56" s="14">
        <v>3</v>
      </c>
      <c r="EB56" s="14">
        <v>1</v>
      </c>
      <c r="EC56" s="14">
        <v>4</v>
      </c>
      <c r="ED56" s="14" t="s">
        <v>189</v>
      </c>
      <c r="EE56" s="14">
        <f>IFERROR(AVERAGE(Tabel1[[#This Row],[Do - R1]:[Do - R5]]),"")</f>
        <v>2.75</v>
      </c>
      <c r="EF56" s="14">
        <v>3</v>
      </c>
      <c r="EG56" s="14">
        <v>3</v>
      </c>
      <c r="EH56" s="14">
        <v>2</v>
      </c>
      <c r="EI56" s="14">
        <f>IFERROR(AVERAGE(Tabel1[[#This Row],[Do - C1a]:[Do - C1c]]),"")</f>
        <v>2.6666666666666665</v>
      </c>
      <c r="EJ56" s="14">
        <v>3</v>
      </c>
      <c r="EK56" s="14">
        <v>3</v>
      </c>
      <c r="EL56" s="14">
        <v>3</v>
      </c>
      <c r="EM56" s="14">
        <f>IFERROR(AVERAGE(Tabel1[[#This Row],[Do - C1]:[Do - C4]]),"")</f>
        <v>2.9166666666666665</v>
      </c>
      <c r="EN56" s="14">
        <v>2</v>
      </c>
      <c r="EO56" s="14">
        <v>1</v>
      </c>
      <c r="EP56" s="14">
        <v>4</v>
      </c>
      <c r="EQ56" s="14">
        <f>IFERROR(AVERAGE(Tabel1[[#This Row],[Do - F1a]:[Do - F1c]]),"")</f>
        <v>2.3333333333333335</v>
      </c>
      <c r="ER56" s="14">
        <v>2</v>
      </c>
      <c r="ES56" s="14">
        <f>IFERROR(AVERAGE(Tabel1[[#This Row],[Do - F2a]:[Do - F2a]]),"")</f>
        <v>2</v>
      </c>
      <c r="ET56" s="14">
        <v>1</v>
      </c>
      <c r="EU56" s="14">
        <v>3</v>
      </c>
      <c r="EV56" s="14">
        <f>IFERROR(AVERAGE(Tabel1[[#This Row],[Do - F3a]:[Do - F3b]]),"")</f>
        <v>2</v>
      </c>
      <c r="EW56" s="14">
        <v>3</v>
      </c>
      <c r="EX56" s="14">
        <f>IFERROR(AVERAGE(Tabel1[[#This Row],[Do - F1]],Tabel1[[#This Row],[Do - F2]],Tabel1[[#This Row],[Do - F3]],Tabel1[[#This Row],[Do - F4]]),"")</f>
        <v>2.3333333333333335</v>
      </c>
      <c r="EY56" s="14">
        <v>2</v>
      </c>
      <c r="EZ56" s="14">
        <v>3</v>
      </c>
      <c r="FA56" s="14">
        <v>3</v>
      </c>
      <c r="FB56" s="14">
        <f>IFERROR(AVERAGE(Tabel1[[#This Row],[Do - V1a]:[Do - V1c]]),"")</f>
        <v>2.6666666666666665</v>
      </c>
      <c r="FC56" s="14">
        <v>3</v>
      </c>
      <c r="FD56" s="14">
        <v>2</v>
      </c>
      <c r="FE56" s="14">
        <f>IFERROR(AVERAGE(Tabel1[[#This Row],[Do - V2a]:[Do - V2b]]),"")</f>
        <v>2.5</v>
      </c>
      <c r="FF56" s="14">
        <v>2</v>
      </c>
      <c r="FG56" s="14">
        <f>IFERROR(AVERAGE(Tabel1[[#This Row],[Do - V3a]:[Do - V3a]]),"")</f>
        <v>2</v>
      </c>
      <c r="FH56" s="14">
        <v>4</v>
      </c>
      <c r="FI56" s="14">
        <f>IFERROR(AVERAGE(Tabel1[[#This Row],[Do - V1]],Tabel1[[#This Row],[Do - V2]],Tabel1[[#This Row],[Do - V3]],Tabel1[[#This Row],[Do - V4]]),"")</f>
        <v>2.7916666666666665</v>
      </c>
      <c r="FJ56" s="14">
        <v>3</v>
      </c>
      <c r="FK56" s="14">
        <v>4</v>
      </c>
      <c r="FL56" s="14">
        <v>4</v>
      </c>
      <c r="FM56" s="14">
        <f>IFERROR(AVERAGE(Tabel1[[#This Row],[Do - A1a]:[Do - A1c]]),"")</f>
        <v>3.6666666666666665</v>
      </c>
      <c r="FN56" s="14">
        <v>3</v>
      </c>
      <c r="FO56" s="14">
        <v>2</v>
      </c>
      <c r="FP56" s="14">
        <f>IFERROR(AVERAGE(Tabel1[[#This Row],[Do - A2a]:[Do - A2b]]),"")</f>
        <v>2.5</v>
      </c>
      <c r="FQ56" s="14">
        <v>3</v>
      </c>
      <c r="FR56" s="14">
        <f>IFERROR(AVERAGE(Tabel1[[#This Row],[Do - A3a]:[Do - A3a]]),"")</f>
        <v>3</v>
      </c>
      <c r="FS56" s="14">
        <v>2</v>
      </c>
      <c r="FT56" s="14">
        <f>IFERROR(AVERAGE(Tabel1[[#This Row],[Do - A1]],Tabel1[[#This Row],[Do - A2]],Tabel1[[#This Row],[Do - A3]],Tabel1[[#This Row],[Do - A4]]),"")</f>
        <v>2.7916666666666665</v>
      </c>
      <c r="FU5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2.9683333333333333</v>
      </c>
      <c r="FV56" s="16" t="s">
        <v>475</v>
      </c>
      <c r="FW56" t="b">
        <v>1</v>
      </c>
    </row>
    <row r="57" spans="1:179" x14ac:dyDescent="0.3">
      <c r="A57" s="13">
        <v>44931.332569444443</v>
      </c>
      <c r="B57" t="b">
        <v>0</v>
      </c>
      <c r="C57" s="14" t="s">
        <v>476</v>
      </c>
      <c r="D57" s="14" t="s">
        <v>477</v>
      </c>
      <c r="E57" s="14" t="s">
        <v>260</v>
      </c>
      <c r="F57" s="14" t="s">
        <v>184</v>
      </c>
      <c r="G57" s="14" t="s">
        <v>478</v>
      </c>
      <c r="H57" s="14" t="s">
        <v>194</v>
      </c>
      <c r="I57" s="14" t="s">
        <v>195</v>
      </c>
      <c r="J57" s="14" t="s">
        <v>406</v>
      </c>
      <c r="K57" s="14" t="s">
        <v>235</v>
      </c>
      <c r="L57" s="14" t="s">
        <v>249</v>
      </c>
      <c r="M57" s="14" t="s">
        <v>233</v>
      </c>
      <c r="N57" s="14" t="s">
        <v>479</v>
      </c>
      <c r="O57" s="14" t="s">
        <v>200</v>
      </c>
      <c r="P57" s="17" t="s">
        <v>255</v>
      </c>
      <c r="Q57" s="14" t="s">
        <v>203</v>
      </c>
      <c r="R57" s="14" t="s">
        <v>235</v>
      </c>
      <c r="S57" s="14" t="s">
        <v>202</v>
      </c>
      <c r="T57" s="14" t="s">
        <v>204</v>
      </c>
      <c r="U57" s="14" t="s">
        <v>285</v>
      </c>
      <c r="V57" s="14" t="s">
        <v>206</v>
      </c>
      <c r="W57" s="14" t="s">
        <v>207</v>
      </c>
      <c r="X57" s="14" t="s">
        <v>207</v>
      </c>
      <c r="Y57" s="14">
        <v>4</v>
      </c>
      <c r="Z57" s="14">
        <v>3</v>
      </c>
      <c r="AA57" s="14">
        <v>3</v>
      </c>
      <c r="AB57" s="15">
        <f>IFERROR(AVERAGE(Tabel1[[#This Row],[Up - R1a]:[Up - R1c]]),"")</f>
        <v>3.3333333333333335</v>
      </c>
      <c r="AC57" s="14">
        <v>4</v>
      </c>
      <c r="AD57" s="14">
        <v>4</v>
      </c>
      <c r="AE57" s="14">
        <v>2</v>
      </c>
      <c r="AF57" s="14">
        <v>4</v>
      </c>
      <c r="AG57" s="14">
        <f>IFERROR(AVERAGE(Tabel1[[#This Row],[Up - R1]:[Up - R5]]),"")</f>
        <v>3.4666666666666672</v>
      </c>
      <c r="AH57" s="14">
        <v>3</v>
      </c>
      <c r="AI57" s="14">
        <v>4</v>
      </c>
      <c r="AJ57" s="14">
        <v>4</v>
      </c>
      <c r="AK57" s="14">
        <f>IFERROR(AVERAGE(Tabel1[[#This Row],[Up - C1a]:[Up - C1c]]),"")</f>
        <v>3.6666666666666665</v>
      </c>
      <c r="AL57" s="14">
        <v>4</v>
      </c>
      <c r="AM57" s="14">
        <v>5</v>
      </c>
      <c r="AN57" s="14">
        <v>5</v>
      </c>
      <c r="AO57" s="14">
        <f>IFERROR(AVERAGE(Tabel1[[#This Row],[Up - C1]:[Up - C4]]),"")</f>
        <v>4.4166666666666661</v>
      </c>
      <c r="AP57" s="14">
        <v>4</v>
      </c>
      <c r="AQ57" s="14">
        <f>IFERROR(AVERAGE(Tabel1[[#This Row],[Up - F1a]:[Up - F1a]]),"")</f>
        <v>4</v>
      </c>
      <c r="AR57" s="14">
        <v>3</v>
      </c>
      <c r="AS57" s="14">
        <v>1</v>
      </c>
      <c r="AT57" s="14">
        <f>IFERROR(AVERAGE(Tabel1[[#This Row],[Up - F2a]:[Up - F2b]]),"")</f>
        <v>2</v>
      </c>
      <c r="AU57" s="14">
        <v>4</v>
      </c>
      <c r="AV57" s="14">
        <v>1</v>
      </c>
      <c r="AW57" s="14">
        <f>IFERROR(AVERAGE(Tabel1[[#This Row],[Up - F3a]:[Up - F3b]]),"")</f>
        <v>2.5</v>
      </c>
      <c r="AX57" s="14">
        <v>2</v>
      </c>
      <c r="AY57" s="14">
        <f>IFERROR(AVERAGE(Tabel1[[#This Row],[Up - F1]],Tabel1[[#This Row],[Up - F2]],Tabel1[[#This Row],[Up - F3]],Tabel1[[#This Row],[Up - F4]]),"")</f>
        <v>2.625</v>
      </c>
      <c r="AZ57" s="14">
        <v>5</v>
      </c>
      <c r="BA57" s="14">
        <v>5</v>
      </c>
      <c r="BB57" s="14">
        <f>IFERROR(AVERAGE(Tabel1[[#This Row],[Up - V1a]:[Up - V1b]]),"")</f>
        <v>5</v>
      </c>
      <c r="BC57" s="14">
        <v>2</v>
      </c>
      <c r="BD57" s="14">
        <v>1</v>
      </c>
      <c r="BE57" s="14">
        <v>4</v>
      </c>
      <c r="BF57" s="14">
        <f>IFERROR(AVERAGE(Tabel1[[#This Row],[Up - V2a]:[Up - V2c]]),"")</f>
        <v>2.3333333333333335</v>
      </c>
      <c r="BG57" s="14">
        <v>5</v>
      </c>
      <c r="BH57" s="14">
        <v>5</v>
      </c>
      <c r="BI57" s="14">
        <f>IFERROR(AVERAGE(Tabel1[[#This Row],[Up - V3a]:[Up - V3b]]),"")</f>
        <v>5</v>
      </c>
      <c r="BJ57" s="14">
        <v>4</v>
      </c>
      <c r="BK57" s="14">
        <f>IFERROR(AVERAGE(Tabel1[[#This Row],[Up - V1]],Tabel1[[#This Row],[Up - V2]],Tabel1[[#This Row],[Up - V3]],Tabel1[[#This Row],[Up - V4]]),"")</f>
        <v>4.0833333333333339</v>
      </c>
      <c r="BL57" s="14">
        <v>4</v>
      </c>
      <c r="BM57" s="14">
        <v>4</v>
      </c>
      <c r="BN57" s="14">
        <v>2</v>
      </c>
      <c r="BO57" s="14">
        <v>2</v>
      </c>
      <c r="BP57" s="14">
        <f>IFERROR(AVERAGE(Tabel1[[#This Row],[Up - A1a]:[Up - A1d]]),"")</f>
        <v>3</v>
      </c>
      <c r="BQ57" s="14">
        <v>2</v>
      </c>
      <c r="BR57" s="14">
        <v>3</v>
      </c>
      <c r="BS57" s="14">
        <f>IFERROR(AVERAGE(Tabel1[[#This Row],[Up - A2a]:[Up - A2b]]),"")</f>
        <v>2.5</v>
      </c>
      <c r="BT57" s="14">
        <v>4</v>
      </c>
      <c r="BU57" s="14">
        <f>IFERROR(AVERAGE(Tabel1[[#This Row],[Up - A3a]:[Up - A3a]]),"")</f>
        <v>4</v>
      </c>
      <c r="BV57" s="14">
        <v>3</v>
      </c>
      <c r="BW57" s="14">
        <f>IFERROR(AVERAGE(Tabel1[[#This Row],[Up - A1]],Tabel1[[#This Row],[Up - A2]],Tabel1[[#This Row],[Up - A3]]),"")</f>
        <v>3.1666666666666665</v>
      </c>
      <c r="BX57" s="14">
        <v>3</v>
      </c>
      <c r="BY57" s="14">
        <v>5</v>
      </c>
      <c r="BZ57" s="14">
        <f>IFERROR(AVERAGE(Tabel1[[#This Row],[In - R1a]:[In - R1b]]),"")</f>
        <v>4</v>
      </c>
      <c r="CA57" s="14">
        <v>3</v>
      </c>
      <c r="CB57" s="14">
        <v>5</v>
      </c>
      <c r="CC57" s="14">
        <v>1</v>
      </c>
      <c r="CD57" s="14">
        <v>4</v>
      </c>
      <c r="CE57" s="14">
        <f>IFERROR(AVERAGE(Tabel1[[#This Row],[In - R1]:[In - R5]]),"")</f>
        <v>3.4</v>
      </c>
      <c r="CF57" s="14">
        <v>5</v>
      </c>
      <c r="CG57" s="14">
        <v>3</v>
      </c>
      <c r="CH57" s="14">
        <v>5</v>
      </c>
      <c r="CI57" s="14">
        <f>IFERROR(AVERAGE(Tabel1[[#This Row],[In - C1a]:[In - C1c]]),"")</f>
        <v>4.333333333333333</v>
      </c>
      <c r="CJ57" s="14">
        <v>4</v>
      </c>
      <c r="CK57" s="14">
        <v>5</v>
      </c>
      <c r="CL57" s="14">
        <v>4</v>
      </c>
      <c r="CM57" s="14">
        <f>IFERROR(AVERAGE(Tabel1[[#This Row],[In - C1]:[In - C4]]),"")</f>
        <v>4.333333333333333</v>
      </c>
      <c r="CN57" s="14">
        <v>3</v>
      </c>
      <c r="CO57" s="14">
        <v>1</v>
      </c>
      <c r="CP57" s="14">
        <v>3</v>
      </c>
      <c r="CQ57" s="14">
        <f>IFERROR(AVERAGE(Tabel1[[#This Row],[In - F1a]:[In - F1c]]),"")</f>
        <v>2.3333333333333335</v>
      </c>
      <c r="CR57" s="14">
        <v>4</v>
      </c>
      <c r="CS57" s="14">
        <v>1</v>
      </c>
      <c r="CT57" s="14">
        <f>IFERROR(AVERAGE(Tabel1[[#This Row],[In - F2a]:[In - F2b]]),"")</f>
        <v>2.5</v>
      </c>
      <c r="CU57" s="14">
        <v>1</v>
      </c>
      <c r="CV57" s="14">
        <f>IFERROR(AVERAGE(Tabel1[[#This Row],[In - F3a]:[In - F3a]]),"")</f>
        <v>1</v>
      </c>
      <c r="CW57" s="14">
        <v>4</v>
      </c>
      <c r="CX57" s="14">
        <f>IFERROR(AVERAGE(Tabel1[[#This Row],[In - F1]],Tabel1[[#This Row],[In - F2]],Tabel1[[#This Row],[In - F3]],Tabel1[[#This Row],[In - F4]]),"")</f>
        <v>2.4583333333333335</v>
      </c>
      <c r="CY57" s="14">
        <v>4</v>
      </c>
      <c r="CZ57" s="14">
        <v>4</v>
      </c>
      <c r="DA57" s="14">
        <v>3</v>
      </c>
      <c r="DB57" s="14">
        <f>IFERROR(AVERAGE(Tabel1[[#This Row],[In - V1a]:[In - V1c]]),"")</f>
        <v>3.6666666666666665</v>
      </c>
      <c r="DC57" s="14">
        <v>5</v>
      </c>
      <c r="DD57" s="14">
        <v>4</v>
      </c>
      <c r="DE57" s="14">
        <v>3</v>
      </c>
      <c r="DF57" s="14">
        <f>IFERROR(AVERAGE(Tabel1[[#This Row],[In - V2a]:[In - V2c]]),"")</f>
        <v>4</v>
      </c>
      <c r="DG57" s="14">
        <v>4</v>
      </c>
      <c r="DH57" s="14">
        <v>5</v>
      </c>
      <c r="DI57" s="14">
        <f>IFERROR(AVERAGE(Tabel1[[#This Row],[In - V3a]:[In - V3b]]),"")</f>
        <v>4.5</v>
      </c>
      <c r="DJ57" s="14">
        <v>5</v>
      </c>
      <c r="DK57" s="14">
        <f>IFERROR(AVERAGE(Tabel1[[#This Row],[In - V1]],Tabel1[[#This Row],[In - V2]],Tabel1[[#This Row],[In - V3]],Tabel1[[#This Row],[In - V4]]),"")</f>
        <v>4.2916666666666661</v>
      </c>
      <c r="DL57" s="14">
        <v>3</v>
      </c>
      <c r="DM57" s="14">
        <v>5</v>
      </c>
      <c r="DN57" s="14">
        <f>IFERROR(AVERAGE(Tabel1[[#This Row],[In - A1a]:[In - A1b]]),"")</f>
        <v>4</v>
      </c>
      <c r="DO57" s="14">
        <v>4</v>
      </c>
      <c r="DP57" s="14">
        <v>4</v>
      </c>
      <c r="DQ57" s="14">
        <f>IFERROR(AVERAGE(Tabel1[[#This Row],[In - A2a]:[In - A2b]]),"")</f>
        <v>4</v>
      </c>
      <c r="DR57" s="14">
        <v>3</v>
      </c>
      <c r="DS57" s="14">
        <v>3</v>
      </c>
      <c r="DT57" s="14">
        <f>IFERROR(AVERAGE(Tabel1[[#This Row],[In - A3a]:[In - A3a]]),"")</f>
        <v>3</v>
      </c>
      <c r="DU57" s="14">
        <v>2</v>
      </c>
      <c r="DV57" s="14">
        <f>IFERROR(AVERAGE(Tabel1[[#This Row],[In - A1]],Tabel1[[#This Row],[In - A2]],Tabel1[[#This Row],[In - A3]],Tabel1[[#This Row],[In - A4]]),"")</f>
        <v>3.25</v>
      </c>
      <c r="DW57" s="14">
        <v>2</v>
      </c>
      <c r="DX57" s="14">
        <v>5</v>
      </c>
      <c r="DY57" s="14">
        <v>2</v>
      </c>
      <c r="DZ57" s="14">
        <f>IFERROR(AVERAGE(Tabel1[[#This Row],[Do - R1a]:[Do - R1c]]),"")</f>
        <v>3</v>
      </c>
      <c r="EA57" s="14">
        <v>4</v>
      </c>
      <c r="EB57" s="14">
        <v>3</v>
      </c>
      <c r="EC57" s="14">
        <v>2</v>
      </c>
      <c r="ED57" s="14">
        <v>3</v>
      </c>
      <c r="EE57" s="14">
        <f>IFERROR(AVERAGE(Tabel1[[#This Row],[Do - R1]:[Do - R5]]),"")</f>
        <v>3</v>
      </c>
      <c r="EF57" s="14">
        <v>4</v>
      </c>
      <c r="EG57" s="14">
        <v>4</v>
      </c>
      <c r="EH57" s="14">
        <v>5</v>
      </c>
      <c r="EI57" s="14">
        <f>IFERROR(AVERAGE(Tabel1[[#This Row],[Do - C1a]:[Do - C1c]]),"")</f>
        <v>4.333333333333333</v>
      </c>
      <c r="EJ57" s="14">
        <v>3</v>
      </c>
      <c r="EK57" s="14">
        <v>3</v>
      </c>
      <c r="EL57" s="14">
        <v>4</v>
      </c>
      <c r="EM57" s="14">
        <f>IFERROR(AVERAGE(Tabel1[[#This Row],[Do - C1]:[Do - C4]]),"")</f>
        <v>3.583333333333333</v>
      </c>
      <c r="EN57" s="14">
        <v>2</v>
      </c>
      <c r="EO57" s="14">
        <v>2</v>
      </c>
      <c r="EP57" s="14">
        <v>4</v>
      </c>
      <c r="EQ57" s="14">
        <f>IFERROR(AVERAGE(Tabel1[[#This Row],[Do - F1a]:[Do - F1c]]),"")</f>
        <v>2.6666666666666665</v>
      </c>
      <c r="ER57" s="14">
        <v>2</v>
      </c>
      <c r="ES57" s="14">
        <f>IFERROR(AVERAGE(Tabel1[[#This Row],[Do - F2a]:[Do - F2a]]),"")</f>
        <v>2</v>
      </c>
      <c r="ET57" s="14">
        <v>2</v>
      </c>
      <c r="EU57" s="14">
        <v>2</v>
      </c>
      <c r="EV57" s="14">
        <f>IFERROR(AVERAGE(Tabel1[[#This Row],[Do - F3a]:[Do - F3b]]),"")</f>
        <v>2</v>
      </c>
      <c r="EW57" s="14">
        <v>2</v>
      </c>
      <c r="EX57" s="14">
        <f>IFERROR(AVERAGE(Tabel1[[#This Row],[Do - F1]],Tabel1[[#This Row],[Do - F2]],Tabel1[[#This Row],[Do - F3]],Tabel1[[#This Row],[Do - F4]]),"")</f>
        <v>2.1666666666666665</v>
      </c>
      <c r="EY57" s="14">
        <v>2</v>
      </c>
      <c r="EZ57" s="14">
        <v>1</v>
      </c>
      <c r="FA57" s="14">
        <v>4</v>
      </c>
      <c r="FB57" s="14">
        <f>IFERROR(AVERAGE(Tabel1[[#This Row],[Do - V1a]:[Do - V1c]]),"")</f>
        <v>2.3333333333333335</v>
      </c>
      <c r="FC57" s="14">
        <v>2</v>
      </c>
      <c r="FD57" s="14">
        <v>2</v>
      </c>
      <c r="FE57" s="14">
        <f>IFERROR(AVERAGE(Tabel1[[#This Row],[Do - V2a]:[Do - V2b]]),"")</f>
        <v>2</v>
      </c>
      <c r="FF57" s="14">
        <v>4</v>
      </c>
      <c r="FG57" s="14">
        <f>IFERROR(AVERAGE(Tabel1[[#This Row],[Do - V3a]:[Do - V3a]]),"")</f>
        <v>4</v>
      </c>
      <c r="FH57" s="14">
        <v>4</v>
      </c>
      <c r="FI57" s="14">
        <f>IFERROR(AVERAGE(Tabel1[[#This Row],[Do - V1]],Tabel1[[#This Row],[Do - V2]],Tabel1[[#This Row],[Do - V3]],Tabel1[[#This Row],[Do - V4]]),"")</f>
        <v>3.0833333333333335</v>
      </c>
      <c r="FJ57" s="14">
        <v>2</v>
      </c>
      <c r="FK57" s="14">
        <v>2</v>
      </c>
      <c r="FL57" s="14">
        <v>4</v>
      </c>
      <c r="FM57" s="14">
        <f>IFERROR(AVERAGE(Tabel1[[#This Row],[Do - A1a]:[Do - A1c]]),"")</f>
        <v>2.6666666666666665</v>
      </c>
      <c r="FN57" s="14">
        <v>2</v>
      </c>
      <c r="FO57" s="14">
        <v>3</v>
      </c>
      <c r="FP57" s="14">
        <f>IFERROR(AVERAGE(Tabel1[[#This Row],[Do - A2a]:[Do - A2b]]),"")</f>
        <v>2.5</v>
      </c>
      <c r="FQ57" s="14">
        <v>4</v>
      </c>
      <c r="FR57" s="14">
        <f>IFERROR(AVERAGE(Tabel1[[#This Row],[Do - A3a]:[Do - A3a]]),"")</f>
        <v>4</v>
      </c>
      <c r="FS57" s="14">
        <v>2</v>
      </c>
      <c r="FT57" s="14">
        <f>IFERROR(AVERAGE(Tabel1[[#This Row],[Do - A1]],Tabel1[[#This Row],[Do - A2]],Tabel1[[#This Row],[Do - A3]],Tabel1[[#This Row],[Do - A4]]),"")</f>
        <v>2.7916666666666665</v>
      </c>
      <c r="FU5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3.3411111111111107</v>
      </c>
      <c r="FV57" s="16" t="s">
        <v>480</v>
      </c>
      <c r="FW57" t="b">
        <v>1</v>
      </c>
    </row>
    <row r="58" spans="1:179" x14ac:dyDescent="0.3">
      <c r="A58" s="13">
        <v>44931.363981481481</v>
      </c>
      <c r="B58" t="b">
        <v>0</v>
      </c>
      <c r="C58" s="14" t="s">
        <v>481</v>
      </c>
      <c r="D58" s="14" t="s">
        <v>482</v>
      </c>
      <c r="E58" s="14" t="s">
        <v>260</v>
      </c>
      <c r="F58" s="14" t="s">
        <v>184</v>
      </c>
      <c r="G58" s="14" t="s">
        <v>483</v>
      </c>
      <c r="H58" s="14" t="s">
        <v>222</v>
      </c>
      <c r="I58" s="14" t="s">
        <v>195</v>
      </c>
      <c r="J58" s="14" t="s">
        <v>261</v>
      </c>
      <c r="K58" s="14" t="s">
        <v>235</v>
      </c>
      <c r="L58" s="14" t="s">
        <v>197</v>
      </c>
      <c r="M58" s="14" t="s">
        <v>198</v>
      </c>
      <c r="N58" s="14" t="s">
        <v>262</v>
      </c>
      <c r="O58" s="14" t="s">
        <v>200</v>
      </c>
      <c r="P58" s="17" t="s">
        <v>255</v>
      </c>
      <c r="Q58" s="14" t="s">
        <v>203</v>
      </c>
      <c r="R58" s="14" t="s">
        <v>235</v>
      </c>
      <c r="S58" s="14" t="s">
        <v>235</v>
      </c>
      <c r="T58" s="14" t="s">
        <v>236</v>
      </c>
      <c r="U58" s="14" t="s">
        <v>349</v>
      </c>
      <c r="V58" s="14" t="s">
        <v>484</v>
      </c>
      <c r="W58" s="14" t="s">
        <v>207</v>
      </c>
      <c r="X58" s="14" t="s">
        <v>207</v>
      </c>
      <c r="Y58" s="14" t="s">
        <v>189</v>
      </c>
      <c r="Z58" s="14" t="s">
        <v>189</v>
      </c>
      <c r="AA58" s="14" t="s">
        <v>189</v>
      </c>
      <c r="AB58" s="15" t="str">
        <f>IFERROR(AVERAGE(Tabel1[[#This Row],[Up - R1a]:[Up - R1c]]),"")</f>
        <v/>
      </c>
      <c r="AC58" s="14" t="s">
        <v>189</v>
      </c>
      <c r="AD58" s="14" t="s">
        <v>189</v>
      </c>
      <c r="AE58" s="14" t="s">
        <v>189</v>
      </c>
      <c r="AF58" s="14" t="s">
        <v>189</v>
      </c>
      <c r="AG58" s="14" t="str">
        <f>IFERROR(AVERAGE(Tabel1[[#This Row],[Up - R1]:[Up - R5]]),"")</f>
        <v/>
      </c>
      <c r="AH58" s="14">
        <v>3</v>
      </c>
      <c r="AI58" s="14">
        <v>2</v>
      </c>
      <c r="AJ58" s="14">
        <v>1</v>
      </c>
      <c r="AK58" s="14">
        <f>IFERROR(AVERAGE(Tabel1[[#This Row],[Up - C1a]:[Up - C1c]]),"")</f>
        <v>2</v>
      </c>
      <c r="AL58" s="14">
        <v>3</v>
      </c>
      <c r="AM58" s="14">
        <v>2</v>
      </c>
      <c r="AN58" s="14">
        <v>2</v>
      </c>
      <c r="AO58" s="14">
        <f>IFERROR(AVERAGE(Tabel1[[#This Row],[Up - C1]:[Up - C4]]),"")</f>
        <v>2.25</v>
      </c>
      <c r="AP58" s="14">
        <v>2</v>
      </c>
      <c r="AQ58" s="14">
        <f>IFERROR(AVERAGE(Tabel1[[#This Row],[Up - F1a]:[Up - F1a]]),"")</f>
        <v>2</v>
      </c>
      <c r="AR58" s="14">
        <v>2</v>
      </c>
      <c r="AS58" s="14">
        <v>2</v>
      </c>
      <c r="AT58" s="14">
        <f>IFERROR(AVERAGE(Tabel1[[#This Row],[Up - F2a]:[Up - F2b]]),"")</f>
        <v>2</v>
      </c>
      <c r="AU58" s="14">
        <v>1</v>
      </c>
      <c r="AV58" s="14">
        <v>1</v>
      </c>
      <c r="AW58" s="14">
        <f>IFERROR(AVERAGE(Tabel1[[#This Row],[Up - F3a]:[Up - F3b]]),"")</f>
        <v>1</v>
      </c>
      <c r="AX58" s="14">
        <v>3</v>
      </c>
      <c r="AY58" s="14">
        <f>IFERROR(AVERAGE(Tabel1[[#This Row],[Up - F1]],Tabel1[[#This Row],[Up - F2]],Tabel1[[#This Row],[Up - F3]],Tabel1[[#This Row],[Up - F4]]),"")</f>
        <v>2</v>
      </c>
      <c r="AZ58" s="14">
        <v>2</v>
      </c>
      <c r="BA58" s="14">
        <v>3</v>
      </c>
      <c r="BB58" s="14">
        <f>IFERROR(AVERAGE(Tabel1[[#This Row],[Up - V1a]:[Up - V1b]]),"")</f>
        <v>2.5</v>
      </c>
      <c r="BC58" s="14">
        <v>2</v>
      </c>
      <c r="BD58" s="14">
        <v>2</v>
      </c>
      <c r="BE58" s="14">
        <v>1</v>
      </c>
      <c r="BF58" s="14">
        <f>IFERROR(AVERAGE(Tabel1[[#This Row],[Up - V2a]:[Up - V2c]]),"")</f>
        <v>1.6666666666666667</v>
      </c>
      <c r="BG58" s="14">
        <v>4</v>
      </c>
      <c r="BH58" s="14">
        <v>4</v>
      </c>
      <c r="BI58" s="14">
        <f>IFERROR(AVERAGE(Tabel1[[#This Row],[Up - V3a]:[Up - V3b]]),"")</f>
        <v>4</v>
      </c>
      <c r="BJ58" s="14">
        <v>4</v>
      </c>
      <c r="BK58" s="14">
        <f>IFERROR(AVERAGE(Tabel1[[#This Row],[Up - V1]],Tabel1[[#This Row],[Up - V2]],Tabel1[[#This Row],[Up - V3]],Tabel1[[#This Row],[Up - V4]]),"")</f>
        <v>3.041666666666667</v>
      </c>
      <c r="BL58" s="14">
        <v>3</v>
      </c>
      <c r="BM58" s="14">
        <v>3</v>
      </c>
      <c r="BN58" s="14">
        <v>2</v>
      </c>
      <c r="BO58" s="14">
        <v>2</v>
      </c>
      <c r="BP58" s="14">
        <f>IFERROR(AVERAGE(Tabel1[[#This Row],[Up - A1a]:[Up - A1d]]),"")</f>
        <v>2.5</v>
      </c>
      <c r="BQ58" s="14">
        <v>2</v>
      </c>
      <c r="BR58" s="14">
        <v>3</v>
      </c>
      <c r="BS58" s="14">
        <f>IFERROR(AVERAGE(Tabel1[[#This Row],[Up - A2a]:[Up - A2b]]),"")</f>
        <v>2.5</v>
      </c>
      <c r="BT58" s="14">
        <v>2</v>
      </c>
      <c r="BU58" s="14">
        <f>IFERROR(AVERAGE(Tabel1[[#This Row],[Up - A3a]:[Up - A3a]]),"")</f>
        <v>2</v>
      </c>
      <c r="BV58" s="14">
        <v>3</v>
      </c>
      <c r="BW58" s="14">
        <f>IFERROR(AVERAGE(Tabel1[[#This Row],[Up - A1]],Tabel1[[#This Row],[Up - A2]],Tabel1[[#This Row],[Up - A3]]),"")</f>
        <v>2.3333333333333335</v>
      </c>
      <c r="BX58" s="14" t="s">
        <v>189</v>
      </c>
      <c r="BY58" s="14" t="s">
        <v>189</v>
      </c>
      <c r="BZ58" s="14" t="str">
        <f>IFERROR(AVERAGE(Tabel1[[#This Row],[In - R1a]:[In - R1b]]),"")</f>
        <v/>
      </c>
      <c r="CA58" s="14" t="s">
        <v>189</v>
      </c>
      <c r="CB58" s="14" t="s">
        <v>189</v>
      </c>
      <c r="CC58" s="14" t="s">
        <v>189</v>
      </c>
      <c r="CD58" s="14" t="s">
        <v>189</v>
      </c>
      <c r="CE58" s="14" t="str">
        <f>IFERROR(AVERAGE(Tabel1[[#This Row],[In - R1]:[In - R5]]),"")</f>
        <v/>
      </c>
      <c r="CF58" s="14">
        <v>4</v>
      </c>
      <c r="CG58" s="14">
        <v>3</v>
      </c>
      <c r="CH58" s="14">
        <v>4</v>
      </c>
      <c r="CI58" s="14">
        <f>IFERROR(AVERAGE(Tabel1[[#This Row],[In - C1a]:[In - C1c]]),"")</f>
        <v>3.6666666666666665</v>
      </c>
      <c r="CJ58" s="14">
        <v>4</v>
      </c>
      <c r="CK58" s="14">
        <v>3</v>
      </c>
      <c r="CL58" s="14">
        <v>3</v>
      </c>
      <c r="CM58" s="14">
        <f>IFERROR(AVERAGE(Tabel1[[#This Row],[In - C1]:[In - C4]]),"")</f>
        <v>3.4166666666666665</v>
      </c>
      <c r="CN58" s="14">
        <v>2</v>
      </c>
      <c r="CO58" s="14">
        <v>1</v>
      </c>
      <c r="CP58" s="14">
        <v>2</v>
      </c>
      <c r="CQ58" s="14">
        <f>IFERROR(AVERAGE(Tabel1[[#This Row],[In - F1a]:[In - F1c]]),"")</f>
        <v>1.6666666666666667</v>
      </c>
      <c r="CR58" s="14">
        <v>3</v>
      </c>
      <c r="CS58" s="14">
        <v>2</v>
      </c>
      <c r="CT58" s="14">
        <f>IFERROR(AVERAGE(Tabel1[[#This Row],[In - F2a]:[In - F2b]]),"")</f>
        <v>2.5</v>
      </c>
      <c r="CU58" s="14">
        <v>1</v>
      </c>
      <c r="CV58" s="14">
        <f>IFERROR(AVERAGE(Tabel1[[#This Row],[In - F3a]:[In - F3a]]),"")</f>
        <v>1</v>
      </c>
      <c r="CW58" s="14">
        <v>3</v>
      </c>
      <c r="CX58" s="14">
        <f>IFERROR(AVERAGE(Tabel1[[#This Row],[In - F1]],Tabel1[[#This Row],[In - F2]],Tabel1[[#This Row],[In - F3]],Tabel1[[#This Row],[In - F4]]),"")</f>
        <v>2.041666666666667</v>
      </c>
      <c r="CY58" s="14">
        <v>2</v>
      </c>
      <c r="CZ58" s="14">
        <v>4</v>
      </c>
      <c r="DA58" s="14">
        <v>2</v>
      </c>
      <c r="DB58" s="14">
        <f>IFERROR(AVERAGE(Tabel1[[#This Row],[In - V1a]:[In - V1c]]),"")</f>
        <v>2.6666666666666665</v>
      </c>
      <c r="DC58" s="14">
        <v>3</v>
      </c>
      <c r="DD58" s="14">
        <v>3</v>
      </c>
      <c r="DE58" s="14">
        <v>4</v>
      </c>
      <c r="DF58" s="14">
        <f>IFERROR(AVERAGE(Tabel1[[#This Row],[In - V2a]:[In - V2c]]),"")</f>
        <v>3.3333333333333335</v>
      </c>
      <c r="DG58" s="14">
        <v>3</v>
      </c>
      <c r="DH58" s="14">
        <v>3</v>
      </c>
      <c r="DI58" s="14">
        <f>IFERROR(AVERAGE(Tabel1[[#This Row],[In - V3a]:[In - V3b]]),"")</f>
        <v>3</v>
      </c>
      <c r="DJ58" s="14">
        <v>4</v>
      </c>
      <c r="DK58" s="14">
        <f>IFERROR(AVERAGE(Tabel1[[#This Row],[In - V1]],Tabel1[[#This Row],[In - V2]],Tabel1[[#This Row],[In - V3]],Tabel1[[#This Row],[In - V4]]),"")</f>
        <v>3.25</v>
      </c>
      <c r="DL58" s="14">
        <v>2</v>
      </c>
      <c r="DM58" s="14">
        <v>3</v>
      </c>
      <c r="DN58" s="14">
        <f>IFERROR(AVERAGE(Tabel1[[#This Row],[In - A1a]:[In - A1b]]),"")</f>
        <v>2.5</v>
      </c>
      <c r="DO58" s="14">
        <v>3</v>
      </c>
      <c r="DP58" s="14">
        <v>3</v>
      </c>
      <c r="DQ58" s="14">
        <f>IFERROR(AVERAGE(Tabel1[[#This Row],[In - A2a]:[In - A2b]]),"")</f>
        <v>3</v>
      </c>
      <c r="DR58" s="14">
        <v>4</v>
      </c>
      <c r="DS58" s="14">
        <v>3</v>
      </c>
      <c r="DT58" s="14">
        <f>IFERROR(AVERAGE(Tabel1[[#This Row],[In - A3a]:[In - A3a]]),"")</f>
        <v>4</v>
      </c>
      <c r="DU58" s="14">
        <v>3</v>
      </c>
      <c r="DV58" s="14">
        <f>IFERROR(AVERAGE(Tabel1[[#This Row],[In - A1]],Tabel1[[#This Row],[In - A2]],Tabel1[[#This Row],[In - A3]],Tabel1[[#This Row],[In - A4]]),"")</f>
        <v>3.125</v>
      </c>
      <c r="DW58" s="14" t="s">
        <v>189</v>
      </c>
      <c r="DX58" s="14" t="s">
        <v>189</v>
      </c>
      <c r="DY58" s="14" t="s">
        <v>189</v>
      </c>
      <c r="DZ58" s="14" t="str">
        <f>IFERROR(AVERAGE(Tabel1[[#This Row],[Do - R1a]:[Do - R1c]]),"")</f>
        <v/>
      </c>
      <c r="EA58" s="14" t="s">
        <v>189</v>
      </c>
      <c r="EB58" s="14" t="s">
        <v>189</v>
      </c>
      <c r="EC58" s="14" t="s">
        <v>189</v>
      </c>
      <c r="ED58" s="14" t="s">
        <v>189</v>
      </c>
      <c r="EE58" s="14" t="str">
        <f>IFERROR(AVERAGE(Tabel1[[#This Row],[Do - R1]:[Do - R5]]),"")</f>
        <v/>
      </c>
      <c r="EF58" s="14">
        <v>1</v>
      </c>
      <c r="EG58" s="14">
        <v>4</v>
      </c>
      <c r="EH58" s="14">
        <v>2</v>
      </c>
      <c r="EI58" s="14">
        <f>IFERROR(AVERAGE(Tabel1[[#This Row],[Do - C1a]:[Do - C1c]]),"")</f>
        <v>2.3333333333333335</v>
      </c>
      <c r="EJ58" s="14">
        <v>3</v>
      </c>
      <c r="EK58" s="14">
        <v>2</v>
      </c>
      <c r="EL58" s="14">
        <v>2</v>
      </c>
      <c r="EM58" s="14">
        <f>IFERROR(AVERAGE(Tabel1[[#This Row],[Do - C1]:[Do - C4]]),"")</f>
        <v>2.3333333333333335</v>
      </c>
      <c r="EN58" s="14">
        <v>3</v>
      </c>
      <c r="EO58" s="14">
        <v>2</v>
      </c>
      <c r="EP58" s="14">
        <v>2</v>
      </c>
      <c r="EQ58" s="14">
        <f>IFERROR(AVERAGE(Tabel1[[#This Row],[Do - F1a]:[Do - F1c]]),"")</f>
        <v>2.3333333333333335</v>
      </c>
      <c r="ER58" s="14">
        <v>2</v>
      </c>
      <c r="ES58" s="14">
        <f>IFERROR(AVERAGE(Tabel1[[#This Row],[Do - F2a]:[Do - F2a]]),"")</f>
        <v>2</v>
      </c>
      <c r="ET58" s="14">
        <v>2</v>
      </c>
      <c r="EU58" s="14">
        <v>2</v>
      </c>
      <c r="EV58" s="14">
        <f>IFERROR(AVERAGE(Tabel1[[#This Row],[Do - F3a]:[Do - F3b]]),"")</f>
        <v>2</v>
      </c>
      <c r="EW58" s="14">
        <v>3</v>
      </c>
      <c r="EX58" s="14">
        <f>IFERROR(AVERAGE(Tabel1[[#This Row],[Do - F1]],Tabel1[[#This Row],[Do - F2]],Tabel1[[#This Row],[Do - F3]],Tabel1[[#This Row],[Do - F4]]),"")</f>
        <v>2.3333333333333335</v>
      </c>
      <c r="EY58" s="14">
        <v>3</v>
      </c>
      <c r="EZ58" s="14">
        <v>2</v>
      </c>
      <c r="FA58" s="14">
        <v>3</v>
      </c>
      <c r="FB58" s="14">
        <f>IFERROR(AVERAGE(Tabel1[[#This Row],[Do - V1a]:[Do - V1c]]),"")</f>
        <v>2.6666666666666665</v>
      </c>
      <c r="FC58" s="14">
        <v>2</v>
      </c>
      <c r="FD58" s="14">
        <v>2</v>
      </c>
      <c r="FE58" s="14">
        <f>IFERROR(AVERAGE(Tabel1[[#This Row],[Do - V2a]:[Do - V2b]]),"")</f>
        <v>2</v>
      </c>
      <c r="FF58" s="14">
        <v>2</v>
      </c>
      <c r="FG58" s="14">
        <f>IFERROR(AVERAGE(Tabel1[[#This Row],[Do - V3a]:[Do - V3a]]),"")</f>
        <v>2</v>
      </c>
      <c r="FH58" s="14">
        <v>4</v>
      </c>
      <c r="FI58" s="14">
        <f>IFERROR(AVERAGE(Tabel1[[#This Row],[Do - V1]],Tabel1[[#This Row],[Do - V2]],Tabel1[[#This Row],[Do - V3]],Tabel1[[#This Row],[Do - V4]]),"")</f>
        <v>2.6666666666666665</v>
      </c>
      <c r="FJ58" s="14">
        <v>2</v>
      </c>
      <c r="FK58" s="14">
        <v>2</v>
      </c>
      <c r="FL58" s="14">
        <v>2</v>
      </c>
      <c r="FM58" s="14">
        <f>IFERROR(AVERAGE(Tabel1[[#This Row],[Do - A1a]:[Do - A1c]]),"")</f>
        <v>2</v>
      </c>
      <c r="FN58" s="14">
        <v>3</v>
      </c>
      <c r="FO58" s="14">
        <v>2</v>
      </c>
      <c r="FP58" s="14">
        <f>IFERROR(AVERAGE(Tabel1[[#This Row],[Do - A2a]:[Do - A2b]]),"")</f>
        <v>2.5</v>
      </c>
      <c r="FQ58" s="14">
        <v>3</v>
      </c>
      <c r="FR58" s="14">
        <f>IFERROR(AVERAGE(Tabel1[[#This Row],[Do - A3a]:[Do - A3a]]),"")</f>
        <v>3</v>
      </c>
      <c r="FS58" s="14">
        <v>3</v>
      </c>
      <c r="FT58" s="14">
        <f>IFERROR(AVERAGE(Tabel1[[#This Row],[Do - A1]],Tabel1[[#This Row],[Do - A2]],Tabel1[[#This Row],[Do - A3]],Tabel1[[#This Row],[Do - A4]]),"")</f>
        <v>2.625</v>
      </c>
      <c r="FU5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2.6180555555555554</v>
      </c>
      <c r="FV58" s="16" t="s">
        <v>485</v>
      </c>
      <c r="FW58" t="b">
        <v>1</v>
      </c>
    </row>
    <row r="59" spans="1:179" x14ac:dyDescent="0.3">
      <c r="A59" s="13">
        <v>44931.51898148148</v>
      </c>
      <c r="B59" t="b">
        <v>0</v>
      </c>
      <c r="C59" s="14" t="s">
        <v>486</v>
      </c>
      <c r="D59" s="14" t="s">
        <v>487</v>
      </c>
      <c r="E59" s="14" t="s">
        <v>260</v>
      </c>
      <c r="F59" s="14" t="s">
        <v>184</v>
      </c>
      <c r="G59" s="14" t="s">
        <v>488</v>
      </c>
      <c r="H59" s="14" t="s">
        <v>222</v>
      </c>
      <c r="I59" s="14" t="s">
        <v>195</v>
      </c>
      <c r="J59" s="14" t="s">
        <v>406</v>
      </c>
      <c r="K59" s="14" t="s">
        <v>235</v>
      </c>
      <c r="L59" s="14" t="s">
        <v>218</v>
      </c>
      <c r="M59" s="14" t="s">
        <v>281</v>
      </c>
      <c r="N59" s="14" t="s">
        <v>262</v>
      </c>
      <c r="O59" s="14" t="s">
        <v>200</v>
      </c>
      <c r="P59" s="17" t="s">
        <v>255</v>
      </c>
      <c r="Q59" s="17" t="s">
        <v>304</v>
      </c>
      <c r="R59" s="14" t="s">
        <v>203</v>
      </c>
      <c r="S59" s="14" t="s">
        <v>202</v>
      </c>
      <c r="T59" s="14" t="s">
        <v>204</v>
      </c>
      <c r="U59" s="14" t="s">
        <v>349</v>
      </c>
      <c r="V59" s="14" t="s">
        <v>484</v>
      </c>
      <c r="W59" s="14" t="s">
        <v>207</v>
      </c>
      <c r="X59" s="14" t="s">
        <v>207</v>
      </c>
      <c r="Y59" s="14">
        <v>2</v>
      </c>
      <c r="Z59" s="14">
        <v>2</v>
      </c>
      <c r="AA59" s="14">
        <v>2</v>
      </c>
      <c r="AB59" s="15">
        <f>IFERROR(AVERAGE(Tabel1[[#This Row],[Up - R1a]:[Up - R1c]]),"")</f>
        <v>2</v>
      </c>
      <c r="AC59" s="14">
        <v>2</v>
      </c>
      <c r="AD59" s="14">
        <v>3</v>
      </c>
      <c r="AE59" s="14">
        <v>2</v>
      </c>
      <c r="AF59" s="14">
        <v>4</v>
      </c>
      <c r="AG59" s="14">
        <f>IFERROR(AVERAGE(Tabel1[[#This Row],[Up - R1]:[Up - R5]]),"")</f>
        <v>2.6</v>
      </c>
      <c r="AH59" s="14">
        <v>4</v>
      </c>
      <c r="AI59" s="14">
        <v>4</v>
      </c>
      <c r="AJ59" s="14">
        <v>3</v>
      </c>
      <c r="AK59" s="14">
        <f>IFERROR(AVERAGE(Tabel1[[#This Row],[Up - C1a]:[Up - C1c]]),"")</f>
        <v>3.6666666666666665</v>
      </c>
      <c r="AL59" s="14">
        <v>3</v>
      </c>
      <c r="AM59" s="14">
        <v>4</v>
      </c>
      <c r="AN59" s="14">
        <v>3</v>
      </c>
      <c r="AO59" s="14">
        <f>IFERROR(AVERAGE(Tabel1[[#This Row],[Up - C1]:[Up - C4]]),"")</f>
        <v>3.4166666666666665</v>
      </c>
      <c r="AP59" s="14">
        <v>3</v>
      </c>
      <c r="AQ59" s="14">
        <f>IFERROR(AVERAGE(Tabel1[[#This Row],[Up - F1a]:[Up - F1a]]),"")</f>
        <v>3</v>
      </c>
      <c r="AR59" s="14">
        <v>1</v>
      </c>
      <c r="AS59" s="14">
        <v>1</v>
      </c>
      <c r="AT59" s="14">
        <f>IFERROR(AVERAGE(Tabel1[[#This Row],[Up - F2a]:[Up - F2b]]),"")</f>
        <v>1</v>
      </c>
      <c r="AU59" s="14">
        <v>2</v>
      </c>
      <c r="AV59" s="14">
        <v>2</v>
      </c>
      <c r="AW59" s="14">
        <f>IFERROR(AVERAGE(Tabel1[[#This Row],[Up - F3a]:[Up - F3b]]),"")</f>
        <v>2</v>
      </c>
      <c r="AX59" s="14">
        <v>4</v>
      </c>
      <c r="AY59" s="14">
        <f>IFERROR(AVERAGE(Tabel1[[#This Row],[Up - F1]],Tabel1[[#This Row],[Up - F2]],Tabel1[[#This Row],[Up - F3]],Tabel1[[#This Row],[Up - F4]]),"")</f>
        <v>2.5</v>
      </c>
      <c r="AZ59" s="14">
        <v>4</v>
      </c>
      <c r="BA59" s="14">
        <v>4</v>
      </c>
      <c r="BB59" s="14">
        <f>IFERROR(AVERAGE(Tabel1[[#This Row],[Up - V1a]:[Up - V1b]]),"")</f>
        <v>4</v>
      </c>
      <c r="BC59" s="14">
        <v>3</v>
      </c>
      <c r="BD59" s="14">
        <v>3</v>
      </c>
      <c r="BE59" s="14">
        <v>2</v>
      </c>
      <c r="BF59" s="14">
        <f>IFERROR(AVERAGE(Tabel1[[#This Row],[Up - V2a]:[Up - V2c]]),"")</f>
        <v>2.6666666666666665</v>
      </c>
      <c r="BG59" s="14">
        <v>4</v>
      </c>
      <c r="BH59" s="14">
        <v>2</v>
      </c>
      <c r="BI59" s="14">
        <f>IFERROR(AVERAGE(Tabel1[[#This Row],[Up - V3a]:[Up - V3b]]),"")</f>
        <v>3</v>
      </c>
      <c r="BJ59" s="14">
        <v>4</v>
      </c>
      <c r="BK59" s="14">
        <f>IFERROR(AVERAGE(Tabel1[[#This Row],[Up - V1]],Tabel1[[#This Row],[Up - V2]],Tabel1[[#This Row],[Up - V3]],Tabel1[[#This Row],[Up - V4]]),"")</f>
        <v>3.4166666666666665</v>
      </c>
      <c r="BL59" s="14">
        <v>3</v>
      </c>
      <c r="BM59" s="14">
        <v>3</v>
      </c>
      <c r="BN59" s="14">
        <v>3</v>
      </c>
      <c r="BO59" s="14">
        <v>4</v>
      </c>
      <c r="BP59" s="14">
        <f>IFERROR(AVERAGE(Tabel1[[#This Row],[Up - A1a]:[Up - A1d]]),"")</f>
        <v>3.25</v>
      </c>
      <c r="BQ59" s="14">
        <v>3</v>
      </c>
      <c r="BR59" s="14">
        <v>3</v>
      </c>
      <c r="BS59" s="14">
        <f>IFERROR(AVERAGE(Tabel1[[#This Row],[Up - A2a]:[Up - A2b]]),"")</f>
        <v>3</v>
      </c>
      <c r="BT59" s="14">
        <v>4</v>
      </c>
      <c r="BU59" s="14">
        <f>IFERROR(AVERAGE(Tabel1[[#This Row],[Up - A3a]:[Up - A3a]]),"")</f>
        <v>4</v>
      </c>
      <c r="BV59" s="14">
        <v>2</v>
      </c>
      <c r="BW59" s="14">
        <f>IFERROR(AVERAGE(Tabel1[[#This Row],[Up - A1]],Tabel1[[#This Row],[Up - A2]],Tabel1[[#This Row],[Up - A3]]),"")</f>
        <v>3.4166666666666665</v>
      </c>
      <c r="BX59" s="14">
        <v>2</v>
      </c>
      <c r="BY59" s="14">
        <v>3</v>
      </c>
      <c r="BZ59" s="14">
        <f>IFERROR(AVERAGE(Tabel1[[#This Row],[In - R1a]:[In - R1b]]),"")</f>
        <v>2.5</v>
      </c>
      <c r="CA59" s="14">
        <v>4</v>
      </c>
      <c r="CB59" s="14">
        <v>5</v>
      </c>
      <c r="CC59" s="14">
        <v>1</v>
      </c>
      <c r="CD59" s="14">
        <v>5</v>
      </c>
      <c r="CE59" s="14">
        <f>IFERROR(AVERAGE(Tabel1[[#This Row],[In - R1]:[In - R5]]),"")</f>
        <v>3.5</v>
      </c>
      <c r="CF59" s="14">
        <v>4</v>
      </c>
      <c r="CG59" s="14">
        <v>4</v>
      </c>
      <c r="CH59" s="14">
        <v>3</v>
      </c>
      <c r="CI59" s="14">
        <f>IFERROR(AVERAGE(Tabel1[[#This Row],[In - C1a]:[In - C1c]]),"")</f>
        <v>3.6666666666666665</v>
      </c>
      <c r="CJ59" s="14">
        <v>5</v>
      </c>
      <c r="CK59" s="14">
        <v>3</v>
      </c>
      <c r="CL59" s="14">
        <v>3</v>
      </c>
      <c r="CM59" s="14">
        <f>IFERROR(AVERAGE(Tabel1[[#This Row],[In - C1]:[In - C4]]),"")</f>
        <v>3.6666666666666665</v>
      </c>
      <c r="CN59" s="14">
        <v>2</v>
      </c>
      <c r="CO59" s="14">
        <v>1</v>
      </c>
      <c r="CP59" s="14">
        <v>1</v>
      </c>
      <c r="CQ59" s="14">
        <f>IFERROR(AVERAGE(Tabel1[[#This Row],[In - F1a]:[In - F1c]]),"")</f>
        <v>1.3333333333333333</v>
      </c>
      <c r="CR59" s="14">
        <v>4</v>
      </c>
      <c r="CS59" s="14">
        <v>1</v>
      </c>
      <c r="CT59" s="14">
        <f>IFERROR(AVERAGE(Tabel1[[#This Row],[In - F2a]:[In - F2b]]),"")</f>
        <v>2.5</v>
      </c>
      <c r="CU59" s="14">
        <v>2</v>
      </c>
      <c r="CV59" s="14">
        <f>IFERROR(AVERAGE(Tabel1[[#This Row],[In - F3a]:[In - F3a]]),"")</f>
        <v>2</v>
      </c>
      <c r="CW59" s="14">
        <v>2</v>
      </c>
      <c r="CX59" s="14">
        <f>IFERROR(AVERAGE(Tabel1[[#This Row],[In - F1]],Tabel1[[#This Row],[In - F2]],Tabel1[[#This Row],[In - F3]],Tabel1[[#This Row],[In - F4]]),"")</f>
        <v>1.9583333333333333</v>
      </c>
      <c r="CY59" s="14">
        <v>3</v>
      </c>
      <c r="CZ59" s="14">
        <v>2</v>
      </c>
      <c r="DA59" s="14">
        <v>1</v>
      </c>
      <c r="DB59" s="14">
        <f>IFERROR(AVERAGE(Tabel1[[#This Row],[In - V1a]:[In - V1c]]),"")</f>
        <v>2</v>
      </c>
      <c r="DC59" s="14">
        <v>3</v>
      </c>
      <c r="DD59" s="14">
        <v>2</v>
      </c>
      <c r="DE59" s="14">
        <v>3</v>
      </c>
      <c r="DF59" s="14">
        <f>IFERROR(AVERAGE(Tabel1[[#This Row],[In - V2a]:[In - V2c]]),"")</f>
        <v>2.6666666666666665</v>
      </c>
      <c r="DG59" s="14">
        <v>3</v>
      </c>
      <c r="DH59" s="14">
        <v>3</v>
      </c>
      <c r="DI59" s="14">
        <f>IFERROR(AVERAGE(Tabel1[[#This Row],[In - V3a]:[In - V3b]]),"")</f>
        <v>3</v>
      </c>
      <c r="DJ59" s="14">
        <v>4</v>
      </c>
      <c r="DK59" s="14">
        <f>IFERROR(AVERAGE(Tabel1[[#This Row],[In - V1]],Tabel1[[#This Row],[In - V2]],Tabel1[[#This Row],[In - V3]],Tabel1[[#This Row],[In - V4]]),"")</f>
        <v>2.9166666666666665</v>
      </c>
      <c r="DL59" s="14">
        <v>2</v>
      </c>
      <c r="DM59" s="14">
        <v>1</v>
      </c>
      <c r="DN59" s="14">
        <f>IFERROR(AVERAGE(Tabel1[[#This Row],[In - A1a]:[In - A1b]]),"")</f>
        <v>1.5</v>
      </c>
      <c r="DO59" s="14">
        <v>3</v>
      </c>
      <c r="DP59" s="14">
        <v>2</v>
      </c>
      <c r="DQ59" s="14">
        <f>IFERROR(AVERAGE(Tabel1[[#This Row],[In - A2a]:[In - A2b]]),"")</f>
        <v>2.5</v>
      </c>
      <c r="DR59" s="14">
        <v>4</v>
      </c>
      <c r="DS59" s="14">
        <v>3</v>
      </c>
      <c r="DT59" s="14">
        <f>IFERROR(AVERAGE(Tabel1[[#This Row],[In - A3a]:[In - A3a]]),"")</f>
        <v>4</v>
      </c>
      <c r="DU59" s="14">
        <v>2</v>
      </c>
      <c r="DV59" s="14">
        <f>IFERROR(AVERAGE(Tabel1[[#This Row],[In - A1]],Tabel1[[#This Row],[In - A2]],Tabel1[[#This Row],[In - A3]],Tabel1[[#This Row],[In - A4]]),"")</f>
        <v>2.5</v>
      </c>
      <c r="DW59" s="14">
        <v>1</v>
      </c>
      <c r="DX59" s="14">
        <v>3</v>
      </c>
      <c r="DY59" s="14">
        <v>2</v>
      </c>
      <c r="DZ59" s="14">
        <f>IFERROR(AVERAGE(Tabel1[[#This Row],[Do - R1a]:[Do - R1c]]),"")</f>
        <v>2</v>
      </c>
      <c r="EA59" s="14">
        <v>2</v>
      </c>
      <c r="EB59" s="14">
        <v>3</v>
      </c>
      <c r="EC59" s="14">
        <v>2</v>
      </c>
      <c r="ED59" s="14">
        <v>4</v>
      </c>
      <c r="EE59" s="14">
        <f>IFERROR(AVERAGE(Tabel1[[#This Row],[Do - R1]:[Do - R5]]),"")</f>
        <v>2.6</v>
      </c>
      <c r="EF59" s="14">
        <v>5</v>
      </c>
      <c r="EG59" s="14">
        <v>4</v>
      </c>
      <c r="EH59" s="14">
        <v>2</v>
      </c>
      <c r="EI59" s="14">
        <f>IFERROR(AVERAGE(Tabel1[[#This Row],[Do - C1a]:[Do - C1c]]),"")</f>
        <v>3.6666666666666665</v>
      </c>
      <c r="EJ59" s="14">
        <v>2</v>
      </c>
      <c r="EK59" s="14">
        <v>2</v>
      </c>
      <c r="EL59" s="14">
        <v>4</v>
      </c>
      <c r="EM59" s="14">
        <f>IFERROR(AVERAGE(Tabel1[[#This Row],[Do - C1]:[Do - C4]]),"")</f>
        <v>2.9166666666666665</v>
      </c>
      <c r="EN59" s="14">
        <v>3</v>
      </c>
      <c r="EO59" s="14">
        <v>2</v>
      </c>
      <c r="EP59" s="14">
        <v>1</v>
      </c>
      <c r="EQ59" s="14">
        <f>IFERROR(AVERAGE(Tabel1[[#This Row],[Do - F1a]:[Do - F1c]]),"")</f>
        <v>2</v>
      </c>
      <c r="ER59" s="14">
        <v>3</v>
      </c>
      <c r="ES59" s="14">
        <f>IFERROR(AVERAGE(Tabel1[[#This Row],[Do - F2a]:[Do - F2a]]),"")</f>
        <v>3</v>
      </c>
      <c r="ET59" s="14">
        <v>2</v>
      </c>
      <c r="EU59" s="14">
        <v>3</v>
      </c>
      <c r="EV59" s="14">
        <f>IFERROR(AVERAGE(Tabel1[[#This Row],[Do - F3a]:[Do - F3b]]),"")</f>
        <v>2.5</v>
      </c>
      <c r="EW59" s="14">
        <v>2</v>
      </c>
      <c r="EX59" s="14">
        <f>IFERROR(AVERAGE(Tabel1[[#This Row],[Do - F1]],Tabel1[[#This Row],[Do - F2]],Tabel1[[#This Row],[Do - F3]],Tabel1[[#This Row],[Do - F4]]),"")</f>
        <v>2.375</v>
      </c>
      <c r="EY59" s="14">
        <v>2</v>
      </c>
      <c r="EZ59" s="14">
        <v>1</v>
      </c>
      <c r="FA59" s="14">
        <v>3</v>
      </c>
      <c r="FB59" s="14">
        <f>IFERROR(AVERAGE(Tabel1[[#This Row],[Do - V1a]:[Do - V1c]]),"")</f>
        <v>2</v>
      </c>
      <c r="FC59" s="14">
        <v>3</v>
      </c>
      <c r="FD59" s="14">
        <v>1</v>
      </c>
      <c r="FE59" s="14">
        <f>IFERROR(AVERAGE(Tabel1[[#This Row],[Do - V2a]:[Do - V2b]]),"")</f>
        <v>2</v>
      </c>
      <c r="FF59" s="14">
        <v>3</v>
      </c>
      <c r="FG59" s="14">
        <f>IFERROR(AVERAGE(Tabel1[[#This Row],[Do - V3a]:[Do - V3a]]),"")</f>
        <v>3</v>
      </c>
      <c r="FH59" s="14">
        <v>4</v>
      </c>
      <c r="FI59" s="14">
        <f>IFERROR(AVERAGE(Tabel1[[#This Row],[Do - V1]],Tabel1[[#This Row],[Do - V2]],Tabel1[[#This Row],[Do - V3]],Tabel1[[#This Row],[Do - V4]]),"")</f>
        <v>2.75</v>
      </c>
      <c r="FJ59" s="14">
        <v>5</v>
      </c>
      <c r="FK59" s="14">
        <v>3</v>
      </c>
      <c r="FL59" s="14">
        <v>3</v>
      </c>
      <c r="FM59" s="14">
        <f>IFERROR(AVERAGE(Tabel1[[#This Row],[Do - A1a]:[Do - A1c]]),"")</f>
        <v>3.6666666666666665</v>
      </c>
      <c r="FN59" s="14">
        <v>3</v>
      </c>
      <c r="FO59" s="14">
        <v>3</v>
      </c>
      <c r="FP59" s="14">
        <f>IFERROR(AVERAGE(Tabel1[[#This Row],[Do - A2a]:[Do - A2b]]),"")</f>
        <v>3</v>
      </c>
      <c r="FQ59" s="14">
        <v>4</v>
      </c>
      <c r="FR59" s="14">
        <f>IFERROR(AVERAGE(Tabel1[[#This Row],[Do - A3a]:[Do - A3a]]),"")</f>
        <v>4</v>
      </c>
      <c r="FS59" s="14">
        <v>2</v>
      </c>
      <c r="FT59" s="14">
        <f>IFERROR(AVERAGE(Tabel1[[#This Row],[Do - A1]],Tabel1[[#This Row],[Do - A2]],Tabel1[[#This Row],[Do - A3]],Tabel1[[#This Row],[Do - A4]]),"")</f>
        <v>3.1666666666666665</v>
      </c>
      <c r="FU5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2.9133333333333331</v>
      </c>
      <c r="FV59" s="16" t="s">
        <v>489</v>
      </c>
      <c r="FW59" t="b">
        <v>1</v>
      </c>
    </row>
    <row r="60" spans="1:179" x14ac:dyDescent="0.3">
      <c r="A60" s="13">
        <v>44932</v>
      </c>
      <c r="B60" t="b">
        <v>0</v>
      </c>
      <c r="C60" s="14" t="s">
        <v>490</v>
      </c>
      <c r="D60" s="14" t="s">
        <v>491</v>
      </c>
      <c r="E60" s="14" t="s">
        <v>492</v>
      </c>
      <c r="F60" s="14" t="s">
        <v>184</v>
      </c>
      <c r="G60" s="14" t="s">
        <v>493</v>
      </c>
      <c r="H60" s="14" t="s">
        <v>494</v>
      </c>
      <c r="I60" s="14" t="s">
        <v>195</v>
      </c>
      <c r="J60" s="14" t="s">
        <v>196</v>
      </c>
      <c r="K60" s="14" t="s">
        <v>235</v>
      </c>
      <c r="L60" s="14" t="s">
        <v>249</v>
      </c>
      <c r="M60" s="14" t="s">
        <v>188</v>
      </c>
      <c r="N60" s="14" t="s">
        <v>199</v>
      </c>
      <c r="O60" s="14" t="s">
        <v>256</v>
      </c>
      <c r="P60" s="14" t="s">
        <v>283</v>
      </c>
      <c r="Q60" s="17" t="s">
        <v>304</v>
      </c>
      <c r="R60" s="14" t="s">
        <v>201</v>
      </c>
      <c r="S60" s="14" t="s">
        <v>202</v>
      </c>
      <c r="T60" s="14" t="s">
        <v>204</v>
      </c>
      <c r="U60" s="14" t="s">
        <v>285</v>
      </c>
      <c r="V60" s="14" t="s">
        <v>224</v>
      </c>
      <c r="W60" s="14"/>
      <c r="X60" s="14"/>
      <c r="Y60" s="14">
        <v>3</v>
      </c>
      <c r="Z60" s="14">
        <v>3</v>
      </c>
      <c r="AA60" s="14">
        <v>3</v>
      </c>
      <c r="AB60" s="15">
        <f>IFERROR(AVERAGE(Tabel1[[#This Row],[Up - R1a]:[Up - R1c]]),"")</f>
        <v>3</v>
      </c>
      <c r="AC60" s="14">
        <v>3</v>
      </c>
      <c r="AD60" s="14">
        <v>4</v>
      </c>
      <c r="AE60" s="14">
        <v>1</v>
      </c>
      <c r="AF60" s="14">
        <v>4</v>
      </c>
      <c r="AG60" s="14">
        <f>IFERROR(AVERAGE(Tabel1[[#This Row],[Up - R1]:[Up - R5]]),"")</f>
        <v>3</v>
      </c>
      <c r="AH60" s="14">
        <v>4</v>
      </c>
      <c r="AI60" s="14">
        <v>4</v>
      </c>
      <c r="AJ60" s="14">
        <v>3</v>
      </c>
      <c r="AK60" s="14">
        <f>IFERROR(AVERAGE(Tabel1[[#This Row],[Up - C1a]:[Up - C1c]]),"")</f>
        <v>3.6666666666666665</v>
      </c>
      <c r="AL60" s="14">
        <v>4</v>
      </c>
      <c r="AM60" s="14">
        <v>2</v>
      </c>
      <c r="AN60" s="14">
        <v>3</v>
      </c>
      <c r="AO60" s="14">
        <f>IFERROR(AVERAGE(Tabel1[[#This Row],[Up - C1]:[Up - C4]]),"")</f>
        <v>3.1666666666666665</v>
      </c>
      <c r="AP60" s="14">
        <v>3</v>
      </c>
      <c r="AQ60" s="14">
        <f>IFERROR(AVERAGE(Tabel1[[#This Row],[Up - F1a]:[Up - F1a]]),"")</f>
        <v>3</v>
      </c>
      <c r="AR60" s="14">
        <v>3</v>
      </c>
      <c r="AS60" s="14">
        <v>3</v>
      </c>
      <c r="AT60" s="14">
        <f>IFERROR(AVERAGE(Tabel1[[#This Row],[Up - F2a]:[Up - F2b]]),"")</f>
        <v>3</v>
      </c>
      <c r="AU60" s="14">
        <v>3</v>
      </c>
      <c r="AV60" s="14">
        <v>2</v>
      </c>
      <c r="AW60" s="14">
        <f>IFERROR(AVERAGE(Tabel1[[#This Row],[Up - F3a]:[Up - F3b]]),"")</f>
        <v>2.5</v>
      </c>
      <c r="AX60" s="14">
        <v>3</v>
      </c>
      <c r="AY60" s="14">
        <f>IFERROR(AVERAGE(Tabel1[[#This Row],[Up - F1]],Tabel1[[#This Row],[Up - F2]],Tabel1[[#This Row],[Up - F3]],Tabel1[[#This Row],[Up - F4]]),"")</f>
        <v>2.875</v>
      </c>
      <c r="AZ60" s="14">
        <v>5</v>
      </c>
      <c r="BA60" s="14">
        <v>4</v>
      </c>
      <c r="BB60" s="14">
        <f>IFERROR(AVERAGE(Tabel1[[#This Row],[Up - V1a]:[Up - V1b]]),"")</f>
        <v>4.5</v>
      </c>
      <c r="BC60" s="14">
        <v>4</v>
      </c>
      <c r="BD60" s="14">
        <v>2</v>
      </c>
      <c r="BE60" s="14">
        <v>3</v>
      </c>
      <c r="BF60" s="14">
        <f>IFERROR(AVERAGE(Tabel1[[#This Row],[Up - V2a]:[Up - V2c]]),"")</f>
        <v>3</v>
      </c>
      <c r="BG60" s="14">
        <v>2</v>
      </c>
      <c r="BH60" s="14">
        <v>3</v>
      </c>
      <c r="BI60" s="14">
        <f>IFERROR(AVERAGE(Tabel1[[#This Row],[Up - V3a]:[Up - V3b]]),"")</f>
        <v>2.5</v>
      </c>
      <c r="BJ60" s="14">
        <v>3</v>
      </c>
      <c r="BK60" s="14">
        <f>IFERROR(AVERAGE(Tabel1[[#This Row],[Up - V1]],Tabel1[[#This Row],[Up - V2]],Tabel1[[#This Row],[Up - V3]],Tabel1[[#This Row],[Up - V4]]),"")</f>
        <v>3.25</v>
      </c>
      <c r="BL60" s="14">
        <v>5</v>
      </c>
      <c r="BM60" s="14">
        <v>4</v>
      </c>
      <c r="BN60" s="14">
        <v>3</v>
      </c>
      <c r="BO60" s="14">
        <v>3</v>
      </c>
      <c r="BP60" s="14">
        <f>IFERROR(AVERAGE(Tabel1[[#This Row],[Up - A1a]:[Up - A1d]]),"")</f>
        <v>3.75</v>
      </c>
      <c r="BQ60" s="14">
        <v>3</v>
      </c>
      <c r="BR60" s="14">
        <v>2</v>
      </c>
      <c r="BS60" s="14">
        <f>IFERROR(AVERAGE(Tabel1[[#This Row],[Up - A2a]:[Up - A2b]]),"")</f>
        <v>2.5</v>
      </c>
      <c r="BT60" s="14">
        <v>4</v>
      </c>
      <c r="BU60" s="14">
        <f>IFERROR(AVERAGE(Tabel1[[#This Row],[Up - A3a]:[Up - A3a]]),"")</f>
        <v>4</v>
      </c>
      <c r="BV60" s="14">
        <v>3</v>
      </c>
      <c r="BW60" s="14">
        <f>IFERROR(AVERAGE(Tabel1[[#This Row],[Up - A1]],Tabel1[[#This Row],[Up - A2]],Tabel1[[#This Row],[Up - A3]]),"")</f>
        <v>3.4166666666666665</v>
      </c>
      <c r="BX60" s="14">
        <v>1</v>
      </c>
      <c r="BY60" s="14">
        <v>3</v>
      </c>
      <c r="BZ60" s="14">
        <f>IFERROR(AVERAGE(Tabel1[[#This Row],[In - R1a]:[In - R1b]]),"")</f>
        <v>2</v>
      </c>
      <c r="CA60" s="14">
        <v>2</v>
      </c>
      <c r="CB60" s="14">
        <v>3</v>
      </c>
      <c r="CC60" s="14">
        <v>1</v>
      </c>
      <c r="CD60" s="14">
        <v>5</v>
      </c>
      <c r="CE60" s="14">
        <f>IFERROR(AVERAGE(Tabel1[[#This Row],[In - R1]:[In - R5]]),"")</f>
        <v>2.6</v>
      </c>
      <c r="CF60" s="14">
        <v>4</v>
      </c>
      <c r="CG60" s="14">
        <v>4</v>
      </c>
      <c r="CH60" s="14">
        <v>4</v>
      </c>
      <c r="CI60" s="14">
        <f>IFERROR(AVERAGE(Tabel1[[#This Row],[In - C1a]:[In - C1c]]),"")</f>
        <v>4</v>
      </c>
      <c r="CJ60" s="14">
        <v>3</v>
      </c>
      <c r="CK60" s="14">
        <v>3</v>
      </c>
      <c r="CL60" s="14">
        <v>5</v>
      </c>
      <c r="CM60" s="14">
        <f>IFERROR(AVERAGE(Tabel1[[#This Row],[In - C1]:[In - C4]]),"")</f>
        <v>3.75</v>
      </c>
      <c r="CN60" s="14">
        <v>2</v>
      </c>
      <c r="CO60" s="14">
        <v>2</v>
      </c>
      <c r="CP60" s="14">
        <v>2</v>
      </c>
      <c r="CQ60" s="14">
        <f>IFERROR(AVERAGE(Tabel1[[#This Row],[In - F1a]:[In - F1c]]),"")</f>
        <v>2</v>
      </c>
      <c r="CR60" s="14">
        <v>3</v>
      </c>
      <c r="CS60" s="14">
        <v>3</v>
      </c>
      <c r="CT60" s="14">
        <f>IFERROR(AVERAGE(Tabel1[[#This Row],[In - F2a]:[In - F2b]]),"")</f>
        <v>3</v>
      </c>
      <c r="CU60" s="14">
        <v>1</v>
      </c>
      <c r="CV60" s="14">
        <f>IFERROR(AVERAGE(Tabel1[[#This Row],[In - F3a]:[In - F3a]]),"")</f>
        <v>1</v>
      </c>
      <c r="CW60" s="14">
        <v>3</v>
      </c>
      <c r="CX60" s="14">
        <f>IFERROR(AVERAGE(Tabel1[[#This Row],[In - F1]],Tabel1[[#This Row],[In - F2]],Tabel1[[#This Row],[In - F3]],Tabel1[[#This Row],[In - F4]]),"")</f>
        <v>2.25</v>
      </c>
      <c r="CY60" s="14">
        <v>4</v>
      </c>
      <c r="CZ60" s="14">
        <v>4</v>
      </c>
      <c r="DA60" s="14">
        <v>4</v>
      </c>
      <c r="DB60" s="14">
        <f>IFERROR(AVERAGE(Tabel1[[#This Row],[In - V1a]:[In - V1c]]),"")</f>
        <v>4</v>
      </c>
      <c r="DC60" s="14">
        <v>4</v>
      </c>
      <c r="DD60" s="14">
        <v>3</v>
      </c>
      <c r="DE60" s="14">
        <v>4</v>
      </c>
      <c r="DF60" s="14">
        <f>IFERROR(AVERAGE(Tabel1[[#This Row],[In - V2a]:[In - V2c]]),"")</f>
        <v>3.6666666666666665</v>
      </c>
      <c r="DG60" s="14">
        <v>3</v>
      </c>
      <c r="DH60" s="14">
        <v>4</v>
      </c>
      <c r="DI60" s="14">
        <f>IFERROR(AVERAGE(Tabel1[[#This Row],[In - V3a]:[In - V3b]]),"")</f>
        <v>3.5</v>
      </c>
      <c r="DJ60" s="14">
        <v>4</v>
      </c>
      <c r="DK60" s="14">
        <f>IFERROR(AVERAGE(Tabel1[[#This Row],[In - V1]],Tabel1[[#This Row],[In - V2]],Tabel1[[#This Row],[In - V3]],Tabel1[[#This Row],[In - V4]]),"")</f>
        <v>3.7916666666666665</v>
      </c>
      <c r="DL60" s="14">
        <v>4</v>
      </c>
      <c r="DM60" s="14">
        <v>4</v>
      </c>
      <c r="DN60" s="14">
        <f>IFERROR(AVERAGE(Tabel1[[#This Row],[In - A1a]:[In - A1b]]),"")</f>
        <v>4</v>
      </c>
      <c r="DO60" s="14">
        <v>4</v>
      </c>
      <c r="DP60" s="14">
        <v>3</v>
      </c>
      <c r="DQ60" s="14">
        <f>IFERROR(AVERAGE(Tabel1[[#This Row],[In - A2a]:[In - A2b]]),"")</f>
        <v>3.5</v>
      </c>
      <c r="DR60" s="14">
        <v>4</v>
      </c>
      <c r="DS60" s="14">
        <v>3</v>
      </c>
      <c r="DT60" s="14">
        <f>IFERROR(AVERAGE(Tabel1[[#This Row],[In - A3a]:[In - A3a]]),"")</f>
        <v>4</v>
      </c>
      <c r="DU60" s="14">
        <v>3</v>
      </c>
      <c r="DV60" s="14">
        <f>IFERROR(AVERAGE(Tabel1[[#This Row],[In - A1]],Tabel1[[#This Row],[In - A2]],Tabel1[[#This Row],[In - A3]],Tabel1[[#This Row],[In - A4]]),"")</f>
        <v>3.625</v>
      </c>
      <c r="DW60" s="14">
        <v>3</v>
      </c>
      <c r="DX60" s="14">
        <v>4</v>
      </c>
      <c r="DY60" s="14">
        <v>2</v>
      </c>
      <c r="DZ60" s="14">
        <f>IFERROR(AVERAGE(Tabel1[[#This Row],[Do - R1a]:[Do - R1c]]),"")</f>
        <v>3</v>
      </c>
      <c r="EA60" s="14">
        <v>3</v>
      </c>
      <c r="EB60" s="14">
        <v>4</v>
      </c>
      <c r="EC60" s="14">
        <v>1</v>
      </c>
      <c r="ED60" s="14">
        <v>4</v>
      </c>
      <c r="EE60" s="14">
        <f>IFERROR(AVERAGE(Tabel1[[#This Row],[Do - R1]:[Do - R5]]),"")</f>
        <v>3</v>
      </c>
      <c r="EF60" s="14">
        <v>3</v>
      </c>
      <c r="EG60" s="14">
        <v>4</v>
      </c>
      <c r="EH60" s="14">
        <v>3</v>
      </c>
      <c r="EI60" s="14">
        <f>IFERROR(AVERAGE(Tabel1[[#This Row],[Do - C1a]:[Do - C1c]]),"")</f>
        <v>3.3333333333333335</v>
      </c>
      <c r="EJ60" s="14">
        <v>5</v>
      </c>
      <c r="EK60" s="14">
        <v>3</v>
      </c>
      <c r="EL60" s="14">
        <v>3</v>
      </c>
      <c r="EM60" s="14">
        <f>IFERROR(AVERAGE(Tabel1[[#This Row],[Do - C1]:[Do - C4]]),"")</f>
        <v>3.5833333333333335</v>
      </c>
      <c r="EN60" s="14">
        <v>2</v>
      </c>
      <c r="EO60" s="14">
        <v>3</v>
      </c>
      <c r="EP60" s="14">
        <v>2</v>
      </c>
      <c r="EQ60" s="14">
        <f>IFERROR(AVERAGE(Tabel1[[#This Row],[Do - F1a]:[Do - F1c]]),"")</f>
        <v>2.3333333333333335</v>
      </c>
      <c r="ER60" s="14">
        <v>4</v>
      </c>
      <c r="ES60" s="14">
        <f>IFERROR(AVERAGE(Tabel1[[#This Row],[Do - F2a]:[Do - F2a]]),"")</f>
        <v>4</v>
      </c>
      <c r="ET60" s="14">
        <v>2</v>
      </c>
      <c r="EU60" s="14">
        <v>2</v>
      </c>
      <c r="EV60" s="14">
        <f>IFERROR(AVERAGE(Tabel1[[#This Row],[Do - F3a]:[Do - F3b]]),"")</f>
        <v>2</v>
      </c>
      <c r="EW60" s="14">
        <v>3</v>
      </c>
      <c r="EX60" s="14">
        <f>IFERROR(AVERAGE(Tabel1[[#This Row],[Do - F1]],Tabel1[[#This Row],[Do - F2]],Tabel1[[#This Row],[Do - F3]],Tabel1[[#This Row],[Do - F4]]),"")</f>
        <v>2.8333333333333335</v>
      </c>
      <c r="EY60" s="14">
        <v>4</v>
      </c>
      <c r="EZ60" s="14">
        <v>4</v>
      </c>
      <c r="FA60" s="14">
        <v>4</v>
      </c>
      <c r="FB60" s="14">
        <f>IFERROR(AVERAGE(Tabel1[[#This Row],[Do - V1a]:[Do - V1c]]),"")</f>
        <v>4</v>
      </c>
      <c r="FC60" s="14">
        <v>4</v>
      </c>
      <c r="FD60" s="14">
        <v>3</v>
      </c>
      <c r="FE60" s="14">
        <f>IFERROR(AVERAGE(Tabel1[[#This Row],[Do - V2a]:[Do - V2b]]),"")</f>
        <v>3.5</v>
      </c>
      <c r="FF60" s="14">
        <v>3</v>
      </c>
      <c r="FG60" s="14">
        <f>IFERROR(AVERAGE(Tabel1[[#This Row],[Do - V3a]:[Do - V3a]]),"")</f>
        <v>3</v>
      </c>
      <c r="FH60" s="14">
        <v>4</v>
      </c>
      <c r="FI60" s="14">
        <f>IFERROR(AVERAGE(Tabel1[[#This Row],[Do - V1]],Tabel1[[#This Row],[Do - V2]],Tabel1[[#This Row],[Do - V3]],Tabel1[[#This Row],[Do - V4]]),"")</f>
        <v>3.625</v>
      </c>
      <c r="FJ60" s="14">
        <v>5</v>
      </c>
      <c r="FK60" s="14">
        <v>3</v>
      </c>
      <c r="FL60" s="14">
        <v>3</v>
      </c>
      <c r="FM60" s="14">
        <f>IFERROR(AVERAGE(Tabel1[[#This Row],[Do - A1a]:[Do - A1c]]),"")</f>
        <v>3.6666666666666665</v>
      </c>
      <c r="FN60" s="14">
        <v>4</v>
      </c>
      <c r="FO60" s="14">
        <v>2</v>
      </c>
      <c r="FP60" s="14">
        <f>IFERROR(AVERAGE(Tabel1[[#This Row],[Do - A2a]:[Do - A2b]]),"")</f>
        <v>3</v>
      </c>
      <c r="FQ60" s="14">
        <v>3</v>
      </c>
      <c r="FR60" s="14">
        <f>IFERROR(AVERAGE(Tabel1[[#This Row],[Do - A3a]:[Do - A3a]]),"")</f>
        <v>3</v>
      </c>
      <c r="FS60" s="14">
        <v>3</v>
      </c>
      <c r="FT60" s="14">
        <f>IFERROR(AVERAGE(Tabel1[[#This Row],[Do - A1]],Tabel1[[#This Row],[Do - A2]],Tabel1[[#This Row],[Do - A3]],Tabel1[[#This Row],[Do - A4]]),"")</f>
        <v>3.1666666666666665</v>
      </c>
      <c r="FU6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3.1955555555555559</v>
      </c>
      <c r="FV60" s="16" t="s">
        <v>495</v>
      </c>
      <c r="FW60" t="b">
        <v>1</v>
      </c>
    </row>
    <row r="61" spans="1:179" x14ac:dyDescent="0.3">
      <c r="A61" s="13">
        <v>44932.385104166664</v>
      </c>
      <c r="B61" t="b">
        <v>0</v>
      </c>
      <c r="C61" s="14" t="s">
        <v>496</v>
      </c>
      <c r="D61" s="14" t="s">
        <v>497</v>
      </c>
      <c r="E61" s="14" t="s">
        <v>492</v>
      </c>
      <c r="F61" s="14" t="s">
        <v>184</v>
      </c>
      <c r="G61" s="14" t="s">
        <v>498</v>
      </c>
      <c r="H61" s="14" t="s">
        <v>222</v>
      </c>
      <c r="I61" s="14" t="s">
        <v>195</v>
      </c>
      <c r="J61" s="14" t="s">
        <v>196</v>
      </c>
      <c r="K61" s="14" t="s">
        <v>235</v>
      </c>
      <c r="L61" s="14" t="s">
        <v>197</v>
      </c>
      <c r="M61" s="14" t="s">
        <v>233</v>
      </c>
      <c r="N61" s="14" t="s">
        <v>479</v>
      </c>
      <c r="O61" s="14" t="s">
        <v>200</v>
      </c>
      <c r="P61" s="14" t="s">
        <v>203</v>
      </c>
      <c r="Q61" s="14" t="s">
        <v>235</v>
      </c>
      <c r="R61" s="14" t="s">
        <v>201</v>
      </c>
      <c r="S61" s="14" t="s">
        <v>235</v>
      </c>
      <c r="T61" s="14" t="s">
        <v>236</v>
      </c>
      <c r="U61" s="14" t="s">
        <v>285</v>
      </c>
      <c r="V61" s="14" t="s">
        <v>359</v>
      </c>
      <c r="W61" s="14" t="s">
        <v>207</v>
      </c>
      <c r="X61" s="14" t="s">
        <v>207</v>
      </c>
      <c r="Y61" s="14">
        <v>3</v>
      </c>
      <c r="Z61" s="14">
        <v>4</v>
      </c>
      <c r="AA61" s="14" t="s">
        <v>189</v>
      </c>
      <c r="AB61" s="15">
        <f>IFERROR(AVERAGE(Tabel1[[#This Row],[Up - R1a]:[Up - R1c]]),"")</f>
        <v>3.5</v>
      </c>
      <c r="AC61" s="14">
        <v>3</v>
      </c>
      <c r="AD61" s="14">
        <v>1</v>
      </c>
      <c r="AE61" s="14" t="s">
        <v>189</v>
      </c>
      <c r="AF61" s="14">
        <v>3</v>
      </c>
      <c r="AG61" s="14">
        <f>IFERROR(AVERAGE(Tabel1[[#This Row],[Up - R1]:[Up - R5]]),"")</f>
        <v>2.625</v>
      </c>
      <c r="AH61" s="14">
        <v>3</v>
      </c>
      <c r="AI61" s="14">
        <v>3</v>
      </c>
      <c r="AJ61" s="14">
        <v>2</v>
      </c>
      <c r="AK61" s="14">
        <f>IFERROR(AVERAGE(Tabel1[[#This Row],[Up - C1a]:[Up - C1c]]),"")</f>
        <v>2.6666666666666665</v>
      </c>
      <c r="AL61" s="14">
        <v>3</v>
      </c>
      <c r="AM61" s="14">
        <v>2</v>
      </c>
      <c r="AN61" s="14">
        <v>2</v>
      </c>
      <c r="AO61" s="14">
        <f>IFERROR(AVERAGE(Tabel1[[#This Row],[Up - C1]:[Up - C4]]),"")</f>
        <v>2.4166666666666665</v>
      </c>
      <c r="AP61" s="14">
        <v>2</v>
      </c>
      <c r="AQ61" s="14">
        <f>IFERROR(AVERAGE(Tabel1[[#This Row],[Up - F1a]:[Up - F1a]]),"")</f>
        <v>2</v>
      </c>
      <c r="AR61" s="14">
        <v>1</v>
      </c>
      <c r="AS61" s="14">
        <v>2</v>
      </c>
      <c r="AT61" s="14">
        <f>IFERROR(AVERAGE(Tabel1[[#This Row],[Up - F2a]:[Up - F2b]]),"")</f>
        <v>1.5</v>
      </c>
      <c r="AU61" s="14">
        <v>2</v>
      </c>
      <c r="AV61" s="14">
        <v>2</v>
      </c>
      <c r="AW61" s="14">
        <f>IFERROR(AVERAGE(Tabel1[[#This Row],[Up - F3a]:[Up - F3b]]),"")</f>
        <v>2</v>
      </c>
      <c r="AX61" s="14">
        <v>2</v>
      </c>
      <c r="AY61" s="14">
        <f>IFERROR(AVERAGE(Tabel1[[#This Row],[Up - F1]],Tabel1[[#This Row],[Up - F2]],Tabel1[[#This Row],[Up - F3]],Tabel1[[#This Row],[Up - F4]]),"")</f>
        <v>1.875</v>
      </c>
      <c r="AZ61" s="14">
        <v>3</v>
      </c>
      <c r="BA61" s="14">
        <v>3</v>
      </c>
      <c r="BB61" s="14">
        <f>IFERROR(AVERAGE(Tabel1[[#This Row],[Up - V1a]:[Up - V1b]]),"")</f>
        <v>3</v>
      </c>
      <c r="BC61" s="14">
        <v>2</v>
      </c>
      <c r="BD61" s="14">
        <v>2</v>
      </c>
      <c r="BE61" s="14">
        <v>3</v>
      </c>
      <c r="BF61" s="14">
        <f>IFERROR(AVERAGE(Tabel1[[#This Row],[Up - V2a]:[Up - V2c]]),"")</f>
        <v>2.3333333333333335</v>
      </c>
      <c r="BG61" s="14">
        <v>2</v>
      </c>
      <c r="BH61" s="14">
        <v>2</v>
      </c>
      <c r="BI61" s="14">
        <f>IFERROR(AVERAGE(Tabel1[[#This Row],[Up - V3a]:[Up - V3b]]),"")</f>
        <v>2</v>
      </c>
      <c r="BJ61" s="14">
        <v>2</v>
      </c>
      <c r="BK61" s="14">
        <f>IFERROR(AVERAGE(Tabel1[[#This Row],[Up - V1]],Tabel1[[#This Row],[Up - V2]],Tabel1[[#This Row],[Up - V3]],Tabel1[[#This Row],[Up - V4]]),"")</f>
        <v>2.3333333333333335</v>
      </c>
      <c r="BL61" s="14">
        <v>2</v>
      </c>
      <c r="BM61" s="14">
        <v>3</v>
      </c>
      <c r="BN61" s="14">
        <v>2</v>
      </c>
      <c r="BO61" s="14">
        <v>2</v>
      </c>
      <c r="BP61" s="14">
        <f>IFERROR(AVERAGE(Tabel1[[#This Row],[Up - A1a]:[Up - A1d]]),"")</f>
        <v>2.25</v>
      </c>
      <c r="BQ61" s="14">
        <v>2</v>
      </c>
      <c r="BR61" s="14">
        <v>2</v>
      </c>
      <c r="BS61" s="14">
        <f>IFERROR(AVERAGE(Tabel1[[#This Row],[Up - A2a]:[Up - A2b]]),"")</f>
        <v>2</v>
      </c>
      <c r="BT61" s="14">
        <v>3</v>
      </c>
      <c r="BU61" s="14">
        <f>IFERROR(AVERAGE(Tabel1[[#This Row],[Up - A3a]:[Up - A3a]]),"")</f>
        <v>3</v>
      </c>
      <c r="BV61" s="14">
        <v>2</v>
      </c>
      <c r="BW61" s="14">
        <f>IFERROR(AVERAGE(Tabel1[[#This Row],[Up - A1]],Tabel1[[#This Row],[Up - A2]],Tabel1[[#This Row],[Up - A3]]),"")</f>
        <v>2.4166666666666665</v>
      </c>
      <c r="BX61" s="14">
        <v>2</v>
      </c>
      <c r="BY61" s="14">
        <v>3</v>
      </c>
      <c r="BZ61" s="14">
        <f>IFERROR(AVERAGE(Tabel1[[#This Row],[In - R1a]:[In - R1b]]),"")</f>
        <v>2.5</v>
      </c>
      <c r="CA61" s="14">
        <v>2</v>
      </c>
      <c r="CB61" s="14">
        <v>3</v>
      </c>
      <c r="CC61" s="14">
        <v>1</v>
      </c>
      <c r="CD61" s="14">
        <v>4</v>
      </c>
      <c r="CE61" s="14">
        <f>IFERROR(AVERAGE(Tabel1[[#This Row],[In - R1]:[In - R5]]),"")</f>
        <v>2.5</v>
      </c>
      <c r="CF61" s="14">
        <v>3</v>
      </c>
      <c r="CG61" s="14">
        <v>3</v>
      </c>
      <c r="CH61" s="14">
        <v>3</v>
      </c>
      <c r="CI61" s="14">
        <f>IFERROR(AVERAGE(Tabel1[[#This Row],[In - C1a]:[In - C1c]]),"")</f>
        <v>3</v>
      </c>
      <c r="CJ61" s="14">
        <v>2</v>
      </c>
      <c r="CK61" s="14">
        <v>2</v>
      </c>
      <c r="CL61" s="14">
        <v>3</v>
      </c>
      <c r="CM61" s="14">
        <f>IFERROR(AVERAGE(Tabel1[[#This Row],[In - C1]:[In - C4]]),"")</f>
        <v>2.5</v>
      </c>
      <c r="CN61" s="14">
        <v>3</v>
      </c>
      <c r="CO61" s="14">
        <v>2</v>
      </c>
      <c r="CP61" s="14">
        <v>2</v>
      </c>
      <c r="CQ61" s="14">
        <f>IFERROR(AVERAGE(Tabel1[[#This Row],[In - F1a]:[In - F1c]]),"")</f>
        <v>2.3333333333333335</v>
      </c>
      <c r="CR61" s="14">
        <v>3</v>
      </c>
      <c r="CS61" s="14">
        <v>1</v>
      </c>
      <c r="CT61" s="14">
        <f>IFERROR(AVERAGE(Tabel1[[#This Row],[In - F2a]:[In - F2b]]),"")</f>
        <v>2</v>
      </c>
      <c r="CU61" s="14">
        <v>1</v>
      </c>
      <c r="CV61" s="14">
        <f>IFERROR(AVERAGE(Tabel1[[#This Row],[In - F3a]:[In - F3a]]),"")</f>
        <v>1</v>
      </c>
      <c r="CW61" s="14">
        <v>2</v>
      </c>
      <c r="CX61" s="14">
        <f>IFERROR(AVERAGE(Tabel1[[#This Row],[In - F1]],Tabel1[[#This Row],[In - F2]],Tabel1[[#This Row],[In - F3]],Tabel1[[#This Row],[In - F4]]),"")</f>
        <v>1.8333333333333335</v>
      </c>
      <c r="CY61" s="14">
        <v>3</v>
      </c>
      <c r="CZ61" s="14">
        <v>3</v>
      </c>
      <c r="DA61" s="14">
        <v>2</v>
      </c>
      <c r="DB61" s="14">
        <f>IFERROR(AVERAGE(Tabel1[[#This Row],[In - V1a]:[In - V1c]]),"")</f>
        <v>2.6666666666666665</v>
      </c>
      <c r="DC61" s="14">
        <v>3</v>
      </c>
      <c r="DD61" s="14">
        <v>3</v>
      </c>
      <c r="DE61" s="14">
        <v>3</v>
      </c>
      <c r="DF61" s="14">
        <f>IFERROR(AVERAGE(Tabel1[[#This Row],[In - V2a]:[In - V2c]]),"")</f>
        <v>3</v>
      </c>
      <c r="DG61" s="14">
        <v>2</v>
      </c>
      <c r="DH61" s="14">
        <v>2</v>
      </c>
      <c r="DI61" s="14">
        <f>IFERROR(AVERAGE(Tabel1[[#This Row],[In - V3a]:[In - V3b]]),"")</f>
        <v>2</v>
      </c>
      <c r="DJ61" s="14">
        <v>3</v>
      </c>
      <c r="DK61" s="14">
        <f>IFERROR(AVERAGE(Tabel1[[#This Row],[In - V1]],Tabel1[[#This Row],[In - V2]],Tabel1[[#This Row],[In - V3]],Tabel1[[#This Row],[In - V4]]),"")</f>
        <v>2.6666666666666665</v>
      </c>
      <c r="DL61" s="14">
        <v>2</v>
      </c>
      <c r="DM61" s="14" t="s">
        <v>189</v>
      </c>
      <c r="DN61" s="14">
        <f>IFERROR(AVERAGE(Tabel1[[#This Row],[In - A1a]:[In - A1b]]),"")</f>
        <v>2</v>
      </c>
      <c r="DO61" s="14">
        <v>2</v>
      </c>
      <c r="DP61" s="14">
        <v>2</v>
      </c>
      <c r="DQ61" s="14">
        <f>IFERROR(AVERAGE(Tabel1[[#This Row],[In - A2a]:[In - A2b]]),"")</f>
        <v>2</v>
      </c>
      <c r="DR61" s="14">
        <v>3</v>
      </c>
      <c r="DS61" s="14">
        <v>3</v>
      </c>
      <c r="DT61" s="14">
        <f>IFERROR(AVERAGE(Tabel1[[#This Row],[In - A3a]:[In - A3a]]),"")</f>
        <v>3</v>
      </c>
      <c r="DU61" s="14">
        <v>3</v>
      </c>
      <c r="DV61" s="14">
        <f>IFERROR(AVERAGE(Tabel1[[#This Row],[In - A1]],Tabel1[[#This Row],[In - A2]],Tabel1[[#This Row],[In - A3]],Tabel1[[#This Row],[In - A4]]),"")</f>
        <v>2.5</v>
      </c>
      <c r="DW61" s="14">
        <v>1</v>
      </c>
      <c r="DX61" s="14">
        <v>4</v>
      </c>
      <c r="DY61" s="14">
        <v>1</v>
      </c>
      <c r="DZ61" s="14">
        <f>IFERROR(AVERAGE(Tabel1[[#This Row],[Do - R1a]:[Do - R1c]]),"")</f>
        <v>2</v>
      </c>
      <c r="EA61" s="14">
        <v>2</v>
      </c>
      <c r="EB61" s="14">
        <v>3</v>
      </c>
      <c r="EC61" s="14" t="s">
        <v>189</v>
      </c>
      <c r="ED61" s="14">
        <v>2</v>
      </c>
      <c r="EE61" s="14">
        <f>IFERROR(AVERAGE(Tabel1[[#This Row],[Do - R1]:[Do - R5]]),"")</f>
        <v>2.25</v>
      </c>
      <c r="EF61" s="14">
        <v>3</v>
      </c>
      <c r="EG61" s="14">
        <v>3</v>
      </c>
      <c r="EH61" s="14">
        <v>2</v>
      </c>
      <c r="EI61" s="14">
        <f>IFERROR(AVERAGE(Tabel1[[#This Row],[Do - C1a]:[Do - C1c]]),"")</f>
        <v>2.6666666666666665</v>
      </c>
      <c r="EJ61" s="14">
        <v>3</v>
      </c>
      <c r="EK61" s="14">
        <v>2</v>
      </c>
      <c r="EL61" s="14">
        <v>2</v>
      </c>
      <c r="EM61" s="14">
        <f>IFERROR(AVERAGE(Tabel1[[#This Row],[Do - C1]:[Do - C4]]),"")</f>
        <v>2.4166666666666665</v>
      </c>
      <c r="EN61" s="14">
        <v>3</v>
      </c>
      <c r="EO61" s="14">
        <v>2</v>
      </c>
      <c r="EP61" s="14">
        <v>2</v>
      </c>
      <c r="EQ61" s="14">
        <f>IFERROR(AVERAGE(Tabel1[[#This Row],[Do - F1a]:[Do - F1c]]),"")</f>
        <v>2.3333333333333335</v>
      </c>
      <c r="ER61" s="14">
        <v>2</v>
      </c>
      <c r="ES61" s="14">
        <f>IFERROR(AVERAGE(Tabel1[[#This Row],[Do - F2a]:[Do - F2a]]),"")</f>
        <v>2</v>
      </c>
      <c r="ET61" s="14">
        <v>2</v>
      </c>
      <c r="EU61" s="14">
        <v>2</v>
      </c>
      <c r="EV61" s="14">
        <f>IFERROR(AVERAGE(Tabel1[[#This Row],[Do - F3a]:[Do - F3b]]),"")</f>
        <v>2</v>
      </c>
      <c r="EW61" s="14">
        <v>1</v>
      </c>
      <c r="EX61" s="14">
        <f>IFERROR(AVERAGE(Tabel1[[#This Row],[Do - F1]],Tabel1[[#This Row],[Do - F2]],Tabel1[[#This Row],[Do - F3]],Tabel1[[#This Row],[Do - F4]]),"")</f>
        <v>1.8333333333333335</v>
      </c>
      <c r="EY61" s="14">
        <v>2</v>
      </c>
      <c r="EZ61" s="14">
        <v>2</v>
      </c>
      <c r="FA61" s="14">
        <v>2</v>
      </c>
      <c r="FB61" s="14">
        <f>IFERROR(AVERAGE(Tabel1[[#This Row],[Do - V1a]:[Do - V1c]]),"")</f>
        <v>2</v>
      </c>
      <c r="FC61" s="14">
        <v>2</v>
      </c>
      <c r="FD61" s="14">
        <v>1</v>
      </c>
      <c r="FE61" s="14">
        <f>IFERROR(AVERAGE(Tabel1[[#This Row],[Do - V2a]:[Do - V2b]]),"")</f>
        <v>1.5</v>
      </c>
      <c r="FF61" s="14">
        <v>2</v>
      </c>
      <c r="FG61" s="14">
        <f>IFERROR(AVERAGE(Tabel1[[#This Row],[Do - V3a]:[Do - V3a]]),"")</f>
        <v>2</v>
      </c>
      <c r="FH61" s="14">
        <v>3</v>
      </c>
      <c r="FI61" s="14">
        <f>IFERROR(AVERAGE(Tabel1[[#This Row],[Do - V1]],Tabel1[[#This Row],[Do - V2]],Tabel1[[#This Row],[Do - V3]],Tabel1[[#This Row],[Do - V4]]),"")</f>
        <v>2.125</v>
      </c>
      <c r="FJ61" s="14">
        <v>3</v>
      </c>
      <c r="FK61" s="14">
        <v>2</v>
      </c>
      <c r="FL61" s="14">
        <v>2</v>
      </c>
      <c r="FM61" s="14">
        <f>IFERROR(AVERAGE(Tabel1[[#This Row],[Do - A1a]:[Do - A1c]]),"")</f>
        <v>2.3333333333333335</v>
      </c>
      <c r="FN61" s="14">
        <v>3</v>
      </c>
      <c r="FO61" s="14">
        <v>3</v>
      </c>
      <c r="FP61" s="14">
        <f>IFERROR(AVERAGE(Tabel1[[#This Row],[Do - A2a]:[Do - A2b]]),"")</f>
        <v>3</v>
      </c>
      <c r="FQ61" s="14">
        <v>3</v>
      </c>
      <c r="FR61" s="14">
        <f>IFERROR(AVERAGE(Tabel1[[#This Row],[Do - A3a]:[Do - A3a]]),"")</f>
        <v>3</v>
      </c>
      <c r="FS61" s="14">
        <v>2</v>
      </c>
      <c r="FT61" s="14">
        <f>IFERROR(AVERAGE(Tabel1[[#This Row],[Do - A1]],Tabel1[[#This Row],[Do - A2]],Tabel1[[#This Row],[Do - A3]],Tabel1[[#This Row],[Do - A4]]),"")</f>
        <v>2.5833333333333335</v>
      </c>
      <c r="FU6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2.3250000000000002</v>
      </c>
      <c r="FV61" s="16" t="s">
        <v>499</v>
      </c>
      <c r="FW61" t="b">
        <v>1</v>
      </c>
    </row>
    <row r="62" spans="1:179" x14ac:dyDescent="0.3">
      <c r="A62" s="13">
        <v>44932.443437499998</v>
      </c>
      <c r="B62" t="b">
        <v>0</v>
      </c>
      <c r="C62" s="14" t="s">
        <v>500</v>
      </c>
      <c r="D62" s="14" t="s">
        <v>491</v>
      </c>
      <c r="E62" s="14" t="s">
        <v>492</v>
      </c>
      <c r="F62" s="14" t="s">
        <v>184</v>
      </c>
      <c r="G62" s="14" t="s">
        <v>493</v>
      </c>
      <c r="H62" s="14" t="s">
        <v>222</v>
      </c>
      <c r="I62" s="14" t="s">
        <v>195</v>
      </c>
      <c r="J62" s="14" t="s">
        <v>196</v>
      </c>
      <c r="K62" s="14" t="s">
        <v>235</v>
      </c>
      <c r="L62" s="14" t="s">
        <v>385</v>
      </c>
      <c r="M62" s="14" t="s">
        <v>233</v>
      </c>
      <c r="N62" s="14" t="s">
        <v>199</v>
      </c>
      <c r="O62" s="14" t="s">
        <v>256</v>
      </c>
      <c r="P62" s="17" t="s">
        <v>304</v>
      </c>
      <c r="Q62" s="17" t="s">
        <v>304</v>
      </c>
      <c r="R62" s="14" t="s">
        <v>202</v>
      </c>
      <c r="S62" s="14" t="s">
        <v>202</v>
      </c>
      <c r="T62" s="14" t="s">
        <v>204</v>
      </c>
      <c r="U62" s="14" t="s">
        <v>285</v>
      </c>
      <c r="V62" s="14" t="s">
        <v>359</v>
      </c>
      <c r="W62" s="14" t="s">
        <v>395</v>
      </c>
      <c r="X62" s="14" t="s">
        <v>207</v>
      </c>
      <c r="Y62" s="14">
        <v>2</v>
      </c>
      <c r="Z62" s="14">
        <v>3</v>
      </c>
      <c r="AA62" s="14">
        <v>3</v>
      </c>
      <c r="AB62" s="15">
        <f>IFERROR(AVERAGE(Tabel1[[#This Row],[Up - R1a]:[Up - R1c]]),"")</f>
        <v>2.6666666666666665</v>
      </c>
      <c r="AC62" s="14">
        <v>4</v>
      </c>
      <c r="AD62" s="14">
        <v>3</v>
      </c>
      <c r="AE62" s="14">
        <v>2</v>
      </c>
      <c r="AF62" s="14">
        <v>4</v>
      </c>
      <c r="AG62" s="14">
        <f>IFERROR(AVERAGE(Tabel1[[#This Row],[Up - R1]:[Up - R5]]),"")</f>
        <v>3.1333333333333333</v>
      </c>
      <c r="AH62" s="14">
        <v>4</v>
      </c>
      <c r="AI62" s="14">
        <v>4</v>
      </c>
      <c r="AJ62" s="14">
        <v>3</v>
      </c>
      <c r="AK62" s="14">
        <f>IFERROR(AVERAGE(Tabel1[[#This Row],[Up - C1a]:[Up - C1c]]),"")</f>
        <v>3.6666666666666665</v>
      </c>
      <c r="AL62" s="14">
        <v>4</v>
      </c>
      <c r="AM62" s="14">
        <v>2</v>
      </c>
      <c r="AN62" s="14">
        <v>4</v>
      </c>
      <c r="AO62" s="14">
        <f>IFERROR(AVERAGE(Tabel1[[#This Row],[Up - C1]:[Up - C4]]),"")</f>
        <v>3.4166666666666665</v>
      </c>
      <c r="AP62" s="14">
        <v>2</v>
      </c>
      <c r="AQ62" s="14">
        <f>IFERROR(AVERAGE(Tabel1[[#This Row],[Up - F1a]:[Up - F1a]]),"")</f>
        <v>2</v>
      </c>
      <c r="AR62" s="14">
        <v>3</v>
      </c>
      <c r="AS62" s="14">
        <v>3</v>
      </c>
      <c r="AT62" s="14">
        <f>IFERROR(AVERAGE(Tabel1[[#This Row],[Up - F2a]:[Up - F2b]]),"")</f>
        <v>3</v>
      </c>
      <c r="AU62" s="14">
        <v>3</v>
      </c>
      <c r="AV62" s="14">
        <v>1</v>
      </c>
      <c r="AW62" s="14">
        <f>IFERROR(AVERAGE(Tabel1[[#This Row],[Up - F3a]:[Up - F3b]]),"")</f>
        <v>2</v>
      </c>
      <c r="AX62" s="14" t="s">
        <v>189</v>
      </c>
      <c r="AY62" s="14">
        <f>IFERROR(AVERAGE(Tabel1[[#This Row],[Up - F1]],Tabel1[[#This Row],[Up - F2]],Tabel1[[#This Row],[Up - F3]],Tabel1[[#This Row],[Up - F4]]),"")</f>
        <v>2.3333333333333335</v>
      </c>
      <c r="AZ62" s="14">
        <v>5</v>
      </c>
      <c r="BA62" s="14">
        <v>4</v>
      </c>
      <c r="BB62" s="14">
        <f>IFERROR(AVERAGE(Tabel1[[#This Row],[Up - V1a]:[Up - V1b]]),"")</f>
        <v>4.5</v>
      </c>
      <c r="BC62" s="14">
        <v>4</v>
      </c>
      <c r="BD62" s="14">
        <v>3</v>
      </c>
      <c r="BE62" s="14">
        <v>4</v>
      </c>
      <c r="BF62" s="14">
        <f>IFERROR(AVERAGE(Tabel1[[#This Row],[Up - V2a]:[Up - V2c]]),"")</f>
        <v>3.6666666666666665</v>
      </c>
      <c r="BG62" s="14">
        <v>2</v>
      </c>
      <c r="BH62" s="14">
        <v>3</v>
      </c>
      <c r="BI62" s="14">
        <f>IFERROR(AVERAGE(Tabel1[[#This Row],[Up - V3a]:[Up - V3b]]),"")</f>
        <v>2.5</v>
      </c>
      <c r="BJ62" s="14" t="s">
        <v>189</v>
      </c>
      <c r="BK62" s="14">
        <f>IFERROR(AVERAGE(Tabel1[[#This Row],[Up - V1]],Tabel1[[#This Row],[Up - V2]],Tabel1[[#This Row],[Up - V3]],Tabel1[[#This Row],[Up - V4]]),"")</f>
        <v>3.5555555555555554</v>
      </c>
      <c r="BL62" s="14">
        <v>4</v>
      </c>
      <c r="BM62" s="14">
        <v>4</v>
      </c>
      <c r="BN62" s="14">
        <v>3</v>
      </c>
      <c r="BO62" s="14">
        <v>2</v>
      </c>
      <c r="BP62" s="14">
        <f>IFERROR(AVERAGE(Tabel1[[#This Row],[Up - A1a]:[Up - A1d]]),"")</f>
        <v>3.25</v>
      </c>
      <c r="BQ62" s="14">
        <v>3</v>
      </c>
      <c r="BR62" s="14">
        <v>2</v>
      </c>
      <c r="BS62" s="14">
        <f>IFERROR(AVERAGE(Tabel1[[#This Row],[Up - A2a]:[Up - A2b]]),"")</f>
        <v>2.5</v>
      </c>
      <c r="BT62" s="14">
        <v>4</v>
      </c>
      <c r="BU62" s="14">
        <f>IFERROR(AVERAGE(Tabel1[[#This Row],[Up - A3a]:[Up - A3a]]),"")</f>
        <v>4</v>
      </c>
      <c r="BV62" s="14">
        <v>3</v>
      </c>
      <c r="BW62" s="14">
        <f>IFERROR(AVERAGE(Tabel1[[#This Row],[Up - A1]],Tabel1[[#This Row],[Up - A2]],Tabel1[[#This Row],[Up - A3]]),"")</f>
        <v>3.25</v>
      </c>
      <c r="BX62" s="14">
        <v>2</v>
      </c>
      <c r="BY62" s="14">
        <v>2</v>
      </c>
      <c r="BZ62" s="14">
        <f>IFERROR(AVERAGE(Tabel1[[#This Row],[In - R1a]:[In - R1b]]),"")</f>
        <v>2</v>
      </c>
      <c r="CA62" s="14">
        <v>4</v>
      </c>
      <c r="CB62" s="14">
        <v>4</v>
      </c>
      <c r="CC62" s="14">
        <v>1</v>
      </c>
      <c r="CD62" s="14">
        <v>5</v>
      </c>
      <c r="CE62" s="14">
        <f>IFERROR(AVERAGE(Tabel1[[#This Row],[In - R1]:[In - R5]]),"")</f>
        <v>3.2</v>
      </c>
      <c r="CF62" s="14">
        <v>4</v>
      </c>
      <c r="CG62" s="14">
        <v>2</v>
      </c>
      <c r="CH62" s="14">
        <v>4</v>
      </c>
      <c r="CI62" s="14">
        <f>IFERROR(AVERAGE(Tabel1[[#This Row],[In - C1a]:[In - C1c]]),"")</f>
        <v>3.3333333333333335</v>
      </c>
      <c r="CJ62" s="14">
        <v>4</v>
      </c>
      <c r="CK62" s="14">
        <v>2</v>
      </c>
      <c r="CL62" s="14">
        <v>5</v>
      </c>
      <c r="CM62" s="14">
        <f>IFERROR(AVERAGE(Tabel1[[#This Row],[In - C1]:[In - C4]]),"")</f>
        <v>3.5833333333333335</v>
      </c>
      <c r="CN62" s="14">
        <v>2</v>
      </c>
      <c r="CO62" s="14">
        <v>1</v>
      </c>
      <c r="CP62" s="14">
        <v>1</v>
      </c>
      <c r="CQ62" s="14">
        <f>IFERROR(AVERAGE(Tabel1[[#This Row],[In - F1a]:[In - F1c]]),"")</f>
        <v>1.3333333333333333</v>
      </c>
      <c r="CR62" s="14">
        <v>4</v>
      </c>
      <c r="CS62" s="14">
        <v>2</v>
      </c>
      <c r="CT62" s="14">
        <f>IFERROR(AVERAGE(Tabel1[[#This Row],[In - F2a]:[In - F2b]]),"")</f>
        <v>3</v>
      </c>
      <c r="CU62" s="14">
        <v>1</v>
      </c>
      <c r="CV62" s="14">
        <f>IFERROR(AVERAGE(Tabel1[[#This Row],[In - F3a]:[In - F3a]]),"")</f>
        <v>1</v>
      </c>
      <c r="CW62" s="14" t="s">
        <v>189</v>
      </c>
      <c r="CX62" s="14">
        <f>IFERROR(AVERAGE(Tabel1[[#This Row],[In - F1]],Tabel1[[#This Row],[In - F2]],Tabel1[[#This Row],[In - F3]],Tabel1[[#This Row],[In - F4]]),"")</f>
        <v>1.7777777777777777</v>
      </c>
      <c r="CY62" s="14">
        <v>5</v>
      </c>
      <c r="CZ62" s="14">
        <v>3</v>
      </c>
      <c r="DA62" s="14">
        <v>4</v>
      </c>
      <c r="DB62" s="14">
        <f>IFERROR(AVERAGE(Tabel1[[#This Row],[In - V1a]:[In - V1c]]),"")</f>
        <v>4</v>
      </c>
      <c r="DC62" s="14">
        <v>3</v>
      </c>
      <c r="DD62" s="14">
        <v>4</v>
      </c>
      <c r="DE62" s="14">
        <v>4</v>
      </c>
      <c r="DF62" s="14">
        <f>IFERROR(AVERAGE(Tabel1[[#This Row],[In - V2a]:[In - V2c]]),"")</f>
        <v>3.6666666666666665</v>
      </c>
      <c r="DG62" s="14">
        <v>2</v>
      </c>
      <c r="DH62" s="14">
        <v>3</v>
      </c>
      <c r="DI62" s="14">
        <f>IFERROR(AVERAGE(Tabel1[[#This Row],[In - V3a]:[In - V3b]]),"")</f>
        <v>2.5</v>
      </c>
      <c r="DJ62" s="14">
        <v>4</v>
      </c>
      <c r="DK62" s="14">
        <f>IFERROR(AVERAGE(Tabel1[[#This Row],[In - V1]],Tabel1[[#This Row],[In - V2]],Tabel1[[#This Row],[In - V3]],Tabel1[[#This Row],[In - V4]]),"")</f>
        <v>3.5416666666666665</v>
      </c>
      <c r="DL62" s="14">
        <v>4</v>
      </c>
      <c r="DM62" s="14">
        <v>3</v>
      </c>
      <c r="DN62" s="14">
        <f>IFERROR(AVERAGE(Tabel1[[#This Row],[In - A1a]:[In - A1b]]),"")</f>
        <v>3.5</v>
      </c>
      <c r="DO62" s="14">
        <v>4</v>
      </c>
      <c r="DP62" s="14">
        <v>3</v>
      </c>
      <c r="DQ62" s="14">
        <f>IFERROR(AVERAGE(Tabel1[[#This Row],[In - A2a]:[In - A2b]]),"")</f>
        <v>3.5</v>
      </c>
      <c r="DR62" s="14">
        <v>5</v>
      </c>
      <c r="DS62" s="14">
        <v>3</v>
      </c>
      <c r="DT62" s="14">
        <f>IFERROR(AVERAGE(Tabel1[[#This Row],[In - A3a]:[In - A3a]]),"")</f>
        <v>5</v>
      </c>
      <c r="DU62" s="14">
        <v>3</v>
      </c>
      <c r="DV62" s="14">
        <f>IFERROR(AVERAGE(Tabel1[[#This Row],[In - A1]],Tabel1[[#This Row],[In - A2]],Tabel1[[#This Row],[In - A3]],Tabel1[[#This Row],[In - A4]]),"")</f>
        <v>3.75</v>
      </c>
      <c r="DW62" s="14">
        <v>3</v>
      </c>
      <c r="DX62" s="14">
        <v>4</v>
      </c>
      <c r="DY62" s="14">
        <v>3</v>
      </c>
      <c r="DZ62" s="14">
        <f>IFERROR(AVERAGE(Tabel1[[#This Row],[Do - R1a]:[Do - R1c]]),"")</f>
        <v>3.3333333333333335</v>
      </c>
      <c r="EA62" s="14">
        <v>3</v>
      </c>
      <c r="EB62" s="14">
        <v>2</v>
      </c>
      <c r="EC62" s="14">
        <v>1</v>
      </c>
      <c r="ED62" s="14" t="s">
        <v>189</v>
      </c>
      <c r="EE62" s="14">
        <f>IFERROR(AVERAGE(Tabel1[[#This Row],[Do - R1]:[Do - R5]]),"")</f>
        <v>2.3333333333333335</v>
      </c>
      <c r="EF62" s="14">
        <v>3</v>
      </c>
      <c r="EG62" s="14" t="s">
        <v>189</v>
      </c>
      <c r="EH62" s="14" t="s">
        <v>189</v>
      </c>
      <c r="EI62" s="14">
        <f>IFERROR(AVERAGE(Tabel1[[#This Row],[Do - C1a]:[Do - C1c]]),"")</f>
        <v>3</v>
      </c>
      <c r="EJ62" s="14">
        <v>4</v>
      </c>
      <c r="EK62" s="14">
        <v>2</v>
      </c>
      <c r="EL62" s="14">
        <v>3</v>
      </c>
      <c r="EM62" s="14">
        <f>IFERROR(AVERAGE(Tabel1[[#This Row],[Do - C1]:[Do - C4]]),"")</f>
        <v>3</v>
      </c>
      <c r="EN62" s="14">
        <v>3</v>
      </c>
      <c r="EO62" s="14">
        <v>2</v>
      </c>
      <c r="EP62" s="14">
        <v>2</v>
      </c>
      <c r="EQ62" s="14">
        <f>IFERROR(AVERAGE(Tabel1[[#This Row],[Do - F1a]:[Do - F1c]]),"")</f>
        <v>2.3333333333333335</v>
      </c>
      <c r="ER62" s="14">
        <v>2</v>
      </c>
      <c r="ES62" s="14">
        <f>IFERROR(AVERAGE(Tabel1[[#This Row],[Do - F2a]:[Do - F2a]]),"")</f>
        <v>2</v>
      </c>
      <c r="ET62" s="14">
        <v>2</v>
      </c>
      <c r="EU62" s="14">
        <v>2</v>
      </c>
      <c r="EV62" s="14">
        <f>IFERROR(AVERAGE(Tabel1[[#This Row],[Do - F3a]:[Do - F3b]]),"")</f>
        <v>2</v>
      </c>
      <c r="EW62" s="14" t="s">
        <v>189</v>
      </c>
      <c r="EX62" s="14">
        <f>IFERROR(AVERAGE(Tabel1[[#This Row],[Do - F1]],Tabel1[[#This Row],[Do - F2]],Tabel1[[#This Row],[Do - F3]],Tabel1[[#This Row],[Do - F4]]),"")</f>
        <v>2.1111111111111112</v>
      </c>
      <c r="EY62" s="14">
        <v>4</v>
      </c>
      <c r="EZ62" s="14">
        <v>4</v>
      </c>
      <c r="FA62" s="14">
        <v>3</v>
      </c>
      <c r="FB62" s="14">
        <f>IFERROR(AVERAGE(Tabel1[[#This Row],[Do - V1a]:[Do - V1c]]),"")</f>
        <v>3.6666666666666665</v>
      </c>
      <c r="FC62" s="14">
        <v>4</v>
      </c>
      <c r="FD62" s="14">
        <v>2</v>
      </c>
      <c r="FE62" s="14">
        <f>IFERROR(AVERAGE(Tabel1[[#This Row],[Do - V2a]:[Do - V2b]]),"")</f>
        <v>3</v>
      </c>
      <c r="FF62" s="14">
        <v>3</v>
      </c>
      <c r="FG62" s="14">
        <f>IFERROR(AVERAGE(Tabel1[[#This Row],[Do - V3a]:[Do - V3a]]),"")</f>
        <v>3</v>
      </c>
      <c r="FH62" s="14">
        <v>4</v>
      </c>
      <c r="FI62" s="14">
        <f>IFERROR(AVERAGE(Tabel1[[#This Row],[Do - V1]],Tabel1[[#This Row],[Do - V2]],Tabel1[[#This Row],[Do - V3]],Tabel1[[#This Row],[Do - V4]]),"")</f>
        <v>3.4166666666666665</v>
      </c>
      <c r="FJ62" s="14">
        <v>4</v>
      </c>
      <c r="FK62" s="14">
        <v>3</v>
      </c>
      <c r="FL62" s="14">
        <v>4</v>
      </c>
      <c r="FM62" s="14">
        <f>IFERROR(AVERAGE(Tabel1[[#This Row],[Do - A1a]:[Do - A1c]]),"")</f>
        <v>3.6666666666666665</v>
      </c>
      <c r="FN62" s="14">
        <v>4</v>
      </c>
      <c r="FO62" s="14">
        <v>3</v>
      </c>
      <c r="FP62" s="14">
        <f>IFERROR(AVERAGE(Tabel1[[#This Row],[Do - A2a]:[Do - A2b]]),"")</f>
        <v>3.5</v>
      </c>
      <c r="FQ62" s="14">
        <v>4</v>
      </c>
      <c r="FR62" s="14">
        <f>IFERROR(AVERAGE(Tabel1[[#This Row],[Do - A3a]:[Do - A3a]]),"")</f>
        <v>4</v>
      </c>
      <c r="FS62" s="14">
        <v>3</v>
      </c>
      <c r="FT62" s="14">
        <f>IFERROR(AVERAGE(Tabel1[[#This Row],[Do - A1]],Tabel1[[#This Row],[Do - A2]],Tabel1[[#This Row],[Do - A3]],Tabel1[[#This Row],[Do - A4]]),"")</f>
        <v>3.5416666666666665</v>
      </c>
      <c r="FU6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3.0629629629629629</v>
      </c>
      <c r="FV62" s="16" t="s">
        <v>501</v>
      </c>
      <c r="FW62" t="b">
        <v>1</v>
      </c>
    </row>
    <row r="63" spans="1:179" x14ac:dyDescent="0.3">
      <c r="A63" s="13">
        <v>44932.564247685186</v>
      </c>
      <c r="B63" t="b">
        <v>0</v>
      </c>
      <c r="C63" s="14" t="s">
        <v>502</v>
      </c>
      <c r="D63" s="14" t="s">
        <v>503</v>
      </c>
      <c r="E63" s="14" t="s">
        <v>280</v>
      </c>
      <c r="F63" s="14" t="s">
        <v>184</v>
      </c>
      <c r="G63" s="14" t="s">
        <v>504</v>
      </c>
      <c r="H63" s="14" t="s">
        <v>222</v>
      </c>
      <c r="I63" s="14" t="s">
        <v>243</v>
      </c>
      <c r="J63" s="14" t="s">
        <v>248</v>
      </c>
      <c r="K63" s="14" t="s">
        <v>235</v>
      </c>
      <c r="L63" s="14" t="s">
        <v>218</v>
      </c>
      <c r="M63" s="14" t="s">
        <v>281</v>
      </c>
      <c r="N63" s="14" t="s">
        <v>316</v>
      </c>
      <c r="O63" s="14" t="s">
        <v>200</v>
      </c>
      <c r="P63" s="14" t="s">
        <v>203</v>
      </c>
      <c r="Q63" s="14" t="s">
        <v>235</v>
      </c>
      <c r="R63" s="14" t="s">
        <v>187</v>
      </c>
      <c r="S63" s="14" t="s">
        <v>187</v>
      </c>
      <c r="T63" s="14" t="s">
        <v>284</v>
      </c>
      <c r="U63" s="14" t="s">
        <v>205</v>
      </c>
      <c r="V63" s="14" t="s">
        <v>224</v>
      </c>
      <c r="W63" s="14" t="s">
        <v>207</v>
      </c>
      <c r="X63" s="14" t="s">
        <v>306</v>
      </c>
      <c r="Y63" s="14">
        <v>4</v>
      </c>
      <c r="Z63" s="14">
        <v>5</v>
      </c>
      <c r="AA63" s="14">
        <v>4</v>
      </c>
      <c r="AB63" s="15">
        <f>IFERROR(AVERAGE(Tabel1[[#This Row],[Up - R1a]:[Up - R1c]]),"")</f>
        <v>4.333333333333333</v>
      </c>
      <c r="AC63" s="14">
        <v>2</v>
      </c>
      <c r="AD63" s="14">
        <v>4</v>
      </c>
      <c r="AE63" s="14">
        <v>3</v>
      </c>
      <c r="AF63" s="14">
        <v>4</v>
      </c>
      <c r="AG63" s="14">
        <f>IFERROR(AVERAGE(Tabel1[[#This Row],[Up - R1]:[Up - R5]]),"")</f>
        <v>3.4666666666666663</v>
      </c>
      <c r="AH63" s="14">
        <v>4</v>
      </c>
      <c r="AI63" s="14">
        <v>4</v>
      </c>
      <c r="AJ63" s="14">
        <v>2</v>
      </c>
      <c r="AK63" s="14">
        <f>IFERROR(AVERAGE(Tabel1[[#This Row],[Up - C1a]:[Up - C1c]]),"")</f>
        <v>3.3333333333333335</v>
      </c>
      <c r="AL63" s="14">
        <v>4</v>
      </c>
      <c r="AM63" s="14">
        <v>3</v>
      </c>
      <c r="AN63" s="14">
        <v>3</v>
      </c>
      <c r="AO63" s="14">
        <f>IFERROR(AVERAGE(Tabel1[[#This Row],[Up - C1]:[Up - C4]]),"")</f>
        <v>3.3333333333333335</v>
      </c>
      <c r="AP63" s="14">
        <v>2</v>
      </c>
      <c r="AQ63" s="14">
        <f>IFERROR(AVERAGE(Tabel1[[#This Row],[Up - F1a]:[Up - F1a]]),"")</f>
        <v>2</v>
      </c>
      <c r="AR63" s="14">
        <v>3</v>
      </c>
      <c r="AS63" s="14">
        <v>4</v>
      </c>
      <c r="AT63" s="14">
        <f>IFERROR(AVERAGE(Tabel1[[#This Row],[Up - F2a]:[Up - F2b]]),"")</f>
        <v>3.5</v>
      </c>
      <c r="AU63" s="14">
        <v>2</v>
      </c>
      <c r="AV63" s="14">
        <v>2</v>
      </c>
      <c r="AW63" s="14">
        <f>IFERROR(AVERAGE(Tabel1[[#This Row],[Up - F3a]:[Up - F3b]]),"")</f>
        <v>2</v>
      </c>
      <c r="AX63" s="14">
        <v>3</v>
      </c>
      <c r="AY63" s="14">
        <f>IFERROR(AVERAGE(Tabel1[[#This Row],[Up - F1]],Tabel1[[#This Row],[Up - F2]],Tabel1[[#This Row],[Up - F3]],Tabel1[[#This Row],[Up - F4]]),"")</f>
        <v>2.625</v>
      </c>
      <c r="AZ63" s="14">
        <v>4</v>
      </c>
      <c r="BA63" s="14">
        <v>5</v>
      </c>
      <c r="BB63" s="14">
        <f>IFERROR(AVERAGE(Tabel1[[#This Row],[Up - V1a]:[Up - V1b]]),"")</f>
        <v>4.5</v>
      </c>
      <c r="BC63" s="14">
        <v>5</v>
      </c>
      <c r="BD63" s="14">
        <v>4</v>
      </c>
      <c r="BE63" s="14">
        <v>4</v>
      </c>
      <c r="BF63" s="14">
        <f>IFERROR(AVERAGE(Tabel1[[#This Row],[Up - V2a]:[Up - V2c]]),"")</f>
        <v>4.333333333333333</v>
      </c>
      <c r="BG63" s="14">
        <v>4</v>
      </c>
      <c r="BH63" s="14">
        <v>4</v>
      </c>
      <c r="BI63" s="14">
        <f>IFERROR(AVERAGE(Tabel1[[#This Row],[Up - V3a]:[Up - V3b]]),"")</f>
        <v>4</v>
      </c>
      <c r="BJ63" s="14">
        <v>4</v>
      </c>
      <c r="BK63" s="14">
        <f>IFERROR(AVERAGE(Tabel1[[#This Row],[Up - V1]],Tabel1[[#This Row],[Up - V2]],Tabel1[[#This Row],[Up - V3]],Tabel1[[#This Row],[Up - V4]]),"")</f>
        <v>4.208333333333333</v>
      </c>
      <c r="BL63" s="14">
        <v>3</v>
      </c>
      <c r="BM63" s="14">
        <v>3</v>
      </c>
      <c r="BN63" s="14">
        <v>4</v>
      </c>
      <c r="BO63" s="14">
        <v>4</v>
      </c>
      <c r="BP63" s="14">
        <f>IFERROR(AVERAGE(Tabel1[[#This Row],[Up - A1a]:[Up - A1d]]),"")</f>
        <v>3.5</v>
      </c>
      <c r="BQ63" s="14">
        <v>4</v>
      </c>
      <c r="BR63" s="14">
        <v>2</v>
      </c>
      <c r="BS63" s="14">
        <f>IFERROR(AVERAGE(Tabel1[[#This Row],[Up - A2a]:[Up - A2b]]),"")</f>
        <v>3</v>
      </c>
      <c r="BT63" s="14">
        <v>4</v>
      </c>
      <c r="BU63" s="14">
        <f>IFERROR(AVERAGE(Tabel1[[#This Row],[Up - A3a]:[Up - A3a]]),"")</f>
        <v>4</v>
      </c>
      <c r="BV63" s="14">
        <v>3</v>
      </c>
      <c r="BW63" s="14">
        <f>IFERROR(AVERAGE(Tabel1[[#This Row],[Up - A1]],Tabel1[[#This Row],[Up - A2]],Tabel1[[#This Row],[Up - A3]]),"")</f>
        <v>3.5</v>
      </c>
      <c r="BX63" s="14">
        <v>4</v>
      </c>
      <c r="BY63" s="14">
        <v>5</v>
      </c>
      <c r="BZ63" s="14">
        <f>IFERROR(AVERAGE(Tabel1[[#This Row],[In - R1a]:[In - R1b]]),"")</f>
        <v>4.5</v>
      </c>
      <c r="CA63" s="14">
        <v>5</v>
      </c>
      <c r="CB63" s="14">
        <v>5</v>
      </c>
      <c r="CC63" s="14">
        <v>3</v>
      </c>
      <c r="CD63" s="14">
        <v>5</v>
      </c>
      <c r="CE63" s="14">
        <f>IFERROR(AVERAGE(Tabel1[[#This Row],[In - R1]:[In - R5]]),"")</f>
        <v>4.5</v>
      </c>
      <c r="CF63" s="14">
        <v>4</v>
      </c>
      <c r="CG63" s="14">
        <v>5</v>
      </c>
      <c r="CH63" s="14">
        <v>5</v>
      </c>
      <c r="CI63" s="14">
        <f>IFERROR(AVERAGE(Tabel1[[#This Row],[In - C1a]:[In - C1c]]),"")</f>
        <v>4.666666666666667</v>
      </c>
      <c r="CJ63" s="14">
        <v>5</v>
      </c>
      <c r="CK63" s="14">
        <v>4</v>
      </c>
      <c r="CL63" s="14">
        <v>4</v>
      </c>
      <c r="CM63" s="14">
        <f>IFERROR(AVERAGE(Tabel1[[#This Row],[In - C1]:[In - C4]]),"")</f>
        <v>4.416666666666667</v>
      </c>
      <c r="CN63" s="14">
        <v>3</v>
      </c>
      <c r="CO63" s="14">
        <v>4</v>
      </c>
      <c r="CP63" s="14">
        <v>3</v>
      </c>
      <c r="CQ63" s="14">
        <f>IFERROR(AVERAGE(Tabel1[[#This Row],[In - F1a]:[In - F1c]]),"")</f>
        <v>3.3333333333333335</v>
      </c>
      <c r="CR63" s="14">
        <v>2</v>
      </c>
      <c r="CS63" s="14">
        <v>2</v>
      </c>
      <c r="CT63" s="14">
        <f>IFERROR(AVERAGE(Tabel1[[#This Row],[In - F2a]:[In - F2b]]),"")</f>
        <v>2</v>
      </c>
      <c r="CU63" s="14">
        <v>3</v>
      </c>
      <c r="CV63" s="14">
        <f>IFERROR(AVERAGE(Tabel1[[#This Row],[In - F3a]:[In - F3a]]),"")</f>
        <v>3</v>
      </c>
      <c r="CW63" s="14">
        <v>3</v>
      </c>
      <c r="CX63" s="14">
        <f>IFERROR(AVERAGE(Tabel1[[#This Row],[In - F1]],Tabel1[[#This Row],[In - F2]],Tabel1[[#This Row],[In - F3]],Tabel1[[#This Row],[In - F4]]),"")</f>
        <v>2.8333333333333335</v>
      </c>
      <c r="CY63" s="14">
        <v>5</v>
      </c>
      <c r="CZ63" s="14">
        <v>5</v>
      </c>
      <c r="DA63" s="14">
        <v>5</v>
      </c>
      <c r="DB63" s="14">
        <f>IFERROR(AVERAGE(Tabel1[[#This Row],[In - V1a]:[In - V1c]]),"")</f>
        <v>5</v>
      </c>
      <c r="DC63" s="14">
        <v>5</v>
      </c>
      <c r="DD63" s="14">
        <v>4</v>
      </c>
      <c r="DE63" s="14">
        <v>4</v>
      </c>
      <c r="DF63" s="14">
        <f>IFERROR(AVERAGE(Tabel1[[#This Row],[In - V2a]:[In - V2c]]),"")</f>
        <v>4.333333333333333</v>
      </c>
      <c r="DG63" s="14">
        <v>5</v>
      </c>
      <c r="DH63" s="14">
        <v>5</v>
      </c>
      <c r="DI63" s="14">
        <f>IFERROR(AVERAGE(Tabel1[[#This Row],[In - V3a]:[In - V3b]]),"")</f>
        <v>5</v>
      </c>
      <c r="DJ63" s="14">
        <v>5</v>
      </c>
      <c r="DK63" s="14">
        <f>IFERROR(AVERAGE(Tabel1[[#This Row],[In - V1]],Tabel1[[#This Row],[In - V2]],Tabel1[[#This Row],[In - V3]],Tabel1[[#This Row],[In - V4]]),"")</f>
        <v>4.833333333333333</v>
      </c>
      <c r="DL63" s="14">
        <v>4</v>
      </c>
      <c r="DM63" s="14">
        <v>4</v>
      </c>
      <c r="DN63" s="14">
        <f>IFERROR(AVERAGE(Tabel1[[#This Row],[In - A1a]:[In - A1b]]),"")</f>
        <v>4</v>
      </c>
      <c r="DO63" s="14">
        <v>4</v>
      </c>
      <c r="DP63" s="14">
        <v>4</v>
      </c>
      <c r="DQ63" s="14">
        <f>IFERROR(AVERAGE(Tabel1[[#This Row],[In - A2a]:[In - A2b]]),"")</f>
        <v>4</v>
      </c>
      <c r="DR63" s="14">
        <v>5</v>
      </c>
      <c r="DS63" s="14">
        <v>4</v>
      </c>
      <c r="DT63" s="14">
        <f>IFERROR(AVERAGE(Tabel1[[#This Row],[In - A3a]:[In - A3a]]),"")</f>
        <v>5</v>
      </c>
      <c r="DU63" s="14">
        <v>3</v>
      </c>
      <c r="DV63" s="14">
        <f>IFERROR(AVERAGE(Tabel1[[#This Row],[In - A1]],Tabel1[[#This Row],[In - A2]],Tabel1[[#This Row],[In - A3]],Tabel1[[#This Row],[In - A4]]),"")</f>
        <v>4</v>
      </c>
      <c r="DW63" s="14">
        <v>4</v>
      </c>
      <c r="DX63" s="14">
        <v>5</v>
      </c>
      <c r="DY63" s="14">
        <v>5</v>
      </c>
      <c r="DZ63" s="14">
        <f>IFERROR(AVERAGE(Tabel1[[#This Row],[Do - R1a]:[Do - R1c]]),"")</f>
        <v>4.666666666666667</v>
      </c>
      <c r="EA63" s="14">
        <v>1</v>
      </c>
      <c r="EB63" s="14">
        <v>1</v>
      </c>
      <c r="EC63" s="14">
        <v>1</v>
      </c>
      <c r="ED63" s="14">
        <v>1</v>
      </c>
      <c r="EE63" s="14">
        <f>IFERROR(AVERAGE(Tabel1[[#This Row],[Do - R1]:[Do - R5]]),"")</f>
        <v>1.7333333333333336</v>
      </c>
      <c r="EF63" s="14">
        <v>3</v>
      </c>
      <c r="EG63" s="14">
        <v>4</v>
      </c>
      <c r="EH63" s="14">
        <v>4</v>
      </c>
      <c r="EI63" s="14">
        <f>IFERROR(AVERAGE(Tabel1[[#This Row],[Do - C1a]:[Do - C1c]]),"")</f>
        <v>3.6666666666666665</v>
      </c>
      <c r="EJ63" s="14">
        <v>1</v>
      </c>
      <c r="EK63" s="14">
        <v>2</v>
      </c>
      <c r="EL63" s="14">
        <v>3</v>
      </c>
      <c r="EM63" s="14">
        <f>IFERROR(AVERAGE(Tabel1[[#This Row],[Do - C1]:[Do - C4]]),"")</f>
        <v>2.4166666666666665</v>
      </c>
      <c r="EN63" s="14">
        <v>4</v>
      </c>
      <c r="EO63" s="14">
        <v>4</v>
      </c>
      <c r="EP63" s="14">
        <v>4</v>
      </c>
      <c r="EQ63" s="14">
        <f>IFERROR(AVERAGE(Tabel1[[#This Row],[Do - F1a]:[Do - F1c]]),"")</f>
        <v>4</v>
      </c>
      <c r="ER63" s="14">
        <v>4</v>
      </c>
      <c r="ES63" s="14">
        <f>IFERROR(AVERAGE(Tabel1[[#This Row],[Do - F2a]:[Do - F2a]]),"")</f>
        <v>4</v>
      </c>
      <c r="ET63" s="14">
        <v>4</v>
      </c>
      <c r="EU63" s="14">
        <v>4</v>
      </c>
      <c r="EV63" s="14">
        <f>IFERROR(AVERAGE(Tabel1[[#This Row],[Do - F3a]:[Do - F3b]]),"")</f>
        <v>4</v>
      </c>
      <c r="EW63" s="14">
        <v>3</v>
      </c>
      <c r="EX63" s="14">
        <f>IFERROR(AVERAGE(Tabel1[[#This Row],[Do - F1]],Tabel1[[#This Row],[Do - F2]],Tabel1[[#This Row],[Do - F3]],Tabel1[[#This Row],[Do - F4]]),"")</f>
        <v>3.75</v>
      </c>
      <c r="EY63" s="14">
        <v>3</v>
      </c>
      <c r="EZ63" s="14">
        <v>1</v>
      </c>
      <c r="FA63" s="14">
        <v>5</v>
      </c>
      <c r="FB63" s="14">
        <f>IFERROR(AVERAGE(Tabel1[[#This Row],[Do - V1a]:[Do - V1c]]),"")</f>
        <v>3</v>
      </c>
      <c r="FC63" s="14">
        <v>4</v>
      </c>
      <c r="FD63" s="14">
        <v>1</v>
      </c>
      <c r="FE63" s="14">
        <f>IFERROR(AVERAGE(Tabel1[[#This Row],[Do - V2a]:[Do - V2b]]),"")</f>
        <v>2.5</v>
      </c>
      <c r="FF63" s="14">
        <v>5</v>
      </c>
      <c r="FG63" s="14">
        <f>IFERROR(AVERAGE(Tabel1[[#This Row],[Do - V3a]:[Do - V3a]]),"")</f>
        <v>5</v>
      </c>
      <c r="FH63" s="14">
        <v>4</v>
      </c>
      <c r="FI63" s="14">
        <f>IFERROR(AVERAGE(Tabel1[[#This Row],[Do - V1]],Tabel1[[#This Row],[Do - V2]],Tabel1[[#This Row],[Do - V3]],Tabel1[[#This Row],[Do - V4]]),"")</f>
        <v>3.625</v>
      </c>
      <c r="FJ63" s="14">
        <v>4</v>
      </c>
      <c r="FK63" s="14">
        <v>5</v>
      </c>
      <c r="FL63" s="14">
        <v>5</v>
      </c>
      <c r="FM63" s="14">
        <f>IFERROR(AVERAGE(Tabel1[[#This Row],[Do - A1a]:[Do - A1c]]),"")</f>
        <v>4.666666666666667</v>
      </c>
      <c r="FN63" s="14">
        <v>5</v>
      </c>
      <c r="FO63" s="14">
        <v>3</v>
      </c>
      <c r="FP63" s="14">
        <f>IFERROR(AVERAGE(Tabel1[[#This Row],[Do - A2a]:[Do - A2b]]),"")</f>
        <v>4</v>
      </c>
      <c r="FQ63" s="14">
        <v>4</v>
      </c>
      <c r="FR63" s="14">
        <f>IFERROR(AVERAGE(Tabel1[[#This Row],[Do - A3a]:[Do - A3a]]),"")</f>
        <v>4</v>
      </c>
      <c r="FS63" s="14">
        <v>3</v>
      </c>
      <c r="FT63" s="14">
        <f>IFERROR(AVERAGE(Tabel1[[#This Row],[Do - A1]],Tabel1[[#This Row],[Do - A2]],Tabel1[[#This Row],[Do - A3]],Tabel1[[#This Row],[Do - A4]]),"")</f>
        <v>3.916666666666667</v>
      </c>
      <c r="FU6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3.5438888888888886</v>
      </c>
      <c r="FV63" s="16" t="s">
        <v>505</v>
      </c>
      <c r="FW63" t="b">
        <v>1</v>
      </c>
    </row>
    <row r="64" spans="1:179" x14ac:dyDescent="0.3">
      <c r="A64" s="13">
        <v>44935.582326388889</v>
      </c>
      <c r="B64" t="b">
        <v>0</v>
      </c>
      <c r="C64" s="14" t="s">
        <v>506</v>
      </c>
      <c r="D64" s="14" t="s">
        <v>507</v>
      </c>
      <c r="E64" s="14" t="s">
        <v>508</v>
      </c>
      <c r="F64" s="14" t="s">
        <v>184</v>
      </c>
      <c r="G64" s="14" t="s">
        <v>509</v>
      </c>
      <c r="H64" s="14" t="s">
        <v>222</v>
      </c>
      <c r="I64" s="14" t="s">
        <v>195</v>
      </c>
      <c r="J64" s="14" t="s">
        <v>261</v>
      </c>
      <c r="K64" s="14" t="s">
        <v>187</v>
      </c>
      <c r="L64" s="14" t="s">
        <v>197</v>
      </c>
      <c r="M64" s="14" t="s">
        <v>188</v>
      </c>
      <c r="N64" s="14" t="s">
        <v>262</v>
      </c>
      <c r="O64" s="14" t="s">
        <v>200</v>
      </c>
      <c r="P64" s="17" t="s">
        <v>255</v>
      </c>
      <c r="Q64" s="14" t="s">
        <v>235</v>
      </c>
      <c r="R64" s="14" t="s">
        <v>235</v>
      </c>
      <c r="S64" s="14" t="s">
        <v>187</v>
      </c>
      <c r="T64" s="14" t="s">
        <v>236</v>
      </c>
      <c r="U64" s="14" t="s">
        <v>237</v>
      </c>
      <c r="V64" s="14" t="s">
        <v>224</v>
      </c>
      <c r="W64" s="14" t="s">
        <v>207</v>
      </c>
      <c r="X64" s="14" t="s">
        <v>207</v>
      </c>
      <c r="Y64" s="14">
        <v>3</v>
      </c>
      <c r="Z64" s="14">
        <v>5</v>
      </c>
      <c r="AA64" s="14" t="s">
        <v>189</v>
      </c>
      <c r="AB64" s="15">
        <f>IFERROR(AVERAGE(Tabel1[[#This Row],[Up - R1a]:[Up - R1c]]),"")</f>
        <v>4</v>
      </c>
      <c r="AC64" s="14">
        <v>4</v>
      </c>
      <c r="AD64" s="14">
        <v>3</v>
      </c>
      <c r="AE64" s="14">
        <v>1</v>
      </c>
      <c r="AF64" s="14">
        <v>3</v>
      </c>
      <c r="AG64" s="14">
        <f>IFERROR(AVERAGE(Tabel1[[#This Row],[Up - R1]:[Up - R5]]),"")</f>
        <v>3</v>
      </c>
      <c r="AH64" s="14">
        <v>3</v>
      </c>
      <c r="AI64" s="14">
        <v>3</v>
      </c>
      <c r="AJ64" s="14">
        <v>2</v>
      </c>
      <c r="AK64" s="14">
        <f>IFERROR(AVERAGE(Tabel1[[#This Row],[Up - C1a]:[Up - C1c]]),"")</f>
        <v>2.6666666666666665</v>
      </c>
      <c r="AL64" s="14">
        <v>3</v>
      </c>
      <c r="AM64" s="14">
        <v>3</v>
      </c>
      <c r="AN64" s="14">
        <v>1</v>
      </c>
      <c r="AO64" s="14">
        <f>IFERROR(AVERAGE(Tabel1[[#This Row],[Up - C1]:[Up - C4]]),"")</f>
        <v>2.4166666666666665</v>
      </c>
      <c r="AP64" s="14">
        <v>5</v>
      </c>
      <c r="AQ64" s="14">
        <f>IFERROR(AVERAGE(Tabel1[[#This Row],[Up - F1a]:[Up - F1a]]),"")</f>
        <v>5</v>
      </c>
      <c r="AR64" s="14">
        <v>3</v>
      </c>
      <c r="AS64" s="14">
        <v>2</v>
      </c>
      <c r="AT64" s="14">
        <f>IFERROR(AVERAGE(Tabel1[[#This Row],[Up - F2a]:[Up - F2b]]),"")</f>
        <v>2.5</v>
      </c>
      <c r="AU64" s="14">
        <v>2</v>
      </c>
      <c r="AV64" s="14" t="s">
        <v>189</v>
      </c>
      <c r="AW64" s="14">
        <f>IFERROR(AVERAGE(Tabel1[[#This Row],[Up - F3a]:[Up - F3b]]),"")</f>
        <v>2</v>
      </c>
      <c r="AX64" s="14">
        <v>2</v>
      </c>
      <c r="AY64" s="14">
        <f>IFERROR(AVERAGE(Tabel1[[#This Row],[Up - F1]],Tabel1[[#This Row],[Up - F2]],Tabel1[[#This Row],[Up - F3]],Tabel1[[#This Row],[Up - F4]]),"")</f>
        <v>2.875</v>
      </c>
      <c r="AZ64" s="14">
        <v>3</v>
      </c>
      <c r="BA64" s="14">
        <v>4</v>
      </c>
      <c r="BB64" s="14">
        <f>IFERROR(AVERAGE(Tabel1[[#This Row],[Up - V1a]:[Up - V1b]]),"")</f>
        <v>3.5</v>
      </c>
      <c r="BC64" s="14">
        <v>4</v>
      </c>
      <c r="BD64" s="14">
        <v>2</v>
      </c>
      <c r="BE64" s="14">
        <v>4</v>
      </c>
      <c r="BF64" s="14">
        <f>IFERROR(AVERAGE(Tabel1[[#This Row],[Up - V2a]:[Up - V2c]]),"")</f>
        <v>3.3333333333333335</v>
      </c>
      <c r="BG64" s="14">
        <v>2</v>
      </c>
      <c r="BH64" s="14" t="s">
        <v>189</v>
      </c>
      <c r="BI64" s="14">
        <f>IFERROR(AVERAGE(Tabel1[[#This Row],[Up - V3a]:[Up - V3b]]),"")</f>
        <v>2</v>
      </c>
      <c r="BJ64" s="14">
        <v>3</v>
      </c>
      <c r="BK64" s="14">
        <f>IFERROR(AVERAGE(Tabel1[[#This Row],[Up - V1]],Tabel1[[#This Row],[Up - V2]],Tabel1[[#This Row],[Up - V3]],Tabel1[[#This Row],[Up - V4]]),"")</f>
        <v>2.9583333333333335</v>
      </c>
      <c r="BL64" s="14">
        <v>3</v>
      </c>
      <c r="BM64" s="14">
        <v>4</v>
      </c>
      <c r="BN64" s="14">
        <v>4</v>
      </c>
      <c r="BO64" s="14">
        <v>3</v>
      </c>
      <c r="BP64" s="14">
        <f>IFERROR(AVERAGE(Tabel1[[#This Row],[Up - A1a]:[Up - A1d]]),"")</f>
        <v>3.5</v>
      </c>
      <c r="BQ64" s="14">
        <v>3</v>
      </c>
      <c r="BR64" s="14">
        <v>3</v>
      </c>
      <c r="BS64" s="14">
        <f>IFERROR(AVERAGE(Tabel1[[#This Row],[Up - A2a]:[Up - A2b]]),"")</f>
        <v>3</v>
      </c>
      <c r="BT64" s="14">
        <v>4</v>
      </c>
      <c r="BU64" s="14">
        <f>IFERROR(AVERAGE(Tabel1[[#This Row],[Up - A3a]:[Up - A3a]]),"")</f>
        <v>4</v>
      </c>
      <c r="BV64" s="14">
        <v>3</v>
      </c>
      <c r="BW64" s="14">
        <f>IFERROR(AVERAGE(Tabel1[[#This Row],[Up - A1]],Tabel1[[#This Row],[Up - A2]],Tabel1[[#This Row],[Up - A3]]),"")</f>
        <v>3.5</v>
      </c>
      <c r="BX64" s="14">
        <v>3</v>
      </c>
      <c r="BY64" s="14">
        <v>5</v>
      </c>
      <c r="BZ64" s="14">
        <f>IFERROR(AVERAGE(Tabel1[[#This Row],[In - R1a]:[In - R1b]]),"")</f>
        <v>4</v>
      </c>
      <c r="CA64" s="14">
        <v>5</v>
      </c>
      <c r="CB64" s="14">
        <v>2</v>
      </c>
      <c r="CC64" s="14">
        <v>1</v>
      </c>
      <c r="CD64" s="14">
        <v>5</v>
      </c>
      <c r="CE64" s="14">
        <f>IFERROR(AVERAGE(Tabel1[[#This Row],[In - R1]:[In - R5]]),"")</f>
        <v>3.4</v>
      </c>
      <c r="CF64" s="14">
        <v>5</v>
      </c>
      <c r="CG64" s="14">
        <v>5</v>
      </c>
      <c r="CH64" s="14">
        <v>4</v>
      </c>
      <c r="CI64" s="14">
        <f>IFERROR(AVERAGE(Tabel1[[#This Row],[In - C1a]:[In - C1c]]),"")</f>
        <v>4.666666666666667</v>
      </c>
      <c r="CJ64" s="14">
        <v>4</v>
      </c>
      <c r="CK64" s="14" t="s">
        <v>189</v>
      </c>
      <c r="CL64" s="14">
        <v>4</v>
      </c>
      <c r="CM64" s="14">
        <f>IFERROR(AVERAGE(Tabel1[[#This Row],[In - C1]:[In - C4]]),"")</f>
        <v>4.2222222222222223</v>
      </c>
      <c r="CN64" s="14">
        <v>3</v>
      </c>
      <c r="CO64" s="14">
        <v>3</v>
      </c>
      <c r="CP64" s="14">
        <v>3</v>
      </c>
      <c r="CQ64" s="14">
        <f>IFERROR(AVERAGE(Tabel1[[#This Row],[In - F1a]:[In - F1c]]),"")</f>
        <v>3</v>
      </c>
      <c r="CR64" s="14">
        <v>4</v>
      </c>
      <c r="CS64" s="14">
        <v>2</v>
      </c>
      <c r="CT64" s="14">
        <f>IFERROR(AVERAGE(Tabel1[[#This Row],[In - F2a]:[In - F2b]]),"")</f>
        <v>3</v>
      </c>
      <c r="CU64" s="14">
        <v>1</v>
      </c>
      <c r="CV64" s="14">
        <f>IFERROR(AVERAGE(Tabel1[[#This Row],[In - F3a]:[In - F3a]]),"")</f>
        <v>1</v>
      </c>
      <c r="CW64" s="14">
        <v>3</v>
      </c>
      <c r="CX64" s="14">
        <f>IFERROR(AVERAGE(Tabel1[[#This Row],[In - F1]],Tabel1[[#This Row],[In - F2]],Tabel1[[#This Row],[In - F3]],Tabel1[[#This Row],[In - F4]]),"")</f>
        <v>2.5</v>
      </c>
      <c r="CY64" s="14">
        <v>5</v>
      </c>
      <c r="CZ64" s="14">
        <v>4</v>
      </c>
      <c r="DA64" s="14">
        <v>4</v>
      </c>
      <c r="DB64" s="14">
        <f>IFERROR(AVERAGE(Tabel1[[#This Row],[In - V1a]:[In - V1c]]),"")</f>
        <v>4.333333333333333</v>
      </c>
      <c r="DC64" s="14">
        <v>4</v>
      </c>
      <c r="DD64" s="14">
        <v>4</v>
      </c>
      <c r="DE64" s="14">
        <v>4</v>
      </c>
      <c r="DF64" s="14">
        <f>IFERROR(AVERAGE(Tabel1[[#This Row],[In - V2a]:[In - V2c]]),"")</f>
        <v>4</v>
      </c>
      <c r="DG64" s="14" t="s">
        <v>189</v>
      </c>
      <c r="DH64" s="14" t="s">
        <v>189</v>
      </c>
      <c r="DI64" s="14" t="str">
        <f>IFERROR(AVERAGE(Tabel1[[#This Row],[In - V3a]:[In - V3b]]),"")</f>
        <v/>
      </c>
      <c r="DJ64" s="14">
        <v>5</v>
      </c>
      <c r="DK64" s="14">
        <f>IFERROR(AVERAGE(Tabel1[[#This Row],[In - V1]],Tabel1[[#This Row],[In - V2]],Tabel1[[#This Row],[In - V3]],Tabel1[[#This Row],[In - V4]]),"")</f>
        <v>4.4444444444444438</v>
      </c>
      <c r="DL64" s="14">
        <v>3</v>
      </c>
      <c r="DM64" s="14">
        <v>5</v>
      </c>
      <c r="DN64" s="14">
        <f>IFERROR(AVERAGE(Tabel1[[#This Row],[In - A1a]:[In - A1b]]),"")</f>
        <v>4</v>
      </c>
      <c r="DO64" s="14">
        <v>3</v>
      </c>
      <c r="DP64" s="14">
        <v>4</v>
      </c>
      <c r="DQ64" s="14">
        <f>IFERROR(AVERAGE(Tabel1[[#This Row],[In - A2a]:[In - A2b]]),"")</f>
        <v>3.5</v>
      </c>
      <c r="DR64" s="14">
        <v>4</v>
      </c>
      <c r="DS64" s="14" t="s">
        <v>189</v>
      </c>
      <c r="DT64" s="14">
        <f>IFERROR(AVERAGE(Tabel1[[#This Row],[In - A3a]:[In - A3a]]),"")</f>
        <v>4</v>
      </c>
      <c r="DU64" s="14">
        <v>3</v>
      </c>
      <c r="DV64" s="14">
        <f>IFERROR(AVERAGE(Tabel1[[#This Row],[In - A1]],Tabel1[[#This Row],[In - A2]],Tabel1[[#This Row],[In - A3]],Tabel1[[#This Row],[In - A4]]),"")</f>
        <v>3.625</v>
      </c>
      <c r="DW64" s="14">
        <v>4</v>
      </c>
      <c r="DX64" s="14">
        <v>5</v>
      </c>
      <c r="DY64" s="14">
        <v>4</v>
      </c>
      <c r="DZ64" s="14">
        <f>IFERROR(AVERAGE(Tabel1[[#This Row],[Do - R1a]:[Do - R1c]]),"")</f>
        <v>4.333333333333333</v>
      </c>
      <c r="EA64" s="14" t="s">
        <v>189</v>
      </c>
      <c r="EB64" s="14">
        <v>3</v>
      </c>
      <c r="EC64" s="14">
        <v>1</v>
      </c>
      <c r="ED64" s="14">
        <v>5</v>
      </c>
      <c r="EE64" s="14">
        <f>IFERROR(AVERAGE(Tabel1[[#This Row],[Do - R1]:[Do - R5]]),"")</f>
        <v>3.333333333333333</v>
      </c>
      <c r="EF64" s="14">
        <v>3</v>
      </c>
      <c r="EG64" s="14">
        <v>3</v>
      </c>
      <c r="EH64" s="14" t="s">
        <v>189</v>
      </c>
      <c r="EI64" s="14">
        <f>IFERROR(AVERAGE(Tabel1[[#This Row],[Do - C1a]:[Do - C1c]]),"")</f>
        <v>3</v>
      </c>
      <c r="EJ64" s="14">
        <v>3</v>
      </c>
      <c r="EK64" s="14" t="s">
        <v>189</v>
      </c>
      <c r="EL64" s="14">
        <v>1</v>
      </c>
      <c r="EM64" s="14">
        <f>IFERROR(AVERAGE(Tabel1[[#This Row],[Do - C1]:[Do - C4]]),"")</f>
        <v>2.3333333333333335</v>
      </c>
      <c r="EN64" s="14">
        <v>1</v>
      </c>
      <c r="EO64" s="14">
        <v>1</v>
      </c>
      <c r="EP64" s="14">
        <v>5</v>
      </c>
      <c r="EQ64" s="14">
        <f>IFERROR(AVERAGE(Tabel1[[#This Row],[Do - F1a]:[Do - F1c]]),"")</f>
        <v>2.3333333333333335</v>
      </c>
      <c r="ER64" s="14">
        <v>3</v>
      </c>
      <c r="ES64" s="14">
        <f>IFERROR(AVERAGE(Tabel1[[#This Row],[Do - F2a]:[Do - F2a]]),"")</f>
        <v>3</v>
      </c>
      <c r="ET64" s="14">
        <v>3</v>
      </c>
      <c r="EU64" s="14">
        <v>1</v>
      </c>
      <c r="EV64" s="14">
        <f>IFERROR(AVERAGE(Tabel1[[#This Row],[Do - F3a]:[Do - F3b]]),"")</f>
        <v>2</v>
      </c>
      <c r="EW64" s="14">
        <v>2</v>
      </c>
      <c r="EX64" s="14">
        <f>IFERROR(AVERAGE(Tabel1[[#This Row],[Do - F1]],Tabel1[[#This Row],[Do - F2]],Tabel1[[#This Row],[Do - F3]],Tabel1[[#This Row],[Do - F4]]),"")</f>
        <v>2.3333333333333335</v>
      </c>
      <c r="EY64" s="14">
        <v>3</v>
      </c>
      <c r="EZ64" s="14">
        <v>1</v>
      </c>
      <c r="FA64" s="14">
        <v>4</v>
      </c>
      <c r="FB64" s="14">
        <f>IFERROR(AVERAGE(Tabel1[[#This Row],[Do - V1a]:[Do - V1c]]),"")</f>
        <v>2.6666666666666665</v>
      </c>
      <c r="FC64" s="14">
        <v>4</v>
      </c>
      <c r="FD64" s="14">
        <v>3</v>
      </c>
      <c r="FE64" s="14">
        <f>IFERROR(AVERAGE(Tabel1[[#This Row],[Do - V2a]:[Do - V2b]]),"")</f>
        <v>3.5</v>
      </c>
      <c r="FF64" s="14" t="s">
        <v>189</v>
      </c>
      <c r="FG64" s="14" t="str">
        <f>IFERROR(AVERAGE(Tabel1[[#This Row],[Do - V3a]:[Do - V3a]]),"")</f>
        <v/>
      </c>
      <c r="FH64" s="14">
        <v>3</v>
      </c>
      <c r="FI64" s="14">
        <f>IFERROR(AVERAGE(Tabel1[[#This Row],[Do - V1]],Tabel1[[#This Row],[Do - V2]],Tabel1[[#This Row],[Do - V3]],Tabel1[[#This Row],[Do - V4]]),"")</f>
        <v>3.0555555555555554</v>
      </c>
      <c r="FJ64" s="14">
        <v>4</v>
      </c>
      <c r="FK64" s="14">
        <v>3</v>
      </c>
      <c r="FL64" s="14">
        <v>4</v>
      </c>
      <c r="FM64" s="14">
        <f>IFERROR(AVERAGE(Tabel1[[#This Row],[Do - A1a]:[Do - A1c]]),"")</f>
        <v>3.6666666666666665</v>
      </c>
      <c r="FN64" s="14">
        <v>2</v>
      </c>
      <c r="FO64" s="14">
        <v>3</v>
      </c>
      <c r="FP64" s="14">
        <f>IFERROR(AVERAGE(Tabel1[[#This Row],[Do - A2a]:[Do - A2b]]),"")</f>
        <v>2.5</v>
      </c>
      <c r="FQ64" s="14">
        <v>3</v>
      </c>
      <c r="FR64" s="14">
        <f>IFERROR(AVERAGE(Tabel1[[#This Row],[Do - A3a]:[Do - A3a]]),"")</f>
        <v>3</v>
      </c>
      <c r="FS64" s="14">
        <v>3</v>
      </c>
      <c r="FT64" s="14">
        <f>IFERROR(AVERAGE(Tabel1[[#This Row],[Do - A1]],Tabel1[[#This Row],[Do - A2]],Tabel1[[#This Row],[Do - A3]],Tabel1[[#This Row],[Do - A4]]),"")</f>
        <v>3.0416666666666665</v>
      </c>
      <c r="FU6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3.135925925925926</v>
      </c>
      <c r="FV64" s="16" t="s">
        <v>510</v>
      </c>
      <c r="FW64" t="b">
        <v>1</v>
      </c>
    </row>
    <row r="65" spans="1:179" x14ac:dyDescent="0.3">
      <c r="A65" s="13">
        <v>44935.68891203704</v>
      </c>
      <c r="B65" t="b">
        <v>0</v>
      </c>
      <c r="C65" s="14" t="s">
        <v>511</v>
      </c>
      <c r="D65" s="14" t="s">
        <v>512</v>
      </c>
      <c r="E65" s="14" t="s">
        <v>492</v>
      </c>
      <c r="F65" s="14" t="s">
        <v>184</v>
      </c>
      <c r="G65" s="14" t="s">
        <v>513</v>
      </c>
      <c r="H65" s="14" t="s">
        <v>222</v>
      </c>
      <c r="I65" s="14" t="s">
        <v>195</v>
      </c>
      <c r="J65" s="14" t="s">
        <v>196</v>
      </c>
      <c r="K65" s="14" t="s">
        <v>235</v>
      </c>
      <c r="L65" s="14" t="s">
        <v>197</v>
      </c>
      <c r="M65" s="14" t="s">
        <v>233</v>
      </c>
      <c r="N65" s="14" t="s">
        <v>199</v>
      </c>
      <c r="O65" s="14" t="s">
        <v>200</v>
      </c>
      <c r="P65" s="17" t="s">
        <v>255</v>
      </c>
      <c r="Q65" s="14" t="s">
        <v>201</v>
      </c>
      <c r="R65" s="14" t="s">
        <v>201</v>
      </c>
      <c r="S65" s="14" t="s">
        <v>202</v>
      </c>
      <c r="T65" s="14" t="s">
        <v>204</v>
      </c>
      <c r="U65" s="14" t="s">
        <v>285</v>
      </c>
      <c r="V65" s="14" t="s">
        <v>359</v>
      </c>
      <c r="W65" s="14" t="s">
        <v>395</v>
      </c>
      <c r="X65" s="14" t="s">
        <v>207</v>
      </c>
      <c r="Y65" s="14">
        <v>3</v>
      </c>
      <c r="Z65" s="14">
        <v>2</v>
      </c>
      <c r="AA65" s="14" t="s">
        <v>189</v>
      </c>
      <c r="AB65" s="15">
        <f>IFERROR(AVERAGE(Tabel1[[#This Row],[Up - R1a]:[Up - R1c]]),"")</f>
        <v>2.5</v>
      </c>
      <c r="AC65" s="14">
        <v>3</v>
      </c>
      <c r="AD65" s="14">
        <v>3</v>
      </c>
      <c r="AE65" s="14">
        <v>2</v>
      </c>
      <c r="AF65" s="14">
        <v>4</v>
      </c>
      <c r="AG65" s="14">
        <f>IFERROR(AVERAGE(Tabel1[[#This Row],[Up - R1]:[Up - R5]]),"")</f>
        <v>2.9</v>
      </c>
      <c r="AH65" s="14">
        <v>4</v>
      </c>
      <c r="AI65" s="14">
        <v>3</v>
      </c>
      <c r="AJ65" s="14">
        <v>2</v>
      </c>
      <c r="AK65" s="14">
        <f>IFERROR(AVERAGE(Tabel1[[#This Row],[Up - C1a]:[Up - C1c]]),"")</f>
        <v>3</v>
      </c>
      <c r="AL65" s="14">
        <v>4</v>
      </c>
      <c r="AM65" s="14" t="s">
        <v>189</v>
      </c>
      <c r="AN65" s="14" t="s">
        <v>189</v>
      </c>
      <c r="AO65" s="14">
        <f>IFERROR(AVERAGE(Tabel1[[#This Row],[Up - C1]:[Up - C4]]),"")</f>
        <v>3.5</v>
      </c>
      <c r="AP65" s="14" t="s">
        <v>189</v>
      </c>
      <c r="AQ65" s="14" t="str">
        <f>IFERROR(AVERAGE(Tabel1[[#This Row],[Up - F1a]:[Up - F1a]]),"")</f>
        <v/>
      </c>
      <c r="AR65" s="14">
        <v>2</v>
      </c>
      <c r="AS65" s="14">
        <v>2</v>
      </c>
      <c r="AT65" s="14">
        <f>IFERROR(AVERAGE(Tabel1[[#This Row],[Up - F2a]:[Up - F2b]]),"")</f>
        <v>2</v>
      </c>
      <c r="AU65" s="14">
        <v>4</v>
      </c>
      <c r="AV65" s="14">
        <v>3</v>
      </c>
      <c r="AW65" s="14">
        <f>IFERROR(AVERAGE(Tabel1[[#This Row],[Up - F3a]:[Up - F3b]]),"")</f>
        <v>3.5</v>
      </c>
      <c r="AX65" s="14" t="s">
        <v>189</v>
      </c>
      <c r="AY65" s="14">
        <f>IFERROR(AVERAGE(Tabel1[[#This Row],[Up - F1]],Tabel1[[#This Row],[Up - F2]],Tabel1[[#This Row],[Up - F3]],Tabel1[[#This Row],[Up - F4]]),"")</f>
        <v>2.75</v>
      </c>
      <c r="AZ65" s="14">
        <v>3</v>
      </c>
      <c r="BA65" s="14">
        <v>3</v>
      </c>
      <c r="BB65" s="14">
        <f>IFERROR(AVERAGE(Tabel1[[#This Row],[Up - V1a]:[Up - V1b]]),"")</f>
        <v>3</v>
      </c>
      <c r="BC65" s="14">
        <v>4</v>
      </c>
      <c r="BD65" s="14">
        <v>2</v>
      </c>
      <c r="BE65" s="14" t="s">
        <v>189</v>
      </c>
      <c r="BF65" s="14">
        <f>IFERROR(AVERAGE(Tabel1[[#This Row],[Up - V2a]:[Up - V2c]]),"")</f>
        <v>3</v>
      </c>
      <c r="BG65" s="14">
        <v>2</v>
      </c>
      <c r="BH65" s="14" t="s">
        <v>189</v>
      </c>
      <c r="BI65" s="14">
        <f>IFERROR(AVERAGE(Tabel1[[#This Row],[Up - V3a]:[Up - V3b]]),"")</f>
        <v>2</v>
      </c>
      <c r="BJ65" s="14" t="s">
        <v>189</v>
      </c>
      <c r="BK65" s="14">
        <f>IFERROR(AVERAGE(Tabel1[[#This Row],[Up - V1]],Tabel1[[#This Row],[Up - V2]],Tabel1[[#This Row],[Up - V3]],Tabel1[[#This Row],[Up - V4]]),"")</f>
        <v>2.6666666666666665</v>
      </c>
      <c r="BL65" s="14">
        <v>5</v>
      </c>
      <c r="BM65" s="14">
        <v>4</v>
      </c>
      <c r="BN65" s="14">
        <v>3</v>
      </c>
      <c r="BO65" s="14" t="s">
        <v>189</v>
      </c>
      <c r="BP65" s="14">
        <f>IFERROR(AVERAGE(Tabel1[[#This Row],[Up - A1a]:[Up - A1d]]),"")</f>
        <v>4</v>
      </c>
      <c r="BQ65" s="14">
        <v>4</v>
      </c>
      <c r="BR65" s="14">
        <v>4</v>
      </c>
      <c r="BS65" s="14">
        <f>IFERROR(AVERAGE(Tabel1[[#This Row],[Up - A2a]:[Up - A2b]]),"")</f>
        <v>4</v>
      </c>
      <c r="BT65" s="14">
        <v>4</v>
      </c>
      <c r="BU65" s="14">
        <f>IFERROR(AVERAGE(Tabel1[[#This Row],[Up - A3a]:[Up - A3a]]),"")</f>
        <v>4</v>
      </c>
      <c r="BV65" s="14" t="s">
        <v>189</v>
      </c>
      <c r="BW65" s="14">
        <f>IFERROR(AVERAGE(Tabel1[[#This Row],[Up - A1]],Tabel1[[#This Row],[Up - A2]],Tabel1[[#This Row],[Up - A3]]),"")</f>
        <v>4</v>
      </c>
      <c r="BX65" s="14">
        <v>2</v>
      </c>
      <c r="BY65" s="14">
        <v>2</v>
      </c>
      <c r="BZ65" s="14">
        <f>IFERROR(AVERAGE(Tabel1[[#This Row],[In - R1a]:[In - R1b]]),"")</f>
        <v>2</v>
      </c>
      <c r="CA65" s="14">
        <v>4</v>
      </c>
      <c r="CB65" s="14">
        <v>4</v>
      </c>
      <c r="CC65" s="14">
        <v>2</v>
      </c>
      <c r="CD65" s="14">
        <v>4</v>
      </c>
      <c r="CE65" s="14">
        <f>IFERROR(AVERAGE(Tabel1[[#This Row],[In - R1]:[In - R5]]),"")</f>
        <v>3.2</v>
      </c>
      <c r="CF65" s="14">
        <v>4</v>
      </c>
      <c r="CG65" s="14">
        <v>3</v>
      </c>
      <c r="CH65" s="14">
        <v>3</v>
      </c>
      <c r="CI65" s="14">
        <f>IFERROR(AVERAGE(Tabel1[[#This Row],[In - C1a]:[In - C1c]]),"")</f>
        <v>3.3333333333333335</v>
      </c>
      <c r="CJ65" s="14">
        <v>4</v>
      </c>
      <c r="CK65" s="14">
        <v>2</v>
      </c>
      <c r="CL65" s="14" t="s">
        <v>189</v>
      </c>
      <c r="CM65" s="14">
        <f>IFERROR(AVERAGE(Tabel1[[#This Row],[In - C1]:[In - C4]]),"")</f>
        <v>3.1111111111111112</v>
      </c>
      <c r="CN65" s="14">
        <v>3</v>
      </c>
      <c r="CO65" s="14">
        <v>2</v>
      </c>
      <c r="CP65" s="14">
        <v>2</v>
      </c>
      <c r="CQ65" s="14">
        <f>IFERROR(AVERAGE(Tabel1[[#This Row],[In - F1a]:[In - F1c]]),"")</f>
        <v>2.3333333333333335</v>
      </c>
      <c r="CR65" s="14">
        <v>4</v>
      </c>
      <c r="CS65" s="14">
        <v>2</v>
      </c>
      <c r="CT65" s="14">
        <f>IFERROR(AVERAGE(Tabel1[[#This Row],[In - F2a]:[In - F2b]]),"")</f>
        <v>3</v>
      </c>
      <c r="CU65" s="14">
        <v>2</v>
      </c>
      <c r="CV65" s="14">
        <f>IFERROR(AVERAGE(Tabel1[[#This Row],[In - F3a]:[In - F3a]]),"")</f>
        <v>2</v>
      </c>
      <c r="CW65" s="14" t="s">
        <v>189</v>
      </c>
      <c r="CX65" s="14">
        <f>IFERROR(AVERAGE(Tabel1[[#This Row],[In - F1]],Tabel1[[#This Row],[In - F2]],Tabel1[[#This Row],[In - F3]],Tabel1[[#This Row],[In - F4]]),"")</f>
        <v>2.4444444444444446</v>
      </c>
      <c r="CY65" s="14">
        <v>4</v>
      </c>
      <c r="CZ65" s="14">
        <v>3</v>
      </c>
      <c r="DA65" s="14">
        <v>1</v>
      </c>
      <c r="DB65" s="14">
        <f>IFERROR(AVERAGE(Tabel1[[#This Row],[In - V1a]:[In - V1c]]),"")</f>
        <v>2.6666666666666665</v>
      </c>
      <c r="DC65" s="14">
        <v>3</v>
      </c>
      <c r="DD65" s="14">
        <v>3</v>
      </c>
      <c r="DE65" s="14">
        <v>2</v>
      </c>
      <c r="DF65" s="14">
        <f>IFERROR(AVERAGE(Tabel1[[#This Row],[In - V2a]:[In - V2c]]),"")</f>
        <v>2.6666666666666665</v>
      </c>
      <c r="DG65" s="14">
        <v>2</v>
      </c>
      <c r="DH65" s="14" t="s">
        <v>189</v>
      </c>
      <c r="DI65" s="14">
        <f>IFERROR(AVERAGE(Tabel1[[#This Row],[In - V3a]:[In - V3b]]),"")</f>
        <v>2</v>
      </c>
      <c r="DJ65" s="14">
        <v>2</v>
      </c>
      <c r="DK65" s="14">
        <f>IFERROR(AVERAGE(Tabel1[[#This Row],[In - V1]],Tabel1[[#This Row],[In - V2]],Tabel1[[#This Row],[In - V3]],Tabel1[[#This Row],[In - V4]]),"")</f>
        <v>2.333333333333333</v>
      </c>
      <c r="DL65" s="14">
        <v>5</v>
      </c>
      <c r="DM65" s="14">
        <v>4</v>
      </c>
      <c r="DN65" s="14">
        <f>IFERROR(AVERAGE(Tabel1[[#This Row],[In - A1a]:[In - A1b]]),"")</f>
        <v>4.5</v>
      </c>
      <c r="DO65" s="14">
        <v>4</v>
      </c>
      <c r="DP65" s="14">
        <v>3</v>
      </c>
      <c r="DQ65" s="14">
        <f>IFERROR(AVERAGE(Tabel1[[#This Row],[In - A2a]:[In - A2b]]),"")</f>
        <v>3.5</v>
      </c>
      <c r="DR65" s="14">
        <v>4</v>
      </c>
      <c r="DS65" s="14">
        <v>3</v>
      </c>
      <c r="DT65" s="14">
        <f>IFERROR(AVERAGE(Tabel1[[#This Row],[In - A3a]:[In - A3a]]),"")</f>
        <v>4</v>
      </c>
      <c r="DU65" s="14" t="s">
        <v>189</v>
      </c>
      <c r="DV65" s="14">
        <f>IFERROR(AVERAGE(Tabel1[[#This Row],[In - A1]],Tabel1[[#This Row],[In - A2]],Tabel1[[#This Row],[In - A3]],Tabel1[[#This Row],[In - A4]]),"")</f>
        <v>4</v>
      </c>
      <c r="DW65" s="14">
        <v>2</v>
      </c>
      <c r="DX65" s="14">
        <v>3</v>
      </c>
      <c r="DY65" s="14" t="s">
        <v>189</v>
      </c>
      <c r="DZ65" s="14">
        <f>IFERROR(AVERAGE(Tabel1[[#This Row],[Do - R1a]:[Do - R1c]]),"")</f>
        <v>2.5</v>
      </c>
      <c r="EA65" s="14">
        <v>2</v>
      </c>
      <c r="EB65" s="14">
        <v>3</v>
      </c>
      <c r="EC65" s="14" t="s">
        <v>189</v>
      </c>
      <c r="ED65" s="14">
        <v>3</v>
      </c>
      <c r="EE65" s="14">
        <f>IFERROR(AVERAGE(Tabel1[[#This Row],[Do - R1]:[Do - R5]]),"")</f>
        <v>2.625</v>
      </c>
      <c r="EF65" s="14">
        <v>2</v>
      </c>
      <c r="EG65" s="14">
        <v>2</v>
      </c>
      <c r="EH65" s="14">
        <v>3</v>
      </c>
      <c r="EI65" s="14">
        <f>IFERROR(AVERAGE(Tabel1[[#This Row],[Do - C1a]:[Do - C1c]]),"")</f>
        <v>2.3333333333333335</v>
      </c>
      <c r="EJ65" s="14">
        <v>4</v>
      </c>
      <c r="EK65" s="14" t="s">
        <v>189</v>
      </c>
      <c r="EL65" s="14">
        <v>3</v>
      </c>
      <c r="EM65" s="14">
        <f>IFERROR(AVERAGE(Tabel1[[#This Row],[Do - C1]:[Do - C4]]),"")</f>
        <v>3.1111111111111112</v>
      </c>
      <c r="EN65" s="14">
        <v>3</v>
      </c>
      <c r="EO65" s="14">
        <v>2</v>
      </c>
      <c r="EP65" s="14">
        <v>3</v>
      </c>
      <c r="EQ65" s="14">
        <f>IFERROR(AVERAGE(Tabel1[[#This Row],[Do - F1a]:[Do - F1c]]),"")</f>
        <v>2.6666666666666665</v>
      </c>
      <c r="ER65" s="14">
        <v>2</v>
      </c>
      <c r="ES65" s="14">
        <f>IFERROR(AVERAGE(Tabel1[[#This Row],[Do - F2a]:[Do - F2a]]),"")</f>
        <v>2</v>
      </c>
      <c r="ET65" s="14">
        <v>3</v>
      </c>
      <c r="EU65" s="14">
        <v>4</v>
      </c>
      <c r="EV65" s="14">
        <f>IFERROR(AVERAGE(Tabel1[[#This Row],[Do - F3a]:[Do - F3b]]),"")</f>
        <v>3.5</v>
      </c>
      <c r="EW65" s="14" t="s">
        <v>189</v>
      </c>
      <c r="EX65" s="14">
        <f>IFERROR(AVERAGE(Tabel1[[#This Row],[Do - F1]],Tabel1[[#This Row],[Do - F2]],Tabel1[[#This Row],[Do - F3]],Tabel1[[#This Row],[Do - F4]]),"")</f>
        <v>2.7222222222222219</v>
      </c>
      <c r="EY65" s="14">
        <v>3</v>
      </c>
      <c r="EZ65" s="14">
        <v>2</v>
      </c>
      <c r="FA65" s="14">
        <v>3</v>
      </c>
      <c r="FB65" s="14">
        <f>IFERROR(AVERAGE(Tabel1[[#This Row],[Do - V1a]:[Do - V1c]]),"")</f>
        <v>2.6666666666666665</v>
      </c>
      <c r="FC65" s="14">
        <v>3</v>
      </c>
      <c r="FD65" s="14">
        <v>4</v>
      </c>
      <c r="FE65" s="14">
        <f>IFERROR(AVERAGE(Tabel1[[#This Row],[Do - V2a]:[Do - V2b]]),"")</f>
        <v>3.5</v>
      </c>
      <c r="FF65" s="14">
        <v>2</v>
      </c>
      <c r="FG65" s="14">
        <f>IFERROR(AVERAGE(Tabel1[[#This Row],[Do - V3a]:[Do - V3a]]),"")</f>
        <v>2</v>
      </c>
      <c r="FH65" s="14" t="s">
        <v>189</v>
      </c>
      <c r="FI65" s="14">
        <f>IFERROR(AVERAGE(Tabel1[[#This Row],[Do - V1]],Tabel1[[#This Row],[Do - V2]],Tabel1[[#This Row],[Do - V3]],Tabel1[[#This Row],[Do - V4]]),"")</f>
        <v>2.7222222222222219</v>
      </c>
      <c r="FJ65" s="14">
        <v>5</v>
      </c>
      <c r="FK65" s="14">
        <v>2</v>
      </c>
      <c r="FL65" s="14">
        <v>3</v>
      </c>
      <c r="FM65" s="14">
        <f>IFERROR(AVERAGE(Tabel1[[#This Row],[Do - A1a]:[Do - A1c]]),"")</f>
        <v>3.3333333333333335</v>
      </c>
      <c r="FN65" s="14">
        <v>4</v>
      </c>
      <c r="FO65" s="14">
        <v>2</v>
      </c>
      <c r="FP65" s="14">
        <f>IFERROR(AVERAGE(Tabel1[[#This Row],[Do - A2a]:[Do - A2b]]),"")</f>
        <v>3</v>
      </c>
      <c r="FQ65" s="14">
        <v>4</v>
      </c>
      <c r="FR65" s="14">
        <f>IFERROR(AVERAGE(Tabel1[[#This Row],[Do - A3a]:[Do - A3a]]),"")</f>
        <v>4</v>
      </c>
      <c r="FS65" s="14" t="s">
        <v>189</v>
      </c>
      <c r="FT65" s="14">
        <f>IFERROR(AVERAGE(Tabel1[[#This Row],[Do - A1]],Tabel1[[#This Row],[Do - A2]],Tabel1[[#This Row],[Do - A3]],Tabel1[[#This Row],[Do - A4]]),"")</f>
        <v>3.4444444444444446</v>
      </c>
      <c r="FU6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3.0353703703703703</v>
      </c>
      <c r="FV65" s="16" t="s">
        <v>514</v>
      </c>
      <c r="FW65" t="b">
        <v>1</v>
      </c>
    </row>
    <row r="66" spans="1:179" x14ac:dyDescent="0.3">
      <c r="A66" s="13">
        <v>44936.800150462965</v>
      </c>
      <c r="B66" t="b">
        <v>0</v>
      </c>
      <c r="C66" s="14" t="s">
        <v>515</v>
      </c>
      <c r="D66" s="14" t="s">
        <v>516</v>
      </c>
      <c r="E66" s="14" t="s">
        <v>517</v>
      </c>
      <c r="F66" s="14" t="s">
        <v>184</v>
      </c>
      <c r="G66" s="14" t="s">
        <v>518</v>
      </c>
      <c r="H66" s="14" t="s">
        <v>194</v>
      </c>
      <c r="I66" s="14" t="s">
        <v>243</v>
      </c>
      <c r="J66" s="14" t="s">
        <v>248</v>
      </c>
      <c r="K66" s="14" t="s">
        <v>201</v>
      </c>
      <c r="L66" s="14" t="s">
        <v>249</v>
      </c>
      <c r="M66" s="14" t="s">
        <v>188</v>
      </c>
      <c r="N66" s="14" t="s">
        <v>199</v>
      </c>
      <c r="O66" s="14" t="s">
        <v>200</v>
      </c>
      <c r="P66" s="17" t="s">
        <v>255</v>
      </c>
      <c r="Q66" s="17" t="s">
        <v>304</v>
      </c>
      <c r="R66" s="14" t="s">
        <v>235</v>
      </c>
      <c r="S66" s="14" t="s">
        <v>235</v>
      </c>
      <c r="T66" s="14" t="s">
        <v>204</v>
      </c>
      <c r="U66" s="14" t="s">
        <v>205</v>
      </c>
      <c r="V66" s="14" t="s">
        <v>206</v>
      </c>
      <c r="W66" s="14" t="s">
        <v>207</v>
      </c>
      <c r="X66" s="14" t="s">
        <v>305</v>
      </c>
      <c r="Y66" s="14">
        <v>2</v>
      </c>
      <c r="Z66" s="14">
        <v>3</v>
      </c>
      <c r="AA66" s="14">
        <v>5</v>
      </c>
      <c r="AB66" s="15">
        <f>IFERROR(AVERAGE(Tabel1[[#This Row],[Up - R1a]:[Up - R1c]]),"")</f>
        <v>3.3333333333333335</v>
      </c>
      <c r="AC66" s="14">
        <v>4</v>
      </c>
      <c r="AD66" s="14">
        <v>2</v>
      </c>
      <c r="AE66" s="14">
        <v>2</v>
      </c>
      <c r="AF66" s="14">
        <v>5</v>
      </c>
      <c r="AG66" s="14">
        <f>IFERROR(AVERAGE(Tabel1[[#This Row],[Up - R1]:[Up - R5]]),"")</f>
        <v>3.2666666666666671</v>
      </c>
      <c r="AH66" s="14">
        <v>4</v>
      </c>
      <c r="AI66" s="14">
        <v>4</v>
      </c>
      <c r="AJ66" s="14">
        <v>3</v>
      </c>
      <c r="AK66" s="14">
        <f>IFERROR(AVERAGE(Tabel1[[#This Row],[Up - C1a]:[Up - C1c]]),"")</f>
        <v>3.6666666666666665</v>
      </c>
      <c r="AL66" s="14">
        <v>3</v>
      </c>
      <c r="AM66" s="14">
        <v>1</v>
      </c>
      <c r="AN66" s="14">
        <v>2</v>
      </c>
      <c r="AO66" s="14">
        <f>IFERROR(AVERAGE(Tabel1[[#This Row],[Up - C1]:[Up - C4]]),"")</f>
        <v>2.4166666666666665</v>
      </c>
      <c r="AP66" s="14">
        <v>3</v>
      </c>
      <c r="AQ66" s="14">
        <f>IFERROR(AVERAGE(Tabel1[[#This Row],[Up - F1a]:[Up - F1a]]),"")</f>
        <v>3</v>
      </c>
      <c r="AR66" s="14">
        <v>1</v>
      </c>
      <c r="AS66" s="14">
        <v>2</v>
      </c>
      <c r="AT66" s="14">
        <f>IFERROR(AVERAGE(Tabel1[[#This Row],[Up - F2a]:[Up - F2b]]),"")</f>
        <v>1.5</v>
      </c>
      <c r="AU66" s="14">
        <v>2</v>
      </c>
      <c r="AV66" s="14">
        <v>1</v>
      </c>
      <c r="AW66" s="14">
        <f>IFERROR(AVERAGE(Tabel1[[#This Row],[Up - F3a]:[Up - F3b]]),"")</f>
        <v>1.5</v>
      </c>
      <c r="AX66" s="14">
        <v>3</v>
      </c>
      <c r="AY66" s="14">
        <f>IFERROR(AVERAGE(Tabel1[[#This Row],[Up - F1]],Tabel1[[#This Row],[Up - F2]],Tabel1[[#This Row],[Up - F3]],Tabel1[[#This Row],[Up - F4]]),"")</f>
        <v>2.25</v>
      </c>
      <c r="AZ66" s="14">
        <v>2</v>
      </c>
      <c r="BA66" s="14">
        <v>4</v>
      </c>
      <c r="BB66" s="14">
        <f>IFERROR(AVERAGE(Tabel1[[#This Row],[Up - V1a]:[Up - V1b]]),"")</f>
        <v>3</v>
      </c>
      <c r="BC66" s="14">
        <v>2</v>
      </c>
      <c r="BD66" s="14">
        <v>1</v>
      </c>
      <c r="BE66" s="14">
        <v>4</v>
      </c>
      <c r="BF66" s="14">
        <f>IFERROR(AVERAGE(Tabel1[[#This Row],[Up - V2a]:[Up - V2c]]),"")</f>
        <v>2.3333333333333335</v>
      </c>
      <c r="BG66" s="14">
        <v>2</v>
      </c>
      <c r="BH66" s="14">
        <v>3</v>
      </c>
      <c r="BI66" s="14">
        <f>IFERROR(AVERAGE(Tabel1[[#This Row],[Up - V3a]:[Up - V3b]]),"")</f>
        <v>2.5</v>
      </c>
      <c r="BJ66" s="14">
        <v>4</v>
      </c>
      <c r="BK66" s="14">
        <f>IFERROR(AVERAGE(Tabel1[[#This Row],[Up - V1]],Tabel1[[#This Row],[Up - V2]],Tabel1[[#This Row],[Up - V3]],Tabel1[[#This Row],[Up - V4]]),"")</f>
        <v>2.9583333333333335</v>
      </c>
      <c r="BL66" s="14">
        <v>4</v>
      </c>
      <c r="BM66" s="14">
        <v>3</v>
      </c>
      <c r="BN66" s="14">
        <v>4</v>
      </c>
      <c r="BO66" s="14">
        <v>2</v>
      </c>
      <c r="BP66" s="14">
        <f>IFERROR(AVERAGE(Tabel1[[#This Row],[Up - A1a]:[Up - A1d]]),"")</f>
        <v>3.25</v>
      </c>
      <c r="BQ66" s="14">
        <v>2</v>
      </c>
      <c r="BR66" s="14">
        <v>3</v>
      </c>
      <c r="BS66" s="14">
        <f>IFERROR(AVERAGE(Tabel1[[#This Row],[Up - A2a]:[Up - A2b]]),"")</f>
        <v>2.5</v>
      </c>
      <c r="BT66" s="14">
        <v>4</v>
      </c>
      <c r="BU66" s="14">
        <f>IFERROR(AVERAGE(Tabel1[[#This Row],[Up - A3a]:[Up - A3a]]),"")</f>
        <v>4</v>
      </c>
      <c r="BV66" s="14">
        <v>3</v>
      </c>
      <c r="BW66" s="14">
        <f>IFERROR(AVERAGE(Tabel1[[#This Row],[Up - A1]],Tabel1[[#This Row],[Up - A2]],Tabel1[[#This Row],[Up - A3]]),"")</f>
        <v>3.25</v>
      </c>
      <c r="BX66" s="14">
        <v>1</v>
      </c>
      <c r="BY66" s="14">
        <v>1</v>
      </c>
      <c r="BZ66" s="14">
        <f>IFERROR(AVERAGE(Tabel1[[#This Row],[In - R1a]:[In - R1b]]),"")</f>
        <v>1</v>
      </c>
      <c r="CA66" s="14">
        <v>4</v>
      </c>
      <c r="CB66" s="14">
        <v>2</v>
      </c>
      <c r="CC66" s="14">
        <v>1</v>
      </c>
      <c r="CD66" s="14">
        <v>5</v>
      </c>
      <c r="CE66" s="14">
        <f>IFERROR(AVERAGE(Tabel1[[#This Row],[In - R1]:[In - R5]]),"")</f>
        <v>2.6</v>
      </c>
      <c r="CF66" s="14">
        <v>4</v>
      </c>
      <c r="CG66" s="14">
        <v>3</v>
      </c>
      <c r="CH66" s="14">
        <v>3</v>
      </c>
      <c r="CI66" s="14">
        <f>IFERROR(AVERAGE(Tabel1[[#This Row],[In - C1a]:[In - C1c]]),"")</f>
        <v>3.3333333333333335</v>
      </c>
      <c r="CJ66" s="14">
        <v>1</v>
      </c>
      <c r="CK66" s="14">
        <v>1</v>
      </c>
      <c r="CL66" s="14">
        <v>5</v>
      </c>
      <c r="CM66" s="14">
        <f>IFERROR(AVERAGE(Tabel1[[#This Row],[In - C1]:[In - C4]]),"")</f>
        <v>2.5833333333333335</v>
      </c>
      <c r="CN66" s="14">
        <v>2</v>
      </c>
      <c r="CO66" s="14">
        <v>1</v>
      </c>
      <c r="CP66" s="14">
        <v>1</v>
      </c>
      <c r="CQ66" s="14">
        <f>IFERROR(AVERAGE(Tabel1[[#This Row],[In - F1a]:[In - F1c]]),"")</f>
        <v>1.3333333333333333</v>
      </c>
      <c r="CR66" s="14">
        <v>3</v>
      </c>
      <c r="CS66" s="14">
        <v>1</v>
      </c>
      <c r="CT66" s="14">
        <f>IFERROR(AVERAGE(Tabel1[[#This Row],[In - F2a]:[In - F2b]]),"")</f>
        <v>2</v>
      </c>
      <c r="CU66" s="14">
        <v>1</v>
      </c>
      <c r="CV66" s="14">
        <f>IFERROR(AVERAGE(Tabel1[[#This Row],[In - F3a]:[In - F3a]]),"")</f>
        <v>1</v>
      </c>
      <c r="CW66" s="14">
        <v>4</v>
      </c>
      <c r="CX66" s="14">
        <f>IFERROR(AVERAGE(Tabel1[[#This Row],[In - F1]],Tabel1[[#This Row],[In - F2]],Tabel1[[#This Row],[In - F3]],Tabel1[[#This Row],[In - F4]]),"")</f>
        <v>2.083333333333333</v>
      </c>
      <c r="CY66" s="14">
        <v>4</v>
      </c>
      <c r="CZ66" s="14">
        <v>3</v>
      </c>
      <c r="DA66" s="14">
        <v>2</v>
      </c>
      <c r="DB66" s="14">
        <f>IFERROR(AVERAGE(Tabel1[[#This Row],[In - V1a]:[In - V1c]]),"")</f>
        <v>3</v>
      </c>
      <c r="DC66" s="14">
        <v>4</v>
      </c>
      <c r="DD66" s="14">
        <v>4</v>
      </c>
      <c r="DE66" s="14">
        <v>2</v>
      </c>
      <c r="DF66" s="14">
        <f>IFERROR(AVERAGE(Tabel1[[#This Row],[In - V2a]:[In - V2c]]),"")</f>
        <v>3.3333333333333335</v>
      </c>
      <c r="DG66" s="14">
        <v>1</v>
      </c>
      <c r="DH66" s="14">
        <v>4</v>
      </c>
      <c r="DI66" s="14">
        <f>IFERROR(AVERAGE(Tabel1[[#This Row],[In - V3a]:[In - V3b]]),"")</f>
        <v>2.5</v>
      </c>
      <c r="DJ66" s="14">
        <v>4</v>
      </c>
      <c r="DK66" s="14">
        <f>IFERROR(AVERAGE(Tabel1[[#This Row],[In - V1]],Tabel1[[#This Row],[In - V2]],Tabel1[[#This Row],[In - V3]],Tabel1[[#This Row],[In - V4]]),"")</f>
        <v>3.2083333333333335</v>
      </c>
      <c r="DL66" s="14">
        <v>3</v>
      </c>
      <c r="DM66" s="14">
        <v>3</v>
      </c>
      <c r="DN66" s="14">
        <f>IFERROR(AVERAGE(Tabel1[[#This Row],[In - A1a]:[In - A1b]]),"")</f>
        <v>3</v>
      </c>
      <c r="DO66" s="14">
        <v>3</v>
      </c>
      <c r="DP66" s="14">
        <v>3</v>
      </c>
      <c r="DQ66" s="14">
        <f>IFERROR(AVERAGE(Tabel1[[#This Row],[In - A2a]:[In - A2b]]),"")</f>
        <v>3</v>
      </c>
      <c r="DR66" s="14">
        <v>4</v>
      </c>
      <c r="DS66" s="14">
        <v>2</v>
      </c>
      <c r="DT66" s="14">
        <f>IFERROR(AVERAGE(Tabel1[[#This Row],[In - A3a]:[In - A3a]]),"")</f>
        <v>4</v>
      </c>
      <c r="DU66" s="14">
        <v>2</v>
      </c>
      <c r="DV66" s="14">
        <f>IFERROR(AVERAGE(Tabel1[[#This Row],[In - A1]],Tabel1[[#This Row],[In - A2]],Tabel1[[#This Row],[In - A3]],Tabel1[[#This Row],[In - A4]]),"")</f>
        <v>3</v>
      </c>
      <c r="DW66" s="14">
        <v>1</v>
      </c>
      <c r="DX66" s="14">
        <v>4</v>
      </c>
      <c r="DY66" s="14">
        <v>2</v>
      </c>
      <c r="DZ66" s="14">
        <f>IFERROR(AVERAGE(Tabel1[[#This Row],[Do - R1a]:[Do - R1c]]),"")</f>
        <v>2.3333333333333335</v>
      </c>
      <c r="EA66" s="14">
        <v>3</v>
      </c>
      <c r="EB66" s="14">
        <v>3</v>
      </c>
      <c r="EC66" s="14">
        <v>1</v>
      </c>
      <c r="ED66" s="14">
        <v>4</v>
      </c>
      <c r="EE66" s="14">
        <f>IFERROR(AVERAGE(Tabel1[[#This Row],[Do - R1]:[Do - R5]]),"")</f>
        <v>2.666666666666667</v>
      </c>
      <c r="EF66" s="14">
        <v>5</v>
      </c>
      <c r="EG66" s="14">
        <v>4</v>
      </c>
      <c r="EH66" s="14">
        <v>3</v>
      </c>
      <c r="EI66" s="14">
        <f>IFERROR(AVERAGE(Tabel1[[#This Row],[Do - C1a]:[Do - C1c]]),"")</f>
        <v>4</v>
      </c>
      <c r="EJ66" s="14">
        <v>2</v>
      </c>
      <c r="EK66" s="14">
        <v>1</v>
      </c>
      <c r="EL66" s="14">
        <v>2</v>
      </c>
      <c r="EM66" s="14">
        <f>IFERROR(AVERAGE(Tabel1[[#This Row],[Do - C1]:[Do - C4]]),"")</f>
        <v>2.25</v>
      </c>
      <c r="EN66" s="14">
        <v>3</v>
      </c>
      <c r="EO66" s="14">
        <v>3</v>
      </c>
      <c r="EP66" s="14">
        <v>4</v>
      </c>
      <c r="EQ66" s="14">
        <f>IFERROR(AVERAGE(Tabel1[[#This Row],[Do - F1a]:[Do - F1c]]),"")</f>
        <v>3.3333333333333335</v>
      </c>
      <c r="ER66" s="14">
        <v>2</v>
      </c>
      <c r="ES66" s="14">
        <f>IFERROR(AVERAGE(Tabel1[[#This Row],[Do - F2a]:[Do - F2a]]),"")</f>
        <v>2</v>
      </c>
      <c r="ET66" s="14">
        <v>3</v>
      </c>
      <c r="EU66" s="14">
        <v>2</v>
      </c>
      <c r="EV66" s="14">
        <f>IFERROR(AVERAGE(Tabel1[[#This Row],[Do - F3a]:[Do - F3b]]),"")</f>
        <v>2.5</v>
      </c>
      <c r="EW66" s="14">
        <v>2</v>
      </c>
      <c r="EX66" s="14">
        <f>IFERROR(AVERAGE(Tabel1[[#This Row],[Do - F1]],Tabel1[[#This Row],[Do - F2]],Tabel1[[#This Row],[Do - F3]],Tabel1[[#This Row],[Do - F4]]),"")</f>
        <v>2.4583333333333335</v>
      </c>
      <c r="EY66" s="14">
        <v>2</v>
      </c>
      <c r="EZ66" s="14">
        <v>2</v>
      </c>
      <c r="FA66" s="14">
        <v>3</v>
      </c>
      <c r="FB66" s="14">
        <f>IFERROR(AVERAGE(Tabel1[[#This Row],[Do - V1a]:[Do - V1c]]),"")</f>
        <v>2.3333333333333335</v>
      </c>
      <c r="FC66" s="14">
        <v>4</v>
      </c>
      <c r="FD66" s="14">
        <v>2</v>
      </c>
      <c r="FE66" s="14">
        <f>IFERROR(AVERAGE(Tabel1[[#This Row],[Do - V2a]:[Do - V2b]]),"")</f>
        <v>3</v>
      </c>
      <c r="FF66" s="14">
        <v>3</v>
      </c>
      <c r="FG66" s="14">
        <f>IFERROR(AVERAGE(Tabel1[[#This Row],[Do - V3a]:[Do - V3a]]),"")</f>
        <v>3</v>
      </c>
      <c r="FH66" s="14">
        <v>4</v>
      </c>
      <c r="FI66" s="14">
        <f>IFERROR(AVERAGE(Tabel1[[#This Row],[Do - V1]],Tabel1[[#This Row],[Do - V2]],Tabel1[[#This Row],[Do - V3]],Tabel1[[#This Row],[Do - V4]]),"")</f>
        <v>3.0833333333333335</v>
      </c>
      <c r="FJ66" s="14">
        <v>4</v>
      </c>
      <c r="FK66" s="14">
        <v>2</v>
      </c>
      <c r="FL66" s="14">
        <v>4</v>
      </c>
      <c r="FM66" s="14">
        <f>IFERROR(AVERAGE(Tabel1[[#This Row],[Do - A1a]:[Do - A1c]]),"")</f>
        <v>3.3333333333333335</v>
      </c>
      <c r="FN66" s="14">
        <v>1</v>
      </c>
      <c r="FO66" s="14">
        <v>4</v>
      </c>
      <c r="FP66" s="14">
        <f>IFERROR(AVERAGE(Tabel1[[#This Row],[Do - A2a]:[Do - A2b]]),"")</f>
        <v>2.5</v>
      </c>
      <c r="FQ66" s="14">
        <v>4</v>
      </c>
      <c r="FR66" s="14">
        <f>IFERROR(AVERAGE(Tabel1[[#This Row],[Do - A3a]:[Do - A3a]]),"")</f>
        <v>4</v>
      </c>
      <c r="FS66" s="14">
        <v>4</v>
      </c>
      <c r="FT66" s="14">
        <f>IFERROR(AVERAGE(Tabel1[[#This Row],[Do - A1]],Tabel1[[#This Row],[Do - A2]],Tabel1[[#This Row],[Do - A3]],Tabel1[[#This Row],[Do - A4]]),"")</f>
        <v>3.4583333333333335</v>
      </c>
      <c r="FU6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2.7688888888888892</v>
      </c>
      <c r="FV66" s="16" t="s">
        <v>519</v>
      </c>
      <c r="FW66" t="b">
        <v>1</v>
      </c>
    </row>
    <row r="67" spans="1:179" x14ac:dyDescent="0.3">
      <c r="A67" s="13">
        <v>44936.88921296296</v>
      </c>
      <c r="B67" t="b">
        <v>0</v>
      </c>
      <c r="C67" s="14" t="s">
        <v>520</v>
      </c>
      <c r="D67" s="14" t="s">
        <v>521</v>
      </c>
      <c r="E67" s="14" t="s">
        <v>276</v>
      </c>
      <c r="F67" s="14" t="s">
        <v>184</v>
      </c>
      <c r="G67" s="14" t="s">
        <v>522</v>
      </c>
      <c r="H67" s="14" t="s">
        <v>222</v>
      </c>
      <c r="I67" s="14" t="s">
        <v>195</v>
      </c>
      <c r="J67" s="14" t="s">
        <v>347</v>
      </c>
      <c r="K67" s="14" t="s">
        <v>202</v>
      </c>
      <c r="L67" s="14" t="s">
        <v>218</v>
      </c>
      <c r="M67" s="14" t="s">
        <v>188</v>
      </c>
      <c r="N67" s="14" t="s">
        <v>199</v>
      </c>
      <c r="O67" s="14" t="s">
        <v>200</v>
      </c>
      <c r="P67" s="17" t="s">
        <v>304</v>
      </c>
      <c r="Q67" s="14" t="s">
        <v>201</v>
      </c>
      <c r="R67" s="14" t="s">
        <v>235</v>
      </c>
      <c r="S67" s="14" t="s">
        <v>235</v>
      </c>
      <c r="T67" s="14" t="s">
        <v>204</v>
      </c>
      <c r="U67" s="14" t="s">
        <v>237</v>
      </c>
      <c r="V67" s="14" t="s">
        <v>224</v>
      </c>
      <c r="W67" s="14" t="s">
        <v>207</v>
      </c>
      <c r="X67" s="14" t="s">
        <v>395</v>
      </c>
      <c r="Y67" s="14">
        <v>2</v>
      </c>
      <c r="Z67" s="14">
        <v>2</v>
      </c>
      <c r="AA67" s="14">
        <v>1</v>
      </c>
      <c r="AB67" s="15">
        <f>IFERROR(AVERAGE(Tabel1[[#This Row],[Up - R1a]:[Up - R1c]]),"")</f>
        <v>1.6666666666666667</v>
      </c>
      <c r="AC67" s="14">
        <v>3</v>
      </c>
      <c r="AD67" s="14">
        <v>4</v>
      </c>
      <c r="AE67" s="14">
        <v>2</v>
      </c>
      <c r="AF67" s="14">
        <v>4</v>
      </c>
      <c r="AG67" s="14">
        <f>IFERROR(AVERAGE(Tabel1[[#This Row],[Up - R1]:[Up - R5]]),"")</f>
        <v>2.9333333333333336</v>
      </c>
      <c r="AH67" s="14">
        <v>2</v>
      </c>
      <c r="AI67" s="14">
        <v>3</v>
      </c>
      <c r="AJ67" s="14">
        <v>2</v>
      </c>
      <c r="AK67" s="14">
        <f>IFERROR(AVERAGE(Tabel1[[#This Row],[Up - C1a]:[Up - C1c]]),"")</f>
        <v>2.3333333333333335</v>
      </c>
      <c r="AL67" s="14">
        <v>2</v>
      </c>
      <c r="AM67" s="14">
        <v>2</v>
      </c>
      <c r="AN67" s="14">
        <v>3</v>
      </c>
      <c r="AO67" s="14">
        <f>IFERROR(AVERAGE(Tabel1[[#This Row],[Up - C1]:[Up - C4]]),"")</f>
        <v>2.3333333333333335</v>
      </c>
      <c r="AP67" s="14">
        <v>2</v>
      </c>
      <c r="AQ67" s="14">
        <f>IFERROR(AVERAGE(Tabel1[[#This Row],[Up - F1a]:[Up - F1a]]),"")</f>
        <v>2</v>
      </c>
      <c r="AR67" s="14">
        <v>1</v>
      </c>
      <c r="AS67" s="14">
        <v>4</v>
      </c>
      <c r="AT67" s="14">
        <f>IFERROR(AVERAGE(Tabel1[[#This Row],[Up - F2a]:[Up - F2b]]),"")</f>
        <v>2.5</v>
      </c>
      <c r="AU67" s="14">
        <v>2</v>
      </c>
      <c r="AV67" s="14">
        <v>2</v>
      </c>
      <c r="AW67" s="14">
        <f>IFERROR(AVERAGE(Tabel1[[#This Row],[Up - F3a]:[Up - F3b]]),"")</f>
        <v>2</v>
      </c>
      <c r="AX67" s="14">
        <v>3</v>
      </c>
      <c r="AY67" s="14">
        <f>IFERROR(AVERAGE(Tabel1[[#This Row],[Up - F1]],Tabel1[[#This Row],[Up - F2]],Tabel1[[#This Row],[Up - F3]],Tabel1[[#This Row],[Up - F4]]),"")</f>
        <v>2.375</v>
      </c>
      <c r="AZ67" s="14">
        <v>4</v>
      </c>
      <c r="BA67" s="14">
        <v>4</v>
      </c>
      <c r="BB67" s="14">
        <f>IFERROR(AVERAGE(Tabel1[[#This Row],[Up - V1a]:[Up - V1b]]),"")</f>
        <v>4</v>
      </c>
      <c r="BC67" s="14">
        <v>3</v>
      </c>
      <c r="BD67" s="14">
        <v>4</v>
      </c>
      <c r="BE67" s="14">
        <v>2</v>
      </c>
      <c r="BF67" s="14">
        <f>IFERROR(AVERAGE(Tabel1[[#This Row],[Up - V2a]:[Up - V2c]]),"")</f>
        <v>3</v>
      </c>
      <c r="BG67" s="14">
        <v>3</v>
      </c>
      <c r="BH67" s="14">
        <v>4</v>
      </c>
      <c r="BI67" s="14">
        <f>IFERROR(AVERAGE(Tabel1[[#This Row],[Up - V3a]:[Up - V3b]]),"")</f>
        <v>3.5</v>
      </c>
      <c r="BJ67" s="14">
        <v>4</v>
      </c>
      <c r="BK67" s="14">
        <f>IFERROR(AVERAGE(Tabel1[[#This Row],[Up - V1]],Tabel1[[#This Row],[Up - V2]],Tabel1[[#This Row],[Up - V3]],Tabel1[[#This Row],[Up - V4]]),"")</f>
        <v>3.625</v>
      </c>
      <c r="BL67" s="14">
        <v>4</v>
      </c>
      <c r="BM67" s="14">
        <v>3</v>
      </c>
      <c r="BN67" s="14">
        <v>2</v>
      </c>
      <c r="BO67" s="14">
        <v>3</v>
      </c>
      <c r="BP67" s="14">
        <f>IFERROR(AVERAGE(Tabel1[[#This Row],[Up - A1a]:[Up - A1d]]),"")</f>
        <v>3</v>
      </c>
      <c r="BQ67" s="14">
        <v>2</v>
      </c>
      <c r="BR67" s="14">
        <v>4</v>
      </c>
      <c r="BS67" s="14">
        <f>IFERROR(AVERAGE(Tabel1[[#This Row],[Up - A2a]:[Up - A2b]]),"")</f>
        <v>3</v>
      </c>
      <c r="BT67" s="14">
        <v>2</v>
      </c>
      <c r="BU67" s="14">
        <f>IFERROR(AVERAGE(Tabel1[[#This Row],[Up - A3a]:[Up - A3a]]),"")</f>
        <v>2</v>
      </c>
      <c r="BV67" s="14">
        <v>4</v>
      </c>
      <c r="BW67" s="14">
        <f>IFERROR(AVERAGE(Tabel1[[#This Row],[Up - A1]],Tabel1[[#This Row],[Up - A2]],Tabel1[[#This Row],[Up - A3]]),"")</f>
        <v>2.6666666666666665</v>
      </c>
      <c r="BX67" s="14">
        <v>3</v>
      </c>
      <c r="BY67" s="14">
        <v>4</v>
      </c>
      <c r="BZ67" s="14">
        <f>IFERROR(AVERAGE(Tabel1[[#This Row],[In - R1a]:[In - R1b]]),"")</f>
        <v>3.5</v>
      </c>
      <c r="CA67" s="14">
        <v>3</v>
      </c>
      <c r="CB67" s="14">
        <v>4</v>
      </c>
      <c r="CC67" s="14">
        <v>3</v>
      </c>
      <c r="CD67" s="14">
        <v>5</v>
      </c>
      <c r="CE67" s="14">
        <f>IFERROR(AVERAGE(Tabel1[[#This Row],[In - R1]:[In - R5]]),"")</f>
        <v>3.7</v>
      </c>
      <c r="CF67" s="14">
        <v>4</v>
      </c>
      <c r="CG67" s="14">
        <v>3</v>
      </c>
      <c r="CH67" s="14">
        <v>3</v>
      </c>
      <c r="CI67" s="14">
        <f>IFERROR(AVERAGE(Tabel1[[#This Row],[In - C1a]:[In - C1c]]),"")</f>
        <v>3.3333333333333335</v>
      </c>
      <c r="CJ67" s="14">
        <v>2</v>
      </c>
      <c r="CK67" s="14">
        <v>2</v>
      </c>
      <c r="CL67" s="14">
        <v>4</v>
      </c>
      <c r="CM67" s="14">
        <f>IFERROR(AVERAGE(Tabel1[[#This Row],[In - C1]:[In - C4]]),"")</f>
        <v>2.8333333333333335</v>
      </c>
      <c r="CN67" s="14">
        <v>4</v>
      </c>
      <c r="CO67" s="14">
        <v>4</v>
      </c>
      <c r="CP67" s="14">
        <v>2</v>
      </c>
      <c r="CQ67" s="14">
        <f>IFERROR(AVERAGE(Tabel1[[#This Row],[In - F1a]:[In - F1c]]),"")</f>
        <v>3.3333333333333335</v>
      </c>
      <c r="CR67" s="14">
        <v>3</v>
      </c>
      <c r="CS67" s="14">
        <v>1</v>
      </c>
      <c r="CT67" s="14">
        <f>IFERROR(AVERAGE(Tabel1[[#This Row],[In - F2a]:[In - F2b]]),"")</f>
        <v>2</v>
      </c>
      <c r="CU67" s="14">
        <v>1</v>
      </c>
      <c r="CV67" s="14">
        <f>IFERROR(AVERAGE(Tabel1[[#This Row],[In - F3a]:[In - F3a]]),"")</f>
        <v>1</v>
      </c>
      <c r="CW67" s="14">
        <v>4</v>
      </c>
      <c r="CX67" s="14">
        <f>IFERROR(AVERAGE(Tabel1[[#This Row],[In - F1]],Tabel1[[#This Row],[In - F2]],Tabel1[[#This Row],[In - F3]],Tabel1[[#This Row],[In - F4]]),"")</f>
        <v>2.5833333333333335</v>
      </c>
      <c r="CY67" s="14">
        <v>3</v>
      </c>
      <c r="CZ67" s="14">
        <v>3</v>
      </c>
      <c r="DA67" s="14">
        <v>2</v>
      </c>
      <c r="DB67" s="14">
        <f>IFERROR(AVERAGE(Tabel1[[#This Row],[In - V1a]:[In - V1c]]),"")</f>
        <v>2.6666666666666665</v>
      </c>
      <c r="DC67" s="14">
        <v>4</v>
      </c>
      <c r="DD67" s="14">
        <v>2</v>
      </c>
      <c r="DE67" s="14">
        <v>3</v>
      </c>
      <c r="DF67" s="14">
        <f>IFERROR(AVERAGE(Tabel1[[#This Row],[In - V2a]:[In - V2c]]),"")</f>
        <v>3</v>
      </c>
      <c r="DG67" s="14">
        <v>2</v>
      </c>
      <c r="DH67" s="14">
        <v>4</v>
      </c>
      <c r="DI67" s="14">
        <f>IFERROR(AVERAGE(Tabel1[[#This Row],[In - V3a]:[In - V3b]]),"")</f>
        <v>3</v>
      </c>
      <c r="DJ67" s="14">
        <v>4</v>
      </c>
      <c r="DK67" s="14">
        <f>IFERROR(AVERAGE(Tabel1[[#This Row],[In - V1]],Tabel1[[#This Row],[In - V2]],Tabel1[[#This Row],[In - V3]],Tabel1[[#This Row],[In - V4]]),"")</f>
        <v>3.1666666666666665</v>
      </c>
      <c r="DL67" s="14">
        <v>4</v>
      </c>
      <c r="DM67" s="14">
        <v>4</v>
      </c>
      <c r="DN67" s="14">
        <f>IFERROR(AVERAGE(Tabel1[[#This Row],[In - A1a]:[In - A1b]]),"")</f>
        <v>4</v>
      </c>
      <c r="DO67" s="14">
        <v>3</v>
      </c>
      <c r="DP67" s="14">
        <v>3</v>
      </c>
      <c r="DQ67" s="14">
        <f>IFERROR(AVERAGE(Tabel1[[#This Row],[In - A2a]:[In - A2b]]),"")</f>
        <v>3</v>
      </c>
      <c r="DR67" s="14">
        <v>3</v>
      </c>
      <c r="DS67" s="14">
        <v>2</v>
      </c>
      <c r="DT67" s="14">
        <f>IFERROR(AVERAGE(Tabel1[[#This Row],[In - A3a]:[In - A3a]]),"")</f>
        <v>3</v>
      </c>
      <c r="DU67" s="14">
        <v>3</v>
      </c>
      <c r="DV67" s="14">
        <f>IFERROR(AVERAGE(Tabel1[[#This Row],[In - A1]],Tabel1[[#This Row],[In - A2]],Tabel1[[#This Row],[In - A3]],Tabel1[[#This Row],[In - A4]]),"")</f>
        <v>3.25</v>
      </c>
      <c r="DW67" s="14">
        <v>2</v>
      </c>
      <c r="DX67" s="14">
        <v>4</v>
      </c>
      <c r="DY67" s="14">
        <v>2</v>
      </c>
      <c r="DZ67" s="14">
        <f>IFERROR(AVERAGE(Tabel1[[#This Row],[Do - R1a]:[Do - R1c]]),"")</f>
        <v>2.6666666666666665</v>
      </c>
      <c r="EA67" s="14">
        <v>3</v>
      </c>
      <c r="EB67" s="14">
        <v>2</v>
      </c>
      <c r="EC67" s="14">
        <v>1</v>
      </c>
      <c r="ED67" s="14">
        <v>3</v>
      </c>
      <c r="EE67" s="14">
        <f>IFERROR(AVERAGE(Tabel1[[#This Row],[Do - R1]:[Do - R5]]),"")</f>
        <v>2.333333333333333</v>
      </c>
      <c r="EF67" s="14">
        <v>4</v>
      </c>
      <c r="EG67" s="14">
        <v>3</v>
      </c>
      <c r="EH67" s="14">
        <v>2</v>
      </c>
      <c r="EI67" s="14">
        <f>IFERROR(AVERAGE(Tabel1[[#This Row],[Do - C1a]:[Do - C1c]]),"")</f>
        <v>3</v>
      </c>
      <c r="EJ67" s="14">
        <v>1</v>
      </c>
      <c r="EK67" s="14">
        <v>1</v>
      </c>
      <c r="EL67" s="14">
        <v>4</v>
      </c>
      <c r="EM67" s="14">
        <f>IFERROR(AVERAGE(Tabel1[[#This Row],[Do - C1]:[Do - C4]]),"")</f>
        <v>2.25</v>
      </c>
      <c r="EN67" s="14">
        <v>3</v>
      </c>
      <c r="EO67" s="14">
        <v>3</v>
      </c>
      <c r="EP67" s="14">
        <v>3</v>
      </c>
      <c r="EQ67" s="14">
        <f>IFERROR(AVERAGE(Tabel1[[#This Row],[Do - F1a]:[Do - F1c]]),"")</f>
        <v>3</v>
      </c>
      <c r="ER67" s="14">
        <v>2</v>
      </c>
      <c r="ES67" s="14">
        <f>IFERROR(AVERAGE(Tabel1[[#This Row],[Do - F2a]:[Do - F2a]]),"")</f>
        <v>2</v>
      </c>
      <c r="ET67" s="14">
        <v>3</v>
      </c>
      <c r="EU67" s="14">
        <v>4</v>
      </c>
      <c r="EV67" s="14">
        <f>IFERROR(AVERAGE(Tabel1[[#This Row],[Do - F3a]:[Do - F3b]]),"")</f>
        <v>3.5</v>
      </c>
      <c r="EW67" s="14">
        <v>3</v>
      </c>
      <c r="EX67" s="14">
        <f>IFERROR(AVERAGE(Tabel1[[#This Row],[Do - F1]],Tabel1[[#This Row],[Do - F2]],Tabel1[[#This Row],[Do - F3]],Tabel1[[#This Row],[Do - F4]]),"")</f>
        <v>2.875</v>
      </c>
      <c r="EY67" s="14">
        <v>2</v>
      </c>
      <c r="EZ67" s="14">
        <v>1</v>
      </c>
      <c r="FA67" s="14">
        <v>4</v>
      </c>
      <c r="FB67" s="14">
        <f>IFERROR(AVERAGE(Tabel1[[#This Row],[Do - V1a]:[Do - V1c]]),"")</f>
        <v>2.3333333333333335</v>
      </c>
      <c r="FC67" s="14">
        <v>2</v>
      </c>
      <c r="FD67" s="14">
        <v>2</v>
      </c>
      <c r="FE67" s="14">
        <f>IFERROR(AVERAGE(Tabel1[[#This Row],[Do - V2a]:[Do - V2b]]),"")</f>
        <v>2</v>
      </c>
      <c r="FF67" s="14">
        <v>2</v>
      </c>
      <c r="FG67" s="14">
        <f>IFERROR(AVERAGE(Tabel1[[#This Row],[Do - V3a]:[Do - V3a]]),"")</f>
        <v>2</v>
      </c>
      <c r="FH67" s="14">
        <v>4</v>
      </c>
      <c r="FI67" s="14">
        <f>IFERROR(AVERAGE(Tabel1[[#This Row],[Do - V1]],Tabel1[[#This Row],[Do - V2]],Tabel1[[#This Row],[Do - V3]],Tabel1[[#This Row],[Do - V4]]),"")</f>
        <v>2.5833333333333335</v>
      </c>
      <c r="FJ67" s="14">
        <v>4</v>
      </c>
      <c r="FK67" s="14">
        <v>2</v>
      </c>
      <c r="FL67" s="14">
        <v>4</v>
      </c>
      <c r="FM67" s="14">
        <f>IFERROR(AVERAGE(Tabel1[[#This Row],[Do - A1a]:[Do - A1c]]),"")</f>
        <v>3.3333333333333335</v>
      </c>
      <c r="FN67" s="14">
        <v>2</v>
      </c>
      <c r="FO67" s="14">
        <v>3</v>
      </c>
      <c r="FP67" s="14">
        <f>IFERROR(AVERAGE(Tabel1[[#This Row],[Do - A2a]:[Do - A2b]]),"")</f>
        <v>2.5</v>
      </c>
      <c r="FQ67" s="14">
        <v>2</v>
      </c>
      <c r="FR67" s="14">
        <f>IFERROR(AVERAGE(Tabel1[[#This Row],[Do - A3a]:[Do - A3a]]),"")</f>
        <v>2</v>
      </c>
      <c r="FS67" s="14">
        <v>3</v>
      </c>
      <c r="FT67" s="14">
        <f>IFERROR(AVERAGE(Tabel1[[#This Row],[Do - A1]],Tabel1[[#This Row],[Do - A2]],Tabel1[[#This Row],[Do - A3]],Tabel1[[#This Row],[Do - A4]]),"")</f>
        <v>2.7083333333333335</v>
      </c>
      <c r="FU6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2.8144444444444447</v>
      </c>
      <c r="FV67" s="16" t="s">
        <v>523</v>
      </c>
      <c r="FW67" t="b">
        <v>1</v>
      </c>
    </row>
    <row r="68" spans="1:179" x14ac:dyDescent="0.3">
      <c r="A68" s="13">
        <v>44937.798194444447</v>
      </c>
      <c r="B68" t="b">
        <v>0</v>
      </c>
      <c r="C68" s="14" t="s">
        <v>524</v>
      </c>
      <c r="D68" s="14" t="s">
        <v>525</v>
      </c>
      <c r="E68" s="14" t="s">
        <v>526</v>
      </c>
      <c r="F68" s="14" t="s">
        <v>184</v>
      </c>
      <c r="G68" s="14" t="s">
        <v>527</v>
      </c>
      <c r="H68" s="14" t="s">
        <v>222</v>
      </c>
      <c r="I68" s="14" t="s">
        <v>195</v>
      </c>
      <c r="J68" s="14" t="s">
        <v>406</v>
      </c>
      <c r="K68" s="14" t="s">
        <v>187</v>
      </c>
      <c r="L68" s="14" t="s">
        <v>218</v>
      </c>
      <c r="M68" s="14" t="s">
        <v>233</v>
      </c>
      <c r="N68" s="14" t="s">
        <v>262</v>
      </c>
      <c r="O68" s="14" t="s">
        <v>200</v>
      </c>
      <c r="P68" s="17" t="s">
        <v>304</v>
      </c>
      <c r="Q68" s="14" t="s">
        <v>235</v>
      </c>
      <c r="R68" s="14" t="s">
        <v>235</v>
      </c>
      <c r="S68" s="14" t="s">
        <v>187</v>
      </c>
      <c r="T68" s="14" t="s">
        <v>204</v>
      </c>
      <c r="U68" s="14" t="s">
        <v>285</v>
      </c>
      <c r="V68" s="14" t="s">
        <v>359</v>
      </c>
      <c r="W68" s="14" t="s">
        <v>207</v>
      </c>
      <c r="X68" s="14" t="s">
        <v>207</v>
      </c>
      <c r="Y68" s="14">
        <v>2</v>
      </c>
      <c r="Z68" s="14">
        <v>3</v>
      </c>
      <c r="AA68" s="14" t="s">
        <v>189</v>
      </c>
      <c r="AB68" s="15">
        <f>IFERROR(AVERAGE(Tabel1[[#This Row],[Up - R1a]:[Up - R1c]]),"")</f>
        <v>2.5</v>
      </c>
      <c r="AC68" s="14">
        <v>1</v>
      </c>
      <c r="AD68" s="14">
        <v>4</v>
      </c>
      <c r="AE68" s="14" t="s">
        <v>189</v>
      </c>
      <c r="AF68" s="14" t="s">
        <v>189</v>
      </c>
      <c r="AG68" s="14">
        <f>IFERROR(AVERAGE(Tabel1[[#This Row],[Up - R1]:[Up - R5]]),"")</f>
        <v>2.5</v>
      </c>
      <c r="AH68" s="14">
        <v>4</v>
      </c>
      <c r="AI68" s="14">
        <v>3</v>
      </c>
      <c r="AJ68" s="14">
        <v>4</v>
      </c>
      <c r="AK68" s="14">
        <f>IFERROR(AVERAGE(Tabel1[[#This Row],[Up - C1a]:[Up - C1c]]),"")</f>
        <v>3.6666666666666665</v>
      </c>
      <c r="AL68" s="14">
        <v>1</v>
      </c>
      <c r="AM68" s="14">
        <v>1</v>
      </c>
      <c r="AN68" s="14" t="s">
        <v>189</v>
      </c>
      <c r="AO68" s="14">
        <f>IFERROR(AVERAGE(Tabel1[[#This Row],[Up - C1]:[Up - C4]]),"")</f>
        <v>1.8888888888888886</v>
      </c>
      <c r="AP68" s="14">
        <v>3</v>
      </c>
      <c r="AQ68" s="14">
        <f>IFERROR(AVERAGE(Tabel1[[#This Row],[Up - F1a]:[Up - F1a]]),"")</f>
        <v>3</v>
      </c>
      <c r="AR68" s="14">
        <v>2</v>
      </c>
      <c r="AS68" s="14">
        <v>1</v>
      </c>
      <c r="AT68" s="14">
        <f>IFERROR(AVERAGE(Tabel1[[#This Row],[Up - F2a]:[Up - F2b]]),"")</f>
        <v>1.5</v>
      </c>
      <c r="AU68" s="14" t="s">
        <v>189</v>
      </c>
      <c r="AV68" s="14">
        <v>2</v>
      </c>
      <c r="AW68" s="14">
        <f>IFERROR(AVERAGE(Tabel1[[#This Row],[Up - F3a]:[Up - F3b]]),"")</f>
        <v>2</v>
      </c>
      <c r="AX68" s="14">
        <v>2</v>
      </c>
      <c r="AY68" s="14">
        <f>IFERROR(AVERAGE(Tabel1[[#This Row],[Up - F1]],Tabel1[[#This Row],[Up - F2]],Tabel1[[#This Row],[Up - F3]],Tabel1[[#This Row],[Up - F4]]),"")</f>
        <v>2.125</v>
      </c>
      <c r="AZ68" s="14">
        <v>1</v>
      </c>
      <c r="BA68" s="14">
        <v>4</v>
      </c>
      <c r="BB68" s="14">
        <f>IFERROR(AVERAGE(Tabel1[[#This Row],[Up - V1a]:[Up - V1b]]),"")</f>
        <v>2.5</v>
      </c>
      <c r="BC68" s="14">
        <v>5</v>
      </c>
      <c r="BD68" s="14">
        <v>3</v>
      </c>
      <c r="BE68" s="14">
        <v>4</v>
      </c>
      <c r="BF68" s="14">
        <f>IFERROR(AVERAGE(Tabel1[[#This Row],[Up - V2a]:[Up - V2c]]),"")</f>
        <v>4</v>
      </c>
      <c r="BG68" s="14">
        <v>1</v>
      </c>
      <c r="BH68" s="14">
        <v>3</v>
      </c>
      <c r="BI68" s="14">
        <f>IFERROR(AVERAGE(Tabel1[[#This Row],[Up - V3a]:[Up - V3b]]),"")</f>
        <v>2</v>
      </c>
      <c r="BJ68" s="14">
        <v>4</v>
      </c>
      <c r="BK68" s="14">
        <f>IFERROR(AVERAGE(Tabel1[[#This Row],[Up - V1]],Tabel1[[#This Row],[Up - V2]],Tabel1[[#This Row],[Up - V3]],Tabel1[[#This Row],[Up - V4]]),"")</f>
        <v>3.125</v>
      </c>
      <c r="BL68" s="14">
        <v>3</v>
      </c>
      <c r="BM68" s="14">
        <v>3</v>
      </c>
      <c r="BN68" s="14">
        <v>2</v>
      </c>
      <c r="BO68" s="14" t="s">
        <v>189</v>
      </c>
      <c r="BP68" s="14">
        <f>IFERROR(AVERAGE(Tabel1[[#This Row],[Up - A1a]:[Up - A1d]]),"")</f>
        <v>2.6666666666666665</v>
      </c>
      <c r="BQ68" s="14">
        <v>3</v>
      </c>
      <c r="BR68" s="14">
        <v>3</v>
      </c>
      <c r="BS68" s="14">
        <f>IFERROR(AVERAGE(Tabel1[[#This Row],[Up - A2a]:[Up - A2b]]),"")</f>
        <v>3</v>
      </c>
      <c r="BT68" s="14">
        <v>3</v>
      </c>
      <c r="BU68" s="14">
        <f>IFERROR(AVERAGE(Tabel1[[#This Row],[Up - A3a]:[Up - A3a]]),"")</f>
        <v>3</v>
      </c>
      <c r="BV68" s="14">
        <v>4</v>
      </c>
      <c r="BW68" s="14">
        <f>IFERROR(AVERAGE(Tabel1[[#This Row],[Up - A1]],Tabel1[[#This Row],[Up - A2]],Tabel1[[#This Row],[Up - A3]]),"")</f>
        <v>2.8888888888888888</v>
      </c>
      <c r="BX68" s="14">
        <v>2</v>
      </c>
      <c r="BY68" s="14">
        <v>5</v>
      </c>
      <c r="BZ68" s="14">
        <f>IFERROR(AVERAGE(Tabel1[[#This Row],[In - R1a]:[In - R1b]]),"")</f>
        <v>3.5</v>
      </c>
      <c r="CA68" s="14">
        <v>3</v>
      </c>
      <c r="CB68" s="14">
        <v>5</v>
      </c>
      <c r="CC68" s="14">
        <v>2</v>
      </c>
      <c r="CD68" s="14" t="s">
        <v>189</v>
      </c>
      <c r="CE68" s="14">
        <f>IFERROR(AVERAGE(Tabel1[[#This Row],[In - R1]:[In - R5]]),"")</f>
        <v>3.375</v>
      </c>
      <c r="CF68" s="14">
        <v>5</v>
      </c>
      <c r="CG68" s="14">
        <v>5</v>
      </c>
      <c r="CH68" s="14">
        <v>5</v>
      </c>
      <c r="CI68" s="14">
        <f>IFERROR(AVERAGE(Tabel1[[#This Row],[In - C1a]:[In - C1c]]),"")</f>
        <v>5</v>
      </c>
      <c r="CJ68" s="14">
        <v>3</v>
      </c>
      <c r="CK68" s="14">
        <v>3</v>
      </c>
      <c r="CL68" s="14">
        <v>3</v>
      </c>
      <c r="CM68" s="14">
        <f>IFERROR(AVERAGE(Tabel1[[#This Row],[In - C1]:[In - C4]]),"")</f>
        <v>3.5</v>
      </c>
      <c r="CN68" s="14">
        <v>3</v>
      </c>
      <c r="CO68" s="14">
        <v>1</v>
      </c>
      <c r="CP68" s="14">
        <v>2</v>
      </c>
      <c r="CQ68" s="14">
        <f>IFERROR(AVERAGE(Tabel1[[#This Row],[In - F1a]:[In - F1c]]),"")</f>
        <v>2</v>
      </c>
      <c r="CR68" s="14">
        <v>4</v>
      </c>
      <c r="CS68" s="14">
        <v>1</v>
      </c>
      <c r="CT68" s="14">
        <f>IFERROR(AVERAGE(Tabel1[[#This Row],[In - F2a]:[In - F2b]]),"")</f>
        <v>2.5</v>
      </c>
      <c r="CU68" s="14">
        <v>1</v>
      </c>
      <c r="CV68" s="14">
        <f>IFERROR(AVERAGE(Tabel1[[#This Row],[In - F3a]:[In - F3a]]),"")</f>
        <v>1</v>
      </c>
      <c r="CW68" s="14" t="s">
        <v>189</v>
      </c>
      <c r="CX68" s="14">
        <f>IFERROR(AVERAGE(Tabel1[[#This Row],[In - F1]],Tabel1[[#This Row],[In - F2]],Tabel1[[#This Row],[In - F3]],Tabel1[[#This Row],[In - F4]]),"")</f>
        <v>1.8333333333333333</v>
      </c>
      <c r="CY68" s="14">
        <v>5</v>
      </c>
      <c r="CZ68" s="14">
        <v>4</v>
      </c>
      <c r="DA68" s="14">
        <v>3</v>
      </c>
      <c r="DB68" s="14">
        <f>IFERROR(AVERAGE(Tabel1[[#This Row],[In - V1a]:[In - V1c]]),"")</f>
        <v>4</v>
      </c>
      <c r="DC68" s="14">
        <v>5</v>
      </c>
      <c r="DD68" s="14">
        <v>4</v>
      </c>
      <c r="DE68" s="14">
        <v>4</v>
      </c>
      <c r="DF68" s="14">
        <f>IFERROR(AVERAGE(Tabel1[[#This Row],[In - V2a]:[In - V2c]]),"")</f>
        <v>4.333333333333333</v>
      </c>
      <c r="DG68" s="14">
        <v>3</v>
      </c>
      <c r="DH68" s="14">
        <v>3</v>
      </c>
      <c r="DI68" s="14">
        <f>IFERROR(AVERAGE(Tabel1[[#This Row],[In - V3a]:[In - V3b]]),"")</f>
        <v>3</v>
      </c>
      <c r="DJ68" s="14">
        <v>3</v>
      </c>
      <c r="DK68" s="14">
        <f>IFERROR(AVERAGE(Tabel1[[#This Row],[In - V1]],Tabel1[[#This Row],[In - V2]],Tabel1[[#This Row],[In - V3]],Tabel1[[#This Row],[In - V4]]),"")</f>
        <v>3.583333333333333</v>
      </c>
      <c r="DL68" s="14">
        <v>3</v>
      </c>
      <c r="DM68" s="14">
        <v>4</v>
      </c>
      <c r="DN68" s="14">
        <f>IFERROR(AVERAGE(Tabel1[[#This Row],[In - A1a]:[In - A1b]]),"")</f>
        <v>3.5</v>
      </c>
      <c r="DO68" s="14">
        <v>4</v>
      </c>
      <c r="DP68" s="14">
        <v>3</v>
      </c>
      <c r="DQ68" s="14">
        <f>IFERROR(AVERAGE(Tabel1[[#This Row],[In - A2a]:[In - A2b]]),"")</f>
        <v>3.5</v>
      </c>
      <c r="DR68" s="14">
        <v>4</v>
      </c>
      <c r="DS68" s="14">
        <v>3</v>
      </c>
      <c r="DT68" s="14">
        <f>IFERROR(AVERAGE(Tabel1[[#This Row],[In - A3a]:[In - A3a]]),"")</f>
        <v>4</v>
      </c>
      <c r="DU68" s="14">
        <v>4</v>
      </c>
      <c r="DV68" s="14">
        <f>IFERROR(AVERAGE(Tabel1[[#This Row],[In - A1]],Tabel1[[#This Row],[In - A2]],Tabel1[[#This Row],[In - A3]],Tabel1[[#This Row],[In - A4]]),"")</f>
        <v>3.75</v>
      </c>
      <c r="DW68" s="14">
        <v>4</v>
      </c>
      <c r="DX68" s="14">
        <v>5</v>
      </c>
      <c r="DY68" s="14" t="s">
        <v>189</v>
      </c>
      <c r="DZ68" s="14">
        <f>IFERROR(AVERAGE(Tabel1[[#This Row],[Do - R1a]:[Do - R1c]]),"")</f>
        <v>4.5</v>
      </c>
      <c r="EA68" s="14">
        <v>2</v>
      </c>
      <c r="EB68" s="14">
        <v>5</v>
      </c>
      <c r="EC68" s="14" t="s">
        <v>189</v>
      </c>
      <c r="ED68" s="14" t="s">
        <v>189</v>
      </c>
      <c r="EE68" s="14">
        <f>IFERROR(AVERAGE(Tabel1[[#This Row],[Do - R1]:[Do - R5]]),"")</f>
        <v>3.8333333333333335</v>
      </c>
      <c r="EF68" s="14">
        <v>5</v>
      </c>
      <c r="EG68" s="14">
        <v>4</v>
      </c>
      <c r="EH68" s="14">
        <v>5</v>
      </c>
      <c r="EI68" s="14">
        <f>IFERROR(AVERAGE(Tabel1[[#This Row],[Do - C1a]:[Do - C1c]]),"")</f>
        <v>4.666666666666667</v>
      </c>
      <c r="EJ68" s="14">
        <v>2</v>
      </c>
      <c r="EK68" s="14" t="s">
        <v>189</v>
      </c>
      <c r="EL68" s="14" t="s">
        <v>189</v>
      </c>
      <c r="EM68" s="14">
        <f>IFERROR(AVERAGE(Tabel1[[#This Row],[Do - C1]:[Do - C4]]),"")</f>
        <v>3.3333333333333335</v>
      </c>
      <c r="EN68" s="14">
        <v>1</v>
      </c>
      <c r="EO68" s="14" t="s">
        <v>189</v>
      </c>
      <c r="EP68" s="14">
        <v>3</v>
      </c>
      <c r="EQ68" s="14">
        <f>IFERROR(AVERAGE(Tabel1[[#This Row],[Do - F1a]:[Do - F1c]]),"")</f>
        <v>2</v>
      </c>
      <c r="ER68" s="14">
        <v>2</v>
      </c>
      <c r="ES68" s="14">
        <f>IFERROR(AVERAGE(Tabel1[[#This Row],[Do - F2a]:[Do - F2a]]),"")</f>
        <v>2</v>
      </c>
      <c r="ET68" s="14">
        <v>2</v>
      </c>
      <c r="EU68" s="14">
        <v>3</v>
      </c>
      <c r="EV68" s="14">
        <f>IFERROR(AVERAGE(Tabel1[[#This Row],[Do - F3a]:[Do - F3b]]),"")</f>
        <v>2.5</v>
      </c>
      <c r="EW68" s="14" t="s">
        <v>189</v>
      </c>
      <c r="EX68" s="14">
        <f>IFERROR(AVERAGE(Tabel1[[#This Row],[Do - F1]],Tabel1[[#This Row],[Do - F2]],Tabel1[[#This Row],[Do - F3]],Tabel1[[#This Row],[Do - F4]]),"")</f>
        <v>2.1666666666666665</v>
      </c>
      <c r="EY68" s="14">
        <v>2</v>
      </c>
      <c r="EZ68" s="14" t="s">
        <v>189</v>
      </c>
      <c r="FA68" s="14">
        <v>3</v>
      </c>
      <c r="FB68" s="14">
        <f>IFERROR(AVERAGE(Tabel1[[#This Row],[Do - V1a]:[Do - V1c]]),"")</f>
        <v>2.5</v>
      </c>
      <c r="FC68" s="14">
        <v>5</v>
      </c>
      <c r="FD68" s="14">
        <v>5</v>
      </c>
      <c r="FE68" s="14">
        <f>IFERROR(AVERAGE(Tabel1[[#This Row],[Do - V2a]:[Do - V2b]]),"")</f>
        <v>5</v>
      </c>
      <c r="FF68" s="14">
        <v>4</v>
      </c>
      <c r="FG68" s="14">
        <f>IFERROR(AVERAGE(Tabel1[[#This Row],[Do - V3a]:[Do - V3a]]),"")</f>
        <v>4</v>
      </c>
      <c r="FH68" s="14">
        <v>4</v>
      </c>
      <c r="FI68" s="14">
        <f>IFERROR(AVERAGE(Tabel1[[#This Row],[Do - V1]],Tabel1[[#This Row],[Do - V2]],Tabel1[[#This Row],[Do - V3]],Tabel1[[#This Row],[Do - V4]]),"")</f>
        <v>3.875</v>
      </c>
      <c r="FJ68" s="14">
        <v>4</v>
      </c>
      <c r="FK68" s="14">
        <v>4</v>
      </c>
      <c r="FL68" s="14">
        <v>5</v>
      </c>
      <c r="FM68" s="14">
        <f>IFERROR(AVERAGE(Tabel1[[#This Row],[Do - A1a]:[Do - A1c]]),"")</f>
        <v>4.333333333333333</v>
      </c>
      <c r="FN68" s="14">
        <v>4</v>
      </c>
      <c r="FO68" s="14">
        <v>4</v>
      </c>
      <c r="FP68" s="14">
        <f>IFERROR(AVERAGE(Tabel1[[#This Row],[Do - A2a]:[Do - A2b]]),"")</f>
        <v>4</v>
      </c>
      <c r="FQ68" s="14">
        <v>4</v>
      </c>
      <c r="FR68" s="14">
        <f>IFERROR(AVERAGE(Tabel1[[#This Row],[Do - A3a]:[Do - A3a]]),"")</f>
        <v>4</v>
      </c>
      <c r="FS68" s="14">
        <v>4</v>
      </c>
      <c r="FT68" s="14">
        <f>IFERROR(AVERAGE(Tabel1[[#This Row],[Do - A1]],Tabel1[[#This Row],[Do - A2]],Tabel1[[#This Row],[Do - A3]],Tabel1[[#This Row],[Do - A4]]),"")</f>
        <v>4.083333333333333</v>
      </c>
      <c r="FU6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3.0574074074074078</v>
      </c>
      <c r="FV68" s="16" t="s">
        <v>528</v>
      </c>
      <c r="FW68" t="b">
        <v>1</v>
      </c>
    </row>
    <row r="69" spans="1:179" x14ac:dyDescent="0.3">
      <c r="A69" s="13">
        <v>44939.320335648146</v>
      </c>
      <c r="B69" t="b">
        <v>0</v>
      </c>
      <c r="C69" s="14" t="s">
        <v>529</v>
      </c>
      <c r="D69" s="14" t="s">
        <v>530</v>
      </c>
      <c r="E69" s="14" t="s">
        <v>531</v>
      </c>
      <c r="F69" s="14" t="s">
        <v>184</v>
      </c>
      <c r="G69" s="14" t="s">
        <v>532</v>
      </c>
      <c r="H69" s="14" t="s">
        <v>222</v>
      </c>
      <c r="I69" s="14" t="s">
        <v>195</v>
      </c>
      <c r="J69" s="14" t="s">
        <v>533</v>
      </c>
      <c r="K69" s="14" t="s">
        <v>201</v>
      </c>
      <c r="L69" s="14" t="s">
        <v>197</v>
      </c>
      <c r="M69" s="14" t="s">
        <v>233</v>
      </c>
      <c r="N69" s="14" t="s">
        <v>262</v>
      </c>
      <c r="O69" s="14" t="s">
        <v>200</v>
      </c>
      <c r="P69" s="17" t="s">
        <v>255</v>
      </c>
      <c r="Q69" s="17" t="s">
        <v>304</v>
      </c>
      <c r="R69" s="14" t="s">
        <v>235</v>
      </c>
      <c r="S69" s="14" t="s">
        <v>203</v>
      </c>
      <c r="T69" s="14" t="s">
        <v>236</v>
      </c>
      <c r="U69" s="14" t="s">
        <v>349</v>
      </c>
      <c r="V69" s="14" t="s">
        <v>484</v>
      </c>
      <c r="W69" s="14" t="s">
        <v>395</v>
      </c>
      <c r="X69" s="14" t="s">
        <v>306</v>
      </c>
      <c r="Y69" s="14">
        <v>3</v>
      </c>
      <c r="Z69" s="14">
        <v>3</v>
      </c>
      <c r="AA69" s="14">
        <v>4</v>
      </c>
      <c r="AB69" s="15">
        <f>IFERROR(AVERAGE(Tabel1[[#This Row],[Up - R1a]:[Up - R1c]]),"")</f>
        <v>3.3333333333333335</v>
      </c>
      <c r="AC69" s="14">
        <v>3</v>
      </c>
      <c r="AD69" s="14">
        <v>2</v>
      </c>
      <c r="AE69" s="14">
        <v>1</v>
      </c>
      <c r="AF69" s="14">
        <v>3</v>
      </c>
      <c r="AG69" s="14">
        <f>IFERROR(AVERAGE(Tabel1[[#This Row],[Up - R1]:[Up - R5]]),"")</f>
        <v>2.4666666666666668</v>
      </c>
      <c r="AH69" s="14">
        <v>2</v>
      </c>
      <c r="AI69" s="14">
        <v>2</v>
      </c>
      <c r="AJ69" s="14">
        <v>3</v>
      </c>
      <c r="AK69" s="14">
        <f>IFERROR(AVERAGE(Tabel1[[#This Row],[Up - C1a]:[Up - C1c]]),"")</f>
        <v>2.3333333333333335</v>
      </c>
      <c r="AL69" s="14">
        <v>1</v>
      </c>
      <c r="AM69" s="14">
        <v>2</v>
      </c>
      <c r="AN69" s="14">
        <v>1</v>
      </c>
      <c r="AO69" s="14">
        <f>IFERROR(AVERAGE(Tabel1[[#This Row],[Up - C1]:[Up - C4]]),"")</f>
        <v>1.5833333333333335</v>
      </c>
      <c r="AP69" s="14">
        <v>1</v>
      </c>
      <c r="AQ69" s="14">
        <f>IFERROR(AVERAGE(Tabel1[[#This Row],[Up - F1a]:[Up - F1a]]),"")</f>
        <v>1</v>
      </c>
      <c r="AR69" s="14">
        <v>2</v>
      </c>
      <c r="AS69" s="14">
        <v>4</v>
      </c>
      <c r="AT69" s="14">
        <f>IFERROR(AVERAGE(Tabel1[[#This Row],[Up - F2a]:[Up - F2b]]),"")</f>
        <v>3</v>
      </c>
      <c r="AU69" s="14">
        <v>2</v>
      </c>
      <c r="AV69" s="14">
        <v>3</v>
      </c>
      <c r="AW69" s="14">
        <f>IFERROR(AVERAGE(Tabel1[[#This Row],[Up - F3a]:[Up - F3b]]),"")</f>
        <v>2.5</v>
      </c>
      <c r="AX69" s="14">
        <v>3</v>
      </c>
      <c r="AY69" s="14">
        <f>IFERROR(AVERAGE(Tabel1[[#This Row],[Up - F1]],Tabel1[[#This Row],[Up - F2]],Tabel1[[#This Row],[Up - F3]],Tabel1[[#This Row],[Up - F4]]),"")</f>
        <v>2.375</v>
      </c>
      <c r="AZ69" s="14">
        <v>2</v>
      </c>
      <c r="BA69" s="14">
        <v>2</v>
      </c>
      <c r="BB69" s="14">
        <f>IFERROR(AVERAGE(Tabel1[[#This Row],[Up - V1a]:[Up - V1b]]),"")</f>
        <v>2</v>
      </c>
      <c r="BC69" s="14">
        <v>3</v>
      </c>
      <c r="BD69" s="14">
        <v>2</v>
      </c>
      <c r="BE69" s="14">
        <v>2</v>
      </c>
      <c r="BF69" s="14">
        <f>IFERROR(AVERAGE(Tabel1[[#This Row],[Up - V2a]:[Up - V2c]]),"")</f>
        <v>2.3333333333333335</v>
      </c>
      <c r="BG69" s="14">
        <v>2</v>
      </c>
      <c r="BH69" s="14">
        <v>2</v>
      </c>
      <c r="BI69" s="14">
        <f>IFERROR(AVERAGE(Tabel1[[#This Row],[Up - V3a]:[Up - V3b]]),"")</f>
        <v>2</v>
      </c>
      <c r="BJ69" s="14">
        <v>2</v>
      </c>
      <c r="BK69" s="14">
        <f>IFERROR(AVERAGE(Tabel1[[#This Row],[Up - V1]],Tabel1[[#This Row],[Up - V2]],Tabel1[[#This Row],[Up - V3]],Tabel1[[#This Row],[Up - V4]]),"")</f>
        <v>2.0833333333333335</v>
      </c>
      <c r="BL69" s="14">
        <v>2</v>
      </c>
      <c r="BM69" s="14">
        <v>2</v>
      </c>
      <c r="BN69" s="14">
        <v>4</v>
      </c>
      <c r="BO69" s="14">
        <v>3</v>
      </c>
      <c r="BP69" s="14">
        <f>IFERROR(AVERAGE(Tabel1[[#This Row],[Up - A1a]:[Up - A1d]]),"")</f>
        <v>2.75</v>
      </c>
      <c r="BQ69" s="14">
        <v>3</v>
      </c>
      <c r="BR69" s="14">
        <v>3</v>
      </c>
      <c r="BS69" s="14">
        <f>IFERROR(AVERAGE(Tabel1[[#This Row],[Up - A2a]:[Up - A2b]]),"")</f>
        <v>3</v>
      </c>
      <c r="BT69" s="14">
        <v>4</v>
      </c>
      <c r="BU69" s="14">
        <f>IFERROR(AVERAGE(Tabel1[[#This Row],[Up - A3a]:[Up - A3a]]),"")</f>
        <v>4</v>
      </c>
      <c r="BV69" s="14">
        <v>3</v>
      </c>
      <c r="BW69" s="14">
        <f>IFERROR(AVERAGE(Tabel1[[#This Row],[Up - A1]],Tabel1[[#This Row],[Up - A2]],Tabel1[[#This Row],[Up - A3]]),"")</f>
        <v>3.25</v>
      </c>
      <c r="BX69" s="14">
        <v>2</v>
      </c>
      <c r="BY69" s="14">
        <v>2</v>
      </c>
      <c r="BZ69" s="14">
        <f>IFERROR(AVERAGE(Tabel1[[#This Row],[In - R1a]:[In - R1b]]),"")</f>
        <v>2</v>
      </c>
      <c r="CA69" s="14">
        <v>4</v>
      </c>
      <c r="CB69" s="14">
        <v>2</v>
      </c>
      <c r="CC69" s="14">
        <v>1</v>
      </c>
      <c r="CD69" s="14">
        <v>3</v>
      </c>
      <c r="CE69" s="14">
        <f>IFERROR(AVERAGE(Tabel1[[#This Row],[In - R1]:[In - R5]]),"")</f>
        <v>2.4</v>
      </c>
      <c r="CF69" s="14">
        <v>3</v>
      </c>
      <c r="CG69" s="14">
        <v>2</v>
      </c>
      <c r="CH69" s="14">
        <v>3</v>
      </c>
      <c r="CI69" s="14">
        <f>IFERROR(AVERAGE(Tabel1[[#This Row],[In - C1a]:[In - C1c]]),"")</f>
        <v>2.6666666666666665</v>
      </c>
      <c r="CJ69" s="14">
        <v>2</v>
      </c>
      <c r="CK69" s="14">
        <v>2</v>
      </c>
      <c r="CL69" s="14">
        <v>1</v>
      </c>
      <c r="CM69" s="14">
        <f>IFERROR(AVERAGE(Tabel1[[#This Row],[In - C1]:[In - C4]]),"")</f>
        <v>1.9166666666666665</v>
      </c>
      <c r="CN69" s="14">
        <v>2</v>
      </c>
      <c r="CO69" s="14">
        <v>2</v>
      </c>
      <c r="CP69" s="14">
        <v>1</v>
      </c>
      <c r="CQ69" s="14">
        <f>IFERROR(AVERAGE(Tabel1[[#This Row],[In - F1a]:[In - F1c]]),"")</f>
        <v>1.6666666666666667</v>
      </c>
      <c r="CR69" s="14">
        <v>2</v>
      </c>
      <c r="CS69" s="14">
        <v>3</v>
      </c>
      <c r="CT69" s="14">
        <f>IFERROR(AVERAGE(Tabel1[[#This Row],[In - F2a]:[In - F2b]]),"")</f>
        <v>2.5</v>
      </c>
      <c r="CU69" s="14">
        <v>4</v>
      </c>
      <c r="CV69" s="14">
        <f>IFERROR(AVERAGE(Tabel1[[#This Row],[In - F3a]:[In - F3a]]),"")</f>
        <v>4</v>
      </c>
      <c r="CW69" s="14">
        <v>3</v>
      </c>
      <c r="CX69" s="14">
        <f>IFERROR(AVERAGE(Tabel1[[#This Row],[In - F1]],Tabel1[[#This Row],[In - F2]],Tabel1[[#This Row],[In - F3]],Tabel1[[#This Row],[In - F4]]),"")</f>
        <v>2.791666666666667</v>
      </c>
      <c r="CY69" s="14">
        <v>4</v>
      </c>
      <c r="CZ69" s="14">
        <v>3</v>
      </c>
      <c r="DA69" s="14">
        <v>2</v>
      </c>
      <c r="DB69" s="14">
        <f>IFERROR(AVERAGE(Tabel1[[#This Row],[In - V1a]:[In - V1c]]),"")</f>
        <v>3</v>
      </c>
      <c r="DC69" s="14">
        <v>3</v>
      </c>
      <c r="DD69" s="14">
        <v>3</v>
      </c>
      <c r="DE69" s="14">
        <v>2</v>
      </c>
      <c r="DF69" s="14">
        <f>IFERROR(AVERAGE(Tabel1[[#This Row],[In - V2a]:[In - V2c]]),"")</f>
        <v>2.6666666666666665</v>
      </c>
      <c r="DG69" s="14">
        <v>3</v>
      </c>
      <c r="DH69" s="14">
        <v>4</v>
      </c>
      <c r="DI69" s="14">
        <f>IFERROR(AVERAGE(Tabel1[[#This Row],[In - V3a]:[In - V3b]]),"")</f>
        <v>3.5</v>
      </c>
      <c r="DJ69" s="14">
        <v>4</v>
      </c>
      <c r="DK69" s="14">
        <f>IFERROR(AVERAGE(Tabel1[[#This Row],[In - V1]],Tabel1[[#This Row],[In - V2]],Tabel1[[#This Row],[In - V3]],Tabel1[[#This Row],[In - V4]]),"")</f>
        <v>3.2916666666666665</v>
      </c>
      <c r="DL69" s="14">
        <v>3</v>
      </c>
      <c r="DM69" s="14">
        <v>3</v>
      </c>
      <c r="DN69" s="14">
        <f>IFERROR(AVERAGE(Tabel1[[#This Row],[In - A1a]:[In - A1b]]),"")</f>
        <v>3</v>
      </c>
      <c r="DO69" s="14">
        <v>4</v>
      </c>
      <c r="DP69" s="14">
        <v>2</v>
      </c>
      <c r="DQ69" s="14">
        <f>IFERROR(AVERAGE(Tabel1[[#This Row],[In - A2a]:[In - A2b]]),"")</f>
        <v>3</v>
      </c>
      <c r="DR69" s="14">
        <v>4</v>
      </c>
      <c r="DS69" s="14">
        <v>3</v>
      </c>
      <c r="DT69" s="14">
        <f>IFERROR(AVERAGE(Tabel1[[#This Row],[In - A3a]:[In - A3a]]),"")</f>
        <v>4</v>
      </c>
      <c r="DU69" s="14">
        <v>3</v>
      </c>
      <c r="DV69" s="14">
        <f>IFERROR(AVERAGE(Tabel1[[#This Row],[In - A1]],Tabel1[[#This Row],[In - A2]],Tabel1[[#This Row],[In - A3]],Tabel1[[#This Row],[In - A4]]),"")</f>
        <v>3.25</v>
      </c>
      <c r="DW69" s="14">
        <v>2</v>
      </c>
      <c r="DX69" s="14">
        <v>4</v>
      </c>
      <c r="DY69" s="14">
        <v>2</v>
      </c>
      <c r="DZ69" s="14">
        <f>IFERROR(AVERAGE(Tabel1[[#This Row],[Do - R1a]:[Do - R1c]]),"")</f>
        <v>2.6666666666666665</v>
      </c>
      <c r="EA69" s="14">
        <v>4</v>
      </c>
      <c r="EB69" s="14">
        <v>3</v>
      </c>
      <c r="EC69" s="14">
        <v>1</v>
      </c>
      <c r="ED69" s="14">
        <v>3</v>
      </c>
      <c r="EE69" s="14">
        <f>IFERROR(AVERAGE(Tabel1[[#This Row],[Do - R1]:[Do - R5]]),"")</f>
        <v>2.7333333333333334</v>
      </c>
      <c r="EF69" s="14">
        <v>4</v>
      </c>
      <c r="EG69" s="14">
        <v>3</v>
      </c>
      <c r="EH69" s="14" t="s">
        <v>189</v>
      </c>
      <c r="EI69" s="14">
        <f>IFERROR(AVERAGE(Tabel1[[#This Row],[Do - C1a]:[Do - C1c]]),"")</f>
        <v>3.5</v>
      </c>
      <c r="EJ69" s="14">
        <v>2</v>
      </c>
      <c r="EK69" s="14">
        <v>2</v>
      </c>
      <c r="EL69" s="14">
        <v>1</v>
      </c>
      <c r="EM69" s="14">
        <f>IFERROR(AVERAGE(Tabel1[[#This Row],[Do - C1]:[Do - C4]]),"")</f>
        <v>2.125</v>
      </c>
      <c r="EN69" s="14">
        <v>3</v>
      </c>
      <c r="EO69" s="14">
        <v>3</v>
      </c>
      <c r="EP69" s="14">
        <v>2</v>
      </c>
      <c r="EQ69" s="14">
        <f>IFERROR(AVERAGE(Tabel1[[#This Row],[Do - F1a]:[Do - F1c]]),"")</f>
        <v>2.6666666666666665</v>
      </c>
      <c r="ER69" s="14" t="s">
        <v>189</v>
      </c>
      <c r="ES69" s="14" t="str">
        <f>IFERROR(AVERAGE(Tabel1[[#This Row],[Do - F2a]:[Do - F2a]]),"")</f>
        <v/>
      </c>
      <c r="ET69" s="14">
        <v>3</v>
      </c>
      <c r="EU69" s="14">
        <v>3</v>
      </c>
      <c r="EV69" s="14">
        <f>IFERROR(AVERAGE(Tabel1[[#This Row],[Do - F3a]:[Do - F3b]]),"")</f>
        <v>3</v>
      </c>
      <c r="EW69" s="14">
        <v>3</v>
      </c>
      <c r="EX69" s="14">
        <f>IFERROR(AVERAGE(Tabel1[[#This Row],[Do - F1]],Tabel1[[#This Row],[Do - F2]],Tabel1[[#This Row],[Do - F3]],Tabel1[[#This Row],[Do - F4]]),"")</f>
        <v>2.8888888888888888</v>
      </c>
      <c r="EY69" s="14">
        <v>3</v>
      </c>
      <c r="EZ69" s="14">
        <v>3</v>
      </c>
      <c r="FA69" s="14">
        <v>2</v>
      </c>
      <c r="FB69" s="14">
        <f>IFERROR(AVERAGE(Tabel1[[#This Row],[Do - V1a]:[Do - V1c]]),"")</f>
        <v>2.6666666666666665</v>
      </c>
      <c r="FC69" s="14">
        <v>3</v>
      </c>
      <c r="FD69" s="14">
        <v>2</v>
      </c>
      <c r="FE69" s="14">
        <f>IFERROR(AVERAGE(Tabel1[[#This Row],[Do - V2a]:[Do - V2b]]),"")</f>
        <v>2.5</v>
      </c>
      <c r="FF69" s="14">
        <v>2</v>
      </c>
      <c r="FG69" s="14">
        <f>IFERROR(AVERAGE(Tabel1[[#This Row],[Do - V3a]:[Do - V3a]]),"")</f>
        <v>2</v>
      </c>
      <c r="FH69" s="14">
        <v>5</v>
      </c>
      <c r="FI69" s="14">
        <f>IFERROR(AVERAGE(Tabel1[[#This Row],[Do - V1]],Tabel1[[#This Row],[Do - V2]],Tabel1[[#This Row],[Do - V3]],Tabel1[[#This Row],[Do - V4]]),"")</f>
        <v>3.0416666666666665</v>
      </c>
      <c r="FJ69" s="14">
        <v>3</v>
      </c>
      <c r="FK69" s="14">
        <v>2</v>
      </c>
      <c r="FL69" s="14">
        <v>4</v>
      </c>
      <c r="FM69" s="14">
        <f>IFERROR(AVERAGE(Tabel1[[#This Row],[Do - A1a]:[Do - A1c]]),"")</f>
        <v>3</v>
      </c>
      <c r="FN69" s="14">
        <v>3</v>
      </c>
      <c r="FO69" s="14">
        <v>3</v>
      </c>
      <c r="FP69" s="14">
        <f>IFERROR(AVERAGE(Tabel1[[#This Row],[Do - A2a]:[Do - A2b]]),"")</f>
        <v>3</v>
      </c>
      <c r="FQ69" s="14">
        <v>4</v>
      </c>
      <c r="FR69" s="14">
        <f>IFERROR(AVERAGE(Tabel1[[#This Row],[Do - A3a]:[Do - A3a]]),"")</f>
        <v>4</v>
      </c>
      <c r="FS69" s="14">
        <v>4</v>
      </c>
      <c r="FT69" s="14">
        <f>IFERROR(AVERAGE(Tabel1[[#This Row],[Do - A1]],Tabel1[[#This Row],[Do - A2]],Tabel1[[#This Row],[Do - A3]],Tabel1[[#This Row],[Do - A4]]),"")</f>
        <v>3.5</v>
      </c>
      <c r="FU6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2.6464814814814814</v>
      </c>
      <c r="FV69" s="16" t="s">
        <v>534</v>
      </c>
      <c r="FW69" t="b">
        <v>1</v>
      </c>
    </row>
    <row r="70" spans="1:179" x14ac:dyDescent="0.3">
      <c r="A70" s="13">
        <v>44943.305335648147</v>
      </c>
      <c r="B70" t="b">
        <v>0</v>
      </c>
      <c r="C70" s="14" t="s">
        <v>535</v>
      </c>
      <c r="D70" s="14" t="s">
        <v>266</v>
      </c>
      <c r="E70" s="14" t="s">
        <v>267</v>
      </c>
      <c r="F70" s="14" t="s">
        <v>184</v>
      </c>
      <c r="G70" s="14" t="s">
        <v>536</v>
      </c>
      <c r="H70" s="14" t="s">
        <v>222</v>
      </c>
      <c r="I70" s="14" t="s">
        <v>195</v>
      </c>
      <c r="J70" s="14" t="s">
        <v>268</v>
      </c>
      <c r="K70" s="14" t="s">
        <v>202</v>
      </c>
      <c r="L70" s="14" t="s">
        <v>218</v>
      </c>
      <c r="M70" s="14" t="s">
        <v>233</v>
      </c>
      <c r="N70" s="14" t="s">
        <v>262</v>
      </c>
      <c r="O70" s="14" t="s">
        <v>200</v>
      </c>
      <c r="P70" s="17" t="s">
        <v>255</v>
      </c>
      <c r="Q70" s="14" t="s">
        <v>201</v>
      </c>
      <c r="R70" s="17" t="s">
        <v>304</v>
      </c>
      <c r="S70" s="14" t="s">
        <v>201</v>
      </c>
      <c r="T70" s="14" t="s">
        <v>236</v>
      </c>
      <c r="U70" s="14" t="s">
        <v>285</v>
      </c>
      <c r="V70" s="14" t="s">
        <v>359</v>
      </c>
      <c r="W70" s="14" t="s">
        <v>395</v>
      </c>
      <c r="X70" s="14" t="s">
        <v>395</v>
      </c>
      <c r="Y70" s="14">
        <v>3</v>
      </c>
      <c r="Z70" s="14">
        <v>4</v>
      </c>
      <c r="AA70" s="14">
        <v>3</v>
      </c>
      <c r="AB70" s="15">
        <f>IFERROR(AVERAGE(Tabel1[[#This Row],[Up - R1a]:[Up - R1c]]),"")</f>
        <v>3.3333333333333335</v>
      </c>
      <c r="AC70" s="14">
        <v>3</v>
      </c>
      <c r="AD70" s="14">
        <v>2</v>
      </c>
      <c r="AE70" s="14">
        <v>2</v>
      </c>
      <c r="AF70" s="14">
        <v>3</v>
      </c>
      <c r="AG70" s="14">
        <f>IFERROR(AVERAGE(Tabel1[[#This Row],[Up - R1]:[Up - R5]]),"")</f>
        <v>2.666666666666667</v>
      </c>
      <c r="AH70" s="14">
        <v>3</v>
      </c>
      <c r="AI70" s="14">
        <v>3</v>
      </c>
      <c r="AJ70" s="14">
        <v>2</v>
      </c>
      <c r="AK70" s="14">
        <f>IFERROR(AVERAGE(Tabel1[[#This Row],[Up - C1a]:[Up - C1c]]),"")</f>
        <v>2.6666666666666665</v>
      </c>
      <c r="AL70" s="14">
        <v>2</v>
      </c>
      <c r="AM70" s="14">
        <v>3</v>
      </c>
      <c r="AN70" s="14">
        <v>2</v>
      </c>
      <c r="AO70" s="14">
        <f>IFERROR(AVERAGE(Tabel1[[#This Row],[Up - C1]:[Up - C4]]),"")</f>
        <v>2.4166666666666665</v>
      </c>
      <c r="AP70" s="14">
        <v>4</v>
      </c>
      <c r="AQ70" s="14">
        <f>IFERROR(AVERAGE(Tabel1[[#This Row],[Up - F1a]:[Up - F1a]]),"")</f>
        <v>4</v>
      </c>
      <c r="AR70" s="14">
        <v>3</v>
      </c>
      <c r="AS70" s="14">
        <v>3</v>
      </c>
      <c r="AT70" s="14">
        <f>IFERROR(AVERAGE(Tabel1[[#This Row],[Up - F2a]:[Up - F2b]]),"")</f>
        <v>3</v>
      </c>
      <c r="AU70" s="14">
        <v>3</v>
      </c>
      <c r="AV70" s="14">
        <v>2</v>
      </c>
      <c r="AW70" s="14">
        <f>IFERROR(AVERAGE(Tabel1[[#This Row],[Up - F3a]:[Up - F3b]]),"")</f>
        <v>2.5</v>
      </c>
      <c r="AX70" s="14">
        <v>4</v>
      </c>
      <c r="AY70" s="14">
        <f>IFERROR(AVERAGE(Tabel1[[#This Row],[Up - F1]],Tabel1[[#This Row],[Up - F2]],Tabel1[[#This Row],[Up - F3]],Tabel1[[#This Row],[Up - F4]]),"")</f>
        <v>3.375</v>
      </c>
      <c r="AZ70" s="14">
        <v>2</v>
      </c>
      <c r="BA70" s="14">
        <v>4</v>
      </c>
      <c r="BB70" s="14">
        <f>IFERROR(AVERAGE(Tabel1[[#This Row],[Up - V1a]:[Up - V1b]]),"")</f>
        <v>3</v>
      </c>
      <c r="BC70" s="14">
        <v>3</v>
      </c>
      <c r="BD70" s="14">
        <v>2</v>
      </c>
      <c r="BE70" s="14">
        <v>3</v>
      </c>
      <c r="BF70" s="14">
        <f>IFERROR(AVERAGE(Tabel1[[#This Row],[Up - V2a]:[Up - V2c]]),"")</f>
        <v>2.6666666666666665</v>
      </c>
      <c r="BG70" s="14">
        <v>2</v>
      </c>
      <c r="BH70" s="14">
        <v>2</v>
      </c>
      <c r="BI70" s="14">
        <f>IFERROR(AVERAGE(Tabel1[[#This Row],[Up - V3a]:[Up - V3b]]),"")</f>
        <v>2</v>
      </c>
      <c r="BJ70" s="14">
        <v>2</v>
      </c>
      <c r="BK70" s="14">
        <f>IFERROR(AVERAGE(Tabel1[[#This Row],[Up - V1]],Tabel1[[#This Row],[Up - V2]],Tabel1[[#This Row],[Up - V3]],Tabel1[[#This Row],[Up - V4]]),"")</f>
        <v>2.4166666666666665</v>
      </c>
      <c r="BL70" s="14">
        <v>4</v>
      </c>
      <c r="BM70" s="14">
        <v>3</v>
      </c>
      <c r="BN70" s="14">
        <v>4</v>
      </c>
      <c r="BO70" s="14">
        <v>2</v>
      </c>
      <c r="BP70" s="14">
        <f>IFERROR(AVERAGE(Tabel1[[#This Row],[Up - A1a]:[Up - A1d]]),"")</f>
        <v>3.25</v>
      </c>
      <c r="BQ70" s="14">
        <v>3</v>
      </c>
      <c r="BR70" s="14">
        <v>3</v>
      </c>
      <c r="BS70" s="14">
        <f>IFERROR(AVERAGE(Tabel1[[#This Row],[Up - A2a]:[Up - A2b]]),"")</f>
        <v>3</v>
      </c>
      <c r="BT70" s="14">
        <v>4</v>
      </c>
      <c r="BU70" s="14">
        <f>IFERROR(AVERAGE(Tabel1[[#This Row],[Up - A3a]:[Up - A3a]]),"")</f>
        <v>4</v>
      </c>
      <c r="BV70" s="14">
        <v>2</v>
      </c>
      <c r="BW70" s="14">
        <f>IFERROR(AVERAGE(Tabel1[[#This Row],[Up - A1]],Tabel1[[#This Row],[Up - A2]],Tabel1[[#This Row],[Up - A3]]),"")</f>
        <v>3.4166666666666665</v>
      </c>
      <c r="BX70" s="14">
        <v>1</v>
      </c>
      <c r="BY70" s="14">
        <v>1</v>
      </c>
      <c r="BZ70" s="14">
        <f>IFERROR(AVERAGE(Tabel1[[#This Row],[In - R1a]:[In - R1b]]),"")</f>
        <v>1</v>
      </c>
      <c r="CA70" s="14">
        <v>2</v>
      </c>
      <c r="CB70" s="14">
        <v>1</v>
      </c>
      <c r="CC70" s="14">
        <v>2</v>
      </c>
      <c r="CD70" s="14">
        <v>2</v>
      </c>
      <c r="CE70" s="14">
        <f>IFERROR(AVERAGE(Tabel1[[#This Row],[In - R1]:[In - R5]]),"")</f>
        <v>1.6</v>
      </c>
      <c r="CF70" s="14">
        <v>4</v>
      </c>
      <c r="CG70" s="14">
        <v>2</v>
      </c>
      <c r="CH70" s="14">
        <v>4</v>
      </c>
      <c r="CI70" s="14">
        <f>IFERROR(AVERAGE(Tabel1[[#This Row],[In - C1a]:[In - C1c]]),"")</f>
        <v>3.3333333333333335</v>
      </c>
      <c r="CJ70" s="14">
        <v>3</v>
      </c>
      <c r="CK70" s="14">
        <v>2</v>
      </c>
      <c r="CL70" s="14">
        <v>2</v>
      </c>
      <c r="CM70" s="14">
        <f>IFERROR(AVERAGE(Tabel1[[#This Row],[In - C1]:[In - C4]]),"")</f>
        <v>2.5833333333333335</v>
      </c>
      <c r="CN70" s="14">
        <v>2</v>
      </c>
      <c r="CO70" s="14">
        <v>2</v>
      </c>
      <c r="CP70" s="14">
        <v>1</v>
      </c>
      <c r="CQ70" s="14">
        <f>IFERROR(AVERAGE(Tabel1[[#This Row],[In - F1a]:[In - F1c]]),"")</f>
        <v>1.6666666666666667</v>
      </c>
      <c r="CR70" s="14">
        <v>3</v>
      </c>
      <c r="CS70" s="14">
        <v>3</v>
      </c>
      <c r="CT70" s="14">
        <f>IFERROR(AVERAGE(Tabel1[[#This Row],[In - F2a]:[In - F2b]]),"")</f>
        <v>3</v>
      </c>
      <c r="CU70" s="14">
        <v>2</v>
      </c>
      <c r="CV70" s="14">
        <f>IFERROR(AVERAGE(Tabel1[[#This Row],[In - F3a]:[In - F3a]]),"")</f>
        <v>2</v>
      </c>
      <c r="CW70" s="14">
        <v>2</v>
      </c>
      <c r="CX70" s="14">
        <f>IFERROR(AVERAGE(Tabel1[[#This Row],[In - F1]],Tabel1[[#This Row],[In - F2]],Tabel1[[#This Row],[In - F3]],Tabel1[[#This Row],[In - F4]]),"")</f>
        <v>2.166666666666667</v>
      </c>
      <c r="CY70" s="14">
        <v>2</v>
      </c>
      <c r="CZ70" s="14">
        <v>3</v>
      </c>
      <c r="DA70" s="14">
        <v>2</v>
      </c>
      <c r="DB70" s="14">
        <f>IFERROR(AVERAGE(Tabel1[[#This Row],[In - V1a]:[In - V1c]]),"")</f>
        <v>2.3333333333333335</v>
      </c>
      <c r="DC70" s="14">
        <v>4</v>
      </c>
      <c r="DD70" s="14">
        <v>4</v>
      </c>
      <c r="DE70" s="14">
        <v>4</v>
      </c>
      <c r="DF70" s="14">
        <f>IFERROR(AVERAGE(Tabel1[[#This Row],[In - V2a]:[In - V2c]]),"")</f>
        <v>4</v>
      </c>
      <c r="DG70" s="14">
        <v>2</v>
      </c>
      <c r="DH70" s="14">
        <v>4</v>
      </c>
      <c r="DI70" s="14">
        <f>IFERROR(AVERAGE(Tabel1[[#This Row],[In - V3a]:[In - V3b]]),"")</f>
        <v>3</v>
      </c>
      <c r="DJ70" s="14">
        <v>3</v>
      </c>
      <c r="DK70" s="14">
        <f>IFERROR(AVERAGE(Tabel1[[#This Row],[In - V1]],Tabel1[[#This Row],[In - V2]],Tabel1[[#This Row],[In - V3]],Tabel1[[#This Row],[In - V4]]),"")</f>
        <v>3.0833333333333335</v>
      </c>
      <c r="DL70" s="14">
        <v>2</v>
      </c>
      <c r="DM70" s="14">
        <v>3</v>
      </c>
      <c r="DN70" s="14">
        <f>IFERROR(AVERAGE(Tabel1[[#This Row],[In - A1a]:[In - A1b]]),"")</f>
        <v>2.5</v>
      </c>
      <c r="DO70" s="14">
        <v>3</v>
      </c>
      <c r="DP70" s="14">
        <v>2</v>
      </c>
      <c r="DQ70" s="14">
        <f>IFERROR(AVERAGE(Tabel1[[#This Row],[In - A2a]:[In - A2b]]),"")</f>
        <v>2.5</v>
      </c>
      <c r="DR70" s="14">
        <v>4</v>
      </c>
      <c r="DS70" s="14">
        <v>2</v>
      </c>
      <c r="DT70" s="14">
        <f>IFERROR(AVERAGE(Tabel1[[#This Row],[In - A3a]:[In - A3a]]),"")</f>
        <v>4</v>
      </c>
      <c r="DU70" s="14">
        <v>2</v>
      </c>
      <c r="DV70" s="14">
        <f>IFERROR(AVERAGE(Tabel1[[#This Row],[In - A1]],Tabel1[[#This Row],[In - A2]],Tabel1[[#This Row],[In - A3]],Tabel1[[#This Row],[In - A4]]),"")</f>
        <v>2.75</v>
      </c>
      <c r="DW70" s="14">
        <v>3</v>
      </c>
      <c r="DX70" s="14">
        <v>4</v>
      </c>
      <c r="DY70" s="14">
        <v>4</v>
      </c>
      <c r="DZ70" s="14">
        <f>IFERROR(AVERAGE(Tabel1[[#This Row],[Do - R1a]:[Do - R1c]]),"")</f>
        <v>3.6666666666666665</v>
      </c>
      <c r="EA70" s="14">
        <v>3</v>
      </c>
      <c r="EB70" s="14">
        <v>4</v>
      </c>
      <c r="EC70" s="14">
        <v>3</v>
      </c>
      <c r="ED70" s="14">
        <v>5</v>
      </c>
      <c r="EE70" s="14">
        <f>IFERROR(AVERAGE(Tabel1[[#This Row],[Do - R1]:[Do - R5]]),"")</f>
        <v>3.7333333333333329</v>
      </c>
      <c r="EF70" s="14">
        <v>4</v>
      </c>
      <c r="EG70" s="14">
        <v>3</v>
      </c>
      <c r="EH70" s="14">
        <v>2</v>
      </c>
      <c r="EI70" s="14">
        <f>IFERROR(AVERAGE(Tabel1[[#This Row],[Do - C1a]:[Do - C1c]]),"")</f>
        <v>3</v>
      </c>
      <c r="EJ70" s="14">
        <v>2</v>
      </c>
      <c r="EK70" s="14">
        <v>2</v>
      </c>
      <c r="EL70" s="14">
        <v>2</v>
      </c>
      <c r="EM70" s="14">
        <f>IFERROR(AVERAGE(Tabel1[[#This Row],[Do - C1]:[Do - C4]]),"")</f>
        <v>2.25</v>
      </c>
      <c r="EN70" s="14">
        <v>3</v>
      </c>
      <c r="EO70" s="14">
        <v>3</v>
      </c>
      <c r="EP70" s="14">
        <v>2</v>
      </c>
      <c r="EQ70" s="14">
        <f>IFERROR(AVERAGE(Tabel1[[#This Row],[Do - F1a]:[Do - F1c]]),"")</f>
        <v>2.6666666666666665</v>
      </c>
      <c r="ER70" s="14">
        <v>2</v>
      </c>
      <c r="ES70" s="14">
        <f>IFERROR(AVERAGE(Tabel1[[#This Row],[Do - F2a]:[Do - F2a]]),"")</f>
        <v>2</v>
      </c>
      <c r="ET70" s="14">
        <v>4</v>
      </c>
      <c r="EU70" s="14">
        <v>3</v>
      </c>
      <c r="EV70" s="14">
        <f>IFERROR(AVERAGE(Tabel1[[#This Row],[Do - F3a]:[Do - F3b]]),"")</f>
        <v>3.5</v>
      </c>
      <c r="EW70" s="14">
        <v>2</v>
      </c>
      <c r="EX70" s="14">
        <f>IFERROR(AVERAGE(Tabel1[[#This Row],[Do - F1]],Tabel1[[#This Row],[Do - F2]],Tabel1[[#This Row],[Do - F3]],Tabel1[[#This Row],[Do - F4]]),"")</f>
        <v>2.5416666666666665</v>
      </c>
      <c r="EY70" s="14">
        <v>2</v>
      </c>
      <c r="EZ70" s="14">
        <v>1</v>
      </c>
      <c r="FA70" s="14">
        <v>4</v>
      </c>
      <c r="FB70" s="14">
        <f>IFERROR(AVERAGE(Tabel1[[#This Row],[Do - V1a]:[Do - V1c]]),"")</f>
        <v>2.3333333333333335</v>
      </c>
      <c r="FC70" s="14">
        <v>2</v>
      </c>
      <c r="FD70" s="14">
        <v>3</v>
      </c>
      <c r="FE70" s="14">
        <f>IFERROR(AVERAGE(Tabel1[[#This Row],[Do - V2a]:[Do - V2b]]),"")</f>
        <v>2.5</v>
      </c>
      <c r="FF70" s="14">
        <v>3</v>
      </c>
      <c r="FG70" s="14">
        <f>IFERROR(AVERAGE(Tabel1[[#This Row],[Do - V3a]:[Do - V3a]]),"")</f>
        <v>3</v>
      </c>
      <c r="FH70" s="14">
        <v>3</v>
      </c>
      <c r="FI70" s="14">
        <f>IFERROR(AVERAGE(Tabel1[[#This Row],[Do - V1]],Tabel1[[#This Row],[Do - V2]],Tabel1[[#This Row],[Do - V3]],Tabel1[[#This Row],[Do - V4]]),"")</f>
        <v>2.7083333333333335</v>
      </c>
      <c r="FJ70" s="14">
        <v>3</v>
      </c>
      <c r="FK70" s="14">
        <v>3</v>
      </c>
      <c r="FL70" s="14">
        <v>3</v>
      </c>
      <c r="FM70" s="14">
        <f>IFERROR(AVERAGE(Tabel1[[#This Row],[Do - A1a]:[Do - A1c]]),"")</f>
        <v>3</v>
      </c>
      <c r="FN70" s="14">
        <v>3</v>
      </c>
      <c r="FO70" s="14">
        <v>4</v>
      </c>
      <c r="FP70" s="14">
        <f>IFERROR(AVERAGE(Tabel1[[#This Row],[Do - A2a]:[Do - A2b]]),"")</f>
        <v>3.5</v>
      </c>
      <c r="FQ70" s="14">
        <v>4</v>
      </c>
      <c r="FR70" s="14">
        <f>IFERROR(AVERAGE(Tabel1[[#This Row],[Do - A3a]:[Do - A3a]]),"")</f>
        <v>4</v>
      </c>
      <c r="FS70" s="14">
        <v>4</v>
      </c>
      <c r="FT70" s="14">
        <f>IFERROR(AVERAGE(Tabel1[[#This Row],[Do - A1]],Tabel1[[#This Row],[Do - A2]],Tabel1[[#This Row],[Do - A3]],Tabel1[[#This Row],[Do - A4]]),"")</f>
        <v>3.625</v>
      </c>
      <c r="FU7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2.7555555555555551</v>
      </c>
      <c r="FV70" s="16" t="s">
        <v>537</v>
      </c>
      <c r="FW70" t="b">
        <v>1</v>
      </c>
    </row>
    <row r="71" spans="1:179" x14ac:dyDescent="0.3">
      <c r="A71" s="13">
        <v>44944.314432870371</v>
      </c>
      <c r="B71" t="b">
        <v>0</v>
      </c>
      <c r="C71" s="14" t="s">
        <v>538</v>
      </c>
      <c r="D71" s="14" t="s">
        <v>539</v>
      </c>
      <c r="E71" s="14" t="s">
        <v>540</v>
      </c>
      <c r="F71" s="14" t="s">
        <v>184</v>
      </c>
      <c r="G71" s="14" t="s">
        <v>541</v>
      </c>
      <c r="H71" s="14" t="s">
        <v>222</v>
      </c>
      <c r="I71" s="14" t="s">
        <v>542</v>
      </c>
      <c r="J71" s="14" t="s">
        <v>543</v>
      </c>
      <c r="K71" s="17" t="s">
        <v>304</v>
      </c>
      <c r="L71" s="14" t="s">
        <v>197</v>
      </c>
      <c r="M71" s="14" t="s">
        <v>198</v>
      </c>
      <c r="N71" s="14" t="s">
        <v>479</v>
      </c>
      <c r="O71" s="14" t="s">
        <v>200</v>
      </c>
      <c r="P71" s="17" t="s">
        <v>255</v>
      </c>
      <c r="Q71" s="17" t="s">
        <v>304</v>
      </c>
      <c r="R71" s="14" t="s">
        <v>201</v>
      </c>
      <c r="S71" s="17" t="s">
        <v>304</v>
      </c>
      <c r="T71" s="14" t="s">
        <v>236</v>
      </c>
      <c r="U71" s="14" t="s">
        <v>285</v>
      </c>
      <c r="V71" s="14" t="s">
        <v>224</v>
      </c>
      <c r="W71" s="14" t="s">
        <v>306</v>
      </c>
      <c r="X71" s="14" t="s">
        <v>207</v>
      </c>
      <c r="Y71" s="14">
        <v>3</v>
      </c>
      <c r="Z71" s="14">
        <v>3</v>
      </c>
      <c r="AA71" s="14">
        <v>3</v>
      </c>
      <c r="AB71" s="15">
        <f>IFERROR(AVERAGE(Tabel1[[#This Row],[Up - R1a]:[Up - R1c]]),"")</f>
        <v>3</v>
      </c>
      <c r="AC71" s="14">
        <v>3</v>
      </c>
      <c r="AD71" s="14">
        <v>3</v>
      </c>
      <c r="AE71" s="14">
        <v>2</v>
      </c>
      <c r="AF71" s="14">
        <v>4</v>
      </c>
      <c r="AG71" s="14">
        <f>IFERROR(AVERAGE(Tabel1[[#This Row],[Up - R1]:[Up - R5]]),"")</f>
        <v>3</v>
      </c>
      <c r="AH71" s="14">
        <v>4</v>
      </c>
      <c r="AI71" s="14">
        <v>4</v>
      </c>
      <c r="AJ71" s="14">
        <v>4</v>
      </c>
      <c r="AK71" s="14">
        <f>IFERROR(AVERAGE(Tabel1[[#This Row],[Up - C1a]:[Up - C1c]]),"")</f>
        <v>4</v>
      </c>
      <c r="AL71" s="14">
        <v>3</v>
      </c>
      <c r="AM71" s="14">
        <v>3</v>
      </c>
      <c r="AN71" s="14">
        <v>2</v>
      </c>
      <c r="AO71" s="14">
        <f>IFERROR(AVERAGE(Tabel1[[#This Row],[Up - C1]:[Up - C4]]),"")</f>
        <v>3</v>
      </c>
      <c r="AP71" s="14">
        <v>1</v>
      </c>
      <c r="AQ71" s="14">
        <f>IFERROR(AVERAGE(Tabel1[[#This Row],[Up - F1a]:[Up - F1a]]),"")</f>
        <v>1</v>
      </c>
      <c r="AR71" s="14">
        <v>1</v>
      </c>
      <c r="AS71" s="14">
        <v>3</v>
      </c>
      <c r="AT71" s="14">
        <f>IFERROR(AVERAGE(Tabel1[[#This Row],[Up - F2a]:[Up - F2b]]),"")</f>
        <v>2</v>
      </c>
      <c r="AU71" s="14">
        <v>4</v>
      </c>
      <c r="AV71" s="14">
        <v>3</v>
      </c>
      <c r="AW71" s="14">
        <f>IFERROR(AVERAGE(Tabel1[[#This Row],[Up - F3a]:[Up - F3b]]),"")</f>
        <v>3.5</v>
      </c>
      <c r="AX71" s="14">
        <v>3</v>
      </c>
      <c r="AY71" s="14">
        <f>IFERROR(AVERAGE(Tabel1[[#This Row],[Up - F1]],Tabel1[[#This Row],[Up - F2]],Tabel1[[#This Row],[Up - F3]],Tabel1[[#This Row],[Up - F4]]),"")</f>
        <v>2.375</v>
      </c>
      <c r="AZ71" s="14">
        <v>4</v>
      </c>
      <c r="BA71" s="14">
        <v>4</v>
      </c>
      <c r="BB71" s="14">
        <f>IFERROR(AVERAGE(Tabel1[[#This Row],[Up - V1a]:[Up - V1b]]),"")</f>
        <v>4</v>
      </c>
      <c r="BC71" s="14">
        <v>3</v>
      </c>
      <c r="BD71" s="14">
        <v>5</v>
      </c>
      <c r="BE71" s="14">
        <v>3</v>
      </c>
      <c r="BF71" s="14">
        <f>IFERROR(AVERAGE(Tabel1[[#This Row],[Up - V2a]:[Up - V2c]]),"")</f>
        <v>3.6666666666666665</v>
      </c>
      <c r="BG71" s="14">
        <v>3</v>
      </c>
      <c r="BH71" s="14">
        <v>1</v>
      </c>
      <c r="BI71" s="14">
        <f>IFERROR(AVERAGE(Tabel1[[#This Row],[Up - V3a]:[Up - V3b]]),"")</f>
        <v>2</v>
      </c>
      <c r="BJ71" s="14">
        <v>1</v>
      </c>
      <c r="BK71" s="14">
        <f>IFERROR(AVERAGE(Tabel1[[#This Row],[Up - V1]],Tabel1[[#This Row],[Up - V2]],Tabel1[[#This Row],[Up - V3]],Tabel1[[#This Row],[Up - V4]]),"")</f>
        <v>2.6666666666666665</v>
      </c>
      <c r="BL71" s="14">
        <v>4</v>
      </c>
      <c r="BM71" s="14">
        <v>4</v>
      </c>
      <c r="BN71" s="14">
        <v>2</v>
      </c>
      <c r="BO71" s="14">
        <v>2</v>
      </c>
      <c r="BP71" s="14">
        <f>IFERROR(AVERAGE(Tabel1[[#This Row],[Up - A1a]:[Up - A1d]]),"")</f>
        <v>3</v>
      </c>
      <c r="BQ71" s="14">
        <v>4</v>
      </c>
      <c r="BR71" s="14">
        <v>3</v>
      </c>
      <c r="BS71" s="14">
        <f>IFERROR(AVERAGE(Tabel1[[#This Row],[Up - A2a]:[Up - A2b]]),"")</f>
        <v>3.5</v>
      </c>
      <c r="BT71" s="14">
        <v>4</v>
      </c>
      <c r="BU71" s="14">
        <f>IFERROR(AVERAGE(Tabel1[[#This Row],[Up - A3a]:[Up - A3a]]),"")</f>
        <v>4</v>
      </c>
      <c r="BV71" s="14">
        <v>1</v>
      </c>
      <c r="BW71" s="14">
        <f>IFERROR(AVERAGE(Tabel1[[#This Row],[Up - A1]],Tabel1[[#This Row],[Up - A2]],Tabel1[[#This Row],[Up - A3]]),"")</f>
        <v>3.5</v>
      </c>
      <c r="BX71" s="14">
        <v>2</v>
      </c>
      <c r="BY71" s="14">
        <v>1</v>
      </c>
      <c r="BZ71" s="14">
        <f>IFERROR(AVERAGE(Tabel1[[#This Row],[In - R1a]:[In - R1b]]),"")</f>
        <v>1.5</v>
      </c>
      <c r="CA71" s="14">
        <v>5</v>
      </c>
      <c r="CB71" s="14">
        <v>3</v>
      </c>
      <c r="CC71" s="14">
        <v>5</v>
      </c>
      <c r="CD71" s="14">
        <v>4</v>
      </c>
      <c r="CE71" s="14">
        <f>IFERROR(AVERAGE(Tabel1[[#This Row],[In - R1]:[In - R5]]),"")</f>
        <v>3.7</v>
      </c>
      <c r="CF71" s="14">
        <v>3</v>
      </c>
      <c r="CG71" s="14">
        <v>3</v>
      </c>
      <c r="CH71" s="14">
        <v>4</v>
      </c>
      <c r="CI71" s="14">
        <f>IFERROR(AVERAGE(Tabel1[[#This Row],[In - C1a]:[In - C1c]]),"")</f>
        <v>3.3333333333333335</v>
      </c>
      <c r="CJ71" s="14">
        <v>2</v>
      </c>
      <c r="CK71" s="14">
        <v>3</v>
      </c>
      <c r="CL71" s="14">
        <v>3</v>
      </c>
      <c r="CM71" s="14">
        <f>IFERROR(AVERAGE(Tabel1[[#This Row],[In - C1]:[In - C4]]),"")</f>
        <v>2.8333333333333335</v>
      </c>
      <c r="CN71" s="14">
        <v>4</v>
      </c>
      <c r="CO71" s="14">
        <v>5</v>
      </c>
      <c r="CP71" s="14">
        <v>4</v>
      </c>
      <c r="CQ71" s="14">
        <f>IFERROR(AVERAGE(Tabel1[[#This Row],[In - F1a]:[In - F1c]]),"")</f>
        <v>4.333333333333333</v>
      </c>
      <c r="CR71" s="14">
        <v>4</v>
      </c>
      <c r="CS71" s="14">
        <v>4</v>
      </c>
      <c r="CT71" s="14">
        <f>IFERROR(AVERAGE(Tabel1[[#This Row],[In - F2a]:[In - F2b]]),"")</f>
        <v>4</v>
      </c>
      <c r="CU71" s="14">
        <v>4</v>
      </c>
      <c r="CV71" s="14">
        <f>IFERROR(AVERAGE(Tabel1[[#This Row],[In - F3a]:[In - F3a]]),"")</f>
        <v>4</v>
      </c>
      <c r="CW71" s="14">
        <v>3</v>
      </c>
      <c r="CX71" s="14">
        <f>IFERROR(AVERAGE(Tabel1[[#This Row],[In - F1]],Tabel1[[#This Row],[In - F2]],Tabel1[[#This Row],[In - F3]],Tabel1[[#This Row],[In - F4]]),"")</f>
        <v>3.833333333333333</v>
      </c>
      <c r="CY71" s="14">
        <v>4</v>
      </c>
      <c r="CZ71" s="14">
        <v>4</v>
      </c>
      <c r="DA71" s="14">
        <v>3</v>
      </c>
      <c r="DB71" s="14">
        <f>IFERROR(AVERAGE(Tabel1[[#This Row],[In - V1a]:[In - V1c]]),"")</f>
        <v>3.6666666666666665</v>
      </c>
      <c r="DC71" s="14">
        <v>1</v>
      </c>
      <c r="DD71" s="14">
        <v>3</v>
      </c>
      <c r="DE71" s="14">
        <v>2</v>
      </c>
      <c r="DF71" s="14">
        <f>IFERROR(AVERAGE(Tabel1[[#This Row],[In - V2a]:[In - V2c]]),"")</f>
        <v>2</v>
      </c>
      <c r="DG71" s="14">
        <v>3</v>
      </c>
      <c r="DH71" s="14">
        <v>2</v>
      </c>
      <c r="DI71" s="14">
        <f>IFERROR(AVERAGE(Tabel1[[#This Row],[In - V3a]:[In - V3b]]),"")</f>
        <v>2.5</v>
      </c>
      <c r="DJ71" s="14">
        <v>3</v>
      </c>
      <c r="DK71" s="14">
        <f>IFERROR(AVERAGE(Tabel1[[#This Row],[In - V1]],Tabel1[[#This Row],[In - V2]],Tabel1[[#This Row],[In - V3]],Tabel1[[#This Row],[In - V4]]),"")</f>
        <v>2.7916666666666665</v>
      </c>
      <c r="DL71" s="14">
        <v>5</v>
      </c>
      <c r="DM71" s="14">
        <v>4</v>
      </c>
      <c r="DN71" s="14">
        <f>IFERROR(AVERAGE(Tabel1[[#This Row],[In - A1a]:[In - A1b]]),"")</f>
        <v>4.5</v>
      </c>
      <c r="DO71" s="14">
        <v>3</v>
      </c>
      <c r="DP71" s="14">
        <v>4</v>
      </c>
      <c r="DQ71" s="14">
        <f>IFERROR(AVERAGE(Tabel1[[#This Row],[In - A2a]:[In - A2b]]),"")</f>
        <v>3.5</v>
      </c>
      <c r="DR71" s="14">
        <v>5</v>
      </c>
      <c r="DS71" s="14">
        <v>5</v>
      </c>
      <c r="DT71" s="14">
        <f>IFERROR(AVERAGE(Tabel1[[#This Row],[In - A3a]:[In - A3a]]),"")</f>
        <v>5</v>
      </c>
      <c r="DU71" s="14">
        <v>3</v>
      </c>
      <c r="DV71" s="14">
        <f>IFERROR(AVERAGE(Tabel1[[#This Row],[In - A1]],Tabel1[[#This Row],[In - A2]],Tabel1[[#This Row],[In - A3]],Tabel1[[#This Row],[In - A4]]),"")</f>
        <v>4</v>
      </c>
      <c r="DW71" s="14">
        <v>4</v>
      </c>
      <c r="DX71" s="14">
        <v>5</v>
      </c>
      <c r="DY71" s="14">
        <v>4</v>
      </c>
      <c r="DZ71" s="14">
        <f>IFERROR(AVERAGE(Tabel1[[#This Row],[Do - R1a]:[Do - R1c]]),"")</f>
        <v>4.333333333333333</v>
      </c>
      <c r="EA71" s="14">
        <v>3</v>
      </c>
      <c r="EB71" s="14">
        <v>3</v>
      </c>
      <c r="EC71" s="14">
        <v>3</v>
      </c>
      <c r="ED71" s="14">
        <v>3</v>
      </c>
      <c r="EE71" s="14">
        <f>IFERROR(AVERAGE(Tabel1[[#This Row],[Do - R1]:[Do - R5]]),"")</f>
        <v>3.2666666666666666</v>
      </c>
      <c r="EF71" s="14">
        <v>4</v>
      </c>
      <c r="EG71" s="14">
        <v>4</v>
      </c>
      <c r="EH71" s="14">
        <v>4</v>
      </c>
      <c r="EI71" s="14">
        <f>IFERROR(AVERAGE(Tabel1[[#This Row],[Do - C1a]:[Do - C1c]]),"")</f>
        <v>4</v>
      </c>
      <c r="EJ71" s="14">
        <v>5</v>
      </c>
      <c r="EK71" s="14">
        <v>2</v>
      </c>
      <c r="EL71" s="14">
        <v>4</v>
      </c>
      <c r="EM71" s="14">
        <f>IFERROR(AVERAGE(Tabel1[[#This Row],[Do - C1]:[Do - C4]]),"")</f>
        <v>3.75</v>
      </c>
      <c r="EN71" s="14">
        <v>3</v>
      </c>
      <c r="EO71" s="14">
        <v>3</v>
      </c>
      <c r="EP71" s="14">
        <v>4</v>
      </c>
      <c r="EQ71" s="14">
        <f>IFERROR(AVERAGE(Tabel1[[#This Row],[Do - F1a]:[Do - F1c]]),"")</f>
        <v>3.3333333333333335</v>
      </c>
      <c r="ER71" s="14">
        <v>4</v>
      </c>
      <c r="ES71" s="14">
        <f>IFERROR(AVERAGE(Tabel1[[#This Row],[Do - F2a]:[Do - F2a]]),"")</f>
        <v>4</v>
      </c>
      <c r="ET71" s="14">
        <v>4</v>
      </c>
      <c r="EU71" s="14">
        <v>3</v>
      </c>
      <c r="EV71" s="14">
        <f>IFERROR(AVERAGE(Tabel1[[#This Row],[Do - F3a]:[Do - F3b]]),"")</f>
        <v>3.5</v>
      </c>
      <c r="EW71" s="14">
        <v>2</v>
      </c>
      <c r="EX71" s="14">
        <f>IFERROR(AVERAGE(Tabel1[[#This Row],[Do - F1]],Tabel1[[#This Row],[Do - F2]],Tabel1[[#This Row],[Do - F3]],Tabel1[[#This Row],[Do - F4]]),"")</f>
        <v>3.2083333333333335</v>
      </c>
      <c r="EY71" s="14">
        <v>4</v>
      </c>
      <c r="EZ71" s="14">
        <v>2</v>
      </c>
      <c r="FA71" s="14">
        <v>4</v>
      </c>
      <c r="FB71" s="14">
        <f>IFERROR(AVERAGE(Tabel1[[#This Row],[Do - V1a]:[Do - V1c]]),"")</f>
        <v>3.3333333333333335</v>
      </c>
      <c r="FC71" s="14">
        <v>4</v>
      </c>
      <c r="FD71" s="14">
        <v>3</v>
      </c>
      <c r="FE71" s="14">
        <f>IFERROR(AVERAGE(Tabel1[[#This Row],[Do - V2a]:[Do - V2b]]),"")</f>
        <v>3.5</v>
      </c>
      <c r="FF71" s="14">
        <v>4</v>
      </c>
      <c r="FG71" s="14">
        <f>IFERROR(AVERAGE(Tabel1[[#This Row],[Do - V3a]:[Do - V3a]]),"")</f>
        <v>4</v>
      </c>
      <c r="FH71" s="14">
        <v>3</v>
      </c>
      <c r="FI71" s="14">
        <f>IFERROR(AVERAGE(Tabel1[[#This Row],[Do - V1]],Tabel1[[#This Row],[Do - V2]],Tabel1[[#This Row],[Do - V3]],Tabel1[[#This Row],[Do - V4]]),"")</f>
        <v>3.4583333333333335</v>
      </c>
      <c r="FJ71" s="14">
        <v>4</v>
      </c>
      <c r="FK71" s="14">
        <v>3</v>
      </c>
      <c r="FL71" s="14">
        <v>3</v>
      </c>
      <c r="FM71" s="14">
        <f>IFERROR(AVERAGE(Tabel1[[#This Row],[Do - A1a]:[Do - A1c]]),"")</f>
        <v>3.3333333333333335</v>
      </c>
      <c r="FN71" s="14">
        <v>4</v>
      </c>
      <c r="FO71" s="14">
        <v>4</v>
      </c>
      <c r="FP71" s="14">
        <f>IFERROR(AVERAGE(Tabel1[[#This Row],[Do - A2a]:[Do - A2b]]),"")</f>
        <v>4</v>
      </c>
      <c r="FQ71" s="14">
        <v>4</v>
      </c>
      <c r="FR71" s="14">
        <f>IFERROR(AVERAGE(Tabel1[[#This Row],[Do - A3a]:[Do - A3a]]),"")</f>
        <v>4</v>
      </c>
      <c r="FS71" s="14">
        <v>1</v>
      </c>
      <c r="FT71" s="14">
        <f>IFERROR(AVERAGE(Tabel1[[#This Row],[Do - A1]],Tabel1[[#This Row],[Do - A2]],Tabel1[[#This Row],[Do - A3]],Tabel1[[#This Row],[Do - A4]]),"")</f>
        <v>3.0833333333333335</v>
      </c>
      <c r="FU7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3.2311111111111117</v>
      </c>
      <c r="FV71" s="16" t="s">
        <v>544</v>
      </c>
      <c r="FW71" t="b">
        <v>1</v>
      </c>
    </row>
    <row r="72" spans="1:179" x14ac:dyDescent="0.3">
      <c r="A72" s="13">
        <v>44944.520300925928</v>
      </c>
      <c r="B72" t="b">
        <v>0</v>
      </c>
      <c r="C72" s="14" t="s">
        <v>545</v>
      </c>
      <c r="D72" s="14" t="s">
        <v>546</v>
      </c>
      <c r="E72" s="14" t="s">
        <v>547</v>
      </c>
      <c r="F72" s="14" t="s">
        <v>184</v>
      </c>
      <c r="G72" s="14" t="s">
        <v>548</v>
      </c>
      <c r="H72" s="14" t="s">
        <v>222</v>
      </c>
      <c r="I72" s="14" t="s">
        <v>195</v>
      </c>
      <c r="J72" s="14" t="s">
        <v>261</v>
      </c>
      <c r="K72" s="14" t="s">
        <v>235</v>
      </c>
      <c r="L72" s="14" t="s">
        <v>249</v>
      </c>
      <c r="M72" s="14" t="s">
        <v>198</v>
      </c>
      <c r="N72" s="14" t="s">
        <v>199</v>
      </c>
      <c r="O72" s="14" t="s">
        <v>256</v>
      </c>
      <c r="P72" s="17" t="s">
        <v>255</v>
      </c>
      <c r="Q72" s="17" t="s">
        <v>304</v>
      </c>
      <c r="R72" s="17" t="s">
        <v>304</v>
      </c>
      <c r="S72" s="14" t="s">
        <v>202</v>
      </c>
      <c r="T72" s="14" t="s">
        <v>204</v>
      </c>
      <c r="U72" s="14" t="s">
        <v>349</v>
      </c>
      <c r="V72" s="14" t="s">
        <v>206</v>
      </c>
      <c r="W72" s="14" t="s">
        <v>395</v>
      </c>
      <c r="X72" s="14" t="s">
        <v>306</v>
      </c>
      <c r="Y72" s="14">
        <v>3</v>
      </c>
      <c r="Z72" s="14">
        <v>2</v>
      </c>
      <c r="AA72" s="14" t="s">
        <v>189</v>
      </c>
      <c r="AB72" s="15">
        <f>IFERROR(AVERAGE(Tabel1[[#This Row],[Up - R1a]:[Up - R1c]]),"")</f>
        <v>2.5</v>
      </c>
      <c r="AC72" s="14">
        <v>3</v>
      </c>
      <c r="AD72" s="14">
        <v>2</v>
      </c>
      <c r="AE72" s="14" t="s">
        <v>189</v>
      </c>
      <c r="AF72" s="14" t="s">
        <v>189</v>
      </c>
      <c r="AG72" s="14">
        <f>IFERROR(AVERAGE(Tabel1[[#This Row],[Up - R1]:[Up - R5]]),"")</f>
        <v>2.5</v>
      </c>
      <c r="AH72" s="14">
        <v>3</v>
      </c>
      <c r="AI72" s="14" t="s">
        <v>189</v>
      </c>
      <c r="AJ72" s="14">
        <v>3</v>
      </c>
      <c r="AK72" s="14">
        <f>IFERROR(AVERAGE(Tabel1[[#This Row],[Up - C1a]:[Up - C1c]]),"")</f>
        <v>3</v>
      </c>
      <c r="AL72" s="14">
        <v>2</v>
      </c>
      <c r="AM72" s="14">
        <v>2</v>
      </c>
      <c r="AN72" s="14" t="s">
        <v>189</v>
      </c>
      <c r="AO72" s="14">
        <f>IFERROR(AVERAGE(Tabel1[[#This Row],[Up - C1]:[Up - C4]]),"")</f>
        <v>2.3333333333333335</v>
      </c>
      <c r="AP72" s="14" t="s">
        <v>189</v>
      </c>
      <c r="AQ72" s="14" t="str">
        <f>IFERROR(AVERAGE(Tabel1[[#This Row],[Up - F1a]:[Up - F1a]]),"")</f>
        <v/>
      </c>
      <c r="AR72" s="14">
        <v>3</v>
      </c>
      <c r="AS72" s="14">
        <v>2</v>
      </c>
      <c r="AT72" s="14">
        <f>IFERROR(AVERAGE(Tabel1[[#This Row],[Up - F2a]:[Up - F2b]]),"")</f>
        <v>2.5</v>
      </c>
      <c r="AU72" s="14">
        <v>2</v>
      </c>
      <c r="AV72" s="14" t="s">
        <v>189</v>
      </c>
      <c r="AW72" s="14">
        <f>IFERROR(AVERAGE(Tabel1[[#This Row],[Up - F3a]:[Up - F3b]]),"")</f>
        <v>2</v>
      </c>
      <c r="AX72" s="14" t="s">
        <v>189</v>
      </c>
      <c r="AY72" s="14">
        <f>IFERROR(AVERAGE(Tabel1[[#This Row],[Up - F1]],Tabel1[[#This Row],[Up - F2]],Tabel1[[#This Row],[Up - F3]],Tabel1[[#This Row],[Up - F4]]),"")</f>
        <v>2.25</v>
      </c>
      <c r="AZ72" s="14" t="s">
        <v>189</v>
      </c>
      <c r="BA72" s="14">
        <v>2</v>
      </c>
      <c r="BB72" s="14">
        <f>IFERROR(AVERAGE(Tabel1[[#This Row],[Up - V1a]:[Up - V1b]]),"")</f>
        <v>2</v>
      </c>
      <c r="BC72" s="14" t="s">
        <v>189</v>
      </c>
      <c r="BD72" s="14" t="s">
        <v>189</v>
      </c>
      <c r="BE72" s="14">
        <v>4</v>
      </c>
      <c r="BF72" s="14">
        <f>IFERROR(AVERAGE(Tabel1[[#This Row],[Up - V2a]:[Up - V2c]]),"")</f>
        <v>4</v>
      </c>
      <c r="BG72" s="14">
        <v>2</v>
      </c>
      <c r="BH72" s="14">
        <v>4</v>
      </c>
      <c r="BI72" s="14">
        <f>IFERROR(AVERAGE(Tabel1[[#This Row],[Up - V3a]:[Up - V3b]]),"")</f>
        <v>3</v>
      </c>
      <c r="BJ72" s="14" t="s">
        <v>189</v>
      </c>
      <c r="BK72" s="14">
        <f>IFERROR(AVERAGE(Tabel1[[#This Row],[Up - V1]],Tabel1[[#This Row],[Up - V2]],Tabel1[[#This Row],[Up - V3]],Tabel1[[#This Row],[Up - V4]]),"")</f>
        <v>3</v>
      </c>
      <c r="BL72" s="14">
        <v>2</v>
      </c>
      <c r="BM72" s="14">
        <v>3</v>
      </c>
      <c r="BN72" s="14">
        <v>2</v>
      </c>
      <c r="BO72" s="14" t="s">
        <v>189</v>
      </c>
      <c r="BP72" s="14">
        <f>IFERROR(AVERAGE(Tabel1[[#This Row],[Up - A1a]:[Up - A1d]]),"")</f>
        <v>2.3333333333333335</v>
      </c>
      <c r="BQ72" s="14" t="s">
        <v>189</v>
      </c>
      <c r="BR72" s="14" t="s">
        <v>189</v>
      </c>
      <c r="BS72" s="14" t="str">
        <f>IFERROR(AVERAGE(Tabel1[[#This Row],[Up - A2a]:[Up - A2b]]),"")</f>
        <v/>
      </c>
      <c r="BT72" s="14">
        <v>3</v>
      </c>
      <c r="BU72" s="14">
        <f>IFERROR(AVERAGE(Tabel1[[#This Row],[Up - A3a]:[Up - A3a]]),"")</f>
        <v>3</v>
      </c>
      <c r="BV72" s="14" t="s">
        <v>189</v>
      </c>
      <c r="BW72" s="14">
        <f>IFERROR(AVERAGE(Tabel1[[#This Row],[Up - A1]],Tabel1[[#This Row],[Up - A2]],Tabel1[[#This Row],[Up - A3]]),"")</f>
        <v>2.666666666666667</v>
      </c>
      <c r="BX72" s="14">
        <v>3</v>
      </c>
      <c r="BY72" s="14">
        <v>4</v>
      </c>
      <c r="BZ72" s="14">
        <f>IFERROR(AVERAGE(Tabel1[[#This Row],[In - R1a]:[In - R1b]]),"")</f>
        <v>3.5</v>
      </c>
      <c r="CA72" s="14">
        <v>2</v>
      </c>
      <c r="CB72" s="14">
        <v>3</v>
      </c>
      <c r="CC72" s="14">
        <v>1</v>
      </c>
      <c r="CD72" s="14" t="s">
        <v>189</v>
      </c>
      <c r="CE72" s="14">
        <f>IFERROR(AVERAGE(Tabel1[[#This Row],[In - R1]:[In - R5]]),"")</f>
        <v>2.375</v>
      </c>
      <c r="CF72" s="14">
        <v>4</v>
      </c>
      <c r="CG72" s="14">
        <v>2</v>
      </c>
      <c r="CH72" s="14">
        <v>5</v>
      </c>
      <c r="CI72" s="14">
        <f>IFERROR(AVERAGE(Tabel1[[#This Row],[In - C1a]:[In - C1c]]),"")</f>
        <v>3.6666666666666665</v>
      </c>
      <c r="CJ72" s="14">
        <v>4</v>
      </c>
      <c r="CK72" s="14">
        <v>4</v>
      </c>
      <c r="CL72" s="14">
        <v>5</v>
      </c>
      <c r="CM72" s="14">
        <f>IFERROR(AVERAGE(Tabel1[[#This Row],[In - C1]:[In - C4]]),"")</f>
        <v>4.1666666666666661</v>
      </c>
      <c r="CN72" s="14">
        <v>1</v>
      </c>
      <c r="CO72" s="14">
        <v>2</v>
      </c>
      <c r="CP72" s="14">
        <v>4</v>
      </c>
      <c r="CQ72" s="14">
        <f>IFERROR(AVERAGE(Tabel1[[#This Row],[In - F1a]:[In - F1c]]),"")</f>
        <v>2.3333333333333335</v>
      </c>
      <c r="CR72" s="14">
        <v>5</v>
      </c>
      <c r="CS72" s="14">
        <v>3</v>
      </c>
      <c r="CT72" s="14">
        <f>IFERROR(AVERAGE(Tabel1[[#This Row],[In - F2a]:[In - F2b]]),"")</f>
        <v>4</v>
      </c>
      <c r="CU72" s="14">
        <v>3</v>
      </c>
      <c r="CV72" s="14">
        <f>IFERROR(AVERAGE(Tabel1[[#This Row],[In - F3a]:[In - F3a]]),"")</f>
        <v>3</v>
      </c>
      <c r="CW72" s="14">
        <v>4</v>
      </c>
      <c r="CX72" s="14">
        <f>IFERROR(AVERAGE(Tabel1[[#This Row],[In - F1]],Tabel1[[#This Row],[In - F2]],Tabel1[[#This Row],[In - F3]],Tabel1[[#This Row],[In - F4]]),"")</f>
        <v>3.3333333333333335</v>
      </c>
      <c r="CY72" s="14">
        <v>5</v>
      </c>
      <c r="CZ72" s="14">
        <v>4</v>
      </c>
      <c r="DA72" s="14">
        <v>3</v>
      </c>
      <c r="DB72" s="14">
        <f>IFERROR(AVERAGE(Tabel1[[#This Row],[In - V1a]:[In - V1c]]),"")</f>
        <v>4</v>
      </c>
      <c r="DC72" s="14">
        <v>5</v>
      </c>
      <c r="DD72" s="14">
        <v>4</v>
      </c>
      <c r="DE72" s="14">
        <v>4</v>
      </c>
      <c r="DF72" s="14">
        <f>IFERROR(AVERAGE(Tabel1[[#This Row],[In - V2a]:[In - V2c]]),"")</f>
        <v>4.333333333333333</v>
      </c>
      <c r="DG72" s="14">
        <v>3</v>
      </c>
      <c r="DH72" s="14">
        <v>4</v>
      </c>
      <c r="DI72" s="14">
        <f>IFERROR(AVERAGE(Tabel1[[#This Row],[In - V3a]:[In - V3b]]),"")</f>
        <v>3.5</v>
      </c>
      <c r="DJ72" s="14" t="s">
        <v>189</v>
      </c>
      <c r="DK72" s="14">
        <f>IFERROR(AVERAGE(Tabel1[[#This Row],[In - V1]],Tabel1[[#This Row],[In - V2]],Tabel1[[#This Row],[In - V3]],Tabel1[[#This Row],[In - V4]]),"")</f>
        <v>3.9444444444444442</v>
      </c>
      <c r="DL72" s="14">
        <v>3</v>
      </c>
      <c r="DM72" s="14">
        <v>5</v>
      </c>
      <c r="DN72" s="14">
        <f>IFERROR(AVERAGE(Tabel1[[#This Row],[In - A1a]:[In - A1b]]),"")</f>
        <v>4</v>
      </c>
      <c r="DO72" s="14">
        <v>5</v>
      </c>
      <c r="DP72" s="14">
        <v>4</v>
      </c>
      <c r="DQ72" s="14">
        <f>IFERROR(AVERAGE(Tabel1[[#This Row],[In - A2a]:[In - A2b]]),"")</f>
        <v>4.5</v>
      </c>
      <c r="DR72" s="14">
        <v>5</v>
      </c>
      <c r="DS72" s="14">
        <v>5</v>
      </c>
      <c r="DT72" s="14">
        <f>IFERROR(AVERAGE(Tabel1[[#This Row],[In - A3a]:[In - A3a]]),"")</f>
        <v>5</v>
      </c>
      <c r="DU72" s="14" t="s">
        <v>189</v>
      </c>
      <c r="DV72" s="14">
        <f>IFERROR(AVERAGE(Tabel1[[#This Row],[In - A1]],Tabel1[[#This Row],[In - A2]],Tabel1[[#This Row],[In - A3]],Tabel1[[#This Row],[In - A4]]),"")</f>
        <v>4.5</v>
      </c>
      <c r="DW72" s="14">
        <v>1</v>
      </c>
      <c r="DX72" s="14">
        <v>4</v>
      </c>
      <c r="DY72" s="14">
        <v>2</v>
      </c>
      <c r="DZ72" s="14">
        <f>IFERROR(AVERAGE(Tabel1[[#This Row],[Do - R1a]:[Do - R1c]]),"")</f>
        <v>2.3333333333333335</v>
      </c>
      <c r="EA72" s="14">
        <v>2</v>
      </c>
      <c r="EB72" s="14">
        <v>1</v>
      </c>
      <c r="EC72" s="14">
        <v>1</v>
      </c>
      <c r="ED72" s="14" t="s">
        <v>189</v>
      </c>
      <c r="EE72" s="14">
        <f>IFERROR(AVERAGE(Tabel1[[#This Row],[Do - R1]:[Do - R5]]),"")</f>
        <v>1.5833333333333335</v>
      </c>
      <c r="EF72" s="14">
        <v>4</v>
      </c>
      <c r="EG72" s="14" t="s">
        <v>189</v>
      </c>
      <c r="EH72" s="14">
        <v>4</v>
      </c>
      <c r="EI72" s="14">
        <f>IFERROR(AVERAGE(Tabel1[[#This Row],[Do - C1a]:[Do - C1c]]),"")</f>
        <v>4</v>
      </c>
      <c r="EJ72" s="14">
        <v>5</v>
      </c>
      <c r="EK72" s="14">
        <v>4</v>
      </c>
      <c r="EL72" s="14">
        <v>3</v>
      </c>
      <c r="EM72" s="14">
        <f>IFERROR(AVERAGE(Tabel1[[#This Row],[Do - C1]:[Do - C4]]),"")</f>
        <v>4</v>
      </c>
      <c r="EN72" s="14">
        <v>2</v>
      </c>
      <c r="EO72" s="14">
        <v>4</v>
      </c>
      <c r="EP72" s="14">
        <v>2</v>
      </c>
      <c r="EQ72" s="14">
        <f>IFERROR(AVERAGE(Tabel1[[#This Row],[Do - F1a]:[Do - F1c]]),"")</f>
        <v>2.6666666666666665</v>
      </c>
      <c r="ER72" s="14">
        <v>3</v>
      </c>
      <c r="ES72" s="14">
        <f>IFERROR(AVERAGE(Tabel1[[#This Row],[Do - F2a]:[Do - F2a]]),"")</f>
        <v>3</v>
      </c>
      <c r="ET72" s="14">
        <v>1</v>
      </c>
      <c r="EU72" s="14">
        <v>2</v>
      </c>
      <c r="EV72" s="14">
        <f>IFERROR(AVERAGE(Tabel1[[#This Row],[Do - F3a]:[Do - F3b]]),"")</f>
        <v>1.5</v>
      </c>
      <c r="EW72" s="14" t="s">
        <v>189</v>
      </c>
      <c r="EX72" s="14">
        <f>IFERROR(AVERAGE(Tabel1[[#This Row],[Do - F1]],Tabel1[[#This Row],[Do - F2]],Tabel1[[#This Row],[Do - F3]],Tabel1[[#This Row],[Do - F4]]),"")</f>
        <v>2.3888888888888888</v>
      </c>
      <c r="EY72" s="14">
        <v>5</v>
      </c>
      <c r="EZ72" s="14">
        <v>3</v>
      </c>
      <c r="FA72" s="14">
        <v>4</v>
      </c>
      <c r="FB72" s="14">
        <f>IFERROR(AVERAGE(Tabel1[[#This Row],[Do - V1a]:[Do - V1c]]),"")</f>
        <v>4</v>
      </c>
      <c r="FC72" s="14">
        <v>4</v>
      </c>
      <c r="FD72" s="14" t="s">
        <v>189</v>
      </c>
      <c r="FE72" s="14">
        <f>IFERROR(AVERAGE(Tabel1[[#This Row],[Do - V2a]:[Do - V2b]]),"")</f>
        <v>4</v>
      </c>
      <c r="FF72" s="14">
        <v>5</v>
      </c>
      <c r="FG72" s="14">
        <f>IFERROR(AVERAGE(Tabel1[[#This Row],[Do - V3a]:[Do - V3a]]),"")</f>
        <v>5</v>
      </c>
      <c r="FH72" s="14" t="s">
        <v>189</v>
      </c>
      <c r="FI72" s="14">
        <f>IFERROR(AVERAGE(Tabel1[[#This Row],[Do - V1]],Tabel1[[#This Row],[Do - V2]],Tabel1[[#This Row],[Do - V3]],Tabel1[[#This Row],[Do - V4]]),"")</f>
        <v>4.333333333333333</v>
      </c>
      <c r="FJ72" s="14">
        <v>5</v>
      </c>
      <c r="FK72" s="14">
        <v>5</v>
      </c>
      <c r="FL72" s="14" t="s">
        <v>189</v>
      </c>
      <c r="FM72" s="14">
        <f>IFERROR(AVERAGE(Tabel1[[#This Row],[Do - A1a]:[Do - A1c]]),"")</f>
        <v>5</v>
      </c>
      <c r="FN72" s="14">
        <v>2</v>
      </c>
      <c r="FO72" s="14">
        <v>1</v>
      </c>
      <c r="FP72" s="14">
        <f>IFERROR(AVERAGE(Tabel1[[#This Row],[Do - A2a]:[Do - A2b]]),"")</f>
        <v>1.5</v>
      </c>
      <c r="FQ72" s="14">
        <v>5</v>
      </c>
      <c r="FR72" s="14">
        <f>IFERROR(AVERAGE(Tabel1[[#This Row],[Do - A3a]:[Do - A3a]]),"")</f>
        <v>5</v>
      </c>
      <c r="FS72" s="14" t="s">
        <v>189</v>
      </c>
      <c r="FT72" s="14">
        <f>IFERROR(AVERAGE(Tabel1[[#This Row],[Do - A1]],Tabel1[[#This Row],[Do - A2]],Tabel1[[#This Row],[Do - A3]],Tabel1[[#This Row],[Do - A4]]),"")</f>
        <v>3.8333333333333335</v>
      </c>
      <c r="FU7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3.1472222222222217</v>
      </c>
      <c r="FV72" s="16" t="s">
        <v>549</v>
      </c>
      <c r="FW72" t="b">
        <v>1</v>
      </c>
    </row>
    <row r="73" spans="1:179" x14ac:dyDescent="0.3">
      <c r="A73" s="13">
        <v>44945.373807870368</v>
      </c>
      <c r="B73" t="b">
        <v>0</v>
      </c>
      <c r="C73" s="14" t="s">
        <v>550</v>
      </c>
      <c r="D73" s="14" t="s">
        <v>551</v>
      </c>
      <c r="E73" s="14" t="s">
        <v>552</v>
      </c>
      <c r="F73" s="14" t="s">
        <v>184</v>
      </c>
      <c r="G73" s="14" t="s">
        <v>553</v>
      </c>
      <c r="H73" s="14" t="s">
        <v>222</v>
      </c>
      <c r="I73" s="14" t="s">
        <v>195</v>
      </c>
      <c r="J73" s="14" t="s">
        <v>261</v>
      </c>
      <c r="K73" s="14" t="s">
        <v>202</v>
      </c>
      <c r="L73" s="14" t="s">
        <v>197</v>
      </c>
      <c r="M73" s="14" t="s">
        <v>233</v>
      </c>
      <c r="N73" s="14" t="s">
        <v>262</v>
      </c>
      <c r="O73" s="14" t="s">
        <v>200</v>
      </c>
      <c r="P73" s="17" t="s">
        <v>304</v>
      </c>
      <c r="Q73" s="14" t="s">
        <v>235</v>
      </c>
      <c r="R73" s="14" t="s">
        <v>202</v>
      </c>
      <c r="S73" s="14" t="s">
        <v>235</v>
      </c>
      <c r="T73" s="14" t="s">
        <v>204</v>
      </c>
      <c r="U73" s="14" t="s">
        <v>237</v>
      </c>
      <c r="V73" s="14" t="s">
        <v>206</v>
      </c>
      <c r="W73" s="14" t="s">
        <v>306</v>
      </c>
      <c r="X73" s="14" t="s">
        <v>395</v>
      </c>
      <c r="Y73" s="14">
        <v>4</v>
      </c>
      <c r="Z73" s="14">
        <v>4</v>
      </c>
      <c r="AA73" s="14">
        <v>4</v>
      </c>
      <c r="AB73" s="15">
        <f>IFERROR(AVERAGE(Tabel1[[#This Row],[Up - R1a]:[Up - R1c]]),"")</f>
        <v>4</v>
      </c>
      <c r="AC73" s="14">
        <v>3</v>
      </c>
      <c r="AD73" s="14">
        <v>5</v>
      </c>
      <c r="AE73" s="14">
        <v>3</v>
      </c>
      <c r="AF73" s="14">
        <v>4</v>
      </c>
      <c r="AG73" s="14">
        <f>IFERROR(AVERAGE(Tabel1[[#This Row],[Up - R1]:[Up - R5]]),"")</f>
        <v>3.8</v>
      </c>
      <c r="AH73" s="14">
        <v>5</v>
      </c>
      <c r="AI73" s="14">
        <v>5</v>
      </c>
      <c r="AJ73" s="14">
        <v>4</v>
      </c>
      <c r="AK73" s="14">
        <f>IFERROR(AVERAGE(Tabel1[[#This Row],[Up - C1a]:[Up - C1c]]),"")</f>
        <v>4.666666666666667</v>
      </c>
      <c r="AL73" s="14">
        <v>3</v>
      </c>
      <c r="AM73" s="14">
        <v>3</v>
      </c>
      <c r="AN73" s="14">
        <v>4</v>
      </c>
      <c r="AO73" s="14">
        <f>IFERROR(AVERAGE(Tabel1[[#This Row],[Up - C1]:[Up - C4]]),"")</f>
        <v>3.666666666666667</v>
      </c>
      <c r="AP73" s="14">
        <v>5</v>
      </c>
      <c r="AQ73" s="14">
        <f>IFERROR(AVERAGE(Tabel1[[#This Row],[Up - F1a]:[Up - F1a]]),"")</f>
        <v>5</v>
      </c>
      <c r="AR73" s="14">
        <v>3</v>
      </c>
      <c r="AS73" s="14">
        <v>4</v>
      </c>
      <c r="AT73" s="14">
        <f>IFERROR(AVERAGE(Tabel1[[#This Row],[Up - F2a]:[Up - F2b]]),"")</f>
        <v>3.5</v>
      </c>
      <c r="AU73" s="14">
        <v>4</v>
      </c>
      <c r="AV73" s="14">
        <v>4</v>
      </c>
      <c r="AW73" s="14">
        <f>IFERROR(AVERAGE(Tabel1[[#This Row],[Up - F3a]:[Up - F3b]]),"")</f>
        <v>4</v>
      </c>
      <c r="AX73" s="14">
        <v>3</v>
      </c>
      <c r="AY73" s="14">
        <f>IFERROR(AVERAGE(Tabel1[[#This Row],[Up - F1]],Tabel1[[#This Row],[Up - F2]],Tabel1[[#This Row],[Up - F3]],Tabel1[[#This Row],[Up - F4]]),"")</f>
        <v>3.875</v>
      </c>
      <c r="AZ73" s="14">
        <v>3</v>
      </c>
      <c r="BA73" s="14">
        <v>5</v>
      </c>
      <c r="BB73" s="14">
        <f>IFERROR(AVERAGE(Tabel1[[#This Row],[Up - V1a]:[Up - V1b]]),"")</f>
        <v>4</v>
      </c>
      <c r="BC73" s="14">
        <v>3</v>
      </c>
      <c r="BD73" s="14">
        <v>4</v>
      </c>
      <c r="BE73" s="14">
        <v>3</v>
      </c>
      <c r="BF73" s="14">
        <f>IFERROR(AVERAGE(Tabel1[[#This Row],[Up - V2a]:[Up - V2c]]),"")</f>
        <v>3.3333333333333335</v>
      </c>
      <c r="BG73" s="14">
        <v>3</v>
      </c>
      <c r="BH73" s="14">
        <v>3</v>
      </c>
      <c r="BI73" s="14">
        <f>IFERROR(AVERAGE(Tabel1[[#This Row],[Up - V3a]:[Up - V3b]]),"")</f>
        <v>3</v>
      </c>
      <c r="BJ73" s="14">
        <v>4</v>
      </c>
      <c r="BK73" s="14">
        <f>IFERROR(AVERAGE(Tabel1[[#This Row],[Up - V1]],Tabel1[[#This Row],[Up - V2]],Tabel1[[#This Row],[Up - V3]],Tabel1[[#This Row],[Up - V4]]),"")</f>
        <v>3.5833333333333335</v>
      </c>
      <c r="BL73" s="14">
        <v>2</v>
      </c>
      <c r="BM73" s="14">
        <v>3</v>
      </c>
      <c r="BN73" s="14">
        <v>3</v>
      </c>
      <c r="BO73" s="14">
        <v>2</v>
      </c>
      <c r="BP73" s="14">
        <f>IFERROR(AVERAGE(Tabel1[[#This Row],[Up - A1a]:[Up - A1d]]),"")</f>
        <v>2.5</v>
      </c>
      <c r="BQ73" s="14">
        <v>2</v>
      </c>
      <c r="BR73" s="14">
        <v>2</v>
      </c>
      <c r="BS73" s="14">
        <f>IFERROR(AVERAGE(Tabel1[[#This Row],[Up - A2a]:[Up - A2b]]),"")</f>
        <v>2</v>
      </c>
      <c r="BT73" s="14">
        <v>3</v>
      </c>
      <c r="BU73" s="14">
        <f>IFERROR(AVERAGE(Tabel1[[#This Row],[Up - A3a]:[Up - A3a]]),"")</f>
        <v>3</v>
      </c>
      <c r="BV73" s="14">
        <v>4</v>
      </c>
      <c r="BW73" s="14">
        <f>IFERROR(AVERAGE(Tabel1[[#This Row],[Up - A1]],Tabel1[[#This Row],[Up - A2]],Tabel1[[#This Row],[Up - A3]]),"")</f>
        <v>2.5</v>
      </c>
      <c r="BX73" s="14">
        <v>4</v>
      </c>
      <c r="BY73" s="14">
        <v>4</v>
      </c>
      <c r="BZ73" s="14">
        <f>IFERROR(AVERAGE(Tabel1[[#This Row],[In - R1a]:[In - R1b]]),"")</f>
        <v>4</v>
      </c>
      <c r="CA73" s="14">
        <v>4</v>
      </c>
      <c r="CB73" s="14">
        <v>4</v>
      </c>
      <c r="CC73" s="14">
        <v>3</v>
      </c>
      <c r="CD73" s="14">
        <v>5</v>
      </c>
      <c r="CE73" s="14">
        <f>IFERROR(AVERAGE(Tabel1[[#This Row],[In - R1]:[In - R5]]),"")</f>
        <v>4</v>
      </c>
      <c r="CF73" s="14">
        <v>4</v>
      </c>
      <c r="CG73" s="14">
        <v>3</v>
      </c>
      <c r="CH73" s="14">
        <v>4</v>
      </c>
      <c r="CI73" s="14">
        <f>IFERROR(AVERAGE(Tabel1[[#This Row],[In - C1a]:[In - C1c]]),"")</f>
        <v>3.6666666666666665</v>
      </c>
      <c r="CJ73" s="14">
        <v>4</v>
      </c>
      <c r="CK73" s="14">
        <v>3</v>
      </c>
      <c r="CL73" s="14">
        <v>3</v>
      </c>
      <c r="CM73" s="14">
        <f>IFERROR(AVERAGE(Tabel1[[#This Row],[In - C1]:[In - C4]]),"")</f>
        <v>3.4166666666666665</v>
      </c>
      <c r="CN73" s="14">
        <v>2</v>
      </c>
      <c r="CO73" s="14">
        <v>2</v>
      </c>
      <c r="CP73" s="14">
        <v>2</v>
      </c>
      <c r="CQ73" s="14">
        <f>IFERROR(AVERAGE(Tabel1[[#This Row],[In - F1a]:[In - F1c]]),"")</f>
        <v>2</v>
      </c>
      <c r="CR73" s="14">
        <v>3</v>
      </c>
      <c r="CS73" s="14">
        <v>2</v>
      </c>
      <c r="CT73" s="14">
        <f>IFERROR(AVERAGE(Tabel1[[#This Row],[In - F2a]:[In - F2b]]),"")</f>
        <v>2.5</v>
      </c>
      <c r="CU73" s="14">
        <v>2</v>
      </c>
      <c r="CV73" s="14">
        <f>IFERROR(AVERAGE(Tabel1[[#This Row],[In - F3a]:[In - F3a]]),"")</f>
        <v>2</v>
      </c>
      <c r="CW73" s="14">
        <v>4</v>
      </c>
      <c r="CX73" s="14">
        <f>IFERROR(AVERAGE(Tabel1[[#This Row],[In - F1]],Tabel1[[#This Row],[In - F2]],Tabel1[[#This Row],[In - F3]],Tabel1[[#This Row],[In - F4]]),"")</f>
        <v>2.625</v>
      </c>
      <c r="CY73" s="14">
        <v>4</v>
      </c>
      <c r="CZ73" s="14">
        <v>4</v>
      </c>
      <c r="DA73" s="14">
        <v>4</v>
      </c>
      <c r="DB73" s="14">
        <f>IFERROR(AVERAGE(Tabel1[[#This Row],[In - V1a]:[In - V1c]]),"")</f>
        <v>4</v>
      </c>
      <c r="DC73" s="14">
        <v>4</v>
      </c>
      <c r="DD73" s="14">
        <v>3</v>
      </c>
      <c r="DE73" s="14">
        <v>4</v>
      </c>
      <c r="DF73" s="14">
        <f>IFERROR(AVERAGE(Tabel1[[#This Row],[In - V2a]:[In - V2c]]),"")</f>
        <v>3.6666666666666665</v>
      </c>
      <c r="DG73" s="14">
        <v>3</v>
      </c>
      <c r="DH73" s="14">
        <v>4</v>
      </c>
      <c r="DI73" s="14">
        <f>IFERROR(AVERAGE(Tabel1[[#This Row],[In - V3a]:[In - V3b]]),"")</f>
        <v>3.5</v>
      </c>
      <c r="DJ73" s="14">
        <v>4</v>
      </c>
      <c r="DK73" s="14">
        <f>IFERROR(AVERAGE(Tabel1[[#This Row],[In - V1]],Tabel1[[#This Row],[In - V2]],Tabel1[[#This Row],[In - V3]],Tabel1[[#This Row],[In - V4]]),"")</f>
        <v>3.7916666666666665</v>
      </c>
      <c r="DL73" s="14" t="s">
        <v>189</v>
      </c>
      <c r="DM73" s="14">
        <v>4</v>
      </c>
      <c r="DN73" s="14">
        <f>IFERROR(AVERAGE(Tabel1[[#This Row],[In - A1a]:[In - A1b]]),"")</f>
        <v>4</v>
      </c>
      <c r="DO73" s="14">
        <v>2</v>
      </c>
      <c r="DP73" s="14">
        <v>2</v>
      </c>
      <c r="DQ73" s="14">
        <f>IFERROR(AVERAGE(Tabel1[[#This Row],[In - A2a]:[In - A2b]]),"")</f>
        <v>2</v>
      </c>
      <c r="DR73" s="14">
        <v>3</v>
      </c>
      <c r="DS73" s="14">
        <v>2</v>
      </c>
      <c r="DT73" s="14">
        <f>IFERROR(AVERAGE(Tabel1[[#This Row],[In - A3a]:[In - A3a]]),"")</f>
        <v>3</v>
      </c>
      <c r="DU73" s="14">
        <v>2</v>
      </c>
      <c r="DV73" s="14">
        <f>IFERROR(AVERAGE(Tabel1[[#This Row],[In - A1]],Tabel1[[#This Row],[In - A2]],Tabel1[[#This Row],[In - A3]],Tabel1[[#This Row],[In - A4]]),"")</f>
        <v>2.75</v>
      </c>
      <c r="DW73" s="14">
        <v>5</v>
      </c>
      <c r="DX73" s="14">
        <v>5</v>
      </c>
      <c r="DY73" s="14">
        <v>4</v>
      </c>
      <c r="DZ73" s="14">
        <f>IFERROR(AVERAGE(Tabel1[[#This Row],[Do - R1a]:[Do - R1c]]),"")</f>
        <v>4.666666666666667</v>
      </c>
      <c r="EA73" s="14">
        <v>4</v>
      </c>
      <c r="EB73" s="14">
        <v>4</v>
      </c>
      <c r="EC73" s="14">
        <v>2</v>
      </c>
      <c r="ED73" s="14">
        <v>3</v>
      </c>
      <c r="EE73" s="14">
        <f>IFERROR(AVERAGE(Tabel1[[#This Row],[Do - R1]:[Do - R5]]),"")</f>
        <v>3.5333333333333337</v>
      </c>
      <c r="EF73" s="14">
        <v>4</v>
      </c>
      <c r="EG73" s="14">
        <v>4</v>
      </c>
      <c r="EH73" s="14">
        <v>4</v>
      </c>
      <c r="EI73" s="14">
        <f>IFERROR(AVERAGE(Tabel1[[#This Row],[Do - C1a]:[Do - C1c]]),"")</f>
        <v>4</v>
      </c>
      <c r="EJ73" s="14">
        <v>3</v>
      </c>
      <c r="EK73" s="14">
        <v>3</v>
      </c>
      <c r="EL73" s="14">
        <v>4</v>
      </c>
      <c r="EM73" s="14">
        <f>IFERROR(AVERAGE(Tabel1[[#This Row],[Do - C1]:[Do - C4]]),"")</f>
        <v>3.5</v>
      </c>
      <c r="EN73" s="14">
        <v>2</v>
      </c>
      <c r="EO73" s="14">
        <v>2</v>
      </c>
      <c r="EP73" s="14">
        <v>4</v>
      </c>
      <c r="EQ73" s="14">
        <f>IFERROR(AVERAGE(Tabel1[[#This Row],[Do - F1a]:[Do - F1c]]),"")</f>
        <v>2.6666666666666665</v>
      </c>
      <c r="ER73" s="14">
        <v>2</v>
      </c>
      <c r="ES73" s="14">
        <f>IFERROR(AVERAGE(Tabel1[[#This Row],[Do - F2a]:[Do - F2a]]),"")</f>
        <v>2</v>
      </c>
      <c r="ET73" s="14">
        <v>3</v>
      </c>
      <c r="EU73" s="14" t="s">
        <v>189</v>
      </c>
      <c r="EV73" s="14">
        <f>IFERROR(AVERAGE(Tabel1[[#This Row],[Do - F3a]:[Do - F3b]]),"")</f>
        <v>3</v>
      </c>
      <c r="EW73" s="14">
        <v>4</v>
      </c>
      <c r="EX73" s="14">
        <f>IFERROR(AVERAGE(Tabel1[[#This Row],[Do - F1]],Tabel1[[#This Row],[Do - F2]],Tabel1[[#This Row],[Do - F3]],Tabel1[[#This Row],[Do - F4]]),"")</f>
        <v>2.9166666666666665</v>
      </c>
      <c r="EY73" s="14">
        <v>3</v>
      </c>
      <c r="EZ73" s="14">
        <v>2</v>
      </c>
      <c r="FA73" s="14">
        <v>4</v>
      </c>
      <c r="FB73" s="14">
        <f>IFERROR(AVERAGE(Tabel1[[#This Row],[Do - V1a]:[Do - V1c]]),"")</f>
        <v>3</v>
      </c>
      <c r="FC73" s="14">
        <v>3</v>
      </c>
      <c r="FD73" s="14">
        <v>4</v>
      </c>
      <c r="FE73" s="14">
        <f>IFERROR(AVERAGE(Tabel1[[#This Row],[Do - V2a]:[Do - V2b]]),"")</f>
        <v>3.5</v>
      </c>
      <c r="FF73" s="14">
        <v>3</v>
      </c>
      <c r="FG73" s="14">
        <f>IFERROR(AVERAGE(Tabel1[[#This Row],[Do - V3a]:[Do - V3a]]),"")</f>
        <v>3</v>
      </c>
      <c r="FH73" s="14">
        <v>4</v>
      </c>
      <c r="FI73" s="14">
        <f>IFERROR(AVERAGE(Tabel1[[#This Row],[Do - V1]],Tabel1[[#This Row],[Do - V2]],Tabel1[[#This Row],[Do - V3]],Tabel1[[#This Row],[Do - V4]]),"")</f>
        <v>3.375</v>
      </c>
      <c r="FJ73" s="14">
        <v>4</v>
      </c>
      <c r="FK73" s="14">
        <v>4</v>
      </c>
      <c r="FL73" s="14">
        <v>4</v>
      </c>
      <c r="FM73" s="14">
        <f>IFERROR(AVERAGE(Tabel1[[#This Row],[Do - A1a]:[Do - A1c]]),"")</f>
        <v>4</v>
      </c>
      <c r="FN73" s="14">
        <v>4</v>
      </c>
      <c r="FO73" s="14">
        <v>3</v>
      </c>
      <c r="FP73" s="14">
        <f>IFERROR(AVERAGE(Tabel1[[#This Row],[Do - A2a]:[Do - A2b]]),"")</f>
        <v>3.5</v>
      </c>
      <c r="FQ73" s="14">
        <v>3</v>
      </c>
      <c r="FR73" s="14">
        <f>IFERROR(AVERAGE(Tabel1[[#This Row],[Do - A3a]:[Do - A3a]]),"")</f>
        <v>3</v>
      </c>
      <c r="FS73" s="14">
        <v>3</v>
      </c>
      <c r="FT73" s="14">
        <f>IFERROR(AVERAGE(Tabel1[[#This Row],[Do - A1]],Tabel1[[#This Row],[Do - A2]],Tabel1[[#This Row],[Do - A3]],Tabel1[[#This Row],[Do - A4]]),"")</f>
        <v>3.375</v>
      </c>
      <c r="FU7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3.3805555555555555</v>
      </c>
      <c r="FV73" s="16" t="s">
        <v>554</v>
      </c>
      <c r="FW73" t="b">
        <v>1</v>
      </c>
    </row>
    <row r="74" spans="1:179" x14ac:dyDescent="0.3">
      <c r="A74" s="13">
        <v>44945.539699074077</v>
      </c>
      <c r="B74" t="b">
        <v>0</v>
      </c>
      <c r="C74" s="14" t="s">
        <v>555</v>
      </c>
      <c r="D74" s="14" t="s">
        <v>454</v>
      </c>
      <c r="E74" s="14" t="s">
        <v>556</v>
      </c>
      <c r="F74" s="14" t="s">
        <v>184</v>
      </c>
      <c r="G74" s="14" t="s">
        <v>557</v>
      </c>
      <c r="H74" s="14" t="s">
        <v>222</v>
      </c>
      <c r="I74" s="14" t="s">
        <v>542</v>
      </c>
      <c r="J74" s="14" t="s">
        <v>543</v>
      </c>
      <c r="K74" s="14" t="s">
        <v>202</v>
      </c>
      <c r="L74" s="14" t="s">
        <v>249</v>
      </c>
      <c r="M74" s="14" t="s">
        <v>198</v>
      </c>
      <c r="N74" s="14" t="s">
        <v>199</v>
      </c>
      <c r="O74" s="14" t="s">
        <v>200</v>
      </c>
      <c r="P74" s="17" t="s">
        <v>255</v>
      </c>
      <c r="Q74" s="14" t="s">
        <v>203</v>
      </c>
      <c r="R74" s="14" t="s">
        <v>201</v>
      </c>
      <c r="S74" s="14" t="s">
        <v>202</v>
      </c>
      <c r="T74" s="14" t="s">
        <v>236</v>
      </c>
      <c r="U74" s="14" t="s">
        <v>285</v>
      </c>
      <c r="V74" s="14" t="s">
        <v>359</v>
      </c>
      <c r="W74" s="14" t="s">
        <v>395</v>
      </c>
      <c r="X74" s="14" t="s">
        <v>207</v>
      </c>
      <c r="Y74" s="14">
        <v>4</v>
      </c>
      <c r="Z74" s="14">
        <v>3</v>
      </c>
      <c r="AA74" s="14">
        <v>4</v>
      </c>
      <c r="AB74" s="15">
        <f>IFERROR(AVERAGE(Tabel1[[#This Row],[Up - R1a]:[Up - R1c]]),"")</f>
        <v>3.6666666666666665</v>
      </c>
      <c r="AC74" s="14">
        <v>2</v>
      </c>
      <c r="AD74" s="14">
        <v>2</v>
      </c>
      <c r="AE74" s="14">
        <v>2</v>
      </c>
      <c r="AF74" s="14">
        <v>2</v>
      </c>
      <c r="AG74" s="14">
        <f>IFERROR(AVERAGE(Tabel1[[#This Row],[Up - R1]:[Up - R5]]),"")</f>
        <v>2.333333333333333</v>
      </c>
      <c r="AH74" s="14">
        <v>4</v>
      </c>
      <c r="AI74" s="14">
        <v>4</v>
      </c>
      <c r="AJ74" s="14">
        <v>4</v>
      </c>
      <c r="AK74" s="14">
        <f>IFERROR(AVERAGE(Tabel1[[#This Row],[Up - C1a]:[Up - C1c]]),"")</f>
        <v>4</v>
      </c>
      <c r="AL74" s="14">
        <v>4</v>
      </c>
      <c r="AM74" s="14">
        <v>1</v>
      </c>
      <c r="AN74" s="14">
        <v>4</v>
      </c>
      <c r="AO74" s="14">
        <f>IFERROR(AVERAGE(Tabel1[[#This Row],[Up - C1]:[Up - C4]]),"")</f>
        <v>3.25</v>
      </c>
      <c r="AP74" s="14">
        <v>2</v>
      </c>
      <c r="AQ74" s="14">
        <f>IFERROR(AVERAGE(Tabel1[[#This Row],[Up - F1a]:[Up - F1a]]),"")</f>
        <v>2</v>
      </c>
      <c r="AR74" s="14">
        <v>2</v>
      </c>
      <c r="AS74" s="14">
        <v>2</v>
      </c>
      <c r="AT74" s="14">
        <f>IFERROR(AVERAGE(Tabel1[[#This Row],[Up - F2a]:[Up - F2b]]),"")</f>
        <v>2</v>
      </c>
      <c r="AU74" s="14">
        <v>3</v>
      </c>
      <c r="AV74" s="14">
        <v>2</v>
      </c>
      <c r="AW74" s="14">
        <f>IFERROR(AVERAGE(Tabel1[[#This Row],[Up - F3a]:[Up - F3b]]),"")</f>
        <v>2.5</v>
      </c>
      <c r="AX74" s="14">
        <v>2</v>
      </c>
      <c r="AY74" s="14">
        <f>IFERROR(AVERAGE(Tabel1[[#This Row],[Up - F1]],Tabel1[[#This Row],[Up - F2]],Tabel1[[#This Row],[Up - F3]],Tabel1[[#This Row],[Up - F4]]),"")</f>
        <v>2.125</v>
      </c>
      <c r="AZ74" s="14">
        <v>4</v>
      </c>
      <c r="BA74" s="14">
        <v>4</v>
      </c>
      <c r="BB74" s="14">
        <f>IFERROR(AVERAGE(Tabel1[[#This Row],[Up - V1a]:[Up - V1b]]),"")</f>
        <v>4</v>
      </c>
      <c r="BC74" s="14">
        <v>1</v>
      </c>
      <c r="BD74" s="14">
        <v>1</v>
      </c>
      <c r="BE74" s="14">
        <v>2</v>
      </c>
      <c r="BF74" s="14">
        <f>IFERROR(AVERAGE(Tabel1[[#This Row],[Up - V2a]:[Up - V2c]]),"")</f>
        <v>1.3333333333333333</v>
      </c>
      <c r="BG74" s="14">
        <v>2</v>
      </c>
      <c r="BH74" s="14">
        <v>2</v>
      </c>
      <c r="BI74" s="14">
        <f>IFERROR(AVERAGE(Tabel1[[#This Row],[Up - V3a]:[Up - V3b]]),"")</f>
        <v>2</v>
      </c>
      <c r="BJ74" s="14">
        <v>1</v>
      </c>
      <c r="BK74" s="14">
        <f>IFERROR(AVERAGE(Tabel1[[#This Row],[Up - V1]],Tabel1[[#This Row],[Up - V2]],Tabel1[[#This Row],[Up - V3]],Tabel1[[#This Row],[Up - V4]]),"")</f>
        <v>2.083333333333333</v>
      </c>
      <c r="BL74" s="14">
        <v>4</v>
      </c>
      <c r="BM74" s="14">
        <v>4</v>
      </c>
      <c r="BN74" s="14">
        <v>4</v>
      </c>
      <c r="BO74" s="14">
        <v>2</v>
      </c>
      <c r="BP74" s="14">
        <f>IFERROR(AVERAGE(Tabel1[[#This Row],[Up - A1a]:[Up - A1d]]),"")</f>
        <v>3.5</v>
      </c>
      <c r="BQ74" s="14">
        <v>4</v>
      </c>
      <c r="BR74" s="14">
        <v>3</v>
      </c>
      <c r="BS74" s="14">
        <f>IFERROR(AVERAGE(Tabel1[[#This Row],[Up - A2a]:[Up - A2b]]),"")</f>
        <v>3.5</v>
      </c>
      <c r="BT74" s="14">
        <v>4</v>
      </c>
      <c r="BU74" s="14">
        <f>IFERROR(AVERAGE(Tabel1[[#This Row],[Up - A3a]:[Up - A3a]]),"")</f>
        <v>4</v>
      </c>
      <c r="BV74" s="14">
        <v>2</v>
      </c>
      <c r="BW74" s="14">
        <f>IFERROR(AVERAGE(Tabel1[[#This Row],[Up - A1]],Tabel1[[#This Row],[Up - A2]],Tabel1[[#This Row],[Up - A3]]),"")</f>
        <v>3.6666666666666665</v>
      </c>
      <c r="BX74" s="14">
        <v>3</v>
      </c>
      <c r="BY74" s="14">
        <v>4</v>
      </c>
      <c r="BZ74" s="14">
        <f>IFERROR(AVERAGE(Tabel1[[#This Row],[In - R1a]:[In - R1b]]),"")</f>
        <v>3.5</v>
      </c>
      <c r="CA74" s="14">
        <v>3</v>
      </c>
      <c r="CB74" s="14">
        <v>2</v>
      </c>
      <c r="CC74" s="14">
        <v>2</v>
      </c>
      <c r="CD74" s="14">
        <v>5</v>
      </c>
      <c r="CE74" s="14">
        <f>IFERROR(AVERAGE(Tabel1[[#This Row],[In - R1]:[In - R5]]),"")</f>
        <v>3.1</v>
      </c>
      <c r="CF74" s="14">
        <v>4</v>
      </c>
      <c r="CG74" s="14">
        <v>3</v>
      </c>
      <c r="CH74" s="14">
        <v>4</v>
      </c>
      <c r="CI74" s="14">
        <f>IFERROR(AVERAGE(Tabel1[[#This Row],[In - C1a]:[In - C1c]]),"")</f>
        <v>3.6666666666666665</v>
      </c>
      <c r="CJ74" s="14">
        <v>3</v>
      </c>
      <c r="CK74" s="14">
        <v>1</v>
      </c>
      <c r="CL74" s="14">
        <v>1</v>
      </c>
      <c r="CM74" s="14">
        <f>IFERROR(AVERAGE(Tabel1[[#This Row],[In - C1]:[In - C4]]),"")</f>
        <v>2.1666666666666665</v>
      </c>
      <c r="CN74" s="14">
        <v>3</v>
      </c>
      <c r="CO74" s="14">
        <v>4</v>
      </c>
      <c r="CP74" s="14">
        <v>2</v>
      </c>
      <c r="CQ74" s="14">
        <f>IFERROR(AVERAGE(Tabel1[[#This Row],[In - F1a]:[In - F1c]]),"")</f>
        <v>3</v>
      </c>
      <c r="CR74" s="14">
        <v>4</v>
      </c>
      <c r="CS74" s="14">
        <v>2</v>
      </c>
      <c r="CT74" s="14">
        <f>IFERROR(AVERAGE(Tabel1[[#This Row],[In - F2a]:[In - F2b]]),"")</f>
        <v>3</v>
      </c>
      <c r="CU74" s="14">
        <v>1</v>
      </c>
      <c r="CV74" s="14">
        <f>IFERROR(AVERAGE(Tabel1[[#This Row],[In - F3a]:[In - F3a]]),"")</f>
        <v>1</v>
      </c>
      <c r="CW74" s="14">
        <v>4</v>
      </c>
      <c r="CX74" s="14">
        <f>IFERROR(AVERAGE(Tabel1[[#This Row],[In - F1]],Tabel1[[#This Row],[In - F2]],Tabel1[[#This Row],[In - F3]],Tabel1[[#This Row],[In - F4]]),"")</f>
        <v>2.75</v>
      </c>
      <c r="CY74" s="14">
        <v>3</v>
      </c>
      <c r="CZ74" s="14">
        <v>2</v>
      </c>
      <c r="DA74" s="14">
        <v>1</v>
      </c>
      <c r="DB74" s="14">
        <f>IFERROR(AVERAGE(Tabel1[[#This Row],[In - V1a]:[In - V1c]]),"")</f>
        <v>2</v>
      </c>
      <c r="DC74" s="14">
        <v>2</v>
      </c>
      <c r="DD74" s="14">
        <v>2</v>
      </c>
      <c r="DE74" s="14">
        <v>2</v>
      </c>
      <c r="DF74" s="14">
        <f>IFERROR(AVERAGE(Tabel1[[#This Row],[In - V2a]:[In - V2c]]),"")</f>
        <v>2</v>
      </c>
      <c r="DG74" s="14">
        <v>2</v>
      </c>
      <c r="DH74" s="14">
        <v>2</v>
      </c>
      <c r="DI74" s="14">
        <f>IFERROR(AVERAGE(Tabel1[[#This Row],[In - V3a]:[In - V3b]]),"")</f>
        <v>2</v>
      </c>
      <c r="DJ74" s="14">
        <v>2</v>
      </c>
      <c r="DK74" s="14">
        <f>IFERROR(AVERAGE(Tabel1[[#This Row],[In - V1]],Tabel1[[#This Row],[In - V2]],Tabel1[[#This Row],[In - V3]],Tabel1[[#This Row],[In - V4]]),"")</f>
        <v>2</v>
      </c>
      <c r="DL74" s="14">
        <v>4</v>
      </c>
      <c r="DM74" s="14">
        <v>3</v>
      </c>
      <c r="DN74" s="14">
        <f>IFERROR(AVERAGE(Tabel1[[#This Row],[In - A1a]:[In - A1b]]),"")</f>
        <v>3.5</v>
      </c>
      <c r="DO74" s="14">
        <v>4</v>
      </c>
      <c r="DP74" s="14">
        <v>3</v>
      </c>
      <c r="DQ74" s="14">
        <f>IFERROR(AVERAGE(Tabel1[[#This Row],[In - A2a]:[In - A2b]]),"")</f>
        <v>3.5</v>
      </c>
      <c r="DR74" s="14">
        <v>4</v>
      </c>
      <c r="DS74" s="14">
        <v>2</v>
      </c>
      <c r="DT74" s="14">
        <f>IFERROR(AVERAGE(Tabel1[[#This Row],[In - A3a]:[In - A3a]]),"")</f>
        <v>4</v>
      </c>
      <c r="DU74" s="14">
        <v>3</v>
      </c>
      <c r="DV74" s="14">
        <f>IFERROR(AVERAGE(Tabel1[[#This Row],[In - A1]],Tabel1[[#This Row],[In - A2]],Tabel1[[#This Row],[In - A3]],Tabel1[[#This Row],[In - A4]]),"")</f>
        <v>3.5</v>
      </c>
      <c r="DW74" s="14">
        <v>1</v>
      </c>
      <c r="DX74" s="14">
        <v>4</v>
      </c>
      <c r="DY74" s="14">
        <v>1</v>
      </c>
      <c r="DZ74" s="14">
        <f>IFERROR(AVERAGE(Tabel1[[#This Row],[Do - R1a]:[Do - R1c]]),"")</f>
        <v>2</v>
      </c>
      <c r="EA74" s="14">
        <v>3</v>
      </c>
      <c r="EB74" s="14">
        <v>2</v>
      </c>
      <c r="EC74" s="14">
        <v>1</v>
      </c>
      <c r="ED74" s="14">
        <v>3</v>
      </c>
      <c r="EE74" s="14">
        <f>IFERROR(AVERAGE(Tabel1[[#This Row],[Do - R1]:[Do - R5]]),"")</f>
        <v>2.2000000000000002</v>
      </c>
      <c r="EF74" s="14">
        <v>4</v>
      </c>
      <c r="EG74" s="14">
        <v>4</v>
      </c>
      <c r="EH74" s="14">
        <v>4</v>
      </c>
      <c r="EI74" s="14">
        <f>IFERROR(AVERAGE(Tabel1[[#This Row],[Do - C1a]:[Do - C1c]]),"")</f>
        <v>4</v>
      </c>
      <c r="EJ74" s="14">
        <v>3</v>
      </c>
      <c r="EK74" s="14">
        <v>1</v>
      </c>
      <c r="EL74" s="14">
        <v>3</v>
      </c>
      <c r="EM74" s="14">
        <f>IFERROR(AVERAGE(Tabel1[[#This Row],[Do - C1]:[Do - C4]]),"")</f>
        <v>2.75</v>
      </c>
      <c r="EN74" s="14">
        <v>2</v>
      </c>
      <c r="EO74" s="14">
        <v>1</v>
      </c>
      <c r="EP74" s="14">
        <v>1</v>
      </c>
      <c r="EQ74" s="14">
        <f>IFERROR(AVERAGE(Tabel1[[#This Row],[Do - F1a]:[Do - F1c]]),"")</f>
        <v>1.3333333333333333</v>
      </c>
      <c r="ER74" s="14">
        <v>2</v>
      </c>
      <c r="ES74" s="14">
        <f>IFERROR(AVERAGE(Tabel1[[#This Row],[Do - F2a]:[Do - F2a]]),"")</f>
        <v>2</v>
      </c>
      <c r="ET74" s="14">
        <v>1</v>
      </c>
      <c r="EU74" s="14">
        <v>2</v>
      </c>
      <c r="EV74" s="14">
        <f>IFERROR(AVERAGE(Tabel1[[#This Row],[Do - F3a]:[Do - F3b]]),"")</f>
        <v>1.5</v>
      </c>
      <c r="EW74" s="14">
        <v>2</v>
      </c>
      <c r="EX74" s="14">
        <f>IFERROR(AVERAGE(Tabel1[[#This Row],[Do - F1]],Tabel1[[#This Row],[Do - F2]],Tabel1[[#This Row],[Do - F3]],Tabel1[[#This Row],[Do - F4]]),"")</f>
        <v>1.7083333333333333</v>
      </c>
      <c r="EY74" s="14">
        <v>3</v>
      </c>
      <c r="EZ74" s="14">
        <v>1</v>
      </c>
      <c r="FA74" s="14">
        <v>2</v>
      </c>
      <c r="FB74" s="14">
        <f>IFERROR(AVERAGE(Tabel1[[#This Row],[Do - V1a]:[Do - V1c]]),"")</f>
        <v>2</v>
      </c>
      <c r="FC74" s="14">
        <v>1</v>
      </c>
      <c r="FD74" s="14">
        <v>2</v>
      </c>
      <c r="FE74" s="14">
        <f>IFERROR(AVERAGE(Tabel1[[#This Row],[Do - V2a]:[Do - V2b]]),"")</f>
        <v>1.5</v>
      </c>
      <c r="FF74" s="14">
        <v>2</v>
      </c>
      <c r="FG74" s="14">
        <f>IFERROR(AVERAGE(Tabel1[[#This Row],[Do - V3a]:[Do - V3a]]),"")</f>
        <v>2</v>
      </c>
      <c r="FH74" s="14">
        <v>1</v>
      </c>
      <c r="FI74" s="14">
        <f>IFERROR(AVERAGE(Tabel1[[#This Row],[Do - V1]],Tabel1[[#This Row],[Do - V2]],Tabel1[[#This Row],[Do - V3]],Tabel1[[#This Row],[Do - V4]]),"")</f>
        <v>1.625</v>
      </c>
      <c r="FJ74" s="14">
        <v>4</v>
      </c>
      <c r="FK74" s="14">
        <v>4</v>
      </c>
      <c r="FL74" s="14">
        <v>4</v>
      </c>
      <c r="FM74" s="14">
        <f>IFERROR(AVERAGE(Tabel1[[#This Row],[Do - A1a]:[Do - A1c]]),"")</f>
        <v>4</v>
      </c>
      <c r="FN74" s="14">
        <v>3</v>
      </c>
      <c r="FO74" s="14">
        <v>3</v>
      </c>
      <c r="FP74" s="14">
        <f>IFERROR(AVERAGE(Tabel1[[#This Row],[Do - A2a]:[Do - A2b]]),"")</f>
        <v>3</v>
      </c>
      <c r="FQ74" s="14">
        <v>4</v>
      </c>
      <c r="FR74" s="14">
        <f>IFERROR(AVERAGE(Tabel1[[#This Row],[Do - A3a]:[Do - A3a]]),"")</f>
        <v>4</v>
      </c>
      <c r="FS74" s="14">
        <v>4</v>
      </c>
      <c r="FT74" s="14">
        <f>IFERROR(AVERAGE(Tabel1[[#This Row],[Do - A1]],Tabel1[[#This Row],[Do - A2]],Tabel1[[#This Row],[Do - A3]],Tabel1[[#This Row],[Do - A4]]),"")</f>
        <v>3.75</v>
      </c>
      <c r="FU7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2.6005555555555557</v>
      </c>
      <c r="FV74" s="16" t="s">
        <v>558</v>
      </c>
      <c r="FW74" t="b">
        <v>1</v>
      </c>
    </row>
    <row r="75" spans="1:179" x14ac:dyDescent="0.3">
      <c r="A75" s="13">
        <v>44945.656064814815</v>
      </c>
      <c r="B75" t="b">
        <v>0</v>
      </c>
      <c r="C75" s="14" t="s">
        <v>559</v>
      </c>
      <c r="D75" s="14" t="s">
        <v>560</v>
      </c>
      <c r="E75" s="14" t="s">
        <v>561</v>
      </c>
      <c r="F75" s="14" t="s">
        <v>184</v>
      </c>
      <c r="G75" s="14" t="s">
        <v>562</v>
      </c>
      <c r="H75" s="14" t="s">
        <v>222</v>
      </c>
      <c r="I75" s="14" t="s">
        <v>195</v>
      </c>
      <c r="J75" s="14" t="s">
        <v>406</v>
      </c>
      <c r="K75" s="14" t="s">
        <v>201</v>
      </c>
      <c r="L75" s="14" t="s">
        <v>249</v>
      </c>
      <c r="M75" s="14" t="s">
        <v>233</v>
      </c>
      <c r="N75" s="14" t="s">
        <v>262</v>
      </c>
      <c r="O75" s="14" t="s">
        <v>200</v>
      </c>
      <c r="P75" s="17" t="s">
        <v>255</v>
      </c>
      <c r="Q75" s="14"/>
      <c r="R75" s="14" t="s">
        <v>202</v>
      </c>
      <c r="S75" s="14" t="s">
        <v>202</v>
      </c>
      <c r="T75" s="14" t="s">
        <v>236</v>
      </c>
      <c r="U75" s="14" t="s">
        <v>205</v>
      </c>
      <c r="V75" s="14" t="s">
        <v>359</v>
      </c>
      <c r="W75" s="14" t="s">
        <v>207</v>
      </c>
      <c r="X75" s="14" t="s">
        <v>207</v>
      </c>
      <c r="Y75" s="14">
        <v>3</v>
      </c>
      <c r="Z75" s="14">
        <v>3</v>
      </c>
      <c r="AA75" s="14">
        <v>3</v>
      </c>
      <c r="AB75" s="15">
        <f>IFERROR(AVERAGE(Tabel1[[#This Row],[Up - R1a]:[Up - R1c]]),"")</f>
        <v>3</v>
      </c>
      <c r="AC75" s="14">
        <v>2</v>
      </c>
      <c r="AD75" s="14">
        <v>3</v>
      </c>
      <c r="AE75" s="14">
        <v>2</v>
      </c>
      <c r="AF75" s="14">
        <v>3</v>
      </c>
      <c r="AG75" s="14">
        <f>IFERROR(AVERAGE(Tabel1[[#This Row],[Up - R1]:[Up - R5]]),"")</f>
        <v>2.6</v>
      </c>
      <c r="AH75" s="14">
        <v>4</v>
      </c>
      <c r="AI75" s="14">
        <v>4</v>
      </c>
      <c r="AJ75" s="14">
        <v>3</v>
      </c>
      <c r="AK75" s="14">
        <f>IFERROR(AVERAGE(Tabel1[[#This Row],[Up - C1a]:[Up - C1c]]),"")</f>
        <v>3.6666666666666665</v>
      </c>
      <c r="AL75" s="14">
        <v>3</v>
      </c>
      <c r="AM75" s="14">
        <v>2</v>
      </c>
      <c r="AN75" s="14">
        <v>3</v>
      </c>
      <c r="AO75" s="14">
        <f>IFERROR(AVERAGE(Tabel1[[#This Row],[Up - C1]:[Up - C4]]),"")</f>
        <v>2.9166666666666665</v>
      </c>
      <c r="AP75" s="14">
        <v>3</v>
      </c>
      <c r="AQ75" s="14">
        <f>IFERROR(AVERAGE(Tabel1[[#This Row],[Up - F1a]:[Up - F1a]]),"")</f>
        <v>3</v>
      </c>
      <c r="AR75" s="14">
        <v>3</v>
      </c>
      <c r="AS75" s="14">
        <v>3</v>
      </c>
      <c r="AT75" s="14">
        <f>IFERROR(AVERAGE(Tabel1[[#This Row],[Up - F2a]:[Up - F2b]]),"")</f>
        <v>3</v>
      </c>
      <c r="AU75" s="14">
        <v>4</v>
      </c>
      <c r="AV75" s="14">
        <v>2</v>
      </c>
      <c r="AW75" s="14">
        <f>IFERROR(AVERAGE(Tabel1[[#This Row],[Up - F3a]:[Up - F3b]]),"")</f>
        <v>3</v>
      </c>
      <c r="AX75" s="14">
        <v>3</v>
      </c>
      <c r="AY75" s="14">
        <f>IFERROR(AVERAGE(Tabel1[[#This Row],[Up - F1]],Tabel1[[#This Row],[Up - F2]],Tabel1[[#This Row],[Up - F3]],Tabel1[[#This Row],[Up - F4]]),"")</f>
        <v>3</v>
      </c>
      <c r="AZ75" s="14">
        <v>4</v>
      </c>
      <c r="BA75" s="14">
        <v>3</v>
      </c>
      <c r="BB75" s="14">
        <f>IFERROR(AVERAGE(Tabel1[[#This Row],[Up - V1a]:[Up - V1b]]),"")</f>
        <v>3.5</v>
      </c>
      <c r="BC75" s="14">
        <v>3</v>
      </c>
      <c r="BD75" s="14">
        <v>3</v>
      </c>
      <c r="BE75" s="14">
        <v>3</v>
      </c>
      <c r="BF75" s="14">
        <f>IFERROR(AVERAGE(Tabel1[[#This Row],[Up - V2a]:[Up - V2c]]),"")</f>
        <v>3</v>
      </c>
      <c r="BG75" s="14">
        <v>3</v>
      </c>
      <c r="BH75" s="14">
        <v>3</v>
      </c>
      <c r="BI75" s="14">
        <f>IFERROR(AVERAGE(Tabel1[[#This Row],[Up - V3a]:[Up - V3b]]),"")</f>
        <v>3</v>
      </c>
      <c r="BJ75" s="14">
        <v>3</v>
      </c>
      <c r="BK75" s="14">
        <f>IFERROR(AVERAGE(Tabel1[[#This Row],[Up - V1]],Tabel1[[#This Row],[Up - V2]],Tabel1[[#This Row],[Up - V3]],Tabel1[[#This Row],[Up - V4]]),"")</f>
        <v>3.125</v>
      </c>
      <c r="BL75" s="14">
        <v>3</v>
      </c>
      <c r="BM75" s="14">
        <v>4</v>
      </c>
      <c r="BN75" s="14">
        <v>3</v>
      </c>
      <c r="BO75" s="14">
        <v>3</v>
      </c>
      <c r="BP75" s="14">
        <f>IFERROR(AVERAGE(Tabel1[[#This Row],[Up - A1a]:[Up - A1d]]),"")</f>
        <v>3.25</v>
      </c>
      <c r="BQ75" s="14">
        <v>3</v>
      </c>
      <c r="BR75" s="14">
        <v>3</v>
      </c>
      <c r="BS75" s="14">
        <f>IFERROR(AVERAGE(Tabel1[[#This Row],[Up - A2a]:[Up - A2b]]),"")</f>
        <v>3</v>
      </c>
      <c r="BT75" s="14">
        <v>3</v>
      </c>
      <c r="BU75" s="14">
        <f>IFERROR(AVERAGE(Tabel1[[#This Row],[Up - A3a]:[Up - A3a]]),"")</f>
        <v>3</v>
      </c>
      <c r="BV75" s="14">
        <v>3</v>
      </c>
      <c r="BW75" s="14">
        <f>IFERROR(AVERAGE(Tabel1[[#This Row],[Up - A1]],Tabel1[[#This Row],[Up - A2]],Tabel1[[#This Row],[Up - A3]]),"")</f>
        <v>3.0833333333333335</v>
      </c>
      <c r="BX75" s="14">
        <v>3</v>
      </c>
      <c r="BY75" s="14">
        <v>5</v>
      </c>
      <c r="BZ75" s="14">
        <f>IFERROR(AVERAGE(Tabel1[[#This Row],[In - R1a]:[In - R1b]]),"")</f>
        <v>4</v>
      </c>
      <c r="CA75" s="14">
        <v>2</v>
      </c>
      <c r="CB75" s="14" t="s">
        <v>189</v>
      </c>
      <c r="CC75" s="14">
        <v>3</v>
      </c>
      <c r="CD75" s="14">
        <v>5</v>
      </c>
      <c r="CE75" s="14">
        <f>IFERROR(AVERAGE(Tabel1[[#This Row],[In - R1]:[In - R5]]),"")</f>
        <v>3.5</v>
      </c>
      <c r="CF75" s="14">
        <v>4</v>
      </c>
      <c r="CG75" s="14">
        <v>3</v>
      </c>
      <c r="CH75" s="14">
        <v>3</v>
      </c>
      <c r="CI75" s="14">
        <f>IFERROR(AVERAGE(Tabel1[[#This Row],[In - C1a]:[In - C1c]]),"")</f>
        <v>3.3333333333333335</v>
      </c>
      <c r="CJ75" s="14">
        <v>4</v>
      </c>
      <c r="CK75" s="14">
        <v>3</v>
      </c>
      <c r="CL75" s="14">
        <v>4</v>
      </c>
      <c r="CM75" s="14">
        <f>IFERROR(AVERAGE(Tabel1[[#This Row],[In - C1]:[In - C4]]),"")</f>
        <v>3.5833333333333335</v>
      </c>
      <c r="CN75" s="14">
        <v>4</v>
      </c>
      <c r="CO75" s="14">
        <v>4</v>
      </c>
      <c r="CP75" s="14">
        <v>2</v>
      </c>
      <c r="CQ75" s="14">
        <f>IFERROR(AVERAGE(Tabel1[[#This Row],[In - F1a]:[In - F1c]]),"")</f>
        <v>3.3333333333333335</v>
      </c>
      <c r="CR75" s="14">
        <v>3</v>
      </c>
      <c r="CS75" s="14">
        <v>2</v>
      </c>
      <c r="CT75" s="14">
        <f>IFERROR(AVERAGE(Tabel1[[#This Row],[In - F2a]:[In - F2b]]),"")</f>
        <v>2.5</v>
      </c>
      <c r="CU75" s="14">
        <v>3</v>
      </c>
      <c r="CV75" s="14">
        <f>IFERROR(AVERAGE(Tabel1[[#This Row],[In - F3a]:[In - F3a]]),"")</f>
        <v>3</v>
      </c>
      <c r="CW75" s="14">
        <v>3</v>
      </c>
      <c r="CX75" s="14">
        <f>IFERROR(AVERAGE(Tabel1[[#This Row],[In - F1]],Tabel1[[#This Row],[In - F2]],Tabel1[[#This Row],[In - F3]],Tabel1[[#This Row],[In - F4]]),"")</f>
        <v>2.9583333333333335</v>
      </c>
      <c r="CY75" s="14">
        <v>5</v>
      </c>
      <c r="CZ75" s="14">
        <v>4</v>
      </c>
      <c r="DA75" s="14">
        <v>3</v>
      </c>
      <c r="DB75" s="14">
        <f>IFERROR(AVERAGE(Tabel1[[#This Row],[In - V1a]:[In - V1c]]),"")</f>
        <v>4</v>
      </c>
      <c r="DC75" s="14">
        <v>4</v>
      </c>
      <c r="DD75" s="14">
        <v>4</v>
      </c>
      <c r="DE75" s="14">
        <v>3</v>
      </c>
      <c r="DF75" s="14">
        <f>IFERROR(AVERAGE(Tabel1[[#This Row],[In - V2a]:[In - V2c]]),"")</f>
        <v>3.6666666666666665</v>
      </c>
      <c r="DG75" s="14">
        <v>3</v>
      </c>
      <c r="DH75" s="14">
        <v>4</v>
      </c>
      <c r="DI75" s="14">
        <f>IFERROR(AVERAGE(Tabel1[[#This Row],[In - V3a]:[In - V3b]]),"")</f>
        <v>3.5</v>
      </c>
      <c r="DJ75" s="14">
        <v>4</v>
      </c>
      <c r="DK75" s="14">
        <f>IFERROR(AVERAGE(Tabel1[[#This Row],[In - V1]],Tabel1[[#This Row],[In - V2]],Tabel1[[#This Row],[In - V3]],Tabel1[[#This Row],[In - V4]]),"")</f>
        <v>3.7916666666666665</v>
      </c>
      <c r="DL75" s="14">
        <v>3</v>
      </c>
      <c r="DM75" s="14">
        <v>3</v>
      </c>
      <c r="DN75" s="14">
        <f>IFERROR(AVERAGE(Tabel1[[#This Row],[In - A1a]:[In - A1b]]),"")</f>
        <v>3</v>
      </c>
      <c r="DO75" s="14">
        <v>4</v>
      </c>
      <c r="DP75" s="14">
        <v>3</v>
      </c>
      <c r="DQ75" s="14">
        <f>IFERROR(AVERAGE(Tabel1[[#This Row],[In - A2a]:[In - A2b]]),"")</f>
        <v>3.5</v>
      </c>
      <c r="DR75" s="14">
        <v>4</v>
      </c>
      <c r="DS75" s="14">
        <v>3</v>
      </c>
      <c r="DT75" s="14">
        <f>IFERROR(AVERAGE(Tabel1[[#This Row],[In - A3a]:[In - A3a]]),"")</f>
        <v>4</v>
      </c>
      <c r="DU75" s="14">
        <v>3</v>
      </c>
      <c r="DV75" s="14">
        <f>IFERROR(AVERAGE(Tabel1[[#This Row],[In - A1]],Tabel1[[#This Row],[In - A2]],Tabel1[[#This Row],[In - A3]],Tabel1[[#This Row],[In - A4]]),"")</f>
        <v>3.375</v>
      </c>
      <c r="DW75" s="14">
        <v>2</v>
      </c>
      <c r="DX75" s="14">
        <v>4</v>
      </c>
      <c r="DY75" s="14">
        <v>2</v>
      </c>
      <c r="DZ75" s="14">
        <f>IFERROR(AVERAGE(Tabel1[[#This Row],[Do - R1a]:[Do - R1c]]),"")</f>
        <v>2.6666666666666665</v>
      </c>
      <c r="EA75" s="14">
        <v>2</v>
      </c>
      <c r="EB75" s="14">
        <v>3</v>
      </c>
      <c r="EC75" s="14">
        <v>2</v>
      </c>
      <c r="ED75" s="14">
        <v>3</v>
      </c>
      <c r="EE75" s="14">
        <f>IFERROR(AVERAGE(Tabel1[[#This Row],[Do - R1]:[Do - R5]]),"")</f>
        <v>2.5333333333333332</v>
      </c>
      <c r="EF75" s="14">
        <v>4</v>
      </c>
      <c r="EG75" s="14">
        <v>4</v>
      </c>
      <c r="EH75" s="14">
        <v>3</v>
      </c>
      <c r="EI75" s="14">
        <f>IFERROR(AVERAGE(Tabel1[[#This Row],[Do - C1a]:[Do - C1c]]),"")</f>
        <v>3.6666666666666665</v>
      </c>
      <c r="EJ75" s="14">
        <v>1</v>
      </c>
      <c r="EK75" s="14">
        <v>3</v>
      </c>
      <c r="EL75" s="14">
        <v>3</v>
      </c>
      <c r="EM75" s="14">
        <f>IFERROR(AVERAGE(Tabel1[[#This Row],[Do - C1]:[Do - C4]]),"")</f>
        <v>2.6666666666666665</v>
      </c>
      <c r="EN75" s="14">
        <v>4</v>
      </c>
      <c r="EO75" s="14">
        <v>2</v>
      </c>
      <c r="EP75" s="14">
        <v>3</v>
      </c>
      <c r="EQ75" s="14">
        <f>IFERROR(AVERAGE(Tabel1[[#This Row],[Do - F1a]:[Do - F1c]]),"")</f>
        <v>3</v>
      </c>
      <c r="ER75" s="14">
        <v>2</v>
      </c>
      <c r="ES75" s="14">
        <f>IFERROR(AVERAGE(Tabel1[[#This Row],[Do - F2a]:[Do - F2a]]),"")</f>
        <v>2</v>
      </c>
      <c r="ET75" s="14">
        <v>3</v>
      </c>
      <c r="EU75" s="14">
        <v>3</v>
      </c>
      <c r="EV75" s="14">
        <f>IFERROR(AVERAGE(Tabel1[[#This Row],[Do - F3a]:[Do - F3b]]),"")</f>
        <v>3</v>
      </c>
      <c r="EW75" s="14">
        <v>3</v>
      </c>
      <c r="EX75" s="14">
        <f>IFERROR(AVERAGE(Tabel1[[#This Row],[Do - F1]],Tabel1[[#This Row],[Do - F2]],Tabel1[[#This Row],[Do - F3]],Tabel1[[#This Row],[Do - F4]]),"")</f>
        <v>2.75</v>
      </c>
      <c r="EY75" s="14">
        <v>3</v>
      </c>
      <c r="EZ75" s="14">
        <v>2</v>
      </c>
      <c r="FA75" s="14">
        <v>3</v>
      </c>
      <c r="FB75" s="14">
        <f>IFERROR(AVERAGE(Tabel1[[#This Row],[Do - V1a]:[Do - V1c]]),"")</f>
        <v>2.6666666666666665</v>
      </c>
      <c r="FC75" s="14">
        <v>3</v>
      </c>
      <c r="FD75" s="14">
        <v>4</v>
      </c>
      <c r="FE75" s="14">
        <f>IFERROR(AVERAGE(Tabel1[[#This Row],[Do - V2a]:[Do - V2b]]),"")</f>
        <v>3.5</v>
      </c>
      <c r="FF75" s="14">
        <v>2</v>
      </c>
      <c r="FG75" s="14">
        <f>IFERROR(AVERAGE(Tabel1[[#This Row],[Do - V3a]:[Do - V3a]]),"")</f>
        <v>2</v>
      </c>
      <c r="FH75" s="14">
        <v>4</v>
      </c>
      <c r="FI75" s="14">
        <f>IFERROR(AVERAGE(Tabel1[[#This Row],[Do - V1]],Tabel1[[#This Row],[Do - V2]],Tabel1[[#This Row],[Do - V3]],Tabel1[[#This Row],[Do - V4]]),"")</f>
        <v>3.0416666666666665</v>
      </c>
      <c r="FJ75" s="14">
        <v>4</v>
      </c>
      <c r="FK75" s="14">
        <v>2</v>
      </c>
      <c r="FL75" s="14">
        <v>3</v>
      </c>
      <c r="FM75" s="14">
        <f>IFERROR(AVERAGE(Tabel1[[#This Row],[Do - A1a]:[Do - A1c]]),"")</f>
        <v>3</v>
      </c>
      <c r="FN75" s="14">
        <v>3</v>
      </c>
      <c r="FO75" s="14">
        <v>3</v>
      </c>
      <c r="FP75" s="14">
        <f>IFERROR(AVERAGE(Tabel1[[#This Row],[Do - A2a]:[Do - A2b]]),"")</f>
        <v>3</v>
      </c>
      <c r="FQ75" s="14">
        <v>3</v>
      </c>
      <c r="FR75" s="14">
        <f>IFERROR(AVERAGE(Tabel1[[#This Row],[Do - A3a]:[Do - A3a]]),"")</f>
        <v>3</v>
      </c>
      <c r="FS75" s="14">
        <v>3</v>
      </c>
      <c r="FT75" s="14">
        <f>IFERROR(AVERAGE(Tabel1[[#This Row],[Do - A1]],Tabel1[[#This Row],[Do - A2]],Tabel1[[#This Row],[Do - A3]],Tabel1[[#This Row],[Do - A4]]),"")</f>
        <v>3</v>
      </c>
      <c r="FU7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3.0616666666666665</v>
      </c>
      <c r="FV75" s="16" t="s">
        <v>563</v>
      </c>
      <c r="FW75" t="b">
        <v>1</v>
      </c>
    </row>
    <row r="76" spans="1:179" x14ac:dyDescent="0.3">
      <c r="A76" s="13">
        <v>44945.757754629631</v>
      </c>
      <c r="B76" t="b">
        <v>0</v>
      </c>
      <c r="C76" s="14" t="s">
        <v>564</v>
      </c>
      <c r="D76" s="14" t="s">
        <v>565</v>
      </c>
      <c r="E76" s="14" t="s">
        <v>566</v>
      </c>
      <c r="F76" s="14" t="s">
        <v>189</v>
      </c>
      <c r="G76" s="14" t="s">
        <v>567</v>
      </c>
      <c r="H76" s="14" t="s">
        <v>194</v>
      </c>
      <c r="I76" s="14" t="s">
        <v>195</v>
      </c>
      <c r="J76" s="14" t="s">
        <v>261</v>
      </c>
      <c r="K76" s="14" t="s">
        <v>187</v>
      </c>
      <c r="L76" s="14" t="s">
        <v>249</v>
      </c>
      <c r="M76" s="14" t="s">
        <v>188</v>
      </c>
      <c r="N76" s="14" t="s">
        <v>199</v>
      </c>
      <c r="O76" s="14" t="s">
        <v>200</v>
      </c>
      <c r="P76" s="14" t="s">
        <v>203</v>
      </c>
      <c r="Q76" s="14" t="s">
        <v>235</v>
      </c>
      <c r="R76" s="14" t="s">
        <v>235</v>
      </c>
      <c r="S76" s="14" t="s">
        <v>235</v>
      </c>
      <c r="T76" s="14" t="s">
        <v>204</v>
      </c>
      <c r="U76" s="14" t="s">
        <v>285</v>
      </c>
      <c r="V76" s="14" t="s">
        <v>206</v>
      </c>
      <c r="W76" s="14" t="s">
        <v>207</v>
      </c>
      <c r="X76" s="14" t="s">
        <v>207</v>
      </c>
      <c r="Y76" s="14">
        <v>3</v>
      </c>
      <c r="Z76" s="14">
        <v>3</v>
      </c>
      <c r="AA76" s="14" t="s">
        <v>189</v>
      </c>
      <c r="AB76" s="15">
        <f>IFERROR(AVERAGE(Tabel1[[#This Row],[Up - R1a]:[Up - R1c]]),"")</f>
        <v>3</v>
      </c>
      <c r="AC76" s="14">
        <v>4</v>
      </c>
      <c r="AD76" s="14">
        <v>1</v>
      </c>
      <c r="AE76" s="14">
        <v>2</v>
      </c>
      <c r="AF76" s="14">
        <v>3</v>
      </c>
      <c r="AG76" s="14">
        <f>IFERROR(AVERAGE(Tabel1[[#This Row],[Up - R1]:[Up - R5]]),"")</f>
        <v>2.6</v>
      </c>
      <c r="AH76" s="14">
        <v>4</v>
      </c>
      <c r="AI76" s="14">
        <v>4</v>
      </c>
      <c r="AJ76" s="14">
        <v>3</v>
      </c>
      <c r="AK76" s="14">
        <f>IFERROR(AVERAGE(Tabel1[[#This Row],[Up - C1a]:[Up - C1c]]),"")</f>
        <v>3.6666666666666665</v>
      </c>
      <c r="AL76" s="14" t="s">
        <v>189</v>
      </c>
      <c r="AM76" s="14">
        <v>4</v>
      </c>
      <c r="AN76" s="14" t="s">
        <v>189</v>
      </c>
      <c r="AO76" s="14">
        <f>IFERROR(AVERAGE(Tabel1[[#This Row],[Up - C1]:[Up - C4]]),"")</f>
        <v>3.833333333333333</v>
      </c>
      <c r="AP76" s="14" t="s">
        <v>189</v>
      </c>
      <c r="AQ76" s="14" t="str">
        <f>IFERROR(AVERAGE(Tabel1[[#This Row],[Up - F1a]:[Up - F1a]]),"")</f>
        <v/>
      </c>
      <c r="AR76" s="14">
        <v>1</v>
      </c>
      <c r="AS76" s="14" t="s">
        <v>189</v>
      </c>
      <c r="AT76" s="14">
        <f>IFERROR(AVERAGE(Tabel1[[#This Row],[Up - F2a]:[Up - F2b]]),"")</f>
        <v>1</v>
      </c>
      <c r="AU76" s="14">
        <v>1</v>
      </c>
      <c r="AV76" s="14">
        <v>3</v>
      </c>
      <c r="AW76" s="14">
        <f>IFERROR(AVERAGE(Tabel1[[#This Row],[Up - F3a]:[Up - F3b]]),"")</f>
        <v>2</v>
      </c>
      <c r="AX76" s="14" t="s">
        <v>189</v>
      </c>
      <c r="AY76" s="14">
        <f>IFERROR(AVERAGE(Tabel1[[#This Row],[Up - F1]],Tabel1[[#This Row],[Up - F2]],Tabel1[[#This Row],[Up - F3]],Tabel1[[#This Row],[Up - F4]]),"")</f>
        <v>1.5</v>
      </c>
      <c r="AZ76" s="14" t="s">
        <v>189</v>
      </c>
      <c r="BA76" s="14">
        <v>4</v>
      </c>
      <c r="BB76" s="14">
        <f>IFERROR(AVERAGE(Tabel1[[#This Row],[Up - V1a]:[Up - V1b]]),"")</f>
        <v>4</v>
      </c>
      <c r="BC76" s="14">
        <v>4</v>
      </c>
      <c r="BD76" s="14">
        <v>4</v>
      </c>
      <c r="BE76" s="14">
        <v>4</v>
      </c>
      <c r="BF76" s="14">
        <f>IFERROR(AVERAGE(Tabel1[[#This Row],[Up - V2a]:[Up - V2c]]),"")</f>
        <v>4</v>
      </c>
      <c r="BG76" s="14">
        <v>2</v>
      </c>
      <c r="BH76" s="14">
        <v>5</v>
      </c>
      <c r="BI76" s="14">
        <f>IFERROR(AVERAGE(Tabel1[[#This Row],[Up - V3a]:[Up - V3b]]),"")</f>
        <v>3.5</v>
      </c>
      <c r="BJ76" s="14">
        <v>4</v>
      </c>
      <c r="BK76" s="14">
        <f>IFERROR(AVERAGE(Tabel1[[#This Row],[Up - V1]],Tabel1[[#This Row],[Up - V2]],Tabel1[[#This Row],[Up - V3]],Tabel1[[#This Row],[Up - V4]]),"")</f>
        <v>3.875</v>
      </c>
      <c r="BL76" s="14">
        <v>2</v>
      </c>
      <c r="BM76" s="14">
        <v>4</v>
      </c>
      <c r="BN76" s="14">
        <v>1</v>
      </c>
      <c r="BO76" s="14">
        <v>3</v>
      </c>
      <c r="BP76" s="14">
        <f>IFERROR(AVERAGE(Tabel1[[#This Row],[Up - A1a]:[Up - A1d]]),"")</f>
        <v>2.5</v>
      </c>
      <c r="BQ76" s="14">
        <v>4</v>
      </c>
      <c r="BR76" s="14">
        <v>2</v>
      </c>
      <c r="BS76" s="14">
        <f>IFERROR(AVERAGE(Tabel1[[#This Row],[Up - A2a]:[Up - A2b]]),"")</f>
        <v>3</v>
      </c>
      <c r="BT76" s="14">
        <v>4</v>
      </c>
      <c r="BU76" s="14">
        <f>IFERROR(AVERAGE(Tabel1[[#This Row],[Up - A3a]:[Up - A3a]]),"")</f>
        <v>4</v>
      </c>
      <c r="BV76" s="14">
        <v>3</v>
      </c>
      <c r="BW76" s="14">
        <f>IFERROR(AVERAGE(Tabel1[[#This Row],[Up - A1]],Tabel1[[#This Row],[Up - A2]],Tabel1[[#This Row],[Up - A3]]),"")</f>
        <v>3.1666666666666665</v>
      </c>
      <c r="BX76" s="14">
        <v>1</v>
      </c>
      <c r="BY76" s="14">
        <v>3</v>
      </c>
      <c r="BZ76" s="14">
        <f>IFERROR(AVERAGE(Tabel1[[#This Row],[In - R1a]:[In - R1b]]),"")</f>
        <v>2</v>
      </c>
      <c r="CA76" s="14">
        <v>1</v>
      </c>
      <c r="CB76" s="14">
        <v>5</v>
      </c>
      <c r="CC76" s="14">
        <v>3</v>
      </c>
      <c r="CD76" s="14">
        <v>1</v>
      </c>
      <c r="CE76" s="14">
        <f>IFERROR(AVERAGE(Tabel1[[#This Row],[In - R1]:[In - R5]]),"")</f>
        <v>2.4</v>
      </c>
      <c r="CF76" s="14">
        <v>5</v>
      </c>
      <c r="CG76" s="14">
        <v>4</v>
      </c>
      <c r="CH76" s="14">
        <v>4</v>
      </c>
      <c r="CI76" s="14">
        <f>IFERROR(AVERAGE(Tabel1[[#This Row],[In - C1a]:[In - C1c]]),"")</f>
        <v>4.333333333333333</v>
      </c>
      <c r="CJ76" s="14">
        <v>4</v>
      </c>
      <c r="CK76" s="14">
        <v>3</v>
      </c>
      <c r="CL76" s="14">
        <v>5</v>
      </c>
      <c r="CM76" s="14">
        <f>IFERROR(AVERAGE(Tabel1[[#This Row],[In - C1]:[In - C4]]),"")</f>
        <v>4.083333333333333</v>
      </c>
      <c r="CN76" s="14">
        <v>1</v>
      </c>
      <c r="CO76" s="14">
        <v>2</v>
      </c>
      <c r="CP76" s="14">
        <v>2</v>
      </c>
      <c r="CQ76" s="14">
        <f>IFERROR(AVERAGE(Tabel1[[#This Row],[In - F1a]:[In - F1c]]),"")</f>
        <v>1.6666666666666667</v>
      </c>
      <c r="CR76" s="14">
        <v>1</v>
      </c>
      <c r="CS76" s="14">
        <v>2</v>
      </c>
      <c r="CT76" s="14">
        <f>IFERROR(AVERAGE(Tabel1[[#This Row],[In - F2a]:[In - F2b]]),"")</f>
        <v>1.5</v>
      </c>
      <c r="CU76" s="14">
        <v>1</v>
      </c>
      <c r="CV76" s="14">
        <f>IFERROR(AVERAGE(Tabel1[[#This Row],[In - F3a]:[In - F3a]]),"")</f>
        <v>1</v>
      </c>
      <c r="CW76" s="14" t="s">
        <v>189</v>
      </c>
      <c r="CX76" s="14">
        <f>IFERROR(AVERAGE(Tabel1[[#This Row],[In - F1]],Tabel1[[#This Row],[In - F2]],Tabel1[[#This Row],[In - F3]],Tabel1[[#This Row],[In - F4]]),"")</f>
        <v>1.3888888888888891</v>
      </c>
      <c r="CY76" s="14">
        <v>3</v>
      </c>
      <c r="CZ76" s="14">
        <v>4</v>
      </c>
      <c r="DA76" s="14">
        <v>2</v>
      </c>
      <c r="DB76" s="14">
        <f>IFERROR(AVERAGE(Tabel1[[#This Row],[In - V1a]:[In - V1c]]),"")</f>
        <v>3</v>
      </c>
      <c r="DC76" s="14">
        <v>4</v>
      </c>
      <c r="DD76" s="14">
        <v>2</v>
      </c>
      <c r="DE76" s="14">
        <v>3</v>
      </c>
      <c r="DF76" s="14">
        <f>IFERROR(AVERAGE(Tabel1[[#This Row],[In - V2a]:[In - V2c]]),"")</f>
        <v>3</v>
      </c>
      <c r="DG76" s="14">
        <v>4</v>
      </c>
      <c r="DH76" s="14">
        <v>4</v>
      </c>
      <c r="DI76" s="14">
        <f>IFERROR(AVERAGE(Tabel1[[#This Row],[In - V3a]:[In - V3b]]),"")</f>
        <v>4</v>
      </c>
      <c r="DJ76" s="14" t="s">
        <v>189</v>
      </c>
      <c r="DK76" s="14">
        <f>IFERROR(AVERAGE(Tabel1[[#This Row],[In - V1]],Tabel1[[#This Row],[In - V2]],Tabel1[[#This Row],[In - V3]],Tabel1[[#This Row],[In - V4]]),"")</f>
        <v>3.3333333333333335</v>
      </c>
      <c r="DL76" s="14">
        <v>4</v>
      </c>
      <c r="DM76" s="14">
        <v>4</v>
      </c>
      <c r="DN76" s="14">
        <f>IFERROR(AVERAGE(Tabel1[[#This Row],[In - A1a]:[In - A1b]]),"")</f>
        <v>4</v>
      </c>
      <c r="DO76" s="14">
        <v>5</v>
      </c>
      <c r="DP76" s="14">
        <v>4</v>
      </c>
      <c r="DQ76" s="14">
        <f>IFERROR(AVERAGE(Tabel1[[#This Row],[In - A2a]:[In - A2b]]),"")</f>
        <v>4.5</v>
      </c>
      <c r="DR76" s="14">
        <v>5</v>
      </c>
      <c r="DS76" s="14">
        <v>4</v>
      </c>
      <c r="DT76" s="14">
        <f>IFERROR(AVERAGE(Tabel1[[#This Row],[In - A3a]:[In - A3a]]),"")</f>
        <v>5</v>
      </c>
      <c r="DU76" s="14">
        <v>3</v>
      </c>
      <c r="DV76" s="14">
        <f>IFERROR(AVERAGE(Tabel1[[#This Row],[In - A1]],Tabel1[[#This Row],[In - A2]],Tabel1[[#This Row],[In - A3]],Tabel1[[#This Row],[In - A4]]),"")</f>
        <v>4.125</v>
      </c>
      <c r="DW76" s="14">
        <v>1</v>
      </c>
      <c r="DX76" s="14">
        <v>4</v>
      </c>
      <c r="DY76" s="14">
        <v>1</v>
      </c>
      <c r="DZ76" s="14">
        <f>IFERROR(AVERAGE(Tabel1[[#This Row],[Do - R1a]:[Do - R1c]]),"")</f>
        <v>2</v>
      </c>
      <c r="EA76" s="14">
        <v>2</v>
      </c>
      <c r="EB76" s="14">
        <v>2</v>
      </c>
      <c r="EC76" s="14" t="s">
        <v>189</v>
      </c>
      <c r="ED76" s="14">
        <v>3</v>
      </c>
      <c r="EE76" s="14">
        <f>IFERROR(AVERAGE(Tabel1[[#This Row],[Do - R1]:[Do - R5]]),"")</f>
        <v>2.25</v>
      </c>
      <c r="EF76" s="14">
        <v>3</v>
      </c>
      <c r="EG76" s="14">
        <v>3</v>
      </c>
      <c r="EH76" s="14">
        <v>3</v>
      </c>
      <c r="EI76" s="14">
        <f>IFERROR(AVERAGE(Tabel1[[#This Row],[Do - C1a]:[Do - C1c]]),"")</f>
        <v>3</v>
      </c>
      <c r="EJ76" s="14">
        <v>4</v>
      </c>
      <c r="EK76" s="14">
        <v>2</v>
      </c>
      <c r="EL76" s="14">
        <v>2</v>
      </c>
      <c r="EM76" s="14">
        <f>IFERROR(AVERAGE(Tabel1[[#This Row],[Do - C1]:[Do - C4]]),"")</f>
        <v>2.75</v>
      </c>
      <c r="EN76" s="14">
        <v>2</v>
      </c>
      <c r="EO76" s="14">
        <v>2</v>
      </c>
      <c r="EP76" s="14">
        <v>4</v>
      </c>
      <c r="EQ76" s="14">
        <f>IFERROR(AVERAGE(Tabel1[[#This Row],[Do - F1a]:[Do - F1c]]),"")</f>
        <v>2.6666666666666665</v>
      </c>
      <c r="ER76" s="14">
        <v>2</v>
      </c>
      <c r="ES76" s="14">
        <f>IFERROR(AVERAGE(Tabel1[[#This Row],[Do - F2a]:[Do - F2a]]),"")</f>
        <v>2</v>
      </c>
      <c r="ET76" s="14">
        <v>3</v>
      </c>
      <c r="EU76" s="14">
        <v>3</v>
      </c>
      <c r="EV76" s="14">
        <f>IFERROR(AVERAGE(Tabel1[[#This Row],[Do - F3a]:[Do - F3b]]),"")</f>
        <v>3</v>
      </c>
      <c r="EW76" s="14">
        <v>2</v>
      </c>
      <c r="EX76" s="14">
        <f>IFERROR(AVERAGE(Tabel1[[#This Row],[Do - F1]],Tabel1[[#This Row],[Do - F2]],Tabel1[[#This Row],[Do - F3]],Tabel1[[#This Row],[Do - F4]]),"")</f>
        <v>2.4166666666666665</v>
      </c>
      <c r="EY76" s="14">
        <v>3</v>
      </c>
      <c r="EZ76" s="14">
        <v>3</v>
      </c>
      <c r="FA76" s="14">
        <v>3</v>
      </c>
      <c r="FB76" s="14">
        <f>IFERROR(AVERAGE(Tabel1[[#This Row],[Do - V1a]:[Do - V1c]]),"")</f>
        <v>3</v>
      </c>
      <c r="FC76" s="14">
        <v>3</v>
      </c>
      <c r="FD76" s="14">
        <v>4</v>
      </c>
      <c r="FE76" s="14">
        <f>IFERROR(AVERAGE(Tabel1[[#This Row],[Do - V2a]:[Do - V2b]]),"")</f>
        <v>3.5</v>
      </c>
      <c r="FF76" s="14">
        <v>4</v>
      </c>
      <c r="FG76" s="14">
        <f>IFERROR(AVERAGE(Tabel1[[#This Row],[Do - V3a]:[Do - V3a]]),"")</f>
        <v>4</v>
      </c>
      <c r="FH76" s="14">
        <v>5</v>
      </c>
      <c r="FI76" s="14">
        <f>IFERROR(AVERAGE(Tabel1[[#This Row],[Do - V1]],Tabel1[[#This Row],[Do - V2]],Tabel1[[#This Row],[Do - V3]],Tabel1[[#This Row],[Do - V4]]),"")</f>
        <v>3.875</v>
      </c>
      <c r="FJ76" s="14">
        <v>4</v>
      </c>
      <c r="FK76" s="14">
        <v>3</v>
      </c>
      <c r="FL76" s="14">
        <v>2</v>
      </c>
      <c r="FM76" s="14">
        <f>IFERROR(AVERAGE(Tabel1[[#This Row],[Do - A1a]:[Do - A1c]]),"")</f>
        <v>3</v>
      </c>
      <c r="FN76" s="14">
        <v>4</v>
      </c>
      <c r="FO76" s="14">
        <v>2</v>
      </c>
      <c r="FP76" s="14">
        <f>IFERROR(AVERAGE(Tabel1[[#This Row],[Do - A2a]:[Do - A2b]]),"")</f>
        <v>3</v>
      </c>
      <c r="FQ76" s="14">
        <v>4</v>
      </c>
      <c r="FR76" s="14">
        <f>IFERROR(AVERAGE(Tabel1[[#This Row],[Do - A3a]:[Do - A3a]]),"")</f>
        <v>4</v>
      </c>
      <c r="FS76" s="14">
        <v>2</v>
      </c>
      <c r="FT76" s="14">
        <f>IFERROR(AVERAGE(Tabel1[[#This Row],[Do - A1]],Tabel1[[#This Row],[Do - A2]],Tabel1[[#This Row],[Do - A3]],Tabel1[[#This Row],[Do - A4]]),"")</f>
        <v>3</v>
      </c>
      <c r="FU7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2.9731481481481481</v>
      </c>
      <c r="FV76" s="16" t="s">
        <v>568</v>
      </c>
      <c r="FW76" t="b">
        <v>1</v>
      </c>
    </row>
    <row r="77" spans="1:179" x14ac:dyDescent="0.3">
      <c r="A77" s="13">
        <v>44945.873912037037</v>
      </c>
      <c r="B77" t="b">
        <v>0</v>
      </c>
      <c r="C77" s="14" t="s">
        <v>569</v>
      </c>
      <c r="D77" s="14" t="s">
        <v>215</v>
      </c>
      <c r="E77" s="14" t="s">
        <v>570</v>
      </c>
      <c r="F77" s="14" t="s">
        <v>184</v>
      </c>
      <c r="G77" s="14" t="s">
        <v>571</v>
      </c>
      <c r="H77" s="14" t="s">
        <v>222</v>
      </c>
      <c r="I77" s="14" t="s">
        <v>572</v>
      </c>
      <c r="J77" s="14" t="s">
        <v>573</v>
      </c>
      <c r="K77" s="14" t="s">
        <v>187</v>
      </c>
      <c r="L77" s="14" t="s">
        <v>249</v>
      </c>
      <c r="M77" s="14" t="s">
        <v>198</v>
      </c>
      <c r="N77" s="14" t="s">
        <v>199</v>
      </c>
      <c r="O77" s="14" t="s">
        <v>256</v>
      </c>
      <c r="P77" s="17" t="s">
        <v>255</v>
      </c>
      <c r="Q77" s="14" t="s">
        <v>235</v>
      </c>
      <c r="R77" s="14" t="s">
        <v>187</v>
      </c>
      <c r="S77" s="14" t="s">
        <v>187</v>
      </c>
      <c r="T77" s="14" t="s">
        <v>204</v>
      </c>
      <c r="U77" s="14" t="s">
        <v>205</v>
      </c>
      <c r="V77" s="14" t="s">
        <v>484</v>
      </c>
      <c r="W77" s="14" t="s">
        <v>207</v>
      </c>
      <c r="X77" s="14" t="s">
        <v>207</v>
      </c>
      <c r="Y77" s="14">
        <v>2</v>
      </c>
      <c r="Z77" s="14">
        <v>4</v>
      </c>
      <c r="AA77" s="14">
        <v>3</v>
      </c>
      <c r="AB77" s="15">
        <f>IFERROR(AVERAGE(Tabel1[[#This Row],[Up - R1a]:[Up - R1c]]),"")</f>
        <v>3</v>
      </c>
      <c r="AC77" s="14">
        <v>4</v>
      </c>
      <c r="AD77" s="14">
        <v>3</v>
      </c>
      <c r="AE77" s="14">
        <v>2</v>
      </c>
      <c r="AF77" s="14">
        <v>4</v>
      </c>
      <c r="AG77" s="14">
        <f>IFERROR(AVERAGE(Tabel1[[#This Row],[Up - R1]:[Up - R5]]),"")</f>
        <v>3.2</v>
      </c>
      <c r="AH77" s="14">
        <v>3</v>
      </c>
      <c r="AI77" s="14">
        <v>2</v>
      </c>
      <c r="AJ77" s="14">
        <v>3</v>
      </c>
      <c r="AK77" s="14">
        <f>IFERROR(AVERAGE(Tabel1[[#This Row],[Up - C1a]:[Up - C1c]]),"")</f>
        <v>2.6666666666666665</v>
      </c>
      <c r="AL77" s="14">
        <v>4</v>
      </c>
      <c r="AM77" s="14">
        <v>2</v>
      </c>
      <c r="AN77" s="14">
        <v>2</v>
      </c>
      <c r="AO77" s="14">
        <f>IFERROR(AVERAGE(Tabel1[[#This Row],[Up - C1]:[Up - C4]]),"")</f>
        <v>2.6666666666666665</v>
      </c>
      <c r="AP77" s="14">
        <v>4</v>
      </c>
      <c r="AQ77" s="14">
        <f>IFERROR(AVERAGE(Tabel1[[#This Row],[Up - F1a]:[Up - F1a]]),"")</f>
        <v>4</v>
      </c>
      <c r="AR77" s="14">
        <v>1</v>
      </c>
      <c r="AS77" s="14">
        <v>2</v>
      </c>
      <c r="AT77" s="14">
        <f>IFERROR(AVERAGE(Tabel1[[#This Row],[Up - F2a]:[Up - F2b]]),"")</f>
        <v>1.5</v>
      </c>
      <c r="AU77" s="14">
        <v>3</v>
      </c>
      <c r="AV77" s="14">
        <v>1</v>
      </c>
      <c r="AW77" s="14">
        <f>IFERROR(AVERAGE(Tabel1[[#This Row],[Up - F3a]:[Up - F3b]]),"")</f>
        <v>2</v>
      </c>
      <c r="AX77" s="14">
        <v>3</v>
      </c>
      <c r="AY77" s="14">
        <f>IFERROR(AVERAGE(Tabel1[[#This Row],[Up - F1]],Tabel1[[#This Row],[Up - F2]],Tabel1[[#This Row],[Up - F3]],Tabel1[[#This Row],[Up - F4]]),"")</f>
        <v>2.625</v>
      </c>
      <c r="AZ77" s="14">
        <v>4</v>
      </c>
      <c r="BA77" s="14">
        <v>3</v>
      </c>
      <c r="BB77" s="14">
        <f>IFERROR(AVERAGE(Tabel1[[#This Row],[Up - V1a]:[Up - V1b]]),"")</f>
        <v>3.5</v>
      </c>
      <c r="BC77" s="14">
        <v>3</v>
      </c>
      <c r="BD77" s="14">
        <v>4</v>
      </c>
      <c r="BE77" s="14">
        <v>3</v>
      </c>
      <c r="BF77" s="14">
        <f>IFERROR(AVERAGE(Tabel1[[#This Row],[Up - V2a]:[Up - V2c]]),"")</f>
        <v>3.3333333333333335</v>
      </c>
      <c r="BG77" s="14">
        <v>3</v>
      </c>
      <c r="BH77" s="14">
        <v>4</v>
      </c>
      <c r="BI77" s="14">
        <f>IFERROR(AVERAGE(Tabel1[[#This Row],[Up - V3a]:[Up - V3b]]),"")</f>
        <v>3.5</v>
      </c>
      <c r="BJ77" s="14">
        <v>3</v>
      </c>
      <c r="BK77" s="14">
        <f>IFERROR(AVERAGE(Tabel1[[#This Row],[Up - V1]],Tabel1[[#This Row],[Up - V2]],Tabel1[[#This Row],[Up - V3]],Tabel1[[#This Row],[Up - V4]]),"")</f>
        <v>3.3333333333333335</v>
      </c>
      <c r="BL77" s="14">
        <v>4</v>
      </c>
      <c r="BM77" s="14">
        <v>2</v>
      </c>
      <c r="BN77" s="14">
        <v>1</v>
      </c>
      <c r="BO77" s="14">
        <v>2</v>
      </c>
      <c r="BP77" s="14">
        <f>IFERROR(AVERAGE(Tabel1[[#This Row],[Up - A1a]:[Up - A1d]]),"")</f>
        <v>2.25</v>
      </c>
      <c r="BQ77" s="14">
        <v>2</v>
      </c>
      <c r="BR77" s="14">
        <v>4</v>
      </c>
      <c r="BS77" s="14">
        <f>IFERROR(AVERAGE(Tabel1[[#This Row],[Up - A2a]:[Up - A2b]]),"")</f>
        <v>3</v>
      </c>
      <c r="BT77" s="14">
        <v>3</v>
      </c>
      <c r="BU77" s="14">
        <f>IFERROR(AVERAGE(Tabel1[[#This Row],[Up - A3a]:[Up - A3a]]),"")</f>
        <v>3</v>
      </c>
      <c r="BV77" s="14">
        <v>2</v>
      </c>
      <c r="BW77" s="14">
        <f>IFERROR(AVERAGE(Tabel1[[#This Row],[Up - A1]],Tabel1[[#This Row],[Up - A2]],Tabel1[[#This Row],[Up - A3]]),"")</f>
        <v>2.75</v>
      </c>
      <c r="BX77" s="14">
        <v>3</v>
      </c>
      <c r="BY77" s="14">
        <v>4</v>
      </c>
      <c r="BZ77" s="14">
        <f>IFERROR(AVERAGE(Tabel1[[#This Row],[In - R1a]:[In - R1b]]),"")</f>
        <v>3.5</v>
      </c>
      <c r="CA77" s="14">
        <v>4</v>
      </c>
      <c r="CB77" s="14">
        <v>5</v>
      </c>
      <c r="CC77" s="14">
        <v>2</v>
      </c>
      <c r="CD77" s="14">
        <v>5</v>
      </c>
      <c r="CE77" s="14">
        <f>IFERROR(AVERAGE(Tabel1[[#This Row],[In - R1]:[In - R5]]),"")</f>
        <v>3.9</v>
      </c>
      <c r="CF77" s="14">
        <v>3</v>
      </c>
      <c r="CG77" s="14">
        <v>3</v>
      </c>
      <c r="CH77" s="14">
        <v>3</v>
      </c>
      <c r="CI77" s="14">
        <f>IFERROR(AVERAGE(Tabel1[[#This Row],[In - C1a]:[In - C1c]]),"")</f>
        <v>3</v>
      </c>
      <c r="CJ77" s="14">
        <v>3</v>
      </c>
      <c r="CK77" s="14">
        <v>2</v>
      </c>
      <c r="CL77" s="14">
        <v>3</v>
      </c>
      <c r="CM77" s="14">
        <f>IFERROR(AVERAGE(Tabel1[[#This Row],[In - C1]:[In - C4]]),"")</f>
        <v>2.75</v>
      </c>
      <c r="CN77" s="14">
        <v>4</v>
      </c>
      <c r="CO77" s="14">
        <v>3</v>
      </c>
      <c r="CP77" s="14">
        <v>3</v>
      </c>
      <c r="CQ77" s="14">
        <f>IFERROR(AVERAGE(Tabel1[[#This Row],[In - F1a]:[In - F1c]]),"")</f>
        <v>3.3333333333333335</v>
      </c>
      <c r="CR77" s="14">
        <v>3</v>
      </c>
      <c r="CS77" s="14">
        <v>1</v>
      </c>
      <c r="CT77" s="14">
        <f>IFERROR(AVERAGE(Tabel1[[#This Row],[In - F2a]:[In - F2b]]),"")</f>
        <v>2</v>
      </c>
      <c r="CU77" s="14">
        <v>1</v>
      </c>
      <c r="CV77" s="14">
        <f>IFERROR(AVERAGE(Tabel1[[#This Row],[In - F3a]:[In - F3a]]),"")</f>
        <v>1</v>
      </c>
      <c r="CW77" s="14" t="s">
        <v>189</v>
      </c>
      <c r="CX77" s="14">
        <f>IFERROR(AVERAGE(Tabel1[[#This Row],[In - F1]],Tabel1[[#This Row],[In - F2]],Tabel1[[#This Row],[In - F3]],Tabel1[[#This Row],[In - F4]]),"")</f>
        <v>2.1111111111111112</v>
      </c>
      <c r="CY77" s="14">
        <v>2</v>
      </c>
      <c r="CZ77" s="14">
        <v>3</v>
      </c>
      <c r="DA77" s="14">
        <v>3</v>
      </c>
      <c r="DB77" s="14">
        <f>IFERROR(AVERAGE(Tabel1[[#This Row],[In - V1a]:[In - V1c]]),"")</f>
        <v>2.6666666666666665</v>
      </c>
      <c r="DC77" s="14">
        <v>3</v>
      </c>
      <c r="DD77" s="14">
        <v>3</v>
      </c>
      <c r="DE77" s="14">
        <v>3</v>
      </c>
      <c r="DF77" s="14">
        <f>IFERROR(AVERAGE(Tabel1[[#This Row],[In - V2a]:[In - V2c]]),"")</f>
        <v>3</v>
      </c>
      <c r="DG77" s="14">
        <v>2</v>
      </c>
      <c r="DH77" s="14">
        <v>5</v>
      </c>
      <c r="DI77" s="14">
        <f>IFERROR(AVERAGE(Tabel1[[#This Row],[In - V3a]:[In - V3b]]),"")</f>
        <v>3.5</v>
      </c>
      <c r="DJ77" s="14">
        <v>4</v>
      </c>
      <c r="DK77" s="14">
        <f>IFERROR(AVERAGE(Tabel1[[#This Row],[In - V1]],Tabel1[[#This Row],[In - V2]],Tabel1[[#This Row],[In - V3]],Tabel1[[#This Row],[In - V4]]),"")</f>
        <v>3.2916666666666665</v>
      </c>
      <c r="DL77" s="14">
        <v>3</v>
      </c>
      <c r="DM77" s="14">
        <v>3</v>
      </c>
      <c r="DN77" s="14">
        <f>IFERROR(AVERAGE(Tabel1[[#This Row],[In - A1a]:[In - A1b]]),"")</f>
        <v>3</v>
      </c>
      <c r="DO77" s="14">
        <v>5</v>
      </c>
      <c r="DP77" s="14">
        <v>2</v>
      </c>
      <c r="DQ77" s="14">
        <f>IFERROR(AVERAGE(Tabel1[[#This Row],[In - A2a]:[In - A2b]]),"")</f>
        <v>3.5</v>
      </c>
      <c r="DR77" s="14">
        <v>2</v>
      </c>
      <c r="DS77" s="14">
        <v>3</v>
      </c>
      <c r="DT77" s="14">
        <f>IFERROR(AVERAGE(Tabel1[[#This Row],[In - A3a]:[In - A3a]]),"")</f>
        <v>2</v>
      </c>
      <c r="DU77" s="14">
        <v>1</v>
      </c>
      <c r="DV77" s="14">
        <f>IFERROR(AVERAGE(Tabel1[[#This Row],[In - A1]],Tabel1[[#This Row],[In - A2]],Tabel1[[#This Row],[In - A3]],Tabel1[[#This Row],[In - A4]]),"")</f>
        <v>2.375</v>
      </c>
      <c r="DW77" s="14">
        <v>3</v>
      </c>
      <c r="DX77" s="14">
        <v>5</v>
      </c>
      <c r="DY77" s="14">
        <v>3</v>
      </c>
      <c r="DZ77" s="14">
        <f>IFERROR(AVERAGE(Tabel1[[#This Row],[Do - R1a]:[Do - R1c]]),"")</f>
        <v>3.6666666666666665</v>
      </c>
      <c r="EA77" s="14">
        <v>5</v>
      </c>
      <c r="EB77" s="14">
        <v>3</v>
      </c>
      <c r="EC77" s="14">
        <v>4</v>
      </c>
      <c r="ED77" s="14">
        <v>4</v>
      </c>
      <c r="EE77" s="14">
        <f>IFERROR(AVERAGE(Tabel1[[#This Row],[Do - R1]:[Do - R5]]),"")</f>
        <v>3.9333333333333327</v>
      </c>
      <c r="EF77" s="14" t="s">
        <v>189</v>
      </c>
      <c r="EG77" s="14">
        <v>1</v>
      </c>
      <c r="EH77" s="14">
        <v>2</v>
      </c>
      <c r="EI77" s="14">
        <f>IFERROR(AVERAGE(Tabel1[[#This Row],[Do - C1a]:[Do - C1c]]),"")</f>
        <v>1.5</v>
      </c>
      <c r="EJ77" s="14">
        <v>1</v>
      </c>
      <c r="EK77" s="14" t="s">
        <v>189</v>
      </c>
      <c r="EL77" s="14" t="s">
        <v>189</v>
      </c>
      <c r="EM77" s="14">
        <f>IFERROR(AVERAGE(Tabel1[[#This Row],[Do - C1]:[Do - C4]]),"")</f>
        <v>1.25</v>
      </c>
      <c r="EN77" s="14" t="s">
        <v>189</v>
      </c>
      <c r="EO77" s="14" t="s">
        <v>189</v>
      </c>
      <c r="EP77" s="14">
        <v>3</v>
      </c>
      <c r="EQ77" s="14">
        <f>IFERROR(AVERAGE(Tabel1[[#This Row],[Do - F1a]:[Do - F1c]]),"")</f>
        <v>3</v>
      </c>
      <c r="ER77" s="14">
        <v>2</v>
      </c>
      <c r="ES77" s="14">
        <f>IFERROR(AVERAGE(Tabel1[[#This Row],[Do - F2a]:[Do - F2a]]),"")</f>
        <v>2</v>
      </c>
      <c r="ET77" s="14" t="s">
        <v>189</v>
      </c>
      <c r="EU77" s="14">
        <v>3</v>
      </c>
      <c r="EV77" s="14">
        <f>IFERROR(AVERAGE(Tabel1[[#This Row],[Do - F3a]:[Do - F3b]]),"")</f>
        <v>3</v>
      </c>
      <c r="EW77" s="14" t="s">
        <v>189</v>
      </c>
      <c r="EX77" s="14">
        <f>IFERROR(AVERAGE(Tabel1[[#This Row],[Do - F1]],Tabel1[[#This Row],[Do - F2]],Tabel1[[#This Row],[Do - F3]],Tabel1[[#This Row],[Do - F4]]),"")</f>
        <v>2.6666666666666665</v>
      </c>
      <c r="EY77" s="14">
        <v>2</v>
      </c>
      <c r="EZ77" s="14">
        <v>3</v>
      </c>
      <c r="FA77" s="14">
        <v>2</v>
      </c>
      <c r="FB77" s="14">
        <f>IFERROR(AVERAGE(Tabel1[[#This Row],[Do - V1a]:[Do - V1c]]),"")</f>
        <v>2.3333333333333335</v>
      </c>
      <c r="FC77" s="14" t="s">
        <v>189</v>
      </c>
      <c r="FD77" s="14">
        <v>3</v>
      </c>
      <c r="FE77" s="14">
        <f>IFERROR(AVERAGE(Tabel1[[#This Row],[Do - V2a]:[Do - V2b]]),"")</f>
        <v>3</v>
      </c>
      <c r="FF77" s="14">
        <v>2</v>
      </c>
      <c r="FG77" s="14">
        <f>IFERROR(AVERAGE(Tabel1[[#This Row],[Do - V3a]:[Do - V3a]]),"")</f>
        <v>2</v>
      </c>
      <c r="FH77" s="14">
        <v>3</v>
      </c>
      <c r="FI77" s="14">
        <f>IFERROR(AVERAGE(Tabel1[[#This Row],[Do - V1]],Tabel1[[#This Row],[Do - V2]],Tabel1[[#This Row],[Do - V3]],Tabel1[[#This Row],[Do - V4]]),"")</f>
        <v>2.5833333333333335</v>
      </c>
      <c r="FJ77" s="14">
        <v>2</v>
      </c>
      <c r="FK77" s="14">
        <v>1</v>
      </c>
      <c r="FL77" s="14" t="s">
        <v>189</v>
      </c>
      <c r="FM77" s="14">
        <f>IFERROR(AVERAGE(Tabel1[[#This Row],[Do - A1a]:[Do - A1c]]),"")</f>
        <v>1.5</v>
      </c>
      <c r="FN77" s="14">
        <v>2</v>
      </c>
      <c r="FO77" s="14">
        <v>3</v>
      </c>
      <c r="FP77" s="14">
        <f>IFERROR(AVERAGE(Tabel1[[#This Row],[Do - A2a]:[Do - A2b]]),"")</f>
        <v>2.5</v>
      </c>
      <c r="FQ77" s="14" t="s">
        <v>189</v>
      </c>
      <c r="FR77" s="14" t="str">
        <f>IFERROR(AVERAGE(Tabel1[[#This Row],[Do - A3a]:[Do - A3a]]),"")</f>
        <v/>
      </c>
      <c r="FS77" s="14">
        <v>1</v>
      </c>
      <c r="FT77" s="14">
        <f>IFERROR(AVERAGE(Tabel1[[#This Row],[Do - A1]],Tabel1[[#This Row],[Do - A2]],Tabel1[[#This Row],[Do - A3]],Tabel1[[#This Row],[Do - A4]]),"")</f>
        <v>1.6666666666666667</v>
      </c>
      <c r="FU7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2.7401851851851848</v>
      </c>
      <c r="FV77" s="16" t="s">
        <v>574</v>
      </c>
      <c r="FW77" t="b">
        <v>1</v>
      </c>
    </row>
    <row r="78" spans="1:179" x14ac:dyDescent="0.3">
      <c r="A78" s="13">
        <v>44946.358807870369</v>
      </c>
      <c r="B78" t="b">
        <v>0</v>
      </c>
      <c r="C78" s="14" t="s">
        <v>575</v>
      </c>
      <c r="D78" s="14" t="s">
        <v>576</v>
      </c>
      <c r="E78" s="14" t="s">
        <v>577</v>
      </c>
      <c r="F78" s="14" t="s">
        <v>184</v>
      </c>
      <c r="G78" s="14" t="s">
        <v>578</v>
      </c>
      <c r="H78" s="14" t="s">
        <v>222</v>
      </c>
      <c r="I78" s="14" t="s">
        <v>195</v>
      </c>
      <c r="J78" s="14" t="s">
        <v>579</v>
      </c>
      <c r="K78" s="14" t="s">
        <v>187</v>
      </c>
      <c r="L78" s="14" t="s">
        <v>385</v>
      </c>
      <c r="M78" s="14" t="s">
        <v>233</v>
      </c>
      <c r="N78" s="14" t="s">
        <v>479</v>
      </c>
      <c r="O78" s="14" t="s">
        <v>200</v>
      </c>
      <c r="P78" s="17" t="s">
        <v>304</v>
      </c>
      <c r="Q78" s="14" t="s">
        <v>235</v>
      </c>
      <c r="R78" s="14" t="s">
        <v>202</v>
      </c>
      <c r="S78" s="14" t="s">
        <v>202</v>
      </c>
      <c r="T78" s="14" t="s">
        <v>204</v>
      </c>
      <c r="U78" s="14" t="s">
        <v>237</v>
      </c>
      <c r="V78" s="14" t="s">
        <v>484</v>
      </c>
      <c r="W78" s="14" t="s">
        <v>207</v>
      </c>
      <c r="X78" s="14" t="s">
        <v>207</v>
      </c>
      <c r="Y78" s="14">
        <v>3</v>
      </c>
      <c r="Z78" s="14">
        <v>4</v>
      </c>
      <c r="AA78" s="14" t="s">
        <v>189</v>
      </c>
      <c r="AB78" s="15">
        <f>IFERROR(AVERAGE(Tabel1[[#This Row],[Up - R1a]:[Up - R1c]]),"")</f>
        <v>3.5</v>
      </c>
      <c r="AC78" s="14">
        <v>3</v>
      </c>
      <c r="AD78" s="14">
        <v>2</v>
      </c>
      <c r="AE78" s="14">
        <v>2</v>
      </c>
      <c r="AF78" s="14">
        <v>3</v>
      </c>
      <c r="AG78" s="14">
        <f>IFERROR(AVERAGE(Tabel1[[#This Row],[Up - R1]:[Up - R5]]),"")</f>
        <v>2.7</v>
      </c>
      <c r="AH78" s="14">
        <v>4</v>
      </c>
      <c r="AI78" s="14">
        <v>3</v>
      </c>
      <c r="AJ78" s="14">
        <v>2</v>
      </c>
      <c r="AK78" s="14">
        <f>IFERROR(AVERAGE(Tabel1[[#This Row],[Up - C1a]:[Up - C1c]]),"")</f>
        <v>3</v>
      </c>
      <c r="AL78" s="14">
        <v>2</v>
      </c>
      <c r="AM78" s="14" t="s">
        <v>189</v>
      </c>
      <c r="AN78" s="14">
        <v>2</v>
      </c>
      <c r="AO78" s="14">
        <f>IFERROR(AVERAGE(Tabel1[[#This Row],[Up - C1]:[Up - C4]]),"")</f>
        <v>2.3333333333333335</v>
      </c>
      <c r="AP78" s="14">
        <v>3</v>
      </c>
      <c r="AQ78" s="14">
        <f>IFERROR(AVERAGE(Tabel1[[#This Row],[Up - F1a]:[Up - F1a]]),"")</f>
        <v>3</v>
      </c>
      <c r="AR78" s="14">
        <v>1</v>
      </c>
      <c r="AS78" s="14">
        <v>3</v>
      </c>
      <c r="AT78" s="14">
        <f>IFERROR(AVERAGE(Tabel1[[#This Row],[Up - F2a]:[Up - F2b]]),"")</f>
        <v>2</v>
      </c>
      <c r="AU78" s="14">
        <v>1</v>
      </c>
      <c r="AV78" s="14">
        <v>2</v>
      </c>
      <c r="AW78" s="14">
        <f>IFERROR(AVERAGE(Tabel1[[#This Row],[Up - F3a]:[Up - F3b]]),"")</f>
        <v>1.5</v>
      </c>
      <c r="AX78" s="14">
        <v>3</v>
      </c>
      <c r="AY78" s="14">
        <f>IFERROR(AVERAGE(Tabel1[[#This Row],[Up - F1]],Tabel1[[#This Row],[Up - F2]],Tabel1[[#This Row],[Up - F3]],Tabel1[[#This Row],[Up - F4]]),"")</f>
        <v>2.375</v>
      </c>
      <c r="AZ78" s="14" t="s">
        <v>189</v>
      </c>
      <c r="BA78" s="14">
        <v>3</v>
      </c>
      <c r="BB78" s="14">
        <f>IFERROR(AVERAGE(Tabel1[[#This Row],[Up - V1a]:[Up - V1b]]),"")</f>
        <v>3</v>
      </c>
      <c r="BC78" s="14">
        <v>2</v>
      </c>
      <c r="BD78" s="14" t="s">
        <v>189</v>
      </c>
      <c r="BE78" s="14">
        <v>2</v>
      </c>
      <c r="BF78" s="14">
        <f>IFERROR(AVERAGE(Tabel1[[#This Row],[Up - V2a]:[Up - V2c]]),"")</f>
        <v>2</v>
      </c>
      <c r="BG78" s="14" t="s">
        <v>189</v>
      </c>
      <c r="BH78" s="14">
        <v>4</v>
      </c>
      <c r="BI78" s="14">
        <f>IFERROR(AVERAGE(Tabel1[[#This Row],[Up - V3a]:[Up - V3b]]),"")</f>
        <v>4</v>
      </c>
      <c r="BJ78" s="14">
        <v>3</v>
      </c>
      <c r="BK78" s="14">
        <f>IFERROR(AVERAGE(Tabel1[[#This Row],[Up - V1]],Tabel1[[#This Row],[Up - V2]],Tabel1[[#This Row],[Up - V3]],Tabel1[[#This Row],[Up - V4]]),"")</f>
        <v>3</v>
      </c>
      <c r="BL78" s="14">
        <v>2</v>
      </c>
      <c r="BM78" s="14">
        <v>3</v>
      </c>
      <c r="BN78" s="14">
        <v>1</v>
      </c>
      <c r="BO78" s="14" t="s">
        <v>189</v>
      </c>
      <c r="BP78" s="14">
        <f>IFERROR(AVERAGE(Tabel1[[#This Row],[Up - A1a]:[Up - A1d]]),"")</f>
        <v>2</v>
      </c>
      <c r="BQ78" s="14">
        <v>2</v>
      </c>
      <c r="BR78" s="14">
        <v>2</v>
      </c>
      <c r="BS78" s="14">
        <f>IFERROR(AVERAGE(Tabel1[[#This Row],[Up - A2a]:[Up - A2b]]),"")</f>
        <v>2</v>
      </c>
      <c r="BT78" s="14">
        <v>2</v>
      </c>
      <c r="BU78" s="14">
        <f>IFERROR(AVERAGE(Tabel1[[#This Row],[Up - A3a]:[Up - A3a]]),"")</f>
        <v>2</v>
      </c>
      <c r="BV78" s="14" t="s">
        <v>189</v>
      </c>
      <c r="BW78" s="14">
        <f>IFERROR(AVERAGE(Tabel1[[#This Row],[Up - A1]],Tabel1[[#This Row],[Up - A2]],Tabel1[[#This Row],[Up - A3]]),"")</f>
        <v>2</v>
      </c>
      <c r="BX78" s="14">
        <v>3</v>
      </c>
      <c r="BY78" s="14">
        <v>4</v>
      </c>
      <c r="BZ78" s="14">
        <f>IFERROR(AVERAGE(Tabel1[[#This Row],[In - R1a]:[In - R1b]]),"")</f>
        <v>3.5</v>
      </c>
      <c r="CA78" s="14">
        <v>3</v>
      </c>
      <c r="CB78" s="14">
        <v>1</v>
      </c>
      <c r="CC78" s="14">
        <v>1</v>
      </c>
      <c r="CD78" s="14">
        <v>5</v>
      </c>
      <c r="CE78" s="14">
        <f>IFERROR(AVERAGE(Tabel1[[#This Row],[In - R1]:[In - R5]]),"")</f>
        <v>2.7</v>
      </c>
      <c r="CF78" s="14">
        <v>3</v>
      </c>
      <c r="CG78" s="14">
        <v>2</v>
      </c>
      <c r="CH78" s="14">
        <v>3</v>
      </c>
      <c r="CI78" s="14">
        <f>IFERROR(AVERAGE(Tabel1[[#This Row],[In - C1a]:[In - C1c]]),"")</f>
        <v>2.6666666666666665</v>
      </c>
      <c r="CJ78" s="14">
        <v>2</v>
      </c>
      <c r="CK78" s="14">
        <v>3</v>
      </c>
      <c r="CL78" s="14">
        <v>4</v>
      </c>
      <c r="CM78" s="14">
        <f>IFERROR(AVERAGE(Tabel1[[#This Row],[In - C1]:[In - C4]]),"")</f>
        <v>2.9166666666666665</v>
      </c>
      <c r="CN78" s="14">
        <v>2</v>
      </c>
      <c r="CO78" s="14">
        <v>4</v>
      </c>
      <c r="CP78" s="14">
        <v>1</v>
      </c>
      <c r="CQ78" s="14">
        <f>IFERROR(AVERAGE(Tabel1[[#This Row],[In - F1a]:[In - F1c]]),"")</f>
        <v>2.3333333333333335</v>
      </c>
      <c r="CR78" s="14">
        <v>5</v>
      </c>
      <c r="CS78" s="14">
        <v>1</v>
      </c>
      <c r="CT78" s="14">
        <f>IFERROR(AVERAGE(Tabel1[[#This Row],[In - F2a]:[In - F2b]]),"")</f>
        <v>3</v>
      </c>
      <c r="CU78" s="14">
        <v>1</v>
      </c>
      <c r="CV78" s="14">
        <f>IFERROR(AVERAGE(Tabel1[[#This Row],[In - F3a]:[In - F3a]]),"")</f>
        <v>1</v>
      </c>
      <c r="CW78" s="14">
        <v>4</v>
      </c>
      <c r="CX78" s="14">
        <f>IFERROR(AVERAGE(Tabel1[[#This Row],[In - F1]],Tabel1[[#This Row],[In - F2]],Tabel1[[#This Row],[In - F3]],Tabel1[[#This Row],[In - F4]]),"")</f>
        <v>2.5833333333333335</v>
      </c>
      <c r="CY78" s="14">
        <v>3</v>
      </c>
      <c r="CZ78" s="14" t="s">
        <v>189</v>
      </c>
      <c r="DA78" s="14">
        <v>2</v>
      </c>
      <c r="DB78" s="14">
        <f>IFERROR(AVERAGE(Tabel1[[#This Row],[In - V1a]:[In - V1c]]),"")</f>
        <v>2.5</v>
      </c>
      <c r="DC78" s="14">
        <v>4</v>
      </c>
      <c r="DD78" s="14">
        <v>3</v>
      </c>
      <c r="DE78" s="14">
        <v>3</v>
      </c>
      <c r="DF78" s="14">
        <f>IFERROR(AVERAGE(Tabel1[[#This Row],[In - V2a]:[In - V2c]]),"")</f>
        <v>3.3333333333333335</v>
      </c>
      <c r="DG78" s="14">
        <v>3</v>
      </c>
      <c r="DH78" s="14">
        <v>4</v>
      </c>
      <c r="DI78" s="14">
        <f>IFERROR(AVERAGE(Tabel1[[#This Row],[In - V3a]:[In - V3b]]),"")</f>
        <v>3.5</v>
      </c>
      <c r="DJ78" s="14">
        <v>3</v>
      </c>
      <c r="DK78" s="14">
        <f>IFERROR(AVERAGE(Tabel1[[#This Row],[In - V1]],Tabel1[[#This Row],[In - V2]],Tabel1[[#This Row],[In - V3]],Tabel1[[#This Row],[In - V4]]),"")</f>
        <v>3.0833333333333335</v>
      </c>
      <c r="DL78" s="14">
        <v>2</v>
      </c>
      <c r="DM78" s="14">
        <v>2</v>
      </c>
      <c r="DN78" s="14">
        <f>IFERROR(AVERAGE(Tabel1[[#This Row],[In - A1a]:[In - A1b]]),"")</f>
        <v>2</v>
      </c>
      <c r="DO78" s="14">
        <v>2</v>
      </c>
      <c r="DP78" s="14">
        <v>3</v>
      </c>
      <c r="DQ78" s="14">
        <f>IFERROR(AVERAGE(Tabel1[[#This Row],[In - A2a]:[In - A2b]]),"")</f>
        <v>2.5</v>
      </c>
      <c r="DR78" s="14">
        <v>4</v>
      </c>
      <c r="DS78" s="14">
        <v>2</v>
      </c>
      <c r="DT78" s="14">
        <f>IFERROR(AVERAGE(Tabel1[[#This Row],[In - A3a]:[In - A3a]]),"")</f>
        <v>4</v>
      </c>
      <c r="DU78" s="14">
        <v>3</v>
      </c>
      <c r="DV78" s="14">
        <f>IFERROR(AVERAGE(Tabel1[[#This Row],[In - A1]],Tabel1[[#This Row],[In - A2]],Tabel1[[#This Row],[In - A3]],Tabel1[[#This Row],[In - A4]]),"")</f>
        <v>2.875</v>
      </c>
      <c r="DW78" s="14">
        <v>1</v>
      </c>
      <c r="DX78" s="14">
        <v>4</v>
      </c>
      <c r="DY78" s="14">
        <v>2</v>
      </c>
      <c r="DZ78" s="14">
        <f>IFERROR(AVERAGE(Tabel1[[#This Row],[Do - R1a]:[Do - R1c]]),"")</f>
        <v>2.3333333333333335</v>
      </c>
      <c r="EA78" s="14">
        <v>3</v>
      </c>
      <c r="EB78" s="14">
        <v>3</v>
      </c>
      <c r="EC78" s="14">
        <v>5</v>
      </c>
      <c r="ED78" s="14">
        <v>3</v>
      </c>
      <c r="EE78" s="14">
        <f>IFERROR(AVERAGE(Tabel1[[#This Row],[Do - R1]:[Do - R5]]),"")</f>
        <v>3.2666666666666671</v>
      </c>
      <c r="EF78" s="14">
        <v>3</v>
      </c>
      <c r="EG78" s="14">
        <v>3</v>
      </c>
      <c r="EH78" s="14">
        <v>3</v>
      </c>
      <c r="EI78" s="14">
        <f>IFERROR(AVERAGE(Tabel1[[#This Row],[Do - C1a]:[Do - C1c]]),"")</f>
        <v>3</v>
      </c>
      <c r="EJ78" s="14">
        <v>2</v>
      </c>
      <c r="EK78" s="14">
        <v>1</v>
      </c>
      <c r="EL78" s="14" t="s">
        <v>189</v>
      </c>
      <c r="EM78" s="14">
        <f>IFERROR(AVERAGE(Tabel1[[#This Row],[Do - C1]:[Do - C4]]),"")</f>
        <v>2</v>
      </c>
      <c r="EN78" s="14">
        <v>4</v>
      </c>
      <c r="EO78" s="14">
        <v>1</v>
      </c>
      <c r="EP78" s="14">
        <v>2</v>
      </c>
      <c r="EQ78" s="14">
        <f>IFERROR(AVERAGE(Tabel1[[#This Row],[Do - F1a]:[Do - F1c]]),"")</f>
        <v>2.3333333333333335</v>
      </c>
      <c r="ER78" s="14">
        <v>2</v>
      </c>
      <c r="ES78" s="14">
        <f>IFERROR(AVERAGE(Tabel1[[#This Row],[Do - F2a]:[Do - F2a]]),"")</f>
        <v>2</v>
      </c>
      <c r="ET78" s="14">
        <v>2</v>
      </c>
      <c r="EU78" s="14">
        <v>2</v>
      </c>
      <c r="EV78" s="14">
        <f>IFERROR(AVERAGE(Tabel1[[#This Row],[Do - F3a]:[Do - F3b]]),"")</f>
        <v>2</v>
      </c>
      <c r="EW78" s="14" t="s">
        <v>189</v>
      </c>
      <c r="EX78" s="14">
        <f>IFERROR(AVERAGE(Tabel1[[#This Row],[Do - F1]],Tabel1[[#This Row],[Do - F2]],Tabel1[[#This Row],[Do - F3]],Tabel1[[#This Row],[Do - F4]]),"")</f>
        <v>2.1111111111111112</v>
      </c>
      <c r="EY78" s="14">
        <v>2</v>
      </c>
      <c r="EZ78" s="14">
        <v>3</v>
      </c>
      <c r="FA78" s="14">
        <v>3</v>
      </c>
      <c r="FB78" s="14">
        <f>IFERROR(AVERAGE(Tabel1[[#This Row],[Do - V1a]:[Do - V1c]]),"")</f>
        <v>2.6666666666666665</v>
      </c>
      <c r="FC78" s="14">
        <v>3</v>
      </c>
      <c r="FD78" s="14">
        <v>2</v>
      </c>
      <c r="FE78" s="14">
        <f>IFERROR(AVERAGE(Tabel1[[#This Row],[Do - V2a]:[Do - V2b]]),"")</f>
        <v>2.5</v>
      </c>
      <c r="FF78" s="14">
        <v>3</v>
      </c>
      <c r="FG78" s="14">
        <f>IFERROR(AVERAGE(Tabel1[[#This Row],[Do - V3a]:[Do - V3a]]),"")</f>
        <v>3</v>
      </c>
      <c r="FH78" s="14">
        <v>3</v>
      </c>
      <c r="FI78" s="14">
        <f>IFERROR(AVERAGE(Tabel1[[#This Row],[Do - V1]],Tabel1[[#This Row],[Do - V2]],Tabel1[[#This Row],[Do - V3]],Tabel1[[#This Row],[Do - V4]]),"")</f>
        <v>2.7916666666666665</v>
      </c>
      <c r="FJ78" s="14">
        <v>3</v>
      </c>
      <c r="FK78" s="14">
        <v>1</v>
      </c>
      <c r="FL78" s="14">
        <v>4</v>
      </c>
      <c r="FM78" s="14">
        <f>IFERROR(AVERAGE(Tabel1[[#This Row],[Do - A1a]:[Do - A1c]]),"")</f>
        <v>2.6666666666666665</v>
      </c>
      <c r="FN78" s="14">
        <v>1</v>
      </c>
      <c r="FO78" s="14">
        <v>3</v>
      </c>
      <c r="FP78" s="14">
        <f>IFERROR(AVERAGE(Tabel1[[#This Row],[Do - A2a]:[Do - A2b]]),"")</f>
        <v>2</v>
      </c>
      <c r="FQ78" s="14">
        <v>3</v>
      </c>
      <c r="FR78" s="14">
        <f>IFERROR(AVERAGE(Tabel1[[#This Row],[Do - A3a]:[Do - A3a]]),"")</f>
        <v>3</v>
      </c>
      <c r="FS78" s="14">
        <v>3</v>
      </c>
      <c r="FT78" s="14">
        <f>IFERROR(AVERAGE(Tabel1[[#This Row],[Do - A1]],Tabel1[[#This Row],[Do - A2]],Tabel1[[#This Row],[Do - A3]],Tabel1[[#This Row],[Do - A4]]),"")</f>
        <v>2.6666666666666665</v>
      </c>
      <c r="FU7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2.6268518518518515</v>
      </c>
      <c r="FV78" s="16" t="s">
        <v>580</v>
      </c>
      <c r="FW78" t="b">
        <v>1</v>
      </c>
    </row>
    <row r="79" spans="1:179" x14ac:dyDescent="0.3">
      <c r="A79" s="13">
        <v>44946.579004629632</v>
      </c>
      <c r="B79" t="b">
        <v>0</v>
      </c>
      <c r="C79" s="14" t="s">
        <v>581</v>
      </c>
      <c r="D79" s="14" t="s">
        <v>582</v>
      </c>
      <c r="E79" s="14" t="s">
        <v>260</v>
      </c>
      <c r="F79" s="14" t="s">
        <v>184</v>
      </c>
      <c r="G79" s="14" t="s">
        <v>583</v>
      </c>
      <c r="H79" s="14" t="s">
        <v>222</v>
      </c>
      <c r="I79" s="14" t="s">
        <v>195</v>
      </c>
      <c r="J79" s="14" t="s">
        <v>261</v>
      </c>
      <c r="K79" s="14" t="s">
        <v>235</v>
      </c>
      <c r="L79" s="14" t="s">
        <v>249</v>
      </c>
      <c r="M79" s="14" t="s">
        <v>233</v>
      </c>
      <c r="N79" s="14" t="s">
        <v>262</v>
      </c>
      <c r="O79" s="14" t="s">
        <v>200</v>
      </c>
      <c r="P79" s="17" t="s">
        <v>255</v>
      </c>
      <c r="Q79" s="17" t="s">
        <v>304</v>
      </c>
      <c r="R79" s="14" t="s">
        <v>201</v>
      </c>
      <c r="S79" s="17" t="s">
        <v>304</v>
      </c>
      <c r="T79" s="14" t="s">
        <v>204</v>
      </c>
      <c r="U79" s="14" t="s">
        <v>349</v>
      </c>
      <c r="V79" s="14" t="s">
        <v>224</v>
      </c>
      <c r="W79" s="14" t="s">
        <v>207</v>
      </c>
      <c r="X79" s="14" t="s">
        <v>207</v>
      </c>
      <c r="Y79" s="14">
        <v>3</v>
      </c>
      <c r="Z79" s="14">
        <v>2</v>
      </c>
      <c r="AA79" s="14">
        <v>3</v>
      </c>
      <c r="AB79" s="15">
        <f>IFERROR(AVERAGE(Tabel1[[#This Row],[Up - R1a]:[Up - R1c]]),"")</f>
        <v>2.6666666666666665</v>
      </c>
      <c r="AC79" s="14">
        <v>3</v>
      </c>
      <c r="AD79" s="14">
        <v>2</v>
      </c>
      <c r="AE79" s="14">
        <v>4</v>
      </c>
      <c r="AF79" s="14">
        <v>3</v>
      </c>
      <c r="AG79" s="14">
        <f>IFERROR(AVERAGE(Tabel1[[#This Row],[Up - R1]:[Up - R5]]),"")</f>
        <v>2.9333333333333331</v>
      </c>
      <c r="AH79" s="14">
        <v>4</v>
      </c>
      <c r="AI79" s="14">
        <v>3</v>
      </c>
      <c r="AJ79" s="14">
        <v>4</v>
      </c>
      <c r="AK79" s="14">
        <f>IFERROR(AVERAGE(Tabel1[[#This Row],[Up - C1a]:[Up - C1c]]),"")</f>
        <v>3.6666666666666665</v>
      </c>
      <c r="AL79" s="14">
        <v>2</v>
      </c>
      <c r="AM79" s="14">
        <v>2</v>
      </c>
      <c r="AN79" s="14" t="s">
        <v>189</v>
      </c>
      <c r="AO79" s="14">
        <f>IFERROR(AVERAGE(Tabel1[[#This Row],[Up - C1]:[Up - C4]]),"")</f>
        <v>2.5555555555555554</v>
      </c>
      <c r="AP79" s="14">
        <v>2</v>
      </c>
      <c r="AQ79" s="14">
        <f>IFERROR(AVERAGE(Tabel1[[#This Row],[Up - F1a]:[Up - F1a]]),"")</f>
        <v>2</v>
      </c>
      <c r="AR79" s="14">
        <v>2</v>
      </c>
      <c r="AS79" s="14">
        <v>2</v>
      </c>
      <c r="AT79" s="14">
        <f>IFERROR(AVERAGE(Tabel1[[#This Row],[Up - F2a]:[Up - F2b]]),"")</f>
        <v>2</v>
      </c>
      <c r="AU79" s="14">
        <v>4</v>
      </c>
      <c r="AV79" s="14">
        <v>2</v>
      </c>
      <c r="AW79" s="14">
        <f>IFERROR(AVERAGE(Tabel1[[#This Row],[Up - F3a]:[Up - F3b]]),"")</f>
        <v>3</v>
      </c>
      <c r="AX79" s="14">
        <v>2</v>
      </c>
      <c r="AY79" s="14">
        <f>IFERROR(AVERAGE(Tabel1[[#This Row],[Up - F1]],Tabel1[[#This Row],[Up - F2]],Tabel1[[#This Row],[Up - F3]],Tabel1[[#This Row],[Up - F4]]),"")</f>
        <v>2.25</v>
      </c>
      <c r="AZ79" s="14">
        <v>4</v>
      </c>
      <c r="BA79" s="14">
        <v>4</v>
      </c>
      <c r="BB79" s="14">
        <f>IFERROR(AVERAGE(Tabel1[[#This Row],[Up - V1a]:[Up - V1b]]),"")</f>
        <v>4</v>
      </c>
      <c r="BC79" s="14">
        <v>1</v>
      </c>
      <c r="BD79" s="14">
        <v>2</v>
      </c>
      <c r="BE79" s="14">
        <v>4</v>
      </c>
      <c r="BF79" s="14">
        <f>IFERROR(AVERAGE(Tabel1[[#This Row],[Up - V2a]:[Up - V2c]]),"")</f>
        <v>2.3333333333333335</v>
      </c>
      <c r="BG79" s="14">
        <v>4</v>
      </c>
      <c r="BH79" s="14">
        <v>4</v>
      </c>
      <c r="BI79" s="14">
        <f>IFERROR(AVERAGE(Tabel1[[#This Row],[Up - V3a]:[Up - V3b]]),"")</f>
        <v>4</v>
      </c>
      <c r="BJ79" s="14">
        <v>2</v>
      </c>
      <c r="BK79" s="14">
        <f>IFERROR(AVERAGE(Tabel1[[#This Row],[Up - V1]],Tabel1[[#This Row],[Up - V2]],Tabel1[[#This Row],[Up - V3]],Tabel1[[#This Row],[Up - V4]]),"")</f>
        <v>3.0833333333333335</v>
      </c>
      <c r="BL79" s="14">
        <v>2</v>
      </c>
      <c r="BM79" s="14">
        <v>2</v>
      </c>
      <c r="BN79" s="14">
        <v>2</v>
      </c>
      <c r="BO79" s="14">
        <v>2</v>
      </c>
      <c r="BP79" s="14">
        <f>IFERROR(AVERAGE(Tabel1[[#This Row],[Up - A1a]:[Up - A1d]]),"")</f>
        <v>2</v>
      </c>
      <c r="BQ79" s="14">
        <v>2</v>
      </c>
      <c r="BR79" s="14">
        <v>2</v>
      </c>
      <c r="BS79" s="14">
        <f>IFERROR(AVERAGE(Tabel1[[#This Row],[Up - A2a]:[Up - A2b]]),"")</f>
        <v>2</v>
      </c>
      <c r="BT79" s="14">
        <v>2</v>
      </c>
      <c r="BU79" s="14">
        <f>IFERROR(AVERAGE(Tabel1[[#This Row],[Up - A3a]:[Up - A3a]]),"")</f>
        <v>2</v>
      </c>
      <c r="BV79" s="14">
        <v>2</v>
      </c>
      <c r="BW79" s="14">
        <f>IFERROR(AVERAGE(Tabel1[[#This Row],[Up - A1]],Tabel1[[#This Row],[Up - A2]],Tabel1[[#This Row],[Up - A3]]),"")</f>
        <v>2</v>
      </c>
      <c r="BX79" s="14">
        <v>1</v>
      </c>
      <c r="BY79" s="14">
        <v>1</v>
      </c>
      <c r="BZ79" s="14">
        <f>IFERROR(AVERAGE(Tabel1[[#This Row],[In - R1a]:[In - R1b]]),"")</f>
        <v>1</v>
      </c>
      <c r="CA79" s="14">
        <v>4</v>
      </c>
      <c r="CB79" s="14">
        <v>2</v>
      </c>
      <c r="CC79" s="14">
        <v>1</v>
      </c>
      <c r="CD79" s="14">
        <v>5</v>
      </c>
      <c r="CE79" s="14">
        <f>IFERROR(AVERAGE(Tabel1[[#This Row],[In - R1]:[In - R5]]),"")</f>
        <v>2.6</v>
      </c>
      <c r="CF79" s="14">
        <v>5</v>
      </c>
      <c r="CG79" s="14">
        <v>3</v>
      </c>
      <c r="CH79" s="14">
        <v>4</v>
      </c>
      <c r="CI79" s="14">
        <f>IFERROR(AVERAGE(Tabel1[[#This Row],[In - C1a]:[In - C1c]]),"")</f>
        <v>4</v>
      </c>
      <c r="CJ79" s="14">
        <v>4</v>
      </c>
      <c r="CK79" s="14">
        <v>4</v>
      </c>
      <c r="CL79" s="14">
        <v>4</v>
      </c>
      <c r="CM79" s="14">
        <f>IFERROR(AVERAGE(Tabel1[[#This Row],[In - C1]:[In - C4]]),"")</f>
        <v>4</v>
      </c>
      <c r="CN79" s="14">
        <v>2</v>
      </c>
      <c r="CO79" s="14">
        <v>2</v>
      </c>
      <c r="CP79" s="14">
        <v>1</v>
      </c>
      <c r="CQ79" s="14">
        <f>IFERROR(AVERAGE(Tabel1[[#This Row],[In - F1a]:[In - F1c]]),"")</f>
        <v>1.6666666666666667</v>
      </c>
      <c r="CR79" s="14">
        <v>3</v>
      </c>
      <c r="CS79" s="14">
        <v>3</v>
      </c>
      <c r="CT79" s="14">
        <f>IFERROR(AVERAGE(Tabel1[[#This Row],[In - F2a]:[In - F2b]]),"")</f>
        <v>3</v>
      </c>
      <c r="CU79" s="14">
        <v>1</v>
      </c>
      <c r="CV79" s="14">
        <f>IFERROR(AVERAGE(Tabel1[[#This Row],[In - F3a]:[In - F3a]]),"")</f>
        <v>1</v>
      </c>
      <c r="CW79" s="14">
        <v>3</v>
      </c>
      <c r="CX79" s="14">
        <f>IFERROR(AVERAGE(Tabel1[[#This Row],[In - F1]],Tabel1[[#This Row],[In - F2]],Tabel1[[#This Row],[In - F3]],Tabel1[[#This Row],[In - F4]]),"")</f>
        <v>2.166666666666667</v>
      </c>
      <c r="CY79" s="14">
        <v>4</v>
      </c>
      <c r="CZ79" s="14">
        <v>3</v>
      </c>
      <c r="DA79" s="14">
        <v>4</v>
      </c>
      <c r="DB79" s="14">
        <f>IFERROR(AVERAGE(Tabel1[[#This Row],[In - V1a]:[In - V1c]]),"")</f>
        <v>3.6666666666666665</v>
      </c>
      <c r="DC79" s="14">
        <v>1</v>
      </c>
      <c r="DD79" s="14">
        <v>4</v>
      </c>
      <c r="DE79" s="14">
        <v>2</v>
      </c>
      <c r="DF79" s="14">
        <f>IFERROR(AVERAGE(Tabel1[[#This Row],[In - V2a]:[In - V2c]]),"")</f>
        <v>2.3333333333333335</v>
      </c>
      <c r="DG79" s="14">
        <v>2</v>
      </c>
      <c r="DH79" s="14">
        <v>2</v>
      </c>
      <c r="DI79" s="14">
        <f>IFERROR(AVERAGE(Tabel1[[#This Row],[In - V3a]:[In - V3b]]),"")</f>
        <v>2</v>
      </c>
      <c r="DJ79" s="14">
        <v>3</v>
      </c>
      <c r="DK79" s="14">
        <f>IFERROR(AVERAGE(Tabel1[[#This Row],[In - V1]],Tabel1[[#This Row],[In - V2]],Tabel1[[#This Row],[In - V3]],Tabel1[[#This Row],[In - V4]]),"")</f>
        <v>2.75</v>
      </c>
      <c r="DL79" s="14">
        <v>4</v>
      </c>
      <c r="DM79" s="14">
        <v>2</v>
      </c>
      <c r="DN79" s="14">
        <f>IFERROR(AVERAGE(Tabel1[[#This Row],[In - A1a]:[In - A1b]]),"")</f>
        <v>3</v>
      </c>
      <c r="DO79" s="14">
        <v>2</v>
      </c>
      <c r="DP79" s="14">
        <v>2</v>
      </c>
      <c r="DQ79" s="14">
        <f>IFERROR(AVERAGE(Tabel1[[#This Row],[In - A2a]:[In - A2b]]),"")</f>
        <v>2</v>
      </c>
      <c r="DR79" s="14">
        <v>4</v>
      </c>
      <c r="DS79" s="14">
        <v>4</v>
      </c>
      <c r="DT79" s="14">
        <f>IFERROR(AVERAGE(Tabel1[[#This Row],[In - A3a]:[In - A3a]]),"")</f>
        <v>4</v>
      </c>
      <c r="DU79" s="14">
        <v>3</v>
      </c>
      <c r="DV79" s="14">
        <f>IFERROR(AVERAGE(Tabel1[[#This Row],[In - A1]],Tabel1[[#This Row],[In - A2]],Tabel1[[#This Row],[In - A3]],Tabel1[[#This Row],[In - A4]]),"")</f>
        <v>3</v>
      </c>
      <c r="DW79" s="14">
        <v>1</v>
      </c>
      <c r="DX79" s="14">
        <v>4</v>
      </c>
      <c r="DY79" s="14">
        <v>2</v>
      </c>
      <c r="DZ79" s="14">
        <f>IFERROR(AVERAGE(Tabel1[[#This Row],[Do - R1a]:[Do - R1c]]),"")</f>
        <v>2.3333333333333335</v>
      </c>
      <c r="EA79" s="14">
        <v>4</v>
      </c>
      <c r="EB79" s="14">
        <v>2</v>
      </c>
      <c r="EC79" s="14">
        <v>2</v>
      </c>
      <c r="ED79" s="14">
        <v>4</v>
      </c>
      <c r="EE79" s="14">
        <f>IFERROR(AVERAGE(Tabel1[[#This Row],[Do - R1]:[Do - R5]]),"")</f>
        <v>2.8666666666666667</v>
      </c>
      <c r="EF79" s="14">
        <v>5</v>
      </c>
      <c r="EG79" s="14">
        <v>3</v>
      </c>
      <c r="EH79" s="14">
        <v>4</v>
      </c>
      <c r="EI79" s="14">
        <f>IFERROR(AVERAGE(Tabel1[[#This Row],[Do - C1a]:[Do - C1c]]),"")</f>
        <v>4</v>
      </c>
      <c r="EJ79" s="14">
        <v>3</v>
      </c>
      <c r="EK79" s="14">
        <v>4</v>
      </c>
      <c r="EL79" s="14" t="s">
        <v>189</v>
      </c>
      <c r="EM79" s="14">
        <f>IFERROR(AVERAGE(Tabel1[[#This Row],[Do - C1]:[Do - C4]]),"")</f>
        <v>3.6666666666666665</v>
      </c>
      <c r="EN79" s="14">
        <v>2</v>
      </c>
      <c r="EO79" s="14">
        <v>2</v>
      </c>
      <c r="EP79" s="14">
        <v>1</v>
      </c>
      <c r="EQ79" s="14">
        <f>IFERROR(AVERAGE(Tabel1[[#This Row],[Do - F1a]:[Do - F1c]]),"")</f>
        <v>1.6666666666666667</v>
      </c>
      <c r="ER79" s="14">
        <v>1</v>
      </c>
      <c r="ES79" s="14">
        <f>IFERROR(AVERAGE(Tabel1[[#This Row],[Do - F2a]:[Do - F2a]]),"")</f>
        <v>1</v>
      </c>
      <c r="ET79" s="14">
        <v>2</v>
      </c>
      <c r="EU79" s="14">
        <v>3</v>
      </c>
      <c r="EV79" s="14">
        <f>IFERROR(AVERAGE(Tabel1[[#This Row],[Do - F3a]:[Do - F3b]]),"")</f>
        <v>2.5</v>
      </c>
      <c r="EW79" s="14">
        <v>3</v>
      </c>
      <c r="EX79" s="14">
        <f>IFERROR(AVERAGE(Tabel1[[#This Row],[Do - F1]],Tabel1[[#This Row],[Do - F2]],Tabel1[[#This Row],[Do - F3]],Tabel1[[#This Row],[Do - F4]]),"")</f>
        <v>2.041666666666667</v>
      </c>
      <c r="EY79" s="14">
        <v>4</v>
      </c>
      <c r="EZ79" s="14">
        <v>4</v>
      </c>
      <c r="FA79" s="14">
        <v>4</v>
      </c>
      <c r="FB79" s="14">
        <f>IFERROR(AVERAGE(Tabel1[[#This Row],[Do - V1a]:[Do - V1c]]),"")</f>
        <v>4</v>
      </c>
      <c r="FC79" s="14">
        <v>1</v>
      </c>
      <c r="FD79" s="14">
        <v>3</v>
      </c>
      <c r="FE79" s="14">
        <f>IFERROR(AVERAGE(Tabel1[[#This Row],[Do - V2a]:[Do - V2b]]),"")</f>
        <v>2</v>
      </c>
      <c r="FF79" s="14">
        <v>3</v>
      </c>
      <c r="FG79" s="14">
        <f>IFERROR(AVERAGE(Tabel1[[#This Row],[Do - V3a]:[Do - V3a]]),"")</f>
        <v>3</v>
      </c>
      <c r="FH79" s="14">
        <v>2</v>
      </c>
      <c r="FI79" s="14">
        <f>IFERROR(AVERAGE(Tabel1[[#This Row],[Do - V1]],Tabel1[[#This Row],[Do - V2]],Tabel1[[#This Row],[Do - V3]],Tabel1[[#This Row],[Do - V4]]),"")</f>
        <v>2.75</v>
      </c>
      <c r="FJ79" s="14">
        <v>3</v>
      </c>
      <c r="FK79" s="14">
        <v>4</v>
      </c>
      <c r="FL79" s="14">
        <v>2</v>
      </c>
      <c r="FM79" s="14">
        <f>IFERROR(AVERAGE(Tabel1[[#This Row],[Do - A1a]:[Do - A1c]]),"")</f>
        <v>3</v>
      </c>
      <c r="FN79" s="14">
        <v>2</v>
      </c>
      <c r="FO79" s="14">
        <v>2</v>
      </c>
      <c r="FP79" s="14">
        <f>IFERROR(AVERAGE(Tabel1[[#This Row],[Do - A2a]:[Do - A2b]]),"")</f>
        <v>2</v>
      </c>
      <c r="FQ79" s="14">
        <v>4</v>
      </c>
      <c r="FR79" s="14">
        <f>IFERROR(AVERAGE(Tabel1[[#This Row],[Do - A3a]:[Do - A3a]]),"")</f>
        <v>4</v>
      </c>
      <c r="FS79" s="14">
        <v>2</v>
      </c>
      <c r="FT79" s="14">
        <f>IFERROR(AVERAGE(Tabel1[[#This Row],[Do - A1]],Tabel1[[#This Row],[Do - A2]],Tabel1[[#This Row],[Do - A3]],Tabel1[[#This Row],[Do - A4]]),"")</f>
        <v>2.75</v>
      </c>
      <c r="FU7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2.760925925925926</v>
      </c>
      <c r="FV79" s="16" t="s">
        <v>584</v>
      </c>
      <c r="FW79" t="b">
        <v>1</v>
      </c>
    </row>
    <row r="80" spans="1:179" x14ac:dyDescent="0.3">
      <c r="A80" s="13">
        <v>44948.841192129628</v>
      </c>
      <c r="B80" t="b">
        <v>0</v>
      </c>
      <c r="C80" s="14" t="s">
        <v>585</v>
      </c>
      <c r="D80" s="14" t="s">
        <v>586</v>
      </c>
      <c r="E80" s="14" t="s">
        <v>587</v>
      </c>
      <c r="F80" s="14" t="s">
        <v>184</v>
      </c>
      <c r="G80" s="19" t="s">
        <v>588</v>
      </c>
      <c r="H80" s="14" t="s">
        <v>222</v>
      </c>
      <c r="I80" s="14" t="s">
        <v>195</v>
      </c>
      <c r="J80" s="14" t="s">
        <v>589</v>
      </c>
      <c r="K80" s="14" t="s">
        <v>202</v>
      </c>
      <c r="L80" s="14" t="s">
        <v>249</v>
      </c>
      <c r="M80" s="14" t="s">
        <v>188</v>
      </c>
      <c r="N80" s="14" t="s">
        <v>199</v>
      </c>
      <c r="O80" s="14"/>
      <c r="P80" s="17" t="s">
        <v>304</v>
      </c>
      <c r="Q80" s="17" t="s">
        <v>304</v>
      </c>
      <c r="R80" s="14" t="s">
        <v>201</v>
      </c>
      <c r="S80" s="14" t="s">
        <v>235</v>
      </c>
      <c r="T80" s="14" t="s">
        <v>284</v>
      </c>
      <c r="U80" s="14" t="s">
        <v>285</v>
      </c>
      <c r="V80" s="14" t="s">
        <v>484</v>
      </c>
      <c r="W80" s="14" t="s">
        <v>207</v>
      </c>
      <c r="X80" s="14" t="s">
        <v>395</v>
      </c>
      <c r="Y80" s="14">
        <v>2</v>
      </c>
      <c r="Z80" s="14">
        <v>3</v>
      </c>
      <c r="AA80" s="14">
        <v>4</v>
      </c>
      <c r="AB80" s="15">
        <f>IFERROR(AVERAGE(Tabel1[[#This Row],[Up - R1a]:[Up - R1c]]),"")</f>
        <v>3</v>
      </c>
      <c r="AC80" s="14">
        <v>2</v>
      </c>
      <c r="AD80" s="14">
        <v>3</v>
      </c>
      <c r="AE80" s="14">
        <v>4</v>
      </c>
      <c r="AF80" s="14">
        <v>1</v>
      </c>
      <c r="AG80" s="14">
        <f>IFERROR(AVERAGE(Tabel1[[#This Row],[Up - R1]:[Up - R5]]),"")</f>
        <v>2.6</v>
      </c>
      <c r="AH80" s="14">
        <v>3</v>
      </c>
      <c r="AI80" s="14">
        <v>3</v>
      </c>
      <c r="AJ80" s="14">
        <v>2</v>
      </c>
      <c r="AK80" s="14">
        <f>IFERROR(AVERAGE(Tabel1[[#This Row],[Up - C1a]:[Up - C1c]]),"")</f>
        <v>2.6666666666666665</v>
      </c>
      <c r="AL80" s="14">
        <v>2</v>
      </c>
      <c r="AM80" s="14">
        <v>2</v>
      </c>
      <c r="AN80" s="14">
        <v>2</v>
      </c>
      <c r="AO80" s="14">
        <f>IFERROR(AVERAGE(Tabel1[[#This Row],[Up - C1]:[Up - C4]]),"")</f>
        <v>2.1666666666666665</v>
      </c>
      <c r="AP80" s="14">
        <v>3</v>
      </c>
      <c r="AQ80" s="14">
        <f>IFERROR(AVERAGE(Tabel1[[#This Row],[Up - F1a]:[Up - F1a]]),"")</f>
        <v>3</v>
      </c>
      <c r="AR80" s="14">
        <v>2</v>
      </c>
      <c r="AS80" s="14">
        <v>3</v>
      </c>
      <c r="AT80" s="14">
        <f>IFERROR(AVERAGE(Tabel1[[#This Row],[Up - F2a]:[Up - F2b]]),"")</f>
        <v>2.5</v>
      </c>
      <c r="AU80" s="14">
        <v>2</v>
      </c>
      <c r="AV80" s="14">
        <v>2</v>
      </c>
      <c r="AW80" s="14">
        <f>IFERROR(AVERAGE(Tabel1[[#This Row],[Up - F3a]:[Up - F3b]]),"")</f>
        <v>2</v>
      </c>
      <c r="AX80" s="14">
        <v>1</v>
      </c>
      <c r="AY80" s="14">
        <f>IFERROR(AVERAGE(Tabel1[[#This Row],[Up - F1]],Tabel1[[#This Row],[Up - F2]],Tabel1[[#This Row],[Up - F3]],Tabel1[[#This Row],[Up - F4]]),"")</f>
        <v>2.125</v>
      </c>
      <c r="AZ80" s="14">
        <v>3</v>
      </c>
      <c r="BA80" s="14">
        <v>2</v>
      </c>
      <c r="BB80" s="14">
        <f>IFERROR(AVERAGE(Tabel1[[#This Row],[Up - V1a]:[Up - V1b]]),"")</f>
        <v>2.5</v>
      </c>
      <c r="BC80" s="14">
        <v>3</v>
      </c>
      <c r="BD80" s="14">
        <v>3</v>
      </c>
      <c r="BE80" s="14">
        <v>4</v>
      </c>
      <c r="BF80" s="14">
        <f>IFERROR(AVERAGE(Tabel1[[#This Row],[Up - V2a]:[Up - V2c]]),"")</f>
        <v>3.3333333333333335</v>
      </c>
      <c r="BG80" s="14">
        <v>1</v>
      </c>
      <c r="BH80" s="14">
        <v>2</v>
      </c>
      <c r="BI80" s="14">
        <f>IFERROR(AVERAGE(Tabel1[[#This Row],[Up - V3a]:[Up - V3b]]),"")</f>
        <v>1.5</v>
      </c>
      <c r="BJ80" s="14">
        <v>2</v>
      </c>
      <c r="BK80" s="14">
        <f>IFERROR(AVERAGE(Tabel1[[#This Row],[Up - V1]],Tabel1[[#This Row],[Up - V2]],Tabel1[[#This Row],[Up - V3]],Tabel1[[#This Row],[Up - V4]]),"")</f>
        <v>2.3333333333333335</v>
      </c>
      <c r="BL80" s="14">
        <v>2</v>
      </c>
      <c r="BM80" s="14">
        <v>4</v>
      </c>
      <c r="BN80" s="14">
        <v>4</v>
      </c>
      <c r="BO80" s="14">
        <v>2</v>
      </c>
      <c r="BP80" s="14">
        <f>IFERROR(AVERAGE(Tabel1[[#This Row],[Up - A1a]:[Up - A1d]]),"")</f>
        <v>3</v>
      </c>
      <c r="BQ80" s="14">
        <v>3</v>
      </c>
      <c r="BR80" s="14">
        <v>3</v>
      </c>
      <c r="BS80" s="14">
        <f>IFERROR(AVERAGE(Tabel1[[#This Row],[Up - A2a]:[Up - A2b]]),"")</f>
        <v>3</v>
      </c>
      <c r="BT80" s="14">
        <v>2</v>
      </c>
      <c r="BU80" s="14">
        <f>IFERROR(AVERAGE(Tabel1[[#This Row],[Up - A3a]:[Up - A3a]]),"")</f>
        <v>2</v>
      </c>
      <c r="BV80" s="14">
        <v>4</v>
      </c>
      <c r="BW80" s="14">
        <f>IFERROR(AVERAGE(Tabel1[[#This Row],[Up - A1]],Tabel1[[#This Row],[Up - A2]],Tabel1[[#This Row],[Up - A3]]),"")</f>
        <v>2.6666666666666665</v>
      </c>
      <c r="BX80" s="14">
        <v>3</v>
      </c>
      <c r="BY80" s="14">
        <v>1</v>
      </c>
      <c r="BZ80" s="14">
        <f>IFERROR(AVERAGE(Tabel1[[#This Row],[In - R1a]:[In - R1b]]),"")</f>
        <v>2</v>
      </c>
      <c r="CA80" s="14">
        <v>4</v>
      </c>
      <c r="CB80" s="14">
        <v>3</v>
      </c>
      <c r="CC80" s="14">
        <v>4</v>
      </c>
      <c r="CD80" s="14">
        <v>3</v>
      </c>
      <c r="CE80" s="14">
        <f>IFERROR(AVERAGE(Tabel1[[#This Row],[In - R1]:[In - R5]]),"")</f>
        <v>3.2</v>
      </c>
      <c r="CF80" s="14">
        <v>4</v>
      </c>
      <c r="CG80" s="14">
        <v>3</v>
      </c>
      <c r="CH80" s="14">
        <v>3</v>
      </c>
      <c r="CI80" s="14">
        <f>IFERROR(AVERAGE(Tabel1[[#This Row],[In - C1a]:[In - C1c]]),"")</f>
        <v>3.3333333333333335</v>
      </c>
      <c r="CJ80" s="14">
        <v>3</v>
      </c>
      <c r="CK80" s="14">
        <v>4</v>
      </c>
      <c r="CL80" s="14">
        <v>2</v>
      </c>
      <c r="CM80" s="14">
        <f>IFERROR(AVERAGE(Tabel1[[#This Row],[In - C1]:[In - C4]]),"")</f>
        <v>3.0833333333333335</v>
      </c>
      <c r="CN80" s="14">
        <v>3</v>
      </c>
      <c r="CO80" s="14">
        <v>3</v>
      </c>
      <c r="CP80" s="14">
        <v>1</v>
      </c>
      <c r="CQ80" s="14">
        <f>IFERROR(AVERAGE(Tabel1[[#This Row],[In - F1a]:[In - F1c]]),"")</f>
        <v>2.3333333333333335</v>
      </c>
      <c r="CR80" s="14">
        <v>3</v>
      </c>
      <c r="CS80" s="14">
        <v>3</v>
      </c>
      <c r="CT80" s="14">
        <f>IFERROR(AVERAGE(Tabel1[[#This Row],[In - F2a]:[In - F2b]]),"")</f>
        <v>3</v>
      </c>
      <c r="CU80" s="14">
        <v>2</v>
      </c>
      <c r="CV80" s="14">
        <f>IFERROR(AVERAGE(Tabel1[[#This Row],[In - F3a]:[In - F3a]]),"")</f>
        <v>2</v>
      </c>
      <c r="CW80" s="14">
        <v>3</v>
      </c>
      <c r="CX80" s="14">
        <f>IFERROR(AVERAGE(Tabel1[[#This Row],[In - F1]],Tabel1[[#This Row],[In - F2]],Tabel1[[#This Row],[In - F3]],Tabel1[[#This Row],[In - F4]]),"")</f>
        <v>2.5833333333333335</v>
      </c>
      <c r="CY80" s="14">
        <v>3</v>
      </c>
      <c r="CZ80" s="14">
        <v>3</v>
      </c>
      <c r="DA80" s="14">
        <v>3</v>
      </c>
      <c r="DB80" s="14">
        <f>IFERROR(AVERAGE(Tabel1[[#This Row],[In - V1a]:[In - V1c]]),"")</f>
        <v>3</v>
      </c>
      <c r="DC80" s="14">
        <v>4</v>
      </c>
      <c r="DD80" s="14">
        <v>3</v>
      </c>
      <c r="DE80" s="14">
        <v>3</v>
      </c>
      <c r="DF80" s="14">
        <f>IFERROR(AVERAGE(Tabel1[[#This Row],[In - V2a]:[In - V2c]]),"")</f>
        <v>3.3333333333333335</v>
      </c>
      <c r="DG80" s="14">
        <v>3</v>
      </c>
      <c r="DH80" s="14">
        <v>4</v>
      </c>
      <c r="DI80" s="14">
        <f>IFERROR(AVERAGE(Tabel1[[#This Row],[In - V3a]:[In - V3b]]),"")</f>
        <v>3.5</v>
      </c>
      <c r="DJ80" s="14">
        <v>4</v>
      </c>
      <c r="DK80" s="14">
        <f>IFERROR(AVERAGE(Tabel1[[#This Row],[In - V1]],Tabel1[[#This Row],[In - V2]],Tabel1[[#This Row],[In - V3]],Tabel1[[#This Row],[In - V4]]),"")</f>
        <v>3.4583333333333335</v>
      </c>
      <c r="DL80" s="14">
        <v>5</v>
      </c>
      <c r="DM80" s="14">
        <v>4</v>
      </c>
      <c r="DN80" s="14">
        <f>IFERROR(AVERAGE(Tabel1[[#This Row],[In - A1a]:[In - A1b]]),"")</f>
        <v>4.5</v>
      </c>
      <c r="DO80" s="14">
        <v>4</v>
      </c>
      <c r="DP80" s="14">
        <v>3</v>
      </c>
      <c r="DQ80" s="14">
        <f>IFERROR(AVERAGE(Tabel1[[#This Row],[In - A2a]:[In - A2b]]),"")</f>
        <v>3.5</v>
      </c>
      <c r="DR80" s="14">
        <v>4</v>
      </c>
      <c r="DS80" s="14">
        <v>3</v>
      </c>
      <c r="DT80" s="14">
        <f>IFERROR(AVERAGE(Tabel1[[#This Row],[In - A3a]:[In - A3a]]),"")</f>
        <v>4</v>
      </c>
      <c r="DU80" s="14">
        <v>4</v>
      </c>
      <c r="DV80" s="14">
        <f>IFERROR(AVERAGE(Tabel1[[#This Row],[In - A1]],Tabel1[[#This Row],[In - A2]],Tabel1[[#This Row],[In - A3]],Tabel1[[#This Row],[In - A4]]),"")</f>
        <v>4</v>
      </c>
      <c r="DW80" s="14">
        <v>1</v>
      </c>
      <c r="DX80" s="14">
        <v>3</v>
      </c>
      <c r="DY80" s="14">
        <v>3</v>
      </c>
      <c r="DZ80" s="14">
        <f>IFERROR(AVERAGE(Tabel1[[#This Row],[Do - R1a]:[Do - R1c]]),"")</f>
        <v>2.3333333333333335</v>
      </c>
      <c r="EA80" s="14">
        <v>3</v>
      </c>
      <c r="EB80" s="14">
        <v>1</v>
      </c>
      <c r="EC80" s="14">
        <v>4</v>
      </c>
      <c r="ED80" s="14">
        <v>3</v>
      </c>
      <c r="EE80" s="14">
        <f>IFERROR(AVERAGE(Tabel1[[#This Row],[Do - R1]:[Do - R5]]),"")</f>
        <v>2.666666666666667</v>
      </c>
      <c r="EF80" s="14">
        <v>4</v>
      </c>
      <c r="EG80" s="14">
        <v>3</v>
      </c>
      <c r="EH80" s="14">
        <v>2</v>
      </c>
      <c r="EI80" s="14">
        <f>IFERROR(AVERAGE(Tabel1[[#This Row],[Do - C1a]:[Do - C1c]]),"")</f>
        <v>3</v>
      </c>
      <c r="EJ80" s="14">
        <v>3</v>
      </c>
      <c r="EK80" s="14">
        <v>4</v>
      </c>
      <c r="EL80" s="14">
        <v>2</v>
      </c>
      <c r="EM80" s="14">
        <f>IFERROR(AVERAGE(Tabel1[[#This Row],[Do - C1]:[Do - C4]]),"")</f>
        <v>3</v>
      </c>
      <c r="EN80" s="14">
        <v>2</v>
      </c>
      <c r="EO80" s="14">
        <v>2</v>
      </c>
      <c r="EP80" s="14">
        <v>5</v>
      </c>
      <c r="EQ80" s="14">
        <f>IFERROR(AVERAGE(Tabel1[[#This Row],[Do - F1a]:[Do - F1c]]),"")</f>
        <v>3</v>
      </c>
      <c r="ER80" s="14">
        <v>2</v>
      </c>
      <c r="ES80" s="14">
        <f>IFERROR(AVERAGE(Tabel1[[#This Row],[Do - F2a]:[Do - F2a]]),"")</f>
        <v>2</v>
      </c>
      <c r="ET80" s="14">
        <v>3</v>
      </c>
      <c r="EU80" s="14">
        <v>2</v>
      </c>
      <c r="EV80" s="14">
        <f>IFERROR(AVERAGE(Tabel1[[#This Row],[Do - F3a]:[Do - F3b]]),"")</f>
        <v>2.5</v>
      </c>
      <c r="EW80" s="14">
        <v>3</v>
      </c>
      <c r="EX80" s="14">
        <f>IFERROR(AVERAGE(Tabel1[[#This Row],[Do - F1]],Tabel1[[#This Row],[Do - F2]],Tabel1[[#This Row],[Do - F3]],Tabel1[[#This Row],[Do - F4]]),"")</f>
        <v>2.625</v>
      </c>
      <c r="EY80" s="14">
        <v>3</v>
      </c>
      <c r="EZ80" s="14">
        <v>3</v>
      </c>
      <c r="FA80" s="14">
        <v>3</v>
      </c>
      <c r="FB80" s="14">
        <f>IFERROR(AVERAGE(Tabel1[[#This Row],[Do - V1a]:[Do - V1c]]),"")</f>
        <v>3</v>
      </c>
      <c r="FC80" s="14">
        <v>4</v>
      </c>
      <c r="FD80" s="14">
        <v>4</v>
      </c>
      <c r="FE80" s="14">
        <f>IFERROR(AVERAGE(Tabel1[[#This Row],[Do - V2a]:[Do - V2b]]),"")</f>
        <v>4</v>
      </c>
      <c r="FF80" s="14">
        <v>3</v>
      </c>
      <c r="FG80" s="14">
        <f>IFERROR(AVERAGE(Tabel1[[#This Row],[Do - V3a]:[Do - V3a]]),"")</f>
        <v>3</v>
      </c>
      <c r="FH80" s="14">
        <v>4</v>
      </c>
      <c r="FI80" s="14">
        <f>IFERROR(AVERAGE(Tabel1[[#This Row],[Do - V1]],Tabel1[[#This Row],[Do - V2]],Tabel1[[#This Row],[Do - V3]],Tabel1[[#This Row],[Do - V4]]),"")</f>
        <v>3.5</v>
      </c>
      <c r="FJ80" s="14">
        <v>3</v>
      </c>
      <c r="FK80" s="14">
        <v>3</v>
      </c>
      <c r="FL80" s="14">
        <v>4</v>
      </c>
      <c r="FM80" s="14">
        <f>IFERROR(AVERAGE(Tabel1[[#This Row],[Do - A1a]:[Do - A1c]]),"")</f>
        <v>3.3333333333333335</v>
      </c>
      <c r="FN80" s="14">
        <v>3</v>
      </c>
      <c r="FO80" s="14">
        <v>3</v>
      </c>
      <c r="FP80" s="14">
        <f>IFERROR(AVERAGE(Tabel1[[#This Row],[Do - A2a]:[Do - A2b]]),"")</f>
        <v>3</v>
      </c>
      <c r="FQ80" s="14">
        <v>3</v>
      </c>
      <c r="FR80" s="14">
        <f>IFERROR(AVERAGE(Tabel1[[#This Row],[Do - A3a]:[Do - A3a]]),"")</f>
        <v>3</v>
      </c>
      <c r="FS80" s="14">
        <v>4</v>
      </c>
      <c r="FT80" s="14">
        <f>IFERROR(AVERAGE(Tabel1[[#This Row],[Do - A1]],Tabel1[[#This Row],[Do - A2]],Tabel1[[#This Row],[Do - A3]],Tabel1[[#This Row],[Do - A4]]),"")</f>
        <v>3.3333333333333335</v>
      </c>
      <c r="FU8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2.889444444444444</v>
      </c>
      <c r="FV80" s="16" t="s">
        <v>590</v>
      </c>
      <c r="FW80" t="b">
        <v>1</v>
      </c>
    </row>
    <row r="81" spans="1:179" x14ac:dyDescent="0.3">
      <c r="A81" s="13">
        <v>44949.404328703706</v>
      </c>
      <c r="B81" t="b">
        <v>0</v>
      </c>
      <c r="C81" s="14" t="s">
        <v>591</v>
      </c>
      <c r="D81" s="14" t="s">
        <v>592</v>
      </c>
      <c r="E81" s="14" t="s">
        <v>593</v>
      </c>
      <c r="F81" s="14" t="s">
        <v>184</v>
      </c>
      <c r="G81" s="14" t="s">
        <v>594</v>
      </c>
      <c r="H81" s="14" t="s">
        <v>222</v>
      </c>
      <c r="I81" s="14" t="s">
        <v>195</v>
      </c>
      <c r="J81" s="14" t="s">
        <v>212</v>
      </c>
      <c r="K81" s="14" t="s">
        <v>187</v>
      </c>
      <c r="L81" s="14" t="s">
        <v>197</v>
      </c>
      <c r="M81" s="14" t="s">
        <v>198</v>
      </c>
      <c r="N81" s="14" t="s">
        <v>262</v>
      </c>
      <c r="O81" s="14" t="s">
        <v>200</v>
      </c>
      <c r="P81" s="17" t="s">
        <v>255</v>
      </c>
      <c r="Q81" s="14" t="s">
        <v>201</v>
      </c>
      <c r="R81" s="14" t="s">
        <v>235</v>
      </c>
      <c r="S81" s="14" t="s">
        <v>187</v>
      </c>
      <c r="T81" s="14" t="s">
        <v>380</v>
      </c>
      <c r="U81" s="14" t="s">
        <v>237</v>
      </c>
      <c r="V81" s="14" t="s">
        <v>224</v>
      </c>
      <c r="W81" s="14" t="s">
        <v>207</v>
      </c>
      <c r="X81" s="14" t="s">
        <v>207</v>
      </c>
      <c r="Y81" s="14">
        <v>3</v>
      </c>
      <c r="Z81" s="14">
        <v>5</v>
      </c>
      <c r="AA81" s="14">
        <v>3</v>
      </c>
      <c r="AB81" s="15">
        <f>IFERROR(AVERAGE(Tabel1[[#This Row],[Up - R1a]:[Up - R1c]]),"")</f>
        <v>3.6666666666666665</v>
      </c>
      <c r="AC81" s="14">
        <v>1</v>
      </c>
      <c r="AD81" s="14">
        <v>5</v>
      </c>
      <c r="AE81" s="14">
        <v>1</v>
      </c>
      <c r="AF81" s="14">
        <v>3</v>
      </c>
      <c r="AG81" s="14">
        <f>IFERROR(AVERAGE(Tabel1[[#This Row],[Up - R1]:[Up - R5]]),"")</f>
        <v>2.7333333333333334</v>
      </c>
      <c r="AH81" s="14">
        <v>4</v>
      </c>
      <c r="AI81" s="14">
        <v>3</v>
      </c>
      <c r="AJ81" s="14">
        <v>2</v>
      </c>
      <c r="AK81" s="14">
        <f>IFERROR(AVERAGE(Tabel1[[#This Row],[Up - C1a]:[Up - C1c]]),"")</f>
        <v>3</v>
      </c>
      <c r="AL81" s="14">
        <v>1</v>
      </c>
      <c r="AM81" s="14">
        <v>2</v>
      </c>
      <c r="AN81" s="14">
        <v>2</v>
      </c>
      <c r="AO81" s="14">
        <f>IFERROR(AVERAGE(Tabel1[[#This Row],[Up - C1]:[Up - C4]]),"")</f>
        <v>2</v>
      </c>
      <c r="AP81" s="14">
        <v>3</v>
      </c>
      <c r="AQ81" s="14">
        <f>IFERROR(AVERAGE(Tabel1[[#This Row],[Up - F1a]:[Up - F1a]]),"")</f>
        <v>3</v>
      </c>
      <c r="AR81" s="14">
        <v>1</v>
      </c>
      <c r="AS81" s="14">
        <v>1</v>
      </c>
      <c r="AT81" s="14">
        <f>IFERROR(AVERAGE(Tabel1[[#This Row],[Up - F2a]:[Up - F2b]]),"")</f>
        <v>1</v>
      </c>
      <c r="AU81" s="14">
        <v>1</v>
      </c>
      <c r="AV81" s="14">
        <v>2</v>
      </c>
      <c r="AW81" s="14">
        <f>IFERROR(AVERAGE(Tabel1[[#This Row],[Up - F3a]:[Up - F3b]]),"")</f>
        <v>1.5</v>
      </c>
      <c r="AX81" s="14">
        <v>1</v>
      </c>
      <c r="AY81" s="14">
        <f>IFERROR(AVERAGE(Tabel1[[#This Row],[Up - F1]],Tabel1[[#This Row],[Up - F2]],Tabel1[[#This Row],[Up - F3]],Tabel1[[#This Row],[Up - F4]]),"")</f>
        <v>1.625</v>
      </c>
      <c r="AZ81" s="14">
        <v>3</v>
      </c>
      <c r="BA81" s="14">
        <v>5</v>
      </c>
      <c r="BB81" s="14">
        <f>IFERROR(AVERAGE(Tabel1[[#This Row],[Up - V1a]:[Up - V1b]]),"")</f>
        <v>4</v>
      </c>
      <c r="BC81" s="14">
        <v>4</v>
      </c>
      <c r="BD81" s="14">
        <v>4</v>
      </c>
      <c r="BE81" s="14">
        <v>4</v>
      </c>
      <c r="BF81" s="14">
        <f>IFERROR(AVERAGE(Tabel1[[#This Row],[Up - V2a]:[Up - V2c]]),"")</f>
        <v>4</v>
      </c>
      <c r="BG81" s="14">
        <v>3</v>
      </c>
      <c r="BH81" s="14">
        <v>5</v>
      </c>
      <c r="BI81" s="14">
        <f>IFERROR(AVERAGE(Tabel1[[#This Row],[Up - V3a]:[Up - V3b]]),"")</f>
        <v>4</v>
      </c>
      <c r="BJ81" s="14">
        <v>5</v>
      </c>
      <c r="BK81" s="14">
        <f>IFERROR(AVERAGE(Tabel1[[#This Row],[Up - V1]],Tabel1[[#This Row],[Up - V2]],Tabel1[[#This Row],[Up - V3]],Tabel1[[#This Row],[Up - V4]]),"")</f>
        <v>4.25</v>
      </c>
      <c r="BL81" s="14">
        <v>1</v>
      </c>
      <c r="BM81" s="14">
        <v>1</v>
      </c>
      <c r="BN81" s="14">
        <v>1</v>
      </c>
      <c r="BO81" s="14">
        <v>1</v>
      </c>
      <c r="BP81" s="14">
        <f>IFERROR(AVERAGE(Tabel1[[#This Row],[Up - A1a]:[Up - A1d]]),"")</f>
        <v>1</v>
      </c>
      <c r="BQ81" s="14">
        <v>1</v>
      </c>
      <c r="BR81" s="14">
        <v>2</v>
      </c>
      <c r="BS81" s="14">
        <f>IFERROR(AVERAGE(Tabel1[[#This Row],[Up - A2a]:[Up - A2b]]),"")</f>
        <v>1.5</v>
      </c>
      <c r="BT81" s="14">
        <v>2</v>
      </c>
      <c r="BU81" s="14">
        <f>IFERROR(AVERAGE(Tabel1[[#This Row],[Up - A3a]:[Up - A3a]]),"")</f>
        <v>2</v>
      </c>
      <c r="BV81" s="14">
        <v>3</v>
      </c>
      <c r="BW81" s="14">
        <f>IFERROR(AVERAGE(Tabel1[[#This Row],[Up - A1]],Tabel1[[#This Row],[Up - A2]],Tabel1[[#This Row],[Up - A3]]),"")</f>
        <v>1.5</v>
      </c>
      <c r="BX81" s="14">
        <v>2</v>
      </c>
      <c r="BY81" s="14">
        <v>5</v>
      </c>
      <c r="BZ81" s="14">
        <f>IFERROR(AVERAGE(Tabel1[[#This Row],[In - R1a]:[In - R1b]]),"")</f>
        <v>3.5</v>
      </c>
      <c r="CA81" s="14">
        <v>1</v>
      </c>
      <c r="CB81" s="14">
        <v>3</v>
      </c>
      <c r="CC81" s="14">
        <v>1</v>
      </c>
      <c r="CD81" s="14">
        <v>2</v>
      </c>
      <c r="CE81" s="14">
        <f>IFERROR(AVERAGE(Tabel1[[#This Row],[In - R1]:[In - R5]]),"")</f>
        <v>2.1</v>
      </c>
      <c r="CF81" s="14" t="s">
        <v>189</v>
      </c>
      <c r="CG81" s="14">
        <v>4</v>
      </c>
      <c r="CH81" s="14">
        <v>2</v>
      </c>
      <c r="CI81" s="14">
        <f>IFERROR(AVERAGE(Tabel1[[#This Row],[In - C1a]:[In - C1c]]),"")</f>
        <v>3</v>
      </c>
      <c r="CJ81" s="14">
        <v>1</v>
      </c>
      <c r="CK81" s="14">
        <v>2</v>
      </c>
      <c r="CL81" s="14">
        <v>2</v>
      </c>
      <c r="CM81" s="14">
        <f>IFERROR(AVERAGE(Tabel1[[#This Row],[In - C1]:[In - C4]]),"")</f>
        <v>2</v>
      </c>
      <c r="CN81" s="14">
        <v>1</v>
      </c>
      <c r="CO81" s="14">
        <v>1</v>
      </c>
      <c r="CP81" s="14">
        <v>1</v>
      </c>
      <c r="CQ81" s="14">
        <f>IFERROR(AVERAGE(Tabel1[[#This Row],[In - F1a]:[In - F1c]]),"")</f>
        <v>1</v>
      </c>
      <c r="CR81" s="14">
        <v>3</v>
      </c>
      <c r="CS81" s="14">
        <v>1</v>
      </c>
      <c r="CT81" s="14">
        <f>IFERROR(AVERAGE(Tabel1[[#This Row],[In - F2a]:[In - F2b]]),"")</f>
        <v>2</v>
      </c>
      <c r="CU81" s="14">
        <v>2</v>
      </c>
      <c r="CV81" s="14">
        <f>IFERROR(AVERAGE(Tabel1[[#This Row],[In - F3a]:[In - F3a]]),"")</f>
        <v>2</v>
      </c>
      <c r="CW81" s="14">
        <v>1</v>
      </c>
      <c r="CX81" s="14">
        <f>IFERROR(AVERAGE(Tabel1[[#This Row],[In - F1]],Tabel1[[#This Row],[In - F2]],Tabel1[[#This Row],[In - F3]],Tabel1[[#This Row],[In - F4]]),"")</f>
        <v>1.5</v>
      </c>
      <c r="CY81" s="14">
        <v>3</v>
      </c>
      <c r="CZ81" s="14">
        <v>5</v>
      </c>
      <c r="DA81" s="14">
        <v>3</v>
      </c>
      <c r="DB81" s="14">
        <f>IFERROR(AVERAGE(Tabel1[[#This Row],[In - V1a]:[In - V1c]]),"")</f>
        <v>3.6666666666666665</v>
      </c>
      <c r="DC81" s="14">
        <v>4</v>
      </c>
      <c r="DD81" s="14">
        <v>3</v>
      </c>
      <c r="DE81" s="14">
        <v>5</v>
      </c>
      <c r="DF81" s="14">
        <f>IFERROR(AVERAGE(Tabel1[[#This Row],[In - V2a]:[In - V2c]]),"")</f>
        <v>4</v>
      </c>
      <c r="DG81" s="14">
        <v>2</v>
      </c>
      <c r="DH81" s="14">
        <v>5</v>
      </c>
      <c r="DI81" s="14">
        <f>IFERROR(AVERAGE(Tabel1[[#This Row],[In - V3a]:[In - V3b]]),"")</f>
        <v>3.5</v>
      </c>
      <c r="DJ81" s="14">
        <v>4</v>
      </c>
      <c r="DK81" s="14">
        <f>IFERROR(AVERAGE(Tabel1[[#This Row],[In - V1]],Tabel1[[#This Row],[In - V2]],Tabel1[[#This Row],[In - V3]],Tabel1[[#This Row],[In - V4]]),"")</f>
        <v>3.7916666666666665</v>
      </c>
      <c r="DL81" s="14">
        <v>1</v>
      </c>
      <c r="DM81" s="14">
        <v>2</v>
      </c>
      <c r="DN81" s="14">
        <f>IFERROR(AVERAGE(Tabel1[[#This Row],[In - A1a]:[In - A1b]]),"")</f>
        <v>1.5</v>
      </c>
      <c r="DO81" s="14">
        <v>1</v>
      </c>
      <c r="DP81" s="14">
        <v>2</v>
      </c>
      <c r="DQ81" s="14">
        <f>IFERROR(AVERAGE(Tabel1[[#This Row],[In - A2a]:[In - A2b]]),"")</f>
        <v>1.5</v>
      </c>
      <c r="DR81" s="14">
        <v>2</v>
      </c>
      <c r="DS81" s="14">
        <v>1</v>
      </c>
      <c r="DT81" s="14">
        <f>IFERROR(AVERAGE(Tabel1[[#This Row],[In - A3a]:[In - A3a]]),"")</f>
        <v>2</v>
      </c>
      <c r="DU81" s="14">
        <v>3</v>
      </c>
      <c r="DV81" s="14">
        <f>IFERROR(AVERAGE(Tabel1[[#This Row],[In - A1]],Tabel1[[#This Row],[In - A2]],Tabel1[[#This Row],[In - A3]],Tabel1[[#This Row],[In - A4]]),"")</f>
        <v>2</v>
      </c>
      <c r="DW81" s="14">
        <v>1</v>
      </c>
      <c r="DX81" s="14">
        <v>1</v>
      </c>
      <c r="DY81" s="14">
        <v>1</v>
      </c>
      <c r="DZ81" s="14">
        <f>IFERROR(AVERAGE(Tabel1[[#This Row],[Do - R1a]:[Do - R1c]]),"")</f>
        <v>1</v>
      </c>
      <c r="EA81" s="14">
        <v>3</v>
      </c>
      <c r="EB81" s="14">
        <v>5</v>
      </c>
      <c r="EC81" s="14">
        <v>1</v>
      </c>
      <c r="ED81" s="14">
        <v>3</v>
      </c>
      <c r="EE81" s="14">
        <f>IFERROR(AVERAGE(Tabel1[[#This Row],[Do - R1]:[Do - R5]]),"")</f>
        <v>2.6</v>
      </c>
      <c r="EF81" s="14">
        <v>3</v>
      </c>
      <c r="EG81" s="14">
        <v>3</v>
      </c>
      <c r="EH81" s="14">
        <v>2</v>
      </c>
      <c r="EI81" s="14">
        <f>IFERROR(AVERAGE(Tabel1[[#This Row],[Do - C1a]:[Do - C1c]]),"")</f>
        <v>2.6666666666666665</v>
      </c>
      <c r="EJ81" s="14">
        <v>1</v>
      </c>
      <c r="EK81" s="14">
        <v>1</v>
      </c>
      <c r="EL81" s="14">
        <v>2</v>
      </c>
      <c r="EM81" s="14">
        <f>IFERROR(AVERAGE(Tabel1[[#This Row],[Do - C1]:[Do - C4]]),"")</f>
        <v>1.6666666666666665</v>
      </c>
      <c r="EN81" s="14">
        <v>2</v>
      </c>
      <c r="EO81" s="14">
        <v>1</v>
      </c>
      <c r="EP81" s="14">
        <v>1</v>
      </c>
      <c r="EQ81" s="14">
        <f>IFERROR(AVERAGE(Tabel1[[#This Row],[Do - F1a]:[Do - F1c]]),"")</f>
        <v>1.3333333333333333</v>
      </c>
      <c r="ER81" s="14">
        <v>1</v>
      </c>
      <c r="ES81" s="14">
        <f>IFERROR(AVERAGE(Tabel1[[#This Row],[Do - F2a]:[Do - F2a]]),"")</f>
        <v>1</v>
      </c>
      <c r="ET81" s="14">
        <v>3</v>
      </c>
      <c r="EU81" s="14">
        <v>2</v>
      </c>
      <c r="EV81" s="14">
        <f>IFERROR(AVERAGE(Tabel1[[#This Row],[Do - F3a]:[Do - F3b]]),"")</f>
        <v>2.5</v>
      </c>
      <c r="EW81" s="14">
        <v>1</v>
      </c>
      <c r="EX81" s="14">
        <f>IFERROR(AVERAGE(Tabel1[[#This Row],[Do - F1]],Tabel1[[#This Row],[Do - F2]],Tabel1[[#This Row],[Do - F3]],Tabel1[[#This Row],[Do - F4]]),"")</f>
        <v>1.4583333333333333</v>
      </c>
      <c r="EY81" s="14">
        <v>4</v>
      </c>
      <c r="EZ81" s="14">
        <v>2</v>
      </c>
      <c r="FA81" s="14">
        <v>2</v>
      </c>
      <c r="FB81" s="14">
        <f>IFERROR(AVERAGE(Tabel1[[#This Row],[Do - V1a]:[Do - V1c]]),"")</f>
        <v>2.6666666666666665</v>
      </c>
      <c r="FC81" s="14">
        <v>4</v>
      </c>
      <c r="FD81" s="14">
        <v>4</v>
      </c>
      <c r="FE81" s="14">
        <f>IFERROR(AVERAGE(Tabel1[[#This Row],[Do - V2a]:[Do - V2b]]),"")</f>
        <v>4</v>
      </c>
      <c r="FF81" s="14">
        <v>3</v>
      </c>
      <c r="FG81" s="14">
        <f>IFERROR(AVERAGE(Tabel1[[#This Row],[Do - V3a]:[Do - V3a]]),"")</f>
        <v>3</v>
      </c>
      <c r="FH81" s="14">
        <v>4</v>
      </c>
      <c r="FI81" s="14">
        <f>IFERROR(AVERAGE(Tabel1[[#This Row],[Do - V1]],Tabel1[[#This Row],[Do - V2]],Tabel1[[#This Row],[Do - V3]],Tabel1[[#This Row],[Do - V4]]),"")</f>
        <v>3.4166666666666665</v>
      </c>
      <c r="FJ81" s="14">
        <v>1</v>
      </c>
      <c r="FK81" s="14">
        <v>1</v>
      </c>
      <c r="FL81" s="14">
        <v>1</v>
      </c>
      <c r="FM81" s="14">
        <f>IFERROR(AVERAGE(Tabel1[[#This Row],[Do - A1a]:[Do - A1c]]),"")</f>
        <v>1</v>
      </c>
      <c r="FN81" s="14">
        <v>1</v>
      </c>
      <c r="FO81" s="14">
        <v>4</v>
      </c>
      <c r="FP81" s="14">
        <f>IFERROR(AVERAGE(Tabel1[[#This Row],[Do - A2a]:[Do - A2b]]),"")</f>
        <v>2.5</v>
      </c>
      <c r="FQ81" s="14">
        <v>2</v>
      </c>
      <c r="FR81" s="14">
        <f>IFERROR(AVERAGE(Tabel1[[#This Row],[Do - A3a]:[Do - A3a]]),"")</f>
        <v>2</v>
      </c>
      <c r="FS81" s="14">
        <v>3</v>
      </c>
      <c r="FT81" s="14">
        <f>IFERROR(AVERAGE(Tabel1[[#This Row],[Do - A1]],Tabel1[[#This Row],[Do - A2]],Tabel1[[#This Row],[Do - A3]],Tabel1[[#This Row],[Do - A4]]),"")</f>
        <v>2.125</v>
      </c>
      <c r="FU8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2.3177777777777782</v>
      </c>
      <c r="FV81" s="16" t="s">
        <v>595</v>
      </c>
      <c r="FW81" t="b">
        <v>1</v>
      </c>
    </row>
    <row r="82" spans="1:179" x14ac:dyDescent="0.3">
      <c r="A82" s="13">
        <v>44950.353379629632</v>
      </c>
      <c r="B82" t="b">
        <v>0</v>
      </c>
      <c r="C82" s="14" t="s">
        <v>596</v>
      </c>
      <c r="D82" s="14" t="s">
        <v>597</v>
      </c>
      <c r="E82" s="14" t="s">
        <v>598</v>
      </c>
      <c r="F82" s="14" t="s">
        <v>184</v>
      </c>
      <c r="G82" s="14" t="s">
        <v>599</v>
      </c>
      <c r="H82" s="14" t="s">
        <v>222</v>
      </c>
      <c r="I82" s="14" t="s">
        <v>195</v>
      </c>
      <c r="J82" s="14" t="s">
        <v>347</v>
      </c>
      <c r="K82" s="14" t="s">
        <v>201</v>
      </c>
      <c r="L82" s="14" t="s">
        <v>249</v>
      </c>
      <c r="M82" s="14" t="s">
        <v>233</v>
      </c>
      <c r="N82" s="14" t="s">
        <v>262</v>
      </c>
      <c r="O82" s="14" t="s">
        <v>200</v>
      </c>
      <c r="P82" s="17" t="s">
        <v>304</v>
      </c>
      <c r="Q82" s="14" t="s">
        <v>201</v>
      </c>
      <c r="R82" s="14" t="s">
        <v>201</v>
      </c>
      <c r="S82" s="14" t="s">
        <v>201</v>
      </c>
      <c r="T82" s="14" t="s">
        <v>380</v>
      </c>
      <c r="U82" s="14" t="s">
        <v>237</v>
      </c>
      <c r="V82" s="14" t="s">
        <v>224</v>
      </c>
      <c r="W82" s="14" t="s">
        <v>207</v>
      </c>
      <c r="X82" s="14" t="s">
        <v>207</v>
      </c>
      <c r="Y82" s="14">
        <v>2</v>
      </c>
      <c r="Z82" s="14">
        <v>4</v>
      </c>
      <c r="AA82" s="14">
        <v>3</v>
      </c>
      <c r="AB82" s="15">
        <f>IFERROR(AVERAGE(Tabel1[[#This Row],[Up - R1a]:[Up - R1c]]),"")</f>
        <v>3</v>
      </c>
      <c r="AC82" s="14">
        <v>4</v>
      </c>
      <c r="AD82" s="14">
        <v>5</v>
      </c>
      <c r="AE82" s="14">
        <v>2</v>
      </c>
      <c r="AF82" s="14">
        <v>4</v>
      </c>
      <c r="AG82" s="14">
        <f>IFERROR(AVERAGE(Tabel1[[#This Row],[Up - R1]:[Up - R5]]),"")</f>
        <v>3.6</v>
      </c>
      <c r="AH82" s="14">
        <v>5</v>
      </c>
      <c r="AI82" s="14">
        <v>4</v>
      </c>
      <c r="AJ82" s="14">
        <v>4</v>
      </c>
      <c r="AK82" s="14">
        <f>IFERROR(AVERAGE(Tabel1[[#This Row],[Up - C1a]:[Up - C1c]]),"")</f>
        <v>4.333333333333333</v>
      </c>
      <c r="AL82" s="14">
        <v>5</v>
      </c>
      <c r="AM82" s="14">
        <v>3</v>
      </c>
      <c r="AN82" s="14">
        <v>4</v>
      </c>
      <c r="AO82" s="14">
        <f>IFERROR(AVERAGE(Tabel1[[#This Row],[Up - C1]:[Up - C4]]),"")</f>
        <v>4.083333333333333</v>
      </c>
      <c r="AP82" s="14">
        <v>4</v>
      </c>
      <c r="AQ82" s="14">
        <f>IFERROR(AVERAGE(Tabel1[[#This Row],[Up - F1a]:[Up - F1a]]),"")</f>
        <v>4</v>
      </c>
      <c r="AR82" s="14">
        <v>3</v>
      </c>
      <c r="AS82" s="14">
        <v>5</v>
      </c>
      <c r="AT82" s="14">
        <f>IFERROR(AVERAGE(Tabel1[[#This Row],[Up - F2a]:[Up - F2b]]),"")</f>
        <v>4</v>
      </c>
      <c r="AU82" s="14">
        <v>4</v>
      </c>
      <c r="AV82" s="14">
        <v>3</v>
      </c>
      <c r="AW82" s="14">
        <f>IFERROR(AVERAGE(Tabel1[[#This Row],[Up - F3a]:[Up - F3b]]),"")</f>
        <v>3.5</v>
      </c>
      <c r="AX82" s="14">
        <v>3</v>
      </c>
      <c r="AY82" s="14">
        <f>IFERROR(AVERAGE(Tabel1[[#This Row],[Up - F1]],Tabel1[[#This Row],[Up - F2]],Tabel1[[#This Row],[Up - F3]],Tabel1[[#This Row],[Up - F4]]),"")</f>
        <v>3.625</v>
      </c>
      <c r="AZ82" s="14">
        <v>3</v>
      </c>
      <c r="BA82" s="14">
        <v>4</v>
      </c>
      <c r="BB82" s="14">
        <f>IFERROR(AVERAGE(Tabel1[[#This Row],[Up - V1a]:[Up - V1b]]),"")</f>
        <v>3.5</v>
      </c>
      <c r="BC82" s="14">
        <v>4</v>
      </c>
      <c r="BD82" s="14">
        <v>4</v>
      </c>
      <c r="BE82" s="14">
        <v>3</v>
      </c>
      <c r="BF82" s="14">
        <f>IFERROR(AVERAGE(Tabel1[[#This Row],[Up - V2a]:[Up - V2c]]),"")</f>
        <v>3.6666666666666665</v>
      </c>
      <c r="BG82" s="14">
        <v>2</v>
      </c>
      <c r="BH82" s="14">
        <v>4</v>
      </c>
      <c r="BI82" s="14">
        <f>IFERROR(AVERAGE(Tabel1[[#This Row],[Up - V3a]:[Up - V3b]]),"")</f>
        <v>3</v>
      </c>
      <c r="BJ82" s="14">
        <v>4</v>
      </c>
      <c r="BK82" s="14">
        <f>IFERROR(AVERAGE(Tabel1[[#This Row],[Up - V1]],Tabel1[[#This Row],[Up - V2]],Tabel1[[#This Row],[Up - V3]],Tabel1[[#This Row],[Up - V4]]),"")</f>
        <v>3.5416666666666665</v>
      </c>
      <c r="BL82" s="14">
        <v>4</v>
      </c>
      <c r="BM82" s="14">
        <v>4</v>
      </c>
      <c r="BN82" s="14">
        <v>4</v>
      </c>
      <c r="BO82" s="14">
        <v>3</v>
      </c>
      <c r="BP82" s="14">
        <f>IFERROR(AVERAGE(Tabel1[[#This Row],[Up - A1a]:[Up - A1d]]),"")</f>
        <v>3.75</v>
      </c>
      <c r="BQ82" s="14">
        <v>4</v>
      </c>
      <c r="BR82" s="14">
        <v>4</v>
      </c>
      <c r="BS82" s="14">
        <f>IFERROR(AVERAGE(Tabel1[[#This Row],[Up - A2a]:[Up - A2b]]),"")</f>
        <v>4</v>
      </c>
      <c r="BT82" s="14">
        <v>4</v>
      </c>
      <c r="BU82" s="14">
        <f>IFERROR(AVERAGE(Tabel1[[#This Row],[Up - A3a]:[Up - A3a]]),"")</f>
        <v>4</v>
      </c>
      <c r="BV82" s="14">
        <v>3</v>
      </c>
      <c r="BW82" s="14">
        <f>IFERROR(AVERAGE(Tabel1[[#This Row],[Up - A1]],Tabel1[[#This Row],[Up - A2]],Tabel1[[#This Row],[Up - A3]]),"")</f>
        <v>3.9166666666666665</v>
      </c>
      <c r="BX82" s="14" t="s">
        <v>189</v>
      </c>
      <c r="BY82" s="14" t="s">
        <v>189</v>
      </c>
      <c r="BZ82" s="14" t="str">
        <f>IFERROR(AVERAGE(Tabel1[[#This Row],[In - R1a]:[In - R1b]]),"")</f>
        <v/>
      </c>
      <c r="CA82" s="14">
        <v>3</v>
      </c>
      <c r="CB82" s="14" t="s">
        <v>189</v>
      </c>
      <c r="CC82" s="14">
        <v>2</v>
      </c>
      <c r="CD82" s="14">
        <v>5</v>
      </c>
      <c r="CE82" s="14">
        <f>IFERROR(AVERAGE(Tabel1[[#This Row],[In - R1]:[In - R5]]),"")</f>
        <v>3.3333333333333335</v>
      </c>
      <c r="CF82" s="14">
        <v>5</v>
      </c>
      <c r="CG82" s="14">
        <v>3</v>
      </c>
      <c r="CH82" s="14">
        <v>5</v>
      </c>
      <c r="CI82" s="14">
        <f>IFERROR(AVERAGE(Tabel1[[#This Row],[In - C1a]:[In - C1c]]),"")</f>
        <v>4.333333333333333</v>
      </c>
      <c r="CJ82" s="14">
        <v>3</v>
      </c>
      <c r="CK82" s="14">
        <v>4</v>
      </c>
      <c r="CL82" s="14">
        <v>2</v>
      </c>
      <c r="CM82" s="14">
        <f>IFERROR(AVERAGE(Tabel1[[#This Row],[In - C1]:[In - C4]]),"")</f>
        <v>3.333333333333333</v>
      </c>
      <c r="CN82" s="14">
        <v>5</v>
      </c>
      <c r="CO82" s="14">
        <v>3</v>
      </c>
      <c r="CP82" s="14">
        <v>1</v>
      </c>
      <c r="CQ82" s="14">
        <f>IFERROR(AVERAGE(Tabel1[[#This Row],[In - F1a]:[In - F1c]]),"")</f>
        <v>3</v>
      </c>
      <c r="CR82" s="14">
        <v>4</v>
      </c>
      <c r="CS82" s="14">
        <v>4</v>
      </c>
      <c r="CT82" s="14">
        <f>IFERROR(AVERAGE(Tabel1[[#This Row],[In - F2a]:[In - F2b]]),"")</f>
        <v>4</v>
      </c>
      <c r="CU82" s="14">
        <v>1</v>
      </c>
      <c r="CV82" s="14">
        <f>IFERROR(AVERAGE(Tabel1[[#This Row],[In - F3a]:[In - F3a]]),"")</f>
        <v>1</v>
      </c>
      <c r="CW82" s="14">
        <v>4</v>
      </c>
      <c r="CX82" s="14">
        <f>IFERROR(AVERAGE(Tabel1[[#This Row],[In - F1]],Tabel1[[#This Row],[In - F2]],Tabel1[[#This Row],[In - F3]],Tabel1[[#This Row],[In - F4]]),"")</f>
        <v>3</v>
      </c>
      <c r="CY82" s="14">
        <v>3</v>
      </c>
      <c r="CZ82" s="14">
        <v>3</v>
      </c>
      <c r="DA82" s="14">
        <v>2</v>
      </c>
      <c r="DB82" s="14">
        <f>IFERROR(AVERAGE(Tabel1[[#This Row],[In - V1a]:[In - V1c]]),"")</f>
        <v>2.6666666666666665</v>
      </c>
      <c r="DC82" s="14">
        <v>3</v>
      </c>
      <c r="DD82" s="14">
        <v>4</v>
      </c>
      <c r="DE82" s="14">
        <v>3</v>
      </c>
      <c r="DF82" s="14">
        <f>IFERROR(AVERAGE(Tabel1[[#This Row],[In - V2a]:[In - V2c]]),"")</f>
        <v>3.3333333333333335</v>
      </c>
      <c r="DG82" s="14">
        <v>4</v>
      </c>
      <c r="DH82" s="14">
        <v>4</v>
      </c>
      <c r="DI82" s="14">
        <f>IFERROR(AVERAGE(Tabel1[[#This Row],[In - V3a]:[In - V3b]]),"")</f>
        <v>4</v>
      </c>
      <c r="DJ82" s="14">
        <v>4</v>
      </c>
      <c r="DK82" s="14">
        <f>IFERROR(AVERAGE(Tabel1[[#This Row],[In - V1]],Tabel1[[#This Row],[In - V2]],Tabel1[[#This Row],[In - V3]],Tabel1[[#This Row],[In - V4]]),"")</f>
        <v>3.5</v>
      </c>
      <c r="DL82" s="14">
        <v>4</v>
      </c>
      <c r="DM82" s="14">
        <v>5</v>
      </c>
      <c r="DN82" s="14">
        <f>IFERROR(AVERAGE(Tabel1[[#This Row],[In - A1a]:[In - A1b]]),"")</f>
        <v>4.5</v>
      </c>
      <c r="DO82" s="14">
        <v>3</v>
      </c>
      <c r="DP82" s="14">
        <v>3</v>
      </c>
      <c r="DQ82" s="14">
        <f>IFERROR(AVERAGE(Tabel1[[#This Row],[In - A2a]:[In - A2b]]),"")</f>
        <v>3</v>
      </c>
      <c r="DR82" s="14">
        <v>4</v>
      </c>
      <c r="DS82" s="14">
        <v>5</v>
      </c>
      <c r="DT82" s="14">
        <f>IFERROR(AVERAGE(Tabel1[[#This Row],[In - A3a]:[In - A3a]]),"")</f>
        <v>4</v>
      </c>
      <c r="DU82" s="14">
        <v>3</v>
      </c>
      <c r="DV82" s="14">
        <f>IFERROR(AVERAGE(Tabel1[[#This Row],[In - A1]],Tabel1[[#This Row],[In - A2]],Tabel1[[#This Row],[In - A3]],Tabel1[[#This Row],[In - A4]]),"")</f>
        <v>3.625</v>
      </c>
      <c r="DW82" s="14">
        <v>4</v>
      </c>
      <c r="DX82" s="14">
        <v>5</v>
      </c>
      <c r="DY82" s="14">
        <v>4</v>
      </c>
      <c r="DZ82" s="14">
        <f>IFERROR(AVERAGE(Tabel1[[#This Row],[Do - R1a]:[Do - R1c]]),"")</f>
        <v>4.333333333333333</v>
      </c>
      <c r="EA82" s="14">
        <v>1</v>
      </c>
      <c r="EB82" s="14">
        <v>5</v>
      </c>
      <c r="EC82" s="14">
        <v>1</v>
      </c>
      <c r="ED82" s="14">
        <v>4</v>
      </c>
      <c r="EE82" s="14">
        <f>IFERROR(AVERAGE(Tabel1[[#This Row],[Do - R1]:[Do - R5]]),"")</f>
        <v>3.0666666666666664</v>
      </c>
      <c r="EF82" s="14">
        <v>5</v>
      </c>
      <c r="EG82" s="14">
        <v>3</v>
      </c>
      <c r="EH82" s="14">
        <v>4</v>
      </c>
      <c r="EI82" s="14">
        <f>IFERROR(AVERAGE(Tabel1[[#This Row],[Do - C1a]:[Do - C1c]]),"")</f>
        <v>4</v>
      </c>
      <c r="EJ82" s="14">
        <v>2</v>
      </c>
      <c r="EK82" s="14" t="s">
        <v>189</v>
      </c>
      <c r="EL82" s="14">
        <v>2</v>
      </c>
      <c r="EM82" s="14">
        <f>IFERROR(AVERAGE(Tabel1[[#This Row],[Do - C1]:[Do - C4]]),"")</f>
        <v>2.6666666666666665</v>
      </c>
      <c r="EN82" s="14">
        <v>3</v>
      </c>
      <c r="EO82" s="14">
        <v>1</v>
      </c>
      <c r="EP82" s="14">
        <v>3</v>
      </c>
      <c r="EQ82" s="14">
        <f>IFERROR(AVERAGE(Tabel1[[#This Row],[Do - F1a]:[Do - F1c]]),"")</f>
        <v>2.3333333333333335</v>
      </c>
      <c r="ER82" s="14">
        <v>4</v>
      </c>
      <c r="ES82" s="14">
        <f>IFERROR(AVERAGE(Tabel1[[#This Row],[Do - F2a]:[Do - F2a]]),"")</f>
        <v>4</v>
      </c>
      <c r="ET82" s="14">
        <v>3</v>
      </c>
      <c r="EU82" s="14">
        <v>2</v>
      </c>
      <c r="EV82" s="14">
        <f>IFERROR(AVERAGE(Tabel1[[#This Row],[Do - F3a]:[Do - F3b]]),"")</f>
        <v>2.5</v>
      </c>
      <c r="EW82" s="14">
        <v>2</v>
      </c>
      <c r="EX82" s="14">
        <f>IFERROR(AVERAGE(Tabel1[[#This Row],[Do - F1]],Tabel1[[#This Row],[Do - F2]],Tabel1[[#This Row],[Do - F3]],Tabel1[[#This Row],[Do - F4]]),"")</f>
        <v>2.7083333333333335</v>
      </c>
      <c r="EY82" s="14">
        <v>4</v>
      </c>
      <c r="EZ82" s="14">
        <v>2</v>
      </c>
      <c r="FA82" s="14">
        <v>5</v>
      </c>
      <c r="FB82" s="14">
        <f>IFERROR(AVERAGE(Tabel1[[#This Row],[Do - V1a]:[Do - V1c]]),"")</f>
        <v>3.6666666666666665</v>
      </c>
      <c r="FC82" s="14">
        <v>3</v>
      </c>
      <c r="FD82" s="14">
        <v>4</v>
      </c>
      <c r="FE82" s="14">
        <f>IFERROR(AVERAGE(Tabel1[[#This Row],[Do - V2a]:[Do - V2b]]),"")</f>
        <v>3.5</v>
      </c>
      <c r="FF82" s="14">
        <v>4</v>
      </c>
      <c r="FG82" s="14">
        <f>IFERROR(AVERAGE(Tabel1[[#This Row],[Do - V3a]:[Do - V3a]]),"")</f>
        <v>4</v>
      </c>
      <c r="FH82" s="14">
        <v>4</v>
      </c>
      <c r="FI82" s="14">
        <f>IFERROR(AVERAGE(Tabel1[[#This Row],[Do - V1]],Tabel1[[#This Row],[Do - V2]],Tabel1[[#This Row],[Do - V3]],Tabel1[[#This Row],[Do - V4]]),"")</f>
        <v>3.7916666666666665</v>
      </c>
      <c r="FJ82" s="14">
        <v>1</v>
      </c>
      <c r="FK82" s="14">
        <v>1</v>
      </c>
      <c r="FL82" s="14">
        <v>4</v>
      </c>
      <c r="FM82" s="14">
        <f>IFERROR(AVERAGE(Tabel1[[#This Row],[Do - A1a]:[Do - A1c]]),"")</f>
        <v>2</v>
      </c>
      <c r="FN82" s="14">
        <v>1</v>
      </c>
      <c r="FO82" s="14">
        <v>1</v>
      </c>
      <c r="FP82" s="14">
        <f>IFERROR(AVERAGE(Tabel1[[#This Row],[Do - A2a]:[Do - A2b]]),"")</f>
        <v>1</v>
      </c>
      <c r="FQ82" s="14">
        <v>2</v>
      </c>
      <c r="FR82" s="14">
        <f>IFERROR(AVERAGE(Tabel1[[#This Row],[Do - A3a]:[Do - A3a]]),"")</f>
        <v>2</v>
      </c>
      <c r="FS82" s="14">
        <v>4</v>
      </c>
      <c r="FT82" s="14">
        <f>IFERROR(AVERAGE(Tabel1[[#This Row],[Do - A1]],Tabel1[[#This Row],[Do - A2]],Tabel1[[#This Row],[Do - A3]],Tabel1[[#This Row],[Do - A4]]),"")</f>
        <v>2.25</v>
      </c>
      <c r="FU8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3.3361111111111108</v>
      </c>
      <c r="FV82" s="16" t="s">
        <v>600</v>
      </c>
      <c r="FW82" t="b">
        <v>1</v>
      </c>
    </row>
    <row r="83" spans="1:179" x14ac:dyDescent="0.3">
      <c r="A83" s="13">
        <v>44950.781412037039</v>
      </c>
      <c r="B83" t="b">
        <v>0</v>
      </c>
      <c r="C83" s="14" t="s">
        <v>601</v>
      </c>
      <c r="D83" s="14" t="s">
        <v>602</v>
      </c>
      <c r="E83" s="14" t="s">
        <v>603</v>
      </c>
      <c r="F83" s="14" t="s">
        <v>184</v>
      </c>
      <c r="G83" s="14" t="s">
        <v>604</v>
      </c>
      <c r="H83" s="14" t="s">
        <v>222</v>
      </c>
      <c r="I83" s="14" t="s">
        <v>195</v>
      </c>
      <c r="J83" s="14" t="s">
        <v>273</v>
      </c>
      <c r="K83" s="17" t="s">
        <v>304</v>
      </c>
      <c r="L83" s="14" t="s">
        <v>197</v>
      </c>
      <c r="M83" s="14" t="s">
        <v>281</v>
      </c>
      <c r="N83" s="14" t="s">
        <v>316</v>
      </c>
      <c r="O83" s="14" t="s">
        <v>200</v>
      </c>
      <c r="P83" s="17" t="s">
        <v>255</v>
      </c>
      <c r="Q83" s="17" t="s">
        <v>255</v>
      </c>
      <c r="R83" s="14" t="s">
        <v>203</v>
      </c>
      <c r="S83" s="14" t="s">
        <v>202</v>
      </c>
      <c r="T83" s="14" t="s">
        <v>380</v>
      </c>
      <c r="U83" s="14" t="s">
        <v>205</v>
      </c>
      <c r="V83" s="14" t="s">
        <v>224</v>
      </c>
      <c r="W83" s="14" t="s">
        <v>207</v>
      </c>
      <c r="X83" s="14" t="s">
        <v>395</v>
      </c>
      <c r="Y83" s="14">
        <v>4</v>
      </c>
      <c r="Z83" s="14">
        <v>1</v>
      </c>
      <c r="AA83" s="14">
        <v>3</v>
      </c>
      <c r="AB83" s="15">
        <f>IFERROR(AVERAGE(Tabel1[[#This Row],[Up - R1a]:[Up - R1c]]),"")</f>
        <v>2.6666666666666665</v>
      </c>
      <c r="AC83" s="14">
        <v>1</v>
      </c>
      <c r="AD83" s="14">
        <v>3</v>
      </c>
      <c r="AE83" s="14">
        <v>2</v>
      </c>
      <c r="AF83" s="14">
        <v>4</v>
      </c>
      <c r="AG83" s="14">
        <f>IFERROR(AVERAGE(Tabel1[[#This Row],[Up - R1]:[Up - R5]]),"")</f>
        <v>2.5333333333333332</v>
      </c>
      <c r="AH83" s="14">
        <v>5</v>
      </c>
      <c r="AI83" s="14">
        <v>5</v>
      </c>
      <c r="AJ83" s="14">
        <v>3</v>
      </c>
      <c r="AK83" s="14">
        <f>IFERROR(AVERAGE(Tabel1[[#This Row],[Up - C1a]:[Up - C1c]]),"")</f>
        <v>4.333333333333333</v>
      </c>
      <c r="AL83" s="14">
        <v>2</v>
      </c>
      <c r="AM83" s="14">
        <v>1</v>
      </c>
      <c r="AN83" s="14">
        <v>4</v>
      </c>
      <c r="AO83" s="14">
        <f>IFERROR(AVERAGE(Tabel1[[#This Row],[Up - C1]:[Up - C4]]),"")</f>
        <v>2.833333333333333</v>
      </c>
      <c r="AP83" s="14">
        <v>4</v>
      </c>
      <c r="AQ83" s="14">
        <f>IFERROR(AVERAGE(Tabel1[[#This Row],[Up - F1a]:[Up - F1a]]),"")</f>
        <v>4</v>
      </c>
      <c r="AR83" s="14">
        <v>2</v>
      </c>
      <c r="AS83" s="14">
        <v>3</v>
      </c>
      <c r="AT83" s="14">
        <f>IFERROR(AVERAGE(Tabel1[[#This Row],[Up - F2a]:[Up - F2b]]),"")</f>
        <v>2.5</v>
      </c>
      <c r="AU83" s="14">
        <v>4</v>
      </c>
      <c r="AV83" s="14">
        <v>1</v>
      </c>
      <c r="AW83" s="14">
        <f>IFERROR(AVERAGE(Tabel1[[#This Row],[Up - F3a]:[Up - F3b]]),"")</f>
        <v>2.5</v>
      </c>
      <c r="AX83" s="14">
        <v>3</v>
      </c>
      <c r="AY83" s="14">
        <f>IFERROR(AVERAGE(Tabel1[[#This Row],[Up - F1]],Tabel1[[#This Row],[Up - F2]],Tabel1[[#This Row],[Up - F3]],Tabel1[[#This Row],[Up - F4]]),"")</f>
        <v>3</v>
      </c>
      <c r="AZ83" s="14">
        <v>2</v>
      </c>
      <c r="BA83" s="14">
        <v>2</v>
      </c>
      <c r="BB83" s="14">
        <f>IFERROR(AVERAGE(Tabel1[[#This Row],[Up - V1a]:[Up - V1b]]),"")</f>
        <v>2</v>
      </c>
      <c r="BC83" s="14">
        <v>1</v>
      </c>
      <c r="BD83" s="14" t="s">
        <v>189</v>
      </c>
      <c r="BE83" s="14">
        <v>1</v>
      </c>
      <c r="BF83" s="14">
        <f>IFERROR(AVERAGE(Tabel1[[#This Row],[Up - V2a]:[Up - V2c]]),"")</f>
        <v>1</v>
      </c>
      <c r="BG83" s="14">
        <v>2</v>
      </c>
      <c r="BH83" s="14">
        <v>3</v>
      </c>
      <c r="BI83" s="14">
        <f>IFERROR(AVERAGE(Tabel1[[#This Row],[Up - V3a]:[Up - V3b]]),"")</f>
        <v>2.5</v>
      </c>
      <c r="BJ83" s="14">
        <v>1</v>
      </c>
      <c r="BK83" s="14">
        <f>IFERROR(AVERAGE(Tabel1[[#This Row],[Up - V1]],Tabel1[[#This Row],[Up - V2]],Tabel1[[#This Row],[Up - V3]],Tabel1[[#This Row],[Up - V4]]),"")</f>
        <v>1.625</v>
      </c>
      <c r="BL83" s="14">
        <v>4</v>
      </c>
      <c r="BM83" s="14">
        <v>4</v>
      </c>
      <c r="BN83" s="14">
        <v>5</v>
      </c>
      <c r="BO83" s="14">
        <v>5</v>
      </c>
      <c r="BP83" s="14">
        <f>IFERROR(AVERAGE(Tabel1[[#This Row],[Up - A1a]:[Up - A1d]]),"")</f>
        <v>4.5</v>
      </c>
      <c r="BQ83" s="14">
        <v>5</v>
      </c>
      <c r="BR83" s="14">
        <v>5</v>
      </c>
      <c r="BS83" s="14">
        <f>IFERROR(AVERAGE(Tabel1[[#This Row],[Up - A2a]:[Up - A2b]]),"")</f>
        <v>5</v>
      </c>
      <c r="BT83" s="14">
        <v>5</v>
      </c>
      <c r="BU83" s="14">
        <f>IFERROR(AVERAGE(Tabel1[[#This Row],[Up - A3a]:[Up - A3a]]),"")</f>
        <v>5</v>
      </c>
      <c r="BV83" s="14">
        <v>4</v>
      </c>
      <c r="BW83" s="14">
        <f>IFERROR(AVERAGE(Tabel1[[#This Row],[Up - A1]],Tabel1[[#This Row],[Up - A2]],Tabel1[[#This Row],[Up - A3]]),"")</f>
        <v>4.833333333333333</v>
      </c>
      <c r="BX83" s="14">
        <v>1</v>
      </c>
      <c r="BY83" s="14">
        <v>1</v>
      </c>
      <c r="BZ83" s="14">
        <f>IFERROR(AVERAGE(Tabel1[[#This Row],[In - R1a]:[In - R1b]]),"")</f>
        <v>1</v>
      </c>
      <c r="CA83" s="14">
        <v>5</v>
      </c>
      <c r="CB83" s="14">
        <v>1</v>
      </c>
      <c r="CC83" s="14">
        <v>5</v>
      </c>
      <c r="CD83" s="14">
        <v>4</v>
      </c>
      <c r="CE83" s="14">
        <f>IFERROR(AVERAGE(Tabel1[[#This Row],[In - R1]:[In - R5]]),"")</f>
        <v>3.2</v>
      </c>
      <c r="CF83" s="14">
        <v>2</v>
      </c>
      <c r="CG83" s="14">
        <v>4</v>
      </c>
      <c r="CH83" s="14">
        <v>4</v>
      </c>
      <c r="CI83" s="14">
        <f>IFERROR(AVERAGE(Tabel1[[#This Row],[In - C1a]:[In - C1c]]),"")</f>
        <v>3.3333333333333335</v>
      </c>
      <c r="CJ83" s="14">
        <v>3</v>
      </c>
      <c r="CK83" s="14">
        <v>2</v>
      </c>
      <c r="CL83" s="14">
        <v>5</v>
      </c>
      <c r="CM83" s="14">
        <f>IFERROR(AVERAGE(Tabel1[[#This Row],[In - C1]:[In - C4]]),"")</f>
        <v>3.3333333333333335</v>
      </c>
      <c r="CN83" s="14">
        <v>4</v>
      </c>
      <c r="CO83" s="14">
        <v>4</v>
      </c>
      <c r="CP83" s="14">
        <v>1</v>
      </c>
      <c r="CQ83" s="14">
        <f>IFERROR(AVERAGE(Tabel1[[#This Row],[In - F1a]:[In - F1c]]),"")</f>
        <v>3</v>
      </c>
      <c r="CR83" s="14">
        <v>5</v>
      </c>
      <c r="CS83" s="14">
        <v>4</v>
      </c>
      <c r="CT83" s="14">
        <f>IFERROR(AVERAGE(Tabel1[[#This Row],[In - F2a]:[In - F2b]]),"")</f>
        <v>4.5</v>
      </c>
      <c r="CU83" s="14">
        <v>5</v>
      </c>
      <c r="CV83" s="14">
        <f>IFERROR(AVERAGE(Tabel1[[#This Row],[In - F3a]:[In - F3a]]),"")</f>
        <v>5</v>
      </c>
      <c r="CW83" s="14">
        <v>2</v>
      </c>
      <c r="CX83" s="14">
        <f>IFERROR(AVERAGE(Tabel1[[#This Row],[In - F1]],Tabel1[[#This Row],[In - F2]],Tabel1[[#This Row],[In - F3]],Tabel1[[#This Row],[In - F4]]),"")</f>
        <v>3.625</v>
      </c>
      <c r="CY83" s="14">
        <v>4</v>
      </c>
      <c r="CZ83" s="14">
        <v>5</v>
      </c>
      <c r="DA83" s="14">
        <v>3</v>
      </c>
      <c r="DB83" s="14">
        <f>IFERROR(AVERAGE(Tabel1[[#This Row],[In - V1a]:[In - V1c]]),"")</f>
        <v>4</v>
      </c>
      <c r="DC83" s="14">
        <v>2</v>
      </c>
      <c r="DD83" s="14">
        <v>1</v>
      </c>
      <c r="DE83" s="14">
        <v>1</v>
      </c>
      <c r="DF83" s="14">
        <f>IFERROR(AVERAGE(Tabel1[[#This Row],[In - V2a]:[In - V2c]]),"")</f>
        <v>1.3333333333333333</v>
      </c>
      <c r="DG83" s="14">
        <v>4</v>
      </c>
      <c r="DH83" s="14">
        <v>2</v>
      </c>
      <c r="DI83" s="14">
        <f>IFERROR(AVERAGE(Tabel1[[#This Row],[In - V3a]:[In - V3b]]),"")</f>
        <v>3</v>
      </c>
      <c r="DJ83" s="14">
        <v>4</v>
      </c>
      <c r="DK83" s="14">
        <f>IFERROR(AVERAGE(Tabel1[[#This Row],[In - V1]],Tabel1[[#This Row],[In - V2]],Tabel1[[#This Row],[In - V3]],Tabel1[[#This Row],[In - V4]]),"")</f>
        <v>3.083333333333333</v>
      </c>
      <c r="DL83" s="14">
        <v>4</v>
      </c>
      <c r="DM83" s="14">
        <v>2</v>
      </c>
      <c r="DN83" s="14">
        <f>IFERROR(AVERAGE(Tabel1[[#This Row],[In - A1a]:[In - A1b]]),"")</f>
        <v>3</v>
      </c>
      <c r="DO83" s="14">
        <v>4</v>
      </c>
      <c r="DP83" s="14">
        <v>5</v>
      </c>
      <c r="DQ83" s="14">
        <f>IFERROR(AVERAGE(Tabel1[[#This Row],[In - A2a]:[In - A2b]]),"")</f>
        <v>4.5</v>
      </c>
      <c r="DR83" s="14">
        <v>5</v>
      </c>
      <c r="DS83" s="14">
        <v>5</v>
      </c>
      <c r="DT83" s="14">
        <f>IFERROR(AVERAGE(Tabel1[[#This Row],[In - A3a]:[In - A3a]]),"")</f>
        <v>5</v>
      </c>
      <c r="DU83" s="14">
        <v>1</v>
      </c>
      <c r="DV83" s="14">
        <f>IFERROR(AVERAGE(Tabel1[[#This Row],[In - A1]],Tabel1[[#This Row],[In - A2]],Tabel1[[#This Row],[In - A3]],Tabel1[[#This Row],[In - A4]]),"")</f>
        <v>3.375</v>
      </c>
      <c r="DW83" s="14">
        <v>1</v>
      </c>
      <c r="DX83" s="14">
        <v>3</v>
      </c>
      <c r="DY83" s="14">
        <v>1</v>
      </c>
      <c r="DZ83" s="14">
        <f>IFERROR(AVERAGE(Tabel1[[#This Row],[Do - R1a]:[Do - R1c]]),"")</f>
        <v>1.6666666666666667</v>
      </c>
      <c r="EA83" s="14">
        <v>1</v>
      </c>
      <c r="EB83" s="14">
        <v>4</v>
      </c>
      <c r="EC83" s="14">
        <v>1</v>
      </c>
      <c r="ED83" s="14">
        <v>5</v>
      </c>
      <c r="EE83" s="14">
        <f>IFERROR(AVERAGE(Tabel1[[#This Row],[Do - R1]:[Do - R5]]),"")</f>
        <v>2.5333333333333337</v>
      </c>
      <c r="EF83" s="14">
        <v>4</v>
      </c>
      <c r="EG83" s="14">
        <v>4</v>
      </c>
      <c r="EH83" s="14">
        <v>2</v>
      </c>
      <c r="EI83" s="14">
        <f>IFERROR(AVERAGE(Tabel1[[#This Row],[Do - C1a]:[Do - C1c]]),"")</f>
        <v>3.3333333333333335</v>
      </c>
      <c r="EJ83" s="14">
        <v>3</v>
      </c>
      <c r="EK83" s="14">
        <v>2</v>
      </c>
      <c r="EL83" s="14">
        <v>4</v>
      </c>
      <c r="EM83" s="14">
        <f>IFERROR(AVERAGE(Tabel1[[#This Row],[Do - C1]:[Do - C4]]),"")</f>
        <v>3.0833333333333335</v>
      </c>
      <c r="EN83" s="14">
        <v>3</v>
      </c>
      <c r="EO83" s="14">
        <v>5</v>
      </c>
      <c r="EP83" s="14">
        <v>1</v>
      </c>
      <c r="EQ83" s="14">
        <f>IFERROR(AVERAGE(Tabel1[[#This Row],[Do - F1a]:[Do - F1c]]),"")</f>
        <v>3</v>
      </c>
      <c r="ER83" s="14">
        <v>4</v>
      </c>
      <c r="ES83" s="14">
        <f>IFERROR(AVERAGE(Tabel1[[#This Row],[Do - F2a]:[Do - F2a]]),"")</f>
        <v>4</v>
      </c>
      <c r="ET83" s="14">
        <v>5</v>
      </c>
      <c r="EU83" s="14">
        <v>4</v>
      </c>
      <c r="EV83" s="14">
        <f>IFERROR(AVERAGE(Tabel1[[#This Row],[Do - F3a]:[Do - F3b]]),"")</f>
        <v>4.5</v>
      </c>
      <c r="EW83" s="14">
        <v>2</v>
      </c>
      <c r="EX83" s="14">
        <f>IFERROR(AVERAGE(Tabel1[[#This Row],[Do - F1]],Tabel1[[#This Row],[Do - F2]],Tabel1[[#This Row],[Do - F3]],Tabel1[[#This Row],[Do - F4]]),"")</f>
        <v>3.375</v>
      </c>
      <c r="EY83" s="14">
        <v>3</v>
      </c>
      <c r="EZ83" s="14">
        <v>1</v>
      </c>
      <c r="FA83" s="14">
        <v>2</v>
      </c>
      <c r="FB83" s="14">
        <f>IFERROR(AVERAGE(Tabel1[[#This Row],[Do - V1a]:[Do - V1c]]),"")</f>
        <v>2</v>
      </c>
      <c r="FC83" s="14">
        <v>1</v>
      </c>
      <c r="FD83" s="14">
        <v>3</v>
      </c>
      <c r="FE83" s="14">
        <f>IFERROR(AVERAGE(Tabel1[[#This Row],[Do - V2a]:[Do - V2b]]),"")</f>
        <v>2</v>
      </c>
      <c r="FF83" s="14">
        <v>2</v>
      </c>
      <c r="FG83" s="14">
        <f>IFERROR(AVERAGE(Tabel1[[#This Row],[Do - V3a]:[Do - V3a]]),"")</f>
        <v>2</v>
      </c>
      <c r="FH83" s="14" t="s">
        <v>189</v>
      </c>
      <c r="FI83" s="14">
        <f>IFERROR(AVERAGE(Tabel1[[#This Row],[Do - V1]],Tabel1[[#This Row],[Do - V2]],Tabel1[[#This Row],[Do - V3]],Tabel1[[#This Row],[Do - V4]]),"")</f>
        <v>2</v>
      </c>
      <c r="FJ83" s="14">
        <v>3</v>
      </c>
      <c r="FK83" s="14">
        <v>1</v>
      </c>
      <c r="FL83" s="14">
        <v>5</v>
      </c>
      <c r="FM83" s="14">
        <f>IFERROR(AVERAGE(Tabel1[[#This Row],[Do - A1a]:[Do - A1c]]),"")</f>
        <v>3</v>
      </c>
      <c r="FN83" s="14">
        <v>5</v>
      </c>
      <c r="FO83" s="14">
        <v>3</v>
      </c>
      <c r="FP83" s="14">
        <f>IFERROR(AVERAGE(Tabel1[[#This Row],[Do - A2a]:[Do - A2b]]),"")</f>
        <v>4</v>
      </c>
      <c r="FQ83" s="14">
        <v>5</v>
      </c>
      <c r="FR83" s="14">
        <f>IFERROR(AVERAGE(Tabel1[[#This Row],[Do - A3a]:[Do - A3a]]),"")</f>
        <v>5</v>
      </c>
      <c r="FS83" s="14">
        <v>5</v>
      </c>
      <c r="FT83" s="14">
        <f>IFERROR(AVERAGE(Tabel1[[#This Row],[Do - A1]],Tabel1[[#This Row],[Do - A2]],Tabel1[[#This Row],[Do - A3]],Tabel1[[#This Row],[Do - A4]]),"")</f>
        <v>4.25</v>
      </c>
      <c r="FU8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3.112222222222222</v>
      </c>
      <c r="FV83" s="16" t="s">
        <v>605</v>
      </c>
      <c r="FW83" t="b">
        <v>1</v>
      </c>
    </row>
    <row r="84" spans="1:179" x14ac:dyDescent="0.3">
      <c r="A84" s="13">
        <v>44951.665821759256</v>
      </c>
      <c r="B84" t="b">
        <v>0</v>
      </c>
      <c r="C84" s="14" t="s">
        <v>606</v>
      </c>
      <c r="D84" s="14" t="s">
        <v>607</v>
      </c>
      <c r="E84" s="14" t="s">
        <v>608</v>
      </c>
      <c r="F84" s="14" t="s">
        <v>184</v>
      </c>
      <c r="G84" s="14" t="s">
        <v>609</v>
      </c>
      <c r="H84" s="14" t="s">
        <v>222</v>
      </c>
      <c r="I84" s="14" t="s">
        <v>572</v>
      </c>
      <c r="J84" s="14" t="s">
        <v>573</v>
      </c>
      <c r="K84" s="14" t="s">
        <v>187</v>
      </c>
      <c r="L84" s="14" t="s">
        <v>385</v>
      </c>
      <c r="M84" s="14" t="s">
        <v>281</v>
      </c>
      <c r="N84" s="14" t="s">
        <v>331</v>
      </c>
      <c r="O84" s="14" t="s">
        <v>256</v>
      </c>
      <c r="P84" s="17" t="s">
        <v>255</v>
      </c>
      <c r="Q84" s="14" t="s">
        <v>235</v>
      </c>
      <c r="R84" s="14" t="s">
        <v>187</v>
      </c>
      <c r="S84" s="14" t="s">
        <v>235</v>
      </c>
      <c r="T84" s="14" t="s">
        <v>284</v>
      </c>
      <c r="U84" s="14" t="s">
        <v>237</v>
      </c>
      <c r="V84" s="14" t="s">
        <v>610</v>
      </c>
      <c r="W84" s="14" t="s">
        <v>207</v>
      </c>
      <c r="X84" s="14" t="s">
        <v>305</v>
      </c>
      <c r="Y84" s="14">
        <v>2</v>
      </c>
      <c r="Z84" s="14">
        <v>3</v>
      </c>
      <c r="AA84" s="14">
        <v>3</v>
      </c>
      <c r="AB84" s="15">
        <f>IFERROR(AVERAGE(Tabel1[[#This Row],[Up - R1a]:[Up - R1c]]),"")</f>
        <v>2.6666666666666665</v>
      </c>
      <c r="AC84" s="14">
        <v>2</v>
      </c>
      <c r="AD84" s="14">
        <v>2</v>
      </c>
      <c r="AE84" s="14">
        <v>2</v>
      </c>
      <c r="AF84" s="14">
        <v>4</v>
      </c>
      <c r="AG84" s="14">
        <f>IFERROR(AVERAGE(Tabel1[[#This Row],[Up - R1]:[Up - R5]]),"")</f>
        <v>2.5333333333333332</v>
      </c>
      <c r="AH84" s="14">
        <v>2</v>
      </c>
      <c r="AI84" s="14">
        <v>2</v>
      </c>
      <c r="AJ84" s="14">
        <v>1</v>
      </c>
      <c r="AK84" s="14">
        <f>IFERROR(AVERAGE(Tabel1[[#This Row],[Up - C1a]:[Up - C1c]]),"")</f>
        <v>1.6666666666666667</v>
      </c>
      <c r="AL84" s="14">
        <v>1</v>
      </c>
      <c r="AM84" s="14">
        <v>1</v>
      </c>
      <c r="AN84" s="14">
        <v>2</v>
      </c>
      <c r="AO84" s="14">
        <f>IFERROR(AVERAGE(Tabel1[[#This Row],[Up - C1]:[Up - C4]]),"")</f>
        <v>1.4166666666666667</v>
      </c>
      <c r="AP84" s="14">
        <v>4</v>
      </c>
      <c r="AQ84" s="14">
        <f>IFERROR(AVERAGE(Tabel1[[#This Row],[Up - F1a]:[Up - F1a]]),"")</f>
        <v>4</v>
      </c>
      <c r="AR84" s="14">
        <v>2</v>
      </c>
      <c r="AS84" s="14">
        <v>2</v>
      </c>
      <c r="AT84" s="14">
        <f>IFERROR(AVERAGE(Tabel1[[#This Row],[Up - F2a]:[Up - F2b]]),"")</f>
        <v>2</v>
      </c>
      <c r="AU84" s="14">
        <v>3</v>
      </c>
      <c r="AV84" s="14">
        <v>2</v>
      </c>
      <c r="AW84" s="14">
        <f>IFERROR(AVERAGE(Tabel1[[#This Row],[Up - F3a]:[Up - F3b]]),"")</f>
        <v>2.5</v>
      </c>
      <c r="AX84" s="14">
        <v>3</v>
      </c>
      <c r="AY84" s="14">
        <f>IFERROR(AVERAGE(Tabel1[[#This Row],[Up - F1]],Tabel1[[#This Row],[Up - F2]],Tabel1[[#This Row],[Up - F3]],Tabel1[[#This Row],[Up - F4]]),"")</f>
        <v>2.875</v>
      </c>
      <c r="AZ84" s="14">
        <v>1</v>
      </c>
      <c r="BA84" s="14">
        <v>2</v>
      </c>
      <c r="BB84" s="14">
        <f>IFERROR(AVERAGE(Tabel1[[#This Row],[Up - V1a]:[Up - V1b]]),"")</f>
        <v>1.5</v>
      </c>
      <c r="BC84" s="14">
        <v>2</v>
      </c>
      <c r="BD84" s="14">
        <v>1</v>
      </c>
      <c r="BE84" s="14">
        <v>3</v>
      </c>
      <c r="BF84" s="14">
        <f>IFERROR(AVERAGE(Tabel1[[#This Row],[Up - V2a]:[Up - V2c]]),"")</f>
        <v>2</v>
      </c>
      <c r="BG84" s="14">
        <v>1</v>
      </c>
      <c r="BH84" s="14">
        <v>1</v>
      </c>
      <c r="BI84" s="14">
        <f>IFERROR(AVERAGE(Tabel1[[#This Row],[Up - V3a]:[Up - V3b]]),"")</f>
        <v>1</v>
      </c>
      <c r="BJ84" s="14">
        <v>2</v>
      </c>
      <c r="BK84" s="14">
        <f>IFERROR(AVERAGE(Tabel1[[#This Row],[Up - V1]],Tabel1[[#This Row],[Up - V2]],Tabel1[[#This Row],[Up - V3]],Tabel1[[#This Row],[Up - V4]]),"")</f>
        <v>1.625</v>
      </c>
      <c r="BL84" s="14">
        <v>3</v>
      </c>
      <c r="BM84" s="14">
        <v>3</v>
      </c>
      <c r="BN84" s="14">
        <v>2</v>
      </c>
      <c r="BO84" s="14" t="s">
        <v>189</v>
      </c>
      <c r="BP84" s="14">
        <f>IFERROR(AVERAGE(Tabel1[[#This Row],[Up - A1a]:[Up - A1d]]),"")</f>
        <v>2.6666666666666665</v>
      </c>
      <c r="BQ84" s="14">
        <v>3</v>
      </c>
      <c r="BR84" s="14">
        <v>2</v>
      </c>
      <c r="BS84" s="14">
        <f>IFERROR(AVERAGE(Tabel1[[#This Row],[Up - A2a]:[Up - A2b]]),"")</f>
        <v>2.5</v>
      </c>
      <c r="BT84" s="14">
        <v>2</v>
      </c>
      <c r="BU84" s="14">
        <f>IFERROR(AVERAGE(Tabel1[[#This Row],[Up - A3a]:[Up - A3a]]),"")</f>
        <v>2</v>
      </c>
      <c r="BV84" s="14">
        <v>2</v>
      </c>
      <c r="BW84" s="14">
        <f>IFERROR(AVERAGE(Tabel1[[#This Row],[Up - A1]],Tabel1[[#This Row],[Up - A2]],Tabel1[[#This Row],[Up - A3]]),"")</f>
        <v>2.3888888888888888</v>
      </c>
      <c r="BX84" s="14" t="s">
        <v>189</v>
      </c>
      <c r="BY84" s="14">
        <v>2</v>
      </c>
      <c r="BZ84" s="14">
        <f>IFERROR(AVERAGE(Tabel1[[#This Row],[In - R1a]:[In - R1b]]),"")</f>
        <v>2</v>
      </c>
      <c r="CA84" s="14">
        <v>3</v>
      </c>
      <c r="CB84" s="14">
        <v>3</v>
      </c>
      <c r="CC84" s="14" t="s">
        <v>189</v>
      </c>
      <c r="CD84" s="14">
        <v>4</v>
      </c>
      <c r="CE84" s="14">
        <f>IFERROR(AVERAGE(Tabel1[[#This Row],[In - R1]:[In - R5]]),"")</f>
        <v>3</v>
      </c>
      <c r="CF84" s="14">
        <v>4</v>
      </c>
      <c r="CG84" s="14">
        <v>2</v>
      </c>
      <c r="CH84" s="14">
        <v>3</v>
      </c>
      <c r="CI84" s="14">
        <f>IFERROR(AVERAGE(Tabel1[[#This Row],[In - C1a]:[In - C1c]]),"")</f>
        <v>3</v>
      </c>
      <c r="CJ84" s="14">
        <v>2</v>
      </c>
      <c r="CK84" s="14">
        <v>3</v>
      </c>
      <c r="CL84" s="14">
        <v>2</v>
      </c>
      <c r="CM84" s="14">
        <f>IFERROR(AVERAGE(Tabel1[[#This Row],[In - C1]:[In - C4]]),"")</f>
        <v>2.5</v>
      </c>
      <c r="CN84" s="14">
        <v>1</v>
      </c>
      <c r="CO84" s="14">
        <v>1</v>
      </c>
      <c r="CP84" s="14">
        <v>1</v>
      </c>
      <c r="CQ84" s="14">
        <f>IFERROR(AVERAGE(Tabel1[[#This Row],[In - F1a]:[In - F1c]]),"")</f>
        <v>1</v>
      </c>
      <c r="CR84" s="14">
        <v>4</v>
      </c>
      <c r="CS84" s="14">
        <v>1</v>
      </c>
      <c r="CT84" s="14">
        <f>IFERROR(AVERAGE(Tabel1[[#This Row],[In - F2a]:[In - F2b]]),"")</f>
        <v>2.5</v>
      </c>
      <c r="CU84" s="14">
        <v>1</v>
      </c>
      <c r="CV84" s="14">
        <f>IFERROR(AVERAGE(Tabel1[[#This Row],[In - F3a]:[In - F3a]]),"")</f>
        <v>1</v>
      </c>
      <c r="CW84" s="14">
        <v>1</v>
      </c>
      <c r="CX84" s="14">
        <f>IFERROR(AVERAGE(Tabel1[[#This Row],[In - F1]],Tabel1[[#This Row],[In - F2]],Tabel1[[#This Row],[In - F3]],Tabel1[[#This Row],[In - F4]]),"")</f>
        <v>1.375</v>
      </c>
      <c r="CY84" s="14">
        <v>2</v>
      </c>
      <c r="CZ84" s="14">
        <v>2</v>
      </c>
      <c r="DA84" s="14">
        <v>1</v>
      </c>
      <c r="DB84" s="14">
        <f>IFERROR(AVERAGE(Tabel1[[#This Row],[In - V1a]:[In - V1c]]),"")</f>
        <v>1.6666666666666667</v>
      </c>
      <c r="DC84" s="14">
        <v>2</v>
      </c>
      <c r="DD84" s="14">
        <v>2</v>
      </c>
      <c r="DE84" s="14">
        <v>3</v>
      </c>
      <c r="DF84" s="14">
        <f>IFERROR(AVERAGE(Tabel1[[#This Row],[In - V2a]:[In - V2c]]),"")</f>
        <v>2.3333333333333335</v>
      </c>
      <c r="DG84" s="14">
        <v>1</v>
      </c>
      <c r="DH84" s="14">
        <v>4</v>
      </c>
      <c r="DI84" s="14">
        <f>IFERROR(AVERAGE(Tabel1[[#This Row],[In - V3a]:[In - V3b]]),"")</f>
        <v>2.5</v>
      </c>
      <c r="DJ84" s="14">
        <v>3</v>
      </c>
      <c r="DK84" s="14">
        <f>IFERROR(AVERAGE(Tabel1[[#This Row],[In - V1]],Tabel1[[#This Row],[In - V2]],Tabel1[[#This Row],[In - V3]],Tabel1[[#This Row],[In - V4]]),"")</f>
        <v>2.375</v>
      </c>
      <c r="DL84" s="14">
        <v>3</v>
      </c>
      <c r="DM84" s="14">
        <v>2</v>
      </c>
      <c r="DN84" s="14">
        <f>IFERROR(AVERAGE(Tabel1[[#This Row],[In - A1a]:[In - A1b]]),"")</f>
        <v>2.5</v>
      </c>
      <c r="DO84" s="14" t="s">
        <v>189</v>
      </c>
      <c r="DP84" s="14">
        <v>2</v>
      </c>
      <c r="DQ84" s="14">
        <f>IFERROR(AVERAGE(Tabel1[[#This Row],[In - A2a]:[In - A2b]]),"")</f>
        <v>2</v>
      </c>
      <c r="DR84" s="14">
        <v>1</v>
      </c>
      <c r="DS84" s="14" t="s">
        <v>189</v>
      </c>
      <c r="DT84" s="14">
        <f>IFERROR(AVERAGE(Tabel1[[#This Row],[In - A3a]:[In - A3a]]),"")</f>
        <v>1</v>
      </c>
      <c r="DU84" s="14">
        <v>2</v>
      </c>
      <c r="DV84" s="14">
        <f>IFERROR(AVERAGE(Tabel1[[#This Row],[In - A1]],Tabel1[[#This Row],[In - A2]],Tabel1[[#This Row],[In - A3]],Tabel1[[#This Row],[In - A4]]),"")</f>
        <v>1.875</v>
      </c>
      <c r="DW84" s="14">
        <v>4</v>
      </c>
      <c r="DX84" s="14" t="s">
        <v>189</v>
      </c>
      <c r="DY84" s="14" t="s">
        <v>189</v>
      </c>
      <c r="DZ84" s="14">
        <f>IFERROR(AVERAGE(Tabel1[[#This Row],[Do - R1a]:[Do - R1c]]),"")</f>
        <v>4</v>
      </c>
      <c r="EA84" s="14" t="s">
        <v>189</v>
      </c>
      <c r="EB84" s="14" t="s">
        <v>189</v>
      </c>
      <c r="EC84" s="14">
        <v>3</v>
      </c>
      <c r="ED84" s="14" t="s">
        <v>189</v>
      </c>
      <c r="EE84" s="14">
        <f>IFERROR(AVERAGE(Tabel1[[#This Row],[Do - R1]:[Do - R5]]),"")</f>
        <v>3.5</v>
      </c>
      <c r="EF84" s="14">
        <v>3</v>
      </c>
      <c r="EG84" s="14">
        <v>3</v>
      </c>
      <c r="EH84" s="14">
        <v>2</v>
      </c>
      <c r="EI84" s="14">
        <f>IFERROR(AVERAGE(Tabel1[[#This Row],[Do - C1a]:[Do - C1c]]),"")</f>
        <v>2.6666666666666665</v>
      </c>
      <c r="EJ84" s="14">
        <v>2</v>
      </c>
      <c r="EK84" s="14">
        <v>3</v>
      </c>
      <c r="EL84" s="14">
        <v>2</v>
      </c>
      <c r="EM84" s="14">
        <f>IFERROR(AVERAGE(Tabel1[[#This Row],[Do - C1]:[Do - C4]]),"")</f>
        <v>2.4166666666666665</v>
      </c>
      <c r="EN84" s="14">
        <v>3</v>
      </c>
      <c r="EO84" s="14">
        <v>1</v>
      </c>
      <c r="EP84" s="14">
        <v>1</v>
      </c>
      <c r="EQ84" s="14">
        <f>IFERROR(AVERAGE(Tabel1[[#This Row],[Do - F1a]:[Do - F1c]]),"")</f>
        <v>1.6666666666666667</v>
      </c>
      <c r="ER84" s="14">
        <v>2</v>
      </c>
      <c r="ES84" s="14">
        <f>IFERROR(AVERAGE(Tabel1[[#This Row],[Do - F2a]:[Do - F2a]]),"")</f>
        <v>2</v>
      </c>
      <c r="ET84" s="14" t="s">
        <v>189</v>
      </c>
      <c r="EU84" s="14" t="s">
        <v>189</v>
      </c>
      <c r="EV84" s="14" t="str">
        <f>IFERROR(AVERAGE(Tabel1[[#This Row],[Do - F3a]:[Do - F3b]]),"")</f>
        <v/>
      </c>
      <c r="EW84" s="14" t="s">
        <v>189</v>
      </c>
      <c r="EX84" s="14">
        <f>IFERROR(AVERAGE(Tabel1[[#This Row],[Do - F1]],Tabel1[[#This Row],[Do - F2]],Tabel1[[#This Row],[Do - F3]],Tabel1[[#This Row],[Do - F4]]),"")</f>
        <v>1.8333333333333335</v>
      </c>
      <c r="EY84" s="14">
        <v>2</v>
      </c>
      <c r="EZ84" s="14">
        <v>2</v>
      </c>
      <c r="FA84" s="14" t="s">
        <v>189</v>
      </c>
      <c r="FB84" s="14">
        <f>IFERROR(AVERAGE(Tabel1[[#This Row],[Do - V1a]:[Do - V1c]]),"")</f>
        <v>2</v>
      </c>
      <c r="FC84" s="14" t="s">
        <v>189</v>
      </c>
      <c r="FD84" s="14">
        <v>2</v>
      </c>
      <c r="FE84" s="14">
        <f>IFERROR(AVERAGE(Tabel1[[#This Row],[Do - V2a]:[Do - V2b]]),"")</f>
        <v>2</v>
      </c>
      <c r="FF84" s="14">
        <v>2</v>
      </c>
      <c r="FG84" s="14">
        <f>IFERROR(AVERAGE(Tabel1[[#This Row],[Do - V3a]:[Do - V3a]]),"")</f>
        <v>2</v>
      </c>
      <c r="FH84" s="14" t="s">
        <v>189</v>
      </c>
      <c r="FI84" s="14">
        <f>IFERROR(AVERAGE(Tabel1[[#This Row],[Do - V1]],Tabel1[[#This Row],[Do - V2]],Tabel1[[#This Row],[Do - V3]],Tabel1[[#This Row],[Do - V4]]),"")</f>
        <v>2</v>
      </c>
      <c r="FJ84" s="14">
        <v>3</v>
      </c>
      <c r="FK84" s="14">
        <v>1</v>
      </c>
      <c r="FL84" s="14" t="s">
        <v>189</v>
      </c>
      <c r="FM84" s="14">
        <f>IFERROR(AVERAGE(Tabel1[[#This Row],[Do - A1a]:[Do - A1c]]),"")</f>
        <v>2</v>
      </c>
      <c r="FN84" s="14" t="s">
        <v>189</v>
      </c>
      <c r="FO84" s="14" t="s">
        <v>189</v>
      </c>
      <c r="FP84" s="14" t="str">
        <f>IFERROR(AVERAGE(Tabel1[[#This Row],[Do - A2a]:[Do - A2b]]),"")</f>
        <v/>
      </c>
      <c r="FQ84" s="14">
        <v>1</v>
      </c>
      <c r="FR84" s="14">
        <f>IFERROR(AVERAGE(Tabel1[[#This Row],[Do - A3a]:[Do - A3a]]),"")</f>
        <v>1</v>
      </c>
      <c r="FS84" s="14" t="s">
        <v>189</v>
      </c>
      <c r="FT84" s="14">
        <f>IFERROR(AVERAGE(Tabel1[[#This Row],[Do - A1]],Tabel1[[#This Row],[Do - A2]],Tabel1[[#This Row],[Do - A3]],Tabel1[[#This Row],[Do - A4]]),"")</f>
        <v>1.5</v>
      </c>
      <c r="FU8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2.2142592592592591</v>
      </c>
      <c r="FV84" s="16" t="s">
        <v>611</v>
      </c>
      <c r="FW84" t="b">
        <v>1</v>
      </c>
    </row>
    <row r="85" spans="1:179" x14ac:dyDescent="0.3">
      <c r="A85" s="13">
        <v>44952.559629629628</v>
      </c>
      <c r="B85" t="b">
        <v>0</v>
      </c>
      <c r="C85" s="14" t="s">
        <v>612</v>
      </c>
      <c r="D85" s="14" t="s">
        <v>613</v>
      </c>
      <c r="E85" s="14" t="s">
        <v>614</v>
      </c>
      <c r="F85" s="14" t="s">
        <v>184</v>
      </c>
      <c r="G85" s="14" t="s">
        <v>615</v>
      </c>
      <c r="H85" s="14" t="s">
        <v>222</v>
      </c>
      <c r="I85" s="14" t="s">
        <v>195</v>
      </c>
      <c r="J85" s="14" t="s">
        <v>406</v>
      </c>
      <c r="K85" s="14" t="s">
        <v>201</v>
      </c>
      <c r="L85" s="14" t="s">
        <v>197</v>
      </c>
      <c r="M85" s="14" t="s">
        <v>188</v>
      </c>
      <c r="N85" s="14" t="s">
        <v>479</v>
      </c>
      <c r="O85" s="14" t="s">
        <v>200</v>
      </c>
      <c r="P85" s="17" t="s">
        <v>255</v>
      </c>
      <c r="Q85" s="17" t="s">
        <v>304</v>
      </c>
      <c r="R85" s="17" t="s">
        <v>304</v>
      </c>
      <c r="S85" s="17" t="s">
        <v>255</v>
      </c>
      <c r="T85" s="14" t="s">
        <v>204</v>
      </c>
      <c r="U85" s="14" t="s">
        <v>205</v>
      </c>
      <c r="V85" s="14" t="s">
        <v>224</v>
      </c>
      <c r="W85" s="14" t="s">
        <v>395</v>
      </c>
      <c r="X85" s="14" t="s">
        <v>395</v>
      </c>
      <c r="Y85" s="14">
        <v>3</v>
      </c>
      <c r="Z85" s="14">
        <v>4</v>
      </c>
      <c r="AA85" s="14">
        <v>4</v>
      </c>
      <c r="AB85" s="15">
        <f>IFERROR(AVERAGE(Tabel1[[#This Row],[Up - R1a]:[Up - R1c]]),"")</f>
        <v>3.6666666666666665</v>
      </c>
      <c r="AC85" s="14">
        <v>2</v>
      </c>
      <c r="AD85" s="14">
        <v>3</v>
      </c>
      <c r="AE85" s="14">
        <v>2</v>
      </c>
      <c r="AF85" s="14">
        <v>2</v>
      </c>
      <c r="AG85" s="14">
        <f>IFERROR(AVERAGE(Tabel1[[#This Row],[Up - R1]:[Up - R5]]),"")</f>
        <v>2.5333333333333332</v>
      </c>
      <c r="AH85" s="14">
        <v>4</v>
      </c>
      <c r="AI85" s="14">
        <v>3</v>
      </c>
      <c r="AJ85" s="14">
        <v>4</v>
      </c>
      <c r="AK85" s="14">
        <f>IFERROR(AVERAGE(Tabel1[[#This Row],[Up - C1a]:[Up - C1c]]),"")</f>
        <v>3.6666666666666665</v>
      </c>
      <c r="AL85" s="14">
        <v>5</v>
      </c>
      <c r="AM85" s="14">
        <v>3</v>
      </c>
      <c r="AN85" s="14">
        <v>2</v>
      </c>
      <c r="AO85" s="14">
        <f>IFERROR(AVERAGE(Tabel1[[#This Row],[Up - C1]:[Up - C4]]),"")</f>
        <v>3.4166666666666665</v>
      </c>
      <c r="AP85" s="14">
        <v>4</v>
      </c>
      <c r="AQ85" s="14">
        <f>IFERROR(AVERAGE(Tabel1[[#This Row],[Up - F1a]:[Up - F1a]]),"")</f>
        <v>4</v>
      </c>
      <c r="AR85" s="14">
        <v>1</v>
      </c>
      <c r="AS85" s="14">
        <v>2</v>
      </c>
      <c r="AT85" s="14">
        <f>IFERROR(AVERAGE(Tabel1[[#This Row],[Up - F2a]:[Up - F2b]]),"")</f>
        <v>1.5</v>
      </c>
      <c r="AU85" s="14">
        <v>2</v>
      </c>
      <c r="AV85" s="14">
        <v>5</v>
      </c>
      <c r="AW85" s="14">
        <f>IFERROR(AVERAGE(Tabel1[[#This Row],[Up - F3a]:[Up - F3b]]),"")</f>
        <v>3.5</v>
      </c>
      <c r="AX85" s="14">
        <v>1</v>
      </c>
      <c r="AY85" s="14">
        <f>IFERROR(AVERAGE(Tabel1[[#This Row],[Up - F1]],Tabel1[[#This Row],[Up - F2]],Tabel1[[#This Row],[Up - F3]],Tabel1[[#This Row],[Up - F4]]),"")</f>
        <v>2.5</v>
      </c>
      <c r="AZ85" s="14">
        <v>4</v>
      </c>
      <c r="BA85" s="14">
        <v>4</v>
      </c>
      <c r="BB85" s="14">
        <f>IFERROR(AVERAGE(Tabel1[[#This Row],[Up - V1a]:[Up - V1b]]),"")</f>
        <v>4</v>
      </c>
      <c r="BC85" s="14">
        <v>2</v>
      </c>
      <c r="BD85" s="14">
        <v>3</v>
      </c>
      <c r="BE85" s="14">
        <v>4</v>
      </c>
      <c r="BF85" s="14">
        <f>IFERROR(AVERAGE(Tabel1[[#This Row],[Up - V2a]:[Up - V2c]]),"")</f>
        <v>3</v>
      </c>
      <c r="BG85" s="14">
        <v>3</v>
      </c>
      <c r="BH85" s="14">
        <v>4</v>
      </c>
      <c r="BI85" s="14">
        <f>IFERROR(AVERAGE(Tabel1[[#This Row],[Up - V3a]:[Up - V3b]]),"")</f>
        <v>3.5</v>
      </c>
      <c r="BJ85" s="14">
        <v>5</v>
      </c>
      <c r="BK85" s="14">
        <f>IFERROR(AVERAGE(Tabel1[[#This Row],[Up - V1]],Tabel1[[#This Row],[Up - V2]],Tabel1[[#This Row],[Up - V3]],Tabel1[[#This Row],[Up - V4]]),"")</f>
        <v>3.875</v>
      </c>
      <c r="BL85" s="14">
        <v>4</v>
      </c>
      <c r="BM85" s="14">
        <v>5</v>
      </c>
      <c r="BN85" s="14">
        <v>4</v>
      </c>
      <c r="BO85" s="14">
        <v>4</v>
      </c>
      <c r="BP85" s="14">
        <f>IFERROR(AVERAGE(Tabel1[[#This Row],[Up - A1a]:[Up - A1d]]),"")</f>
        <v>4.25</v>
      </c>
      <c r="BQ85" s="14">
        <v>3</v>
      </c>
      <c r="BR85" s="14">
        <v>2</v>
      </c>
      <c r="BS85" s="14">
        <f>IFERROR(AVERAGE(Tabel1[[#This Row],[Up - A2a]:[Up - A2b]]),"")</f>
        <v>2.5</v>
      </c>
      <c r="BT85" s="14">
        <v>5</v>
      </c>
      <c r="BU85" s="14">
        <f>IFERROR(AVERAGE(Tabel1[[#This Row],[Up - A3a]:[Up - A3a]]),"")</f>
        <v>5</v>
      </c>
      <c r="BV85" s="14">
        <v>4</v>
      </c>
      <c r="BW85" s="14">
        <f>IFERROR(AVERAGE(Tabel1[[#This Row],[Up - A1]],Tabel1[[#This Row],[Up - A2]],Tabel1[[#This Row],[Up - A3]]),"")</f>
        <v>3.9166666666666665</v>
      </c>
      <c r="BX85" s="14">
        <v>3</v>
      </c>
      <c r="BY85" s="14" t="s">
        <v>189</v>
      </c>
      <c r="BZ85" s="14">
        <f>IFERROR(AVERAGE(Tabel1[[#This Row],[In - R1a]:[In - R1b]]),"")</f>
        <v>3</v>
      </c>
      <c r="CA85" s="14">
        <v>2</v>
      </c>
      <c r="CB85" s="14" t="s">
        <v>189</v>
      </c>
      <c r="CC85" s="14">
        <v>4</v>
      </c>
      <c r="CD85" s="14">
        <v>3</v>
      </c>
      <c r="CE85" s="14">
        <f>IFERROR(AVERAGE(Tabel1[[#This Row],[In - R1]:[In - R5]]),"")</f>
        <v>3</v>
      </c>
      <c r="CF85" s="14">
        <v>4</v>
      </c>
      <c r="CG85" s="14">
        <v>4</v>
      </c>
      <c r="CH85" s="14">
        <v>5</v>
      </c>
      <c r="CI85" s="14">
        <f>IFERROR(AVERAGE(Tabel1[[#This Row],[In - C1a]:[In - C1c]]),"")</f>
        <v>4.333333333333333</v>
      </c>
      <c r="CJ85" s="14">
        <v>5</v>
      </c>
      <c r="CK85" s="14">
        <v>3</v>
      </c>
      <c r="CL85" s="14">
        <v>4</v>
      </c>
      <c r="CM85" s="14">
        <f>IFERROR(AVERAGE(Tabel1[[#This Row],[In - C1]:[In - C4]]),"")</f>
        <v>4.083333333333333</v>
      </c>
      <c r="CN85" s="14">
        <v>1</v>
      </c>
      <c r="CO85" s="14">
        <v>1</v>
      </c>
      <c r="CP85" s="14">
        <v>1</v>
      </c>
      <c r="CQ85" s="14">
        <f>IFERROR(AVERAGE(Tabel1[[#This Row],[In - F1a]:[In - F1c]]),"")</f>
        <v>1</v>
      </c>
      <c r="CR85" s="14" t="s">
        <v>189</v>
      </c>
      <c r="CS85" s="14">
        <v>1</v>
      </c>
      <c r="CT85" s="14">
        <f>IFERROR(AVERAGE(Tabel1[[#This Row],[In - F2a]:[In - F2b]]),"")</f>
        <v>1</v>
      </c>
      <c r="CU85" s="14">
        <v>2</v>
      </c>
      <c r="CV85" s="14">
        <f>IFERROR(AVERAGE(Tabel1[[#This Row],[In - F3a]:[In - F3a]]),"")</f>
        <v>2</v>
      </c>
      <c r="CW85" s="14">
        <v>3</v>
      </c>
      <c r="CX85" s="14">
        <f>IFERROR(AVERAGE(Tabel1[[#This Row],[In - F1]],Tabel1[[#This Row],[In - F2]],Tabel1[[#This Row],[In - F3]],Tabel1[[#This Row],[In - F4]]),"")</f>
        <v>1.75</v>
      </c>
      <c r="CY85" s="14">
        <v>5</v>
      </c>
      <c r="CZ85" s="14">
        <v>4</v>
      </c>
      <c r="DA85" s="14">
        <v>5</v>
      </c>
      <c r="DB85" s="14">
        <f>IFERROR(AVERAGE(Tabel1[[#This Row],[In - V1a]:[In - V1c]]),"")</f>
        <v>4.666666666666667</v>
      </c>
      <c r="DC85" s="14">
        <v>4</v>
      </c>
      <c r="DD85" s="14">
        <v>4</v>
      </c>
      <c r="DE85" s="14">
        <v>4</v>
      </c>
      <c r="DF85" s="14">
        <f>IFERROR(AVERAGE(Tabel1[[#This Row],[In - V2a]:[In - V2c]]),"")</f>
        <v>4</v>
      </c>
      <c r="DG85" s="14">
        <v>5</v>
      </c>
      <c r="DH85" s="14">
        <v>5</v>
      </c>
      <c r="DI85" s="14">
        <f>IFERROR(AVERAGE(Tabel1[[#This Row],[In - V3a]:[In - V3b]]),"")</f>
        <v>5</v>
      </c>
      <c r="DJ85" s="14">
        <v>5</v>
      </c>
      <c r="DK85" s="14">
        <f>IFERROR(AVERAGE(Tabel1[[#This Row],[In - V1]],Tabel1[[#This Row],[In - V2]],Tabel1[[#This Row],[In - V3]],Tabel1[[#This Row],[In - V4]]),"")</f>
        <v>4.666666666666667</v>
      </c>
      <c r="DL85" s="14">
        <v>5</v>
      </c>
      <c r="DM85" s="14" t="s">
        <v>189</v>
      </c>
      <c r="DN85" s="14">
        <f>IFERROR(AVERAGE(Tabel1[[#This Row],[In - A1a]:[In - A1b]]),"")</f>
        <v>5</v>
      </c>
      <c r="DO85" s="14">
        <v>5</v>
      </c>
      <c r="DP85" s="14">
        <v>5</v>
      </c>
      <c r="DQ85" s="14">
        <f>IFERROR(AVERAGE(Tabel1[[#This Row],[In - A2a]:[In - A2b]]),"")</f>
        <v>5</v>
      </c>
      <c r="DR85" s="14">
        <v>4</v>
      </c>
      <c r="DS85" s="14">
        <v>4</v>
      </c>
      <c r="DT85" s="14">
        <f>IFERROR(AVERAGE(Tabel1[[#This Row],[In - A3a]:[In - A3a]]),"")</f>
        <v>4</v>
      </c>
      <c r="DU85" s="14">
        <v>4</v>
      </c>
      <c r="DV85" s="14">
        <f>IFERROR(AVERAGE(Tabel1[[#This Row],[In - A1]],Tabel1[[#This Row],[In - A2]],Tabel1[[#This Row],[In - A3]],Tabel1[[#This Row],[In - A4]]),"")</f>
        <v>4.5</v>
      </c>
      <c r="DW85" s="14">
        <v>1</v>
      </c>
      <c r="DX85" s="14">
        <v>2</v>
      </c>
      <c r="DY85" s="14">
        <v>1</v>
      </c>
      <c r="DZ85" s="14">
        <f>IFERROR(AVERAGE(Tabel1[[#This Row],[Do - R1a]:[Do - R1c]]),"")</f>
        <v>1.3333333333333333</v>
      </c>
      <c r="EA85" s="14">
        <v>2</v>
      </c>
      <c r="EB85" s="14">
        <v>3</v>
      </c>
      <c r="EC85" s="14">
        <v>4</v>
      </c>
      <c r="ED85" s="14">
        <v>4</v>
      </c>
      <c r="EE85" s="14">
        <f>IFERROR(AVERAGE(Tabel1[[#This Row],[Do - R1]:[Do - R5]]),"")</f>
        <v>2.8666666666666663</v>
      </c>
      <c r="EF85" s="14">
        <v>4</v>
      </c>
      <c r="EG85" s="14">
        <v>3</v>
      </c>
      <c r="EH85" s="14">
        <v>2</v>
      </c>
      <c r="EI85" s="14">
        <f>IFERROR(AVERAGE(Tabel1[[#This Row],[Do - C1a]:[Do - C1c]]),"")</f>
        <v>3</v>
      </c>
      <c r="EJ85" s="14">
        <v>3</v>
      </c>
      <c r="EK85" s="14">
        <v>3</v>
      </c>
      <c r="EL85" s="14">
        <v>2</v>
      </c>
      <c r="EM85" s="14">
        <f>IFERROR(AVERAGE(Tabel1[[#This Row],[Do - C1]:[Do - C4]]),"")</f>
        <v>2.75</v>
      </c>
      <c r="EN85" s="14">
        <v>5</v>
      </c>
      <c r="EO85" s="14">
        <v>2</v>
      </c>
      <c r="EP85" s="14">
        <v>1</v>
      </c>
      <c r="EQ85" s="14">
        <f>IFERROR(AVERAGE(Tabel1[[#This Row],[Do - F1a]:[Do - F1c]]),"")</f>
        <v>2.6666666666666665</v>
      </c>
      <c r="ER85" s="14">
        <v>5</v>
      </c>
      <c r="ES85" s="14">
        <f>IFERROR(AVERAGE(Tabel1[[#This Row],[Do - F2a]:[Do - F2a]]),"")</f>
        <v>5</v>
      </c>
      <c r="ET85" s="14">
        <v>2</v>
      </c>
      <c r="EU85" s="14">
        <v>2</v>
      </c>
      <c r="EV85" s="14">
        <f>IFERROR(AVERAGE(Tabel1[[#This Row],[Do - F3a]:[Do - F3b]]),"")</f>
        <v>2</v>
      </c>
      <c r="EW85" s="14">
        <v>1</v>
      </c>
      <c r="EX85" s="14">
        <f>IFERROR(AVERAGE(Tabel1[[#This Row],[Do - F1]],Tabel1[[#This Row],[Do - F2]],Tabel1[[#This Row],[Do - F3]],Tabel1[[#This Row],[Do - F4]]),"")</f>
        <v>2.6666666666666665</v>
      </c>
      <c r="EY85" s="14">
        <v>3</v>
      </c>
      <c r="EZ85" s="14">
        <v>1</v>
      </c>
      <c r="FA85" s="14">
        <v>4</v>
      </c>
      <c r="FB85" s="14">
        <f>IFERROR(AVERAGE(Tabel1[[#This Row],[Do - V1a]:[Do - V1c]]),"")</f>
        <v>2.6666666666666665</v>
      </c>
      <c r="FC85" s="14">
        <v>2</v>
      </c>
      <c r="FD85" s="14">
        <v>3</v>
      </c>
      <c r="FE85" s="14">
        <f>IFERROR(AVERAGE(Tabel1[[#This Row],[Do - V2a]:[Do - V2b]]),"")</f>
        <v>2.5</v>
      </c>
      <c r="FF85" s="14">
        <v>4</v>
      </c>
      <c r="FG85" s="14">
        <f>IFERROR(AVERAGE(Tabel1[[#This Row],[Do - V3a]:[Do - V3a]]),"")</f>
        <v>4</v>
      </c>
      <c r="FH85" s="14">
        <v>5</v>
      </c>
      <c r="FI85" s="14">
        <f>IFERROR(AVERAGE(Tabel1[[#This Row],[Do - V1]],Tabel1[[#This Row],[Do - V2]],Tabel1[[#This Row],[Do - V3]],Tabel1[[#This Row],[Do - V4]]),"")</f>
        <v>3.5416666666666665</v>
      </c>
      <c r="FJ85" s="14">
        <v>5</v>
      </c>
      <c r="FK85" s="14" t="s">
        <v>189</v>
      </c>
      <c r="FL85" s="14">
        <v>5</v>
      </c>
      <c r="FM85" s="14">
        <f>IFERROR(AVERAGE(Tabel1[[#This Row],[Do - A1a]:[Do - A1c]]),"")</f>
        <v>5</v>
      </c>
      <c r="FN85" s="14" t="s">
        <v>189</v>
      </c>
      <c r="FO85" s="14">
        <v>4</v>
      </c>
      <c r="FP85" s="14">
        <f>IFERROR(AVERAGE(Tabel1[[#This Row],[Do - A2a]:[Do - A2b]]),"")</f>
        <v>4</v>
      </c>
      <c r="FQ85" s="14">
        <v>5</v>
      </c>
      <c r="FR85" s="14">
        <f>IFERROR(AVERAGE(Tabel1[[#This Row],[Do - A3a]:[Do - A3a]]),"")</f>
        <v>5</v>
      </c>
      <c r="FS85" s="14">
        <v>4</v>
      </c>
      <c r="FT85" s="14">
        <f>IFERROR(AVERAGE(Tabel1[[#This Row],[Do - A1]],Tabel1[[#This Row],[Do - A2]],Tabel1[[#This Row],[Do - A3]],Tabel1[[#This Row],[Do - A4]]),"")</f>
        <v>4.5</v>
      </c>
      <c r="FU8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3.3711111111111109</v>
      </c>
      <c r="FV85" s="16" t="s">
        <v>616</v>
      </c>
      <c r="FW85" t="b">
        <v>1</v>
      </c>
    </row>
    <row r="86" spans="1:179" x14ac:dyDescent="0.3">
      <c r="A86" s="13">
        <v>44953.751608796294</v>
      </c>
      <c r="B86" t="b">
        <v>0</v>
      </c>
      <c r="C86" s="14" t="s">
        <v>617</v>
      </c>
      <c r="D86" s="14" t="s">
        <v>618</v>
      </c>
      <c r="E86" s="14" t="s">
        <v>619</v>
      </c>
      <c r="F86" s="14" t="s">
        <v>184</v>
      </c>
      <c r="G86" s="14" t="s">
        <v>620</v>
      </c>
      <c r="H86" s="14" t="s">
        <v>222</v>
      </c>
      <c r="I86" s="14" t="s">
        <v>195</v>
      </c>
      <c r="J86" s="14" t="s">
        <v>406</v>
      </c>
      <c r="K86" s="14" t="s">
        <v>235</v>
      </c>
      <c r="L86" s="14" t="s">
        <v>218</v>
      </c>
      <c r="M86" s="14" t="s">
        <v>188</v>
      </c>
      <c r="N86" s="14" t="s">
        <v>199</v>
      </c>
      <c r="O86" s="14" t="s">
        <v>200</v>
      </c>
      <c r="P86" s="17" t="s">
        <v>304</v>
      </c>
      <c r="Q86" s="14" t="s">
        <v>201</v>
      </c>
      <c r="R86" s="14" t="s">
        <v>202</v>
      </c>
      <c r="S86" s="14" t="s">
        <v>235</v>
      </c>
      <c r="T86" s="14" t="s">
        <v>204</v>
      </c>
      <c r="U86" s="14" t="s">
        <v>237</v>
      </c>
      <c r="V86" s="14" t="s">
        <v>484</v>
      </c>
      <c r="W86" s="14" t="s">
        <v>207</v>
      </c>
      <c r="X86" s="14" t="s">
        <v>395</v>
      </c>
      <c r="Y86" s="14">
        <v>3</v>
      </c>
      <c r="Z86" s="14">
        <v>3</v>
      </c>
      <c r="AA86" s="14">
        <v>4</v>
      </c>
      <c r="AB86" s="15">
        <f>IFERROR(AVERAGE(Tabel1[[#This Row],[Up - R1a]:[Up - R1c]]),"")</f>
        <v>3.3333333333333335</v>
      </c>
      <c r="AC86" s="14">
        <v>3</v>
      </c>
      <c r="AD86" s="14">
        <v>5</v>
      </c>
      <c r="AE86" s="14">
        <v>2</v>
      </c>
      <c r="AF86" s="14">
        <v>4</v>
      </c>
      <c r="AG86" s="14">
        <f>IFERROR(AVERAGE(Tabel1[[#This Row],[Up - R1]:[Up - R5]]),"")</f>
        <v>3.4666666666666672</v>
      </c>
      <c r="AH86" s="14">
        <v>3</v>
      </c>
      <c r="AI86" s="14">
        <v>4</v>
      </c>
      <c r="AJ86" s="14">
        <v>2</v>
      </c>
      <c r="AK86" s="14">
        <f>IFERROR(AVERAGE(Tabel1[[#This Row],[Up - C1a]:[Up - C1c]]),"")</f>
        <v>3</v>
      </c>
      <c r="AL86" s="14">
        <v>4</v>
      </c>
      <c r="AM86" s="14">
        <v>3</v>
      </c>
      <c r="AN86" s="14">
        <v>4</v>
      </c>
      <c r="AO86" s="14">
        <f>IFERROR(AVERAGE(Tabel1[[#This Row],[Up - C1]:[Up - C4]]),"")</f>
        <v>3.5</v>
      </c>
      <c r="AP86" s="14">
        <v>4</v>
      </c>
      <c r="AQ86" s="14">
        <f>IFERROR(AVERAGE(Tabel1[[#This Row],[Up - F1a]:[Up - F1a]]),"")</f>
        <v>4</v>
      </c>
      <c r="AR86" s="14">
        <v>3</v>
      </c>
      <c r="AS86" s="14">
        <v>4</v>
      </c>
      <c r="AT86" s="14">
        <f>IFERROR(AVERAGE(Tabel1[[#This Row],[Up - F2a]:[Up - F2b]]),"")</f>
        <v>3.5</v>
      </c>
      <c r="AU86" s="14">
        <v>3</v>
      </c>
      <c r="AV86" s="14">
        <v>2</v>
      </c>
      <c r="AW86" s="14">
        <f>IFERROR(AVERAGE(Tabel1[[#This Row],[Up - F3a]:[Up - F3b]]),"")</f>
        <v>2.5</v>
      </c>
      <c r="AX86" s="14">
        <v>4</v>
      </c>
      <c r="AY86" s="14">
        <f>IFERROR(AVERAGE(Tabel1[[#This Row],[Up - F1]],Tabel1[[#This Row],[Up - F2]],Tabel1[[#This Row],[Up - F3]],Tabel1[[#This Row],[Up - F4]]),"")</f>
        <v>3.5</v>
      </c>
      <c r="AZ86" s="14">
        <v>3</v>
      </c>
      <c r="BA86" s="14">
        <v>5</v>
      </c>
      <c r="BB86" s="14">
        <f>IFERROR(AVERAGE(Tabel1[[#This Row],[Up - V1a]:[Up - V1b]]),"")</f>
        <v>4</v>
      </c>
      <c r="BC86" s="14">
        <v>3</v>
      </c>
      <c r="BD86" s="14">
        <v>3</v>
      </c>
      <c r="BE86" s="14">
        <v>3</v>
      </c>
      <c r="BF86" s="14">
        <f>IFERROR(AVERAGE(Tabel1[[#This Row],[Up - V2a]:[Up - V2c]]),"")</f>
        <v>3</v>
      </c>
      <c r="BG86" s="14">
        <v>2</v>
      </c>
      <c r="BH86" s="14">
        <v>5</v>
      </c>
      <c r="BI86" s="14">
        <f>IFERROR(AVERAGE(Tabel1[[#This Row],[Up - V3a]:[Up - V3b]]),"")</f>
        <v>3.5</v>
      </c>
      <c r="BJ86" s="14">
        <v>4</v>
      </c>
      <c r="BK86" s="14">
        <f>IFERROR(AVERAGE(Tabel1[[#This Row],[Up - V1]],Tabel1[[#This Row],[Up - V2]],Tabel1[[#This Row],[Up - V3]],Tabel1[[#This Row],[Up - V4]]),"")</f>
        <v>3.625</v>
      </c>
      <c r="BL86" s="14">
        <v>4</v>
      </c>
      <c r="BM86" s="14">
        <v>4</v>
      </c>
      <c r="BN86" s="14">
        <v>5</v>
      </c>
      <c r="BO86" s="14">
        <v>4</v>
      </c>
      <c r="BP86" s="14">
        <f>IFERROR(AVERAGE(Tabel1[[#This Row],[Up - A1a]:[Up - A1d]]),"")</f>
        <v>4.25</v>
      </c>
      <c r="BQ86" s="14">
        <v>4</v>
      </c>
      <c r="BR86" s="14">
        <v>3</v>
      </c>
      <c r="BS86" s="14">
        <f>IFERROR(AVERAGE(Tabel1[[#This Row],[Up - A2a]:[Up - A2b]]),"")</f>
        <v>3.5</v>
      </c>
      <c r="BT86" s="14">
        <v>3</v>
      </c>
      <c r="BU86" s="14">
        <f>IFERROR(AVERAGE(Tabel1[[#This Row],[Up - A3a]:[Up - A3a]]),"")</f>
        <v>3</v>
      </c>
      <c r="BV86" s="14">
        <v>4</v>
      </c>
      <c r="BW86" s="14">
        <f>IFERROR(AVERAGE(Tabel1[[#This Row],[Up - A1]],Tabel1[[#This Row],[Up - A2]],Tabel1[[#This Row],[Up - A3]]),"")</f>
        <v>3.5833333333333335</v>
      </c>
      <c r="BX86" s="14">
        <v>3</v>
      </c>
      <c r="BY86" s="14">
        <v>4</v>
      </c>
      <c r="BZ86" s="14">
        <f>IFERROR(AVERAGE(Tabel1[[#This Row],[In - R1a]:[In - R1b]]),"")</f>
        <v>3.5</v>
      </c>
      <c r="CA86" s="14">
        <v>3</v>
      </c>
      <c r="CB86" s="14">
        <v>5</v>
      </c>
      <c r="CC86" s="14">
        <v>3</v>
      </c>
      <c r="CD86" s="14">
        <v>5</v>
      </c>
      <c r="CE86" s="14">
        <f>IFERROR(AVERAGE(Tabel1[[#This Row],[In - R1]:[In - R5]]),"")</f>
        <v>3.9</v>
      </c>
      <c r="CF86" s="14">
        <v>4</v>
      </c>
      <c r="CG86" s="14">
        <v>4</v>
      </c>
      <c r="CH86" s="14">
        <v>4</v>
      </c>
      <c r="CI86" s="14">
        <f>IFERROR(AVERAGE(Tabel1[[#This Row],[In - C1a]:[In - C1c]]),"")</f>
        <v>4</v>
      </c>
      <c r="CJ86" s="14">
        <v>4</v>
      </c>
      <c r="CK86" s="14">
        <v>4</v>
      </c>
      <c r="CL86" s="14">
        <v>2</v>
      </c>
      <c r="CM86" s="14">
        <f>IFERROR(AVERAGE(Tabel1[[#This Row],[In - C1]:[In - C4]]),"")</f>
        <v>3.5</v>
      </c>
      <c r="CN86" s="14">
        <v>3</v>
      </c>
      <c r="CO86" s="14">
        <v>3</v>
      </c>
      <c r="CP86" s="14">
        <v>2</v>
      </c>
      <c r="CQ86" s="14">
        <f>IFERROR(AVERAGE(Tabel1[[#This Row],[In - F1a]:[In - F1c]]),"")</f>
        <v>2.6666666666666665</v>
      </c>
      <c r="CR86" s="14">
        <v>5</v>
      </c>
      <c r="CS86" s="14">
        <v>3</v>
      </c>
      <c r="CT86" s="14">
        <f>IFERROR(AVERAGE(Tabel1[[#This Row],[In - F2a]:[In - F2b]]),"")</f>
        <v>4</v>
      </c>
      <c r="CU86" s="14">
        <v>3</v>
      </c>
      <c r="CV86" s="14">
        <f>IFERROR(AVERAGE(Tabel1[[#This Row],[In - F3a]:[In - F3a]]),"")</f>
        <v>3</v>
      </c>
      <c r="CW86" s="14">
        <v>3</v>
      </c>
      <c r="CX86" s="14">
        <f>IFERROR(AVERAGE(Tabel1[[#This Row],[In - F1]],Tabel1[[#This Row],[In - F2]],Tabel1[[#This Row],[In - F3]],Tabel1[[#This Row],[In - F4]]),"")</f>
        <v>3.1666666666666665</v>
      </c>
      <c r="CY86" s="14">
        <v>4</v>
      </c>
      <c r="CZ86" s="14">
        <v>4</v>
      </c>
      <c r="DA86" s="14">
        <v>3</v>
      </c>
      <c r="DB86" s="14">
        <f>IFERROR(AVERAGE(Tabel1[[#This Row],[In - V1a]:[In - V1c]]),"")</f>
        <v>3.6666666666666665</v>
      </c>
      <c r="DC86" s="14">
        <v>3</v>
      </c>
      <c r="DD86" s="14">
        <v>3</v>
      </c>
      <c r="DE86" s="14">
        <v>3</v>
      </c>
      <c r="DF86" s="14">
        <f>IFERROR(AVERAGE(Tabel1[[#This Row],[In - V2a]:[In - V2c]]),"")</f>
        <v>3</v>
      </c>
      <c r="DG86" s="14">
        <v>4</v>
      </c>
      <c r="DH86" s="14">
        <v>4</v>
      </c>
      <c r="DI86" s="14">
        <f>IFERROR(AVERAGE(Tabel1[[#This Row],[In - V3a]:[In - V3b]]),"")</f>
        <v>4</v>
      </c>
      <c r="DJ86" s="14">
        <v>3</v>
      </c>
      <c r="DK86" s="14">
        <f>IFERROR(AVERAGE(Tabel1[[#This Row],[In - V1]],Tabel1[[#This Row],[In - V2]],Tabel1[[#This Row],[In - V3]],Tabel1[[#This Row],[In - V4]]),"")</f>
        <v>3.4166666666666665</v>
      </c>
      <c r="DL86" s="14">
        <v>4</v>
      </c>
      <c r="DM86" s="14">
        <v>3</v>
      </c>
      <c r="DN86" s="14">
        <f>IFERROR(AVERAGE(Tabel1[[#This Row],[In - A1a]:[In - A1b]]),"")</f>
        <v>3.5</v>
      </c>
      <c r="DO86" s="14">
        <v>4</v>
      </c>
      <c r="DP86" s="14">
        <v>4</v>
      </c>
      <c r="DQ86" s="14">
        <f>IFERROR(AVERAGE(Tabel1[[#This Row],[In - A2a]:[In - A2b]]),"")</f>
        <v>4</v>
      </c>
      <c r="DR86" s="14">
        <v>4</v>
      </c>
      <c r="DS86" s="14" t="s">
        <v>189</v>
      </c>
      <c r="DT86" s="14">
        <f>IFERROR(AVERAGE(Tabel1[[#This Row],[In - A3a]:[In - A3a]]),"")</f>
        <v>4</v>
      </c>
      <c r="DU86" s="14">
        <v>3</v>
      </c>
      <c r="DV86" s="14">
        <f>IFERROR(AVERAGE(Tabel1[[#This Row],[In - A1]],Tabel1[[#This Row],[In - A2]],Tabel1[[#This Row],[In - A3]],Tabel1[[#This Row],[In - A4]]),"")</f>
        <v>3.625</v>
      </c>
      <c r="DW86" s="14">
        <v>2</v>
      </c>
      <c r="DX86" s="14">
        <v>3</v>
      </c>
      <c r="DY86" s="14">
        <v>2</v>
      </c>
      <c r="DZ86" s="14">
        <f>IFERROR(AVERAGE(Tabel1[[#This Row],[Do - R1a]:[Do - R1c]]),"")</f>
        <v>2.3333333333333335</v>
      </c>
      <c r="EA86" s="14">
        <v>2</v>
      </c>
      <c r="EB86" s="14">
        <v>4</v>
      </c>
      <c r="EC86" s="14">
        <v>3</v>
      </c>
      <c r="ED86" s="14">
        <v>5</v>
      </c>
      <c r="EE86" s="14">
        <f>IFERROR(AVERAGE(Tabel1[[#This Row],[Do - R1]:[Do - R5]]),"")</f>
        <v>3.2666666666666671</v>
      </c>
      <c r="EF86" s="14">
        <v>3</v>
      </c>
      <c r="EG86" s="14">
        <v>4</v>
      </c>
      <c r="EH86" s="14">
        <v>2</v>
      </c>
      <c r="EI86" s="14">
        <f>IFERROR(AVERAGE(Tabel1[[#This Row],[Do - C1a]:[Do - C1c]]),"")</f>
        <v>3</v>
      </c>
      <c r="EJ86" s="14">
        <v>3</v>
      </c>
      <c r="EK86" s="14">
        <v>3</v>
      </c>
      <c r="EL86" s="14">
        <v>3</v>
      </c>
      <c r="EM86" s="14">
        <f>IFERROR(AVERAGE(Tabel1[[#This Row],[Do - C1]:[Do - C4]]),"")</f>
        <v>3</v>
      </c>
      <c r="EN86" s="14">
        <v>3</v>
      </c>
      <c r="EO86" s="14">
        <v>3</v>
      </c>
      <c r="EP86" s="14">
        <v>4</v>
      </c>
      <c r="EQ86" s="14">
        <f>IFERROR(AVERAGE(Tabel1[[#This Row],[Do - F1a]:[Do - F1c]]),"")</f>
        <v>3.3333333333333335</v>
      </c>
      <c r="ER86" s="14">
        <v>2</v>
      </c>
      <c r="ES86" s="14">
        <f>IFERROR(AVERAGE(Tabel1[[#This Row],[Do - F2a]:[Do - F2a]]),"")</f>
        <v>2</v>
      </c>
      <c r="ET86" s="14">
        <v>3</v>
      </c>
      <c r="EU86" s="14">
        <v>4</v>
      </c>
      <c r="EV86" s="14">
        <f>IFERROR(AVERAGE(Tabel1[[#This Row],[Do - F3a]:[Do - F3b]]),"")</f>
        <v>3.5</v>
      </c>
      <c r="EW86" s="14">
        <v>4</v>
      </c>
      <c r="EX86" s="14">
        <f>IFERROR(AVERAGE(Tabel1[[#This Row],[Do - F1]],Tabel1[[#This Row],[Do - F2]],Tabel1[[#This Row],[Do - F3]],Tabel1[[#This Row],[Do - F4]]),"")</f>
        <v>3.2083333333333335</v>
      </c>
      <c r="EY86" s="14">
        <v>3</v>
      </c>
      <c r="EZ86" s="14">
        <v>3</v>
      </c>
      <c r="FA86" s="14">
        <v>4</v>
      </c>
      <c r="FB86" s="14">
        <f>IFERROR(AVERAGE(Tabel1[[#This Row],[Do - V1a]:[Do - V1c]]),"")</f>
        <v>3.3333333333333335</v>
      </c>
      <c r="FC86" s="14">
        <v>4</v>
      </c>
      <c r="FD86" s="14">
        <v>4</v>
      </c>
      <c r="FE86" s="14">
        <f>IFERROR(AVERAGE(Tabel1[[#This Row],[Do - V2a]:[Do - V2b]]),"")</f>
        <v>4</v>
      </c>
      <c r="FF86" s="14">
        <v>2</v>
      </c>
      <c r="FG86" s="14">
        <f>IFERROR(AVERAGE(Tabel1[[#This Row],[Do - V3a]:[Do - V3a]]),"")</f>
        <v>2</v>
      </c>
      <c r="FH86" s="14">
        <v>3</v>
      </c>
      <c r="FI86" s="14">
        <f>IFERROR(AVERAGE(Tabel1[[#This Row],[Do - V1]],Tabel1[[#This Row],[Do - V2]],Tabel1[[#This Row],[Do - V3]],Tabel1[[#This Row],[Do - V4]]),"")</f>
        <v>3.0833333333333335</v>
      </c>
      <c r="FJ86" s="14">
        <v>4</v>
      </c>
      <c r="FK86" s="14">
        <v>3</v>
      </c>
      <c r="FL86" s="14">
        <v>3</v>
      </c>
      <c r="FM86" s="14">
        <f>IFERROR(AVERAGE(Tabel1[[#This Row],[Do - A1a]:[Do - A1c]]),"")</f>
        <v>3.3333333333333335</v>
      </c>
      <c r="FN86" s="14">
        <v>4</v>
      </c>
      <c r="FO86" s="14">
        <v>4</v>
      </c>
      <c r="FP86" s="14">
        <f>IFERROR(AVERAGE(Tabel1[[#This Row],[Do - A2a]:[Do - A2b]]),"")</f>
        <v>4</v>
      </c>
      <c r="FQ86" s="14">
        <v>3</v>
      </c>
      <c r="FR86" s="14">
        <f>IFERROR(AVERAGE(Tabel1[[#This Row],[Do - A3a]:[Do - A3a]]),"")</f>
        <v>3</v>
      </c>
      <c r="FS86" s="14">
        <v>3</v>
      </c>
      <c r="FT86" s="14">
        <f>IFERROR(AVERAGE(Tabel1[[#This Row],[Do - A1]],Tabel1[[#This Row],[Do - A2]],Tabel1[[#This Row],[Do - A3]],Tabel1[[#This Row],[Do - A4]]),"")</f>
        <v>3.3333333333333335</v>
      </c>
      <c r="FU8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3.4116666666666671</v>
      </c>
      <c r="FV86" s="16" t="s">
        <v>621</v>
      </c>
      <c r="FW86" t="b">
        <v>1</v>
      </c>
    </row>
    <row r="87" spans="1:179" x14ac:dyDescent="0.3">
      <c r="A87" s="13">
        <v>44956.519861111112</v>
      </c>
      <c r="B87" t="b">
        <v>0</v>
      </c>
      <c r="C87" s="14" t="s">
        <v>622</v>
      </c>
      <c r="D87" s="14" t="s">
        <v>623</v>
      </c>
      <c r="E87" s="14" t="s">
        <v>624</v>
      </c>
      <c r="F87" s="14" t="s">
        <v>189</v>
      </c>
      <c r="G87" s="14" t="s">
        <v>625</v>
      </c>
      <c r="H87" s="14" t="s">
        <v>194</v>
      </c>
      <c r="I87" s="14" t="s">
        <v>195</v>
      </c>
      <c r="J87" s="14" t="s">
        <v>406</v>
      </c>
      <c r="K87" s="14" t="s">
        <v>187</v>
      </c>
      <c r="L87" s="14" t="s">
        <v>218</v>
      </c>
      <c r="M87" s="14" t="s">
        <v>198</v>
      </c>
      <c r="N87" s="14" t="s">
        <v>262</v>
      </c>
      <c r="O87" s="14" t="s">
        <v>200</v>
      </c>
      <c r="P87" s="17" t="s">
        <v>304</v>
      </c>
      <c r="Q87" s="14" t="s">
        <v>202</v>
      </c>
      <c r="R87" s="14" t="s">
        <v>202</v>
      </c>
      <c r="S87" s="14" t="s">
        <v>187</v>
      </c>
      <c r="T87" s="14" t="s">
        <v>204</v>
      </c>
      <c r="U87" s="14" t="s">
        <v>205</v>
      </c>
      <c r="V87" s="14" t="s">
        <v>206</v>
      </c>
      <c r="W87" s="14" t="s">
        <v>207</v>
      </c>
      <c r="X87" s="14" t="s">
        <v>207</v>
      </c>
      <c r="Y87" s="14">
        <v>4</v>
      </c>
      <c r="Z87" s="14">
        <v>5</v>
      </c>
      <c r="AA87" s="14">
        <v>2</v>
      </c>
      <c r="AB87" s="15">
        <f>IFERROR(AVERAGE(Tabel1[[#This Row],[Up - R1a]:[Up - R1c]]),"")</f>
        <v>3.6666666666666665</v>
      </c>
      <c r="AC87" s="14">
        <v>2</v>
      </c>
      <c r="AD87" s="14">
        <v>4</v>
      </c>
      <c r="AE87" s="14">
        <v>2</v>
      </c>
      <c r="AF87" s="14">
        <v>3</v>
      </c>
      <c r="AG87" s="14">
        <f>IFERROR(AVERAGE(Tabel1[[#This Row],[Up - R1]:[Up - R5]]),"")</f>
        <v>2.9333333333333331</v>
      </c>
      <c r="AH87" s="14">
        <v>2</v>
      </c>
      <c r="AI87" s="14">
        <v>2</v>
      </c>
      <c r="AJ87" s="14">
        <v>3</v>
      </c>
      <c r="AK87" s="14">
        <f>IFERROR(AVERAGE(Tabel1[[#This Row],[Up - C1a]:[Up - C1c]]),"")</f>
        <v>2.3333333333333335</v>
      </c>
      <c r="AL87" s="14">
        <v>2</v>
      </c>
      <c r="AM87" s="14">
        <v>2</v>
      </c>
      <c r="AN87" s="14">
        <v>2</v>
      </c>
      <c r="AO87" s="14">
        <f>IFERROR(AVERAGE(Tabel1[[#This Row],[Up - C1]:[Up - C4]]),"")</f>
        <v>2.0833333333333335</v>
      </c>
      <c r="AP87" s="14">
        <v>3</v>
      </c>
      <c r="AQ87" s="14">
        <f>IFERROR(AVERAGE(Tabel1[[#This Row],[Up - F1a]:[Up - F1a]]),"")</f>
        <v>3</v>
      </c>
      <c r="AR87" s="14">
        <v>2</v>
      </c>
      <c r="AS87" s="14">
        <v>3</v>
      </c>
      <c r="AT87" s="14">
        <f>IFERROR(AVERAGE(Tabel1[[#This Row],[Up - F2a]:[Up - F2b]]),"")</f>
        <v>2.5</v>
      </c>
      <c r="AU87" s="14">
        <v>4</v>
      </c>
      <c r="AV87" s="14">
        <v>2</v>
      </c>
      <c r="AW87" s="14">
        <f>IFERROR(AVERAGE(Tabel1[[#This Row],[Up - F3a]:[Up - F3b]]),"")</f>
        <v>3</v>
      </c>
      <c r="AX87" s="14">
        <v>2</v>
      </c>
      <c r="AY87" s="14">
        <f>IFERROR(AVERAGE(Tabel1[[#This Row],[Up - F1]],Tabel1[[#This Row],[Up - F2]],Tabel1[[#This Row],[Up - F3]],Tabel1[[#This Row],[Up - F4]]),"")</f>
        <v>2.625</v>
      </c>
      <c r="AZ87" s="14">
        <v>1</v>
      </c>
      <c r="BA87" s="14">
        <v>4</v>
      </c>
      <c r="BB87" s="14">
        <f>IFERROR(AVERAGE(Tabel1[[#This Row],[Up - V1a]:[Up - V1b]]),"")</f>
        <v>2.5</v>
      </c>
      <c r="BC87" s="14">
        <v>2</v>
      </c>
      <c r="BD87" s="14">
        <v>2</v>
      </c>
      <c r="BE87" s="14">
        <v>3</v>
      </c>
      <c r="BF87" s="14">
        <f>IFERROR(AVERAGE(Tabel1[[#This Row],[Up - V2a]:[Up - V2c]]),"")</f>
        <v>2.3333333333333335</v>
      </c>
      <c r="BG87" s="14">
        <v>2</v>
      </c>
      <c r="BH87" s="14">
        <v>2</v>
      </c>
      <c r="BI87" s="14">
        <f>IFERROR(AVERAGE(Tabel1[[#This Row],[Up - V3a]:[Up - V3b]]),"")</f>
        <v>2</v>
      </c>
      <c r="BJ87" s="14">
        <v>2</v>
      </c>
      <c r="BK87" s="14">
        <f>IFERROR(AVERAGE(Tabel1[[#This Row],[Up - V1]],Tabel1[[#This Row],[Up - V2]],Tabel1[[#This Row],[Up - V3]],Tabel1[[#This Row],[Up - V4]]),"")</f>
        <v>2.2083333333333335</v>
      </c>
      <c r="BL87" s="14">
        <v>3</v>
      </c>
      <c r="BM87" s="14">
        <v>2</v>
      </c>
      <c r="BN87" s="14">
        <v>3</v>
      </c>
      <c r="BO87" s="14">
        <v>2</v>
      </c>
      <c r="BP87" s="14">
        <f>IFERROR(AVERAGE(Tabel1[[#This Row],[Up - A1a]:[Up - A1d]]),"")</f>
        <v>2.5</v>
      </c>
      <c r="BQ87" s="14">
        <v>2</v>
      </c>
      <c r="BR87" s="14">
        <v>4</v>
      </c>
      <c r="BS87" s="14">
        <f>IFERROR(AVERAGE(Tabel1[[#This Row],[Up - A2a]:[Up - A2b]]),"")</f>
        <v>3</v>
      </c>
      <c r="BT87" s="14">
        <v>3</v>
      </c>
      <c r="BU87" s="14">
        <f>IFERROR(AVERAGE(Tabel1[[#This Row],[Up - A3a]:[Up - A3a]]),"")</f>
        <v>3</v>
      </c>
      <c r="BV87" s="14">
        <v>2</v>
      </c>
      <c r="BW87" s="14">
        <f>IFERROR(AVERAGE(Tabel1[[#This Row],[Up - A1]],Tabel1[[#This Row],[Up - A2]],Tabel1[[#This Row],[Up - A3]]),"")</f>
        <v>2.8333333333333335</v>
      </c>
      <c r="BX87" s="14">
        <v>3</v>
      </c>
      <c r="BY87" s="14">
        <v>4</v>
      </c>
      <c r="BZ87" s="14">
        <f>IFERROR(AVERAGE(Tabel1[[#This Row],[In - R1a]:[In - R1b]]),"")</f>
        <v>3.5</v>
      </c>
      <c r="CA87" s="14">
        <v>4</v>
      </c>
      <c r="CB87" s="14">
        <v>5</v>
      </c>
      <c r="CC87" s="14">
        <v>3</v>
      </c>
      <c r="CD87" s="14">
        <v>4</v>
      </c>
      <c r="CE87" s="14">
        <f>IFERROR(AVERAGE(Tabel1[[#This Row],[In - R1]:[In - R5]]),"")</f>
        <v>3.9</v>
      </c>
      <c r="CF87" s="14">
        <v>4</v>
      </c>
      <c r="CG87" s="14">
        <v>4</v>
      </c>
      <c r="CH87" s="14">
        <v>4</v>
      </c>
      <c r="CI87" s="14">
        <f>IFERROR(AVERAGE(Tabel1[[#This Row],[In - C1a]:[In - C1c]]),"")</f>
        <v>4</v>
      </c>
      <c r="CJ87" s="14">
        <v>4</v>
      </c>
      <c r="CK87" s="14">
        <v>3</v>
      </c>
      <c r="CL87" s="14">
        <v>4</v>
      </c>
      <c r="CM87" s="14">
        <f>IFERROR(AVERAGE(Tabel1[[#This Row],[In - C1]:[In - C4]]),"")</f>
        <v>3.75</v>
      </c>
      <c r="CN87" s="14">
        <v>4</v>
      </c>
      <c r="CO87" s="14">
        <v>4</v>
      </c>
      <c r="CP87" s="14">
        <v>3</v>
      </c>
      <c r="CQ87" s="14">
        <f>IFERROR(AVERAGE(Tabel1[[#This Row],[In - F1a]:[In - F1c]]),"")</f>
        <v>3.6666666666666665</v>
      </c>
      <c r="CR87" s="14">
        <v>4</v>
      </c>
      <c r="CS87" s="14">
        <v>2</v>
      </c>
      <c r="CT87" s="14">
        <f>IFERROR(AVERAGE(Tabel1[[#This Row],[In - F2a]:[In - F2b]]),"")</f>
        <v>3</v>
      </c>
      <c r="CU87" s="14">
        <v>3</v>
      </c>
      <c r="CV87" s="14">
        <f>IFERROR(AVERAGE(Tabel1[[#This Row],[In - F3a]:[In - F3a]]),"")</f>
        <v>3</v>
      </c>
      <c r="CW87" s="14">
        <v>2</v>
      </c>
      <c r="CX87" s="14">
        <f>IFERROR(AVERAGE(Tabel1[[#This Row],[In - F1]],Tabel1[[#This Row],[In - F2]],Tabel1[[#This Row],[In - F3]],Tabel1[[#This Row],[In - F4]]),"")</f>
        <v>2.9166666666666665</v>
      </c>
      <c r="CY87" s="14">
        <v>3</v>
      </c>
      <c r="CZ87" s="14">
        <v>4</v>
      </c>
      <c r="DA87" s="14">
        <v>3</v>
      </c>
      <c r="DB87" s="14">
        <f>IFERROR(AVERAGE(Tabel1[[#This Row],[In - V1a]:[In - V1c]]),"")</f>
        <v>3.3333333333333335</v>
      </c>
      <c r="DC87" s="14">
        <v>3</v>
      </c>
      <c r="DD87" s="14">
        <v>3</v>
      </c>
      <c r="DE87" s="14">
        <v>4</v>
      </c>
      <c r="DF87" s="14">
        <f>IFERROR(AVERAGE(Tabel1[[#This Row],[In - V2a]:[In - V2c]]),"")</f>
        <v>3.3333333333333335</v>
      </c>
      <c r="DG87" s="14">
        <v>3</v>
      </c>
      <c r="DH87" s="14">
        <v>3</v>
      </c>
      <c r="DI87" s="14">
        <f>IFERROR(AVERAGE(Tabel1[[#This Row],[In - V3a]:[In - V3b]]),"")</f>
        <v>3</v>
      </c>
      <c r="DJ87" s="14">
        <v>3</v>
      </c>
      <c r="DK87" s="14">
        <f>IFERROR(AVERAGE(Tabel1[[#This Row],[In - V1]],Tabel1[[#This Row],[In - V2]],Tabel1[[#This Row],[In - V3]],Tabel1[[#This Row],[In - V4]]),"")</f>
        <v>3.166666666666667</v>
      </c>
      <c r="DL87" s="14">
        <v>3</v>
      </c>
      <c r="DM87" s="14">
        <v>4</v>
      </c>
      <c r="DN87" s="14">
        <f>IFERROR(AVERAGE(Tabel1[[#This Row],[In - A1a]:[In - A1b]]),"")</f>
        <v>3.5</v>
      </c>
      <c r="DO87" s="14">
        <v>4</v>
      </c>
      <c r="DP87" s="14">
        <v>4</v>
      </c>
      <c r="DQ87" s="14">
        <f>IFERROR(AVERAGE(Tabel1[[#This Row],[In - A2a]:[In - A2b]]),"")</f>
        <v>4</v>
      </c>
      <c r="DR87" s="14">
        <v>4</v>
      </c>
      <c r="DS87" s="14">
        <v>3</v>
      </c>
      <c r="DT87" s="14">
        <f>IFERROR(AVERAGE(Tabel1[[#This Row],[In - A3a]:[In - A3a]]),"")</f>
        <v>4</v>
      </c>
      <c r="DU87" s="14">
        <v>4</v>
      </c>
      <c r="DV87" s="14">
        <f>IFERROR(AVERAGE(Tabel1[[#This Row],[In - A1]],Tabel1[[#This Row],[In - A2]],Tabel1[[#This Row],[In - A3]],Tabel1[[#This Row],[In - A4]]),"")</f>
        <v>3.875</v>
      </c>
      <c r="DW87" s="14">
        <v>3</v>
      </c>
      <c r="DX87" s="14">
        <v>5</v>
      </c>
      <c r="DY87" s="14">
        <v>3</v>
      </c>
      <c r="DZ87" s="14">
        <f>IFERROR(AVERAGE(Tabel1[[#This Row],[Do - R1a]:[Do - R1c]]),"")</f>
        <v>3.6666666666666665</v>
      </c>
      <c r="EA87" s="14">
        <v>3</v>
      </c>
      <c r="EB87" s="14">
        <v>4</v>
      </c>
      <c r="EC87" s="14">
        <v>2</v>
      </c>
      <c r="ED87" s="14">
        <v>3</v>
      </c>
      <c r="EE87" s="14">
        <f>IFERROR(AVERAGE(Tabel1[[#This Row],[Do - R1]:[Do - R5]]),"")</f>
        <v>3.1333333333333333</v>
      </c>
      <c r="EF87" s="14">
        <v>4</v>
      </c>
      <c r="EG87" s="14">
        <v>4</v>
      </c>
      <c r="EH87" s="14">
        <v>4</v>
      </c>
      <c r="EI87" s="14">
        <f>IFERROR(AVERAGE(Tabel1[[#This Row],[Do - C1a]:[Do - C1c]]),"")</f>
        <v>4</v>
      </c>
      <c r="EJ87" s="14">
        <v>3</v>
      </c>
      <c r="EK87" s="14">
        <v>3</v>
      </c>
      <c r="EL87" s="14">
        <v>2</v>
      </c>
      <c r="EM87" s="14">
        <f>IFERROR(AVERAGE(Tabel1[[#This Row],[Do - C1]:[Do - C4]]),"")</f>
        <v>3</v>
      </c>
      <c r="EN87" s="14">
        <v>2</v>
      </c>
      <c r="EO87" s="14">
        <v>2</v>
      </c>
      <c r="EP87" s="14">
        <v>4</v>
      </c>
      <c r="EQ87" s="14">
        <f>IFERROR(AVERAGE(Tabel1[[#This Row],[Do - F1a]:[Do - F1c]]),"")</f>
        <v>2.6666666666666665</v>
      </c>
      <c r="ER87" s="14">
        <v>2</v>
      </c>
      <c r="ES87" s="14">
        <f>IFERROR(AVERAGE(Tabel1[[#This Row],[Do - F2a]:[Do - F2a]]),"")</f>
        <v>2</v>
      </c>
      <c r="ET87" s="14">
        <v>4</v>
      </c>
      <c r="EU87" s="14">
        <v>2</v>
      </c>
      <c r="EV87" s="14">
        <f>IFERROR(AVERAGE(Tabel1[[#This Row],[Do - F3a]:[Do - F3b]]),"")</f>
        <v>3</v>
      </c>
      <c r="EW87" s="14">
        <v>2</v>
      </c>
      <c r="EX87" s="14">
        <f>IFERROR(AVERAGE(Tabel1[[#This Row],[Do - F1]],Tabel1[[#This Row],[Do - F2]],Tabel1[[#This Row],[Do - F3]],Tabel1[[#This Row],[Do - F4]]),"")</f>
        <v>2.4166666666666665</v>
      </c>
      <c r="EY87" s="14">
        <v>3</v>
      </c>
      <c r="EZ87" s="14">
        <v>2</v>
      </c>
      <c r="FA87" s="14">
        <v>4</v>
      </c>
      <c r="FB87" s="14">
        <f>IFERROR(AVERAGE(Tabel1[[#This Row],[Do - V1a]:[Do - V1c]]),"")</f>
        <v>3</v>
      </c>
      <c r="FC87" s="14">
        <v>2</v>
      </c>
      <c r="FD87" s="14">
        <v>2</v>
      </c>
      <c r="FE87" s="14">
        <f>IFERROR(AVERAGE(Tabel1[[#This Row],[Do - V2a]:[Do - V2b]]),"")</f>
        <v>2</v>
      </c>
      <c r="FF87" s="14">
        <v>3</v>
      </c>
      <c r="FG87" s="14">
        <f>IFERROR(AVERAGE(Tabel1[[#This Row],[Do - V3a]:[Do - V3a]]),"")</f>
        <v>3</v>
      </c>
      <c r="FH87" s="14">
        <v>4</v>
      </c>
      <c r="FI87" s="14">
        <f>IFERROR(AVERAGE(Tabel1[[#This Row],[Do - V1]],Tabel1[[#This Row],[Do - V2]],Tabel1[[#This Row],[Do - V3]],Tabel1[[#This Row],[Do - V4]]),"")</f>
        <v>3</v>
      </c>
      <c r="FJ87" s="14">
        <v>4</v>
      </c>
      <c r="FK87" s="14">
        <v>3</v>
      </c>
      <c r="FL87" s="14">
        <v>3</v>
      </c>
      <c r="FM87" s="14">
        <f>IFERROR(AVERAGE(Tabel1[[#This Row],[Do - A1a]:[Do - A1c]]),"")</f>
        <v>3.3333333333333335</v>
      </c>
      <c r="FN87" s="14">
        <v>4</v>
      </c>
      <c r="FO87" s="14">
        <v>4</v>
      </c>
      <c r="FP87" s="14">
        <f>IFERROR(AVERAGE(Tabel1[[#This Row],[Do - A2a]:[Do - A2b]]),"")</f>
        <v>4</v>
      </c>
      <c r="FQ87" s="14">
        <v>4</v>
      </c>
      <c r="FR87" s="14">
        <f>IFERROR(AVERAGE(Tabel1[[#This Row],[Do - A3a]:[Do - A3a]]),"")</f>
        <v>4</v>
      </c>
      <c r="FS87" s="14">
        <v>3</v>
      </c>
      <c r="FT87" s="14">
        <f>IFERROR(AVERAGE(Tabel1[[#This Row],[Do - A1]],Tabel1[[#This Row],[Do - A2]],Tabel1[[#This Row],[Do - A3]],Tabel1[[#This Row],[Do - A4]]),"")</f>
        <v>3.5833333333333335</v>
      </c>
      <c r="FU8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3.0283333333333338</v>
      </c>
      <c r="FV87" s="16" t="s">
        <v>626</v>
      </c>
      <c r="FW87" t="b">
        <v>1</v>
      </c>
    </row>
    <row r="88" spans="1:179" x14ac:dyDescent="0.3">
      <c r="A88" s="13">
        <v>44956.5367708333</v>
      </c>
      <c r="B88" t="b">
        <v>0</v>
      </c>
      <c r="C88" t="s">
        <v>622</v>
      </c>
      <c r="D88" t="s">
        <v>623</v>
      </c>
      <c r="E88" t="s">
        <v>624</v>
      </c>
      <c r="F88" s="14" t="s">
        <v>189</v>
      </c>
      <c r="G88" t="s">
        <v>625</v>
      </c>
      <c r="H88" s="14" t="s">
        <v>194</v>
      </c>
      <c r="I88" t="s">
        <v>195</v>
      </c>
      <c r="J88" t="s">
        <v>406</v>
      </c>
      <c r="K88" t="s">
        <v>187</v>
      </c>
      <c r="L88" t="s">
        <v>218</v>
      </c>
      <c r="M88" t="s">
        <v>198</v>
      </c>
      <c r="N88" t="s">
        <v>262</v>
      </c>
      <c r="O88" t="s">
        <v>200</v>
      </c>
      <c r="P88" s="20" t="s">
        <v>304</v>
      </c>
      <c r="Q88" t="s">
        <v>202</v>
      </c>
      <c r="R88" t="s">
        <v>202</v>
      </c>
      <c r="S88" t="s">
        <v>187</v>
      </c>
      <c r="T88" t="s">
        <v>204</v>
      </c>
      <c r="U88" t="s">
        <v>205</v>
      </c>
      <c r="V88" t="s">
        <v>206</v>
      </c>
      <c r="W88" t="s">
        <v>207</v>
      </c>
      <c r="X88" t="s">
        <v>207</v>
      </c>
      <c r="Y88">
        <v>4</v>
      </c>
      <c r="Z88">
        <v>5</v>
      </c>
      <c r="AA88">
        <v>2</v>
      </c>
      <c r="AB88">
        <f>IFERROR(AVERAGE(Tabel1[[#This Row],[Up - R1a]:[Up - R1c]]),"")</f>
        <v>3.6666666666666665</v>
      </c>
      <c r="AC88">
        <v>2</v>
      </c>
      <c r="AD88">
        <v>4</v>
      </c>
      <c r="AE88">
        <v>2</v>
      </c>
      <c r="AF88">
        <v>3</v>
      </c>
      <c r="AG88">
        <f>IFERROR(AVERAGE(Tabel1[[#This Row],[Up - R1]:[Up - R5]]),"")</f>
        <v>2.9333333333333331</v>
      </c>
      <c r="AH88">
        <v>2</v>
      </c>
      <c r="AI88">
        <v>2</v>
      </c>
      <c r="AJ88">
        <v>3</v>
      </c>
      <c r="AK88">
        <f>IFERROR(AVERAGE(Tabel1[[#This Row],[Up - C1a]:[Up - C1c]]),"")</f>
        <v>2.3333333333333335</v>
      </c>
      <c r="AL88">
        <v>2</v>
      </c>
      <c r="AM88">
        <v>2</v>
      </c>
      <c r="AN88">
        <v>2</v>
      </c>
      <c r="AO88">
        <f>IFERROR(AVERAGE(Tabel1[[#This Row],[Up - C1]:[Up - C4]]),"")</f>
        <v>2.0833333333333335</v>
      </c>
      <c r="AP88">
        <v>3</v>
      </c>
      <c r="AQ88">
        <f>IFERROR(AVERAGE(Tabel1[[#This Row],[Up - F1a]:[Up - F1a]]),"")</f>
        <v>3</v>
      </c>
      <c r="AR88">
        <v>2</v>
      </c>
      <c r="AS88">
        <v>3</v>
      </c>
      <c r="AT88">
        <f>IFERROR(AVERAGE(Tabel1[[#This Row],[Up - F2a]:[Up - F2b]]),"")</f>
        <v>2.5</v>
      </c>
      <c r="AU88">
        <v>4</v>
      </c>
      <c r="AV88">
        <v>2</v>
      </c>
      <c r="AW88">
        <f>IFERROR(AVERAGE(Tabel1[[#This Row],[Up - F3a]:[Up - F3b]]),"")</f>
        <v>3</v>
      </c>
      <c r="AX88">
        <v>2</v>
      </c>
      <c r="AY88">
        <f>IFERROR(AVERAGE(Tabel1[[#This Row],[Up - F1]],Tabel1[[#This Row],[Up - F2]],Tabel1[[#This Row],[Up - F3]],Tabel1[[#This Row],[Up - F4]]),"")</f>
        <v>2.625</v>
      </c>
      <c r="AZ88">
        <v>1</v>
      </c>
      <c r="BA88">
        <v>4</v>
      </c>
      <c r="BB88">
        <f>IFERROR(AVERAGE(Tabel1[[#This Row],[Up - V1a]:[Up - V1b]]),"")</f>
        <v>2.5</v>
      </c>
      <c r="BC88">
        <v>2</v>
      </c>
      <c r="BD88">
        <v>2</v>
      </c>
      <c r="BE88">
        <v>3</v>
      </c>
      <c r="BF88">
        <f>IFERROR(AVERAGE(Tabel1[[#This Row],[Up - V2a]:[Up - V2c]]),"")</f>
        <v>2.3333333333333335</v>
      </c>
      <c r="BG88">
        <v>2</v>
      </c>
      <c r="BH88">
        <v>2</v>
      </c>
      <c r="BI88">
        <f>IFERROR(AVERAGE(Tabel1[[#This Row],[Up - V3a]:[Up - V3b]]),"")</f>
        <v>2</v>
      </c>
      <c r="BJ88">
        <v>2</v>
      </c>
      <c r="BK88">
        <f>IFERROR(AVERAGE(Tabel1[[#This Row],[Up - V1]],Tabel1[[#This Row],[Up - V2]],Tabel1[[#This Row],[Up - V3]],Tabel1[[#This Row],[Up - V4]]),"")</f>
        <v>2.2083333333333335</v>
      </c>
      <c r="BL88">
        <v>3</v>
      </c>
      <c r="BM88">
        <v>2</v>
      </c>
      <c r="BN88">
        <v>3</v>
      </c>
      <c r="BO88">
        <v>2</v>
      </c>
      <c r="BP88">
        <f>IFERROR(AVERAGE(Tabel1[[#This Row],[Up - A1a]:[Up - A1d]]),"")</f>
        <v>2.5</v>
      </c>
      <c r="BQ88">
        <v>2</v>
      </c>
      <c r="BR88">
        <v>4</v>
      </c>
      <c r="BS88">
        <f>IFERROR(AVERAGE(Tabel1[[#This Row],[Up - A2a]:[Up - A2b]]),"")</f>
        <v>3</v>
      </c>
      <c r="BT88">
        <v>3</v>
      </c>
      <c r="BU88">
        <f>IFERROR(AVERAGE(Tabel1[[#This Row],[Up - A3a]:[Up - A3a]]),"")</f>
        <v>3</v>
      </c>
      <c r="BV88">
        <v>2</v>
      </c>
      <c r="BW88">
        <f>IFERROR(AVERAGE(Tabel1[[#This Row],[Up - A1]],Tabel1[[#This Row],[Up - A2]],Tabel1[[#This Row],[Up - A3]]),"")</f>
        <v>2.8333333333333335</v>
      </c>
      <c r="BX88">
        <v>3</v>
      </c>
      <c r="BY88">
        <v>4</v>
      </c>
      <c r="BZ88">
        <f>IFERROR(AVERAGE(Tabel1[[#This Row],[In - R1a]:[In - R1b]]),"")</f>
        <v>3.5</v>
      </c>
      <c r="CA88">
        <v>4</v>
      </c>
      <c r="CB88">
        <v>5</v>
      </c>
      <c r="CC88">
        <v>3</v>
      </c>
      <c r="CD88">
        <v>4</v>
      </c>
      <c r="CE88">
        <f>IFERROR(AVERAGE(Tabel1[[#This Row],[In - R1]:[In - R5]]),"")</f>
        <v>3.9</v>
      </c>
      <c r="CF88">
        <v>4</v>
      </c>
      <c r="CG88">
        <v>4</v>
      </c>
      <c r="CH88">
        <v>4</v>
      </c>
      <c r="CI88">
        <f>IFERROR(AVERAGE(Tabel1[[#This Row],[In - C1a]:[In - C1c]]),"")</f>
        <v>4</v>
      </c>
      <c r="CJ88">
        <v>4</v>
      </c>
      <c r="CK88">
        <v>3</v>
      </c>
      <c r="CL88">
        <v>4</v>
      </c>
      <c r="CM88">
        <f>IFERROR(AVERAGE(Tabel1[[#This Row],[In - C1]:[In - C4]]),"")</f>
        <v>3.75</v>
      </c>
      <c r="CN88">
        <v>4</v>
      </c>
      <c r="CO88">
        <v>4</v>
      </c>
      <c r="CP88">
        <v>3</v>
      </c>
      <c r="CQ88">
        <f>IFERROR(AVERAGE(Tabel1[[#This Row],[In - F1a]:[In - F1c]]),"")</f>
        <v>3.6666666666666665</v>
      </c>
      <c r="CR88">
        <v>4</v>
      </c>
      <c r="CS88">
        <v>2</v>
      </c>
      <c r="CT88">
        <f>IFERROR(AVERAGE(Tabel1[[#This Row],[In - F2a]:[In - F2b]]),"")</f>
        <v>3</v>
      </c>
      <c r="CU88">
        <v>3</v>
      </c>
      <c r="CV88">
        <f>IFERROR(AVERAGE(Tabel1[[#This Row],[In - F3a]:[In - F3a]]),"")</f>
        <v>3</v>
      </c>
      <c r="CW88">
        <v>2</v>
      </c>
      <c r="CX88">
        <f>IFERROR(AVERAGE(Tabel1[[#This Row],[In - F1]],Tabel1[[#This Row],[In - F2]],Tabel1[[#This Row],[In - F3]],Tabel1[[#This Row],[In - F4]]),"")</f>
        <v>2.9166666666666665</v>
      </c>
      <c r="CY88">
        <v>3</v>
      </c>
      <c r="CZ88">
        <v>4</v>
      </c>
      <c r="DA88">
        <v>3</v>
      </c>
      <c r="DB88">
        <f>IFERROR(AVERAGE(Tabel1[[#This Row],[In - V1a]:[In - V1c]]),"")</f>
        <v>3.3333333333333335</v>
      </c>
      <c r="DC88">
        <v>3</v>
      </c>
      <c r="DD88">
        <v>3</v>
      </c>
      <c r="DE88">
        <v>4</v>
      </c>
      <c r="DF88">
        <f>IFERROR(AVERAGE(Tabel1[[#This Row],[In - V2a]:[In - V2c]]),"")</f>
        <v>3.3333333333333335</v>
      </c>
      <c r="DG88">
        <v>3</v>
      </c>
      <c r="DH88">
        <v>3</v>
      </c>
      <c r="DI88">
        <f>IFERROR(AVERAGE(Tabel1[[#This Row],[In - V3a]:[In - V3b]]),"")</f>
        <v>3</v>
      </c>
      <c r="DJ88">
        <v>3</v>
      </c>
      <c r="DK88">
        <f>IFERROR(AVERAGE(Tabel1[[#This Row],[In - V1]],Tabel1[[#This Row],[In - V2]],Tabel1[[#This Row],[In - V3]],Tabel1[[#This Row],[In - V4]]),"")</f>
        <v>3.166666666666667</v>
      </c>
      <c r="DL88">
        <v>3</v>
      </c>
      <c r="DM88">
        <v>4</v>
      </c>
      <c r="DN88">
        <f>IFERROR(AVERAGE(Tabel1[[#This Row],[In - A1a]:[In - A1b]]),"")</f>
        <v>3.5</v>
      </c>
      <c r="DO88">
        <v>4</v>
      </c>
      <c r="DP88">
        <v>4</v>
      </c>
      <c r="DQ88">
        <f>IFERROR(AVERAGE(Tabel1[[#This Row],[In - A2a]:[In - A2b]]),"")</f>
        <v>4</v>
      </c>
      <c r="DR88">
        <v>4</v>
      </c>
      <c r="DS88">
        <v>3</v>
      </c>
      <c r="DT88">
        <f>IFERROR(AVERAGE(Tabel1[[#This Row],[In - A3a]:[In - A3a]]),"")</f>
        <v>4</v>
      </c>
      <c r="DU88">
        <v>4</v>
      </c>
      <c r="DV88">
        <f>IFERROR(AVERAGE(Tabel1[[#This Row],[In - A1]],Tabel1[[#This Row],[In - A2]],Tabel1[[#This Row],[In - A3]],Tabel1[[#This Row],[In - A4]]),"")</f>
        <v>3.875</v>
      </c>
      <c r="DW88">
        <v>3</v>
      </c>
      <c r="DX88">
        <v>5</v>
      </c>
      <c r="DY88">
        <v>3</v>
      </c>
      <c r="DZ88">
        <f>IFERROR(AVERAGE(Tabel1[[#This Row],[Do - R1a]:[Do - R1c]]),"")</f>
        <v>3.6666666666666665</v>
      </c>
      <c r="EA88">
        <v>3</v>
      </c>
      <c r="EB88">
        <v>4</v>
      </c>
      <c r="EC88">
        <v>2</v>
      </c>
      <c r="ED88">
        <v>3</v>
      </c>
      <c r="EE88">
        <f>IFERROR(AVERAGE(Tabel1[[#This Row],[Do - R1]:[Do - R5]]),"")</f>
        <v>3.1333333333333333</v>
      </c>
      <c r="EF88">
        <v>4</v>
      </c>
      <c r="EG88">
        <v>4</v>
      </c>
      <c r="EH88">
        <v>4</v>
      </c>
      <c r="EI88">
        <f>IFERROR(AVERAGE(Tabel1[[#This Row],[Do - C1a]:[Do - C1c]]),"")</f>
        <v>4</v>
      </c>
      <c r="EJ88">
        <v>3</v>
      </c>
      <c r="EK88">
        <v>3</v>
      </c>
      <c r="EL88">
        <v>2</v>
      </c>
      <c r="EM88">
        <f>IFERROR(AVERAGE(Tabel1[[#This Row],[Do - C1]:[Do - C4]]),"")</f>
        <v>3</v>
      </c>
      <c r="EN88">
        <v>2</v>
      </c>
      <c r="EO88">
        <v>2</v>
      </c>
      <c r="EP88">
        <v>4</v>
      </c>
      <c r="EQ88" s="14">
        <f>IFERROR(AVERAGE(Tabel1[[#This Row],[Do - F1a]:[Do - F1c]]),"")</f>
        <v>2.6666666666666665</v>
      </c>
      <c r="ER88">
        <v>2</v>
      </c>
      <c r="ES88" s="14">
        <f>IFERROR(AVERAGE(Tabel1[[#This Row],[Do - F2a]:[Do - F2a]]),"")</f>
        <v>2</v>
      </c>
      <c r="ET88">
        <v>4</v>
      </c>
      <c r="EU88">
        <v>2</v>
      </c>
      <c r="EV88" s="14">
        <f>IFERROR(AVERAGE(Tabel1[[#This Row],[Do - F3a]:[Do - F3b]]),"")</f>
        <v>3</v>
      </c>
      <c r="EW88">
        <v>2</v>
      </c>
      <c r="EX88" s="14">
        <f>IFERROR(AVERAGE(Tabel1[[#This Row],[Do - F1]],Tabel1[[#This Row],[Do - F2]],Tabel1[[#This Row],[Do - F3]],Tabel1[[#This Row],[Do - F4]]),"")</f>
        <v>2.4166666666666665</v>
      </c>
      <c r="EY88">
        <v>3</v>
      </c>
      <c r="EZ88">
        <v>2</v>
      </c>
      <c r="FA88">
        <v>4</v>
      </c>
      <c r="FB88">
        <f>IFERROR(AVERAGE(Tabel1[[#This Row],[Do - V1a]:[Do - V1c]]),"")</f>
        <v>3</v>
      </c>
      <c r="FC88">
        <v>2</v>
      </c>
      <c r="FD88">
        <v>2</v>
      </c>
      <c r="FE88">
        <f>IFERROR(AVERAGE(Tabel1[[#This Row],[Do - V2a]:[Do - V2b]]),"")</f>
        <v>2</v>
      </c>
      <c r="FF88">
        <v>3</v>
      </c>
      <c r="FG88">
        <f>IFERROR(AVERAGE(Tabel1[[#This Row],[Do - V3a]:[Do - V3a]]),"")</f>
        <v>3</v>
      </c>
      <c r="FH88">
        <v>4</v>
      </c>
      <c r="FI88">
        <f>IFERROR(AVERAGE(Tabel1[[#This Row],[Do - V1]],Tabel1[[#This Row],[Do - V2]],Tabel1[[#This Row],[Do - V3]],Tabel1[[#This Row],[Do - V4]]),"")</f>
        <v>3</v>
      </c>
      <c r="FJ88">
        <v>4</v>
      </c>
      <c r="FK88">
        <v>3</v>
      </c>
      <c r="FL88">
        <v>3</v>
      </c>
      <c r="FM88">
        <f>IFERROR(AVERAGE(Tabel1[[#This Row],[Do - A1a]:[Do - A1c]]),"")</f>
        <v>3.3333333333333335</v>
      </c>
      <c r="FN88">
        <v>4</v>
      </c>
      <c r="FO88">
        <v>4</v>
      </c>
      <c r="FP88">
        <f>IFERROR(AVERAGE(Tabel1[[#This Row],[Do - A2a]:[Do - A2b]]),"")</f>
        <v>4</v>
      </c>
      <c r="FQ88">
        <v>4</v>
      </c>
      <c r="FR88">
        <f>IFERROR(AVERAGE(Tabel1[[#This Row],[Do - A3a]:[Do - A3a]]),"")</f>
        <v>4</v>
      </c>
      <c r="FS88">
        <v>3</v>
      </c>
      <c r="FT88">
        <f>IFERROR(AVERAGE(Tabel1[[#This Row],[Do - A1]],Tabel1[[#This Row],[Do - A2]],Tabel1[[#This Row],[Do - A3]],Tabel1[[#This Row],[Do - A4]]),"")</f>
        <v>3.5833333333333335</v>
      </c>
      <c r="FU8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3.0283333333333338</v>
      </c>
      <c r="FV88" t="s">
        <v>627</v>
      </c>
      <c r="FW88" t="b">
        <v>1</v>
      </c>
    </row>
    <row r="89" spans="1:179" x14ac:dyDescent="0.3">
      <c r="A89" s="13">
        <v>44960.416678240741</v>
      </c>
      <c r="B89" t="b">
        <v>0</v>
      </c>
      <c r="C89" s="14" t="s">
        <v>628</v>
      </c>
      <c r="D89" s="14" t="s">
        <v>629</v>
      </c>
      <c r="E89" s="14" t="s">
        <v>630</v>
      </c>
      <c r="F89" s="14" t="s">
        <v>184</v>
      </c>
      <c r="G89" s="14" t="s">
        <v>631</v>
      </c>
      <c r="H89" s="14" t="s">
        <v>222</v>
      </c>
      <c r="I89" s="14" t="s">
        <v>195</v>
      </c>
      <c r="J89" s="14" t="s">
        <v>533</v>
      </c>
      <c r="K89" s="14" t="s">
        <v>201</v>
      </c>
      <c r="L89" s="14" t="s">
        <v>249</v>
      </c>
      <c r="M89" s="14" t="s">
        <v>233</v>
      </c>
      <c r="N89" s="14" t="s">
        <v>199</v>
      </c>
      <c r="O89" s="14" t="s">
        <v>200</v>
      </c>
      <c r="P89" s="17" t="s">
        <v>304</v>
      </c>
      <c r="Q89" s="17" t="s">
        <v>304</v>
      </c>
      <c r="R89" s="17" t="s">
        <v>304</v>
      </c>
      <c r="S89" s="14" t="s">
        <v>235</v>
      </c>
      <c r="T89" s="14" t="s">
        <v>204</v>
      </c>
      <c r="U89" s="14" t="s">
        <v>349</v>
      </c>
      <c r="V89" s="14" t="s">
        <v>224</v>
      </c>
      <c r="W89" s="14" t="s">
        <v>207</v>
      </c>
      <c r="X89" s="14" t="s">
        <v>207</v>
      </c>
      <c r="Y89" s="14">
        <v>2</v>
      </c>
      <c r="Z89" s="14">
        <v>3</v>
      </c>
      <c r="AA89" s="14">
        <v>4</v>
      </c>
      <c r="AB89" s="15">
        <f>IFERROR(AVERAGE(Tabel1[[#This Row],[Up - R1a]:[Up - R1c]]),"")</f>
        <v>3</v>
      </c>
      <c r="AC89" s="14">
        <v>2</v>
      </c>
      <c r="AD89" s="14">
        <v>2</v>
      </c>
      <c r="AE89" s="14">
        <v>1</v>
      </c>
      <c r="AF89" s="14">
        <v>3</v>
      </c>
      <c r="AG89" s="14">
        <f>IFERROR(AVERAGE(Tabel1[[#This Row],[Up - R1]:[Up - R5]]),"")</f>
        <v>2.2000000000000002</v>
      </c>
      <c r="AH89" s="14">
        <v>3</v>
      </c>
      <c r="AI89" s="14">
        <v>2</v>
      </c>
      <c r="AJ89" s="14">
        <v>2</v>
      </c>
      <c r="AK89" s="14">
        <f>IFERROR(AVERAGE(Tabel1[[#This Row],[Up - C1a]:[Up - C1c]]),"")</f>
        <v>2.3333333333333335</v>
      </c>
      <c r="AL89" s="14">
        <v>2</v>
      </c>
      <c r="AM89" s="14">
        <v>1</v>
      </c>
      <c r="AN89" s="14">
        <v>4</v>
      </c>
      <c r="AO89" s="14">
        <f>IFERROR(AVERAGE(Tabel1[[#This Row],[Up - C1]:[Up - C4]]),"")</f>
        <v>2.3333333333333335</v>
      </c>
      <c r="AP89" s="14">
        <v>1</v>
      </c>
      <c r="AQ89" s="14">
        <f>IFERROR(AVERAGE(Tabel1[[#This Row],[Up - F1a]:[Up - F1a]]),"")</f>
        <v>1</v>
      </c>
      <c r="AR89" s="14">
        <v>1</v>
      </c>
      <c r="AS89" s="14">
        <v>2</v>
      </c>
      <c r="AT89" s="14">
        <f>IFERROR(AVERAGE(Tabel1[[#This Row],[Up - F2a]:[Up - F2b]]),"")</f>
        <v>1.5</v>
      </c>
      <c r="AU89" s="14">
        <v>1</v>
      </c>
      <c r="AV89" s="14">
        <v>1</v>
      </c>
      <c r="AW89" s="14">
        <f>IFERROR(AVERAGE(Tabel1[[#This Row],[Up - F3a]:[Up - F3b]]),"")</f>
        <v>1</v>
      </c>
      <c r="AX89" s="14">
        <v>2</v>
      </c>
      <c r="AY89" s="14">
        <f>IFERROR(AVERAGE(Tabel1[[#This Row],[Up - F1]],Tabel1[[#This Row],[Up - F2]],Tabel1[[#This Row],[Up - F3]],Tabel1[[#This Row],[Up - F4]]),"")</f>
        <v>1.375</v>
      </c>
      <c r="AZ89" s="14">
        <v>2</v>
      </c>
      <c r="BA89" s="14">
        <v>2</v>
      </c>
      <c r="BB89" s="14">
        <f>IFERROR(AVERAGE(Tabel1[[#This Row],[Up - V1a]:[Up - V1b]]),"")</f>
        <v>2</v>
      </c>
      <c r="BC89" s="14">
        <v>5</v>
      </c>
      <c r="BD89" s="14">
        <v>2</v>
      </c>
      <c r="BE89" s="14">
        <v>2</v>
      </c>
      <c r="BF89" s="14">
        <f>IFERROR(AVERAGE(Tabel1[[#This Row],[Up - V2a]:[Up - V2c]]),"")</f>
        <v>3</v>
      </c>
      <c r="BG89" s="14">
        <v>3</v>
      </c>
      <c r="BH89" s="14">
        <v>3</v>
      </c>
      <c r="BI89" s="14">
        <f>IFERROR(AVERAGE(Tabel1[[#This Row],[Up - V3a]:[Up - V3b]]),"")</f>
        <v>3</v>
      </c>
      <c r="BJ89" s="14">
        <v>3</v>
      </c>
      <c r="BK89" s="14">
        <f>IFERROR(AVERAGE(Tabel1[[#This Row],[Up - V1]],Tabel1[[#This Row],[Up - V2]],Tabel1[[#This Row],[Up - V3]],Tabel1[[#This Row],[Up - V4]]),"")</f>
        <v>2.75</v>
      </c>
      <c r="BL89" s="14">
        <v>2</v>
      </c>
      <c r="BM89" s="14">
        <v>3</v>
      </c>
      <c r="BN89" s="14">
        <v>2</v>
      </c>
      <c r="BO89" s="14">
        <v>4</v>
      </c>
      <c r="BP89" s="14">
        <f>IFERROR(AVERAGE(Tabel1[[#This Row],[Up - A1a]:[Up - A1d]]),"")</f>
        <v>2.75</v>
      </c>
      <c r="BQ89" s="14">
        <v>1</v>
      </c>
      <c r="BR89" s="14">
        <v>1</v>
      </c>
      <c r="BS89" s="14">
        <f>IFERROR(AVERAGE(Tabel1[[#This Row],[Up - A2a]:[Up - A2b]]),"")</f>
        <v>1</v>
      </c>
      <c r="BT89" s="14">
        <v>4</v>
      </c>
      <c r="BU89" s="14">
        <f>IFERROR(AVERAGE(Tabel1[[#This Row],[Up - A3a]:[Up - A3a]]),"")</f>
        <v>4</v>
      </c>
      <c r="BV89" s="14">
        <v>4</v>
      </c>
      <c r="BW89" s="14">
        <f>IFERROR(AVERAGE(Tabel1[[#This Row],[Up - A1]],Tabel1[[#This Row],[Up - A2]],Tabel1[[#This Row],[Up - A3]]),"")</f>
        <v>2.5833333333333335</v>
      </c>
      <c r="BX89" s="14">
        <v>3</v>
      </c>
      <c r="BY89" s="14">
        <v>1</v>
      </c>
      <c r="BZ89" s="14">
        <f>IFERROR(AVERAGE(Tabel1[[#This Row],[In - R1a]:[In - R1b]]),"")</f>
        <v>2</v>
      </c>
      <c r="CA89" s="14">
        <v>5</v>
      </c>
      <c r="CB89" s="14">
        <v>1</v>
      </c>
      <c r="CC89" s="14">
        <v>1</v>
      </c>
      <c r="CD89" s="14">
        <v>5</v>
      </c>
      <c r="CE89" s="14">
        <f>IFERROR(AVERAGE(Tabel1[[#This Row],[In - R1]:[In - R5]]),"")</f>
        <v>2.8</v>
      </c>
      <c r="CF89" s="14">
        <v>4</v>
      </c>
      <c r="CG89" s="14">
        <v>3</v>
      </c>
      <c r="CH89" s="14">
        <v>4</v>
      </c>
      <c r="CI89" s="14">
        <f>IFERROR(AVERAGE(Tabel1[[#This Row],[In - C1a]:[In - C1c]]),"")</f>
        <v>3.6666666666666665</v>
      </c>
      <c r="CJ89" s="14">
        <v>3</v>
      </c>
      <c r="CK89" s="14">
        <v>3</v>
      </c>
      <c r="CL89" s="14">
        <v>3</v>
      </c>
      <c r="CM89" s="14">
        <f>IFERROR(AVERAGE(Tabel1[[#This Row],[In - C1]:[In - C4]]),"")</f>
        <v>3.1666666666666665</v>
      </c>
      <c r="CN89" s="14">
        <v>1</v>
      </c>
      <c r="CO89" s="14">
        <v>3</v>
      </c>
      <c r="CP89" s="14">
        <v>1</v>
      </c>
      <c r="CQ89" s="14">
        <f>IFERROR(AVERAGE(Tabel1[[#This Row],[In - F1a]:[In - F1c]]),"")</f>
        <v>1.6666666666666667</v>
      </c>
      <c r="CR89" s="14">
        <v>2</v>
      </c>
      <c r="CS89" s="14">
        <v>1</v>
      </c>
      <c r="CT89" s="14">
        <f>IFERROR(AVERAGE(Tabel1[[#This Row],[In - F2a]:[In - F2b]]),"")</f>
        <v>1.5</v>
      </c>
      <c r="CU89" s="14">
        <v>1</v>
      </c>
      <c r="CV89" s="14">
        <f>IFERROR(AVERAGE(Tabel1[[#This Row],[In - F3a]:[In - F3a]]),"")</f>
        <v>1</v>
      </c>
      <c r="CW89" s="14">
        <v>5</v>
      </c>
      <c r="CX89" s="14">
        <f>IFERROR(AVERAGE(Tabel1[[#This Row],[In - F1]],Tabel1[[#This Row],[In - F2]],Tabel1[[#This Row],[In - F3]],Tabel1[[#This Row],[In - F4]]),"")</f>
        <v>2.291666666666667</v>
      </c>
      <c r="CY89" s="14">
        <v>2</v>
      </c>
      <c r="CZ89" s="14">
        <v>3</v>
      </c>
      <c r="DA89" s="14">
        <v>2</v>
      </c>
      <c r="DB89" s="14">
        <f>IFERROR(AVERAGE(Tabel1[[#This Row],[In - V1a]:[In - V1c]]),"")</f>
        <v>2.3333333333333335</v>
      </c>
      <c r="DC89" s="14">
        <v>2</v>
      </c>
      <c r="DD89" s="14">
        <v>4</v>
      </c>
      <c r="DE89" s="14">
        <v>2</v>
      </c>
      <c r="DF89" s="14">
        <f>IFERROR(AVERAGE(Tabel1[[#This Row],[In - V2a]:[In - V2c]]),"")</f>
        <v>2.6666666666666665</v>
      </c>
      <c r="DG89" s="14">
        <v>4</v>
      </c>
      <c r="DH89" s="14">
        <v>3</v>
      </c>
      <c r="DI89" s="14">
        <f>IFERROR(AVERAGE(Tabel1[[#This Row],[In - V3a]:[In - V3b]]),"")</f>
        <v>3.5</v>
      </c>
      <c r="DJ89" s="14">
        <v>4</v>
      </c>
      <c r="DK89" s="14">
        <f>IFERROR(AVERAGE(Tabel1[[#This Row],[In - V1]],Tabel1[[#This Row],[In - V2]],Tabel1[[#This Row],[In - V3]],Tabel1[[#This Row],[In - V4]]),"")</f>
        <v>3.125</v>
      </c>
      <c r="DL89" s="14">
        <v>4</v>
      </c>
      <c r="DM89" s="14">
        <v>4</v>
      </c>
      <c r="DN89" s="14">
        <f>IFERROR(AVERAGE(Tabel1[[#This Row],[In - A1a]:[In - A1b]]),"")</f>
        <v>4</v>
      </c>
      <c r="DO89" s="14">
        <v>5</v>
      </c>
      <c r="DP89" s="14">
        <v>2</v>
      </c>
      <c r="DQ89" s="14">
        <f>IFERROR(AVERAGE(Tabel1[[#This Row],[In - A2a]:[In - A2b]]),"")</f>
        <v>3.5</v>
      </c>
      <c r="DR89" s="14">
        <v>1</v>
      </c>
      <c r="DS89" s="14">
        <v>2</v>
      </c>
      <c r="DT89" s="14">
        <f>IFERROR(AVERAGE(Tabel1[[#This Row],[In - A3a]:[In - A3a]]),"")</f>
        <v>1</v>
      </c>
      <c r="DU89" s="14">
        <v>4</v>
      </c>
      <c r="DV89" s="14">
        <f>IFERROR(AVERAGE(Tabel1[[#This Row],[In - A1]],Tabel1[[#This Row],[In - A2]],Tabel1[[#This Row],[In - A3]],Tabel1[[#This Row],[In - A4]]),"")</f>
        <v>3.125</v>
      </c>
      <c r="DW89" s="14">
        <v>1</v>
      </c>
      <c r="DX89" s="14">
        <v>5</v>
      </c>
      <c r="DY89" s="14">
        <v>2</v>
      </c>
      <c r="DZ89" s="14">
        <f>IFERROR(AVERAGE(Tabel1[[#This Row],[Do - R1a]:[Do - R1c]]),"")</f>
        <v>2.6666666666666665</v>
      </c>
      <c r="EA89" s="14">
        <v>2</v>
      </c>
      <c r="EB89" s="14">
        <v>2</v>
      </c>
      <c r="EC89" s="14">
        <v>2</v>
      </c>
      <c r="ED89" s="14">
        <v>3</v>
      </c>
      <c r="EE89" s="14">
        <f>IFERROR(AVERAGE(Tabel1[[#This Row],[Do - R1]:[Do - R5]]),"")</f>
        <v>2.333333333333333</v>
      </c>
      <c r="EF89" s="14">
        <v>5</v>
      </c>
      <c r="EG89" s="14">
        <v>2</v>
      </c>
      <c r="EH89" s="14">
        <v>4</v>
      </c>
      <c r="EI89" s="14">
        <f>IFERROR(AVERAGE(Tabel1[[#This Row],[Do - C1a]:[Do - C1c]]),"")</f>
        <v>3.6666666666666665</v>
      </c>
      <c r="EJ89" s="14">
        <v>2</v>
      </c>
      <c r="EK89" s="14">
        <v>2</v>
      </c>
      <c r="EL89" s="14">
        <v>1</v>
      </c>
      <c r="EM89" s="14">
        <f>IFERROR(AVERAGE(Tabel1[[#This Row],[Do - C1]:[Do - C4]]),"")</f>
        <v>2.1666666666666665</v>
      </c>
      <c r="EN89" s="14">
        <v>3</v>
      </c>
      <c r="EO89" s="14">
        <v>3</v>
      </c>
      <c r="EP89" s="14">
        <v>3</v>
      </c>
      <c r="EQ89" s="14">
        <f>IFERROR(AVERAGE(Tabel1[[#This Row],[Do - F1a]:[Do - F1c]]),"")</f>
        <v>3</v>
      </c>
      <c r="ER89" s="14">
        <v>1</v>
      </c>
      <c r="ES89" s="14">
        <f>IFERROR(AVERAGE(Tabel1[[#This Row],[Do - F2a]:[Do - F2a]]),"")</f>
        <v>1</v>
      </c>
      <c r="ET89" s="14">
        <v>1</v>
      </c>
      <c r="EU89" s="14">
        <v>2</v>
      </c>
      <c r="EV89" s="14">
        <f>IFERROR(AVERAGE(Tabel1[[#This Row],[Do - F3a]:[Do - F3b]]),"")</f>
        <v>1.5</v>
      </c>
      <c r="EW89" s="14">
        <v>4</v>
      </c>
      <c r="EX89" s="14">
        <f>IFERROR(AVERAGE(Tabel1[[#This Row],[Do - F1]],Tabel1[[#This Row],[Do - F2]],Tabel1[[#This Row],[Do - F3]],Tabel1[[#This Row],[Do - F4]]),"")</f>
        <v>2.375</v>
      </c>
      <c r="EY89" s="14">
        <v>2</v>
      </c>
      <c r="EZ89" s="14">
        <v>2</v>
      </c>
      <c r="FA89" s="14">
        <v>2</v>
      </c>
      <c r="FB89" s="14">
        <f>IFERROR(AVERAGE(Tabel1[[#This Row],[Do - V1a]:[Do - V1c]]),"")</f>
        <v>2</v>
      </c>
      <c r="FC89" s="14">
        <v>4</v>
      </c>
      <c r="FD89" s="14">
        <v>2</v>
      </c>
      <c r="FE89" s="14">
        <f>IFERROR(AVERAGE(Tabel1[[#This Row],[Do - V2a]:[Do - V2b]]),"")</f>
        <v>3</v>
      </c>
      <c r="FF89" s="14">
        <v>1</v>
      </c>
      <c r="FG89" s="14">
        <f>IFERROR(AVERAGE(Tabel1[[#This Row],[Do - V3a]:[Do - V3a]]),"")</f>
        <v>1</v>
      </c>
      <c r="FH89" s="14">
        <v>5</v>
      </c>
      <c r="FI89" s="14">
        <f>IFERROR(AVERAGE(Tabel1[[#This Row],[Do - V1]],Tabel1[[#This Row],[Do - V2]],Tabel1[[#This Row],[Do - V3]],Tabel1[[#This Row],[Do - V4]]),"")</f>
        <v>2.75</v>
      </c>
      <c r="FJ89" s="14">
        <v>5</v>
      </c>
      <c r="FK89" s="14">
        <v>2</v>
      </c>
      <c r="FL89" s="14">
        <v>3</v>
      </c>
      <c r="FM89" s="14">
        <f>IFERROR(AVERAGE(Tabel1[[#This Row],[Do - A1a]:[Do - A1c]]),"")</f>
        <v>3.3333333333333335</v>
      </c>
      <c r="FN89" s="14" t="s">
        <v>189</v>
      </c>
      <c r="FO89" s="14">
        <v>2</v>
      </c>
      <c r="FP89" s="14">
        <f>IFERROR(AVERAGE(Tabel1[[#This Row],[Do - A2a]:[Do - A2b]]),"")</f>
        <v>2</v>
      </c>
      <c r="FQ89" s="14">
        <v>2</v>
      </c>
      <c r="FR89" s="14">
        <f>IFERROR(AVERAGE(Tabel1[[#This Row],[Do - A3a]:[Do - A3a]]),"")</f>
        <v>2</v>
      </c>
      <c r="FS89" s="14">
        <v>4</v>
      </c>
      <c r="FT89" s="14">
        <f>IFERROR(AVERAGE(Tabel1[[#This Row],[Do - A1]],Tabel1[[#This Row],[Do - A2]],Tabel1[[#This Row],[Do - A3]],Tabel1[[#This Row],[Do - A4]]),"")</f>
        <v>2.8333333333333335</v>
      </c>
      <c r="FU8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2.5472222222222225</v>
      </c>
      <c r="FV89" s="16" t="s">
        <v>632</v>
      </c>
      <c r="FW89" t="b">
        <v>1</v>
      </c>
    </row>
    <row r="90" spans="1:179" x14ac:dyDescent="0.3">
      <c r="A90" s="13">
        <v>44960.526655092595</v>
      </c>
      <c r="B90" t="b">
        <v>0</v>
      </c>
      <c r="C90" s="14" t="s">
        <v>633</v>
      </c>
      <c r="D90" s="14" t="s">
        <v>634</v>
      </c>
      <c r="E90" s="14" t="s">
        <v>635</v>
      </c>
      <c r="F90" s="14" t="s">
        <v>184</v>
      </c>
      <c r="G90" s="14" t="s">
        <v>636</v>
      </c>
      <c r="H90" s="14" t="s">
        <v>222</v>
      </c>
      <c r="I90" s="14" t="s">
        <v>195</v>
      </c>
      <c r="J90" s="14" t="s">
        <v>212</v>
      </c>
      <c r="K90" s="14" t="s">
        <v>201</v>
      </c>
      <c r="L90" s="14" t="s">
        <v>249</v>
      </c>
      <c r="M90" s="14" t="s">
        <v>233</v>
      </c>
      <c r="N90" s="14" t="s">
        <v>262</v>
      </c>
      <c r="O90" s="14" t="s">
        <v>200</v>
      </c>
      <c r="P90" s="17" t="s">
        <v>304</v>
      </c>
      <c r="Q90" s="14" t="s">
        <v>201</v>
      </c>
      <c r="R90" s="14" t="s">
        <v>203</v>
      </c>
      <c r="S90" s="17" t="s">
        <v>255</v>
      </c>
      <c r="T90" s="14" t="s">
        <v>236</v>
      </c>
      <c r="U90" s="14" t="s">
        <v>285</v>
      </c>
      <c r="V90" s="14" t="s">
        <v>484</v>
      </c>
      <c r="W90" s="14" t="s">
        <v>207</v>
      </c>
      <c r="X90" s="14" t="s">
        <v>395</v>
      </c>
      <c r="Y90" s="14">
        <v>2</v>
      </c>
      <c r="Z90" s="14">
        <v>3</v>
      </c>
      <c r="AA90" s="14" t="s">
        <v>189</v>
      </c>
      <c r="AB90" s="15">
        <f>IFERROR(AVERAGE(Tabel1[[#This Row],[Up - R1a]:[Up - R1c]]),"")</f>
        <v>2.5</v>
      </c>
      <c r="AC90" s="14">
        <v>3</v>
      </c>
      <c r="AD90" s="14">
        <v>4</v>
      </c>
      <c r="AE90" s="14">
        <v>3</v>
      </c>
      <c r="AF90" s="14">
        <v>4</v>
      </c>
      <c r="AG90" s="14">
        <f>IFERROR(AVERAGE(Tabel1[[#This Row],[Up - R1]:[Up - R5]]),"")</f>
        <v>3.3</v>
      </c>
      <c r="AH90" s="14">
        <v>3</v>
      </c>
      <c r="AI90" s="14">
        <v>4</v>
      </c>
      <c r="AJ90" s="14">
        <v>4</v>
      </c>
      <c r="AK90" s="14">
        <f>IFERROR(AVERAGE(Tabel1[[#This Row],[Up - C1a]:[Up - C1c]]),"")</f>
        <v>3.6666666666666665</v>
      </c>
      <c r="AL90" s="14">
        <v>4</v>
      </c>
      <c r="AM90" s="14">
        <v>2</v>
      </c>
      <c r="AN90" s="14">
        <v>3</v>
      </c>
      <c r="AO90" s="14">
        <f>IFERROR(AVERAGE(Tabel1[[#This Row],[Up - C1]:[Up - C4]]),"")</f>
        <v>3.1666666666666665</v>
      </c>
      <c r="AP90" s="14">
        <v>4</v>
      </c>
      <c r="AQ90" s="14">
        <f>IFERROR(AVERAGE(Tabel1[[#This Row],[Up - F1a]:[Up - F1a]]),"")</f>
        <v>4</v>
      </c>
      <c r="AR90" s="14">
        <v>2</v>
      </c>
      <c r="AS90" s="14">
        <v>5</v>
      </c>
      <c r="AT90" s="14">
        <f>IFERROR(AVERAGE(Tabel1[[#This Row],[Up - F2a]:[Up - F2b]]),"")</f>
        <v>3.5</v>
      </c>
      <c r="AU90" s="14">
        <v>4</v>
      </c>
      <c r="AV90" s="14">
        <v>3</v>
      </c>
      <c r="AW90" s="14">
        <f>IFERROR(AVERAGE(Tabel1[[#This Row],[Up - F3a]:[Up - F3b]]),"")</f>
        <v>3.5</v>
      </c>
      <c r="AX90" s="14">
        <v>3</v>
      </c>
      <c r="AY90" s="14">
        <f>IFERROR(AVERAGE(Tabel1[[#This Row],[Up - F1]],Tabel1[[#This Row],[Up - F2]],Tabel1[[#This Row],[Up - F3]],Tabel1[[#This Row],[Up - F4]]),"")</f>
        <v>3.5</v>
      </c>
      <c r="AZ90" s="14">
        <v>2</v>
      </c>
      <c r="BA90" s="14">
        <v>4</v>
      </c>
      <c r="BB90" s="14">
        <f>IFERROR(AVERAGE(Tabel1[[#This Row],[Up - V1a]:[Up - V1b]]),"")</f>
        <v>3</v>
      </c>
      <c r="BC90" s="14">
        <v>2</v>
      </c>
      <c r="BD90" s="14">
        <v>2</v>
      </c>
      <c r="BE90" s="14">
        <v>3</v>
      </c>
      <c r="BF90" s="14">
        <f>IFERROR(AVERAGE(Tabel1[[#This Row],[Up - V2a]:[Up - V2c]]),"")</f>
        <v>2.3333333333333335</v>
      </c>
      <c r="BG90" s="14">
        <v>2</v>
      </c>
      <c r="BH90" s="14">
        <v>3</v>
      </c>
      <c r="BI90" s="14">
        <f>IFERROR(AVERAGE(Tabel1[[#This Row],[Up - V3a]:[Up - V3b]]),"")</f>
        <v>2.5</v>
      </c>
      <c r="BJ90" s="14">
        <v>3</v>
      </c>
      <c r="BK90" s="14">
        <f>IFERROR(AVERAGE(Tabel1[[#This Row],[Up - V1]],Tabel1[[#This Row],[Up - V2]],Tabel1[[#This Row],[Up - V3]],Tabel1[[#This Row],[Up - V4]]),"")</f>
        <v>2.7083333333333335</v>
      </c>
      <c r="BL90" s="14">
        <v>3</v>
      </c>
      <c r="BM90" s="14">
        <v>4</v>
      </c>
      <c r="BN90" s="14">
        <v>2</v>
      </c>
      <c r="BO90" s="14">
        <v>3</v>
      </c>
      <c r="BP90" s="14">
        <f>IFERROR(AVERAGE(Tabel1[[#This Row],[Up - A1a]:[Up - A1d]]),"")</f>
        <v>3</v>
      </c>
      <c r="BQ90" s="14">
        <v>4</v>
      </c>
      <c r="BR90" s="14">
        <v>5</v>
      </c>
      <c r="BS90" s="14">
        <f>IFERROR(AVERAGE(Tabel1[[#This Row],[Up - A2a]:[Up - A2b]]),"")</f>
        <v>4.5</v>
      </c>
      <c r="BT90" s="14">
        <v>4</v>
      </c>
      <c r="BU90" s="14">
        <f>IFERROR(AVERAGE(Tabel1[[#This Row],[Up - A3a]:[Up - A3a]]),"")</f>
        <v>4</v>
      </c>
      <c r="BV90" s="14">
        <v>2</v>
      </c>
      <c r="BW90" s="14">
        <f>IFERROR(AVERAGE(Tabel1[[#This Row],[Up - A1]],Tabel1[[#This Row],[Up - A2]],Tabel1[[#This Row],[Up - A3]]),"")</f>
        <v>3.8333333333333335</v>
      </c>
      <c r="BX90" s="14">
        <v>3</v>
      </c>
      <c r="BY90" s="14">
        <v>1</v>
      </c>
      <c r="BZ90" s="14">
        <f>IFERROR(AVERAGE(Tabel1[[#This Row],[In - R1a]:[In - R1b]]),"")</f>
        <v>2</v>
      </c>
      <c r="CA90" s="14">
        <v>3</v>
      </c>
      <c r="CB90" s="14">
        <v>5</v>
      </c>
      <c r="CC90" s="14">
        <v>4</v>
      </c>
      <c r="CD90" s="14">
        <v>4</v>
      </c>
      <c r="CE90" s="14">
        <f>IFERROR(AVERAGE(Tabel1[[#This Row],[In - R1]:[In - R5]]),"")</f>
        <v>3.6</v>
      </c>
      <c r="CF90" s="14">
        <v>4</v>
      </c>
      <c r="CG90" s="14">
        <v>4</v>
      </c>
      <c r="CH90" s="14">
        <v>4</v>
      </c>
      <c r="CI90" s="14">
        <f>IFERROR(AVERAGE(Tabel1[[#This Row],[In - C1a]:[In - C1c]]),"")</f>
        <v>4</v>
      </c>
      <c r="CJ90" s="14">
        <v>4</v>
      </c>
      <c r="CK90" s="14">
        <v>4</v>
      </c>
      <c r="CL90" s="14">
        <v>2</v>
      </c>
      <c r="CM90" s="14">
        <f>IFERROR(AVERAGE(Tabel1[[#This Row],[In - C1]:[In - C4]]),"")</f>
        <v>3.5</v>
      </c>
      <c r="CN90" s="14">
        <v>2</v>
      </c>
      <c r="CO90" s="14">
        <v>4</v>
      </c>
      <c r="CP90" s="14">
        <v>1</v>
      </c>
      <c r="CQ90" s="14">
        <f>IFERROR(AVERAGE(Tabel1[[#This Row],[In - F1a]:[In - F1c]]),"")</f>
        <v>2.3333333333333335</v>
      </c>
      <c r="CR90" s="14">
        <v>2</v>
      </c>
      <c r="CS90" s="14">
        <v>2</v>
      </c>
      <c r="CT90" s="14">
        <f>IFERROR(AVERAGE(Tabel1[[#This Row],[In - F2a]:[In - F2b]]),"")</f>
        <v>2</v>
      </c>
      <c r="CU90" s="14">
        <v>2</v>
      </c>
      <c r="CV90" s="14">
        <f>IFERROR(AVERAGE(Tabel1[[#This Row],[In - F3a]:[In - F3a]]),"")</f>
        <v>2</v>
      </c>
      <c r="CW90" s="14">
        <v>3</v>
      </c>
      <c r="CX90" s="14">
        <f>IFERROR(AVERAGE(Tabel1[[#This Row],[In - F1]],Tabel1[[#This Row],[In - F2]],Tabel1[[#This Row],[In - F3]],Tabel1[[#This Row],[In - F4]]),"")</f>
        <v>2.3333333333333335</v>
      </c>
      <c r="CY90" s="14">
        <v>5</v>
      </c>
      <c r="CZ90" s="14">
        <v>4</v>
      </c>
      <c r="DA90" s="14">
        <v>4</v>
      </c>
      <c r="DB90" s="14">
        <f>IFERROR(AVERAGE(Tabel1[[#This Row],[In - V1a]:[In - V1c]]),"")</f>
        <v>4.333333333333333</v>
      </c>
      <c r="DC90" s="14">
        <v>3</v>
      </c>
      <c r="DD90" s="14">
        <v>3</v>
      </c>
      <c r="DE90" s="14">
        <v>3</v>
      </c>
      <c r="DF90" s="14">
        <f>IFERROR(AVERAGE(Tabel1[[#This Row],[In - V2a]:[In - V2c]]),"")</f>
        <v>3</v>
      </c>
      <c r="DG90" s="14">
        <v>4</v>
      </c>
      <c r="DH90" s="14">
        <v>4</v>
      </c>
      <c r="DI90" s="14">
        <f>IFERROR(AVERAGE(Tabel1[[#This Row],[In - V3a]:[In - V3b]]),"")</f>
        <v>4</v>
      </c>
      <c r="DJ90" s="14">
        <v>3</v>
      </c>
      <c r="DK90" s="14">
        <f>IFERROR(AVERAGE(Tabel1[[#This Row],[In - V1]],Tabel1[[#This Row],[In - V2]],Tabel1[[#This Row],[In - V3]],Tabel1[[#This Row],[In - V4]]),"")</f>
        <v>3.583333333333333</v>
      </c>
      <c r="DL90" s="14">
        <v>3</v>
      </c>
      <c r="DM90" s="14">
        <v>4</v>
      </c>
      <c r="DN90" s="14">
        <f>IFERROR(AVERAGE(Tabel1[[#This Row],[In - A1a]:[In - A1b]]),"")</f>
        <v>3.5</v>
      </c>
      <c r="DO90" s="14">
        <v>3</v>
      </c>
      <c r="DP90" s="14">
        <v>4</v>
      </c>
      <c r="DQ90" s="14">
        <f>IFERROR(AVERAGE(Tabel1[[#This Row],[In - A2a]:[In - A2b]]),"")</f>
        <v>3.5</v>
      </c>
      <c r="DR90" s="14">
        <v>5</v>
      </c>
      <c r="DS90" s="14">
        <v>3</v>
      </c>
      <c r="DT90" s="14">
        <f>IFERROR(AVERAGE(Tabel1[[#This Row],[In - A3a]:[In - A3a]]),"")</f>
        <v>5</v>
      </c>
      <c r="DU90" s="14">
        <v>3</v>
      </c>
      <c r="DV90" s="14">
        <f>IFERROR(AVERAGE(Tabel1[[#This Row],[In - A1]],Tabel1[[#This Row],[In - A2]],Tabel1[[#This Row],[In - A3]],Tabel1[[#This Row],[In - A4]]),"")</f>
        <v>3.75</v>
      </c>
      <c r="DW90" s="14">
        <v>2</v>
      </c>
      <c r="DX90" s="14">
        <v>2</v>
      </c>
      <c r="DY90" s="14">
        <v>2</v>
      </c>
      <c r="DZ90" s="14">
        <f>IFERROR(AVERAGE(Tabel1[[#This Row],[Do - R1a]:[Do - R1c]]),"")</f>
        <v>2</v>
      </c>
      <c r="EA90" s="14">
        <v>1</v>
      </c>
      <c r="EB90" s="14">
        <v>3</v>
      </c>
      <c r="EC90" s="14">
        <v>1</v>
      </c>
      <c r="ED90" s="14" t="s">
        <v>189</v>
      </c>
      <c r="EE90" s="14">
        <f>IFERROR(AVERAGE(Tabel1[[#This Row],[Do - R1]:[Do - R5]]),"")</f>
        <v>1.75</v>
      </c>
      <c r="EF90" s="14">
        <v>3</v>
      </c>
      <c r="EG90" s="14">
        <v>4</v>
      </c>
      <c r="EH90" s="14">
        <v>3</v>
      </c>
      <c r="EI90" s="14">
        <f>IFERROR(AVERAGE(Tabel1[[#This Row],[Do - C1a]:[Do - C1c]]),"")</f>
        <v>3.3333333333333335</v>
      </c>
      <c r="EJ90" s="14">
        <v>4</v>
      </c>
      <c r="EK90" s="14">
        <v>4</v>
      </c>
      <c r="EL90" s="14">
        <v>3</v>
      </c>
      <c r="EM90" s="14">
        <f>IFERROR(AVERAGE(Tabel1[[#This Row],[Do - C1]:[Do - C4]]),"")</f>
        <v>3.5833333333333335</v>
      </c>
      <c r="EN90" s="14">
        <v>2</v>
      </c>
      <c r="EO90" s="14">
        <v>1</v>
      </c>
      <c r="EP90" s="14">
        <v>2</v>
      </c>
      <c r="EQ90" s="14">
        <f>IFERROR(AVERAGE(Tabel1[[#This Row],[Do - F1a]:[Do - F1c]]),"")</f>
        <v>1.6666666666666667</v>
      </c>
      <c r="ER90" s="14">
        <v>2</v>
      </c>
      <c r="ES90" s="14">
        <f>IFERROR(AVERAGE(Tabel1[[#This Row],[Do - F2a]:[Do - F2a]]),"")</f>
        <v>2</v>
      </c>
      <c r="ET90" s="14">
        <v>4</v>
      </c>
      <c r="EU90" s="14">
        <v>2</v>
      </c>
      <c r="EV90" s="14">
        <f>IFERROR(AVERAGE(Tabel1[[#This Row],[Do - F3a]:[Do - F3b]]),"")</f>
        <v>3</v>
      </c>
      <c r="EW90" s="14">
        <v>3</v>
      </c>
      <c r="EX90" s="14">
        <f>IFERROR(AVERAGE(Tabel1[[#This Row],[Do - F1]],Tabel1[[#This Row],[Do - F2]],Tabel1[[#This Row],[Do - F3]],Tabel1[[#This Row],[Do - F4]]),"")</f>
        <v>2.416666666666667</v>
      </c>
      <c r="EY90" s="14">
        <v>4</v>
      </c>
      <c r="EZ90" s="14">
        <v>4</v>
      </c>
      <c r="FA90" s="14">
        <v>3</v>
      </c>
      <c r="FB90" s="14">
        <f>IFERROR(AVERAGE(Tabel1[[#This Row],[Do - V1a]:[Do - V1c]]),"")</f>
        <v>3.6666666666666665</v>
      </c>
      <c r="FC90" s="14">
        <v>1</v>
      </c>
      <c r="FD90" s="14">
        <v>3</v>
      </c>
      <c r="FE90" s="14">
        <f>IFERROR(AVERAGE(Tabel1[[#This Row],[Do - V2a]:[Do - V2b]]),"")</f>
        <v>2</v>
      </c>
      <c r="FF90" s="14">
        <v>4</v>
      </c>
      <c r="FG90" s="14">
        <f>IFERROR(AVERAGE(Tabel1[[#This Row],[Do - V3a]:[Do - V3a]]),"")</f>
        <v>4</v>
      </c>
      <c r="FH90" s="14">
        <v>2</v>
      </c>
      <c r="FI90" s="14">
        <f>IFERROR(AVERAGE(Tabel1[[#This Row],[Do - V1]],Tabel1[[#This Row],[Do - V2]],Tabel1[[#This Row],[Do - V3]],Tabel1[[#This Row],[Do - V4]]),"")</f>
        <v>2.9166666666666665</v>
      </c>
      <c r="FJ90" s="14">
        <v>3</v>
      </c>
      <c r="FK90" s="14">
        <v>2</v>
      </c>
      <c r="FL90" s="14">
        <v>2</v>
      </c>
      <c r="FM90" s="14">
        <f>IFERROR(AVERAGE(Tabel1[[#This Row],[Do - A1a]:[Do - A1c]]),"")</f>
        <v>2.3333333333333335</v>
      </c>
      <c r="FN90" s="14">
        <v>4</v>
      </c>
      <c r="FO90" s="14">
        <v>4</v>
      </c>
      <c r="FP90" s="14">
        <f>IFERROR(AVERAGE(Tabel1[[#This Row],[Do - A2a]:[Do - A2b]]),"")</f>
        <v>4</v>
      </c>
      <c r="FQ90" s="14">
        <v>3</v>
      </c>
      <c r="FR90" s="14">
        <f>IFERROR(AVERAGE(Tabel1[[#This Row],[Do - A3a]:[Do - A3a]]),"")</f>
        <v>3</v>
      </c>
      <c r="FS90" s="14">
        <v>3</v>
      </c>
      <c r="FT90" s="14">
        <f>IFERROR(AVERAGE(Tabel1[[#This Row],[Do - A1]],Tabel1[[#This Row],[Do - A2]],Tabel1[[#This Row],[Do - A3]],Tabel1[[#This Row],[Do - A4]]),"")</f>
        <v>3.0833333333333335</v>
      </c>
      <c r="FU9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3.1349999999999998</v>
      </c>
      <c r="FV90" s="16" t="s">
        <v>637</v>
      </c>
      <c r="FW90" t="b">
        <v>1</v>
      </c>
    </row>
    <row r="91" spans="1:179" x14ac:dyDescent="0.3">
      <c r="A91" s="13">
        <v>44960.657997685186</v>
      </c>
      <c r="B91" t="b">
        <v>0</v>
      </c>
      <c r="C91" s="14" t="s">
        <v>638</v>
      </c>
      <c r="D91" s="14" t="s">
        <v>215</v>
      </c>
      <c r="E91" s="14" t="s">
        <v>639</v>
      </c>
      <c r="F91" s="14" t="s">
        <v>184</v>
      </c>
      <c r="G91" s="14" t="s">
        <v>640</v>
      </c>
      <c r="H91" s="14" t="s">
        <v>222</v>
      </c>
      <c r="I91" s="14" t="s">
        <v>195</v>
      </c>
      <c r="J91" s="14" t="s">
        <v>261</v>
      </c>
      <c r="K91" s="14" t="s">
        <v>201</v>
      </c>
      <c r="L91" s="14" t="s">
        <v>218</v>
      </c>
      <c r="M91" s="14" t="s">
        <v>188</v>
      </c>
      <c r="N91" s="14" t="s">
        <v>262</v>
      </c>
      <c r="O91" s="14" t="s">
        <v>200</v>
      </c>
      <c r="P91" s="17" t="s">
        <v>255</v>
      </c>
      <c r="Q91" s="14" t="s">
        <v>201</v>
      </c>
      <c r="R91" s="14" t="s">
        <v>201</v>
      </c>
      <c r="S91" s="14" t="s">
        <v>201</v>
      </c>
      <c r="T91" s="14" t="s">
        <v>236</v>
      </c>
      <c r="U91" s="14" t="s">
        <v>285</v>
      </c>
      <c r="V91" s="14" t="s">
        <v>359</v>
      </c>
      <c r="W91" s="14" t="s">
        <v>207</v>
      </c>
      <c r="X91" s="14" t="s">
        <v>207</v>
      </c>
      <c r="Y91" s="14">
        <v>1</v>
      </c>
      <c r="Z91" s="14">
        <v>3</v>
      </c>
      <c r="AA91" s="14">
        <v>4</v>
      </c>
      <c r="AB91" s="15">
        <f>IFERROR(AVERAGE(Tabel1[[#This Row],[Up - R1a]:[Up - R1c]]),"")</f>
        <v>2.6666666666666665</v>
      </c>
      <c r="AC91" s="14">
        <v>1</v>
      </c>
      <c r="AD91" s="14">
        <v>2</v>
      </c>
      <c r="AE91" s="14">
        <v>1</v>
      </c>
      <c r="AF91" s="14">
        <v>2</v>
      </c>
      <c r="AG91" s="14">
        <f>IFERROR(AVERAGE(Tabel1[[#This Row],[Up - R1]:[Up - R5]]),"")</f>
        <v>1.7333333333333332</v>
      </c>
      <c r="AH91" s="14">
        <v>3</v>
      </c>
      <c r="AI91" s="14">
        <v>1</v>
      </c>
      <c r="AJ91" s="14">
        <v>2</v>
      </c>
      <c r="AK91" s="14">
        <f>IFERROR(AVERAGE(Tabel1[[#This Row],[Up - C1a]:[Up - C1c]]),"")</f>
        <v>2</v>
      </c>
      <c r="AL91" s="14">
        <v>2</v>
      </c>
      <c r="AM91" s="14">
        <v>2</v>
      </c>
      <c r="AN91" s="14">
        <v>1</v>
      </c>
      <c r="AO91" s="14">
        <f>IFERROR(AVERAGE(Tabel1[[#This Row],[Up - C1]:[Up - C4]]),"")</f>
        <v>1.75</v>
      </c>
      <c r="AP91" s="14">
        <v>2</v>
      </c>
      <c r="AQ91" s="14">
        <f>IFERROR(AVERAGE(Tabel1[[#This Row],[Up - F1a]:[Up - F1a]]),"")</f>
        <v>2</v>
      </c>
      <c r="AR91" s="14">
        <v>4</v>
      </c>
      <c r="AS91" s="14">
        <v>4</v>
      </c>
      <c r="AT91" s="14">
        <f>IFERROR(AVERAGE(Tabel1[[#This Row],[Up - F2a]:[Up - F2b]]),"")</f>
        <v>4</v>
      </c>
      <c r="AU91" s="14">
        <v>4</v>
      </c>
      <c r="AV91" s="14" t="s">
        <v>189</v>
      </c>
      <c r="AW91" s="14">
        <f>IFERROR(AVERAGE(Tabel1[[#This Row],[Up - F3a]:[Up - F3b]]),"")</f>
        <v>4</v>
      </c>
      <c r="AX91" s="14">
        <v>2</v>
      </c>
      <c r="AY91" s="14">
        <f>IFERROR(AVERAGE(Tabel1[[#This Row],[Up - F1]],Tabel1[[#This Row],[Up - F2]],Tabel1[[#This Row],[Up - F3]],Tabel1[[#This Row],[Up - F4]]),"")</f>
        <v>3</v>
      </c>
      <c r="AZ91" s="14">
        <v>2</v>
      </c>
      <c r="BA91" s="14">
        <v>3</v>
      </c>
      <c r="BB91" s="14">
        <f>IFERROR(AVERAGE(Tabel1[[#This Row],[Up - V1a]:[Up - V1b]]),"")</f>
        <v>2.5</v>
      </c>
      <c r="BC91" s="14">
        <v>3</v>
      </c>
      <c r="BD91" s="14">
        <v>3</v>
      </c>
      <c r="BE91" s="14">
        <v>3</v>
      </c>
      <c r="BF91" s="14">
        <f>IFERROR(AVERAGE(Tabel1[[#This Row],[Up - V2a]:[Up - V2c]]),"")</f>
        <v>3</v>
      </c>
      <c r="BG91" s="14" t="s">
        <v>189</v>
      </c>
      <c r="BH91" s="14">
        <v>1</v>
      </c>
      <c r="BI91" s="14">
        <f>IFERROR(AVERAGE(Tabel1[[#This Row],[Up - V3a]:[Up - V3b]]),"")</f>
        <v>1</v>
      </c>
      <c r="BJ91" s="14">
        <v>2</v>
      </c>
      <c r="BK91" s="14">
        <f>IFERROR(AVERAGE(Tabel1[[#This Row],[Up - V1]],Tabel1[[#This Row],[Up - V2]],Tabel1[[#This Row],[Up - V3]],Tabel1[[#This Row],[Up - V4]]),"")</f>
        <v>2.125</v>
      </c>
      <c r="BL91" s="14">
        <v>3</v>
      </c>
      <c r="BM91" s="14">
        <v>3</v>
      </c>
      <c r="BN91" s="14">
        <v>2</v>
      </c>
      <c r="BO91" s="14">
        <v>2</v>
      </c>
      <c r="BP91" s="14">
        <f>IFERROR(AVERAGE(Tabel1[[#This Row],[Up - A1a]:[Up - A1d]]),"")</f>
        <v>2.5</v>
      </c>
      <c r="BQ91" s="14">
        <v>2</v>
      </c>
      <c r="BR91" s="14">
        <v>3</v>
      </c>
      <c r="BS91" s="14">
        <f>IFERROR(AVERAGE(Tabel1[[#This Row],[Up - A2a]:[Up - A2b]]),"")</f>
        <v>2.5</v>
      </c>
      <c r="BT91" s="14">
        <v>2</v>
      </c>
      <c r="BU91" s="14">
        <f>IFERROR(AVERAGE(Tabel1[[#This Row],[Up - A3a]:[Up - A3a]]),"")</f>
        <v>2</v>
      </c>
      <c r="BV91" s="14" t="s">
        <v>189</v>
      </c>
      <c r="BW91" s="14">
        <f>IFERROR(AVERAGE(Tabel1[[#This Row],[Up - A1]],Tabel1[[#This Row],[Up - A2]],Tabel1[[#This Row],[Up - A3]]),"")</f>
        <v>2.3333333333333335</v>
      </c>
      <c r="BX91" s="14">
        <v>1</v>
      </c>
      <c r="BY91" s="14">
        <v>1</v>
      </c>
      <c r="BZ91" s="14">
        <f>IFERROR(AVERAGE(Tabel1[[#This Row],[In - R1a]:[In - R1b]]),"")</f>
        <v>1</v>
      </c>
      <c r="CA91" s="14">
        <v>3</v>
      </c>
      <c r="CB91" s="14">
        <v>1</v>
      </c>
      <c r="CC91" s="14">
        <v>1</v>
      </c>
      <c r="CD91" s="14">
        <v>2</v>
      </c>
      <c r="CE91" s="14">
        <f>IFERROR(AVERAGE(Tabel1[[#This Row],[In - R1]:[In - R5]]),"")</f>
        <v>1.6</v>
      </c>
      <c r="CF91" s="14">
        <v>2</v>
      </c>
      <c r="CG91" s="14">
        <v>3</v>
      </c>
      <c r="CH91" s="14">
        <v>2</v>
      </c>
      <c r="CI91" s="14">
        <f>IFERROR(AVERAGE(Tabel1[[#This Row],[In - C1a]:[In - C1c]]),"")</f>
        <v>2.3333333333333335</v>
      </c>
      <c r="CJ91" s="14">
        <v>3</v>
      </c>
      <c r="CK91" s="14">
        <v>2</v>
      </c>
      <c r="CL91" s="14">
        <v>4</v>
      </c>
      <c r="CM91" s="14">
        <f>IFERROR(AVERAGE(Tabel1[[#This Row],[In - C1]:[In - C4]]),"")</f>
        <v>2.8333333333333335</v>
      </c>
      <c r="CN91" s="14">
        <v>5</v>
      </c>
      <c r="CO91" s="14">
        <v>3</v>
      </c>
      <c r="CP91" s="14">
        <v>1</v>
      </c>
      <c r="CQ91" s="14">
        <f>IFERROR(AVERAGE(Tabel1[[#This Row],[In - F1a]:[In - F1c]]),"")</f>
        <v>3</v>
      </c>
      <c r="CR91" s="14">
        <v>3</v>
      </c>
      <c r="CS91" s="14">
        <v>3</v>
      </c>
      <c r="CT91" s="14">
        <f>IFERROR(AVERAGE(Tabel1[[#This Row],[In - F2a]:[In - F2b]]),"")</f>
        <v>3</v>
      </c>
      <c r="CU91" s="14">
        <v>3</v>
      </c>
      <c r="CV91" s="14">
        <f>IFERROR(AVERAGE(Tabel1[[#This Row],[In - F3a]:[In - F3a]]),"")</f>
        <v>3</v>
      </c>
      <c r="CW91" s="14">
        <v>1</v>
      </c>
      <c r="CX91" s="14">
        <f>IFERROR(AVERAGE(Tabel1[[#This Row],[In - F1]],Tabel1[[#This Row],[In - F2]],Tabel1[[#This Row],[In - F3]],Tabel1[[#This Row],[In - F4]]),"")</f>
        <v>2.5</v>
      </c>
      <c r="CY91" s="14">
        <v>2</v>
      </c>
      <c r="CZ91" s="14">
        <v>3</v>
      </c>
      <c r="DA91" s="14">
        <v>2</v>
      </c>
      <c r="DB91" s="14">
        <f>IFERROR(AVERAGE(Tabel1[[#This Row],[In - V1a]:[In - V1c]]),"")</f>
        <v>2.3333333333333335</v>
      </c>
      <c r="DC91" s="14">
        <v>4</v>
      </c>
      <c r="DD91" s="14">
        <v>3</v>
      </c>
      <c r="DE91" s="14">
        <v>2</v>
      </c>
      <c r="DF91" s="14">
        <f>IFERROR(AVERAGE(Tabel1[[#This Row],[In - V2a]:[In - V2c]]),"")</f>
        <v>3</v>
      </c>
      <c r="DG91" s="14">
        <v>2</v>
      </c>
      <c r="DH91" s="14">
        <v>2</v>
      </c>
      <c r="DI91" s="14">
        <f>IFERROR(AVERAGE(Tabel1[[#This Row],[In - V3a]:[In - V3b]]),"")</f>
        <v>2</v>
      </c>
      <c r="DJ91" s="14">
        <v>2</v>
      </c>
      <c r="DK91" s="14">
        <f>IFERROR(AVERAGE(Tabel1[[#This Row],[In - V1]],Tabel1[[#This Row],[In - V2]],Tabel1[[#This Row],[In - V3]],Tabel1[[#This Row],[In - V4]]),"")</f>
        <v>2.3333333333333335</v>
      </c>
      <c r="DL91" s="14">
        <v>3</v>
      </c>
      <c r="DM91" s="14">
        <v>2</v>
      </c>
      <c r="DN91" s="14">
        <f>IFERROR(AVERAGE(Tabel1[[#This Row],[In - A1a]:[In - A1b]]),"")</f>
        <v>2.5</v>
      </c>
      <c r="DO91" s="14">
        <v>5</v>
      </c>
      <c r="DP91" s="14">
        <v>2</v>
      </c>
      <c r="DQ91" s="14">
        <f>IFERROR(AVERAGE(Tabel1[[#This Row],[In - A2a]:[In - A2b]]),"")</f>
        <v>3.5</v>
      </c>
      <c r="DR91" s="14">
        <v>4</v>
      </c>
      <c r="DS91" s="14">
        <v>3</v>
      </c>
      <c r="DT91" s="14">
        <f>IFERROR(AVERAGE(Tabel1[[#This Row],[In - A3a]:[In - A3a]]),"")</f>
        <v>4</v>
      </c>
      <c r="DU91" s="14">
        <v>3</v>
      </c>
      <c r="DV91" s="14">
        <f>IFERROR(AVERAGE(Tabel1[[#This Row],[In - A1]],Tabel1[[#This Row],[In - A2]],Tabel1[[#This Row],[In - A3]],Tabel1[[#This Row],[In - A4]]),"")</f>
        <v>3.25</v>
      </c>
      <c r="DW91" s="14">
        <v>1</v>
      </c>
      <c r="DX91" s="14">
        <v>2</v>
      </c>
      <c r="DY91" s="14">
        <v>2</v>
      </c>
      <c r="DZ91" s="14">
        <f>IFERROR(AVERAGE(Tabel1[[#This Row],[Do - R1a]:[Do - R1c]]),"")</f>
        <v>1.6666666666666667</v>
      </c>
      <c r="EA91" s="14">
        <v>2</v>
      </c>
      <c r="EB91" s="14">
        <v>3</v>
      </c>
      <c r="EC91" s="14">
        <v>1</v>
      </c>
      <c r="ED91" s="14">
        <v>3</v>
      </c>
      <c r="EE91" s="14">
        <f>IFERROR(AVERAGE(Tabel1[[#This Row],[Do - R1]:[Do - R5]]),"")</f>
        <v>2.1333333333333337</v>
      </c>
      <c r="EF91" s="14">
        <v>3</v>
      </c>
      <c r="EG91" s="14">
        <v>2</v>
      </c>
      <c r="EH91" s="14">
        <v>1</v>
      </c>
      <c r="EI91" s="14">
        <f>IFERROR(AVERAGE(Tabel1[[#This Row],[Do - C1a]:[Do - C1c]]),"")</f>
        <v>2</v>
      </c>
      <c r="EJ91" s="14">
        <v>3</v>
      </c>
      <c r="EK91" s="14">
        <v>2</v>
      </c>
      <c r="EL91" s="14">
        <v>2</v>
      </c>
      <c r="EM91" s="14">
        <f>IFERROR(AVERAGE(Tabel1[[#This Row],[Do - C1]:[Do - C4]]),"")</f>
        <v>2.25</v>
      </c>
      <c r="EN91" s="14">
        <v>2</v>
      </c>
      <c r="EO91" s="14">
        <v>2</v>
      </c>
      <c r="EP91" s="14">
        <v>1</v>
      </c>
      <c r="EQ91" s="14">
        <f>IFERROR(AVERAGE(Tabel1[[#This Row],[Do - F1a]:[Do - F1c]]),"")</f>
        <v>1.6666666666666667</v>
      </c>
      <c r="ER91" s="14">
        <v>2</v>
      </c>
      <c r="ES91" s="14">
        <f>IFERROR(AVERAGE(Tabel1[[#This Row],[Do - F2a]:[Do - F2a]]),"")</f>
        <v>2</v>
      </c>
      <c r="ET91" s="14">
        <v>3</v>
      </c>
      <c r="EU91" s="14">
        <v>3</v>
      </c>
      <c r="EV91" s="14">
        <f>IFERROR(AVERAGE(Tabel1[[#This Row],[Do - F3a]:[Do - F3b]]),"")</f>
        <v>3</v>
      </c>
      <c r="EW91" s="14">
        <v>2</v>
      </c>
      <c r="EX91" s="14">
        <f>IFERROR(AVERAGE(Tabel1[[#This Row],[Do - F1]],Tabel1[[#This Row],[Do - F2]],Tabel1[[#This Row],[Do - F3]],Tabel1[[#This Row],[Do - F4]]),"")</f>
        <v>2.166666666666667</v>
      </c>
      <c r="EY91" s="14">
        <v>3</v>
      </c>
      <c r="EZ91" s="14">
        <v>3</v>
      </c>
      <c r="FA91" s="14">
        <v>4</v>
      </c>
      <c r="FB91" s="14">
        <f>IFERROR(AVERAGE(Tabel1[[#This Row],[Do - V1a]:[Do - V1c]]),"")</f>
        <v>3.3333333333333335</v>
      </c>
      <c r="FC91" s="14">
        <v>4</v>
      </c>
      <c r="FD91" s="14">
        <v>2</v>
      </c>
      <c r="FE91" s="14">
        <f>IFERROR(AVERAGE(Tabel1[[#This Row],[Do - V2a]:[Do - V2b]]),"")</f>
        <v>3</v>
      </c>
      <c r="FF91" s="14">
        <v>2</v>
      </c>
      <c r="FG91" s="14">
        <f>IFERROR(AVERAGE(Tabel1[[#This Row],[Do - V3a]:[Do - V3a]]),"")</f>
        <v>2</v>
      </c>
      <c r="FH91" s="14">
        <v>4</v>
      </c>
      <c r="FI91" s="14">
        <f>IFERROR(AVERAGE(Tabel1[[#This Row],[Do - V1]],Tabel1[[#This Row],[Do - V2]],Tabel1[[#This Row],[Do - V3]],Tabel1[[#This Row],[Do - V4]]),"")</f>
        <v>3.0833333333333335</v>
      </c>
      <c r="FJ91" s="14">
        <v>3</v>
      </c>
      <c r="FK91" s="14">
        <v>2</v>
      </c>
      <c r="FL91" s="14">
        <v>3</v>
      </c>
      <c r="FM91" s="14">
        <f>IFERROR(AVERAGE(Tabel1[[#This Row],[Do - A1a]:[Do - A1c]]),"")</f>
        <v>2.6666666666666665</v>
      </c>
      <c r="FN91" s="14" t="s">
        <v>189</v>
      </c>
      <c r="FO91" s="14">
        <v>4</v>
      </c>
      <c r="FP91" s="14">
        <f>IFERROR(AVERAGE(Tabel1[[#This Row],[Do - A2a]:[Do - A2b]]),"")</f>
        <v>4</v>
      </c>
      <c r="FQ91" s="14">
        <v>3</v>
      </c>
      <c r="FR91" s="14">
        <f>IFERROR(AVERAGE(Tabel1[[#This Row],[Do - A3a]:[Do - A3a]]),"")</f>
        <v>3</v>
      </c>
      <c r="FS91" s="14" t="s">
        <v>189</v>
      </c>
      <c r="FT91" s="14">
        <f>IFERROR(AVERAGE(Tabel1[[#This Row],[Do - A1]],Tabel1[[#This Row],[Do - A2]],Tabel1[[#This Row],[Do - A3]],Tabel1[[#This Row],[Do - A4]]),"")</f>
        <v>3.2222222222222219</v>
      </c>
      <c r="FU9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2.4209259259259261</v>
      </c>
      <c r="FV91" s="16" t="s">
        <v>641</v>
      </c>
      <c r="FW91" t="b">
        <v>1</v>
      </c>
    </row>
    <row r="92" spans="1:179" x14ac:dyDescent="0.3">
      <c r="A92" s="13">
        <v>44965.307997685188</v>
      </c>
      <c r="B92" t="b">
        <v>0</v>
      </c>
      <c r="C92" s="14" t="s">
        <v>642</v>
      </c>
      <c r="D92" s="14" t="s">
        <v>643</v>
      </c>
      <c r="E92" s="14" t="s">
        <v>644</v>
      </c>
      <c r="F92" s="14" t="s">
        <v>189</v>
      </c>
      <c r="G92" s="14" t="s">
        <v>645</v>
      </c>
      <c r="H92" s="14" t="s">
        <v>194</v>
      </c>
      <c r="I92" s="14" t="s">
        <v>195</v>
      </c>
      <c r="J92" s="14" t="s">
        <v>212</v>
      </c>
      <c r="K92" s="14" t="s">
        <v>201</v>
      </c>
      <c r="L92" s="14" t="s">
        <v>218</v>
      </c>
      <c r="M92" s="14" t="s">
        <v>198</v>
      </c>
      <c r="N92" s="14" t="s">
        <v>199</v>
      </c>
      <c r="O92" s="14" t="s">
        <v>200</v>
      </c>
      <c r="P92" s="17" t="s">
        <v>255</v>
      </c>
      <c r="Q92" s="14" t="s">
        <v>201</v>
      </c>
      <c r="R92" s="14" t="s">
        <v>201</v>
      </c>
      <c r="S92" s="14" t="s">
        <v>202</v>
      </c>
      <c r="T92" s="14" t="s">
        <v>204</v>
      </c>
      <c r="U92" s="14" t="s">
        <v>285</v>
      </c>
      <c r="V92" s="14" t="s">
        <v>359</v>
      </c>
      <c r="W92" s="14" t="s">
        <v>207</v>
      </c>
      <c r="X92" s="14" t="s">
        <v>207</v>
      </c>
      <c r="Y92" s="14">
        <v>4</v>
      </c>
      <c r="Z92" s="14">
        <v>4</v>
      </c>
      <c r="AA92" s="14">
        <v>4</v>
      </c>
      <c r="AB92" s="15">
        <f>IFERROR(AVERAGE(Tabel1[[#This Row],[Up - R1a]:[Up - R1c]]),"")</f>
        <v>4</v>
      </c>
      <c r="AC92" s="14">
        <v>3</v>
      </c>
      <c r="AD92" s="14">
        <v>5</v>
      </c>
      <c r="AE92" s="14">
        <v>2</v>
      </c>
      <c r="AF92" s="14">
        <v>4</v>
      </c>
      <c r="AG92" s="14">
        <f>IFERROR(AVERAGE(Tabel1[[#This Row],[Up - R1]:[Up - R5]]),"")</f>
        <v>3.6</v>
      </c>
      <c r="AH92" s="14">
        <v>4</v>
      </c>
      <c r="AI92" s="14">
        <v>3</v>
      </c>
      <c r="AJ92" s="14">
        <v>2</v>
      </c>
      <c r="AK92" s="14">
        <f>IFERROR(AVERAGE(Tabel1[[#This Row],[Up - C1a]:[Up - C1c]]),"")</f>
        <v>3</v>
      </c>
      <c r="AL92" s="14">
        <v>2</v>
      </c>
      <c r="AM92" s="14">
        <v>3</v>
      </c>
      <c r="AN92" s="14">
        <v>3</v>
      </c>
      <c r="AO92" s="14">
        <f>IFERROR(AVERAGE(Tabel1[[#This Row],[Up - C1]:[Up - C4]]),"")</f>
        <v>2.75</v>
      </c>
      <c r="AP92" s="14">
        <v>2</v>
      </c>
      <c r="AQ92" s="14">
        <f>IFERROR(AVERAGE(Tabel1[[#This Row],[Up - F1a]:[Up - F1a]]),"")</f>
        <v>2</v>
      </c>
      <c r="AR92" s="14">
        <v>3</v>
      </c>
      <c r="AS92" s="14">
        <v>4</v>
      </c>
      <c r="AT92" s="14">
        <f>IFERROR(AVERAGE(Tabel1[[#This Row],[Up - F2a]:[Up - F2b]]),"")</f>
        <v>3.5</v>
      </c>
      <c r="AU92" s="14">
        <v>4</v>
      </c>
      <c r="AV92" s="14">
        <v>4</v>
      </c>
      <c r="AW92" s="14">
        <f>IFERROR(AVERAGE(Tabel1[[#This Row],[Up - F3a]:[Up - F3b]]),"")</f>
        <v>4</v>
      </c>
      <c r="AX92" s="14">
        <v>4</v>
      </c>
      <c r="AY92" s="14">
        <f>IFERROR(AVERAGE(Tabel1[[#This Row],[Up - F1]],Tabel1[[#This Row],[Up - F2]],Tabel1[[#This Row],[Up - F3]],Tabel1[[#This Row],[Up - F4]]),"")</f>
        <v>3.375</v>
      </c>
      <c r="AZ92" s="14">
        <v>4</v>
      </c>
      <c r="BA92" s="14">
        <v>3</v>
      </c>
      <c r="BB92" s="14">
        <f>IFERROR(AVERAGE(Tabel1[[#This Row],[Up - V1a]:[Up - V1b]]),"")</f>
        <v>3.5</v>
      </c>
      <c r="BC92" s="14">
        <v>3</v>
      </c>
      <c r="BD92" s="14">
        <v>3</v>
      </c>
      <c r="BE92" s="14">
        <v>2</v>
      </c>
      <c r="BF92" s="14">
        <f>IFERROR(AVERAGE(Tabel1[[#This Row],[Up - V2a]:[Up - V2c]]),"")</f>
        <v>2.6666666666666665</v>
      </c>
      <c r="BG92" s="14">
        <v>1</v>
      </c>
      <c r="BH92" s="14">
        <v>1</v>
      </c>
      <c r="BI92" s="14">
        <f>IFERROR(AVERAGE(Tabel1[[#This Row],[Up - V3a]:[Up - V3b]]),"")</f>
        <v>1</v>
      </c>
      <c r="BJ92" s="14">
        <v>4</v>
      </c>
      <c r="BK92" s="14">
        <f>IFERROR(AVERAGE(Tabel1[[#This Row],[Up - V1]],Tabel1[[#This Row],[Up - V2]],Tabel1[[#This Row],[Up - V3]],Tabel1[[#This Row],[Up - V4]]),"")</f>
        <v>2.7916666666666665</v>
      </c>
      <c r="BL92" s="14">
        <v>3</v>
      </c>
      <c r="BM92" s="14">
        <v>3</v>
      </c>
      <c r="BN92" s="14">
        <v>4</v>
      </c>
      <c r="BO92" s="14">
        <v>4</v>
      </c>
      <c r="BP92" s="14">
        <f>IFERROR(AVERAGE(Tabel1[[#This Row],[Up - A1a]:[Up - A1d]]),"")</f>
        <v>3.5</v>
      </c>
      <c r="BQ92" s="14">
        <v>4</v>
      </c>
      <c r="BR92" s="14">
        <v>4</v>
      </c>
      <c r="BS92" s="14">
        <f>IFERROR(AVERAGE(Tabel1[[#This Row],[Up - A2a]:[Up - A2b]]),"")</f>
        <v>4</v>
      </c>
      <c r="BT92" s="14">
        <v>4</v>
      </c>
      <c r="BU92" s="14">
        <f>IFERROR(AVERAGE(Tabel1[[#This Row],[Up - A3a]:[Up - A3a]]),"")</f>
        <v>4</v>
      </c>
      <c r="BV92" s="14">
        <v>3</v>
      </c>
      <c r="BW92" s="14">
        <f>IFERROR(AVERAGE(Tabel1[[#This Row],[Up - A1]],Tabel1[[#This Row],[Up - A2]],Tabel1[[#This Row],[Up - A3]]),"")</f>
        <v>3.8333333333333335</v>
      </c>
      <c r="BX92" s="14">
        <v>1</v>
      </c>
      <c r="BY92" s="14">
        <v>1</v>
      </c>
      <c r="BZ92" s="14">
        <f>IFERROR(AVERAGE(Tabel1[[#This Row],[In - R1a]:[In - R1b]]),"")</f>
        <v>1</v>
      </c>
      <c r="CA92" s="14">
        <v>5</v>
      </c>
      <c r="CB92" s="14">
        <v>2</v>
      </c>
      <c r="CC92" s="14">
        <v>4</v>
      </c>
      <c r="CD92" s="14">
        <v>5</v>
      </c>
      <c r="CE92" s="14">
        <f>IFERROR(AVERAGE(Tabel1[[#This Row],[In - R1]:[In - R5]]),"")</f>
        <v>3.4</v>
      </c>
      <c r="CF92" s="14">
        <v>5</v>
      </c>
      <c r="CG92" s="14">
        <v>3</v>
      </c>
      <c r="CH92" s="14">
        <v>3</v>
      </c>
      <c r="CI92" s="14">
        <f>IFERROR(AVERAGE(Tabel1[[#This Row],[In - C1a]:[In - C1c]]),"")</f>
        <v>3.6666666666666665</v>
      </c>
      <c r="CJ92" s="14">
        <v>4</v>
      </c>
      <c r="CK92" s="14">
        <v>2</v>
      </c>
      <c r="CL92" s="14">
        <v>5</v>
      </c>
      <c r="CM92" s="14">
        <f>IFERROR(AVERAGE(Tabel1[[#This Row],[In - C1]:[In - C4]]),"")</f>
        <v>3.6666666666666665</v>
      </c>
      <c r="CN92" s="14">
        <v>4</v>
      </c>
      <c r="CO92" s="14">
        <v>5</v>
      </c>
      <c r="CP92" s="14">
        <v>1</v>
      </c>
      <c r="CQ92" s="14">
        <f>IFERROR(AVERAGE(Tabel1[[#This Row],[In - F1a]:[In - F1c]]),"")</f>
        <v>3.3333333333333335</v>
      </c>
      <c r="CR92" s="14">
        <v>5</v>
      </c>
      <c r="CS92" s="14">
        <v>4</v>
      </c>
      <c r="CT92" s="14">
        <f>IFERROR(AVERAGE(Tabel1[[#This Row],[In - F2a]:[In - F2b]]),"")</f>
        <v>4.5</v>
      </c>
      <c r="CU92" s="14">
        <v>5</v>
      </c>
      <c r="CV92" s="14">
        <f>IFERROR(AVERAGE(Tabel1[[#This Row],[In - F3a]:[In - F3a]]),"")</f>
        <v>5</v>
      </c>
      <c r="CW92" s="14">
        <v>5</v>
      </c>
      <c r="CX92" s="14">
        <f>IFERROR(AVERAGE(Tabel1[[#This Row],[In - F1]],Tabel1[[#This Row],[In - F2]],Tabel1[[#This Row],[In - F3]],Tabel1[[#This Row],[In - F4]]),"")</f>
        <v>4.4583333333333339</v>
      </c>
      <c r="CY92" s="14">
        <v>5</v>
      </c>
      <c r="CZ92" s="14">
        <v>4</v>
      </c>
      <c r="DA92" s="14">
        <v>2</v>
      </c>
      <c r="DB92" s="14">
        <f>IFERROR(AVERAGE(Tabel1[[#This Row],[In - V1a]:[In - V1c]]),"")</f>
        <v>3.6666666666666665</v>
      </c>
      <c r="DC92" s="14">
        <v>2</v>
      </c>
      <c r="DD92" s="14">
        <v>3</v>
      </c>
      <c r="DE92" s="14">
        <v>2</v>
      </c>
      <c r="DF92" s="14">
        <f>IFERROR(AVERAGE(Tabel1[[#This Row],[In - V2a]:[In - V2c]]),"")</f>
        <v>2.3333333333333335</v>
      </c>
      <c r="DG92" s="14">
        <v>1</v>
      </c>
      <c r="DH92" s="14">
        <v>5</v>
      </c>
      <c r="DI92" s="14">
        <f>IFERROR(AVERAGE(Tabel1[[#This Row],[In - V3a]:[In - V3b]]),"")</f>
        <v>3</v>
      </c>
      <c r="DJ92" s="14">
        <v>5</v>
      </c>
      <c r="DK92" s="14">
        <f>IFERROR(AVERAGE(Tabel1[[#This Row],[In - V1]],Tabel1[[#This Row],[In - V2]],Tabel1[[#This Row],[In - V3]],Tabel1[[#This Row],[In - V4]]),"")</f>
        <v>3.5</v>
      </c>
      <c r="DL92" s="14">
        <v>4</v>
      </c>
      <c r="DM92" s="14">
        <v>3</v>
      </c>
      <c r="DN92" s="14">
        <f>IFERROR(AVERAGE(Tabel1[[#This Row],[In - A1a]:[In - A1b]]),"")</f>
        <v>3.5</v>
      </c>
      <c r="DO92" s="14">
        <v>5</v>
      </c>
      <c r="DP92" s="14">
        <v>4</v>
      </c>
      <c r="DQ92" s="14">
        <f>IFERROR(AVERAGE(Tabel1[[#This Row],[In - A2a]:[In - A2b]]),"")</f>
        <v>4.5</v>
      </c>
      <c r="DR92" s="14">
        <v>4</v>
      </c>
      <c r="DS92" s="14">
        <v>2</v>
      </c>
      <c r="DT92" s="14">
        <f>IFERROR(AVERAGE(Tabel1[[#This Row],[In - A3a]:[In - A3a]]),"")</f>
        <v>4</v>
      </c>
      <c r="DU92" s="14">
        <v>4</v>
      </c>
      <c r="DV92" s="14">
        <f>IFERROR(AVERAGE(Tabel1[[#This Row],[In - A1]],Tabel1[[#This Row],[In - A2]],Tabel1[[#This Row],[In - A3]],Tabel1[[#This Row],[In - A4]]),"")</f>
        <v>4</v>
      </c>
      <c r="DW92" s="14">
        <v>1</v>
      </c>
      <c r="DX92" s="14">
        <v>5</v>
      </c>
      <c r="DY92" s="14">
        <v>1</v>
      </c>
      <c r="DZ92" s="14">
        <f>IFERROR(AVERAGE(Tabel1[[#This Row],[Do - R1a]:[Do - R1c]]),"")</f>
        <v>2.3333333333333335</v>
      </c>
      <c r="EA92" s="14">
        <v>3</v>
      </c>
      <c r="EB92" s="14">
        <v>4</v>
      </c>
      <c r="EC92" s="14">
        <v>2</v>
      </c>
      <c r="ED92" s="14">
        <v>4</v>
      </c>
      <c r="EE92" s="14">
        <f>IFERROR(AVERAGE(Tabel1[[#This Row],[Do - R1]:[Do - R5]]),"")</f>
        <v>3.0666666666666669</v>
      </c>
      <c r="EF92" s="14">
        <v>4</v>
      </c>
      <c r="EG92" s="14">
        <v>4</v>
      </c>
      <c r="EH92" s="14">
        <v>3</v>
      </c>
      <c r="EI92" s="14">
        <f>IFERROR(AVERAGE(Tabel1[[#This Row],[Do - C1a]:[Do - C1c]]),"")</f>
        <v>3.6666666666666665</v>
      </c>
      <c r="EJ92" s="14">
        <v>3</v>
      </c>
      <c r="EK92" s="14">
        <v>1</v>
      </c>
      <c r="EL92" s="14">
        <v>2</v>
      </c>
      <c r="EM92" s="14">
        <f>IFERROR(AVERAGE(Tabel1[[#This Row],[Do - C1]:[Do - C4]]),"")</f>
        <v>2.4166666666666665</v>
      </c>
      <c r="EN92" s="14">
        <v>2</v>
      </c>
      <c r="EO92" s="14">
        <v>2</v>
      </c>
      <c r="EP92" s="14">
        <v>4</v>
      </c>
      <c r="EQ92" s="14">
        <f>IFERROR(AVERAGE(Tabel1[[#This Row],[Do - F1a]:[Do - F1c]]),"")</f>
        <v>2.6666666666666665</v>
      </c>
      <c r="ER92" s="14">
        <v>2</v>
      </c>
      <c r="ES92" s="14">
        <f>IFERROR(AVERAGE(Tabel1[[#This Row],[Do - F2a]:[Do - F2a]]),"")</f>
        <v>2</v>
      </c>
      <c r="ET92" s="14">
        <v>4</v>
      </c>
      <c r="EU92" s="14">
        <v>5</v>
      </c>
      <c r="EV92" s="14">
        <f>IFERROR(AVERAGE(Tabel1[[#This Row],[Do - F3a]:[Do - F3b]]),"")</f>
        <v>4.5</v>
      </c>
      <c r="EW92" s="14">
        <v>5</v>
      </c>
      <c r="EX92" s="14">
        <f>IFERROR(AVERAGE(Tabel1[[#This Row],[Do - F1]],Tabel1[[#This Row],[Do - F2]],Tabel1[[#This Row],[Do - F3]],Tabel1[[#This Row],[Do - F4]]),"")</f>
        <v>3.5416666666666665</v>
      </c>
      <c r="EY92" s="14">
        <v>3</v>
      </c>
      <c r="EZ92" s="14">
        <v>1</v>
      </c>
      <c r="FA92" s="14">
        <v>4</v>
      </c>
      <c r="FB92" s="14">
        <f>IFERROR(AVERAGE(Tabel1[[#This Row],[Do - V1a]:[Do - V1c]]),"")</f>
        <v>2.6666666666666665</v>
      </c>
      <c r="FC92" s="14">
        <v>3</v>
      </c>
      <c r="FD92" s="14">
        <v>5</v>
      </c>
      <c r="FE92" s="14">
        <f>IFERROR(AVERAGE(Tabel1[[#This Row],[Do - V2a]:[Do - V2b]]),"")</f>
        <v>4</v>
      </c>
      <c r="FF92" s="14">
        <v>3</v>
      </c>
      <c r="FG92" s="14">
        <f>IFERROR(AVERAGE(Tabel1[[#This Row],[Do - V3a]:[Do - V3a]]),"")</f>
        <v>3</v>
      </c>
      <c r="FH92" s="14">
        <v>5</v>
      </c>
      <c r="FI92" s="14">
        <f>IFERROR(AVERAGE(Tabel1[[#This Row],[Do - V1]],Tabel1[[#This Row],[Do - V2]],Tabel1[[#This Row],[Do - V3]],Tabel1[[#This Row],[Do - V4]]),"")</f>
        <v>3.6666666666666665</v>
      </c>
      <c r="FJ92" s="14">
        <v>5</v>
      </c>
      <c r="FK92" s="14">
        <v>1</v>
      </c>
      <c r="FL92" s="14">
        <v>3</v>
      </c>
      <c r="FM92" s="14">
        <f>IFERROR(AVERAGE(Tabel1[[#This Row],[Do - A1a]:[Do - A1c]]),"")</f>
        <v>3</v>
      </c>
      <c r="FN92" s="14">
        <v>2</v>
      </c>
      <c r="FO92" s="14">
        <v>4</v>
      </c>
      <c r="FP92" s="14">
        <f>IFERROR(AVERAGE(Tabel1[[#This Row],[Do - A2a]:[Do - A2b]]),"")</f>
        <v>3</v>
      </c>
      <c r="FQ92" s="14">
        <v>4</v>
      </c>
      <c r="FR92" s="14">
        <f>IFERROR(AVERAGE(Tabel1[[#This Row],[Do - A3a]:[Do - A3a]]),"")</f>
        <v>4</v>
      </c>
      <c r="FS92" s="14">
        <v>4</v>
      </c>
      <c r="FT92" s="14">
        <f>IFERROR(AVERAGE(Tabel1[[#This Row],[Do - A1]],Tabel1[[#This Row],[Do - A2]],Tabel1[[#This Row],[Do - A3]],Tabel1[[#This Row],[Do - A4]]),"")</f>
        <v>3.5</v>
      </c>
      <c r="FU9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3.4377777777777774</v>
      </c>
      <c r="FV92" s="16" t="s">
        <v>646</v>
      </c>
      <c r="FW92" t="b">
        <v>1</v>
      </c>
    </row>
    <row r="93" spans="1:179" x14ac:dyDescent="0.3">
      <c r="A93" s="13">
        <v>44965.792627314811</v>
      </c>
      <c r="B93" t="b">
        <v>0</v>
      </c>
      <c r="C93" s="14" t="s">
        <v>647</v>
      </c>
      <c r="D93" s="14" t="s">
        <v>648</v>
      </c>
      <c r="E93" s="14" t="s">
        <v>649</v>
      </c>
      <c r="F93" s="14" t="s">
        <v>184</v>
      </c>
      <c r="G93" s="14" t="s">
        <v>650</v>
      </c>
      <c r="H93" s="14" t="s">
        <v>222</v>
      </c>
      <c r="I93" s="14" t="s">
        <v>195</v>
      </c>
      <c r="J93" s="14" t="s">
        <v>217</v>
      </c>
      <c r="K93" s="17" t="s">
        <v>304</v>
      </c>
      <c r="L93" s="14" t="s">
        <v>218</v>
      </c>
      <c r="M93" s="14" t="s">
        <v>198</v>
      </c>
      <c r="N93" s="14" t="s">
        <v>199</v>
      </c>
      <c r="O93" s="14" t="s">
        <v>200</v>
      </c>
      <c r="P93" s="17" t="s">
        <v>304</v>
      </c>
      <c r="Q93" s="17" t="s">
        <v>255</v>
      </c>
      <c r="R93" s="17" t="s">
        <v>304</v>
      </c>
      <c r="S93" s="14" t="s">
        <v>201</v>
      </c>
      <c r="T93" s="14" t="s">
        <v>380</v>
      </c>
      <c r="U93" s="14" t="s">
        <v>349</v>
      </c>
      <c r="V93" s="14" t="s">
        <v>224</v>
      </c>
      <c r="W93" s="14" t="s">
        <v>207</v>
      </c>
      <c r="X93" s="14" t="s">
        <v>207</v>
      </c>
      <c r="Y93" s="14">
        <v>4</v>
      </c>
      <c r="Z93" s="14">
        <v>4</v>
      </c>
      <c r="AA93" s="14">
        <v>3</v>
      </c>
      <c r="AB93" s="15">
        <f>IFERROR(AVERAGE(Tabel1[[#This Row],[Up - R1a]:[Up - R1c]]),"")</f>
        <v>3.6666666666666665</v>
      </c>
      <c r="AC93" s="14">
        <v>2</v>
      </c>
      <c r="AD93" s="14">
        <v>3</v>
      </c>
      <c r="AE93" s="14">
        <v>3</v>
      </c>
      <c r="AF93" s="14">
        <v>3</v>
      </c>
      <c r="AG93" s="14">
        <f>IFERROR(AVERAGE(Tabel1[[#This Row],[Up - R1]:[Up - R5]]),"")</f>
        <v>2.9333333333333331</v>
      </c>
      <c r="AH93" s="14">
        <v>4</v>
      </c>
      <c r="AI93" s="14">
        <v>2</v>
      </c>
      <c r="AJ93" s="14">
        <v>3</v>
      </c>
      <c r="AK93" s="14">
        <f>IFERROR(AVERAGE(Tabel1[[#This Row],[Up - C1a]:[Up - C1c]]),"")</f>
        <v>3</v>
      </c>
      <c r="AL93" s="14">
        <v>2</v>
      </c>
      <c r="AM93" s="14">
        <v>3</v>
      </c>
      <c r="AN93" s="14">
        <v>3</v>
      </c>
      <c r="AO93" s="14">
        <f>IFERROR(AVERAGE(Tabel1[[#This Row],[Up - C1]:[Up - C4]]),"")</f>
        <v>2.75</v>
      </c>
      <c r="AP93" s="14">
        <v>4</v>
      </c>
      <c r="AQ93" s="14">
        <f>IFERROR(AVERAGE(Tabel1[[#This Row],[Up - F1a]:[Up - F1a]]),"")</f>
        <v>4</v>
      </c>
      <c r="AR93" s="14">
        <v>2</v>
      </c>
      <c r="AS93" s="14">
        <v>4</v>
      </c>
      <c r="AT93" s="14">
        <f>IFERROR(AVERAGE(Tabel1[[#This Row],[Up - F2a]:[Up - F2b]]),"")</f>
        <v>3</v>
      </c>
      <c r="AU93" s="14">
        <v>4</v>
      </c>
      <c r="AV93" s="14">
        <v>4</v>
      </c>
      <c r="AW93" s="14">
        <f>IFERROR(AVERAGE(Tabel1[[#This Row],[Up - F3a]:[Up - F3b]]),"")</f>
        <v>4</v>
      </c>
      <c r="AX93" s="14">
        <v>4</v>
      </c>
      <c r="AY93" s="14">
        <f>IFERROR(AVERAGE(Tabel1[[#This Row],[Up - F1]],Tabel1[[#This Row],[Up - F2]],Tabel1[[#This Row],[Up - F3]],Tabel1[[#This Row],[Up - F4]]),"")</f>
        <v>3.75</v>
      </c>
      <c r="AZ93" s="14">
        <v>4</v>
      </c>
      <c r="BA93" s="14">
        <v>4</v>
      </c>
      <c r="BB93" s="14">
        <f>IFERROR(AVERAGE(Tabel1[[#This Row],[Up - V1a]:[Up - V1b]]),"")</f>
        <v>4</v>
      </c>
      <c r="BC93" s="14">
        <v>2</v>
      </c>
      <c r="BD93" s="14">
        <v>4</v>
      </c>
      <c r="BE93" s="14">
        <v>3</v>
      </c>
      <c r="BF93" s="14">
        <f>IFERROR(AVERAGE(Tabel1[[#This Row],[Up - V2a]:[Up - V2c]]),"")</f>
        <v>3</v>
      </c>
      <c r="BG93" s="14">
        <v>4</v>
      </c>
      <c r="BH93" s="14">
        <v>3</v>
      </c>
      <c r="BI93" s="14">
        <f>IFERROR(AVERAGE(Tabel1[[#This Row],[Up - V3a]:[Up - V3b]]),"")</f>
        <v>3.5</v>
      </c>
      <c r="BJ93" s="14">
        <v>2</v>
      </c>
      <c r="BK93" s="14">
        <f>IFERROR(AVERAGE(Tabel1[[#This Row],[Up - V1]],Tabel1[[#This Row],[Up - V2]],Tabel1[[#This Row],[Up - V3]],Tabel1[[#This Row],[Up - V4]]),"")</f>
        <v>3.125</v>
      </c>
      <c r="BL93" s="14">
        <v>3</v>
      </c>
      <c r="BM93" s="14">
        <v>5</v>
      </c>
      <c r="BN93" s="14">
        <v>4</v>
      </c>
      <c r="BO93" s="14">
        <v>4</v>
      </c>
      <c r="BP93" s="14">
        <f>IFERROR(AVERAGE(Tabel1[[#This Row],[Up - A1a]:[Up - A1d]]),"")</f>
        <v>4</v>
      </c>
      <c r="BQ93" s="14">
        <v>4</v>
      </c>
      <c r="BR93" s="14">
        <v>4</v>
      </c>
      <c r="BS93" s="14">
        <f>IFERROR(AVERAGE(Tabel1[[#This Row],[Up - A2a]:[Up - A2b]]),"")</f>
        <v>4</v>
      </c>
      <c r="BT93" s="14">
        <v>4</v>
      </c>
      <c r="BU93" s="14">
        <f>IFERROR(AVERAGE(Tabel1[[#This Row],[Up - A3a]:[Up - A3a]]),"")</f>
        <v>4</v>
      </c>
      <c r="BV93" s="14">
        <v>3</v>
      </c>
      <c r="BW93" s="14">
        <f>IFERROR(AVERAGE(Tabel1[[#This Row],[Up - A1]],Tabel1[[#This Row],[Up - A2]],Tabel1[[#This Row],[Up - A3]]),"")</f>
        <v>4</v>
      </c>
      <c r="BX93" s="14">
        <v>1</v>
      </c>
      <c r="BY93" s="14">
        <v>1</v>
      </c>
      <c r="BZ93" s="14">
        <f>IFERROR(AVERAGE(Tabel1[[#This Row],[In - R1a]:[In - R1b]]),"")</f>
        <v>1</v>
      </c>
      <c r="CA93" s="14">
        <v>4</v>
      </c>
      <c r="CB93" s="14">
        <v>2</v>
      </c>
      <c r="CC93" s="14">
        <v>3</v>
      </c>
      <c r="CD93" s="14">
        <v>4</v>
      </c>
      <c r="CE93" s="14">
        <f>IFERROR(AVERAGE(Tabel1[[#This Row],[In - R1]:[In - R5]]),"")</f>
        <v>2.8</v>
      </c>
      <c r="CF93" s="14">
        <v>2</v>
      </c>
      <c r="CG93" s="14">
        <v>2</v>
      </c>
      <c r="CH93" s="14">
        <v>3</v>
      </c>
      <c r="CI93" s="14">
        <f>IFERROR(AVERAGE(Tabel1[[#This Row],[In - C1a]:[In - C1c]]),"")</f>
        <v>2.3333333333333335</v>
      </c>
      <c r="CJ93" s="14">
        <v>3</v>
      </c>
      <c r="CK93" s="14">
        <v>3</v>
      </c>
      <c r="CL93" s="14">
        <v>4</v>
      </c>
      <c r="CM93" s="14">
        <f>IFERROR(AVERAGE(Tabel1[[#This Row],[In - C1]:[In - C4]]),"")</f>
        <v>3.0833333333333335</v>
      </c>
      <c r="CN93" s="14">
        <v>2</v>
      </c>
      <c r="CO93" s="14">
        <v>4</v>
      </c>
      <c r="CP93" s="14">
        <v>3</v>
      </c>
      <c r="CQ93" s="14">
        <f>IFERROR(AVERAGE(Tabel1[[#This Row],[In - F1a]:[In - F1c]]),"")</f>
        <v>3</v>
      </c>
      <c r="CR93" s="14">
        <v>4</v>
      </c>
      <c r="CS93" s="14">
        <v>4</v>
      </c>
      <c r="CT93" s="14">
        <f>IFERROR(AVERAGE(Tabel1[[#This Row],[In - F2a]:[In - F2b]]),"")</f>
        <v>4</v>
      </c>
      <c r="CU93" s="14">
        <v>4</v>
      </c>
      <c r="CV93" s="14">
        <f>IFERROR(AVERAGE(Tabel1[[#This Row],[In - F3a]:[In - F3a]]),"")</f>
        <v>4</v>
      </c>
      <c r="CW93" s="14">
        <v>2</v>
      </c>
      <c r="CX93" s="14">
        <f>IFERROR(AVERAGE(Tabel1[[#This Row],[In - F1]],Tabel1[[#This Row],[In - F2]],Tabel1[[#This Row],[In - F3]],Tabel1[[#This Row],[In - F4]]),"")</f>
        <v>3.25</v>
      </c>
      <c r="CY93" s="14">
        <v>4</v>
      </c>
      <c r="CZ93" s="14">
        <v>2</v>
      </c>
      <c r="DA93" s="14">
        <v>3</v>
      </c>
      <c r="DB93" s="14">
        <f>IFERROR(AVERAGE(Tabel1[[#This Row],[In - V1a]:[In - V1c]]),"")</f>
        <v>3</v>
      </c>
      <c r="DC93" s="14">
        <v>2</v>
      </c>
      <c r="DD93" s="14">
        <v>4</v>
      </c>
      <c r="DE93" s="14">
        <v>2</v>
      </c>
      <c r="DF93" s="14">
        <f>IFERROR(AVERAGE(Tabel1[[#This Row],[In - V2a]:[In - V2c]]),"")</f>
        <v>2.6666666666666665</v>
      </c>
      <c r="DG93" s="14">
        <v>2</v>
      </c>
      <c r="DH93" s="14">
        <v>1</v>
      </c>
      <c r="DI93" s="14">
        <f>IFERROR(AVERAGE(Tabel1[[#This Row],[In - V3a]:[In - V3b]]),"")</f>
        <v>1.5</v>
      </c>
      <c r="DJ93" s="14">
        <v>3</v>
      </c>
      <c r="DK93" s="14">
        <f>IFERROR(AVERAGE(Tabel1[[#This Row],[In - V1]],Tabel1[[#This Row],[In - V2]],Tabel1[[#This Row],[In - V3]],Tabel1[[#This Row],[In - V4]]),"")</f>
        <v>2.5416666666666665</v>
      </c>
      <c r="DL93" s="14">
        <v>2</v>
      </c>
      <c r="DM93" s="14">
        <v>4</v>
      </c>
      <c r="DN93" s="14">
        <f>IFERROR(AVERAGE(Tabel1[[#This Row],[In - A1a]:[In - A1b]]),"")</f>
        <v>3</v>
      </c>
      <c r="DO93" s="14">
        <v>3</v>
      </c>
      <c r="DP93" s="14">
        <v>4</v>
      </c>
      <c r="DQ93" s="14">
        <f>IFERROR(AVERAGE(Tabel1[[#This Row],[In - A2a]:[In - A2b]]),"")</f>
        <v>3.5</v>
      </c>
      <c r="DR93" s="14">
        <v>4</v>
      </c>
      <c r="DS93" s="14">
        <v>3</v>
      </c>
      <c r="DT93" s="14">
        <f>IFERROR(AVERAGE(Tabel1[[#This Row],[In - A3a]:[In - A3a]]),"")</f>
        <v>4</v>
      </c>
      <c r="DU93" s="14">
        <v>2</v>
      </c>
      <c r="DV93" s="14">
        <f>IFERROR(AVERAGE(Tabel1[[#This Row],[In - A1]],Tabel1[[#This Row],[In - A2]],Tabel1[[#This Row],[In - A3]],Tabel1[[#This Row],[In - A4]]),"")</f>
        <v>3.125</v>
      </c>
      <c r="DW93" s="14">
        <v>2</v>
      </c>
      <c r="DX93" s="14">
        <v>5</v>
      </c>
      <c r="DY93" s="14">
        <v>3</v>
      </c>
      <c r="DZ93" s="14">
        <f>IFERROR(AVERAGE(Tabel1[[#This Row],[Do - R1a]:[Do - R1c]]),"")</f>
        <v>3.3333333333333335</v>
      </c>
      <c r="EA93" s="14">
        <v>3</v>
      </c>
      <c r="EB93" s="14">
        <v>4</v>
      </c>
      <c r="EC93" s="14">
        <v>3</v>
      </c>
      <c r="ED93" s="14">
        <v>4</v>
      </c>
      <c r="EE93" s="14">
        <f>IFERROR(AVERAGE(Tabel1[[#This Row],[Do - R1]:[Do - R5]]),"")</f>
        <v>3.4666666666666672</v>
      </c>
      <c r="EF93" s="14">
        <v>3</v>
      </c>
      <c r="EG93" s="14">
        <v>2</v>
      </c>
      <c r="EH93" s="14">
        <v>3</v>
      </c>
      <c r="EI93" s="14">
        <f>IFERROR(AVERAGE(Tabel1[[#This Row],[Do - C1a]:[Do - C1c]]),"")</f>
        <v>2.6666666666666665</v>
      </c>
      <c r="EJ93" s="14">
        <v>2</v>
      </c>
      <c r="EK93" s="14">
        <v>3</v>
      </c>
      <c r="EL93" s="14">
        <v>3</v>
      </c>
      <c r="EM93" s="14">
        <f>IFERROR(AVERAGE(Tabel1[[#This Row],[Do - C1]:[Do - C4]]),"")</f>
        <v>2.6666666666666665</v>
      </c>
      <c r="EN93" s="14">
        <v>4</v>
      </c>
      <c r="EO93" s="14">
        <v>3</v>
      </c>
      <c r="EP93" s="14">
        <v>4</v>
      </c>
      <c r="EQ93" s="14">
        <f>IFERROR(AVERAGE(Tabel1[[#This Row],[Do - F1a]:[Do - F1c]]),"")</f>
        <v>3.6666666666666665</v>
      </c>
      <c r="ER93" s="14">
        <v>4</v>
      </c>
      <c r="ES93" s="14">
        <f>IFERROR(AVERAGE(Tabel1[[#This Row],[Do - F2a]:[Do - F2a]]),"")</f>
        <v>4</v>
      </c>
      <c r="ET93" s="14">
        <v>4</v>
      </c>
      <c r="EU93" s="14">
        <v>3</v>
      </c>
      <c r="EV93" s="14">
        <f>IFERROR(AVERAGE(Tabel1[[#This Row],[Do - F3a]:[Do - F3b]]),"")</f>
        <v>3.5</v>
      </c>
      <c r="EW93" s="14">
        <v>4</v>
      </c>
      <c r="EX93" s="14">
        <f>IFERROR(AVERAGE(Tabel1[[#This Row],[Do - F1]],Tabel1[[#This Row],[Do - F2]],Tabel1[[#This Row],[Do - F3]],Tabel1[[#This Row],[Do - F4]]),"")</f>
        <v>3.7916666666666665</v>
      </c>
      <c r="EY93" s="14">
        <v>4</v>
      </c>
      <c r="EZ93" s="14">
        <v>3</v>
      </c>
      <c r="FA93" s="14">
        <v>3</v>
      </c>
      <c r="FB93" s="14">
        <f>IFERROR(AVERAGE(Tabel1[[#This Row],[Do - V1a]:[Do - V1c]]),"")</f>
        <v>3.3333333333333335</v>
      </c>
      <c r="FC93" s="14">
        <v>4</v>
      </c>
      <c r="FD93" s="14">
        <v>3</v>
      </c>
      <c r="FE93" s="14">
        <f>IFERROR(AVERAGE(Tabel1[[#This Row],[Do - V2a]:[Do - V2b]]),"")</f>
        <v>3.5</v>
      </c>
      <c r="FF93" s="14">
        <v>3</v>
      </c>
      <c r="FG93" s="14">
        <f>IFERROR(AVERAGE(Tabel1[[#This Row],[Do - V3a]:[Do - V3a]]),"")</f>
        <v>3</v>
      </c>
      <c r="FH93" s="14">
        <v>4</v>
      </c>
      <c r="FI93" s="14">
        <f>IFERROR(AVERAGE(Tabel1[[#This Row],[Do - V1]],Tabel1[[#This Row],[Do - V2]],Tabel1[[#This Row],[Do - V3]],Tabel1[[#This Row],[Do - V4]]),"")</f>
        <v>3.4583333333333335</v>
      </c>
      <c r="FJ93" s="14">
        <v>5</v>
      </c>
      <c r="FK93" s="14">
        <v>4</v>
      </c>
      <c r="FL93" s="14">
        <v>4</v>
      </c>
      <c r="FM93" s="14">
        <f>IFERROR(AVERAGE(Tabel1[[#This Row],[Do - A1a]:[Do - A1c]]),"")</f>
        <v>4.333333333333333</v>
      </c>
      <c r="FN93" s="14">
        <v>2</v>
      </c>
      <c r="FO93" s="14">
        <v>3</v>
      </c>
      <c r="FP93" s="14">
        <f>IFERROR(AVERAGE(Tabel1[[#This Row],[Do - A2a]:[Do - A2b]]),"")</f>
        <v>2.5</v>
      </c>
      <c r="FQ93" s="14">
        <v>4</v>
      </c>
      <c r="FR93" s="14">
        <f>IFERROR(AVERAGE(Tabel1[[#This Row],[Do - A3a]:[Do - A3a]]),"")</f>
        <v>4</v>
      </c>
      <c r="FS93" s="14">
        <v>2</v>
      </c>
      <c r="FT93" s="14">
        <f>IFERROR(AVERAGE(Tabel1[[#This Row],[Do - A1]],Tabel1[[#This Row],[Do - A2]],Tabel1[[#This Row],[Do - A3]],Tabel1[[#This Row],[Do - A4]]),"")</f>
        <v>3.208333333333333</v>
      </c>
      <c r="FU9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3.1966666666666668</v>
      </c>
      <c r="FV93" s="16" t="s">
        <v>651</v>
      </c>
      <c r="FW93" t="b">
        <v>1</v>
      </c>
    </row>
    <row r="94" spans="1:179" x14ac:dyDescent="0.3">
      <c r="A94" s="13">
        <v>44965.891377314816</v>
      </c>
      <c r="B94" t="b">
        <v>0</v>
      </c>
      <c r="C94" s="14" t="s">
        <v>652</v>
      </c>
      <c r="D94" s="14" t="s">
        <v>653</v>
      </c>
      <c r="E94" s="14" t="s">
        <v>654</v>
      </c>
      <c r="F94" s="14" t="s">
        <v>184</v>
      </c>
      <c r="G94" s="14" t="s">
        <v>655</v>
      </c>
      <c r="H94" s="14" t="s">
        <v>222</v>
      </c>
      <c r="I94" s="14" t="s">
        <v>195</v>
      </c>
      <c r="J94" s="14" t="s">
        <v>273</v>
      </c>
      <c r="K94" s="14" t="s">
        <v>235</v>
      </c>
      <c r="L94" s="14" t="s">
        <v>249</v>
      </c>
      <c r="M94" s="14" t="s">
        <v>188</v>
      </c>
      <c r="N94" s="14" t="s">
        <v>316</v>
      </c>
      <c r="O94" s="14" t="s">
        <v>200</v>
      </c>
      <c r="P94" s="17" t="s">
        <v>255</v>
      </c>
      <c r="Q94" s="17" t="s">
        <v>255</v>
      </c>
      <c r="R94" s="14" t="s">
        <v>235</v>
      </c>
      <c r="S94" s="14" t="s">
        <v>201</v>
      </c>
      <c r="T94" s="14" t="s">
        <v>204</v>
      </c>
      <c r="U94" s="14" t="s">
        <v>349</v>
      </c>
      <c r="V94" s="14" t="s">
        <v>224</v>
      </c>
      <c r="W94" s="14" t="s">
        <v>207</v>
      </c>
      <c r="X94" s="14" t="s">
        <v>306</v>
      </c>
      <c r="Y94" s="14">
        <v>3</v>
      </c>
      <c r="Z94" s="14">
        <v>4</v>
      </c>
      <c r="AA94" s="14">
        <v>3</v>
      </c>
      <c r="AB94" s="15">
        <f>IFERROR(AVERAGE(Tabel1[[#This Row],[Up - R1a]:[Up - R1c]]),"")</f>
        <v>3.3333333333333335</v>
      </c>
      <c r="AC94" s="14">
        <v>3</v>
      </c>
      <c r="AD94" s="14">
        <v>3</v>
      </c>
      <c r="AE94" s="14">
        <v>3</v>
      </c>
      <c r="AF94" s="14" t="s">
        <v>189</v>
      </c>
      <c r="AG94" s="14">
        <f>IFERROR(AVERAGE(Tabel1[[#This Row],[Up - R1]:[Up - R5]]),"")</f>
        <v>3.0833333333333335</v>
      </c>
      <c r="AH94" s="14">
        <v>4</v>
      </c>
      <c r="AI94" s="14">
        <v>3</v>
      </c>
      <c r="AJ94" s="14">
        <v>3</v>
      </c>
      <c r="AK94" s="14">
        <f>IFERROR(AVERAGE(Tabel1[[#This Row],[Up - C1a]:[Up - C1c]]),"")</f>
        <v>3.3333333333333335</v>
      </c>
      <c r="AL94" s="14">
        <v>2</v>
      </c>
      <c r="AM94" s="14">
        <v>2</v>
      </c>
      <c r="AN94" s="14" t="s">
        <v>189</v>
      </c>
      <c r="AO94" s="14">
        <f>IFERROR(AVERAGE(Tabel1[[#This Row],[Up - C1]:[Up - C4]]),"")</f>
        <v>2.4444444444444446</v>
      </c>
      <c r="AP94" s="14" t="s">
        <v>189</v>
      </c>
      <c r="AQ94" s="14" t="str">
        <f>IFERROR(AVERAGE(Tabel1[[#This Row],[Up - F1a]:[Up - F1a]]),"")</f>
        <v/>
      </c>
      <c r="AR94" s="14">
        <v>1</v>
      </c>
      <c r="AS94" s="14">
        <v>3</v>
      </c>
      <c r="AT94" s="14">
        <f>IFERROR(AVERAGE(Tabel1[[#This Row],[Up - F2a]:[Up - F2b]]),"")</f>
        <v>2</v>
      </c>
      <c r="AU94" s="14">
        <v>3</v>
      </c>
      <c r="AV94" s="14">
        <v>3</v>
      </c>
      <c r="AW94" s="14">
        <f>IFERROR(AVERAGE(Tabel1[[#This Row],[Up - F3a]:[Up - F3b]]),"")</f>
        <v>3</v>
      </c>
      <c r="AX94" s="14">
        <v>4</v>
      </c>
      <c r="AY94" s="14">
        <f>IFERROR(AVERAGE(Tabel1[[#This Row],[Up - F1]],Tabel1[[#This Row],[Up - F2]],Tabel1[[#This Row],[Up - F3]],Tabel1[[#This Row],[Up - F4]]),"")</f>
        <v>3</v>
      </c>
      <c r="AZ94" s="14" t="s">
        <v>189</v>
      </c>
      <c r="BA94" s="14" t="s">
        <v>189</v>
      </c>
      <c r="BB94" s="14" t="str">
        <f>IFERROR(AVERAGE(Tabel1[[#This Row],[Up - V1a]:[Up - V1b]]),"")</f>
        <v/>
      </c>
      <c r="BC94" s="14">
        <v>3</v>
      </c>
      <c r="BD94" s="14">
        <v>3</v>
      </c>
      <c r="BE94" s="14">
        <v>4</v>
      </c>
      <c r="BF94" s="14">
        <f>IFERROR(AVERAGE(Tabel1[[#This Row],[Up - V2a]:[Up - V2c]]),"")</f>
        <v>3.3333333333333335</v>
      </c>
      <c r="BG94" s="14">
        <v>2</v>
      </c>
      <c r="BH94" s="14" t="s">
        <v>189</v>
      </c>
      <c r="BI94" s="14">
        <f>IFERROR(AVERAGE(Tabel1[[#This Row],[Up - V3a]:[Up - V3b]]),"")</f>
        <v>2</v>
      </c>
      <c r="BJ94" s="14" t="s">
        <v>189</v>
      </c>
      <c r="BK94" s="14">
        <f>IFERROR(AVERAGE(Tabel1[[#This Row],[Up - V1]],Tabel1[[#This Row],[Up - V2]],Tabel1[[#This Row],[Up - V3]],Tabel1[[#This Row],[Up - V4]]),"")</f>
        <v>2.666666666666667</v>
      </c>
      <c r="BL94" s="14">
        <v>3</v>
      </c>
      <c r="BM94" s="14">
        <v>3</v>
      </c>
      <c r="BN94" s="14" t="s">
        <v>189</v>
      </c>
      <c r="BO94" s="14" t="s">
        <v>189</v>
      </c>
      <c r="BP94" s="14">
        <f>IFERROR(AVERAGE(Tabel1[[#This Row],[Up - A1a]:[Up - A1d]]),"")</f>
        <v>3</v>
      </c>
      <c r="BQ94" s="14" t="s">
        <v>189</v>
      </c>
      <c r="BR94" s="14">
        <v>4</v>
      </c>
      <c r="BS94" s="14">
        <f>IFERROR(AVERAGE(Tabel1[[#This Row],[Up - A2a]:[Up - A2b]]),"")</f>
        <v>4</v>
      </c>
      <c r="BT94" s="14" t="s">
        <v>189</v>
      </c>
      <c r="BU94" s="14" t="str">
        <f>IFERROR(AVERAGE(Tabel1[[#This Row],[Up - A3a]:[Up - A3a]]),"")</f>
        <v/>
      </c>
      <c r="BV94" s="14" t="s">
        <v>189</v>
      </c>
      <c r="BW94" s="14">
        <f>IFERROR(AVERAGE(Tabel1[[#This Row],[Up - A1]],Tabel1[[#This Row],[Up - A2]],Tabel1[[#This Row],[Up - A3]]),"")</f>
        <v>3.5</v>
      </c>
      <c r="BX94" s="14">
        <v>4</v>
      </c>
      <c r="BY94" s="14">
        <v>4</v>
      </c>
      <c r="BZ94" s="14">
        <f>IFERROR(AVERAGE(Tabel1[[#This Row],[In - R1a]:[In - R1b]]),"")</f>
        <v>4</v>
      </c>
      <c r="CA94" s="14">
        <v>3</v>
      </c>
      <c r="CB94" s="14">
        <v>4</v>
      </c>
      <c r="CC94" s="14">
        <v>3</v>
      </c>
      <c r="CD94" s="14" t="s">
        <v>189</v>
      </c>
      <c r="CE94" s="14">
        <f>IFERROR(AVERAGE(Tabel1[[#This Row],[In - R1]:[In - R5]]),"")</f>
        <v>3.5</v>
      </c>
      <c r="CF94" s="14">
        <v>3</v>
      </c>
      <c r="CG94" s="14">
        <v>2</v>
      </c>
      <c r="CH94" s="14">
        <v>3</v>
      </c>
      <c r="CI94" s="14">
        <f>IFERROR(AVERAGE(Tabel1[[#This Row],[In - C1a]:[In - C1c]]),"")</f>
        <v>2.6666666666666665</v>
      </c>
      <c r="CJ94" s="14">
        <v>2</v>
      </c>
      <c r="CK94" s="14">
        <v>2</v>
      </c>
      <c r="CL94" s="14">
        <v>2</v>
      </c>
      <c r="CM94" s="14">
        <f>IFERROR(AVERAGE(Tabel1[[#This Row],[In - C1]:[In - C4]]),"")</f>
        <v>2.1666666666666665</v>
      </c>
      <c r="CN94" s="14">
        <v>4</v>
      </c>
      <c r="CO94" s="14">
        <v>3</v>
      </c>
      <c r="CP94" s="14">
        <v>2</v>
      </c>
      <c r="CQ94" s="14">
        <f>IFERROR(AVERAGE(Tabel1[[#This Row],[In - F1a]:[In - F1c]]),"")</f>
        <v>3</v>
      </c>
      <c r="CR94" s="14">
        <v>3</v>
      </c>
      <c r="CS94" s="14">
        <v>3</v>
      </c>
      <c r="CT94" s="14">
        <f>IFERROR(AVERAGE(Tabel1[[#This Row],[In - F2a]:[In - F2b]]),"")</f>
        <v>3</v>
      </c>
      <c r="CU94" s="14">
        <v>3</v>
      </c>
      <c r="CV94" s="14">
        <f>IFERROR(AVERAGE(Tabel1[[#This Row],[In - F3a]:[In - F3a]]),"")</f>
        <v>3</v>
      </c>
      <c r="CW94" s="14" t="s">
        <v>189</v>
      </c>
      <c r="CX94" s="14">
        <f>IFERROR(AVERAGE(Tabel1[[#This Row],[In - F1]],Tabel1[[#This Row],[In - F2]],Tabel1[[#This Row],[In - F3]],Tabel1[[#This Row],[In - F4]]),"")</f>
        <v>3</v>
      </c>
      <c r="CY94" s="14">
        <v>2</v>
      </c>
      <c r="CZ94" s="14">
        <v>2</v>
      </c>
      <c r="DA94" s="14">
        <v>2</v>
      </c>
      <c r="DB94" s="14">
        <f>IFERROR(AVERAGE(Tabel1[[#This Row],[In - V1a]:[In - V1c]]),"")</f>
        <v>2</v>
      </c>
      <c r="DC94" s="14">
        <v>3</v>
      </c>
      <c r="DD94" s="14">
        <v>2</v>
      </c>
      <c r="DE94" s="14">
        <v>4</v>
      </c>
      <c r="DF94" s="14">
        <f>IFERROR(AVERAGE(Tabel1[[#This Row],[In - V2a]:[In - V2c]]),"")</f>
        <v>3</v>
      </c>
      <c r="DG94" s="14">
        <v>3</v>
      </c>
      <c r="DH94" s="14" t="s">
        <v>189</v>
      </c>
      <c r="DI94" s="14">
        <f>IFERROR(AVERAGE(Tabel1[[#This Row],[In - V3a]:[In - V3b]]),"")</f>
        <v>3</v>
      </c>
      <c r="DJ94" s="14" t="s">
        <v>189</v>
      </c>
      <c r="DK94" s="14">
        <f>IFERROR(AVERAGE(Tabel1[[#This Row],[In - V1]],Tabel1[[#This Row],[In - V2]],Tabel1[[#This Row],[In - V3]],Tabel1[[#This Row],[In - V4]]),"")</f>
        <v>2.6666666666666665</v>
      </c>
      <c r="DL94" s="14">
        <v>3</v>
      </c>
      <c r="DM94" s="14" t="s">
        <v>189</v>
      </c>
      <c r="DN94" s="14">
        <f>IFERROR(AVERAGE(Tabel1[[#This Row],[In - A1a]:[In - A1b]]),"")</f>
        <v>3</v>
      </c>
      <c r="DO94" s="14">
        <v>3</v>
      </c>
      <c r="DP94" s="14">
        <v>3</v>
      </c>
      <c r="DQ94" s="14">
        <f>IFERROR(AVERAGE(Tabel1[[#This Row],[In - A2a]:[In - A2b]]),"")</f>
        <v>3</v>
      </c>
      <c r="DR94" s="14" t="s">
        <v>189</v>
      </c>
      <c r="DS94" s="14">
        <v>4</v>
      </c>
      <c r="DT94" s="14" t="str">
        <f>IFERROR(AVERAGE(Tabel1[[#This Row],[In - A3a]:[In - A3a]]),"")</f>
        <v/>
      </c>
      <c r="DU94" s="14" t="s">
        <v>189</v>
      </c>
      <c r="DV94" s="14">
        <f>IFERROR(AVERAGE(Tabel1[[#This Row],[In - A1]],Tabel1[[#This Row],[In - A2]],Tabel1[[#This Row],[In - A3]],Tabel1[[#This Row],[In - A4]]),"")</f>
        <v>3</v>
      </c>
      <c r="DW94" s="14">
        <v>3</v>
      </c>
      <c r="DX94" s="14">
        <v>5</v>
      </c>
      <c r="DY94" s="14">
        <v>3</v>
      </c>
      <c r="DZ94" s="14">
        <f>IFERROR(AVERAGE(Tabel1[[#This Row],[Do - R1a]:[Do - R1c]]),"")</f>
        <v>3.6666666666666665</v>
      </c>
      <c r="EA94" s="14">
        <v>5</v>
      </c>
      <c r="EB94" s="14">
        <v>4</v>
      </c>
      <c r="EC94" s="14" t="s">
        <v>189</v>
      </c>
      <c r="ED94" s="14">
        <v>4</v>
      </c>
      <c r="EE94" s="14">
        <f>IFERROR(AVERAGE(Tabel1[[#This Row],[Do - R1]:[Do - R5]]),"")</f>
        <v>4.1666666666666661</v>
      </c>
      <c r="EF94" s="14">
        <v>4</v>
      </c>
      <c r="EG94" s="14">
        <v>4</v>
      </c>
      <c r="EH94" s="14">
        <v>3</v>
      </c>
      <c r="EI94" s="14">
        <f>IFERROR(AVERAGE(Tabel1[[#This Row],[Do - C1a]:[Do - C1c]]),"")</f>
        <v>3.6666666666666665</v>
      </c>
      <c r="EJ94" s="14">
        <v>2</v>
      </c>
      <c r="EK94" s="14">
        <v>2</v>
      </c>
      <c r="EL94" s="14" t="s">
        <v>189</v>
      </c>
      <c r="EM94" s="14">
        <f>IFERROR(AVERAGE(Tabel1[[#This Row],[Do - C1]:[Do - C4]]),"")</f>
        <v>2.5555555555555554</v>
      </c>
      <c r="EN94" s="14" t="s">
        <v>189</v>
      </c>
      <c r="EO94" s="14">
        <v>3</v>
      </c>
      <c r="EP94" s="14">
        <v>2</v>
      </c>
      <c r="EQ94" s="14">
        <f>IFERROR(AVERAGE(Tabel1[[#This Row],[Do - F1a]:[Do - F1c]]),"")</f>
        <v>2.5</v>
      </c>
      <c r="ER94" s="14">
        <v>4</v>
      </c>
      <c r="ES94" s="14">
        <f>IFERROR(AVERAGE(Tabel1[[#This Row],[Do - F2a]:[Do - F2a]]),"")</f>
        <v>4</v>
      </c>
      <c r="ET94" s="14">
        <v>3</v>
      </c>
      <c r="EU94" s="14">
        <v>4</v>
      </c>
      <c r="EV94" s="14">
        <f>IFERROR(AVERAGE(Tabel1[[#This Row],[Do - F3a]:[Do - F3b]]),"")</f>
        <v>3.5</v>
      </c>
      <c r="EW94" s="14" t="s">
        <v>189</v>
      </c>
      <c r="EX94" s="14">
        <f>IFERROR(AVERAGE(Tabel1[[#This Row],[Do - F1]],Tabel1[[#This Row],[Do - F2]],Tabel1[[#This Row],[Do - F3]],Tabel1[[#This Row],[Do - F4]]),"")</f>
        <v>3.3333333333333335</v>
      </c>
      <c r="EY94" s="14">
        <v>2</v>
      </c>
      <c r="EZ94" s="14">
        <v>2</v>
      </c>
      <c r="FA94" s="14">
        <v>4</v>
      </c>
      <c r="FB94" s="14">
        <f>IFERROR(AVERAGE(Tabel1[[#This Row],[Do - V1a]:[Do - V1c]]),"")</f>
        <v>2.6666666666666665</v>
      </c>
      <c r="FC94" s="14">
        <v>3</v>
      </c>
      <c r="FD94" s="14">
        <v>4</v>
      </c>
      <c r="FE94" s="14">
        <f>IFERROR(AVERAGE(Tabel1[[#This Row],[Do - V2a]:[Do - V2b]]),"")</f>
        <v>3.5</v>
      </c>
      <c r="FF94" s="14" t="s">
        <v>189</v>
      </c>
      <c r="FG94" s="14" t="str">
        <f>IFERROR(AVERAGE(Tabel1[[#This Row],[Do - V3a]:[Do - V3a]]),"")</f>
        <v/>
      </c>
      <c r="FH94" s="14" t="s">
        <v>189</v>
      </c>
      <c r="FI94" s="14">
        <f>IFERROR(AVERAGE(Tabel1[[#This Row],[Do - V1]],Tabel1[[#This Row],[Do - V2]],Tabel1[[#This Row],[Do - V3]],Tabel1[[#This Row],[Do - V4]]),"")</f>
        <v>3.083333333333333</v>
      </c>
      <c r="FJ94" s="14">
        <v>3</v>
      </c>
      <c r="FK94" s="14" t="s">
        <v>189</v>
      </c>
      <c r="FL94" s="14" t="s">
        <v>189</v>
      </c>
      <c r="FM94" s="14">
        <f>IFERROR(AVERAGE(Tabel1[[#This Row],[Do - A1a]:[Do - A1c]]),"")</f>
        <v>3</v>
      </c>
      <c r="FN94" s="14">
        <v>4</v>
      </c>
      <c r="FO94" s="14">
        <v>4</v>
      </c>
      <c r="FP94" s="14">
        <f>IFERROR(AVERAGE(Tabel1[[#This Row],[Do - A2a]:[Do - A2b]]),"")</f>
        <v>4</v>
      </c>
      <c r="FQ94" s="14" t="s">
        <v>189</v>
      </c>
      <c r="FR94" s="14" t="str">
        <f>IFERROR(AVERAGE(Tabel1[[#This Row],[Do - A3a]:[Do - A3a]]),"")</f>
        <v/>
      </c>
      <c r="FS94" s="14" t="s">
        <v>189</v>
      </c>
      <c r="FT94" s="14">
        <f>IFERROR(AVERAGE(Tabel1[[#This Row],[Do - A1]],Tabel1[[#This Row],[Do - A2]],Tabel1[[#This Row],[Do - A3]],Tabel1[[#This Row],[Do - A4]]),"")</f>
        <v>3.5</v>
      </c>
      <c r="FU9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3.0444444444444452</v>
      </c>
      <c r="FV94" s="16" t="s">
        <v>656</v>
      </c>
      <c r="FW94" t="b">
        <v>1</v>
      </c>
    </row>
    <row r="95" spans="1:179" x14ac:dyDescent="0.3">
      <c r="A95" s="13">
        <v>44967.914837962962</v>
      </c>
      <c r="B95" t="b">
        <v>0</v>
      </c>
      <c r="C95" s="14" t="s">
        <v>657</v>
      </c>
      <c r="D95" s="14" t="s">
        <v>658</v>
      </c>
      <c r="E95" s="14" t="s">
        <v>659</v>
      </c>
      <c r="F95" s="14" t="s">
        <v>184</v>
      </c>
      <c r="G95" s="14" t="s">
        <v>660</v>
      </c>
      <c r="H95" s="14" t="s">
        <v>222</v>
      </c>
      <c r="I95" s="14" t="s">
        <v>195</v>
      </c>
      <c r="J95" s="14" t="s">
        <v>406</v>
      </c>
      <c r="K95" s="14" t="s">
        <v>187</v>
      </c>
      <c r="L95" s="14" t="s">
        <v>197</v>
      </c>
      <c r="M95" s="14" t="s">
        <v>233</v>
      </c>
      <c r="N95" s="14" t="s">
        <v>262</v>
      </c>
      <c r="O95" s="14" t="s">
        <v>200</v>
      </c>
      <c r="P95" s="17" t="s">
        <v>304</v>
      </c>
      <c r="Q95" s="14" t="s">
        <v>235</v>
      </c>
      <c r="R95" s="14" t="s">
        <v>235</v>
      </c>
      <c r="S95" s="14" t="s">
        <v>235</v>
      </c>
      <c r="T95" s="14" t="s">
        <v>204</v>
      </c>
      <c r="U95" s="14" t="s">
        <v>285</v>
      </c>
      <c r="V95" s="14" t="s">
        <v>224</v>
      </c>
      <c r="W95" s="14" t="s">
        <v>207</v>
      </c>
      <c r="X95" s="14" t="s">
        <v>207</v>
      </c>
      <c r="Y95" s="14">
        <v>3</v>
      </c>
      <c r="Z95" s="14">
        <v>3</v>
      </c>
      <c r="AA95" s="14">
        <v>2</v>
      </c>
      <c r="AB95" s="15">
        <f>IFERROR(AVERAGE(Tabel1[[#This Row],[Up - R1a]:[Up - R1c]]),"")</f>
        <v>2.6666666666666665</v>
      </c>
      <c r="AC95" s="14">
        <v>3</v>
      </c>
      <c r="AD95" s="14">
        <v>3</v>
      </c>
      <c r="AE95" s="14">
        <v>2</v>
      </c>
      <c r="AF95" s="14">
        <v>2</v>
      </c>
      <c r="AG95" s="14">
        <f>IFERROR(AVERAGE(Tabel1[[#This Row],[Up - R1]:[Up - R5]]),"")</f>
        <v>2.5333333333333332</v>
      </c>
      <c r="AH95" s="14">
        <v>3</v>
      </c>
      <c r="AI95" s="14">
        <v>3</v>
      </c>
      <c r="AJ95" s="14">
        <v>3</v>
      </c>
      <c r="AK95" s="14">
        <f>IFERROR(AVERAGE(Tabel1[[#This Row],[Up - C1a]:[Up - C1c]]),"")</f>
        <v>3</v>
      </c>
      <c r="AL95" s="14">
        <v>3</v>
      </c>
      <c r="AM95" s="14">
        <v>2</v>
      </c>
      <c r="AN95" s="14">
        <v>2</v>
      </c>
      <c r="AO95" s="14">
        <f>IFERROR(AVERAGE(Tabel1[[#This Row],[Up - C1]:[Up - C4]]),"")</f>
        <v>2.5</v>
      </c>
      <c r="AP95" s="14">
        <v>3</v>
      </c>
      <c r="AQ95" s="14">
        <f>IFERROR(AVERAGE(Tabel1[[#This Row],[Up - F1a]:[Up - F1a]]),"")</f>
        <v>3</v>
      </c>
      <c r="AR95" s="14">
        <v>3</v>
      </c>
      <c r="AS95" s="14">
        <v>4</v>
      </c>
      <c r="AT95" s="14">
        <f>IFERROR(AVERAGE(Tabel1[[#This Row],[Up - F2a]:[Up - F2b]]),"")</f>
        <v>3.5</v>
      </c>
      <c r="AU95" s="14">
        <v>5</v>
      </c>
      <c r="AV95" s="14">
        <v>3</v>
      </c>
      <c r="AW95" s="14">
        <f>IFERROR(AVERAGE(Tabel1[[#This Row],[Up - F3a]:[Up - F3b]]),"")</f>
        <v>4</v>
      </c>
      <c r="AX95" s="14">
        <v>3</v>
      </c>
      <c r="AY95" s="14">
        <f>IFERROR(AVERAGE(Tabel1[[#This Row],[Up - F1]],Tabel1[[#This Row],[Up - F2]],Tabel1[[#This Row],[Up - F3]],Tabel1[[#This Row],[Up - F4]]),"")</f>
        <v>3.375</v>
      </c>
      <c r="AZ95" s="14">
        <v>2</v>
      </c>
      <c r="BA95" s="14">
        <v>3</v>
      </c>
      <c r="BB95" s="14">
        <f>IFERROR(AVERAGE(Tabel1[[#This Row],[Up - V1a]:[Up - V1b]]),"")</f>
        <v>2.5</v>
      </c>
      <c r="BC95" s="14">
        <v>3</v>
      </c>
      <c r="BD95" s="14">
        <v>2</v>
      </c>
      <c r="BE95" s="14">
        <v>3</v>
      </c>
      <c r="BF95" s="14">
        <f>IFERROR(AVERAGE(Tabel1[[#This Row],[Up - V2a]:[Up - V2c]]),"")</f>
        <v>2.6666666666666665</v>
      </c>
      <c r="BG95" s="14">
        <v>1</v>
      </c>
      <c r="BH95" s="14">
        <v>2</v>
      </c>
      <c r="BI95" s="14">
        <f>IFERROR(AVERAGE(Tabel1[[#This Row],[Up - V3a]:[Up - V3b]]),"")</f>
        <v>1.5</v>
      </c>
      <c r="BJ95" s="14">
        <v>2</v>
      </c>
      <c r="BK95" s="14">
        <f>IFERROR(AVERAGE(Tabel1[[#This Row],[Up - V1]],Tabel1[[#This Row],[Up - V2]],Tabel1[[#This Row],[Up - V3]],Tabel1[[#This Row],[Up - V4]]),"")</f>
        <v>2.1666666666666665</v>
      </c>
      <c r="BL95" s="14">
        <v>3</v>
      </c>
      <c r="BM95" s="14">
        <v>3</v>
      </c>
      <c r="BN95" s="14">
        <v>2</v>
      </c>
      <c r="BO95" s="14">
        <v>3</v>
      </c>
      <c r="BP95" s="14">
        <f>IFERROR(AVERAGE(Tabel1[[#This Row],[Up - A1a]:[Up - A1d]]),"")</f>
        <v>2.75</v>
      </c>
      <c r="BQ95" s="14">
        <v>4</v>
      </c>
      <c r="BR95" s="14">
        <v>5</v>
      </c>
      <c r="BS95" s="14">
        <f>IFERROR(AVERAGE(Tabel1[[#This Row],[Up - A2a]:[Up - A2b]]),"")</f>
        <v>4.5</v>
      </c>
      <c r="BT95" s="14">
        <v>3</v>
      </c>
      <c r="BU95" s="14">
        <f>IFERROR(AVERAGE(Tabel1[[#This Row],[Up - A3a]:[Up - A3a]]),"")</f>
        <v>3</v>
      </c>
      <c r="BV95" s="14" t="s">
        <v>189</v>
      </c>
      <c r="BW95" s="14">
        <f>IFERROR(AVERAGE(Tabel1[[#This Row],[Up - A1]],Tabel1[[#This Row],[Up - A2]],Tabel1[[#This Row],[Up - A3]]),"")</f>
        <v>3.4166666666666665</v>
      </c>
      <c r="BX95" s="14">
        <v>4</v>
      </c>
      <c r="BY95" s="14">
        <v>4</v>
      </c>
      <c r="BZ95" s="14">
        <f>IFERROR(AVERAGE(Tabel1[[#This Row],[In - R1a]:[In - R1b]]),"")</f>
        <v>4</v>
      </c>
      <c r="CA95" s="14">
        <v>4</v>
      </c>
      <c r="CB95" s="14">
        <v>3</v>
      </c>
      <c r="CC95" s="14">
        <v>2</v>
      </c>
      <c r="CD95" s="14" t="s">
        <v>189</v>
      </c>
      <c r="CE95" s="14">
        <f>IFERROR(AVERAGE(Tabel1[[#This Row],[In - R1]:[In - R5]]),"")</f>
        <v>3.25</v>
      </c>
      <c r="CF95" s="14">
        <v>5</v>
      </c>
      <c r="CG95" s="14">
        <v>5</v>
      </c>
      <c r="CH95" s="14">
        <v>5</v>
      </c>
      <c r="CI95" s="14">
        <f>IFERROR(AVERAGE(Tabel1[[#This Row],[In - C1a]:[In - C1c]]),"")</f>
        <v>5</v>
      </c>
      <c r="CJ95" s="14">
        <v>4</v>
      </c>
      <c r="CK95" s="14">
        <v>4</v>
      </c>
      <c r="CL95" s="14">
        <v>4</v>
      </c>
      <c r="CM95" s="14">
        <f>IFERROR(AVERAGE(Tabel1[[#This Row],[In - C1]:[In - C4]]),"")</f>
        <v>4.25</v>
      </c>
      <c r="CN95" s="14">
        <v>3</v>
      </c>
      <c r="CO95" s="14">
        <v>4</v>
      </c>
      <c r="CP95" s="14">
        <v>1</v>
      </c>
      <c r="CQ95" s="14">
        <f>IFERROR(AVERAGE(Tabel1[[#This Row],[In - F1a]:[In - F1c]]),"")</f>
        <v>2.6666666666666665</v>
      </c>
      <c r="CR95" s="14">
        <v>4</v>
      </c>
      <c r="CS95" s="14">
        <v>2</v>
      </c>
      <c r="CT95" s="14">
        <f>IFERROR(AVERAGE(Tabel1[[#This Row],[In - F2a]:[In - F2b]]),"")</f>
        <v>3</v>
      </c>
      <c r="CU95" s="14">
        <v>1</v>
      </c>
      <c r="CV95" s="14">
        <f>IFERROR(AVERAGE(Tabel1[[#This Row],[In - F3a]:[In - F3a]]),"")</f>
        <v>1</v>
      </c>
      <c r="CW95" s="14">
        <v>4</v>
      </c>
      <c r="CX95" s="14">
        <f>IFERROR(AVERAGE(Tabel1[[#This Row],[In - F1]],Tabel1[[#This Row],[In - F2]],Tabel1[[#This Row],[In - F3]],Tabel1[[#This Row],[In - F4]]),"")</f>
        <v>2.6666666666666665</v>
      </c>
      <c r="CY95" s="14">
        <v>5</v>
      </c>
      <c r="CZ95" s="14">
        <v>5</v>
      </c>
      <c r="DA95" s="14">
        <v>4</v>
      </c>
      <c r="DB95" s="14">
        <f>IFERROR(AVERAGE(Tabel1[[#This Row],[In - V1a]:[In - V1c]]),"")</f>
        <v>4.666666666666667</v>
      </c>
      <c r="DC95" s="14">
        <v>5</v>
      </c>
      <c r="DD95" s="14">
        <v>4</v>
      </c>
      <c r="DE95" s="14">
        <v>5</v>
      </c>
      <c r="DF95" s="14">
        <f>IFERROR(AVERAGE(Tabel1[[#This Row],[In - V2a]:[In - V2c]]),"")</f>
        <v>4.666666666666667</v>
      </c>
      <c r="DG95" s="14">
        <v>3</v>
      </c>
      <c r="DH95" s="14" t="s">
        <v>189</v>
      </c>
      <c r="DI95" s="14">
        <f>IFERROR(AVERAGE(Tabel1[[#This Row],[In - V3a]:[In - V3b]]),"")</f>
        <v>3</v>
      </c>
      <c r="DJ95" s="14" t="s">
        <v>189</v>
      </c>
      <c r="DK95" s="14">
        <f>IFERROR(AVERAGE(Tabel1[[#This Row],[In - V1]],Tabel1[[#This Row],[In - V2]],Tabel1[[#This Row],[In - V3]],Tabel1[[#This Row],[In - V4]]),"")</f>
        <v>4.1111111111111116</v>
      </c>
      <c r="DL95" s="14">
        <v>2</v>
      </c>
      <c r="DM95" s="14">
        <v>2</v>
      </c>
      <c r="DN95" s="14">
        <f>IFERROR(AVERAGE(Tabel1[[#This Row],[In - A1a]:[In - A1b]]),"")</f>
        <v>2</v>
      </c>
      <c r="DO95" s="14">
        <v>3</v>
      </c>
      <c r="DP95" s="14">
        <v>2</v>
      </c>
      <c r="DQ95" s="14">
        <f>IFERROR(AVERAGE(Tabel1[[#This Row],[In - A2a]:[In - A2b]]),"")</f>
        <v>2.5</v>
      </c>
      <c r="DR95" s="14">
        <v>5</v>
      </c>
      <c r="DS95" s="14">
        <v>2</v>
      </c>
      <c r="DT95" s="14">
        <f>IFERROR(AVERAGE(Tabel1[[#This Row],[In - A3a]:[In - A3a]]),"")</f>
        <v>5</v>
      </c>
      <c r="DU95" s="14">
        <v>2</v>
      </c>
      <c r="DV95" s="14">
        <f>IFERROR(AVERAGE(Tabel1[[#This Row],[In - A1]],Tabel1[[#This Row],[In - A2]],Tabel1[[#This Row],[In - A3]],Tabel1[[#This Row],[In - A4]]),"")</f>
        <v>2.875</v>
      </c>
      <c r="DW95" s="14">
        <v>3</v>
      </c>
      <c r="DX95" s="14">
        <v>4</v>
      </c>
      <c r="DY95" s="14">
        <v>4</v>
      </c>
      <c r="DZ95" s="14">
        <f>IFERROR(AVERAGE(Tabel1[[#This Row],[Do - R1a]:[Do - R1c]]),"")</f>
        <v>3.6666666666666665</v>
      </c>
      <c r="EA95" s="14">
        <v>3</v>
      </c>
      <c r="EB95" s="14">
        <v>5</v>
      </c>
      <c r="EC95" s="14">
        <v>2</v>
      </c>
      <c r="ED95" s="14">
        <v>4</v>
      </c>
      <c r="EE95" s="14">
        <f>IFERROR(AVERAGE(Tabel1[[#This Row],[Do - R1]:[Do - R5]]),"")</f>
        <v>3.5333333333333328</v>
      </c>
      <c r="EF95" s="14">
        <v>4</v>
      </c>
      <c r="EG95" s="14">
        <v>4</v>
      </c>
      <c r="EH95" s="14">
        <v>4</v>
      </c>
      <c r="EI95" s="14">
        <f>IFERROR(AVERAGE(Tabel1[[#This Row],[Do - C1a]:[Do - C1c]]),"")</f>
        <v>4</v>
      </c>
      <c r="EJ95" s="14">
        <v>4</v>
      </c>
      <c r="EK95" s="14">
        <v>4</v>
      </c>
      <c r="EL95" s="14">
        <v>4</v>
      </c>
      <c r="EM95" s="14">
        <f>IFERROR(AVERAGE(Tabel1[[#This Row],[Do - C1]:[Do - C4]]),"")</f>
        <v>4</v>
      </c>
      <c r="EN95" s="14">
        <v>4</v>
      </c>
      <c r="EO95" s="14">
        <v>3</v>
      </c>
      <c r="EP95" s="14">
        <v>4</v>
      </c>
      <c r="EQ95" s="14">
        <f>IFERROR(AVERAGE(Tabel1[[#This Row],[Do - F1a]:[Do - F1c]]),"")</f>
        <v>3.6666666666666665</v>
      </c>
      <c r="ER95" s="14">
        <v>3</v>
      </c>
      <c r="ES95" s="14">
        <f>IFERROR(AVERAGE(Tabel1[[#This Row],[Do - F2a]:[Do - F2a]]),"")</f>
        <v>3</v>
      </c>
      <c r="ET95" s="14">
        <v>4</v>
      </c>
      <c r="EU95" s="14">
        <v>4</v>
      </c>
      <c r="EV95" s="14">
        <f>IFERROR(AVERAGE(Tabel1[[#This Row],[Do - F3a]:[Do - F3b]]),"")</f>
        <v>4</v>
      </c>
      <c r="EW95" s="14">
        <v>3</v>
      </c>
      <c r="EX95" s="14">
        <f>IFERROR(AVERAGE(Tabel1[[#This Row],[Do - F1]],Tabel1[[#This Row],[Do - F2]],Tabel1[[#This Row],[Do - F3]],Tabel1[[#This Row],[Do - F4]]),"")</f>
        <v>3.4166666666666665</v>
      </c>
      <c r="EY95" s="14">
        <v>3</v>
      </c>
      <c r="EZ95" s="14">
        <v>3</v>
      </c>
      <c r="FA95" s="14">
        <v>3</v>
      </c>
      <c r="FB95" s="14">
        <f>IFERROR(AVERAGE(Tabel1[[#This Row],[Do - V1a]:[Do - V1c]]),"")</f>
        <v>3</v>
      </c>
      <c r="FC95" s="14">
        <v>4</v>
      </c>
      <c r="FD95" s="14">
        <v>4</v>
      </c>
      <c r="FE95" s="14">
        <f>IFERROR(AVERAGE(Tabel1[[#This Row],[Do - V2a]:[Do - V2b]]),"")</f>
        <v>4</v>
      </c>
      <c r="FF95" s="14">
        <v>4</v>
      </c>
      <c r="FG95" s="14">
        <f>IFERROR(AVERAGE(Tabel1[[#This Row],[Do - V3a]:[Do - V3a]]),"")</f>
        <v>4</v>
      </c>
      <c r="FH95" s="14">
        <v>4</v>
      </c>
      <c r="FI95" s="14">
        <f>IFERROR(AVERAGE(Tabel1[[#This Row],[Do - V1]],Tabel1[[#This Row],[Do - V2]],Tabel1[[#This Row],[Do - V3]],Tabel1[[#This Row],[Do - V4]]),"")</f>
        <v>3.75</v>
      </c>
      <c r="FJ95" s="14">
        <v>3</v>
      </c>
      <c r="FK95" s="14">
        <v>3</v>
      </c>
      <c r="FL95" s="14">
        <v>4</v>
      </c>
      <c r="FM95" s="14">
        <f>IFERROR(AVERAGE(Tabel1[[#This Row],[Do - A1a]:[Do - A1c]]),"")</f>
        <v>3.3333333333333335</v>
      </c>
      <c r="FN95" s="14">
        <v>4</v>
      </c>
      <c r="FO95" s="14">
        <v>5</v>
      </c>
      <c r="FP95" s="14">
        <f>IFERROR(AVERAGE(Tabel1[[#This Row],[Do - A2a]:[Do - A2b]]),"")</f>
        <v>4.5</v>
      </c>
      <c r="FQ95" s="14">
        <v>5</v>
      </c>
      <c r="FR95" s="14">
        <f>IFERROR(AVERAGE(Tabel1[[#This Row],[Do - A3a]:[Do - A3a]]),"")</f>
        <v>5</v>
      </c>
      <c r="FS95" s="14">
        <v>4</v>
      </c>
      <c r="FT95" s="14">
        <f>IFERROR(AVERAGE(Tabel1[[#This Row],[Do - A1]],Tabel1[[#This Row],[Do - A2]],Tabel1[[#This Row],[Do - A3]],Tabel1[[#This Row],[Do - A4]]),"")</f>
        <v>4.2083333333333339</v>
      </c>
      <c r="FU9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3.336851851851852</v>
      </c>
      <c r="FV95" s="16" t="s">
        <v>661</v>
      </c>
      <c r="FW95" t="b">
        <v>1</v>
      </c>
    </row>
    <row r="96" spans="1:179" x14ac:dyDescent="0.3">
      <c r="A96" s="13">
        <v>44971.528182870374</v>
      </c>
      <c r="B96" t="b">
        <v>0</v>
      </c>
      <c r="C96" s="14" t="s">
        <v>662</v>
      </c>
      <c r="D96" s="14" t="s">
        <v>663</v>
      </c>
      <c r="E96" s="14" t="s">
        <v>664</v>
      </c>
      <c r="F96" s="14" t="s">
        <v>184</v>
      </c>
      <c r="G96" s="14" t="s">
        <v>665</v>
      </c>
      <c r="H96" s="14" t="s">
        <v>222</v>
      </c>
      <c r="I96" s="14" t="s">
        <v>186</v>
      </c>
      <c r="J96" s="14" t="s">
        <v>186</v>
      </c>
      <c r="K96" s="14" t="s">
        <v>187</v>
      </c>
      <c r="L96" s="14" t="s">
        <v>249</v>
      </c>
      <c r="M96" s="14" t="s">
        <v>198</v>
      </c>
      <c r="N96" s="14" t="s">
        <v>199</v>
      </c>
      <c r="O96" s="14" t="s">
        <v>256</v>
      </c>
      <c r="P96" s="17" t="s">
        <v>304</v>
      </c>
      <c r="Q96" s="14" t="s">
        <v>201</v>
      </c>
      <c r="R96" s="14" t="s">
        <v>235</v>
      </c>
      <c r="S96" s="14" t="s">
        <v>235</v>
      </c>
      <c r="T96" s="14" t="s">
        <v>204</v>
      </c>
      <c r="U96" s="14" t="s">
        <v>237</v>
      </c>
      <c r="V96" s="14" t="s">
        <v>224</v>
      </c>
      <c r="W96" s="14" t="s">
        <v>207</v>
      </c>
      <c r="X96" s="14" t="s">
        <v>207</v>
      </c>
      <c r="Y96" s="14" t="s">
        <v>189</v>
      </c>
      <c r="Z96" s="14">
        <v>3</v>
      </c>
      <c r="AA96" s="14" t="s">
        <v>189</v>
      </c>
      <c r="AB96" s="15">
        <f>IFERROR(AVERAGE(Tabel1[[#This Row],[Up - R1a]:[Up - R1c]]),"")</f>
        <v>3</v>
      </c>
      <c r="AC96" s="14" t="s">
        <v>189</v>
      </c>
      <c r="AD96" s="14">
        <v>4</v>
      </c>
      <c r="AE96" s="14" t="s">
        <v>189</v>
      </c>
      <c r="AF96" s="14" t="s">
        <v>189</v>
      </c>
      <c r="AG96" s="14">
        <f>IFERROR(AVERAGE(Tabel1[[#This Row],[Up - R1]:[Up - R5]]),"")</f>
        <v>3.5</v>
      </c>
      <c r="AH96" s="14" t="s">
        <v>189</v>
      </c>
      <c r="AI96" s="14" t="s">
        <v>189</v>
      </c>
      <c r="AJ96" s="14">
        <v>4</v>
      </c>
      <c r="AK96" s="14">
        <f>IFERROR(AVERAGE(Tabel1[[#This Row],[Up - C1a]:[Up - C1c]]),"")</f>
        <v>4</v>
      </c>
      <c r="AL96" s="14">
        <v>5</v>
      </c>
      <c r="AM96" s="14" t="s">
        <v>189</v>
      </c>
      <c r="AN96" s="14" t="s">
        <v>189</v>
      </c>
      <c r="AO96" s="14">
        <f>IFERROR(AVERAGE(Tabel1[[#This Row],[Up - C1]:[Up - C4]]),"")</f>
        <v>4.5</v>
      </c>
      <c r="AP96" s="14" t="s">
        <v>189</v>
      </c>
      <c r="AQ96" s="14" t="str">
        <f>IFERROR(AVERAGE(Tabel1[[#This Row],[Up - F1a]:[Up - F1a]]),"")</f>
        <v/>
      </c>
      <c r="AR96" s="14">
        <v>3</v>
      </c>
      <c r="AS96" s="14" t="s">
        <v>189</v>
      </c>
      <c r="AT96" s="14">
        <f>IFERROR(AVERAGE(Tabel1[[#This Row],[Up - F2a]:[Up - F2b]]),"")</f>
        <v>3</v>
      </c>
      <c r="AU96" s="14">
        <v>4</v>
      </c>
      <c r="AV96" s="14">
        <v>3</v>
      </c>
      <c r="AW96" s="14">
        <f>IFERROR(AVERAGE(Tabel1[[#This Row],[Up - F3a]:[Up - F3b]]),"")</f>
        <v>3.5</v>
      </c>
      <c r="AX96" s="14" t="s">
        <v>189</v>
      </c>
      <c r="AY96" s="14">
        <f>IFERROR(AVERAGE(Tabel1[[#This Row],[Up - F1]],Tabel1[[#This Row],[Up - F2]],Tabel1[[#This Row],[Up - F3]],Tabel1[[#This Row],[Up - F4]]),"")</f>
        <v>3.25</v>
      </c>
      <c r="AZ96" s="14">
        <v>5</v>
      </c>
      <c r="BA96" s="14" t="s">
        <v>189</v>
      </c>
      <c r="BB96" s="14">
        <f>IFERROR(AVERAGE(Tabel1[[#This Row],[Up - V1a]:[Up - V1b]]),"")</f>
        <v>5</v>
      </c>
      <c r="BC96" s="14">
        <v>5</v>
      </c>
      <c r="BD96" s="14">
        <v>5</v>
      </c>
      <c r="BE96" s="14">
        <v>5</v>
      </c>
      <c r="BF96" s="14">
        <f>IFERROR(AVERAGE(Tabel1[[#This Row],[Up - V2a]:[Up - V2c]]),"")</f>
        <v>5</v>
      </c>
      <c r="BG96" s="14" t="s">
        <v>189</v>
      </c>
      <c r="BH96" s="14">
        <v>5</v>
      </c>
      <c r="BI96" s="14">
        <f>IFERROR(AVERAGE(Tabel1[[#This Row],[Up - V3a]:[Up - V3b]]),"")</f>
        <v>5</v>
      </c>
      <c r="BJ96" s="14">
        <v>5</v>
      </c>
      <c r="BK96" s="14">
        <f>IFERROR(AVERAGE(Tabel1[[#This Row],[Up - V1]],Tabel1[[#This Row],[Up - V2]],Tabel1[[#This Row],[Up - V3]],Tabel1[[#This Row],[Up - V4]]),"")</f>
        <v>5</v>
      </c>
      <c r="BL96" s="14">
        <v>5</v>
      </c>
      <c r="BM96" s="14">
        <v>5</v>
      </c>
      <c r="BN96" s="14" t="s">
        <v>189</v>
      </c>
      <c r="BO96" s="14" t="s">
        <v>189</v>
      </c>
      <c r="BP96" s="14">
        <f>IFERROR(AVERAGE(Tabel1[[#This Row],[Up - A1a]:[Up - A1d]]),"")</f>
        <v>5</v>
      </c>
      <c r="BQ96" s="14">
        <v>5</v>
      </c>
      <c r="BR96" s="14">
        <v>4</v>
      </c>
      <c r="BS96" s="14">
        <f>IFERROR(AVERAGE(Tabel1[[#This Row],[Up - A2a]:[Up - A2b]]),"")</f>
        <v>4.5</v>
      </c>
      <c r="BT96" s="14">
        <v>5</v>
      </c>
      <c r="BU96" s="14">
        <f>IFERROR(AVERAGE(Tabel1[[#This Row],[Up - A3a]:[Up - A3a]]),"")</f>
        <v>5</v>
      </c>
      <c r="BV96" s="14" t="s">
        <v>189</v>
      </c>
      <c r="BW96" s="14">
        <f>IFERROR(AVERAGE(Tabel1[[#This Row],[Up - A1]],Tabel1[[#This Row],[Up - A2]],Tabel1[[#This Row],[Up - A3]]),"")</f>
        <v>4.833333333333333</v>
      </c>
      <c r="BX96" s="14">
        <v>5</v>
      </c>
      <c r="BY96" s="14">
        <v>4</v>
      </c>
      <c r="BZ96" s="14">
        <f>IFERROR(AVERAGE(Tabel1[[#This Row],[In - R1a]:[In - R1b]]),"")</f>
        <v>4.5</v>
      </c>
      <c r="CA96" s="14">
        <v>4</v>
      </c>
      <c r="CB96" s="14">
        <v>5</v>
      </c>
      <c r="CC96" s="14">
        <v>3</v>
      </c>
      <c r="CD96" s="14">
        <v>5</v>
      </c>
      <c r="CE96" s="14">
        <f>IFERROR(AVERAGE(Tabel1[[#This Row],[In - R1]:[In - R5]]),"")</f>
        <v>4.3</v>
      </c>
      <c r="CF96" s="14">
        <v>5</v>
      </c>
      <c r="CG96" s="14">
        <v>4</v>
      </c>
      <c r="CH96" s="14">
        <v>5</v>
      </c>
      <c r="CI96" s="14">
        <f>IFERROR(AVERAGE(Tabel1[[#This Row],[In - C1a]:[In - C1c]]),"")</f>
        <v>4.666666666666667</v>
      </c>
      <c r="CJ96" s="14">
        <v>5</v>
      </c>
      <c r="CK96" s="14">
        <v>4</v>
      </c>
      <c r="CL96" s="14">
        <v>4</v>
      </c>
      <c r="CM96" s="14">
        <f>IFERROR(AVERAGE(Tabel1[[#This Row],[In - C1]:[In - C4]]),"")</f>
        <v>4.416666666666667</v>
      </c>
      <c r="CN96" s="14" t="s">
        <v>189</v>
      </c>
      <c r="CO96" s="14">
        <v>4</v>
      </c>
      <c r="CP96" s="14">
        <v>2</v>
      </c>
      <c r="CQ96" s="14">
        <f>IFERROR(AVERAGE(Tabel1[[#This Row],[In - F1a]:[In - F1c]]),"")</f>
        <v>3</v>
      </c>
      <c r="CR96" s="14">
        <v>4</v>
      </c>
      <c r="CS96" s="14">
        <v>1</v>
      </c>
      <c r="CT96" s="14">
        <f>IFERROR(AVERAGE(Tabel1[[#This Row],[In - F2a]:[In - F2b]]),"")</f>
        <v>2.5</v>
      </c>
      <c r="CU96" s="14" t="s">
        <v>189</v>
      </c>
      <c r="CV96" s="14" t="str">
        <f>IFERROR(AVERAGE(Tabel1[[#This Row],[In - F3a]:[In - F3a]]),"")</f>
        <v/>
      </c>
      <c r="CW96" s="14" t="s">
        <v>189</v>
      </c>
      <c r="CX96" s="14">
        <f>IFERROR(AVERAGE(Tabel1[[#This Row],[In - F1]],Tabel1[[#This Row],[In - F2]],Tabel1[[#This Row],[In - F3]],Tabel1[[#This Row],[In - F4]]),"")</f>
        <v>2.75</v>
      </c>
      <c r="CY96" s="14">
        <v>5</v>
      </c>
      <c r="CZ96" s="14">
        <v>4</v>
      </c>
      <c r="DA96" s="14">
        <v>4</v>
      </c>
      <c r="DB96" s="14">
        <f>IFERROR(AVERAGE(Tabel1[[#This Row],[In - V1a]:[In - V1c]]),"")</f>
        <v>4.333333333333333</v>
      </c>
      <c r="DC96" s="14">
        <v>5</v>
      </c>
      <c r="DD96" s="14">
        <v>4</v>
      </c>
      <c r="DE96" s="14">
        <v>5</v>
      </c>
      <c r="DF96" s="14">
        <f>IFERROR(AVERAGE(Tabel1[[#This Row],[In - V2a]:[In - V2c]]),"")</f>
        <v>4.666666666666667</v>
      </c>
      <c r="DG96" s="14" t="s">
        <v>189</v>
      </c>
      <c r="DH96" s="14">
        <v>5</v>
      </c>
      <c r="DI96" s="14">
        <f>IFERROR(AVERAGE(Tabel1[[#This Row],[In - V3a]:[In - V3b]]),"")</f>
        <v>5</v>
      </c>
      <c r="DJ96" s="14">
        <v>5</v>
      </c>
      <c r="DK96" s="14">
        <f>IFERROR(AVERAGE(Tabel1[[#This Row],[In - V1]],Tabel1[[#This Row],[In - V2]],Tabel1[[#This Row],[In - V3]],Tabel1[[#This Row],[In - V4]]),"")</f>
        <v>4.75</v>
      </c>
      <c r="DL96" s="14">
        <v>5</v>
      </c>
      <c r="DM96" s="14">
        <v>5</v>
      </c>
      <c r="DN96" s="14">
        <f>IFERROR(AVERAGE(Tabel1[[#This Row],[In - A1a]:[In - A1b]]),"")</f>
        <v>5</v>
      </c>
      <c r="DO96" s="14">
        <v>5</v>
      </c>
      <c r="DP96" s="14">
        <v>5</v>
      </c>
      <c r="DQ96" s="14">
        <f>IFERROR(AVERAGE(Tabel1[[#This Row],[In - A2a]:[In - A2b]]),"")</f>
        <v>5</v>
      </c>
      <c r="DR96" s="14">
        <v>4</v>
      </c>
      <c r="DS96" s="14">
        <v>4</v>
      </c>
      <c r="DT96" s="14">
        <f>IFERROR(AVERAGE(Tabel1[[#This Row],[In - A3a]:[In - A3a]]),"")</f>
        <v>4</v>
      </c>
      <c r="DU96" s="14">
        <v>5</v>
      </c>
      <c r="DV96" s="14">
        <f>IFERROR(AVERAGE(Tabel1[[#This Row],[In - A1]],Tabel1[[#This Row],[In - A2]],Tabel1[[#This Row],[In - A3]],Tabel1[[#This Row],[In - A4]]),"")</f>
        <v>4.75</v>
      </c>
      <c r="DW96" s="14">
        <v>2</v>
      </c>
      <c r="DX96" s="14">
        <v>5</v>
      </c>
      <c r="DY96" s="14">
        <v>3</v>
      </c>
      <c r="DZ96" s="14">
        <f>IFERROR(AVERAGE(Tabel1[[#This Row],[Do - R1a]:[Do - R1c]]),"")</f>
        <v>3.3333333333333335</v>
      </c>
      <c r="EA96" s="14">
        <v>5</v>
      </c>
      <c r="EB96" s="14">
        <v>2</v>
      </c>
      <c r="EC96" s="14">
        <v>5</v>
      </c>
      <c r="ED96" s="14">
        <v>5</v>
      </c>
      <c r="EE96" s="14">
        <f>IFERROR(AVERAGE(Tabel1[[#This Row],[Do - R1]:[Do - R5]]),"")</f>
        <v>4.0666666666666673</v>
      </c>
      <c r="EF96" s="14">
        <v>5</v>
      </c>
      <c r="EG96" s="14">
        <v>5</v>
      </c>
      <c r="EH96" s="14">
        <v>5</v>
      </c>
      <c r="EI96" s="14">
        <f>IFERROR(AVERAGE(Tabel1[[#This Row],[Do - C1a]:[Do - C1c]]),"")</f>
        <v>5</v>
      </c>
      <c r="EJ96" s="14">
        <v>5</v>
      </c>
      <c r="EK96" s="14">
        <v>4</v>
      </c>
      <c r="EL96" s="14">
        <v>4</v>
      </c>
      <c r="EM96" s="14">
        <f>IFERROR(AVERAGE(Tabel1[[#This Row],[Do - C1]:[Do - C4]]),"")</f>
        <v>4.5</v>
      </c>
      <c r="EN96" s="14">
        <v>5</v>
      </c>
      <c r="EO96" s="14">
        <v>5</v>
      </c>
      <c r="EP96" s="14">
        <v>5</v>
      </c>
      <c r="EQ96" s="14">
        <f>IFERROR(AVERAGE(Tabel1[[#This Row],[Do - F1a]:[Do - F1c]]),"")</f>
        <v>5</v>
      </c>
      <c r="ER96" s="14">
        <v>4</v>
      </c>
      <c r="ES96" s="14">
        <f>IFERROR(AVERAGE(Tabel1[[#This Row],[Do - F2a]:[Do - F2a]]),"")</f>
        <v>4</v>
      </c>
      <c r="ET96" s="14">
        <v>3</v>
      </c>
      <c r="EU96" s="14">
        <v>4</v>
      </c>
      <c r="EV96" s="14">
        <f>IFERROR(AVERAGE(Tabel1[[#This Row],[Do - F3a]:[Do - F3b]]),"")</f>
        <v>3.5</v>
      </c>
      <c r="EW96" s="14">
        <v>4</v>
      </c>
      <c r="EX96" s="14">
        <f>IFERROR(AVERAGE(Tabel1[[#This Row],[Do - F1]],Tabel1[[#This Row],[Do - F2]],Tabel1[[#This Row],[Do - F3]],Tabel1[[#This Row],[Do - F4]]),"")</f>
        <v>4.125</v>
      </c>
      <c r="EY96" s="14">
        <v>5</v>
      </c>
      <c r="EZ96" s="14">
        <v>5</v>
      </c>
      <c r="FA96" s="14">
        <v>5</v>
      </c>
      <c r="FB96" s="14">
        <f>IFERROR(AVERAGE(Tabel1[[#This Row],[Do - V1a]:[Do - V1c]]),"")</f>
        <v>5</v>
      </c>
      <c r="FC96" s="14">
        <v>5</v>
      </c>
      <c r="FD96" s="14">
        <v>5</v>
      </c>
      <c r="FE96" s="14">
        <f>IFERROR(AVERAGE(Tabel1[[#This Row],[Do - V2a]:[Do - V2b]]),"")</f>
        <v>5</v>
      </c>
      <c r="FF96" s="14">
        <v>4</v>
      </c>
      <c r="FG96" s="14">
        <f>IFERROR(AVERAGE(Tabel1[[#This Row],[Do - V3a]:[Do - V3a]]),"")</f>
        <v>4</v>
      </c>
      <c r="FH96" s="14">
        <v>5</v>
      </c>
      <c r="FI96" s="14">
        <f>IFERROR(AVERAGE(Tabel1[[#This Row],[Do - V1]],Tabel1[[#This Row],[Do - V2]],Tabel1[[#This Row],[Do - V3]],Tabel1[[#This Row],[Do - V4]]),"")</f>
        <v>4.75</v>
      </c>
      <c r="FJ96" s="14">
        <v>5</v>
      </c>
      <c r="FK96" s="14">
        <v>5</v>
      </c>
      <c r="FL96" s="14">
        <v>4</v>
      </c>
      <c r="FM96" s="14">
        <f>IFERROR(AVERAGE(Tabel1[[#This Row],[Do - A1a]:[Do - A1c]]),"")</f>
        <v>4.666666666666667</v>
      </c>
      <c r="FN96" s="14">
        <v>4</v>
      </c>
      <c r="FO96" s="14">
        <v>4</v>
      </c>
      <c r="FP96" s="14">
        <f>IFERROR(AVERAGE(Tabel1[[#This Row],[Do - A2a]:[Do - A2b]]),"")</f>
        <v>4</v>
      </c>
      <c r="FQ96" s="14">
        <v>5</v>
      </c>
      <c r="FR96" s="14">
        <f>IFERROR(AVERAGE(Tabel1[[#This Row],[Do - A3a]:[Do - A3a]]),"")</f>
        <v>5</v>
      </c>
      <c r="FS96" s="14">
        <v>4</v>
      </c>
      <c r="FT96" s="14">
        <f>IFERROR(AVERAGE(Tabel1[[#This Row],[Do - A1]],Tabel1[[#This Row],[Do - A2]],Tabel1[[#This Row],[Do - A3]],Tabel1[[#This Row],[Do - A4]]),"")</f>
        <v>4.416666666666667</v>
      </c>
      <c r="FU9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4.2605555555555554</v>
      </c>
      <c r="FV96" s="16" t="s">
        <v>666</v>
      </c>
      <c r="FW96" t="b">
        <v>1</v>
      </c>
    </row>
    <row r="97" spans="1:179" x14ac:dyDescent="0.3">
      <c r="A97" s="13">
        <v>44971.634594907409</v>
      </c>
      <c r="B97" t="b">
        <v>0</v>
      </c>
      <c r="C97" s="14" t="s">
        <v>667</v>
      </c>
      <c r="D97" s="14" t="s">
        <v>668</v>
      </c>
      <c r="E97" s="14" t="s">
        <v>669</v>
      </c>
      <c r="F97" s="14" t="s">
        <v>184</v>
      </c>
      <c r="G97" s="14" t="s">
        <v>670</v>
      </c>
      <c r="H97" s="14" t="s">
        <v>194</v>
      </c>
      <c r="I97" s="14" t="s">
        <v>322</v>
      </c>
      <c r="J97" s="14" t="s">
        <v>323</v>
      </c>
      <c r="K97" s="14" t="s">
        <v>201</v>
      </c>
      <c r="L97" s="14" t="s">
        <v>197</v>
      </c>
      <c r="M97" s="14" t="s">
        <v>233</v>
      </c>
      <c r="N97" s="14" t="s">
        <v>316</v>
      </c>
      <c r="O97" s="14" t="s">
        <v>256</v>
      </c>
      <c r="P97" s="14" t="s">
        <v>235</v>
      </c>
      <c r="Q97" s="14" t="s">
        <v>203</v>
      </c>
      <c r="R97" s="14" t="s">
        <v>203</v>
      </c>
      <c r="S97" s="14" t="s">
        <v>187</v>
      </c>
      <c r="T97" s="14" t="s">
        <v>284</v>
      </c>
      <c r="U97" s="14" t="s">
        <v>285</v>
      </c>
      <c r="V97" s="14" t="s">
        <v>359</v>
      </c>
      <c r="W97" s="14" t="s">
        <v>305</v>
      </c>
      <c r="X97" s="14" t="s">
        <v>305</v>
      </c>
      <c r="Y97" s="14">
        <v>3</v>
      </c>
      <c r="Z97" s="14">
        <v>4</v>
      </c>
      <c r="AA97" s="14" t="s">
        <v>189</v>
      </c>
      <c r="AB97" s="15">
        <f>IFERROR(AVERAGE(Tabel1[[#This Row],[Up - R1a]:[Up - R1c]]),"")</f>
        <v>3.5</v>
      </c>
      <c r="AC97" s="14">
        <v>4</v>
      </c>
      <c r="AD97" s="14">
        <v>5</v>
      </c>
      <c r="AE97" s="14">
        <v>3</v>
      </c>
      <c r="AF97" s="14">
        <v>4</v>
      </c>
      <c r="AG97" s="14">
        <f>IFERROR(AVERAGE(Tabel1[[#This Row],[Up - R1]:[Up - R5]]),"")</f>
        <v>3.9</v>
      </c>
      <c r="AH97" s="14">
        <v>4</v>
      </c>
      <c r="AI97" s="14">
        <v>3</v>
      </c>
      <c r="AJ97" s="14">
        <v>2</v>
      </c>
      <c r="AK97" s="14">
        <f>IFERROR(AVERAGE(Tabel1[[#This Row],[Up - C1a]:[Up - C1c]]),"")</f>
        <v>3</v>
      </c>
      <c r="AL97" s="14">
        <v>2</v>
      </c>
      <c r="AM97" s="14">
        <v>3</v>
      </c>
      <c r="AN97" s="14">
        <v>3</v>
      </c>
      <c r="AO97" s="14">
        <f>IFERROR(AVERAGE(Tabel1[[#This Row],[Up - C1]:[Up - C4]]),"")</f>
        <v>2.75</v>
      </c>
      <c r="AP97" s="14">
        <v>4</v>
      </c>
      <c r="AQ97" s="14">
        <f>IFERROR(AVERAGE(Tabel1[[#This Row],[Up - F1a]:[Up - F1a]]),"")</f>
        <v>4</v>
      </c>
      <c r="AR97" s="14">
        <v>2</v>
      </c>
      <c r="AS97" s="14">
        <v>3</v>
      </c>
      <c r="AT97" s="14">
        <f>IFERROR(AVERAGE(Tabel1[[#This Row],[Up - F2a]:[Up - F2b]]),"")</f>
        <v>2.5</v>
      </c>
      <c r="AU97" s="14">
        <v>2</v>
      </c>
      <c r="AV97" s="14">
        <v>3</v>
      </c>
      <c r="AW97" s="14">
        <f>IFERROR(AVERAGE(Tabel1[[#This Row],[Up - F3a]:[Up - F3b]]),"")</f>
        <v>2.5</v>
      </c>
      <c r="AX97" s="14">
        <v>3</v>
      </c>
      <c r="AY97" s="14">
        <f>IFERROR(AVERAGE(Tabel1[[#This Row],[Up - F1]],Tabel1[[#This Row],[Up - F2]],Tabel1[[#This Row],[Up - F3]],Tabel1[[#This Row],[Up - F4]]),"")</f>
        <v>3</v>
      </c>
      <c r="AZ97" s="14">
        <v>1</v>
      </c>
      <c r="BA97" s="14">
        <v>2</v>
      </c>
      <c r="BB97" s="14">
        <f>IFERROR(AVERAGE(Tabel1[[#This Row],[Up - V1a]:[Up - V1b]]),"")</f>
        <v>1.5</v>
      </c>
      <c r="BC97" s="14">
        <v>2</v>
      </c>
      <c r="BD97" s="14">
        <v>3</v>
      </c>
      <c r="BE97" s="14">
        <v>3</v>
      </c>
      <c r="BF97" s="14">
        <f>IFERROR(AVERAGE(Tabel1[[#This Row],[Up - V2a]:[Up - V2c]]),"")</f>
        <v>2.6666666666666665</v>
      </c>
      <c r="BG97" s="14">
        <v>2</v>
      </c>
      <c r="BH97" s="14">
        <v>2</v>
      </c>
      <c r="BI97" s="14">
        <f>IFERROR(AVERAGE(Tabel1[[#This Row],[Up - V3a]:[Up - V3b]]),"")</f>
        <v>2</v>
      </c>
      <c r="BJ97" s="14">
        <v>4</v>
      </c>
      <c r="BK97" s="14">
        <f>IFERROR(AVERAGE(Tabel1[[#This Row],[Up - V1]],Tabel1[[#This Row],[Up - V2]],Tabel1[[#This Row],[Up - V3]],Tabel1[[#This Row],[Up - V4]]),"")</f>
        <v>2.5416666666666665</v>
      </c>
      <c r="BL97" s="14">
        <v>2</v>
      </c>
      <c r="BM97" s="14">
        <v>2</v>
      </c>
      <c r="BN97" s="14">
        <v>4</v>
      </c>
      <c r="BO97" s="14">
        <v>4</v>
      </c>
      <c r="BP97" s="14">
        <f>IFERROR(AVERAGE(Tabel1[[#This Row],[Up - A1a]:[Up - A1d]]),"")</f>
        <v>3</v>
      </c>
      <c r="BQ97" s="14">
        <v>2</v>
      </c>
      <c r="BR97" s="14">
        <v>2</v>
      </c>
      <c r="BS97" s="14">
        <f>IFERROR(AVERAGE(Tabel1[[#This Row],[Up - A2a]:[Up - A2b]]),"")</f>
        <v>2</v>
      </c>
      <c r="BT97" s="14">
        <v>2</v>
      </c>
      <c r="BU97" s="14">
        <f>IFERROR(AVERAGE(Tabel1[[#This Row],[Up - A3a]:[Up - A3a]]),"")</f>
        <v>2</v>
      </c>
      <c r="BV97" s="14">
        <v>1</v>
      </c>
      <c r="BW97" s="14">
        <f>IFERROR(AVERAGE(Tabel1[[#This Row],[Up - A1]],Tabel1[[#This Row],[Up - A2]],Tabel1[[#This Row],[Up - A3]]),"")</f>
        <v>2.3333333333333335</v>
      </c>
      <c r="BX97" s="14">
        <v>4</v>
      </c>
      <c r="BY97" s="14">
        <v>4</v>
      </c>
      <c r="BZ97" s="14">
        <f>IFERROR(AVERAGE(Tabel1[[#This Row],[In - R1a]:[In - R1b]]),"")</f>
        <v>4</v>
      </c>
      <c r="CA97" s="14">
        <v>3</v>
      </c>
      <c r="CB97" s="14">
        <v>4</v>
      </c>
      <c r="CC97" s="14">
        <v>2</v>
      </c>
      <c r="CD97" s="14">
        <v>3</v>
      </c>
      <c r="CE97" s="14">
        <f>IFERROR(AVERAGE(Tabel1[[#This Row],[In - R1]:[In - R5]]),"")</f>
        <v>3.2</v>
      </c>
      <c r="CF97" s="14">
        <v>3</v>
      </c>
      <c r="CG97" s="14">
        <v>3</v>
      </c>
      <c r="CH97" s="14">
        <v>3</v>
      </c>
      <c r="CI97" s="14">
        <f>IFERROR(AVERAGE(Tabel1[[#This Row],[In - C1a]:[In - C1c]]),"")</f>
        <v>3</v>
      </c>
      <c r="CJ97" s="14">
        <v>4</v>
      </c>
      <c r="CK97" s="14">
        <v>3</v>
      </c>
      <c r="CL97" s="14">
        <v>3</v>
      </c>
      <c r="CM97" s="14">
        <f>IFERROR(AVERAGE(Tabel1[[#This Row],[In - C1]:[In - C4]]),"")</f>
        <v>3.25</v>
      </c>
      <c r="CN97" s="14">
        <v>2</v>
      </c>
      <c r="CO97" s="14">
        <v>2</v>
      </c>
      <c r="CP97" s="14">
        <v>4</v>
      </c>
      <c r="CQ97" s="14">
        <f>IFERROR(AVERAGE(Tabel1[[#This Row],[In - F1a]:[In - F1c]]),"")</f>
        <v>2.6666666666666665</v>
      </c>
      <c r="CR97" s="14">
        <v>2</v>
      </c>
      <c r="CS97" s="14">
        <v>2</v>
      </c>
      <c r="CT97" s="14">
        <f>IFERROR(AVERAGE(Tabel1[[#This Row],[In - F2a]:[In - F2b]]),"")</f>
        <v>2</v>
      </c>
      <c r="CU97" s="14">
        <v>2</v>
      </c>
      <c r="CV97" s="14">
        <f>IFERROR(AVERAGE(Tabel1[[#This Row],[In - F3a]:[In - F3a]]),"")</f>
        <v>2</v>
      </c>
      <c r="CW97" s="14">
        <v>3</v>
      </c>
      <c r="CX97" s="14">
        <f>IFERROR(AVERAGE(Tabel1[[#This Row],[In - F1]],Tabel1[[#This Row],[In - F2]],Tabel1[[#This Row],[In - F3]],Tabel1[[#This Row],[In - F4]]),"")</f>
        <v>2.4166666666666665</v>
      </c>
      <c r="CY97" s="14">
        <v>3</v>
      </c>
      <c r="CZ97" s="14">
        <v>4</v>
      </c>
      <c r="DA97" s="14">
        <v>2</v>
      </c>
      <c r="DB97" s="14">
        <f>IFERROR(AVERAGE(Tabel1[[#This Row],[In - V1a]:[In - V1c]]),"")</f>
        <v>3</v>
      </c>
      <c r="DC97" s="14">
        <v>3</v>
      </c>
      <c r="DD97" s="14">
        <v>3</v>
      </c>
      <c r="DE97" s="14">
        <v>2</v>
      </c>
      <c r="DF97" s="14">
        <f>IFERROR(AVERAGE(Tabel1[[#This Row],[In - V2a]:[In - V2c]]),"")</f>
        <v>2.6666666666666665</v>
      </c>
      <c r="DG97" s="14">
        <v>3</v>
      </c>
      <c r="DH97" s="14">
        <v>5</v>
      </c>
      <c r="DI97" s="14">
        <f>IFERROR(AVERAGE(Tabel1[[#This Row],[In - V3a]:[In - V3b]]),"")</f>
        <v>4</v>
      </c>
      <c r="DJ97" s="14">
        <v>4</v>
      </c>
      <c r="DK97" s="14">
        <f>IFERROR(AVERAGE(Tabel1[[#This Row],[In - V1]],Tabel1[[#This Row],[In - V2]],Tabel1[[#This Row],[In - V3]],Tabel1[[#This Row],[In - V4]]),"")</f>
        <v>3.4166666666666665</v>
      </c>
      <c r="DL97" s="14">
        <v>5</v>
      </c>
      <c r="DM97" s="14">
        <v>3</v>
      </c>
      <c r="DN97" s="14">
        <f>IFERROR(AVERAGE(Tabel1[[#This Row],[In - A1a]:[In - A1b]]),"")</f>
        <v>4</v>
      </c>
      <c r="DO97" s="14">
        <v>2</v>
      </c>
      <c r="DP97" s="14">
        <v>3</v>
      </c>
      <c r="DQ97" s="14">
        <f>IFERROR(AVERAGE(Tabel1[[#This Row],[In - A2a]:[In - A2b]]),"")</f>
        <v>2.5</v>
      </c>
      <c r="DR97" s="14">
        <v>2</v>
      </c>
      <c r="DS97" s="14">
        <v>3</v>
      </c>
      <c r="DT97" s="14">
        <f>IFERROR(AVERAGE(Tabel1[[#This Row],[In - A3a]:[In - A3a]]),"")</f>
        <v>2</v>
      </c>
      <c r="DU97" s="14">
        <v>2</v>
      </c>
      <c r="DV97" s="14">
        <f>IFERROR(AVERAGE(Tabel1[[#This Row],[In - A1]],Tabel1[[#This Row],[In - A2]],Tabel1[[#This Row],[In - A3]],Tabel1[[#This Row],[In - A4]]),"")</f>
        <v>2.625</v>
      </c>
      <c r="DW97" s="14">
        <v>4</v>
      </c>
      <c r="DX97" s="14">
        <v>4</v>
      </c>
      <c r="DY97" s="14">
        <v>2</v>
      </c>
      <c r="DZ97" s="14">
        <f>IFERROR(AVERAGE(Tabel1[[#This Row],[Do - R1a]:[Do - R1c]]),"")</f>
        <v>3.3333333333333335</v>
      </c>
      <c r="EA97" s="14">
        <v>3</v>
      </c>
      <c r="EB97" s="14">
        <v>4</v>
      </c>
      <c r="EC97" s="14">
        <v>2</v>
      </c>
      <c r="ED97" s="14">
        <v>3</v>
      </c>
      <c r="EE97" s="14">
        <f>IFERROR(AVERAGE(Tabel1[[#This Row],[Do - R1]:[Do - R5]]),"")</f>
        <v>3.0666666666666669</v>
      </c>
      <c r="EF97" s="14">
        <v>4</v>
      </c>
      <c r="EG97" s="14">
        <v>3</v>
      </c>
      <c r="EH97" s="14">
        <v>3</v>
      </c>
      <c r="EI97" s="14">
        <f>IFERROR(AVERAGE(Tabel1[[#This Row],[Do - C1a]:[Do - C1c]]),"")</f>
        <v>3.3333333333333335</v>
      </c>
      <c r="EJ97" s="14">
        <v>5</v>
      </c>
      <c r="EK97" s="14">
        <v>3</v>
      </c>
      <c r="EL97" s="14">
        <v>3</v>
      </c>
      <c r="EM97" s="14">
        <f>IFERROR(AVERAGE(Tabel1[[#This Row],[Do - C1]:[Do - C4]]),"")</f>
        <v>3.5833333333333335</v>
      </c>
      <c r="EN97" s="14">
        <v>3</v>
      </c>
      <c r="EO97" s="14">
        <v>2</v>
      </c>
      <c r="EP97" s="14">
        <v>4</v>
      </c>
      <c r="EQ97" s="14">
        <f>IFERROR(AVERAGE(Tabel1[[#This Row],[Do - F1a]:[Do - F1c]]),"")</f>
        <v>3</v>
      </c>
      <c r="ER97" s="14">
        <v>3</v>
      </c>
      <c r="ES97" s="14">
        <f>IFERROR(AVERAGE(Tabel1[[#This Row],[Do - F2a]:[Do - F2a]]),"")</f>
        <v>3</v>
      </c>
      <c r="ET97" s="14">
        <v>5</v>
      </c>
      <c r="EU97" s="14" t="s">
        <v>189</v>
      </c>
      <c r="EV97" s="14">
        <f>IFERROR(AVERAGE(Tabel1[[#This Row],[Do - F3a]:[Do - F3b]]),"")</f>
        <v>5</v>
      </c>
      <c r="EW97" s="14">
        <v>3</v>
      </c>
      <c r="EX97" s="14">
        <f>IFERROR(AVERAGE(Tabel1[[#This Row],[Do - F1]],Tabel1[[#This Row],[Do - F2]],Tabel1[[#This Row],[Do - F3]],Tabel1[[#This Row],[Do - F4]]),"")</f>
        <v>3.5</v>
      </c>
      <c r="EY97" s="14">
        <v>5</v>
      </c>
      <c r="EZ97" s="14">
        <v>4</v>
      </c>
      <c r="FA97" s="14">
        <v>4</v>
      </c>
      <c r="FB97" s="14">
        <f>IFERROR(AVERAGE(Tabel1[[#This Row],[Do - V1a]:[Do - V1c]]),"")</f>
        <v>4.333333333333333</v>
      </c>
      <c r="FC97" s="14">
        <v>4</v>
      </c>
      <c r="FD97" s="14">
        <v>5</v>
      </c>
      <c r="FE97" s="14">
        <f>IFERROR(AVERAGE(Tabel1[[#This Row],[Do - V2a]:[Do - V2b]]),"")</f>
        <v>4.5</v>
      </c>
      <c r="FF97" s="14">
        <v>5</v>
      </c>
      <c r="FG97" s="14">
        <f>IFERROR(AVERAGE(Tabel1[[#This Row],[Do - V3a]:[Do - V3a]]),"")</f>
        <v>5</v>
      </c>
      <c r="FH97" s="14">
        <v>3</v>
      </c>
      <c r="FI97" s="14">
        <f>IFERROR(AVERAGE(Tabel1[[#This Row],[Do - V1]],Tabel1[[#This Row],[Do - V2]],Tabel1[[#This Row],[Do - V3]],Tabel1[[#This Row],[Do - V4]]),"")</f>
        <v>4.208333333333333</v>
      </c>
      <c r="FJ97" s="14">
        <v>5</v>
      </c>
      <c r="FK97" s="14">
        <v>3</v>
      </c>
      <c r="FL97" s="14">
        <v>4</v>
      </c>
      <c r="FM97" s="14">
        <f>IFERROR(AVERAGE(Tabel1[[#This Row],[Do - A1a]:[Do - A1c]]),"")</f>
        <v>4</v>
      </c>
      <c r="FN97" s="14">
        <v>2</v>
      </c>
      <c r="FO97" s="14">
        <v>3</v>
      </c>
      <c r="FP97" s="14">
        <f>IFERROR(AVERAGE(Tabel1[[#This Row],[Do - A2a]:[Do - A2b]]),"")</f>
        <v>2.5</v>
      </c>
      <c r="FQ97" s="14">
        <v>4</v>
      </c>
      <c r="FR97" s="14">
        <f>IFERROR(AVERAGE(Tabel1[[#This Row],[Do - A3a]:[Do - A3a]]),"")</f>
        <v>4</v>
      </c>
      <c r="FS97" s="14">
        <v>3</v>
      </c>
      <c r="FT97" s="14">
        <f>IFERROR(AVERAGE(Tabel1[[#This Row],[Do - A1]],Tabel1[[#This Row],[Do - A2]],Tabel1[[#This Row],[Do - A3]],Tabel1[[#This Row],[Do - A4]]),"")</f>
        <v>3.375</v>
      </c>
      <c r="FU9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3.1444444444444453</v>
      </c>
      <c r="FV97" s="16" t="s">
        <v>671</v>
      </c>
      <c r="FW97" t="b">
        <v>1</v>
      </c>
    </row>
    <row r="98" spans="1:179" x14ac:dyDescent="0.3">
      <c r="A98" s="13">
        <v>44972.329768518517</v>
      </c>
      <c r="B98" t="b">
        <v>0</v>
      </c>
      <c r="C98" s="14" t="s">
        <v>672</v>
      </c>
      <c r="D98" s="14" t="s">
        <v>673</v>
      </c>
      <c r="E98" s="14" t="s">
        <v>644</v>
      </c>
      <c r="F98" s="14" t="s">
        <v>184</v>
      </c>
      <c r="G98" s="14" t="s">
        <v>674</v>
      </c>
      <c r="H98" s="14" t="s">
        <v>222</v>
      </c>
      <c r="I98" s="14" t="s">
        <v>195</v>
      </c>
      <c r="J98" s="14" t="s">
        <v>212</v>
      </c>
      <c r="K98" s="14" t="s">
        <v>201</v>
      </c>
      <c r="L98" s="14" t="s">
        <v>218</v>
      </c>
      <c r="M98" s="14" t="s">
        <v>233</v>
      </c>
      <c r="N98" s="14" t="s">
        <v>262</v>
      </c>
      <c r="O98" s="14" t="s">
        <v>200</v>
      </c>
      <c r="P98" s="17" t="s">
        <v>255</v>
      </c>
      <c r="Q98" s="14" t="s">
        <v>203</v>
      </c>
      <c r="R98" s="14" t="s">
        <v>201</v>
      </c>
      <c r="S98" s="14" t="s">
        <v>201</v>
      </c>
      <c r="T98" s="14" t="s">
        <v>204</v>
      </c>
      <c r="U98" s="14" t="s">
        <v>285</v>
      </c>
      <c r="V98" s="14" t="s">
        <v>359</v>
      </c>
      <c r="W98" s="14" t="s">
        <v>395</v>
      </c>
      <c r="X98" s="14" t="s">
        <v>207</v>
      </c>
      <c r="Y98" s="14">
        <v>3</v>
      </c>
      <c r="Z98" s="14">
        <v>3</v>
      </c>
      <c r="AA98" s="14">
        <v>3</v>
      </c>
      <c r="AB98" s="15">
        <f>IFERROR(AVERAGE(Tabel1[[#This Row],[Up - R1a]:[Up - R1c]]),"")</f>
        <v>3</v>
      </c>
      <c r="AC98" s="14" t="s">
        <v>189</v>
      </c>
      <c r="AD98" s="14">
        <v>4</v>
      </c>
      <c r="AE98" s="14">
        <v>2</v>
      </c>
      <c r="AF98" s="14">
        <v>2</v>
      </c>
      <c r="AG98" s="14">
        <f>IFERROR(AVERAGE(Tabel1[[#This Row],[Up - R1]:[Up - R5]]),"")</f>
        <v>2.75</v>
      </c>
      <c r="AH98" s="14">
        <v>4</v>
      </c>
      <c r="AI98" s="14">
        <v>4</v>
      </c>
      <c r="AJ98" s="14">
        <v>2</v>
      </c>
      <c r="AK98" s="14">
        <f>IFERROR(AVERAGE(Tabel1[[#This Row],[Up - C1a]:[Up - C1c]]),"")</f>
        <v>3.3333333333333335</v>
      </c>
      <c r="AL98" s="14">
        <v>2</v>
      </c>
      <c r="AM98" s="14">
        <v>2</v>
      </c>
      <c r="AN98" s="14">
        <v>2</v>
      </c>
      <c r="AO98" s="14">
        <f>IFERROR(AVERAGE(Tabel1[[#This Row],[Up - C1]:[Up - C4]]),"")</f>
        <v>2.3333333333333335</v>
      </c>
      <c r="AP98" s="14">
        <v>1</v>
      </c>
      <c r="AQ98" s="14">
        <f>IFERROR(AVERAGE(Tabel1[[#This Row],[Up - F1a]:[Up - F1a]]),"")</f>
        <v>1</v>
      </c>
      <c r="AR98" s="14">
        <v>2</v>
      </c>
      <c r="AS98" s="14">
        <v>3</v>
      </c>
      <c r="AT98" s="14">
        <f>IFERROR(AVERAGE(Tabel1[[#This Row],[Up - F2a]:[Up - F2b]]),"")</f>
        <v>2.5</v>
      </c>
      <c r="AU98" s="14">
        <v>5</v>
      </c>
      <c r="AV98" s="14">
        <v>2</v>
      </c>
      <c r="AW98" s="14">
        <f>IFERROR(AVERAGE(Tabel1[[#This Row],[Up - F3a]:[Up - F3b]]),"")</f>
        <v>3.5</v>
      </c>
      <c r="AX98" s="14">
        <v>3</v>
      </c>
      <c r="AY98" s="14">
        <f>IFERROR(AVERAGE(Tabel1[[#This Row],[Up - F1]],Tabel1[[#This Row],[Up - F2]],Tabel1[[#This Row],[Up - F3]],Tabel1[[#This Row],[Up - F4]]),"")</f>
        <v>2.5</v>
      </c>
      <c r="AZ98" s="14">
        <v>3</v>
      </c>
      <c r="BA98" s="14">
        <v>3</v>
      </c>
      <c r="BB98" s="14">
        <f>IFERROR(AVERAGE(Tabel1[[#This Row],[Up - V1a]:[Up - V1b]]),"")</f>
        <v>3</v>
      </c>
      <c r="BC98" s="14">
        <v>2</v>
      </c>
      <c r="BD98" s="14">
        <v>2</v>
      </c>
      <c r="BE98" s="14">
        <v>2</v>
      </c>
      <c r="BF98" s="14">
        <f>IFERROR(AVERAGE(Tabel1[[#This Row],[Up - V2a]:[Up - V2c]]),"")</f>
        <v>2</v>
      </c>
      <c r="BG98" s="14" t="s">
        <v>189</v>
      </c>
      <c r="BH98" s="14">
        <v>1</v>
      </c>
      <c r="BI98" s="14">
        <f>IFERROR(AVERAGE(Tabel1[[#This Row],[Up - V3a]:[Up - V3b]]),"")</f>
        <v>1</v>
      </c>
      <c r="BJ98" s="14">
        <v>1</v>
      </c>
      <c r="BK98" s="14">
        <f>IFERROR(AVERAGE(Tabel1[[#This Row],[Up - V1]],Tabel1[[#This Row],[Up - V2]],Tabel1[[#This Row],[Up - V3]],Tabel1[[#This Row],[Up - V4]]),"")</f>
        <v>1.75</v>
      </c>
      <c r="BL98" s="14">
        <v>3</v>
      </c>
      <c r="BM98" s="14">
        <v>3</v>
      </c>
      <c r="BN98" s="14">
        <v>2</v>
      </c>
      <c r="BO98" s="14">
        <v>3</v>
      </c>
      <c r="BP98" s="14">
        <f>IFERROR(AVERAGE(Tabel1[[#This Row],[Up - A1a]:[Up - A1d]]),"")</f>
        <v>2.75</v>
      </c>
      <c r="BQ98" s="14">
        <v>2</v>
      </c>
      <c r="BR98" s="14">
        <v>5</v>
      </c>
      <c r="BS98" s="14">
        <f>IFERROR(AVERAGE(Tabel1[[#This Row],[Up - A2a]:[Up - A2b]]),"")</f>
        <v>3.5</v>
      </c>
      <c r="BT98" s="14">
        <v>4</v>
      </c>
      <c r="BU98" s="14">
        <f>IFERROR(AVERAGE(Tabel1[[#This Row],[Up - A3a]:[Up - A3a]]),"")</f>
        <v>4</v>
      </c>
      <c r="BV98" s="14">
        <v>3</v>
      </c>
      <c r="BW98" s="14">
        <f>IFERROR(AVERAGE(Tabel1[[#This Row],[Up - A1]],Tabel1[[#This Row],[Up - A2]],Tabel1[[#This Row],[Up - A3]]),"")</f>
        <v>3.4166666666666665</v>
      </c>
      <c r="BX98" s="14" t="s">
        <v>189</v>
      </c>
      <c r="BY98" s="14" t="s">
        <v>189</v>
      </c>
      <c r="BZ98" s="14" t="str">
        <f>IFERROR(AVERAGE(Tabel1[[#This Row],[In - R1a]:[In - R1b]]),"")</f>
        <v/>
      </c>
      <c r="CA98" s="14">
        <v>4</v>
      </c>
      <c r="CB98" s="14" t="s">
        <v>189</v>
      </c>
      <c r="CC98" s="14" t="s">
        <v>189</v>
      </c>
      <c r="CD98" s="14">
        <v>5</v>
      </c>
      <c r="CE98" s="14">
        <f>IFERROR(AVERAGE(Tabel1[[#This Row],[In - R1]:[In - R5]]),"")</f>
        <v>4.5</v>
      </c>
      <c r="CF98" s="14">
        <v>3</v>
      </c>
      <c r="CG98" s="14">
        <v>4</v>
      </c>
      <c r="CH98" s="14">
        <v>4</v>
      </c>
      <c r="CI98" s="14">
        <f>IFERROR(AVERAGE(Tabel1[[#This Row],[In - C1a]:[In - C1c]]),"")</f>
        <v>3.6666666666666665</v>
      </c>
      <c r="CJ98" s="14">
        <v>2</v>
      </c>
      <c r="CK98" s="14">
        <v>2</v>
      </c>
      <c r="CL98" s="14" t="s">
        <v>189</v>
      </c>
      <c r="CM98" s="14">
        <f>IFERROR(AVERAGE(Tabel1[[#This Row],[In - C1]:[In - C4]]),"")</f>
        <v>2.5555555555555554</v>
      </c>
      <c r="CN98" s="14">
        <v>3</v>
      </c>
      <c r="CO98" s="14">
        <v>3</v>
      </c>
      <c r="CP98" s="14">
        <v>1</v>
      </c>
      <c r="CQ98" s="14">
        <f>IFERROR(AVERAGE(Tabel1[[#This Row],[In - F1a]:[In - F1c]]),"")</f>
        <v>2.3333333333333335</v>
      </c>
      <c r="CR98" s="14">
        <v>4</v>
      </c>
      <c r="CS98" s="14">
        <v>2</v>
      </c>
      <c r="CT98" s="14">
        <f>IFERROR(AVERAGE(Tabel1[[#This Row],[In - F2a]:[In - F2b]]),"")</f>
        <v>3</v>
      </c>
      <c r="CU98" s="14">
        <v>2</v>
      </c>
      <c r="CV98" s="14">
        <f>IFERROR(AVERAGE(Tabel1[[#This Row],[In - F3a]:[In - F3a]]),"")</f>
        <v>2</v>
      </c>
      <c r="CW98" s="14" t="s">
        <v>189</v>
      </c>
      <c r="CX98" s="14">
        <f>IFERROR(AVERAGE(Tabel1[[#This Row],[In - F1]],Tabel1[[#This Row],[In - F2]],Tabel1[[#This Row],[In - F3]],Tabel1[[#This Row],[In - F4]]),"")</f>
        <v>2.4444444444444446</v>
      </c>
      <c r="CY98" s="14">
        <v>3</v>
      </c>
      <c r="CZ98" s="14">
        <v>4</v>
      </c>
      <c r="DA98" s="14">
        <v>2</v>
      </c>
      <c r="DB98" s="14">
        <f>IFERROR(AVERAGE(Tabel1[[#This Row],[In - V1a]:[In - V1c]]),"")</f>
        <v>3</v>
      </c>
      <c r="DC98" s="14">
        <v>3</v>
      </c>
      <c r="DD98" s="14">
        <v>3</v>
      </c>
      <c r="DE98" s="14">
        <v>3</v>
      </c>
      <c r="DF98" s="14">
        <f>IFERROR(AVERAGE(Tabel1[[#This Row],[In - V2a]:[In - V2c]]),"")</f>
        <v>3</v>
      </c>
      <c r="DG98" s="14">
        <v>2</v>
      </c>
      <c r="DH98" s="14">
        <v>2</v>
      </c>
      <c r="DI98" s="14">
        <f>IFERROR(AVERAGE(Tabel1[[#This Row],[In - V3a]:[In - V3b]]),"")</f>
        <v>2</v>
      </c>
      <c r="DJ98" s="14" t="s">
        <v>189</v>
      </c>
      <c r="DK98" s="14">
        <f>IFERROR(AVERAGE(Tabel1[[#This Row],[In - V1]],Tabel1[[#This Row],[In - V2]],Tabel1[[#This Row],[In - V3]],Tabel1[[#This Row],[In - V4]]),"")</f>
        <v>2.6666666666666665</v>
      </c>
      <c r="DL98" s="14">
        <v>3</v>
      </c>
      <c r="DM98" s="14">
        <v>3</v>
      </c>
      <c r="DN98" s="14">
        <f>IFERROR(AVERAGE(Tabel1[[#This Row],[In - A1a]:[In - A1b]]),"")</f>
        <v>3</v>
      </c>
      <c r="DO98" s="14">
        <v>4</v>
      </c>
      <c r="DP98" s="14" t="s">
        <v>189</v>
      </c>
      <c r="DQ98" s="14">
        <f>IFERROR(AVERAGE(Tabel1[[#This Row],[In - A2a]:[In - A2b]]),"")</f>
        <v>4</v>
      </c>
      <c r="DR98" s="14">
        <v>3</v>
      </c>
      <c r="DS98" s="14">
        <v>2</v>
      </c>
      <c r="DT98" s="14">
        <f>IFERROR(AVERAGE(Tabel1[[#This Row],[In - A3a]:[In - A3a]]),"")</f>
        <v>3</v>
      </c>
      <c r="DU98" s="14" t="s">
        <v>189</v>
      </c>
      <c r="DV98" s="14">
        <f>IFERROR(AVERAGE(Tabel1[[#This Row],[In - A1]],Tabel1[[#This Row],[In - A2]],Tabel1[[#This Row],[In - A3]],Tabel1[[#This Row],[In - A4]]),"")</f>
        <v>3.3333333333333335</v>
      </c>
      <c r="DW98" s="14">
        <v>3</v>
      </c>
      <c r="DX98" s="14">
        <v>3</v>
      </c>
      <c r="DY98" s="14">
        <v>2</v>
      </c>
      <c r="DZ98" s="14">
        <f>IFERROR(AVERAGE(Tabel1[[#This Row],[Do - R1a]:[Do - R1c]]),"")</f>
        <v>2.6666666666666665</v>
      </c>
      <c r="EA98" s="14" t="s">
        <v>189</v>
      </c>
      <c r="EB98" s="14">
        <v>4</v>
      </c>
      <c r="EC98" s="14" t="s">
        <v>189</v>
      </c>
      <c r="ED98" s="14">
        <v>5</v>
      </c>
      <c r="EE98" s="14">
        <f>IFERROR(AVERAGE(Tabel1[[#This Row],[Do - R1]:[Do - R5]]),"")</f>
        <v>3.8888888888888888</v>
      </c>
      <c r="EF98" s="14">
        <v>3</v>
      </c>
      <c r="EG98" s="14">
        <v>3</v>
      </c>
      <c r="EH98" s="14">
        <v>3</v>
      </c>
      <c r="EI98" s="14">
        <f>IFERROR(AVERAGE(Tabel1[[#This Row],[Do - C1a]:[Do - C1c]]),"")</f>
        <v>3</v>
      </c>
      <c r="EJ98" s="14">
        <v>2</v>
      </c>
      <c r="EK98" s="14">
        <v>2</v>
      </c>
      <c r="EL98" s="14" t="s">
        <v>189</v>
      </c>
      <c r="EM98" s="14">
        <f>IFERROR(AVERAGE(Tabel1[[#This Row],[Do - C1]:[Do - C4]]),"")</f>
        <v>2.3333333333333335</v>
      </c>
      <c r="EN98" s="14">
        <v>2</v>
      </c>
      <c r="EO98" s="14" t="s">
        <v>189</v>
      </c>
      <c r="EP98" s="14">
        <v>3</v>
      </c>
      <c r="EQ98" s="14">
        <f>IFERROR(AVERAGE(Tabel1[[#This Row],[Do - F1a]:[Do - F1c]]),"")</f>
        <v>2.5</v>
      </c>
      <c r="ER98" s="14" t="s">
        <v>189</v>
      </c>
      <c r="ES98" s="14" t="str">
        <f>IFERROR(AVERAGE(Tabel1[[#This Row],[Do - F2a]:[Do - F2a]]),"")</f>
        <v/>
      </c>
      <c r="ET98" s="14">
        <v>4</v>
      </c>
      <c r="EU98" s="14" t="s">
        <v>189</v>
      </c>
      <c r="EV98" s="14">
        <f>IFERROR(AVERAGE(Tabel1[[#This Row],[Do - F3a]:[Do - F3b]]),"")</f>
        <v>4</v>
      </c>
      <c r="EW98" s="14" t="s">
        <v>189</v>
      </c>
      <c r="EX98" s="14">
        <f>IFERROR(AVERAGE(Tabel1[[#This Row],[Do - F1]],Tabel1[[#This Row],[Do - F2]],Tabel1[[#This Row],[Do - F3]],Tabel1[[#This Row],[Do - F4]]),"")</f>
        <v>3.25</v>
      </c>
      <c r="EY98" s="14">
        <v>3</v>
      </c>
      <c r="EZ98" s="14">
        <v>1</v>
      </c>
      <c r="FA98" s="14">
        <v>2</v>
      </c>
      <c r="FB98" s="14">
        <f>IFERROR(AVERAGE(Tabel1[[#This Row],[Do - V1a]:[Do - V1c]]),"")</f>
        <v>2</v>
      </c>
      <c r="FC98" s="14" t="s">
        <v>189</v>
      </c>
      <c r="FD98" s="14">
        <v>4</v>
      </c>
      <c r="FE98" s="14">
        <f>IFERROR(AVERAGE(Tabel1[[#This Row],[Do - V2a]:[Do - V2b]]),"")</f>
        <v>4</v>
      </c>
      <c r="FF98" s="14" t="s">
        <v>189</v>
      </c>
      <c r="FG98" s="14" t="str">
        <f>IFERROR(AVERAGE(Tabel1[[#This Row],[Do - V3a]:[Do - V3a]]),"")</f>
        <v/>
      </c>
      <c r="FH98" s="14" t="s">
        <v>189</v>
      </c>
      <c r="FI98" s="14">
        <f>IFERROR(AVERAGE(Tabel1[[#This Row],[Do - V1]],Tabel1[[#This Row],[Do - V2]],Tabel1[[#This Row],[Do - V3]],Tabel1[[#This Row],[Do - V4]]),"")</f>
        <v>3</v>
      </c>
      <c r="FJ98" s="14" t="s">
        <v>189</v>
      </c>
      <c r="FK98" s="14">
        <v>2</v>
      </c>
      <c r="FL98" s="14" t="s">
        <v>189</v>
      </c>
      <c r="FM98" s="14">
        <f>IFERROR(AVERAGE(Tabel1[[#This Row],[Do - A1a]:[Do - A1c]]),"")</f>
        <v>2</v>
      </c>
      <c r="FN98" s="14" t="s">
        <v>189</v>
      </c>
      <c r="FO98" s="14">
        <v>4</v>
      </c>
      <c r="FP98" s="14">
        <f>IFERROR(AVERAGE(Tabel1[[#This Row],[Do - A2a]:[Do - A2b]]),"")</f>
        <v>4</v>
      </c>
      <c r="FQ98" s="14" t="s">
        <v>189</v>
      </c>
      <c r="FR98" s="14" t="str">
        <f>IFERROR(AVERAGE(Tabel1[[#This Row],[Do - A3a]:[Do - A3a]]),"")</f>
        <v/>
      </c>
      <c r="FS98" s="14" t="s">
        <v>189</v>
      </c>
      <c r="FT98" s="14">
        <f>IFERROR(AVERAGE(Tabel1[[#This Row],[Do - A1]],Tabel1[[#This Row],[Do - A2]],Tabel1[[#This Row],[Do - A3]],Tabel1[[#This Row],[Do - A4]]),"")</f>
        <v>3</v>
      </c>
      <c r="FU9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2.914814814814815</v>
      </c>
      <c r="FV98" s="16" t="s">
        <v>675</v>
      </c>
      <c r="FW98" t="b">
        <v>1</v>
      </c>
    </row>
    <row r="99" spans="1:179" x14ac:dyDescent="0.3">
      <c r="A99" s="13">
        <v>44973.368576388886</v>
      </c>
      <c r="B99" t="b">
        <v>0</v>
      </c>
      <c r="C99" s="14" t="s">
        <v>676</v>
      </c>
      <c r="D99" s="14" t="s">
        <v>215</v>
      </c>
      <c r="E99" s="14" t="s">
        <v>677</v>
      </c>
      <c r="F99" s="14" t="s">
        <v>184</v>
      </c>
      <c r="G99" s="14" t="s">
        <v>678</v>
      </c>
      <c r="H99" s="14" t="s">
        <v>222</v>
      </c>
      <c r="I99" s="14" t="s">
        <v>195</v>
      </c>
      <c r="J99" s="14" t="s">
        <v>268</v>
      </c>
      <c r="K99" s="17" t="s">
        <v>304</v>
      </c>
      <c r="L99" s="14" t="s">
        <v>385</v>
      </c>
      <c r="M99" s="14"/>
      <c r="N99" s="14" t="s">
        <v>262</v>
      </c>
      <c r="O99" s="14" t="s">
        <v>200</v>
      </c>
      <c r="P99" s="17" t="s">
        <v>255</v>
      </c>
      <c r="Q99" s="17" t="s">
        <v>304</v>
      </c>
      <c r="R99" s="14" t="s">
        <v>201</v>
      </c>
      <c r="S99" s="14" t="s">
        <v>201</v>
      </c>
      <c r="T99" s="14" t="s">
        <v>380</v>
      </c>
      <c r="U99" s="14" t="s">
        <v>285</v>
      </c>
      <c r="V99" s="14" t="s">
        <v>359</v>
      </c>
      <c r="W99" s="14" t="s">
        <v>395</v>
      </c>
      <c r="X99" s="14" t="s">
        <v>207</v>
      </c>
      <c r="Y99" s="14">
        <v>3</v>
      </c>
      <c r="Z99" s="14">
        <v>5</v>
      </c>
      <c r="AA99" s="14">
        <v>5</v>
      </c>
      <c r="AB99" s="15">
        <f>IFERROR(AVERAGE(Tabel1[[#This Row],[Up - R1a]:[Up - R1c]]),"")</f>
        <v>4.333333333333333</v>
      </c>
      <c r="AC99" s="14">
        <v>2</v>
      </c>
      <c r="AD99" s="14">
        <v>3</v>
      </c>
      <c r="AE99" s="14">
        <v>1</v>
      </c>
      <c r="AF99" s="14">
        <v>1</v>
      </c>
      <c r="AG99" s="14">
        <f>IFERROR(AVERAGE(Tabel1[[#This Row],[Up - R1]:[Up - R5]]),"")</f>
        <v>2.2666666666666666</v>
      </c>
      <c r="AH99" s="14">
        <v>3</v>
      </c>
      <c r="AI99" s="14">
        <v>1</v>
      </c>
      <c r="AJ99" s="14">
        <v>1</v>
      </c>
      <c r="AK99" s="14">
        <f>IFERROR(AVERAGE(Tabel1[[#This Row],[Up - C1a]:[Up - C1c]]),"")</f>
        <v>1.6666666666666667</v>
      </c>
      <c r="AL99" s="14">
        <v>2</v>
      </c>
      <c r="AM99" s="14">
        <v>2</v>
      </c>
      <c r="AN99" s="14">
        <v>1</v>
      </c>
      <c r="AO99" s="14">
        <f>IFERROR(AVERAGE(Tabel1[[#This Row],[Up - C1]:[Up - C4]]),"")</f>
        <v>1.6666666666666667</v>
      </c>
      <c r="AP99" s="14">
        <v>4</v>
      </c>
      <c r="AQ99" s="14">
        <f>IFERROR(AVERAGE(Tabel1[[#This Row],[Up - F1a]:[Up - F1a]]),"")</f>
        <v>4</v>
      </c>
      <c r="AR99" s="14">
        <v>1</v>
      </c>
      <c r="AS99" s="14">
        <v>5</v>
      </c>
      <c r="AT99" s="14">
        <f>IFERROR(AVERAGE(Tabel1[[#This Row],[Up - F2a]:[Up - F2b]]),"")</f>
        <v>3</v>
      </c>
      <c r="AU99" s="14">
        <v>3</v>
      </c>
      <c r="AV99" s="14">
        <v>1</v>
      </c>
      <c r="AW99" s="14">
        <f>IFERROR(AVERAGE(Tabel1[[#This Row],[Up - F3a]:[Up - F3b]]),"")</f>
        <v>2</v>
      </c>
      <c r="AX99" s="14">
        <v>1</v>
      </c>
      <c r="AY99" s="14">
        <f>IFERROR(AVERAGE(Tabel1[[#This Row],[Up - F1]],Tabel1[[#This Row],[Up - F2]],Tabel1[[#This Row],[Up - F3]],Tabel1[[#This Row],[Up - F4]]),"")</f>
        <v>2.5</v>
      </c>
      <c r="AZ99" s="14">
        <v>1</v>
      </c>
      <c r="BA99" s="14">
        <v>2</v>
      </c>
      <c r="BB99" s="14">
        <f>IFERROR(AVERAGE(Tabel1[[#This Row],[Up - V1a]:[Up - V1b]]),"")</f>
        <v>1.5</v>
      </c>
      <c r="BC99" s="14">
        <v>1</v>
      </c>
      <c r="BD99" s="14">
        <v>4</v>
      </c>
      <c r="BE99" s="14">
        <v>3</v>
      </c>
      <c r="BF99" s="14">
        <f>IFERROR(AVERAGE(Tabel1[[#This Row],[Up - V2a]:[Up - V2c]]),"")</f>
        <v>2.6666666666666665</v>
      </c>
      <c r="BG99" s="14">
        <v>1</v>
      </c>
      <c r="BH99" s="14">
        <v>1</v>
      </c>
      <c r="BI99" s="14">
        <f>IFERROR(AVERAGE(Tabel1[[#This Row],[Up - V3a]:[Up - V3b]]),"")</f>
        <v>1</v>
      </c>
      <c r="BJ99" s="14">
        <v>1</v>
      </c>
      <c r="BK99" s="14">
        <f>IFERROR(AVERAGE(Tabel1[[#This Row],[Up - V1]],Tabel1[[#This Row],[Up - V2]],Tabel1[[#This Row],[Up - V3]],Tabel1[[#This Row],[Up - V4]]),"")</f>
        <v>1.5416666666666665</v>
      </c>
      <c r="BL99" s="14">
        <v>3</v>
      </c>
      <c r="BM99" s="14">
        <v>3</v>
      </c>
      <c r="BN99" s="14">
        <v>3</v>
      </c>
      <c r="BO99" s="14">
        <v>2</v>
      </c>
      <c r="BP99" s="14">
        <f>IFERROR(AVERAGE(Tabel1[[#This Row],[Up - A1a]:[Up - A1d]]),"")</f>
        <v>2.75</v>
      </c>
      <c r="BQ99" s="14">
        <v>2</v>
      </c>
      <c r="BR99" s="14">
        <v>3</v>
      </c>
      <c r="BS99" s="14">
        <f>IFERROR(AVERAGE(Tabel1[[#This Row],[Up - A2a]:[Up - A2b]]),"")</f>
        <v>2.5</v>
      </c>
      <c r="BT99" s="14">
        <v>2</v>
      </c>
      <c r="BU99" s="14">
        <f>IFERROR(AVERAGE(Tabel1[[#This Row],[Up - A3a]:[Up - A3a]]),"")</f>
        <v>2</v>
      </c>
      <c r="BV99" s="14">
        <v>1</v>
      </c>
      <c r="BW99" s="14">
        <f>IFERROR(AVERAGE(Tabel1[[#This Row],[Up - A1]],Tabel1[[#This Row],[Up - A2]],Tabel1[[#This Row],[Up - A3]]),"")</f>
        <v>2.4166666666666665</v>
      </c>
      <c r="BX99" s="14">
        <v>2</v>
      </c>
      <c r="BY99" s="14">
        <v>5</v>
      </c>
      <c r="BZ99" s="14">
        <f>IFERROR(AVERAGE(Tabel1[[#This Row],[In - R1a]:[In - R1b]]),"")</f>
        <v>3.5</v>
      </c>
      <c r="CA99" s="14">
        <v>4</v>
      </c>
      <c r="CB99" s="14">
        <v>1</v>
      </c>
      <c r="CC99" s="14">
        <v>1</v>
      </c>
      <c r="CD99" s="14">
        <v>1</v>
      </c>
      <c r="CE99" s="14">
        <f>IFERROR(AVERAGE(Tabel1[[#This Row],[In - R1]:[In - R5]]),"")</f>
        <v>2.1</v>
      </c>
      <c r="CF99" s="14">
        <v>1</v>
      </c>
      <c r="CG99" s="14">
        <v>5</v>
      </c>
      <c r="CH99" s="14">
        <v>5</v>
      </c>
      <c r="CI99" s="14">
        <f>IFERROR(AVERAGE(Tabel1[[#This Row],[In - C1a]:[In - C1c]]),"")</f>
        <v>3.6666666666666665</v>
      </c>
      <c r="CJ99" s="14">
        <v>4</v>
      </c>
      <c r="CK99" s="14">
        <v>1</v>
      </c>
      <c r="CL99" s="14">
        <v>3</v>
      </c>
      <c r="CM99" s="14">
        <f>IFERROR(AVERAGE(Tabel1[[#This Row],[In - C1]:[In - C4]]),"")</f>
        <v>2.9166666666666665</v>
      </c>
      <c r="CN99" s="14">
        <v>3</v>
      </c>
      <c r="CO99" s="14">
        <v>3</v>
      </c>
      <c r="CP99" s="14">
        <v>3</v>
      </c>
      <c r="CQ99" s="14">
        <f>IFERROR(AVERAGE(Tabel1[[#This Row],[In - F1a]:[In - F1c]]),"")</f>
        <v>3</v>
      </c>
      <c r="CR99" s="14">
        <v>5</v>
      </c>
      <c r="CS99" s="14">
        <v>3</v>
      </c>
      <c r="CT99" s="14">
        <f>IFERROR(AVERAGE(Tabel1[[#This Row],[In - F2a]:[In - F2b]]),"")</f>
        <v>4</v>
      </c>
      <c r="CU99" s="14">
        <v>1</v>
      </c>
      <c r="CV99" s="14">
        <f>IFERROR(AVERAGE(Tabel1[[#This Row],[In - F3a]:[In - F3a]]),"")</f>
        <v>1</v>
      </c>
      <c r="CW99" s="14">
        <v>1</v>
      </c>
      <c r="CX99" s="14">
        <f>IFERROR(AVERAGE(Tabel1[[#This Row],[In - F1]],Tabel1[[#This Row],[In - F2]],Tabel1[[#This Row],[In - F3]],Tabel1[[#This Row],[In - F4]]),"")</f>
        <v>2.25</v>
      </c>
      <c r="CY99" s="14">
        <v>4</v>
      </c>
      <c r="CZ99" s="14">
        <v>3</v>
      </c>
      <c r="DA99" s="14">
        <v>2</v>
      </c>
      <c r="DB99" s="14">
        <f>IFERROR(AVERAGE(Tabel1[[#This Row],[In - V1a]:[In - V1c]]),"")</f>
        <v>3</v>
      </c>
      <c r="DC99" s="14">
        <v>2</v>
      </c>
      <c r="DD99" s="14">
        <v>2</v>
      </c>
      <c r="DE99" s="14">
        <v>1</v>
      </c>
      <c r="DF99" s="14">
        <f>IFERROR(AVERAGE(Tabel1[[#This Row],[In - V2a]:[In - V2c]]),"")</f>
        <v>1.6666666666666667</v>
      </c>
      <c r="DG99" s="14">
        <v>1</v>
      </c>
      <c r="DH99" s="14">
        <v>4</v>
      </c>
      <c r="DI99" s="14">
        <f>IFERROR(AVERAGE(Tabel1[[#This Row],[In - V3a]:[In - V3b]]),"")</f>
        <v>2.5</v>
      </c>
      <c r="DJ99" s="14">
        <v>2</v>
      </c>
      <c r="DK99" s="14">
        <f>IFERROR(AVERAGE(Tabel1[[#This Row],[In - V1]],Tabel1[[#This Row],[In - V2]],Tabel1[[#This Row],[In - V3]],Tabel1[[#This Row],[In - V4]]),"")</f>
        <v>2.291666666666667</v>
      </c>
      <c r="DL99" s="14">
        <v>4</v>
      </c>
      <c r="DM99" s="14">
        <v>2</v>
      </c>
      <c r="DN99" s="14">
        <f>IFERROR(AVERAGE(Tabel1[[#This Row],[In - A1a]:[In - A1b]]),"")</f>
        <v>3</v>
      </c>
      <c r="DO99" s="14">
        <v>3</v>
      </c>
      <c r="DP99" s="14">
        <v>3</v>
      </c>
      <c r="DQ99" s="14">
        <f>IFERROR(AVERAGE(Tabel1[[#This Row],[In - A2a]:[In - A2b]]),"")</f>
        <v>3</v>
      </c>
      <c r="DR99" s="14">
        <v>4</v>
      </c>
      <c r="DS99" s="14">
        <v>4</v>
      </c>
      <c r="DT99" s="14">
        <f>IFERROR(AVERAGE(Tabel1[[#This Row],[In - A3a]:[In - A3a]]),"")</f>
        <v>4</v>
      </c>
      <c r="DU99" s="14">
        <v>1</v>
      </c>
      <c r="DV99" s="14">
        <f>IFERROR(AVERAGE(Tabel1[[#This Row],[In - A1]],Tabel1[[#This Row],[In - A2]],Tabel1[[#This Row],[In - A3]],Tabel1[[#This Row],[In - A4]]),"")</f>
        <v>2.75</v>
      </c>
      <c r="DW99" s="14">
        <v>1</v>
      </c>
      <c r="DX99" s="14">
        <v>5</v>
      </c>
      <c r="DY99" s="14">
        <v>2</v>
      </c>
      <c r="DZ99" s="14">
        <f>IFERROR(AVERAGE(Tabel1[[#This Row],[Do - R1a]:[Do - R1c]]),"")</f>
        <v>2.6666666666666665</v>
      </c>
      <c r="EA99" s="14">
        <v>1</v>
      </c>
      <c r="EB99" s="14">
        <v>4</v>
      </c>
      <c r="EC99" s="14">
        <v>1</v>
      </c>
      <c r="ED99" s="14" t="s">
        <v>189</v>
      </c>
      <c r="EE99" s="14">
        <f>IFERROR(AVERAGE(Tabel1[[#This Row],[Do - R1]:[Do - R5]]),"")</f>
        <v>2.1666666666666665</v>
      </c>
      <c r="EF99" s="14">
        <v>3</v>
      </c>
      <c r="EG99" s="14">
        <v>3</v>
      </c>
      <c r="EH99" s="14">
        <v>3</v>
      </c>
      <c r="EI99" s="14">
        <f>IFERROR(AVERAGE(Tabel1[[#This Row],[Do - C1a]:[Do - C1c]]),"")</f>
        <v>3</v>
      </c>
      <c r="EJ99" s="14">
        <v>1</v>
      </c>
      <c r="EK99" s="14">
        <v>1</v>
      </c>
      <c r="EL99" s="14">
        <v>1</v>
      </c>
      <c r="EM99" s="14">
        <f>IFERROR(AVERAGE(Tabel1[[#This Row],[Do - C1]:[Do - C4]]),"")</f>
        <v>1.5</v>
      </c>
      <c r="EN99" s="14">
        <v>2</v>
      </c>
      <c r="EO99" s="14">
        <v>3</v>
      </c>
      <c r="EP99" s="14">
        <v>5</v>
      </c>
      <c r="EQ99" s="14">
        <f>IFERROR(AVERAGE(Tabel1[[#This Row],[Do - F1a]:[Do - F1c]]),"")</f>
        <v>3.3333333333333335</v>
      </c>
      <c r="ER99" s="14">
        <v>3</v>
      </c>
      <c r="ES99" s="14">
        <f>IFERROR(AVERAGE(Tabel1[[#This Row],[Do - F2a]:[Do - F2a]]),"")</f>
        <v>3</v>
      </c>
      <c r="ET99" s="14">
        <v>5</v>
      </c>
      <c r="EU99" s="14">
        <v>1</v>
      </c>
      <c r="EV99" s="14">
        <f>IFERROR(AVERAGE(Tabel1[[#This Row],[Do - F3a]:[Do - F3b]]),"")</f>
        <v>3</v>
      </c>
      <c r="EW99" s="14">
        <v>1</v>
      </c>
      <c r="EX99" s="14">
        <f>IFERROR(AVERAGE(Tabel1[[#This Row],[Do - F1]],Tabel1[[#This Row],[Do - F2]],Tabel1[[#This Row],[Do - F3]],Tabel1[[#This Row],[Do - F4]]),"")</f>
        <v>2.5833333333333335</v>
      </c>
      <c r="EY99" s="14">
        <v>2</v>
      </c>
      <c r="EZ99" s="14">
        <v>1</v>
      </c>
      <c r="FA99" s="14">
        <v>3</v>
      </c>
      <c r="FB99" s="14">
        <f>IFERROR(AVERAGE(Tabel1[[#This Row],[Do - V1a]:[Do - V1c]]),"")</f>
        <v>2</v>
      </c>
      <c r="FC99" s="14">
        <v>5</v>
      </c>
      <c r="FD99" s="14">
        <v>1</v>
      </c>
      <c r="FE99" s="14">
        <f>IFERROR(AVERAGE(Tabel1[[#This Row],[Do - V2a]:[Do - V2b]]),"")</f>
        <v>3</v>
      </c>
      <c r="FF99" s="14">
        <v>1</v>
      </c>
      <c r="FG99" s="14">
        <f>IFERROR(AVERAGE(Tabel1[[#This Row],[Do - V3a]:[Do - V3a]]),"")</f>
        <v>1</v>
      </c>
      <c r="FH99" s="14">
        <v>1</v>
      </c>
      <c r="FI99" s="14">
        <f>IFERROR(AVERAGE(Tabel1[[#This Row],[Do - V1]],Tabel1[[#This Row],[Do - V2]],Tabel1[[#This Row],[Do - V3]],Tabel1[[#This Row],[Do - V4]]),"")</f>
        <v>1.75</v>
      </c>
      <c r="FJ99" s="14">
        <v>1</v>
      </c>
      <c r="FK99" s="14">
        <v>3</v>
      </c>
      <c r="FL99" s="14">
        <v>3</v>
      </c>
      <c r="FM99" s="14">
        <f>IFERROR(AVERAGE(Tabel1[[#This Row],[Do - A1a]:[Do - A1c]]),"")</f>
        <v>2.3333333333333335</v>
      </c>
      <c r="FN99" s="14" t="s">
        <v>189</v>
      </c>
      <c r="FO99" s="14">
        <v>3</v>
      </c>
      <c r="FP99" s="14">
        <f>IFERROR(AVERAGE(Tabel1[[#This Row],[Do - A2a]:[Do - A2b]]),"")</f>
        <v>3</v>
      </c>
      <c r="FQ99" s="14">
        <v>3</v>
      </c>
      <c r="FR99" s="14">
        <f>IFERROR(AVERAGE(Tabel1[[#This Row],[Do - A3a]:[Do - A3a]]),"")</f>
        <v>3</v>
      </c>
      <c r="FS99" s="14">
        <v>2</v>
      </c>
      <c r="FT99" s="14">
        <f>IFERROR(AVERAGE(Tabel1[[#This Row],[Do - A1]],Tabel1[[#This Row],[Do - A2]],Tabel1[[#This Row],[Do - A3]],Tabel1[[#This Row],[Do - A4]]),"")</f>
        <v>2.5833333333333335</v>
      </c>
      <c r="FU9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2.2188888888888889</v>
      </c>
      <c r="FV99" s="16" t="s">
        <v>679</v>
      </c>
      <c r="FW99" t="b">
        <v>1</v>
      </c>
    </row>
    <row r="100" spans="1:179" x14ac:dyDescent="0.3">
      <c r="A100" s="13">
        <v>44973.412534722222</v>
      </c>
      <c r="B100" t="b">
        <v>0</v>
      </c>
      <c r="C100" s="14" t="s">
        <v>680</v>
      </c>
      <c r="D100" s="14" t="s">
        <v>681</v>
      </c>
      <c r="E100" s="14" t="s">
        <v>682</v>
      </c>
      <c r="F100" s="14" t="s">
        <v>184</v>
      </c>
      <c r="G100" s="14" t="s">
        <v>683</v>
      </c>
      <c r="H100" s="14" t="s">
        <v>222</v>
      </c>
      <c r="I100" s="14" t="s">
        <v>195</v>
      </c>
      <c r="J100" s="14" t="s">
        <v>261</v>
      </c>
      <c r="K100" s="14" t="s">
        <v>187</v>
      </c>
      <c r="L100" s="14" t="s">
        <v>385</v>
      </c>
      <c r="M100" s="14" t="s">
        <v>233</v>
      </c>
      <c r="N100" s="14" t="s">
        <v>199</v>
      </c>
      <c r="O100" s="14" t="s">
        <v>200</v>
      </c>
      <c r="P100" s="17" t="s">
        <v>255</v>
      </c>
      <c r="Q100" s="14" t="s">
        <v>201</v>
      </c>
      <c r="R100" s="17" t="s">
        <v>304</v>
      </c>
      <c r="S100" s="14" t="s">
        <v>201</v>
      </c>
      <c r="T100" s="14" t="s">
        <v>204</v>
      </c>
      <c r="U100" s="14" t="s">
        <v>285</v>
      </c>
      <c r="V100" s="14" t="s">
        <v>359</v>
      </c>
      <c r="W100" s="14" t="s">
        <v>207</v>
      </c>
      <c r="X100" s="14" t="s">
        <v>207</v>
      </c>
      <c r="Y100" s="14">
        <v>4</v>
      </c>
      <c r="Z100" s="14">
        <v>3</v>
      </c>
      <c r="AA100" s="14" t="s">
        <v>189</v>
      </c>
      <c r="AB100" s="15">
        <f>IFERROR(AVERAGE(Tabel1[[#This Row],[Up - R1a]:[Up - R1c]]),"")</f>
        <v>3.5</v>
      </c>
      <c r="AC100" s="14">
        <v>4</v>
      </c>
      <c r="AD100" s="14">
        <v>2</v>
      </c>
      <c r="AE100" s="14">
        <v>1</v>
      </c>
      <c r="AF100" s="14">
        <v>4</v>
      </c>
      <c r="AG100" s="14">
        <f>IFERROR(AVERAGE(Tabel1[[#This Row],[Up - R1]:[Up - R5]]),"")</f>
        <v>2.9</v>
      </c>
      <c r="AH100" s="14">
        <v>3</v>
      </c>
      <c r="AI100" s="14">
        <v>4</v>
      </c>
      <c r="AJ100" s="14">
        <v>3</v>
      </c>
      <c r="AK100" s="14">
        <f>IFERROR(AVERAGE(Tabel1[[#This Row],[Up - C1a]:[Up - C1c]]),"")</f>
        <v>3.3333333333333335</v>
      </c>
      <c r="AL100" s="14">
        <v>2</v>
      </c>
      <c r="AM100" s="14">
        <v>1</v>
      </c>
      <c r="AN100" s="14">
        <v>3</v>
      </c>
      <c r="AO100" s="14">
        <f>IFERROR(AVERAGE(Tabel1[[#This Row],[Up - C1]:[Up - C4]]),"")</f>
        <v>2.3333333333333335</v>
      </c>
      <c r="AP100" s="14" t="s">
        <v>189</v>
      </c>
      <c r="AQ100" s="14" t="str">
        <f>IFERROR(AVERAGE(Tabel1[[#This Row],[Up - F1a]:[Up - F1a]]),"")</f>
        <v/>
      </c>
      <c r="AR100" s="14">
        <v>3</v>
      </c>
      <c r="AS100" s="14">
        <v>2</v>
      </c>
      <c r="AT100" s="14">
        <f>IFERROR(AVERAGE(Tabel1[[#This Row],[Up - F2a]:[Up - F2b]]),"")</f>
        <v>2.5</v>
      </c>
      <c r="AU100" s="14">
        <v>2</v>
      </c>
      <c r="AV100" s="14">
        <v>1</v>
      </c>
      <c r="AW100" s="14">
        <f>IFERROR(AVERAGE(Tabel1[[#This Row],[Up - F3a]:[Up - F3b]]),"")</f>
        <v>1.5</v>
      </c>
      <c r="AX100" s="14" t="s">
        <v>189</v>
      </c>
      <c r="AY100" s="14">
        <f>IFERROR(AVERAGE(Tabel1[[#This Row],[Up - F1]],Tabel1[[#This Row],[Up - F2]],Tabel1[[#This Row],[Up - F3]],Tabel1[[#This Row],[Up - F4]]),"")</f>
        <v>2</v>
      </c>
      <c r="AZ100" s="14">
        <v>1</v>
      </c>
      <c r="BA100" s="14">
        <v>5</v>
      </c>
      <c r="BB100" s="14">
        <f>IFERROR(AVERAGE(Tabel1[[#This Row],[Up - V1a]:[Up - V1b]]),"")</f>
        <v>3</v>
      </c>
      <c r="BC100" s="14">
        <v>1</v>
      </c>
      <c r="BD100" s="14">
        <v>1</v>
      </c>
      <c r="BE100" s="14">
        <v>3</v>
      </c>
      <c r="BF100" s="14">
        <f>IFERROR(AVERAGE(Tabel1[[#This Row],[Up - V2a]:[Up - V2c]]),"")</f>
        <v>1.6666666666666667</v>
      </c>
      <c r="BG100" s="14">
        <v>2</v>
      </c>
      <c r="BH100" s="14">
        <v>4</v>
      </c>
      <c r="BI100" s="14">
        <f>IFERROR(AVERAGE(Tabel1[[#This Row],[Up - V3a]:[Up - V3b]]),"")</f>
        <v>3</v>
      </c>
      <c r="BJ100" s="14">
        <v>4</v>
      </c>
      <c r="BK100" s="14">
        <f>IFERROR(AVERAGE(Tabel1[[#This Row],[Up - V1]],Tabel1[[#This Row],[Up - V2]],Tabel1[[#This Row],[Up - V3]],Tabel1[[#This Row],[Up - V4]]),"")</f>
        <v>2.916666666666667</v>
      </c>
      <c r="BL100" s="14">
        <v>3</v>
      </c>
      <c r="BM100" s="14">
        <v>2</v>
      </c>
      <c r="BN100" s="14">
        <v>2</v>
      </c>
      <c r="BO100" s="14">
        <v>4</v>
      </c>
      <c r="BP100" s="14">
        <f>IFERROR(AVERAGE(Tabel1[[#This Row],[Up - A1a]:[Up - A1d]]),"")</f>
        <v>2.75</v>
      </c>
      <c r="BQ100" s="14">
        <v>4</v>
      </c>
      <c r="BR100" s="14">
        <v>2</v>
      </c>
      <c r="BS100" s="14">
        <f>IFERROR(AVERAGE(Tabel1[[#This Row],[Up - A2a]:[Up - A2b]]),"")</f>
        <v>3</v>
      </c>
      <c r="BT100" s="14">
        <v>3</v>
      </c>
      <c r="BU100" s="14">
        <f>IFERROR(AVERAGE(Tabel1[[#This Row],[Up - A3a]:[Up - A3a]]),"")</f>
        <v>3</v>
      </c>
      <c r="BV100" s="14">
        <v>2</v>
      </c>
      <c r="BW100" s="14">
        <f>IFERROR(AVERAGE(Tabel1[[#This Row],[Up - A1]],Tabel1[[#This Row],[Up - A2]],Tabel1[[#This Row],[Up - A3]]),"")</f>
        <v>2.9166666666666665</v>
      </c>
      <c r="BX100" s="14">
        <v>4</v>
      </c>
      <c r="BY100" s="14">
        <v>3</v>
      </c>
      <c r="BZ100" s="14">
        <f>IFERROR(AVERAGE(Tabel1[[#This Row],[In - R1a]:[In - R1b]]),"")</f>
        <v>3.5</v>
      </c>
      <c r="CA100" s="14">
        <v>4</v>
      </c>
      <c r="CB100" s="14">
        <v>1</v>
      </c>
      <c r="CC100" s="14">
        <v>3</v>
      </c>
      <c r="CD100" s="14">
        <v>5</v>
      </c>
      <c r="CE100" s="14">
        <f>IFERROR(AVERAGE(Tabel1[[#This Row],[In - R1]:[In - R5]]),"")</f>
        <v>3.3</v>
      </c>
      <c r="CF100" s="14">
        <v>5</v>
      </c>
      <c r="CG100" s="14">
        <v>4</v>
      </c>
      <c r="CH100" s="14">
        <v>4</v>
      </c>
      <c r="CI100" s="14">
        <f>IFERROR(AVERAGE(Tabel1[[#This Row],[In - C1a]:[In - C1c]]),"")</f>
        <v>4.333333333333333</v>
      </c>
      <c r="CJ100" s="14">
        <v>3</v>
      </c>
      <c r="CK100" s="14">
        <v>3</v>
      </c>
      <c r="CL100" s="14">
        <v>5</v>
      </c>
      <c r="CM100" s="14">
        <f>IFERROR(AVERAGE(Tabel1[[#This Row],[In - C1]:[In - C4]]),"")</f>
        <v>3.833333333333333</v>
      </c>
      <c r="CN100" s="14">
        <v>3</v>
      </c>
      <c r="CO100" s="14">
        <v>4</v>
      </c>
      <c r="CP100" s="14">
        <v>2</v>
      </c>
      <c r="CQ100" s="14">
        <f>IFERROR(AVERAGE(Tabel1[[#This Row],[In - F1a]:[In - F1c]]),"")</f>
        <v>3</v>
      </c>
      <c r="CR100" s="14">
        <v>5</v>
      </c>
      <c r="CS100" s="14">
        <v>2</v>
      </c>
      <c r="CT100" s="14">
        <f>IFERROR(AVERAGE(Tabel1[[#This Row],[In - F2a]:[In - F2b]]),"")</f>
        <v>3.5</v>
      </c>
      <c r="CU100" s="14">
        <v>1</v>
      </c>
      <c r="CV100" s="14">
        <f>IFERROR(AVERAGE(Tabel1[[#This Row],[In - F3a]:[In - F3a]]),"")</f>
        <v>1</v>
      </c>
      <c r="CW100" s="14" t="s">
        <v>189</v>
      </c>
      <c r="CX100" s="14">
        <f>IFERROR(AVERAGE(Tabel1[[#This Row],[In - F1]],Tabel1[[#This Row],[In - F2]],Tabel1[[#This Row],[In - F3]],Tabel1[[#This Row],[In - F4]]),"")</f>
        <v>2.5</v>
      </c>
      <c r="CY100" s="14">
        <v>5</v>
      </c>
      <c r="CZ100" s="14">
        <v>4</v>
      </c>
      <c r="DA100" s="14">
        <v>3</v>
      </c>
      <c r="DB100" s="14">
        <f>IFERROR(AVERAGE(Tabel1[[#This Row],[In - V1a]:[In - V1c]]),"")</f>
        <v>4</v>
      </c>
      <c r="DC100" s="14">
        <v>4</v>
      </c>
      <c r="DD100" s="14">
        <v>3</v>
      </c>
      <c r="DE100" s="14">
        <v>2</v>
      </c>
      <c r="DF100" s="14">
        <f>IFERROR(AVERAGE(Tabel1[[#This Row],[In - V2a]:[In - V2c]]),"")</f>
        <v>3</v>
      </c>
      <c r="DG100" s="14">
        <v>4</v>
      </c>
      <c r="DH100" s="14">
        <v>5</v>
      </c>
      <c r="DI100" s="14">
        <f>IFERROR(AVERAGE(Tabel1[[#This Row],[In - V3a]:[In - V3b]]),"")</f>
        <v>4.5</v>
      </c>
      <c r="DJ100" s="14">
        <v>4</v>
      </c>
      <c r="DK100" s="14">
        <f>IFERROR(AVERAGE(Tabel1[[#This Row],[In - V1]],Tabel1[[#This Row],[In - V2]],Tabel1[[#This Row],[In - V3]],Tabel1[[#This Row],[In - V4]]),"")</f>
        <v>3.875</v>
      </c>
      <c r="DL100" s="14">
        <v>3</v>
      </c>
      <c r="DM100" s="14">
        <v>4</v>
      </c>
      <c r="DN100" s="14">
        <f>IFERROR(AVERAGE(Tabel1[[#This Row],[In - A1a]:[In - A1b]]),"")</f>
        <v>3.5</v>
      </c>
      <c r="DO100" s="14">
        <v>1</v>
      </c>
      <c r="DP100" s="14">
        <v>2</v>
      </c>
      <c r="DQ100" s="14">
        <f>IFERROR(AVERAGE(Tabel1[[#This Row],[In - A2a]:[In - A2b]]),"")</f>
        <v>1.5</v>
      </c>
      <c r="DR100" s="14">
        <v>4</v>
      </c>
      <c r="DS100" s="14">
        <v>3</v>
      </c>
      <c r="DT100" s="14">
        <f>IFERROR(AVERAGE(Tabel1[[#This Row],[In - A3a]:[In - A3a]]),"")</f>
        <v>4</v>
      </c>
      <c r="DU100" s="14">
        <v>3</v>
      </c>
      <c r="DV100" s="14">
        <f>IFERROR(AVERAGE(Tabel1[[#This Row],[In - A1]],Tabel1[[#This Row],[In - A2]],Tabel1[[#This Row],[In - A3]],Tabel1[[#This Row],[In - A4]]),"")</f>
        <v>3</v>
      </c>
      <c r="DW100" s="14">
        <v>3</v>
      </c>
      <c r="DX100" s="14">
        <v>1</v>
      </c>
      <c r="DY100" s="14">
        <v>1</v>
      </c>
      <c r="DZ100" s="14">
        <f>IFERROR(AVERAGE(Tabel1[[#This Row],[Do - R1a]:[Do - R1c]]),"")</f>
        <v>1.6666666666666667</v>
      </c>
      <c r="EA100" s="14">
        <v>2</v>
      </c>
      <c r="EB100" s="14">
        <v>1</v>
      </c>
      <c r="EC100" s="14">
        <v>1</v>
      </c>
      <c r="ED100" s="14">
        <v>4</v>
      </c>
      <c r="EE100" s="14">
        <f>IFERROR(AVERAGE(Tabel1[[#This Row],[Do - R1]:[Do - R5]]),"")</f>
        <v>1.9333333333333336</v>
      </c>
      <c r="EF100" s="14">
        <v>3</v>
      </c>
      <c r="EG100" s="14">
        <v>2</v>
      </c>
      <c r="EH100" s="14">
        <v>2</v>
      </c>
      <c r="EI100" s="14">
        <f>IFERROR(AVERAGE(Tabel1[[#This Row],[Do - C1a]:[Do - C1c]]),"")</f>
        <v>2.3333333333333335</v>
      </c>
      <c r="EJ100" s="14">
        <v>2</v>
      </c>
      <c r="EK100" s="14">
        <v>3</v>
      </c>
      <c r="EL100" s="14">
        <v>3</v>
      </c>
      <c r="EM100" s="14">
        <f>IFERROR(AVERAGE(Tabel1[[#This Row],[Do - C1]:[Do - C4]]),"")</f>
        <v>2.5833333333333335</v>
      </c>
      <c r="EN100" s="14">
        <v>4</v>
      </c>
      <c r="EO100" s="14">
        <v>1</v>
      </c>
      <c r="EP100" s="14">
        <v>3</v>
      </c>
      <c r="EQ100" s="14">
        <f>IFERROR(AVERAGE(Tabel1[[#This Row],[Do - F1a]:[Do - F1c]]),"")</f>
        <v>2.6666666666666665</v>
      </c>
      <c r="ER100" s="14">
        <v>3</v>
      </c>
      <c r="ES100" s="14">
        <f>IFERROR(AVERAGE(Tabel1[[#This Row],[Do - F2a]:[Do - F2a]]),"")</f>
        <v>3</v>
      </c>
      <c r="ET100" s="14">
        <v>2</v>
      </c>
      <c r="EU100" s="14">
        <v>3</v>
      </c>
      <c r="EV100" s="14">
        <f>IFERROR(AVERAGE(Tabel1[[#This Row],[Do - F3a]:[Do - F3b]]),"")</f>
        <v>2.5</v>
      </c>
      <c r="EW100" s="14">
        <v>3</v>
      </c>
      <c r="EX100" s="14">
        <f>IFERROR(AVERAGE(Tabel1[[#This Row],[Do - F1]],Tabel1[[#This Row],[Do - F2]],Tabel1[[#This Row],[Do - F3]],Tabel1[[#This Row],[Do - F4]]),"")</f>
        <v>2.7916666666666665</v>
      </c>
      <c r="EY100" s="14">
        <v>4</v>
      </c>
      <c r="EZ100" s="14">
        <v>2</v>
      </c>
      <c r="FA100" s="14">
        <v>5</v>
      </c>
      <c r="FB100" s="14">
        <f>IFERROR(AVERAGE(Tabel1[[#This Row],[Do - V1a]:[Do - V1c]]),"")</f>
        <v>3.6666666666666665</v>
      </c>
      <c r="FC100" s="14">
        <v>5</v>
      </c>
      <c r="FD100" s="14">
        <v>4</v>
      </c>
      <c r="FE100" s="14">
        <f>IFERROR(AVERAGE(Tabel1[[#This Row],[Do - V2a]:[Do - V2b]]),"")</f>
        <v>4.5</v>
      </c>
      <c r="FF100" s="14">
        <v>5</v>
      </c>
      <c r="FG100" s="14">
        <f>IFERROR(AVERAGE(Tabel1[[#This Row],[Do - V3a]:[Do - V3a]]),"")</f>
        <v>5</v>
      </c>
      <c r="FH100" s="14">
        <v>4</v>
      </c>
      <c r="FI100" s="14">
        <f>IFERROR(AVERAGE(Tabel1[[#This Row],[Do - V1]],Tabel1[[#This Row],[Do - V2]],Tabel1[[#This Row],[Do - V3]],Tabel1[[#This Row],[Do - V4]]),"")</f>
        <v>4.2916666666666661</v>
      </c>
      <c r="FJ100" s="14">
        <v>5</v>
      </c>
      <c r="FK100" s="14">
        <v>3</v>
      </c>
      <c r="FL100" s="14">
        <v>3</v>
      </c>
      <c r="FM100" s="14">
        <f>IFERROR(AVERAGE(Tabel1[[#This Row],[Do - A1a]:[Do - A1c]]),"")</f>
        <v>3.6666666666666665</v>
      </c>
      <c r="FN100" s="14">
        <v>5</v>
      </c>
      <c r="FO100" s="14">
        <v>3</v>
      </c>
      <c r="FP100" s="14">
        <f>IFERROR(AVERAGE(Tabel1[[#This Row],[Do - A2a]:[Do - A2b]]),"")</f>
        <v>4</v>
      </c>
      <c r="FQ100" s="14">
        <v>4</v>
      </c>
      <c r="FR100" s="14">
        <f>IFERROR(AVERAGE(Tabel1[[#This Row],[Do - A3a]:[Do - A3a]]),"")</f>
        <v>4</v>
      </c>
      <c r="FS100" s="14">
        <v>3</v>
      </c>
      <c r="FT100" s="14">
        <f>IFERROR(AVERAGE(Tabel1[[#This Row],[Do - A1]],Tabel1[[#This Row],[Do - A2]],Tabel1[[#This Row],[Do - A3]],Tabel1[[#This Row],[Do - A4]]),"")</f>
        <v>3.6666666666666665</v>
      </c>
      <c r="FU10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2.9894444444444441</v>
      </c>
      <c r="FV100" s="16" t="s">
        <v>684</v>
      </c>
      <c r="FW100" t="b">
        <v>1</v>
      </c>
    </row>
    <row r="101" spans="1:179" x14ac:dyDescent="0.3">
      <c r="A101" s="13">
        <v>44974.405173611114</v>
      </c>
      <c r="B101" t="b">
        <v>0</v>
      </c>
      <c r="C101" s="14" t="s">
        <v>685</v>
      </c>
      <c r="D101" s="14" t="s">
        <v>686</v>
      </c>
      <c r="E101" s="14" t="s">
        <v>216</v>
      </c>
      <c r="F101" s="14" t="s">
        <v>184</v>
      </c>
      <c r="G101" s="14" t="s">
        <v>687</v>
      </c>
      <c r="H101" s="14" t="s">
        <v>222</v>
      </c>
      <c r="I101" s="14" t="s">
        <v>195</v>
      </c>
      <c r="J101" s="14" t="s">
        <v>217</v>
      </c>
      <c r="K101" s="14" t="s">
        <v>235</v>
      </c>
      <c r="L101" s="14" t="s">
        <v>249</v>
      </c>
      <c r="M101" s="14" t="s">
        <v>198</v>
      </c>
      <c r="N101" s="14" t="s">
        <v>199</v>
      </c>
      <c r="O101" s="14" t="s">
        <v>200</v>
      </c>
      <c r="P101" s="17" t="s">
        <v>255</v>
      </c>
      <c r="Q101" s="14" t="s">
        <v>235</v>
      </c>
      <c r="R101" s="14" t="s">
        <v>187</v>
      </c>
      <c r="S101" s="14" t="s">
        <v>201</v>
      </c>
      <c r="T101" s="14" t="s">
        <v>236</v>
      </c>
      <c r="U101" s="14" t="s">
        <v>285</v>
      </c>
      <c r="V101" s="14" t="s">
        <v>224</v>
      </c>
      <c r="W101" s="14" t="s">
        <v>207</v>
      </c>
      <c r="X101" s="14" t="s">
        <v>207</v>
      </c>
      <c r="Y101" s="14">
        <v>4</v>
      </c>
      <c r="Z101" s="14">
        <v>4</v>
      </c>
      <c r="AA101" s="14">
        <v>3</v>
      </c>
      <c r="AB101" s="15">
        <f>IFERROR(AVERAGE(Tabel1[[#This Row],[Up - R1a]:[Up - R1c]]),"")</f>
        <v>3.6666666666666665</v>
      </c>
      <c r="AC101" s="14">
        <v>2</v>
      </c>
      <c r="AD101" s="14">
        <v>3</v>
      </c>
      <c r="AE101" s="14">
        <v>2</v>
      </c>
      <c r="AF101" s="14" t="s">
        <v>189</v>
      </c>
      <c r="AG101" s="14">
        <f>IFERROR(AVERAGE(Tabel1[[#This Row],[Up - R1]:[Up - R5]]),"")</f>
        <v>2.6666666666666665</v>
      </c>
      <c r="AH101" s="14">
        <v>3</v>
      </c>
      <c r="AI101" s="14">
        <v>4</v>
      </c>
      <c r="AJ101" s="14">
        <v>3</v>
      </c>
      <c r="AK101" s="14">
        <f>IFERROR(AVERAGE(Tabel1[[#This Row],[Up - C1a]:[Up - C1c]]),"")</f>
        <v>3.3333333333333335</v>
      </c>
      <c r="AL101" s="14">
        <v>2</v>
      </c>
      <c r="AM101" s="14">
        <v>3</v>
      </c>
      <c r="AN101" s="14" t="s">
        <v>189</v>
      </c>
      <c r="AO101" s="14">
        <f>IFERROR(AVERAGE(Tabel1[[#This Row],[Up - C1]:[Up - C4]]),"")</f>
        <v>2.7777777777777781</v>
      </c>
      <c r="AP101" s="14">
        <v>5</v>
      </c>
      <c r="AQ101" s="14">
        <f>IFERROR(AVERAGE(Tabel1[[#This Row],[Up - F1a]:[Up - F1a]]),"")</f>
        <v>5</v>
      </c>
      <c r="AR101" s="14">
        <v>1</v>
      </c>
      <c r="AS101" s="14">
        <v>2</v>
      </c>
      <c r="AT101" s="14">
        <f>IFERROR(AVERAGE(Tabel1[[#This Row],[Up - F2a]:[Up - F2b]]),"")</f>
        <v>1.5</v>
      </c>
      <c r="AU101" s="14">
        <v>3</v>
      </c>
      <c r="AV101" s="14">
        <v>2</v>
      </c>
      <c r="AW101" s="14">
        <f>IFERROR(AVERAGE(Tabel1[[#This Row],[Up - F3a]:[Up - F3b]]),"")</f>
        <v>2.5</v>
      </c>
      <c r="AX101" s="14">
        <v>1</v>
      </c>
      <c r="AY101" s="14">
        <f>IFERROR(AVERAGE(Tabel1[[#This Row],[Up - F1]],Tabel1[[#This Row],[Up - F2]],Tabel1[[#This Row],[Up - F3]],Tabel1[[#This Row],[Up - F4]]),"")</f>
        <v>2.5</v>
      </c>
      <c r="AZ101" s="14">
        <v>2</v>
      </c>
      <c r="BA101" s="14">
        <v>2</v>
      </c>
      <c r="BB101" s="14">
        <f>IFERROR(AVERAGE(Tabel1[[#This Row],[Up - V1a]:[Up - V1b]]),"")</f>
        <v>2</v>
      </c>
      <c r="BC101" s="14">
        <v>4</v>
      </c>
      <c r="BD101" s="14" t="s">
        <v>189</v>
      </c>
      <c r="BE101" s="14">
        <v>5</v>
      </c>
      <c r="BF101" s="14">
        <f>IFERROR(AVERAGE(Tabel1[[#This Row],[Up - V2a]:[Up - V2c]]),"")</f>
        <v>4.5</v>
      </c>
      <c r="BG101" s="14">
        <v>2</v>
      </c>
      <c r="BH101" s="14">
        <v>2</v>
      </c>
      <c r="BI101" s="14">
        <f>IFERROR(AVERAGE(Tabel1[[#This Row],[Up - V3a]:[Up - V3b]]),"")</f>
        <v>2</v>
      </c>
      <c r="BJ101" s="14" t="s">
        <v>189</v>
      </c>
      <c r="BK101" s="14">
        <f>IFERROR(AVERAGE(Tabel1[[#This Row],[Up - V1]],Tabel1[[#This Row],[Up - V2]],Tabel1[[#This Row],[Up - V3]],Tabel1[[#This Row],[Up - V4]]),"")</f>
        <v>2.8333333333333335</v>
      </c>
      <c r="BL101" s="14">
        <v>4</v>
      </c>
      <c r="BM101" s="14">
        <v>4</v>
      </c>
      <c r="BN101" s="14">
        <v>2</v>
      </c>
      <c r="BO101" s="14">
        <v>2</v>
      </c>
      <c r="BP101" s="14">
        <f>IFERROR(AVERAGE(Tabel1[[#This Row],[Up - A1a]:[Up - A1d]]),"")</f>
        <v>3</v>
      </c>
      <c r="BQ101" s="14">
        <v>5</v>
      </c>
      <c r="BR101" s="14">
        <v>4</v>
      </c>
      <c r="BS101" s="14">
        <f>IFERROR(AVERAGE(Tabel1[[#This Row],[Up - A2a]:[Up - A2b]]),"")</f>
        <v>4.5</v>
      </c>
      <c r="BT101" s="14" t="s">
        <v>189</v>
      </c>
      <c r="BU101" s="14" t="str">
        <f>IFERROR(AVERAGE(Tabel1[[#This Row],[Up - A3a]:[Up - A3a]]),"")</f>
        <v/>
      </c>
      <c r="BV101" s="14">
        <v>5</v>
      </c>
      <c r="BW101" s="14">
        <f>IFERROR(AVERAGE(Tabel1[[#This Row],[Up - A1]],Tabel1[[#This Row],[Up - A2]],Tabel1[[#This Row],[Up - A3]]),"")</f>
        <v>3.75</v>
      </c>
      <c r="BX101" s="14">
        <v>3</v>
      </c>
      <c r="BY101" s="14">
        <v>4</v>
      </c>
      <c r="BZ101" s="14">
        <f>IFERROR(AVERAGE(Tabel1[[#This Row],[In - R1a]:[In - R1b]]),"")</f>
        <v>3.5</v>
      </c>
      <c r="CA101" s="14">
        <v>2</v>
      </c>
      <c r="CB101" s="14">
        <v>2</v>
      </c>
      <c r="CC101" s="14">
        <v>1</v>
      </c>
      <c r="CD101" s="14">
        <v>4</v>
      </c>
      <c r="CE101" s="14">
        <f>IFERROR(AVERAGE(Tabel1[[#This Row],[In - R1]:[In - R5]]),"")</f>
        <v>2.5</v>
      </c>
      <c r="CF101" s="14">
        <v>4</v>
      </c>
      <c r="CG101" s="14">
        <v>4</v>
      </c>
      <c r="CH101" s="14">
        <v>5</v>
      </c>
      <c r="CI101" s="14">
        <f>IFERROR(AVERAGE(Tabel1[[#This Row],[In - C1a]:[In - C1c]]),"")</f>
        <v>4.333333333333333</v>
      </c>
      <c r="CJ101" s="14" t="s">
        <v>189</v>
      </c>
      <c r="CK101" s="14">
        <v>4</v>
      </c>
      <c r="CL101" s="14">
        <v>4</v>
      </c>
      <c r="CM101" s="14">
        <f>IFERROR(AVERAGE(Tabel1[[#This Row],[In - C1]:[In - C4]]),"")</f>
        <v>4.1111111111111107</v>
      </c>
      <c r="CN101" s="14">
        <v>3</v>
      </c>
      <c r="CO101" s="14">
        <v>4</v>
      </c>
      <c r="CP101" s="14">
        <v>1</v>
      </c>
      <c r="CQ101" s="14">
        <f>IFERROR(AVERAGE(Tabel1[[#This Row],[In - F1a]:[In - F1c]]),"")</f>
        <v>2.6666666666666665</v>
      </c>
      <c r="CR101" s="14">
        <v>2</v>
      </c>
      <c r="CS101" s="14">
        <v>1</v>
      </c>
      <c r="CT101" s="14">
        <f>IFERROR(AVERAGE(Tabel1[[#This Row],[In - F2a]:[In - F2b]]),"")</f>
        <v>1.5</v>
      </c>
      <c r="CU101" s="14">
        <v>1</v>
      </c>
      <c r="CV101" s="14">
        <f>IFERROR(AVERAGE(Tabel1[[#This Row],[In - F3a]:[In - F3a]]),"")</f>
        <v>1</v>
      </c>
      <c r="CW101" s="14" t="s">
        <v>189</v>
      </c>
      <c r="CX101" s="14">
        <f>IFERROR(AVERAGE(Tabel1[[#This Row],[In - F1]],Tabel1[[#This Row],[In - F2]],Tabel1[[#This Row],[In - F3]],Tabel1[[#This Row],[In - F4]]),"")</f>
        <v>1.7222222222222221</v>
      </c>
      <c r="CY101" s="14">
        <v>5</v>
      </c>
      <c r="CZ101" s="14">
        <v>4</v>
      </c>
      <c r="DA101" s="14">
        <v>3</v>
      </c>
      <c r="DB101" s="14">
        <f>IFERROR(AVERAGE(Tabel1[[#This Row],[In - V1a]:[In - V1c]]),"")</f>
        <v>4</v>
      </c>
      <c r="DC101" s="14">
        <v>5</v>
      </c>
      <c r="DD101" s="14">
        <v>2</v>
      </c>
      <c r="DE101" s="14">
        <v>4</v>
      </c>
      <c r="DF101" s="14">
        <f>IFERROR(AVERAGE(Tabel1[[#This Row],[In - V2a]:[In - V2c]]),"")</f>
        <v>3.6666666666666665</v>
      </c>
      <c r="DG101" s="14">
        <v>4</v>
      </c>
      <c r="DH101" s="14" t="s">
        <v>189</v>
      </c>
      <c r="DI101" s="14">
        <f>IFERROR(AVERAGE(Tabel1[[#This Row],[In - V3a]:[In - V3b]]),"")</f>
        <v>4</v>
      </c>
      <c r="DJ101" s="14" t="s">
        <v>189</v>
      </c>
      <c r="DK101" s="14">
        <f>IFERROR(AVERAGE(Tabel1[[#This Row],[In - V1]],Tabel1[[#This Row],[In - V2]],Tabel1[[#This Row],[In - V3]],Tabel1[[#This Row],[In - V4]]),"")</f>
        <v>3.8888888888888888</v>
      </c>
      <c r="DL101" s="14">
        <v>3</v>
      </c>
      <c r="DM101" s="14">
        <v>5</v>
      </c>
      <c r="DN101" s="14">
        <f>IFERROR(AVERAGE(Tabel1[[#This Row],[In - A1a]:[In - A1b]]),"")</f>
        <v>4</v>
      </c>
      <c r="DO101" s="14">
        <v>5</v>
      </c>
      <c r="DP101" s="14">
        <v>2</v>
      </c>
      <c r="DQ101" s="14">
        <f>IFERROR(AVERAGE(Tabel1[[#This Row],[In - A2a]:[In - A2b]]),"")</f>
        <v>3.5</v>
      </c>
      <c r="DR101" s="14" t="s">
        <v>189</v>
      </c>
      <c r="DS101" s="14">
        <v>2</v>
      </c>
      <c r="DT101" s="14" t="str">
        <f>IFERROR(AVERAGE(Tabel1[[#This Row],[In - A3a]:[In - A3a]]),"")</f>
        <v/>
      </c>
      <c r="DU101" s="14">
        <v>5</v>
      </c>
      <c r="DV101" s="14">
        <f>IFERROR(AVERAGE(Tabel1[[#This Row],[In - A1]],Tabel1[[#This Row],[In - A2]],Tabel1[[#This Row],[In - A3]],Tabel1[[#This Row],[In - A4]]),"")</f>
        <v>4.166666666666667</v>
      </c>
      <c r="DW101" s="14" t="s">
        <v>189</v>
      </c>
      <c r="DX101" s="14">
        <v>5</v>
      </c>
      <c r="DY101" s="14" t="s">
        <v>189</v>
      </c>
      <c r="DZ101" s="14">
        <f>IFERROR(AVERAGE(Tabel1[[#This Row],[Do - R1a]:[Do - R1c]]),"")</f>
        <v>5</v>
      </c>
      <c r="EA101" s="14">
        <v>1</v>
      </c>
      <c r="EB101" s="14">
        <v>2</v>
      </c>
      <c r="EC101" s="14">
        <v>1</v>
      </c>
      <c r="ED101" s="14" t="s">
        <v>189</v>
      </c>
      <c r="EE101" s="14">
        <f>IFERROR(AVERAGE(Tabel1[[#This Row],[Do - R1]:[Do - R5]]),"")</f>
        <v>2.25</v>
      </c>
      <c r="EF101" s="14" t="s">
        <v>189</v>
      </c>
      <c r="EG101" s="14">
        <v>3</v>
      </c>
      <c r="EH101" s="14" t="s">
        <v>189</v>
      </c>
      <c r="EI101" s="14">
        <f>IFERROR(AVERAGE(Tabel1[[#This Row],[Do - C1a]:[Do - C1c]]),"")</f>
        <v>3</v>
      </c>
      <c r="EJ101" s="14" t="s">
        <v>189</v>
      </c>
      <c r="EK101" s="14">
        <v>2</v>
      </c>
      <c r="EL101" s="14" t="s">
        <v>189</v>
      </c>
      <c r="EM101" s="14">
        <f>IFERROR(AVERAGE(Tabel1[[#This Row],[Do - C1]:[Do - C4]]),"")</f>
        <v>2.5</v>
      </c>
      <c r="EN101" s="14" t="s">
        <v>189</v>
      </c>
      <c r="EO101" s="14">
        <v>1</v>
      </c>
      <c r="EP101" s="14" t="s">
        <v>189</v>
      </c>
      <c r="EQ101" s="14">
        <f>IFERROR(AVERAGE(Tabel1[[#This Row],[Do - F1a]:[Do - F1c]]),"")</f>
        <v>1</v>
      </c>
      <c r="ER101" s="14">
        <v>1</v>
      </c>
      <c r="ES101" s="14">
        <f>IFERROR(AVERAGE(Tabel1[[#This Row],[Do - F2a]:[Do - F2a]]),"")</f>
        <v>1</v>
      </c>
      <c r="ET101" s="14">
        <v>2</v>
      </c>
      <c r="EU101" s="14">
        <v>1</v>
      </c>
      <c r="EV101" s="14">
        <f>IFERROR(AVERAGE(Tabel1[[#This Row],[Do - F3a]:[Do - F3b]]),"")</f>
        <v>1.5</v>
      </c>
      <c r="EW101" s="14">
        <v>1</v>
      </c>
      <c r="EX101" s="14">
        <f>IFERROR(AVERAGE(Tabel1[[#This Row],[Do - F1]],Tabel1[[#This Row],[Do - F2]],Tabel1[[#This Row],[Do - F3]],Tabel1[[#This Row],[Do - F4]]),"")</f>
        <v>1.125</v>
      </c>
      <c r="EY101" s="14" t="s">
        <v>189</v>
      </c>
      <c r="EZ101" s="14">
        <v>3</v>
      </c>
      <c r="FA101" s="14">
        <v>4</v>
      </c>
      <c r="FB101" s="14">
        <f>IFERROR(AVERAGE(Tabel1[[#This Row],[Do - V1a]:[Do - V1c]]),"")</f>
        <v>3.5</v>
      </c>
      <c r="FC101" s="14">
        <v>3</v>
      </c>
      <c r="FD101" s="14" t="s">
        <v>189</v>
      </c>
      <c r="FE101" s="14">
        <f>IFERROR(AVERAGE(Tabel1[[#This Row],[Do - V2a]:[Do - V2b]]),"")</f>
        <v>3</v>
      </c>
      <c r="FF101" s="14">
        <v>3</v>
      </c>
      <c r="FG101" s="14">
        <f>IFERROR(AVERAGE(Tabel1[[#This Row],[Do - V3a]:[Do - V3a]]),"")</f>
        <v>3</v>
      </c>
      <c r="FH101" s="14" t="s">
        <v>189</v>
      </c>
      <c r="FI101" s="14">
        <f>IFERROR(AVERAGE(Tabel1[[#This Row],[Do - V1]],Tabel1[[#This Row],[Do - V2]],Tabel1[[#This Row],[Do - V3]],Tabel1[[#This Row],[Do - V4]]),"")</f>
        <v>3.1666666666666665</v>
      </c>
      <c r="FJ101" s="14" t="s">
        <v>189</v>
      </c>
      <c r="FK101" s="14">
        <v>1</v>
      </c>
      <c r="FL101" s="14">
        <v>5</v>
      </c>
      <c r="FM101" s="14">
        <f>IFERROR(AVERAGE(Tabel1[[#This Row],[Do - A1a]:[Do - A1c]]),"")</f>
        <v>3</v>
      </c>
      <c r="FN101" s="14">
        <v>4</v>
      </c>
      <c r="FO101" s="14">
        <v>1</v>
      </c>
      <c r="FP101" s="14">
        <f>IFERROR(AVERAGE(Tabel1[[#This Row],[Do - A2a]:[Do - A2b]]),"")</f>
        <v>2.5</v>
      </c>
      <c r="FQ101" s="14" t="s">
        <v>189</v>
      </c>
      <c r="FR101" s="14" t="str">
        <f>IFERROR(AVERAGE(Tabel1[[#This Row],[Do - A3a]:[Do - A3a]]),"")</f>
        <v/>
      </c>
      <c r="FS101" s="14" t="s">
        <v>189</v>
      </c>
      <c r="FT101" s="14">
        <f>IFERROR(AVERAGE(Tabel1[[#This Row],[Do - A1]],Tabel1[[#This Row],[Do - A2]],Tabel1[[#This Row],[Do - A3]],Tabel1[[#This Row],[Do - A4]]),"")</f>
        <v>2.75</v>
      </c>
      <c r="FU10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2.8472222222222223</v>
      </c>
      <c r="FV101" s="16" t="s">
        <v>688</v>
      </c>
      <c r="FW101" t="b">
        <v>1</v>
      </c>
    </row>
    <row r="102" spans="1:179" x14ac:dyDescent="0.3">
      <c r="A102" s="13">
        <v>44974.454131944447</v>
      </c>
      <c r="B102" t="b">
        <v>0</v>
      </c>
      <c r="C102" s="14" t="s">
        <v>689</v>
      </c>
      <c r="D102" s="14" t="s">
        <v>690</v>
      </c>
      <c r="E102" s="14" t="s">
        <v>216</v>
      </c>
      <c r="F102" s="14" t="s">
        <v>184</v>
      </c>
      <c r="G102" s="14" t="s">
        <v>691</v>
      </c>
      <c r="H102" s="14" t="s">
        <v>222</v>
      </c>
      <c r="I102" s="14" t="s">
        <v>195</v>
      </c>
      <c r="J102" s="14" t="s">
        <v>217</v>
      </c>
      <c r="K102" s="14" t="s">
        <v>187</v>
      </c>
      <c r="L102" s="14" t="s">
        <v>249</v>
      </c>
      <c r="M102" s="14" t="s">
        <v>281</v>
      </c>
      <c r="N102" s="14" t="s">
        <v>199</v>
      </c>
      <c r="O102" s="14" t="s">
        <v>200</v>
      </c>
      <c r="P102" s="17" t="s">
        <v>304</v>
      </c>
      <c r="Q102" s="14" t="s">
        <v>235</v>
      </c>
      <c r="R102" s="14" t="s">
        <v>235</v>
      </c>
      <c r="S102" s="14" t="s">
        <v>202</v>
      </c>
      <c r="T102" s="14" t="s">
        <v>236</v>
      </c>
      <c r="U102" s="14" t="s">
        <v>285</v>
      </c>
      <c r="V102" s="14" t="s">
        <v>610</v>
      </c>
      <c r="W102" s="14" t="s">
        <v>207</v>
      </c>
      <c r="X102" s="14" t="s">
        <v>207</v>
      </c>
      <c r="Y102" s="14">
        <v>3</v>
      </c>
      <c r="Z102" s="14">
        <v>4</v>
      </c>
      <c r="AA102" s="14">
        <v>2</v>
      </c>
      <c r="AB102" s="15">
        <f>IFERROR(AVERAGE(Tabel1[[#This Row],[Up - R1a]:[Up - R1c]]),"")</f>
        <v>3</v>
      </c>
      <c r="AC102" s="14">
        <v>2</v>
      </c>
      <c r="AD102" s="14">
        <v>3</v>
      </c>
      <c r="AE102" s="14">
        <v>1</v>
      </c>
      <c r="AF102" s="14">
        <v>3</v>
      </c>
      <c r="AG102" s="14">
        <f>IFERROR(AVERAGE(Tabel1[[#This Row],[Up - R1]:[Up - R5]]),"")</f>
        <v>2.4</v>
      </c>
      <c r="AH102" s="14">
        <v>3</v>
      </c>
      <c r="AI102" s="14">
        <v>4</v>
      </c>
      <c r="AJ102" s="14">
        <v>3</v>
      </c>
      <c r="AK102" s="14">
        <f>IFERROR(AVERAGE(Tabel1[[#This Row],[Up - C1a]:[Up - C1c]]),"")</f>
        <v>3.3333333333333335</v>
      </c>
      <c r="AL102" s="14">
        <v>3</v>
      </c>
      <c r="AM102" s="14">
        <v>1</v>
      </c>
      <c r="AN102" s="14" t="s">
        <v>189</v>
      </c>
      <c r="AO102" s="14">
        <f>IFERROR(AVERAGE(Tabel1[[#This Row],[Up - C1]:[Up - C4]]),"")</f>
        <v>2.4444444444444446</v>
      </c>
      <c r="AP102" s="14">
        <v>4</v>
      </c>
      <c r="AQ102" s="14">
        <f>IFERROR(AVERAGE(Tabel1[[#This Row],[Up - F1a]:[Up - F1a]]),"")</f>
        <v>4</v>
      </c>
      <c r="AR102" s="14">
        <v>1</v>
      </c>
      <c r="AS102" s="14">
        <v>3</v>
      </c>
      <c r="AT102" s="14">
        <f>IFERROR(AVERAGE(Tabel1[[#This Row],[Up - F2a]:[Up - F2b]]),"")</f>
        <v>2</v>
      </c>
      <c r="AU102" s="14">
        <v>3</v>
      </c>
      <c r="AV102" s="14" t="s">
        <v>189</v>
      </c>
      <c r="AW102" s="14">
        <f>IFERROR(AVERAGE(Tabel1[[#This Row],[Up - F3a]:[Up - F3b]]),"")</f>
        <v>3</v>
      </c>
      <c r="AX102" s="14">
        <v>2</v>
      </c>
      <c r="AY102" s="14">
        <f>IFERROR(AVERAGE(Tabel1[[#This Row],[Up - F1]],Tabel1[[#This Row],[Up - F2]],Tabel1[[#This Row],[Up - F3]],Tabel1[[#This Row],[Up - F4]]),"")</f>
        <v>2.75</v>
      </c>
      <c r="AZ102" s="14">
        <v>2</v>
      </c>
      <c r="BA102" s="14">
        <v>2</v>
      </c>
      <c r="BB102" s="14">
        <f>IFERROR(AVERAGE(Tabel1[[#This Row],[Up - V1a]:[Up - V1b]]),"")</f>
        <v>2</v>
      </c>
      <c r="BC102" s="14">
        <v>4</v>
      </c>
      <c r="BD102" s="14">
        <v>1</v>
      </c>
      <c r="BE102" s="14">
        <v>4</v>
      </c>
      <c r="BF102" s="14">
        <f>IFERROR(AVERAGE(Tabel1[[#This Row],[Up - V2a]:[Up - V2c]]),"")</f>
        <v>3</v>
      </c>
      <c r="BG102" s="14">
        <v>2</v>
      </c>
      <c r="BH102" s="14">
        <v>3</v>
      </c>
      <c r="BI102" s="14">
        <f>IFERROR(AVERAGE(Tabel1[[#This Row],[Up - V3a]:[Up - V3b]]),"")</f>
        <v>2.5</v>
      </c>
      <c r="BJ102" s="14">
        <v>3</v>
      </c>
      <c r="BK102" s="14">
        <f>IFERROR(AVERAGE(Tabel1[[#This Row],[Up - V1]],Tabel1[[#This Row],[Up - V2]],Tabel1[[#This Row],[Up - V3]],Tabel1[[#This Row],[Up - V4]]),"")</f>
        <v>2.625</v>
      </c>
      <c r="BL102" s="14">
        <v>4</v>
      </c>
      <c r="BM102" s="14">
        <v>3</v>
      </c>
      <c r="BN102" s="14">
        <v>2</v>
      </c>
      <c r="BO102" s="14">
        <v>1</v>
      </c>
      <c r="BP102" s="14">
        <f>IFERROR(AVERAGE(Tabel1[[#This Row],[Up - A1a]:[Up - A1d]]),"")</f>
        <v>2.5</v>
      </c>
      <c r="BQ102" s="14">
        <v>2</v>
      </c>
      <c r="BR102" s="14">
        <v>3</v>
      </c>
      <c r="BS102" s="14">
        <f>IFERROR(AVERAGE(Tabel1[[#This Row],[Up - A2a]:[Up - A2b]]),"")</f>
        <v>2.5</v>
      </c>
      <c r="BT102" s="14">
        <v>4</v>
      </c>
      <c r="BU102" s="14">
        <f>IFERROR(AVERAGE(Tabel1[[#This Row],[Up - A3a]:[Up - A3a]]),"")</f>
        <v>4</v>
      </c>
      <c r="BV102" s="14">
        <v>2</v>
      </c>
      <c r="BW102" s="14">
        <f>IFERROR(AVERAGE(Tabel1[[#This Row],[Up - A1]],Tabel1[[#This Row],[Up - A2]],Tabel1[[#This Row],[Up - A3]]),"")</f>
        <v>3</v>
      </c>
      <c r="BX102" s="14">
        <v>4</v>
      </c>
      <c r="BY102" s="14">
        <v>3</v>
      </c>
      <c r="BZ102" s="14">
        <f>IFERROR(AVERAGE(Tabel1[[#This Row],[In - R1a]:[In - R1b]]),"")</f>
        <v>3.5</v>
      </c>
      <c r="CA102" s="14">
        <v>2</v>
      </c>
      <c r="CB102" s="14">
        <v>3</v>
      </c>
      <c r="CC102" s="14">
        <v>2</v>
      </c>
      <c r="CD102" s="14">
        <v>4</v>
      </c>
      <c r="CE102" s="14">
        <f>IFERROR(AVERAGE(Tabel1[[#This Row],[In - R1]:[In - R5]]),"")</f>
        <v>2.9</v>
      </c>
      <c r="CF102" s="14">
        <v>3</v>
      </c>
      <c r="CG102" s="14">
        <v>2</v>
      </c>
      <c r="CH102" s="14">
        <v>4</v>
      </c>
      <c r="CI102" s="14">
        <f>IFERROR(AVERAGE(Tabel1[[#This Row],[In - C1a]:[In - C1c]]),"")</f>
        <v>3</v>
      </c>
      <c r="CJ102" s="14">
        <v>3</v>
      </c>
      <c r="CK102" s="14">
        <v>3</v>
      </c>
      <c r="CL102" s="14" t="s">
        <v>189</v>
      </c>
      <c r="CM102" s="14">
        <f>IFERROR(AVERAGE(Tabel1[[#This Row],[In - C1]:[In - C4]]),"")</f>
        <v>3</v>
      </c>
      <c r="CN102" s="14">
        <v>3</v>
      </c>
      <c r="CO102" s="14">
        <v>1</v>
      </c>
      <c r="CP102" s="14">
        <v>4</v>
      </c>
      <c r="CQ102" s="14">
        <f>IFERROR(AVERAGE(Tabel1[[#This Row],[In - F1a]:[In - F1c]]),"")</f>
        <v>2.6666666666666665</v>
      </c>
      <c r="CR102" s="14">
        <v>4</v>
      </c>
      <c r="CS102" s="14">
        <v>2</v>
      </c>
      <c r="CT102" s="14">
        <f>IFERROR(AVERAGE(Tabel1[[#This Row],[In - F2a]:[In - F2b]]),"")</f>
        <v>3</v>
      </c>
      <c r="CU102" s="14">
        <v>3</v>
      </c>
      <c r="CV102" s="14">
        <f>IFERROR(AVERAGE(Tabel1[[#This Row],[In - F3a]:[In - F3a]]),"")</f>
        <v>3</v>
      </c>
      <c r="CW102" s="14" t="s">
        <v>189</v>
      </c>
      <c r="CX102" s="14">
        <f>IFERROR(AVERAGE(Tabel1[[#This Row],[In - F1]],Tabel1[[#This Row],[In - F2]],Tabel1[[#This Row],[In - F3]],Tabel1[[#This Row],[In - F4]]),"")</f>
        <v>2.8888888888888888</v>
      </c>
      <c r="CY102" s="14">
        <v>3</v>
      </c>
      <c r="CZ102" s="14">
        <v>3</v>
      </c>
      <c r="DA102" s="14">
        <v>2</v>
      </c>
      <c r="DB102" s="14">
        <f>IFERROR(AVERAGE(Tabel1[[#This Row],[In - V1a]:[In - V1c]]),"")</f>
        <v>2.6666666666666665</v>
      </c>
      <c r="DC102" s="14">
        <v>3</v>
      </c>
      <c r="DD102" s="14">
        <v>3</v>
      </c>
      <c r="DE102" s="14">
        <v>2</v>
      </c>
      <c r="DF102" s="14">
        <f>IFERROR(AVERAGE(Tabel1[[#This Row],[In - V2a]:[In - V2c]]),"")</f>
        <v>2.6666666666666665</v>
      </c>
      <c r="DG102" s="14">
        <v>3</v>
      </c>
      <c r="DH102" s="14" t="s">
        <v>189</v>
      </c>
      <c r="DI102" s="14">
        <f>IFERROR(AVERAGE(Tabel1[[#This Row],[In - V3a]:[In - V3b]]),"")</f>
        <v>3</v>
      </c>
      <c r="DJ102" s="14" t="s">
        <v>189</v>
      </c>
      <c r="DK102" s="14">
        <f>IFERROR(AVERAGE(Tabel1[[#This Row],[In - V1]],Tabel1[[#This Row],[In - V2]],Tabel1[[#This Row],[In - V3]],Tabel1[[#This Row],[In - V4]]),"")</f>
        <v>2.7777777777777772</v>
      </c>
      <c r="DL102" s="14">
        <v>1</v>
      </c>
      <c r="DM102" s="14" t="s">
        <v>189</v>
      </c>
      <c r="DN102" s="14">
        <f>IFERROR(AVERAGE(Tabel1[[#This Row],[In - A1a]:[In - A1b]]),"")</f>
        <v>1</v>
      </c>
      <c r="DO102" s="14">
        <v>4</v>
      </c>
      <c r="DP102" s="14">
        <v>3</v>
      </c>
      <c r="DQ102" s="14">
        <f>IFERROR(AVERAGE(Tabel1[[#This Row],[In - A2a]:[In - A2b]]),"")</f>
        <v>3.5</v>
      </c>
      <c r="DR102" s="14">
        <v>3</v>
      </c>
      <c r="DS102" s="14">
        <v>1</v>
      </c>
      <c r="DT102" s="14">
        <f>IFERROR(AVERAGE(Tabel1[[#This Row],[In - A3a]:[In - A3a]]),"")</f>
        <v>3</v>
      </c>
      <c r="DU102" s="14" t="s">
        <v>189</v>
      </c>
      <c r="DV102" s="14">
        <f>IFERROR(AVERAGE(Tabel1[[#This Row],[In - A1]],Tabel1[[#This Row],[In - A2]],Tabel1[[#This Row],[In - A3]],Tabel1[[#This Row],[In - A4]]),"")</f>
        <v>2.5</v>
      </c>
      <c r="DW102" s="14" t="s">
        <v>189</v>
      </c>
      <c r="DX102" s="14">
        <v>3</v>
      </c>
      <c r="DY102" s="14" t="s">
        <v>189</v>
      </c>
      <c r="DZ102" s="14">
        <f>IFERROR(AVERAGE(Tabel1[[#This Row],[Do - R1a]:[Do - R1c]]),"")</f>
        <v>3</v>
      </c>
      <c r="EA102" s="14" t="s">
        <v>189</v>
      </c>
      <c r="EB102" s="14">
        <v>3</v>
      </c>
      <c r="EC102" s="14" t="s">
        <v>189</v>
      </c>
      <c r="ED102" s="14" t="s">
        <v>189</v>
      </c>
      <c r="EE102" s="14">
        <f>IFERROR(AVERAGE(Tabel1[[#This Row],[Do - R1]:[Do - R5]]),"")</f>
        <v>3</v>
      </c>
      <c r="EF102" s="14">
        <v>4</v>
      </c>
      <c r="EG102" s="14" t="s">
        <v>189</v>
      </c>
      <c r="EH102" s="14">
        <v>3</v>
      </c>
      <c r="EI102" s="14">
        <f>IFERROR(AVERAGE(Tabel1[[#This Row],[Do - C1a]:[Do - C1c]]),"")</f>
        <v>3.5</v>
      </c>
      <c r="EJ102" s="14" t="s">
        <v>189</v>
      </c>
      <c r="EK102" s="14" t="s">
        <v>189</v>
      </c>
      <c r="EL102" s="14" t="s">
        <v>189</v>
      </c>
      <c r="EM102" s="14">
        <f>IFERROR(AVERAGE(Tabel1[[#This Row],[Do - C1]:[Do - C4]]),"")</f>
        <v>3.5</v>
      </c>
      <c r="EN102" s="14" t="s">
        <v>189</v>
      </c>
      <c r="EO102" s="14" t="s">
        <v>189</v>
      </c>
      <c r="EP102" s="14">
        <v>4</v>
      </c>
      <c r="EQ102" s="14">
        <f>IFERROR(AVERAGE(Tabel1[[#This Row],[Do - F1a]:[Do - F1c]]),"")</f>
        <v>4</v>
      </c>
      <c r="ER102" s="14" t="s">
        <v>189</v>
      </c>
      <c r="ES102" s="14" t="str">
        <f>IFERROR(AVERAGE(Tabel1[[#This Row],[Do - F2a]:[Do - F2a]]),"")</f>
        <v/>
      </c>
      <c r="ET102" s="14">
        <v>2</v>
      </c>
      <c r="EU102" s="14">
        <v>3</v>
      </c>
      <c r="EV102" s="14">
        <f>IFERROR(AVERAGE(Tabel1[[#This Row],[Do - F3a]:[Do - F3b]]),"")</f>
        <v>2.5</v>
      </c>
      <c r="EW102" s="14">
        <v>4</v>
      </c>
      <c r="EX102" s="14">
        <f>IFERROR(AVERAGE(Tabel1[[#This Row],[Do - F1]],Tabel1[[#This Row],[Do - F2]],Tabel1[[#This Row],[Do - F3]],Tabel1[[#This Row],[Do - F4]]),"")</f>
        <v>3.5</v>
      </c>
      <c r="EY102" s="14">
        <v>1</v>
      </c>
      <c r="EZ102" s="14" t="s">
        <v>189</v>
      </c>
      <c r="FA102" s="14">
        <v>4</v>
      </c>
      <c r="FB102" s="14">
        <f>IFERROR(AVERAGE(Tabel1[[#This Row],[Do - V1a]:[Do - V1c]]),"")</f>
        <v>2.5</v>
      </c>
      <c r="FC102" s="14" t="s">
        <v>189</v>
      </c>
      <c r="FD102" s="14" t="s">
        <v>189</v>
      </c>
      <c r="FE102" s="14" t="str">
        <f>IFERROR(AVERAGE(Tabel1[[#This Row],[Do - V2a]:[Do - V2b]]),"")</f>
        <v/>
      </c>
      <c r="FF102" s="14" t="s">
        <v>189</v>
      </c>
      <c r="FG102" s="14" t="str">
        <f>IFERROR(AVERAGE(Tabel1[[#This Row],[Do - V3a]:[Do - V3a]]),"")</f>
        <v/>
      </c>
      <c r="FH102" s="14" t="s">
        <v>189</v>
      </c>
      <c r="FI102" s="14">
        <f>IFERROR(AVERAGE(Tabel1[[#This Row],[Do - V1]],Tabel1[[#This Row],[Do - V2]],Tabel1[[#This Row],[Do - V3]],Tabel1[[#This Row],[Do - V4]]),"")</f>
        <v>2.5</v>
      </c>
      <c r="FJ102" s="14" t="s">
        <v>189</v>
      </c>
      <c r="FK102" s="14">
        <v>1</v>
      </c>
      <c r="FL102" s="14" t="s">
        <v>189</v>
      </c>
      <c r="FM102" s="14">
        <f>IFERROR(AVERAGE(Tabel1[[#This Row],[Do - A1a]:[Do - A1c]]),"")</f>
        <v>1</v>
      </c>
      <c r="FN102" s="14" t="s">
        <v>189</v>
      </c>
      <c r="FO102" s="14" t="s">
        <v>189</v>
      </c>
      <c r="FP102" s="14" t="str">
        <f>IFERROR(AVERAGE(Tabel1[[#This Row],[Do - A2a]:[Do - A2b]]),"")</f>
        <v/>
      </c>
      <c r="FQ102" s="14" t="s">
        <v>189</v>
      </c>
      <c r="FR102" s="14" t="str">
        <f>IFERROR(AVERAGE(Tabel1[[#This Row],[Do - A3a]:[Do - A3a]]),"")</f>
        <v/>
      </c>
      <c r="FS102" s="14" t="s">
        <v>189</v>
      </c>
      <c r="FT102" s="14">
        <f>IFERROR(AVERAGE(Tabel1[[#This Row],[Do - A1]],Tabel1[[#This Row],[Do - A2]],Tabel1[[#This Row],[Do - A3]],Tabel1[[#This Row],[Do - A4]]),"")</f>
        <v>1</v>
      </c>
      <c r="FU10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2.719074074074074</v>
      </c>
      <c r="FV102" s="16" t="s">
        <v>692</v>
      </c>
      <c r="FW102" t="b">
        <v>1</v>
      </c>
    </row>
    <row r="103" spans="1:179" x14ac:dyDescent="0.3">
      <c r="A103" s="13">
        <v>44977.367777777778</v>
      </c>
      <c r="B103" t="b">
        <v>0</v>
      </c>
      <c r="C103" s="14" t="s">
        <v>693</v>
      </c>
      <c r="D103" s="14" t="s">
        <v>694</v>
      </c>
      <c r="E103" s="14" t="s">
        <v>216</v>
      </c>
      <c r="F103" s="14" t="s">
        <v>184</v>
      </c>
      <c r="G103" s="14" t="s">
        <v>695</v>
      </c>
      <c r="H103" s="14" t="s">
        <v>222</v>
      </c>
      <c r="I103" s="14" t="s">
        <v>195</v>
      </c>
      <c r="J103" s="14" t="s">
        <v>217</v>
      </c>
      <c r="K103" s="14" t="s">
        <v>202</v>
      </c>
      <c r="L103" s="14" t="s">
        <v>197</v>
      </c>
      <c r="M103" s="14" t="s">
        <v>188</v>
      </c>
      <c r="N103" s="14" t="s">
        <v>262</v>
      </c>
      <c r="O103" s="14" t="s">
        <v>200</v>
      </c>
      <c r="P103" s="17" t="s">
        <v>304</v>
      </c>
      <c r="Q103" s="14" t="s">
        <v>235</v>
      </c>
      <c r="R103" s="17" t="s">
        <v>304</v>
      </c>
      <c r="S103" s="14" t="s">
        <v>235</v>
      </c>
      <c r="T103" s="14" t="s">
        <v>380</v>
      </c>
      <c r="U103" s="14" t="s">
        <v>237</v>
      </c>
      <c r="V103" s="14" t="s">
        <v>484</v>
      </c>
      <c r="W103" s="14" t="s">
        <v>207</v>
      </c>
      <c r="X103" s="14" t="s">
        <v>207</v>
      </c>
      <c r="Y103" s="14">
        <v>2</v>
      </c>
      <c r="Z103" s="14">
        <v>4</v>
      </c>
      <c r="AA103" s="14">
        <v>2</v>
      </c>
      <c r="AB103" s="15">
        <f>IFERROR(AVERAGE(Tabel1[[#This Row],[Up - R1a]:[Up - R1c]]),"")</f>
        <v>2.6666666666666665</v>
      </c>
      <c r="AC103" s="14">
        <v>1</v>
      </c>
      <c r="AD103" s="14">
        <v>2</v>
      </c>
      <c r="AE103" s="14">
        <v>3</v>
      </c>
      <c r="AF103" s="14" t="s">
        <v>189</v>
      </c>
      <c r="AG103" s="14">
        <f>IFERROR(AVERAGE(Tabel1[[#This Row],[Up - R1]:[Up - R5]]),"")</f>
        <v>2.1666666666666665</v>
      </c>
      <c r="AH103" s="14">
        <v>3</v>
      </c>
      <c r="AI103" s="14">
        <v>3</v>
      </c>
      <c r="AJ103" s="14">
        <v>3</v>
      </c>
      <c r="AK103" s="14">
        <f>IFERROR(AVERAGE(Tabel1[[#This Row],[Up - C1a]:[Up - C1c]]),"")</f>
        <v>3</v>
      </c>
      <c r="AL103" s="14">
        <v>1</v>
      </c>
      <c r="AM103" s="14" t="s">
        <v>189</v>
      </c>
      <c r="AN103" s="14" t="s">
        <v>189</v>
      </c>
      <c r="AO103" s="14">
        <f>IFERROR(AVERAGE(Tabel1[[#This Row],[Up - C1]:[Up - C4]]),"")</f>
        <v>2</v>
      </c>
      <c r="AP103" s="14" t="s">
        <v>189</v>
      </c>
      <c r="AQ103" s="14" t="str">
        <f>IFERROR(AVERAGE(Tabel1[[#This Row],[Up - F1a]:[Up - F1a]]),"")</f>
        <v/>
      </c>
      <c r="AR103" s="14">
        <v>2</v>
      </c>
      <c r="AS103" s="14" t="s">
        <v>189</v>
      </c>
      <c r="AT103" s="14">
        <f>IFERROR(AVERAGE(Tabel1[[#This Row],[Up - F2a]:[Up - F2b]]),"")</f>
        <v>2</v>
      </c>
      <c r="AU103" s="14">
        <v>2</v>
      </c>
      <c r="AV103" s="14" t="s">
        <v>189</v>
      </c>
      <c r="AW103" s="14">
        <f>IFERROR(AVERAGE(Tabel1[[#This Row],[Up - F3a]:[Up - F3b]]),"")</f>
        <v>2</v>
      </c>
      <c r="AX103" s="14" t="s">
        <v>189</v>
      </c>
      <c r="AY103" s="14">
        <f>IFERROR(AVERAGE(Tabel1[[#This Row],[Up - F1]],Tabel1[[#This Row],[Up - F2]],Tabel1[[#This Row],[Up - F3]],Tabel1[[#This Row],[Up - F4]]),"")</f>
        <v>2</v>
      </c>
      <c r="AZ103" s="14" t="s">
        <v>189</v>
      </c>
      <c r="BA103" s="14" t="s">
        <v>189</v>
      </c>
      <c r="BB103" s="14" t="str">
        <f>IFERROR(AVERAGE(Tabel1[[#This Row],[Up - V1a]:[Up - V1b]]),"")</f>
        <v/>
      </c>
      <c r="BC103" s="14">
        <v>4</v>
      </c>
      <c r="BD103" s="14">
        <v>4</v>
      </c>
      <c r="BE103" s="14">
        <v>4</v>
      </c>
      <c r="BF103" s="14">
        <f>IFERROR(AVERAGE(Tabel1[[#This Row],[Up - V2a]:[Up - V2c]]),"")</f>
        <v>4</v>
      </c>
      <c r="BG103" s="14">
        <v>3</v>
      </c>
      <c r="BH103" s="14">
        <v>5</v>
      </c>
      <c r="BI103" s="14">
        <f>IFERROR(AVERAGE(Tabel1[[#This Row],[Up - V3a]:[Up - V3b]]),"")</f>
        <v>4</v>
      </c>
      <c r="BJ103" s="14" t="s">
        <v>189</v>
      </c>
      <c r="BK103" s="14">
        <f>IFERROR(AVERAGE(Tabel1[[#This Row],[Up - V1]],Tabel1[[#This Row],[Up - V2]],Tabel1[[#This Row],[Up - V3]],Tabel1[[#This Row],[Up - V4]]),"")</f>
        <v>4</v>
      </c>
      <c r="BL103" s="14">
        <v>5</v>
      </c>
      <c r="BM103" s="14">
        <v>3</v>
      </c>
      <c r="BN103" s="14" t="s">
        <v>189</v>
      </c>
      <c r="BO103" s="14" t="s">
        <v>189</v>
      </c>
      <c r="BP103" s="14">
        <f>IFERROR(AVERAGE(Tabel1[[#This Row],[Up - A1a]:[Up - A1d]]),"")</f>
        <v>4</v>
      </c>
      <c r="BQ103" s="14">
        <v>3</v>
      </c>
      <c r="BR103" s="14">
        <v>4</v>
      </c>
      <c r="BS103" s="14">
        <f>IFERROR(AVERAGE(Tabel1[[#This Row],[Up - A2a]:[Up - A2b]]),"")</f>
        <v>3.5</v>
      </c>
      <c r="BT103" s="14">
        <v>3</v>
      </c>
      <c r="BU103" s="14">
        <f>IFERROR(AVERAGE(Tabel1[[#This Row],[Up - A3a]:[Up - A3a]]),"")</f>
        <v>3</v>
      </c>
      <c r="BV103" s="14" t="s">
        <v>189</v>
      </c>
      <c r="BW103" s="14">
        <f>IFERROR(AVERAGE(Tabel1[[#This Row],[Up - A1]],Tabel1[[#This Row],[Up - A2]],Tabel1[[#This Row],[Up - A3]]),"")</f>
        <v>3.5</v>
      </c>
      <c r="BX103" s="14" t="s">
        <v>189</v>
      </c>
      <c r="BY103" s="14" t="s">
        <v>189</v>
      </c>
      <c r="BZ103" s="14" t="str">
        <f>IFERROR(AVERAGE(Tabel1[[#This Row],[In - R1a]:[In - R1b]]),"")</f>
        <v/>
      </c>
      <c r="CA103" s="14" t="s">
        <v>189</v>
      </c>
      <c r="CB103" s="14" t="s">
        <v>189</v>
      </c>
      <c r="CC103" s="14" t="s">
        <v>189</v>
      </c>
      <c r="CD103" s="14" t="s">
        <v>189</v>
      </c>
      <c r="CE103" s="14" t="str">
        <f>IFERROR(AVERAGE(Tabel1[[#This Row],[In - R1]:[In - R5]]),"")</f>
        <v/>
      </c>
      <c r="CF103" s="14" t="s">
        <v>189</v>
      </c>
      <c r="CG103" s="14" t="s">
        <v>189</v>
      </c>
      <c r="CH103" s="14" t="s">
        <v>189</v>
      </c>
      <c r="CI103" s="14" t="str">
        <f>IFERROR(AVERAGE(Tabel1[[#This Row],[In - C1a]:[In - C1c]]),"")</f>
        <v/>
      </c>
      <c r="CJ103" s="14" t="s">
        <v>189</v>
      </c>
      <c r="CK103" s="14" t="s">
        <v>189</v>
      </c>
      <c r="CL103" s="14" t="s">
        <v>189</v>
      </c>
      <c r="CM103" s="14" t="str">
        <f>IFERROR(AVERAGE(Tabel1[[#This Row],[In - C1]:[In - C4]]),"")</f>
        <v/>
      </c>
      <c r="CN103" s="14" t="s">
        <v>189</v>
      </c>
      <c r="CO103" s="14" t="s">
        <v>189</v>
      </c>
      <c r="CP103" s="14" t="s">
        <v>189</v>
      </c>
      <c r="CQ103" s="14" t="str">
        <f>IFERROR(AVERAGE(Tabel1[[#This Row],[In - F1a]:[In - F1c]]),"")</f>
        <v/>
      </c>
      <c r="CR103" s="14" t="s">
        <v>189</v>
      </c>
      <c r="CS103" s="14" t="s">
        <v>189</v>
      </c>
      <c r="CT103" s="14" t="str">
        <f>IFERROR(AVERAGE(Tabel1[[#This Row],[In - F2a]:[In - F2b]]),"")</f>
        <v/>
      </c>
      <c r="CU103" s="14" t="s">
        <v>189</v>
      </c>
      <c r="CV103" s="14" t="str">
        <f>IFERROR(AVERAGE(Tabel1[[#This Row],[In - F3a]:[In - F3a]]),"")</f>
        <v/>
      </c>
      <c r="CW103" s="14" t="s">
        <v>189</v>
      </c>
      <c r="CX103" s="14" t="str">
        <f>IFERROR(AVERAGE(Tabel1[[#This Row],[In - F1]],Tabel1[[#This Row],[In - F2]],Tabel1[[#This Row],[In - F3]],Tabel1[[#This Row],[In - F4]]),"")</f>
        <v/>
      </c>
      <c r="CY103" s="14" t="s">
        <v>189</v>
      </c>
      <c r="CZ103" s="14" t="s">
        <v>189</v>
      </c>
      <c r="DA103" s="14" t="s">
        <v>189</v>
      </c>
      <c r="DB103" s="14" t="str">
        <f>IFERROR(AVERAGE(Tabel1[[#This Row],[In - V1a]:[In - V1c]]),"")</f>
        <v/>
      </c>
      <c r="DC103" s="14" t="s">
        <v>189</v>
      </c>
      <c r="DD103" s="14" t="s">
        <v>189</v>
      </c>
      <c r="DE103" s="14" t="s">
        <v>189</v>
      </c>
      <c r="DF103" s="14" t="str">
        <f>IFERROR(AVERAGE(Tabel1[[#This Row],[In - V2a]:[In - V2c]]),"")</f>
        <v/>
      </c>
      <c r="DG103" s="14" t="s">
        <v>189</v>
      </c>
      <c r="DH103" s="14" t="s">
        <v>189</v>
      </c>
      <c r="DI103" s="14" t="str">
        <f>IFERROR(AVERAGE(Tabel1[[#This Row],[In - V3a]:[In - V3b]]),"")</f>
        <v/>
      </c>
      <c r="DJ103" s="14" t="s">
        <v>189</v>
      </c>
      <c r="DK103" s="14" t="str">
        <f>IFERROR(AVERAGE(Tabel1[[#This Row],[In - V1]],Tabel1[[#This Row],[In - V2]],Tabel1[[#This Row],[In - V3]],Tabel1[[#This Row],[In - V4]]),"")</f>
        <v/>
      </c>
      <c r="DL103" s="14" t="s">
        <v>189</v>
      </c>
      <c r="DM103" s="14" t="s">
        <v>189</v>
      </c>
      <c r="DN103" s="14" t="str">
        <f>IFERROR(AVERAGE(Tabel1[[#This Row],[In - A1a]:[In - A1b]]),"")</f>
        <v/>
      </c>
      <c r="DO103" s="14" t="s">
        <v>189</v>
      </c>
      <c r="DP103" s="14" t="s">
        <v>189</v>
      </c>
      <c r="DQ103" s="14" t="str">
        <f>IFERROR(AVERAGE(Tabel1[[#This Row],[In - A2a]:[In - A2b]]),"")</f>
        <v/>
      </c>
      <c r="DR103" s="14" t="s">
        <v>189</v>
      </c>
      <c r="DS103" s="14" t="s">
        <v>189</v>
      </c>
      <c r="DT103" s="14" t="str">
        <f>IFERROR(AVERAGE(Tabel1[[#This Row],[In - A3a]:[In - A3a]]),"")</f>
        <v/>
      </c>
      <c r="DU103" s="14" t="s">
        <v>189</v>
      </c>
      <c r="DV103" s="14" t="str">
        <f>IFERROR(AVERAGE(Tabel1[[#This Row],[In - A1]],Tabel1[[#This Row],[In - A2]],Tabel1[[#This Row],[In - A3]],Tabel1[[#This Row],[In - A4]]),"")</f>
        <v/>
      </c>
      <c r="DW103" s="14" t="s">
        <v>189</v>
      </c>
      <c r="DX103" s="14" t="s">
        <v>189</v>
      </c>
      <c r="DY103" s="14" t="s">
        <v>189</v>
      </c>
      <c r="DZ103" s="14" t="str">
        <f>IFERROR(AVERAGE(Tabel1[[#This Row],[Do - R1a]:[Do - R1c]]),"")</f>
        <v/>
      </c>
      <c r="EA103" s="14" t="s">
        <v>189</v>
      </c>
      <c r="EB103" s="14" t="s">
        <v>189</v>
      </c>
      <c r="EC103" s="14" t="s">
        <v>189</v>
      </c>
      <c r="ED103" s="14" t="s">
        <v>189</v>
      </c>
      <c r="EE103" s="14" t="str">
        <f>IFERROR(AVERAGE(Tabel1[[#This Row],[Do - R1]:[Do - R5]]),"")</f>
        <v/>
      </c>
      <c r="EF103" s="14" t="s">
        <v>189</v>
      </c>
      <c r="EG103" s="14" t="s">
        <v>189</v>
      </c>
      <c r="EH103" s="14" t="s">
        <v>189</v>
      </c>
      <c r="EI103" s="14" t="str">
        <f>IFERROR(AVERAGE(Tabel1[[#This Row],[Do - C1a]:[Do - C1c]]),"")</f>
        <v/>
      </c>
      <c r="EJ103" s="14" t="s">
        <v>189</v>
      </c>
      <c r="EK103" s="14" t="s">
        <v>189</v>
      </c>
      <c r="EL103" s="14" t="s">
        <v>189</v>
      </c>
      <c r="EM103" s="14" t="str">
        <f>IFERROR(AVERAGE(Tabel1[[#This Row],[Do - C1]:[Do - C4]]),"")</f>
        <v/>
      </c>
      <c r="EN103" s="14" t="s">
        <v>189</v>
      </c>
      <c r="EO103" s="14" t="s">
        <v>189</v>
      </c>
      <c r="EP103" s="14" t="s">
        <v>189</v>
      </c>
      <c r="EQ103" s="14" t="str">
        <f>IFERROR(AVERAGE(Tabel1[[#This Row],[Do - F1a]:[Do - F1c]]),"")</f>
        <v/>
      </c>
      <c r="ER103" s="14" t="s">
        <v>189</v>
      </c>
      <c r="ES103" s="14" t="str">
        <f>IFERROR(AVERAGE(Tabel1[[#This Row],[Do - F2a]:[Do - F2a]]),"")</f>
        <v/>
      </c>
      <c r="ET103" s="14" t="s">
        <v>189</v>
      </c>
      <c r="EU103" s="14" t="s">
        <v>189</v>
      </c>
      <c r="EV103" s="14" t="str">
        <f>IFERROR(AVERAGE(Tabel1[[#This Row],[Do - F3a]:[Do - F3b]]),"")</f>
        <v/>
      </c>
      <c r="EW103" s="14" t="s">
        <v>189</v>
      </c>
      <c r="EX103" s="14" t="str">
        <f>IFERROR(AVERAGE(Tabel1[[#This Row],[Do - F1]],Tabel1[[#This Row],[Do - F2]],Tabel1[[#This Row],[Do - F3]],Tabel1[[#This Row],[Do - F4]]),"")</f>
        <v/>
      </c>
      <c r="EY103" s="14" t="s">
        <v>189</v>
      </c>
      <c r="EZ103" s="14" t="s">
        <v>189</v>
      </c>
      <c r="FA103" s="14" t="s">
        <v>189</v>
      </c>
      <c r="FB103" s="14" t="str">
        <f>IFERROR(AVERAGE(Tabel1[[#This Row],[Do - V1a]:[Do - V1c]]),"")</f>
        <v/>
      </c>
      <c r="FC103" s="14" t="s">
        <v>189</v>
      </c>
      <c r="FD103" s="14" t="s">
        <v>189</v>
      </c>
      <c r="FE103" s="14" t="str">
        <f>IFERROR(AVERAGE(Tabel1[[#This Row],[Do - V2a]:[Do - V2b]]),"")</f>
        <v/>
      </c>
      <c r="FF103" s="14" t="s">
        <v>189</v>
      </c>
      <c r="FG103" s="14" t="str">
        <f>IFERROR(AVERAGE(Tabel1[[#This Row],[Do - V3a]:[Do - V3a]]),"")</f>
        <v/>
      </c>
      <c r="FH103" s="14" t="s">
        <v>189</v>
      </c>
      <c r="FI103" s="14" t="str">
        <f>IFERROR(AVERAGE(Tabel1[[#This Row],[Do - V1]],Tabel1[[#This Row],[Do - V2]],Tabel1[[#This Row],[Do - V3]],Tabel1[[#This Row],[Do - V4]]),"")</f>
        <v/>
      </c>
      <c r="FJ103" s="14" t="s">
        <v>189</v>
      </c>
      <c r="FK103" s="14" t="s">
        <v>189</v>
      </c>
      <c r="FL103" s="14" t="s">
        <v>189</v>
      </c>
      <c r="FM103" s="14" t="str">
        <f>IFERROR(AVERAGE(Tabel1[[#This Row],[Do - A1a]:[Do - A1c]]),"")</f>
        <v/>
      </c>
      <c r="FN103" s="14" t="s">
        <v>189</v>
      </c>
      <c r="FO103" s="14" t="s">
        <v>189</v>
      </c>
      <c r="FP103" s="14" t="str">
        <f>IFERROR(AVERAGE(Tabel1[[#This Row],[Do - A2a]:[Do - A2b]]),"")</f>
        <v/>
      </c>
      <c r="FQ103" s="14" t="s">
        <v>189</v>
      </c>
      <c r="FR103" s="14" t="str">
        <f>IFERROR(AVERAGE(Tabel1[[#This Row],[Do - A3a]:[Do - A3a]]),"")</f>
        <v/>
      </c>
      <c r="FS103" s="14" t="s">
        <v>189</v>
      </c>
      <c r="FT103" s="14" t="str">
        <f>IFERROR(AVERAGE(Tabel1[[#This Row],[Do - A1]],Tabel1[[#This Row],[Do - A2]],Tabel1[[#This Row],[Do - A3]],Tabel1[[#This Row],[Do - A4]]),"")</f>
        <v/>
      </c>
      <c r="FU10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2.7333333333333334</v>
      </c>
      <c r="FV103" s="16" t="s">
        <v>696</v>
      </c>
      <c r="FW103" t="b">
        <v>1</v>
      </c>
    </row>
    <row r="104" spans="1:179" x14ac:dyDescent="0.3">
      <c r="A104" s="13">
        <v>44977.414351851854</v>
      </c>
      <c r="B104" t="b">
        <v>0</v>
      </c>
      <c r="C104" s="14" t="s">
        <v>697</v>
      </c>
      <c r="D104" s="14" t="s">
        <v>698</v>
      </c>
      <c r="E104" s="14" t="s">
        <v>699</v>
      </c>
      <c r="F104" s="14" t="s">
        <v>184</v>
      </c>
      <c r="G104" s="14" t="s">
        <v>700</v>
      </c>
      <c r="H104" s="14" t="s">
        <v>222</v>
      </c>
      <c r="I104" s="14" t="s">
        <v>195</v>
      </c>
      <c r="J104" s="14" t="s">
        <v>212</v>
      </c>
      <c r="K104" s="14" t="s">
        <v>203</v>
      </c>
      <c r="L104" s="14" t="s">
        <v>249</v>
      </c>
      <c r="M104" s="14" t="s">
        <v>188</v>
      </c>
      <c r="N104" s="14" t="s">
        <v>262</v>
      </c>
      <c r="O104" s="14" t="s">
        <v>200</v>
      </c>
      <c r="P104" s="14" t="s">
        <v>701</v>
      </c>
      <c r="Q104" s="14" t="s">
        <v>203</v>
      </c>
      <c r="R104" s="17" t="s">
        <v>255</v>
      </c>
      <c r="S104" s="14" t="s">
        <v>187</v>
      </c>
      <c r="T104" s="14" t="s">
        <v>380</v>
      </c>
      <c r="U104" s="14" t="s">
        <v>285</v>
      </c>
      <c r="V104" s="14" t="s">
        <v>484</v>
      </c>
      <c r="W104" s="14" t="s">
        <v>395</v>
      </c>
      <c r="X104" s="14" t="s">
        <v>207</v>
      </c>
      <c r="Y104" s="14">
        <v>3</v>
      </c>
      <c r="Z104" s="14">
        <v>2</v>
      </c>
      <c r="AA104" s="14">
        <v>2</v>
      </c>
      <c r="AB104" s="15">
        <f>IFERROR(AVERAGE(Tabel1[[#This Row],[Up - R1a]:[Up - R1c]]),"")</f>
        <v>2.3333333333333335</v>
      </c>
      <c r="AC104" s="14">
        <v>3</v>
      </c>
      <c r="AD104" s="14">
        <v>4</v>
      </c>
      <c r="AE104" s="14">
        <v>2</v>
      </c>
      <c r="AF104" s="14">
        <v>4</v>
      </c>
      <c r="AG104" s="14">
        <f>IFERROR(AVERAGE(Tabel1[[#This Row],[Up - R1]:[Up - R5]]),"")</f>
        <v>3.0666666666666669</v>
      </c>
      <c r="AH104" s="14">
        <v>4</v>
      </c>
      <c r="AI104" s="14">
        <v>3</v>
      </c>
      <c r="AJ104" s="14">
        <v>3</v>
      </c>
      <c r="AK104" s="14">
        <f>IFERROR(AVERAGE(Tabel1[[#This Row],[Up - C1a]:[Up - C1c]]),"")</f>
        <v>3.3333333333333335</v>
      </c>
      <c r="AL104" s="14">
        <v>3</v>
      </c>
      <c r="AM104" s="14">
        <v>1</v>
      </c>
      <c r="AN104" s="14">
        <v>2</v>
      </c>
      <c r="AO104" s="14">
        <f>IFERROR(AVERAGE(Tabel1[[#This Row],[Up - C1]:[Up - C4]]),"")</f>
        <v>2.3333333333333335</v>
      </c>
      <c r="AP104" s="14">
        <v>3</v>
      </c>
      <c r="AQ104" s="14">
        <f>IFERROR(AVERAGE(Tabel1[[#This Row],[Up - F1a]:[Up - F1a]]),"")</f>
        <v>3</v>
      </c>
      <c r="AR104" s="14">
        <v>2</v>
      </c>
      <c r="AS104" s="14">
        <v>3</v>
      </c>
      <c r="AT104" s="14">
        <f>IFERROR(AVERAGE(Tabel1[[#This Row],[Up - F2a]:[Up - F2b]]),"")</f>
        <v>2.5</v>
      </c>
      <c r="AU104" s="14">
        <v>3</v>
      </c>
      <c r="AV104" s="14">
        <v>2</v>
      </c>
      <c r="AW104" s="14">
        <f>IFERROR(AVERAGE(Tabel1[[#This Row],[Up - F3a]:[Up - F3b]]),"")</f>
        <v>2.5</v>
      </c>
      <c r="AX104" s="14" t="s">
        <v>189</v>
      </c>
      <c r="AY104" s="14">
        <f>IFERROR(AVERAGE(Tabel1[[#This Row],[Up - F1]],Tabel1[[#This Row],[Up - F2]],Tabel1[[#This Row],[Up - F3]],Tabel1[[#This Row],[Up - F4]]),"")</f>
        <v>2.6666666666666665</v>
      </c>
      <c r="AZ104" s="14">
        <v>1</v>
      </c>
      <c r="BA104" s="14">
        <v>2</v>
      </c>
      <c r="BB104" s="14">
        <f>IFERROR(AVERAGE(Tabel1[[#This Row],[Up - V1a]:[Up - V1b]]),"")</f>
        <v>1.5</v>
      </c>
      <c r="BC104" s="14">
        <v>3</v>
      </c>
      <c r="BD104" s="14">
        <v>4</v>
      </c>
      <c r="BE104" s="14">
        <v>2</v>
      </c>
      <c r="BF104" s="14">
        <f>IFERROR(AVERAGE(Tabel1[[#This Row],[Up - V2a]:[Up - V2c]]),"")</f>
        <v>3</v>
      </c>
      <c r="BG104" s="14">
        <v>2</v>
      </c>
      <c r="BH104" s="14">
        <v>2</v>
      </c>
      <c r="BI104" s="14">
        <f>IFERROR(AVERAGE(Tabel1[[#This Row],[Up - V3a]:[Up - V3b]]),"")</f>
        <v>2</v>
      </c>
      <c r="BJ104" s="14">
        <v>2</v>
      </c>
      <c r="BK104" s="14">
        <f>IFERROR(AVERAGE(Tabel1[[#This Row],[Up - V1]],Tabel1[[#This Row],[Up - V2]],Tabel1[[#This Row],[Up - V3]],Tabel1[[#This Row],[Up - V4]]),"")</f>
        <v>2.125</v>
      </c>
      <c r="BL104" s="14">
        <v>3</v>
      </c>
      <c r="BM104" s="14">
        <v>3</v>
      </c>
      <c r="BN104" s="14">
        <v>2</v>
      </c>
      <c r="BO104" s="14">
        <v>2</v>
      </c>
      <c r="BP104" s="14">
        <f>IFERROR(AVERAGE(Tabel1[[#This Row],[Up - A1a]:[Up - A1d]]),"")</f>
        <v>2.5</v>
      </c>
      <c r="BQ104" s="14">
        <v>2</v>
      </c>
      <c r="BR104" s="14">
        <v>3</v>
      </c>
      <c r="BS104" s="14">
        <f>IFERROR(AVERAGE(Tabel1[[#This Row],[Up - A2a]:[Up - A2b]]),"")</f>
        <v>2.5</v>
      </c>
      <c r="BT104" s="14">
        <v>3</v>
      </c>
      <c r="BU104" s="14">
        <f>IFERROR(AVERAGE(Tabel1[[#This Row],[Up - A3a]:[Up - A3a]]),"")</f>
        <v>3</v>
      </c>
      <c r="BV104" s="14">
        <v>2</v>
      </c>
      <c r="BW104" s="14">
        <f>IFERROR(AVERAGE(Tabel1[[#This Row],[Up - A1]],Tabel1[[#This Row],[Up - A2]],Tabel1[[#This Row],[Up - A3]]),"")</f>
        <v>2.6666666666666665</v>
      </c>
      <c r="BX104" s="14">
        <v>3</v>
      </c>
      <c r="BY104" s="14">
        <v>2</v>
      </c>
      <c r="BZ104" s="14">
        <f>IFERROR(AVERAGE(Tabel1[[#This Row],[In - R1a]:[In - R1b]]),"")</f>
        <v>2.5</v>
      </c>
      <c r="CA104" s="14">
        <v>4</v>
      </c>
      <c r="CB104" s="14" t="s">
        <v>189</v>
      </c>
      <c r="CC104" s="14">
        <v>1</v>
      </c>
      <c r="CD104" s="14">
        <v>2</v>
      </c>
      <c r="CE104" s="14">
        <f>IFERROR(AVERAGE(Tabel1[[#This Row],[In - R1]:[In - R5]]),"")</f>
        <v>2.375</v>
      </c>
      <c r="CF104" s="14">
        <v>4</v>
      </c>
      <c r="CG104" s="14">
        <v>3</v>
      </c>
      <c r="CH104" s="14">
        <v>2</v>
      </c>
      <c r="CI104" s="14">
        <f>IFERROR(AVERAGE(Tabel1[[#This Row],[In - C1a]:[In - C1c]]),"")</f>
        <v>3</v>
      </c>
      <c r="CJ104" s="14">
        <v>2</v>
      </c>
      <c r="CK104" s="14">
        <v>2</v>
      </c>
      <c r="CL104" s="14">
        <v>1</v>
      </c>
      <c r="CM104" s="14">
        <f>IFERROR(AVERAGE(Tabel1[[#This Row],[In - C1]:[In - C4]]),"")</f>
        <v>2</v>
      </c>
      <c r="CN104" s="14">
        <v>3</v>
      </c>
      <c r="CO104" s="14">
        <v>3</v>
      </c>
      <c r="CP104" s="14">
        <v>1</v>
      </c>
      <c r="CQ104" s="14">
        <f>IFERROR(AVERAGE(Tabel1[[#This Row],[In - F1a]:[In - F1c]]),"")</f>
        <v>2.3333333333333335</v>
      </c>
      <c r="CR104" s="14">
        <v>3</v>
      </c>
      <c r="CS104" s="14">
        <v>2</v>
      </c>
      <c r="CT104" s="14">
        <f>IFERROR(AVERAGE(Tabel1[[#This Row],[In - F2a]:[In - F2b]]),"")</f>
        <v>2.5</v>
      </c>
      <c r="CU104" s="14">
        <v>3</v>
      </c>
      <c r="CV104" s="14">
        <f>IFERROR(AVERAGE(Tabel1[[#This Row],[In - F3a]:[In - F3a]]),"")</f>
        <v>3</v>
      </c>
      <c r="CW104" s="14">
        <v>3</v>
      </c>
      <c r="CX104" s="14">
        <f>IFERROR(AVERAGE(Tabel1[[#This Row],[In - F1]],Tabel1[[#This Row],[In - F2]],Tabel1[[#This Row],[In - F3]],Tabel1[[#This Row],[In - F4]]),"")</f>
        <v>2.7083333333333335</v>
      </c>
      <c r="CY104" s="14">
        <v>4</v>
      </c>
      <c r="CZ104" s="14">
        <v>3</v>
      </c>
      <c r="DA104" s="14">
        <v>3</v>
      </c>
      <c r="DB104" s="14">
        <f>IFERROR(AVERAGE(Tabel1[[#This Row],[In - V1a]:[In - V1c]]),"")</f>
        <v>3.3333333333333335</v>
      </c>
      <c r="DC104" s="14">
        <v>2</v>
      </c>
      <c r="DD104" s="14">
        <v>3</v>
      </c>
      <c r="DE104" s="14">
        <v>2</v>
      </c>
      <c r="DF104" s="14">
        <f>IFERROR(AVERAGE(Tabel1[[#This Row],[In - V2a]:[In - V2c]]),"")</f>
        <v>2.3333333333333335</v>
      </c>
      <c r="DG104" s="14" t="s">
        <v>189</v>
      </c>
      <c r="DH104" s="14">
        <v>4</v>
      </c>
      <c r="DI104" s="14">
        <f>IFERROR(AVERAGE(Tabel1[[#This Row],[In - V3a]:[In - V3b]]),"")</f>
        <v>4</v>
      </c>
      <c r="DJ104" s="14">
        <v>3</v>
      </c>
      <c r="DK104" s="14">
        <f>IFERROR(AVERAGE(Tabel1[[#This Row],[In - V1]],Tabel1[[#This Row],[In - V2]],Tabel1[[#This Row],[In - V3]],Tabel1[[#This Row],[In - V4]]),"")</f>
        <v>3.166666666666667</v>
      </c>
      <c r="DL104" s="14">
        <v>4</v>
      </c>
      <c r="DM104" s="14">
        <v>2</v>
      </c>
      <c r="DN104" s="14">
        <f>IFERROR(AVERAGE(Tabel1[[#This Row],[In - A1a]:[In - A1b]]),"")</f>
        <v>3</v>
      </c>
      <c r="DO104" s="14">
        <v>4</v>
      </c>
      <c r="DP104" s="14">
        <v>2</v>
      </c>
      <c r="DQ104" s="14">
        <f>IFERROR(AVERAGE(Tabel1[[#This Row],[In - A2a]:[In - A2b]]),"")</f>
        <v>3</v>
      </c>
      <c r="DR104" s="14">
        <v>4</v>
      </c>
      <c r="DS104" s="14">
        <v>2</v>
      </c>
      <c r="DT104" s="14">
        <f>IFERROR(AVERAGE(Tabel1[[#This Row],[In - A3a]:[In - A3a]]),"")</f>
        <v>4</v>
      </c>
      <c r="DU104" s="14">
        <v>3</v>
      </c>
      <c r="DV104" s="14">
        <f>IFERROR(AVERAGE(Tabel1[[#This Row],[In - A1]],Tabel1[[#This Row],[In - A2]],Tabel1[[#This Row],[In - A3]],Tabel1[[#This Row],[In - A4]]),"")</f>
        <v>3.25</v>
      </c>
      <c r="DW104" s="14">
        <v>1</v>
      </c>
      <c r="DX104" s="14">
        <v>2</v>
      </c>
      <c r="DY104" s="14">
        <v>1</v>
      </c>
      <c r="DZ104" s="14">
        <f>IFERROR(AVERAGE(Tabel1[[#This Row],[Do - R1a]:[Do - R1c]]),"")</f>
        <v>1.3333333333333333</v>
      </c>
      <c r="EA104" s="14">
        <v>4</v>
      </c>
      <c r="EB104" s="14">
        <v>4</v>
      </c>
      <c r="EC104" s="14">
        <v>2</v>
      </c>
      <c r="ED104" s="14">
        <v>5</v>
      </c>
      <c r="EE104" s="14">
        <f>IFERROR(AVERAGE(Tabel1[[#This Row],[Do - R1]:[Do - R5]]),"")</f>
        <v>3.2666666666666666</v>
      </c>
      <c r="EF104" s="14">
        <v>5</v>
      </c>
      <c r="EG104" s="14">
        <v>5</v>
      </c>
      <c r="EH104" s="14">
        <v>5</v>
      </c>
      <c r="EI104" s="14">
        <f>IFERROR(AVERAGE(Tabel1[[#This Row],[Do - C1a]:[Do - C1c]]),"")</f>
        <v>5</v>
      </c>
      <c r="EJ104" s="14">
        <v>2</v>
      </c>
      <c r="EK104" s="14">
        <v>2</v>
      </c>
      <c r="EL104" s="14">
        <v>2</v>
      </c>
      <c r="EM104" s="14">
        <f>IFERROR(AVERAGE(Tabel1[[#This Row],[Do - C1]:[Do - C4]]),"")</f>
        <v>2.75</v>
      </c>
      <c r="EN104" s="14">
        <v>2</v>
      </c>
      <c r="EO104" s="14">
        <v>1</v>
      </c>
      <c r="EP104" s="14">
        <v>1</v>
      </c>
      <c r="EQ104" s="14">
        <f>IFERROR(AVERAGE(Tabel1[[#This Row],[Do - F1a]:[Do - F1c]]),"")</f>
        <v>1.3333333333333333</v>
      </c>
      <c r="ER104" s="14">
        <v>2</v>
      </c>
      <c r="ES104" s="14">
        <f>IFERROR(AVERAGE(Tabel1[[#This Row],[Do - F2a]:[Do - F2a]]),"")</f>
        <v>2</v>
      </c>
      <c r="ET104" s="14">
        <v>2</v>
      </c>
      <c r="EU104" s="14">
        <v>2</v>
      </c>
      <c r="EV104" s="14">
        <f>IFERROR(AVERAGE(Tabel1[[#This Row],[Do - F3a]:[Do - F3b]]),"")</f>
        <v>2</v>
      </c>
      <c r="EW104" s="14" t="s">
        <v>189</v>
      </c>
      <c r="EX104" s="14">
        <f>IFERROR(AVERAGE(Tabel1[[#This Row],[Do - F1]],Tabel1[[#This Row],[Do - F2]],Tabel1[[#This Row],[Do - F3]],Tabel1[[#This Row],[Do - F4]]),"")</f>
        <v>1.7777777777777777</v>
      </c>
      <c r="EY104" s="14">
        <v>5</v>
      </c>
      <c r="EZ104" s="14">
        <v>4</v>
      </c>
      <c r="FA104" s="14">
        <v>2</v>
      </c>
      <c r="FB104" s="14">
        <f>IFERROR(AVERAGE(Tabel1[[#This Row],[Do - V1a]:[Do - V1c]]),"")</f>
        <v>3.6666666666666665</v>
      </c>
      <c r="FC104" s="14" t="s">
        <v>189</v>
      </c>
      <c r="FD104" s="14">
        <v>3</v>
      </c>
      <c r="FE104" s="14">
        <f>IFERROR(AVERAGE(Tabel1[[#This Row],[Do - V2a]:[Do - V2b]]),"")</f>
        <v>3</v>
      </c>
      <c r="FF104" s="14">
        <v>4</v>
      </c>
      <c r="FG104" s="14">
        <f>IFERROR(AVERAGE(Tabel1[[#This Row],[Do - V3a]:[Do - V3a]]),"")</f>
        <v>4</v>
      </c>
      <c r="FH104" s="14">
        <v>4</v>
      </c>
      <c r="FI104" s="14">
        <f>IFERROR(AVERAGE(Tabel1[[#This Row],[Do - V1]],Tabel1[[#This Row],[Do - V2]],Tabel1[[#This Row],[Do - V3]],Tabel1[[#This Row],[Do - V4]]),"")</f>
        <v>3.6666666666666665</v>
      </c>
      <c r="FJ104" s="14">
        <v>3</v>
      </c>
      <c r="FK104" s="14">
        <v>2</v>
      </c>
      <c r="FL104" s="14">
        <v>2</v>
      </c>
      <c r="FM104" s="14">
        <f>IFERROR(AVERAGE(Tabel1[[#This Row],[Do - A1a]:[Do - A1c]]),"")</f>
        <v>2.3333333333333335</v>
      </c>
      <c r="FN104" s="14" t="s">
        <v>189</v>
      </c>
      <c r="FO104" s="14">
        <v>3</v>
      </c>
      <c r="FP104" s="14">
        <f>IFERROR(AVERAGE(Tabel1[[#This Row],[Do - A2a]:[Do - A2b]]),"")</f>
        <v>3</v>
      </c>
      <c r="FQ104" s="14" t="s">
        <v>189</v>
      </c>
      <c r="FR104" s="14" t="str">
        <f>IFERROR(AVERAGE(Tabel1[[#This Row],[Do - A3a]:[Do - A3a]]),"")</f>
        <v/>
      </c>
      <c r="FS104" s="14">
        <v>3</v>
      </c>
      <c r="FT104" s="14">
        <f>IFERROR(AVERAGE(Tabel1[[#This Row],[Do - A1]],Tabel1[[#This Row],[Do - A2]],Tabel1[[#This Row],[Do - A3]],Tabel1[[#This Row],[Do - A4]]),"")</f>
        <v>2.7777777777777781</v>
      </c>
      <c r="FU10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2.7064814814814815</v>
      </c>
      <c r="FV104" s="16" t="s">
        <v>702</v>
      </c>
      <c r="FW104" t="b">
        <v>1</v>
      </c>
    </row>
    <row r="105" spans="1:179" x14ac:dyDescent="0.3">
      <c r="A105" s="13">
        <v>44977.718819444446</v>
      </c>
      <c r="B105" t="b">
        <v>0</v>
      </c>
      <c r="C105" s="14" t="s">
        <v>703</v>
      </c>
      <c r="D105" s="14" t="s">
        <v>592</v>
      </c>
      <c r="E105" s="14" t="s">
        <v>216</v>
      </c>
      <c r="F105" s="14" t="s">
        <v>184</v>
      </c>
      <c r="G105" s="14" t="s">
        <v>704</v>
      </c>
      <c r="H105" s="14" t="s">
        <v>222</v>
      </c>
      <c r="I105" s="14" t="s">
        <v>195</v>
      </c>
      <c r="J105" s="14" t="s">
        <v>268</v>
      </c>
      <c r="K105" s="14" t="s">
        <v>187</v>
      </c>
      <c r="L105" s="14" t="s">
        <v>249</v>
      </c>
      <c r="M105" s="14" t="s">
        <v>198</v>
      </c>
      <c r="N105" s="14" t="s">
        <v>199</v>
      </c>
      <c r="O105" s="14" t="s">
        <v>200</v>
      </c>
      <c r="P105" s="17" t="s">
        <v>304</v>
      </c>
      <c r="Q105" s="14" t="s">
        <v>187</v>
      </c>
      <c r="R105" s="14" t="s">
        <v>187</v>
      </c>
      <c r="S105" s="14" t="s">
        <v>187</v>
      </c>
      <c r="T105" s="14" t="s">
        <v>380</v>
      </c>
      <c r="U105" s="14" t="s">
        <v>285</v>
      </c>
      <c r="V105" s="14" t="s">
        <v>484</v>
      </c>
      <c r="W105" s="14" t="s">
        <v>207</v>
      </c>
      <c r="X105" s="14" t="s">
        <v>207</v>
      </c>
      <c r="Y105" s="14">
        <v>3</v>
      </c>
      <c r="Z105" s="14">
        <v>4</v>
      </c>
      <c r="AA105" s="14">
        <v>4</v>
      </c>
      <c r="AB105" s="15">
        <f>IFERROR(AVERAGE(Tabel1[[#This Row],[Up - R1a]:[Up - R1c]]),"")</f>
        <v>3.6666666666666665</v>
      </c>
      <c r="AC105" s="14">
        <v>3</v>
      </c>
      <c r="AD105" s="14">
        <v>5</v>
      </c>
      <c r="AE105" s="14">
        <v>3</v>
      </c>
      <c r="AF105" s="14">
        <v>3</v>
      </c>
      <c r="AG105" s="14">
        <f>IFERROR(AVERAGE(Tabel1[[#This Row],[Up - R1]:[Up - R5]]),"")</f>
        <v>3.5333333333333328</v>
      </c>
      <c r="AH105" s="14">
        <v>4</v>
      </c>
      <c r="AI105" s="14">
        <v>4</v>
      </c>
      <c r="AJ105" s="14">
        <v>5</v>
      </c>
      <c r="AK105" s="14">
        <f>IFERROR(AVERAGE(Tabel1[[#This Row],[Up - C1a]:[Up - C1c]]),"")</f>
        <v>4.333333333333333</v>
      </c>
      <c r="AL105" s="14">
        <v>5</v>
      </c>
      <c r="AM105" s="14">
        <v>3</v>
      </c>
      <c r="AN105" s="14">
        <v>3</v>
      </c>
      <c r="AO105" s="14">
        <f>IFERROR(AVERAGE(Tabel1[[#This Row],[Up - C1]:[Up - C4]]),"")</f>
        <v>3.833333333333333</v>
      </c>
      <c r="AP105" s="14">
        <v>3</v>
      </c>
      <c r="AQ105" s="14">
        <f>IFERROR(AVERAGE(Tabel1[[#This Row],[Up - F1a]:[Up - F1a]]),"")</f>
        <v>3</v>
      </c>
      <c r="AR105" s="14">
        <v>2</v>
      </c>
      <c r="AS105" s="14">
        <v>3</v>
      </c>
      <c r="AT105" s="14">
        <f>IFERROR(AVERAGE(Tabel1[[#This Row],[Up - F2a]:[Up - F2b]]),"")</f>
        <v>2.5</v>
      </c>
      <c r="AU105" s="14">
        <v>4</v>
      </c>
      <c r="AV105" s="14">
        <v>3</v>
      </c>
      <c r="AW105" s="14">
        <f>IFERROR(AVERAGE(Tabel1[[#This Row],[Up - F3a]:[Up - F3b]]),"")</f>
        <v>3.5</v>
      </c>
      <c r="AX105" s="14">
        <v>2</v>
      </c>
      <c r="AY105" s="14">
        <f>IFERROR(AVERAGE(Tabel1[[#This Row],[Up - F1]],Tabel1[[#This Row],[Up - F2]],Tabel1[[#This Row],[Up - F3]],Tabel1[[#This Row],[Up - F4]]),"")</f>
        <v>2.75</v>
      </c>
      <c r="AZ105" s="14">
        <v>4</v>
      </c>
      <c r="BA105" s="14">
        <v>4</v>
      </c>
      <c r="BB105" s="14">
        <f>IFERROR(AVERAGE(Tabel1[[#This Row],[Up - V1a]:[Up - V1b]]),"")</f>
        <v>4</v>
      </c>
      <c r="BC105" s="14">
        <v>4</v>
      </c>
      <c r="BD105" s="14">
        <v>4</v>
      </c>
      <c r="BE105" s="14">
        <v>4</v>
      </c>
      <c r="BF105" s="14">
        <f>IFERROR(AVERAGE(Tabel1[[#This Row],[Up - V2a]:[Up - V2c]]),"")</f>
        <v>4</v>
      </c>
      <c r="BG105" s="14">
        <v>4</v>
      </c>
      <c r="BH105" s="14">
        <v>3</v>
      </c>
      <c r="BI105" s="14">
        <f>IFERROR(AVERAGE(Tabel1[[#This Row],[Up - V3a]:[Up - V3b]]),"")</f>
        <v>3.5</v>
      </c>
      <c r="BJ105" s="14">
        <v>4</v>
      </c>
      <c r="BK105" s="14">
        <f>IFERROR(AVERAGE(Tabel1[[#This Row],[Up - V1]],Tabel1[[#This Row],[Up - V2]],Tabel1[[#This Row],[Up - V3]],Tabel1[[#This Row],[Up - V4]]),"")</f>
        <v>3.875</v>
      </c>
      <c r="BL105" s="14">
        <v>4</v>
      </c>
      <c r="BM105" s="14">
        <v>4</v>
      </c>
      <c r="BN105" s="14">
        <v>3</v>
      </c>
      <c r="BO105" s="14">
        <v>2</v>
      </c>
      <c r="BP105" s="14">
        <f>IFERROR(AVERAGE(Tabel1[[#This Row],[Up - A1a]:[Up - A1d]]),"")</f>
        <v>3.25</v>
      </c>
      <c r="BQ105" s="14">
        <v>3</v>
      </c>
      <c r="BR105" s="14">
        <v>4</v>
      </c>
      <c r="BS105" s="14">
        <f>IFERROR(AVERAGE(Tabel1[[#This Row],[Up - A2a]:[Up - A2b]]),"")</f>
        <v>3.5</v>
      </c>
      <c r="BT105" s="14">
        <v>4</v>
      </c>
      <c r="BU105" s="14">
        <f>IFERROR(AVERAGE(Tabel1[[#This Row],[Up - A3a]:[Up - A3a]]),"")</f>
        <v>4</v>
      </c>
      <c r="BV105" s="14">
        <v>4</v>
      </c>
      <c r="BW105" s="14">
        <f>IFERROR(AVERAGE(Tabel1[[#This Row],[Up - A1]],Tabel1[[#This Row],[Up - A2]],Tabel1[[#This Row],[Up - A3]]),"")</f>
        <v>3.5833333333333335</v>
      </c>
      <c r="BX105" s="14">
        <v>4</v>
      </c>
      <c r="BY105" s="14">
        <v>5</v>
      </c>
      <c r="BZ105" s="14">
        <f>IFERROR(AVERAGE(Tabel1[[#This Row],[In - R1a]:[In - R1b]]),"")</f>
        <v>4.5</v>
      </c>
      <c r="CA105" s="14">
        <v>3</v>
      </c>
      <c r="CB105" s="14">
        <v>4</v>
      </c>
      <c r="CC105" s="14">
        <v>3</v>
      </c>
      <c r="CD105" s="14">
        <v>5</v>
      </c>
      <c r="CE105" s="14">
        <f>IFERROR(AVERAGE(Tabel1[[#This Row],[In - R1]:[In - R5]]),"")</f>
        <v>3.9</v>
      </c>
      <c r="CF105" s="14">
        <v>5</v>
      </c>
      <c r="CG105" s="14">
        <v>3</v>
      </c>
      <c r="CH105" s="14">
        <v>4</v>
      </c>
      <c r="CI105" s="14">
        <f>IFERROR(AVERAGE(Tabel1[[#This Row],[In - C1a]:[In - C1c]]),"")</f>
        <v>4</v>
      </c>
      <c r="CJ105" s="14">
        <v>4</v>
      </c>
      <c r="CK105" s="14">
        <v>4</v>
      </c>
      <c r="CL105" s="14">
        <v>4</v>
      </c>
      <c r="CM105" s="14">
        <f>IFERROR(AVERAGE(Tabel1[[#This Row],[In - C1]:[In - C4]]),"")</f>
        <v>4</v>
      </c>
      <c r="CN105" s="14">
        <v>4</v>
      </c>
      <c r="CO105" s="14">
        <v>4</v>
      </c>
      <c r="CP105" s="14">
        <v>1</v>
      </c>
      <c r="CQ105" s="14">
        <f>IFERROR(AVERAGE(Tabel1[[#This Row],[In - F1a]:[In - F1c]]),"")</f>
        <v>3</v>
      </c>
      <c r="CR105" s="14">
        <v>5</v>
      </c>
      <c r="CS105" s="14">
        <v>4</v>
      </c>
      <c r="CT105" s="14">
        <f>IFERROR(AVERAGE(Tabel1[[#This Row],[In - F2a]:[In - F2b]]),"")</f>
        <v>4.5</v>
      </c>
      <c r="CU105" s="14">
        <v>1</v>
      </c>
      <c r="CV105" s="14">
        <f>IFERROR(AVERAGE(Tabel1[[#This Row],[In - F3a]:[In - F3a]]),"")</f>
        <v>1</v>
      </c>
      <c r="CW105" s="14">
        <v>3</v>
      </c>
      <c r="CX105" s="14">
        <f>IFERROR(AVERAGE(Tabel1[[#This Row],[In - F1]],Tabel1[[#This Row],[In - F2]],Tabel1[[#This Row],[In - F3]],Tabel1[[#This Row],[In - F4]]),"")</f>
        <v>2.875</v>
      </c>
      <c r="CY105" s="14">
        <v>4</v>
      </c>
      <c r="CZ105" s="14">
        <v>4</v>
      </c>
      <c r="DA105" s="14">
        <v>4</v>
      </c>
      <c r="DB105" s="14">
        <f>IFERROR(AVERAGE(Tabel1[[#This Row],[In - V1a]:[In - V1c]]),"")</f>
        <v>4</v>
      </c>
      <c r="DC105" s="14">
        <v>3</v>
      </c>
      <c r="DD105" s="14">
        <v>3</v>
      </c>
      <c r="DE105" s="14">
        <v>3</v>
      </c>
      <c r="DF105" s="14">
        <f>IFERROR(AVERAGE(Tabel1[[#This Row],[In - V2a]:[In - V2c]]),"")</f>
        <v>3</v>
      </c>
      <c r="DG105" s="14">
        <v>3</v>
      </c>
      <c r="DH105" s="14">
        <v>3</v>
      </c>
      <c r="DI105" s="14">
        <f>IFERROR(AVERAGE(Tabel1[[#This Row],[In - V3a]:[In - V3b]]),"")</f>
        <v>3</v>
      </c>
      <c r="DJ105" s="14">
        <v>3</v>
      </c>
      <c r="DK105" s="14">
        <f>IFERROR(AVERAGE(Tabel1[[#This Row],[In - V1]],Tabel1[[#This Row],[In - V2]],Tabel1[[#This Row],[In - V3]],Tabel1[[#This Row],[In - V4]]),"")</f>
        <v>3.25</v>
      </c>
      <c r="DL105" s="14">
        <v>5</v>
      </c>
      <c r="DM105" s="14">
        <v>4</v>
      </c>
      <c r="DN105" s="14">
        <f>IFERROR(AVERAGE(Tabel1[[#This Row],[In - A1a]:[In - A1b]]),"")</f>
        <v>4.5</v>
      </c>
      <c r="DO105" s="14">
        <v>3</v>
      </c>
      <c r="DP105" s="14">
        <v>3</v>
      </c>
      <c r="DQ105" s="14">
        <f>IFERROR(AVERAGE(Tabel1[[#This Row],[In - A2a]:[In - A2b]]),"")</f>
        <v>3</v>
      </c>
      <c r="DR105" s="14">
        <v>3</v>
      </c>
      <c r="DS105" s="14">
        <v>3</v>
      </c>
      <c r="DT105" s="14">
        <f>IFERROR(AVERAGE(Tabel1[[#This Row],[In - A3a]:[In - A3a]]),"")</f>
        <v>3</v>
      </c>
      <c r="DU105" s="14">
        <v>3</v>
      </c>
      <c r="DV105" s="14">
        <f>IFERROR(AVERAGE(Tabel1[[#This Row],[In - A1]],Tabel1[[#This Row],[In - A2]],Tabel1[[#This Row],[In - A3]],Tabel1[[#This Row],[In - A4]]),"")</f>
        <v>3.375</v>
      </c>
      <c r="DW105" s="14">
        <v>3</v>
      </c>
      <c r="DX105" s="14">
        <v>5</v>
      </c>
      <c r="DY105" s="14">
        <v>3</v>
      </c>
      <c r="DZ105" s="14">
        <f>IFERROR(AVERAGE(Tabel1[[#This Row],[Do - R1a]:[Do - R1c]]),"")</f>
        <v>3.6666666666666665</v>
      </c>
      <c r="EA105" s="14">
        <v>2</v>
      </c>
      <c r="EB105" s="14">
        <v>4</v>
      </c>
      <c r="EC105" s="14">
        <v>2</v>
      </c>
      <c r="ED105" s="14">
        <v>2</v>
      </c>
      <c r="EE105" s="14">
        <f>IFERROR(AVERAGE(Tabel1[[#This Row],[Do - R1]:[Do - R5]]),"")</f>
        <v>2.7333333333333334</v>
      </c>
      <c r="EF105" s="14">
        <v>4</v>
      </c>
      <c r="EG105" s="14">
        <v>4</v>
      </c>
      <c r="EH105" s="14">
        <v>4</v>
      </c>
      <c r="EI105" s="14">
        <f>IFERROR(AVERAGE(Tabel1[[#This Row],[Do - C1a]:[Do - C1c]]),"")</f>
        <v>4</v>
      </c>
      <c r="EJ105" s="14">
        <v>4</v>
      </c>
      <c r="EK105" s="14">
        <v>3</v>
      </c>
      <c r="EL105" s="14">
        <v>3</v>
      </c>
      <c r="EM105" s="14">
        <f>IFERROR(AVERAGE(Tabel1[[#This Row],[Do - C1]:[Do - C4]]),"")</f>
        <v>3.5</v>
      </c>
      <c r="EN105" s="14">
        <v>3</v>
      </c>
      <c r="EO105" s="14">
        <v>2</v>
      </c>
      <c r="EP105" s="14">
        <v>2</v>
      </c>
      <c r="EQ105" s="14">
        <f>IFERROR(AVERAGE(Tabel1[[#This Row],[Do - F1a]:[Do - F1c]]),"")</f>
        <v>2.3333333333333335</v>
      </c>
      <c r="ER105" s="14">
        <v>3</v>
      </c>
      <c r="ES105" s="14">
        <f>IFERROR(AVERAGE(Tabel1[[#This Row],[Do - F2a]:[Do - F2a]]),"")</f>
        <v>3</v>
      </c>
      <c r="ET105" s="14">
        <v>4</v>
      </c>
      <c r="EU105" s="14">
        <v>3</v>
      </c>
      <c r="EV105" s="14">
        <f>IFERROR(AVERAGE(Tabel1[[#This Row],[Do - F3a]:[Do - F3b]]),"")</f>
        <v>3.5</v>
      </c>
      <c r="EW105" s="14">
        <v>4</v>
      </c>
      <c r="EX105" s="14">
        <f>IFERROR(AVERAGE(Tabel1[[#This Row],[Do - F1]],Tabel1[[#This Row],[Do - F2]],Tabel1[[#This Row],[Do - F3]],Tabel1[[#This Row],[Do - F4]]),"")</f>
        <v>3.2083333333333335</v>
      </c>
      <c r="EY105" s="14">
        <v>4</v>
      </c>
      <c r="EZ105" s="14">
        <v>3</v>
      </c>
      <c r="FA105" s="14">
        <v>4</v>
      </c>
      <c r="FB105" s="14">
        <f>IFERROR(AVERAGE(Tabel1[[#This Row],[Do - V1a]:[Do - V1c]]),"")</f>
        <v>3.6666666666666665</v>
      </c>
      <c r="FC105" s="14">
        <v>4</v>
      </c>
      <c r="FD105" s="14">
        <v>4</v>
      </c>
      <c r="FE105" s="14">
        <f>IFERROR(AVERAGE(Tabel1[[#This Row],[Do - V2a]:[Do - V2b]]),"")</f>
        <v>4</v>
      </c>
      <c r="FF105" s="14">
        <v>4</v>
      </c>
      <c r="FG105" s="14">
        <f>IFERROR(AVERAGE(Tabel1[[#This Row],[Do - V3a]:[Do - V3a]]),"")</f>
        <v>4</v>
      </c>
      <c r="FH105" s="14">
        <v>4</v>
      </c>
      <c r="FI105" s="14">
        <f>IFERROR(AVERAGE(Tabel1[[#This Row],[Do - V1]],Tabel1[[#This Row],[Do - V2]],Tabel1[[#This Row],[Do - V3]],Tabel1[[#This Row],[Do - V4]]),"")</f>
        <v>3.9166666666666665</v>
      </c>
      <c r="FJ105" s="14">
        <v>4</v>
      </c>
      <c r="FK105" s="14">
        <v>2</v>
      </c>
      <c r="FL105" s="14">
        <v>3</v>
      </c>
      <c r="FM105" s="14">
        <f>IFERROR(AVERAGE(Tabel1[[#This Row],[Do - A1a]:[Do - A1c]]),"")</f>
        <v>3</v>
      </c>
      <c r="FN105" s="14">
        <v>4</v>
      </c>
      <c r="FO105" s="14">
        <v>4</v>
      </c>
      <c r="FP105" s="14">
        <f>IFERROR(AVERAGE(Tabel1[[#This Row],[Do - A2a]:[Do - A2b]]),"")</f>
        <v>4</v>
      </c>
      <c r="FQ105" s="14">
        <v>3</v>
      </c>
      <c r="FR105" s="14">
        <f>IFERROR(AVERAGE(Tabel1[[#This Row],[Do - A3a]:[Do - A3a]]),"")</f>
        <v>3</v>
      </c>
      <c r="FS105" s="14">
        <v>3</v>
      </c>
      <c r="FT105" s="14">
        <f>IFERROR(AVERAGE(Tabel1[[#This Row],[Do - A1]],Tabel1[[#This Row],[Do - A2]],Tabel1[[#This Row],[Do - A3]],Tabel1[[#This Row],[Do - A4]]),"")</f>
        <v>3.25</v>
      </c>
      <c r="FU10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3.4388888888888887</v>
      </c>
      <c r="FV105" s="16" t="s">
        <v>705</v>
      </c>
      <c r="FW105" t="b">
        <v>1</v>
      </c>
    </row>
    <row r="106" spans="1:179" x14ac:dyDescent="0.3">
      <c r="A106" s="13">
        <v>44978.38621527778</v>
      </c>
      <c r="B106" t="b">
        <v>0</v>
      </c>
      <c r="C106" s="14" t="s">
        <v>706</v>
      </c>
      <c r="D106" s="14" t="s">
        <v>707</v>
      </c>
      <c r="E106" s="14" t="s">
        <v>699</v>
      </c>
      <c r="F106" s="14" t="s">
        <v>184</v>
      </c>
      <c r="G106" s="14" t="s">
        <v>708</v>
      </c>
      <c r="H106" s="14" t="s">
        <v>222</v>
      </c>
      <c r="I106" s="14" t="s">
        <v>195</v>
      </c>
      <c r="J106" s="14" t="s">
        <v>347</v>
      </c>
      <c r="K106" s="14" t="s">
        <v>203</v>
      </c>
      <c r="L106" s="14" t="s">
        <v>218</v>
      </c>
      <c r="M106" s="14" t="s">
        <v>188</v>
      </c>
      <c r="N106" s="14" t="s">
        <v>262</v>
      </c>
      <c r="O106" s="14" t="s">
        <v>200</v>
      </c>
      <c r="P106" s="17" t="s">
        <v>255</v>
      </c>
      <c r="Q106" s="14" t="s">
        <v>203</v>
      </c>
      <c r="R106" s="17" t="s">
        <v>255</v>
      </c>
      <c r="S106" s="14" t="s">
        <v>201</v>
      </c>
      <c r="T106" s="14" t="s">
        <v>380</v>
      </c>
      <c r="U106" s="14" t="s">
        <v>285</v>
      </c>
      <c r="V106" s="14" t="s">
        <v>224</v>
      </c>
      <c r="W106" s="14" t="s">
        <v>395</v>
      </c>
      <c r="X106" s="14" t="s">
        <v>207</v>
      </c>
      <c r="Y106" s="14">
        <v>2</v>
      </c>
      <c r="Z106" s="14">
        <v>3</v>
      </c>
      <c r="AA106" s="14">
        <v>2</v>
      </c>
      <c r="AB106" s="15">
        <f>IFERROR(AVERAGE(Tabel1[[#This Row],[Up - R1a]:[Up - R1c]]),"")</f>
        <v>2.3333333333333335</v>
      </c>
      <c r="AC106" s="14">
        <v>1</v>
      </c>
      <c r="AD106" s="14">
        <v>2</v>
      </c>
      <c r="AE106" s="14">
        <v>1</v>
      </c>
      <c r="AF106" s="14">
        <v>4</v>
      </c>
      <c r="AG106" s="14">
        <f>IFERROR(AVERAGE(Tabel1[[#This Row],[Up - R1]:[Up - R5]]),"")</f>
        <v>2.0666666666666669</v>
      </c>
      <c r="AH106" s="14">
        <v>4</v>
      </c>
      <c r="AI106" s="14">
        <v>4</v>
      </c>
      <c r="AJ106" s="14">
        <v>3</v>
      </c>
      <c r="AK106" s="14">
        <f>IFERROR(AVERAGE(Tabel1[[#This Row],[Up - C1a]:[Up - C1c]]),"")</f>
        <v>3.6666666666666665</v>
      </c>
      <c r="AL106" s="14">
        <v>4</v>
      </c>
      <c r="AM106" s="14">
        <v>3</v>
      </c>
      <c r="AN106" s="14">
        <v>3</v>
      </c>
      <c r="AO106" s="14">
        <f>IFERROR(AVERAGE(Tabel1[[#This Row],[Up - C1]:[Up - C4]]),"")</f>
        <v>3.4166666666666665</v>
      </c>
      <c r="AP106" s="14">
        <v>2</v>
      </c>
      <c r="AQ106" s="14">
        <f>IFERROR(AVERAGE(Tabel1[[#This Row],[Up - F1a]:[Up - F1a]]),"")</f>
        <v>2</v>
      </c>
      <c r="AR106" s="14">
        <v>1</v>
      </c>
      <c r="AS106" s="14">
        <v>4</v>
      </c>
      <c r="AT106" s="14">
        <f>IFERROR(AVERAGE(Tabel1[[#This Row],[Up - F2a]:[Up - F2b]]),"")</f>
        <v>2.5</v>
      </c>
      <c r="AU106" s="14">
        <v>3</v>
      </c>
      <c r="AV106" s="14">
        <v>1</v>
      </c>
      <c r="AW106" s="14">
        <f>IFERROR(AVERAGE(Tabel1[[#This Row],[Up - F3a]:[Up - F3b]]),"")</f>
        <v>2</v>
      </c>
      <c r="AX106" s="14">
        <v>2</v>
      </c>
      <c r="AY106" s="14">
        <f>IFERROR(AVERAGE(Tabel1[[#This Row],[Up - F1]],Tabel1[[#This Row],[Up - F2]],Tabel1[[#This Row],[Up - F3]],Tabel1[[#This Row],[Up - F4]]),"")</f>
        <v>2.125</v>
      </c>
      <c r="AZ106" s="14">
        <v>2</v>
      </c>
      <c r="BA106" s="14">
        <v>3</v>
      </c>
      <c r="BB106" s="14">
        <f>IFERROR(AVERAGE(Tabel1[[#This Row],[Up - V1a]:[Up - V1b]]),"")</f>
        <v>2.5</v>
      </c>
      <c r="BC106" s="14">
        <v>2</v>
      </c>
      <c r="BD106" s="14">
        <v>1</v>
      </c>
      <c r="BE106" s="14">
        <v>2</v>
      </c>
      <c r="BF106" s="14">
        <f>IFERROR(AVERAGE(Tabel1[[#This Row],[Up - V2a]:[Up - V2c]]),"")</f>
        <v>1.6666666666666667</v>
      </c>
      <c r="BG106" s="14">
        <v>1</v>
      </c>
      <c r="BH106" s="14">
        <v>3</v>
      </c>
      <c r="BI106" s="14">
        <f>IFERROR(AVERAGE(Tabel1[[#This Row],[Up - V3a]:[Up - V3b]]),"")</f>
        <v>2</v>
      </c>
      <c r="BJ106" s="14">
        <v>2</v>
      </c>
      <c r="BK106" s="14">
        <f>IFERROR(AVERAGE(Tabel1[[#This Row],[Up - V1]],Tabel1[[#This Row],[Up - V2]],Tabel1[[#This Row],[Up - V3]],Tabel1[[#This Row],[Up - V4]]),"")</f>
        <v>2.041666666666667</v>
      </c>
      <c r="BL106" s="14">
        <v>3</v>
      </c>
      <c r="BM106" s="14">
        <v>4</v>
      </c>
      <c r="BN106" s="14">
        <v>5</v>
      </c>
      <c r="BO106" s="14">
        <v>2</v>
      </c>
      <c r="BP106" s="14">
        <f>IFERROR(AVERAGE(Tabel1[[#This Row],[Up - A1a]:[Up - A1d]]),"")</f>
        <v>3.5</v>
      </c>
      <c r="BQ106" s="14">
        <v>2</v>
      </c>
      <c r="BR106" s="14">
        <v>5</v>
      </c>
      <c r="BS106" s="14">
        <f>IFERROR(AVERAGE(Tabel1[[#This Row],[Up - A2a]:[Up - A2b]]),"")</f>
        <v>3.5</v>
      </c>
      <c r="BT106" s="14">
        <v>4</v>
      </c>
      <c r="BU106" s="14">
        <f>IFERROR(AVERAGE(Tabel1[[#This Row],[Up - A3a]:[Up - A3a]]),"")</f>
        <v>4</v>
      </c>
      <c r="BV106" s="14">
        <v>2</v>
      </c>
      <c r="BW106" s="14">
        <f>IFERROR(AVERAGE(Tabel1[[#This Row],[Up - A1]],Tabel1[[#This Row],[Up - A2]],Tabel1[[#This Row],[Up - A3]]),"")</f>
        <v>3.6666666666666665</v>
      </c>
      <c r="BX106" s="14" t="s">
        <v>189</v>
      </c>
      <c r="BY106" s="14">
        <v>1</v>
      </c>
      <c r="BZ106" s="14">
        <f>IFERROR(AVERAGE(Tabel1[[#This Row],[In - R1a]:[In - R1b]]),"")</f>
        <v>1</v>
      </c>
      <c r="CA106" s="14" t="s">
        <v>189</v>
      </c>
      <c r="CB106" s="14" t="s">
        <v>189</v>
      </c>
      <c r="CC106" s="14" t="s">
        <v>189</v>
      </c>
      <c r="CD106" s="14" t="s">
        <v>189</v>
      </c>
      <c r="CE106" s="14">
        <f>IFERROR(AVERAGE(Tabel1[[#This Row],[In - R1]:[In - R5]]),"")</f>
        <v>1</v>
      </c>
      <c r="CF106" s="14" t="s">
        <v>189</v>
      </c>
      <c r="CG106" s="14" t="s">
        <v>189</v>
      </c>
      <c r="CH106" s="14" t="s">
        <v>189</v>
      </c>
      <c r="CI106" s="14" t="str">
        <f>IFERROR(AVERAGE(Tabel1[[#This Row],[In - C1a]:[In - C1c]]),"")</f>
        <v/>
      </c>
      <c r="CJ106" s="14" t="s">
        <v>189</v>
      </c>
      <c r="CK106" s="14" t="s">
        <v>189</v>
      </c>
      <c r="CL106" s="14" t="s">
        <v>189</v>
      </c>
      <c r="CM106" s="14" t="str">
        <f>IFERROR(AVERAGE(Tabel1[[#This Row],[In - C1]:[In - C4]]),"")</f>
        <v/>
      </c>
      <c r="CN106" s="14" t="s">
        <v>189</v>
      </c>
      <c r="CO106" s="14" t="s">
        <v>189</v>
      </c>
      <c r="CP106" s="14" t="s">
        <v>189</v>
      </c>
      <c r="CQ106" s="14" t="str">
        <f>IFERROR(AVERAGE(Tabel1[[#This Row],[In - F1a]:[In - F1c]]),"")</f>
        <v/>
      </c>
      <c r="CR106" s="14" t="s">
        <v>189</v>
      </c>
      <c r="CS106" s="14" t="s">
        <v>189</v>
      </c>
      <c r="CT106" s="14" t="str">
        <f>IFERROR(AVERAGE(Tabel1[[#This Row],[In - F2a]:[In - F2b]]),"")</f>
        <v/>
      </c>
      <c r="CU106" s="14" t="s">
        <v>189</v>
      </c>
      <c r="CV106" s="14" t="str">
        <f>IFERROR(AVERAGE(Tabel1[[#This Row],[In - F3a]:[In - F3a]]),"")</f>
        <v/>
      </c>
      <c r="CW106" s="14" t="s">
        <v>189</v>
      </c>
      <c r="CX106" s="14" t="str">
        <f>IFERROR(AVERAGE(Tabel1[[#This Row],[In - F1]],Tabel1[[#This Row],[In - F2]],Tabel1[[#This Row],[In - F3]],Tabel1[[#This Row],[In - F4]]),"")</f>
        <v/>
      </c>
      <c r="CY106" s="14" t="s">
        <v>189</v>
      </c>
      <c r="CZ106" s="14" t="s">
        <v>189</v>
      </c>
      <c r="DA106" s="14" t="s">
        <v>189</v>
      </c>
      <c r="DB106" s="14" t="str">
        <f>IFERROR(AVERAGE(Tabel1[[#This Row],[In - V1a]:[In - V1c]]),"")</f>
        <v/>
      </c>
      <c r="DC106" s="14" t="s">
        <v>189</v>
      </c>
      <c r="DD106" s="14" t="s">
        <v>189</v>
      </c>
      <c r="DE106" s="14" t="s">
        <v>189</v>
      </c>
      <c r="DF106" s="14" t="str">
        <f>IFERROR(AVERAGE(Tabel1[[#This Row],[In - V2a]:[In - V2c]]),"")</f>
        <v/>
      </c>
      <c r="DG106" s="14" t="s">
        <v>189</v>
      </c>
      <c r="DH106" s="14" t="s">
        <v>189</v>
      </c>
      <c r="DI106" s="14" t="str">
        <f>IFERROR(AVERAGE(Tabel1[[#This Row],[In - V3a]:[In - V3b]]),"")</f>
        <v/>
      </c>
      <c r="DJ106" s="14" t="s">
        <v>189</v>
      </c>
      <c r="DK106" s="14" t="str">
        <f>IFERROR(AVERAGE(Tabel1[[#This Row],[In - V1]],Tabel1[[#This Row],[In - V2]],Tabel1[[#This Row],[In - V3]],Tabel1[[#This Row],[In - V4]]),"")</f>
        <v/>
      </c>
      <c r="DL106" s="14" t="s">
        <v>189</v>
      </c>
      <c r="DM106" s="14" t="s">
        <v>189</v>
      </c>
      <c r="DN106" s="14" t="str">
        <f>IFERROR(AVERAGE(Tabel1[[#This Row],[In - A1a]:[In - A1b]]),"")</f>
        <v/>
      </c>
      <c r="DO106" s="14" t="s">
        <v>189</v>
      </c>
      <c r="DP106" s="14" t="s">
        <v>189</v>
      </c>
      <c r="DQ106" s="14" t="str">
        <f>IFERROR(AVERAGE(Tabel1[[#This Row],[In - A2a]:[In - A2b]]),"")</f>
        <v/>
      </c>
      <c r="DR106" s="14" t="s">
        <v>189</v>
      </c>
      <c r="DS106" s="14" t="s">
        <v>189</v>
      </c>
      <c r="DT106" s="14" t="str">
        <f>IFERROR(AVERAGE(Tabel1[[#This Row],[In - A3a]:[In - A3a]]),"")</f>
        <v/>
      </c>
      <c r="DU106" s="14" t="s">
        <v>189</v>
      </c>
      <c r="DV106" s="14" t="str">
        <f>IFERROR(AVERAGE(Tabel1[[#This Row],[In - A1]],Tabel1[[#This Row],[In - A2]],Tabel1[[#This Row],[In - A3]],Tabel1[[#This Row],[In - A4]]),"")</f>
        <v/>
      </c>
      <c r="DW106" s="14" t="s">
        <v>189</v>
      </c>
      <c r="DX106" s="14" t="s">
        <v>189</v>
      </c>
      <c r="DY106" s="14" t="s">
        <v>189</v>
      </c>
      <c r="DZ106" s="14" t="str">
        <f>IFERROR(AVERAGE(Tabel1[[#This Row],[Do - R1a]:[Do - R1c]]),"")</f>
        <v/>
      </c>
      <c r="EA106" s="14" t="s">
        <v>189</v>
      </c>
      <c r="EB106" s="14">
        <v>4</v>
      </c>
      <c r="EC106" s="14" t="s">
        <v>189</v>
      </c>
      <c r="ED106" s="14" t="s">
        <v>189</v>
      </c>
      <c r="EE106" s="14">
        <f>IFERROR(AVERAGE(Tabel1[[#This Row],[Do - R1]:[Do - R5]]),"")</f>
        <v>4</v>
      </c>
      <c r="EF106" s="14" t="s">
        <v>189</v>
      </c>
      <c r="EG106" s="14" t="s">
        <v>189</v>
      </c>
      <c r="EH106" s="14" t="s">
        <v>189</v>
      </c>
      <c r="EI106" s="14" t="str">
        <f>IFERROR(AVERAGE(Tabel1[[#This Row],[Do - C1a]:[Do - C1c]]),"")</f>
        <v/>
      </c>
      <c r="EJ106" s="14" t="s">
        <v>189</v>
      </c>
      <c r="EK106" s="14" t="s">
        <v>189</v>
      </c>
      <c r="EL106" s="14" t="s">
        <v>189</v>
      </c>
      <c r="EM106" s="14" t="str">
        <f>IFERROR(AVERAGE(Tabel1[[#This Row],[Do - C1]:[Do - C4]]),"")</f>
        <v/>
      </c>
      <c r="EN106" s="14" t="s">
        <v>189</v>
      </c>
      <c r="EO106" s="14" t="s">
        <v>189</v>
      </c>
      <c r="EP106" s="14" t="s">
        <v>189</v>
      </c>
      <c r="EQ106" s="14" t="str">
        <f>IFERROR(AVERAGE(Tabel1[[#This Row],[Do - F1a]:[Do - F1c]]),"")</f>
        <v/>
      </c>
      <c r="ER106" s="14" t="s">
        <v>189</v>
      </c>
      <c r="ES106" s="14" t="str">
        <f>IFERROR(AVERAGE(Tabel1[[#This Row],[Do - F2a]:[Do - F2a]]),"")</f>
        <v/>
      </c>
      <c r="ET106" s="14" t="s">
        <v>189</v>
      </c>
      <c r="EU106" s="14" t="s">
        <v>189</v>
      </c>
      <c r="EV106" s="14" t="str">
        <f>IFERROR(AVERAGE(Tabel1[[#This Row],[Do - F3a]:[Do - F3b]]),"")</f>
        <v/>
      </c>
      <c r="EW106" s="14" t="s">
        <v>189</v>
      </c>
      <c r="EX106" s="14" t="str">
        <f>IFERROR(AVERAGE(Tabel1[[#This Row],[Do - F1]],Tabel1[[#This Row],[Do - F2]],Tabel1[[#This Row],[Do - F3]],Tabel1[[#This Row],[Do - F4]]),"")</f>
        <v/>
      </c>
      <c r="EY106" s="14" t="s">
        <v>189</v>
      </c>
      <c r="EZ106" s="14" t="s">
        <v>189</v>
      </c>
      <c r="FA106" s="14" t="s">
        <v>189</v>
      </c>
      <c r="FB106" s="14" t="str">
        <f>IFERROR(AVERAGE(Tabel1[[#This Row],[Do - V1a]:[Do - V1c]]),"")</f>
        <v/>
      </c>
      <c r="FC106" s="14" t="s">
        <v>189</v>
      </c>
      <c r="FD106" s="14" t="s">
        <v>189</v>
      </c>
      <c r="FE106" s="14" t="str">
        <f>IFERROR(AVERAGE(Tabel1[[#This Row],[Do - V2a]:[Do - V2b]]),"")</f>
        <v/>
      </c>
      <c r="FF106" s="14" t="s">
        <v>189</v>
      </c>
      <c r="FG106" s="14" t="str">
        <f>IFERROR(AVERAGE(Tabel1[[#This Row],[Do - V3a]:[Do - V3a]]),"")</f>
        <v/>
      </c>
      <c r="FH106" s="14" t="s">
        <v>189</v>
      </c>
      <c r="FI106" s="14" t="str">
        <f>IFERROR(AVERAGE(Tabel1[[#This Row],[Do - V1]],Tabel1[[#This Row],[Do - V2]],Tabel1[[#This Row],[Do - V3]],Tabel1[[#This Row],[Do - V4]]),"")</f>
        <v/>
      </c>
      <c r="FJ106" s="14" t="s">
        <v>189</v>
      </c>
      <c r="FK106" s="14" t="s">
        <v>189</v>
      </c>
      <c r="FL106" s="14" t="s">
        <v>189</v>
      </c>
      <c r="FM106" s="14" t="str">
        <f>IFERROR(AVERAGE(Tabel1[[#This Row],[Do - A1a]:[Do - A1c]]),"")</f>
        <v/>
      </c>
      <c r="FN106" s="14" t="s">
        <v>189</v>
      </c>
      <c r="FO106" s="14" t="s">
        <v>189</v>
      </c>
      <c r="FP106" s="14" t="str">
        <f>IFERROR(AVERAGE(Tabel1[[#This Row],[Do - A2a]:[Do - A2b]]),"")</f>
        <v/>
      </c>
      <c r="FQ106" s="14" t="s">
        <v>189</v>
      </c>
      <c r="FR106" s="14" t="str">
        <f>IFERROR(AVERAGE(Tabel1[[#This Row],[Do - A3a]:[Do - A3a]]),"")</f>
        <v/>
      </c>
      <c r="FS106" s="14" t="s">
        <v>189</v>
      </c>
      <c r="FT106" s="14" t="str">
        <f>IFERROR(AVERAGE(Tabel1[[#This Row],[Do - A1]],Tabel1[[#This Row],[Do - A2]],Tabel1[[#This Row],[Do - A3]],Tabel1[[#This Row],[Do - A4]]),"")</f>
        <v/>
      </c>
      <c r="FU10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2.6166666666666667</v>
      </c>
      <c r="FV106" s="16" t="s">
        <v>709</v>
      </c>
      <c r="FW106" t="b">
        <v>1</v>
      </c>
    </row>
    <row r="107" spans="1:179" x14ac:dyDescent="0.3">
      <c r="A107" s="13">
        <v>44978.406643518516</v>
      </c>
      <c r="B107" t="b">
        <v>0</v>
      </c>
      <c r="C107" s="14" t="s">
        <v>710</v>
      </c>
      <c r="D107" s="14" t="s">
        <v>694</v>
      </c>
      <c r="E107" s="14" t="s">
        <v>216</v>
      </c>
      <c r="F107" s="14" t="s">
        <v>184</v>
      </c>
      <c r="G107" s="14" t="s">
        <v>711</v>
      </c>
      <c r="H107" s="14" t="s">
        <v>222</v>
      </c>
      <c r="I107" s="14" t="s">
        <v>195</v>
      </c>
      <c r="J107" s="14" t="s">
        <v>217</v>
      </c>
      <c r="K107" s="14" t="s">
        <v>187</v>
      </c>
      <c r="L107" s="14" t="s">
        <v>249</v>
      </c>
      <c r="M107" s="14" t="s">
        <v>198</v>
      </c>
      <c r="N107" s="14" t="s">
        <v>199</v>
      </c>
      <c r="O107" s="14" t="s">
        <v>256</v>
      </c>
      <c r="P107" s="17" t="s">
        <v>255</v>
      </c>
      <c r="Q107" s="14"/>
      <c r="R107" s="14" t="s">
        <v>235</v>
      </c>
      <c r="S107" s="14"/>
      <c r="T107" s="14" t="s">
        <v>380</v>
      </c>
      <c r="U107" s="14" t="s">
        <v>237</v>
      </c>
      <c r="V107" s="14"/>
      <c r="W107" s="14" t="s">
        <v>207</v>
      </c>
      <c r="X107" s="14" t="s">
        <v>207</v>
      </c>
      <c r="Y107" s="14">
        <v>3</v>
      </c>
      <c r="Z107" s="14">
        <v>4</v>
      </c>
      <c r="AA107" s="14">
        <v>3</v>
      </c>
      <c r="AB107" s="15">
        <f>IFERROR(AVERAGE(Tabel1[[#This Row],[Up - R1a]:[Up - R1c]]),"")</f>
        <v>3.3333333333333335</v>
      </c>
      <c r="AC107" s="14">
        <v>3</v>
      </c>
      <c r="AD107" s="14">
        <v>3</v>
      </c>
      <c r="AE107" s="14">
        <v>2</v>
      </c>
      <c r="AF107" s="14" t="s">
        <v>189</v>
      </c>
      <c r="AG107" s="14">
        <f>IFERROR(AVERAGE(Tabel1[[#This Row],[Up - R1]:[Up - R5]]),"")</f>
        <v>2.8333333333333335</v>
      </c>
      <c r="AH107" s="14">
        <v>3</v>
      </c>
      <c r="AI107" s="14">
        <v>4</v>
      </c>
      <c r="AJ107" s="14">
        <v>4</v>
      </c>
      <c r="AK107" s="14">
        <f>IFERROR(AVERAGE(Tabel1[[#This Row],[Up - C1a]:[Up - C1c]]),"")</f>
        <v>3.6666666666666665</v>
      </c>
      <c r="AL107" s="14">
        <v>3</v>
      </c>
      <c r="AM107" s="14" t="s">
        <v>189</v>
      </c>
      <c r="AN107" s="14" t="s">
        <v>189</v>
      </c>
      <c r="AO107" s="14">
        <f>IFERROR(AVERAGE(Tabel1[[#This Row],[Up - C1]:[Up - C4]]),"")</f>
        <v>3.333333333333333</v>
      </c>
      <c r="AP107" s="14">
        <v>3</v>
      </c>
      <c r="AQ107" s="14">
        <f>IFERROR(AVERAGE(Tabel1[[#This Row],[Up - F1a]:[Up - F1a]]),"")</f>
        <v>3</v>
      </c>
      <c r="AR107" s="14">
        <v>3</v>
      </c>
      <c r="AS107" s="14">
        <v>2</v>
      </c>
      <c r="AT107" s="14">
        <f>IFERROR(AVERAGE(Tabel1[[#This Row],[Up - F2a]:[Up - F2b]]),"")</f>
        <v>2.5</v>
      </c>
      <c r="AU107" s="14">
        <v>3</v>
      </c>
      <c r="AV107" s="14" t="s">
        <v>189</v>
      </c>
      <c r="AW107" s="14">
        <f>IFERROR(AVERAGE(Tabel1[[#This Row],[Up - F3a]:[Up - F3b]]),"")</f>
        <v>3</v>
      </c>
      <c r="AX107" s="14">
        <v>3</v>
      </c>
      <c r="AY107" s="14">
        <f>IFERROR(AVERAGE(Tabel1[[#This Row],[Up - F1]],Tabel1[[#This Row],[Up - F2]],Tabel1[[#This Row],[Up - F3]],Tabel1[[#This Row],[Up - F4]]),"")</f>
        <v>2.875</v>
      </c>
      <c r="AZ107" s="14">
        <v>3</v>
      </c>
      <c r="BA107" s="14">
        <v>3</v>
      </c>
      <c r="BB107" s="14">
        <f>IFERROR(AVERAGE(Tabel1[[#This Row],[Up - V1a]:[Up - V1b]]),"")</f>
        <v>3</v>
      </c>
      <c r="BC107" s="14" t="s">
        <v>189</v>
      </c>
      <c r="BD107" s="14" t="s">
        <v>189</v>
      </c>
      <c r="BE107" s="14">
        <v>4</v>
      </c>
      <c r="BF107" s="14">
        <f>IFERROR(AVERAGE(Tabel1[[#This Row],[Up - V2a]:[Up - V2c]]),"")</f>
        <v>4</v>
      </c>
      <c r="BG107" s="14">
        <v>2</v>
      </c>
      <c r="BH107" s="14">
        <v>4</v>
      </c>
      <c r="BI107" s="14">
        <f>IFERROR(AVERAGE(Tabel1[[#This Row],[Up - V3a]:[Up - V3b]]),"")</f>
        <v>3</v>
      </c>
      <c r="BJ107" s="14" t="s">
        <v>189</v>
      </c>
      <c r="BK107" s="14">
        <f>IFERROR(AVERAGE(Tabel1[[#This Row],[Up - V1]],Tabel1[[#This Row],[Up - V2]],Tabel1[[#This Row],[Up - V3]],Tabel1[[#This Row],[Up - V4]]),"")</f>
        <v>3.3333333333333335</v>
      </c>
      <c r="BL107" s="14">
        <v>3</v>
      </c>
      <c r="BM107" s="14" t="s">
        <v>189</v>
      </c>
      <c r="BN107" s="14">
        <v>4</v>
      </c>
      <c r="BO107" s="14" t="s">
        <v>189</v>
      </c>
      <c r="BP107" s="14">
        <f>IFERROR(AVERAGE(Tabel1[[#This Row],[Up - A1a]:[Up - A1d]]),"")</f>
        <v>3.5</v>
      </c>
      <c r="BQ107" s="14" t="s">
        <v>189</v>
      </c>
      <c r="BR107" s="14">
        <v>4</v>
      </c>
      <c r="BS107" s="14">
        <f>IFERROR(AVERAGE(Tabel1[[#This Row],[Up - A2a]:[Up - A2b]]),"")</f>
        <v>4</v>
      </c>
      <c r="BT107" s="14">
        <v>4</v>
      </c>
      <c r="BU107" s="14">
        <f>IFERROR(AVERAGE(Tabel1[[#This Row],[Up - A3a]:[Up - A3a]]),"")</f>
        <v>4</v>
      </c>
      <c r="BV107" s="14" t="s">
        <v>189</v>
      </c>
      <c r="BW107" s="14">
        <f>IFERROR(AVERAGE(Tabel1[[#This Row],[Up - A1]],Tabel1[[#This Row],[Up - A2]],Tabel1[[#This Row],[Up - A3]]),"")</f>
        <v>3.8333333333333335</v>
      </c>
      <c r="BX107" s="14">
        <v>2</v>
      </c>
      <c r="BY107" s="14">
        <v>4</v>
      </c>
      <c r="BZ107" s="14">
        <f>IFERROR(AVERAGE(Tabel1[[#This Row],[In - R1a]:[In - R1b]]),"")</f>
        <v>3</v>
      </c>
      <c r="CA107" s="14">
        <v>3</v>
      </c>
      <c r="CB107" s="14">
        <v>4</v>
      </c>
      <c r="CC107" s="14">
        <v>2</v>
      </c>
      <c r="CD107" s="14" t="s">
        <v>189</v>
      </c>
      <c r="CE107" s="14">
        <f>IFERROR(AVERAGE(Tabel1[[#This Row],[In - R1]:[In - R5]]),"")</f>
        <v>3</v>
      </c>
      <c r="CF107" s="14">
        <v>4</v>
      </c>
      <c r="CG107" s="14">
        <v>3</v>
      </c>
      <c r="CH107" s="14">
        <v>3</v>
      </c>
      <c r="CI107" s="14">
        <f>IFERROR(AVERAGE(Tabel1[[#This Row],[In - C1a]:[In - C1c]]),"")</f>
        <v>3.3333333333333335</v>
      </c>
      <c r="CJ107" s="14" t="s">
        <v>189</v>
      </c>
      <c r="CK107" s="14">
        <v>3</v>
      </c>
      <c r="CL107" s="14" t="s">
        <v>189</v>
      </c>
      <c r="CM107" s="14">
        <f>IFERROR(AVERAGE(Tabel1[[#This Row],[In - C1]:[In - C4]]),"")</f>
        <v>3.166666666666667</v>
      </c>
      <c r="CN107" s="14" t="s">
        <v>189</v>
      </c>
      <c r="CO107" s="14">
        <v>3</v>
      </c>
      <c r="CP107" s="14">
        <v>3</v>
      </c>
      <c r="CQ107" s="14">
        <f>IFERROR(AVERAGE(Tabel1[[#This Row],[In - F1a]:[In - F1c]]),"")</f>
        <v>3</v>
      </c>
      <c r="CR107" s="14" t="s">
        <v>189</v>
      </c>
      <c r="CS107" s="14" t="s">
        <v>189</v>
      </c>
      <c r="CT107" s="14" t="str">
        <f>IFERROR(AVERAGE(Tabel1[[#This Row],[In - F2a]:[In - F2b]]),"")</f>
        <v/>
      </c>
      <c r="CU107" s="14" t="s">
        <v>189</v>
      </c>
      <c r="CV107" s="14" t="str">
        <f>IFERROR(AVERAGE(Tabel1[[#This Row],[In - F3a]:[In - F3a]]),"")</f>
        <v/>
      </c>
      <c r="CW107" s="14" t="s">
        <v>189</v>
      </c>
      <c r="CX107" s="14">
        <f>IFERROR(AVERAGE(Tabel1[[#This Row],[In - F1]],Tabel1[[#This Row],[In - F2]],Tabel1[[#This Row],[In - F3]],Tabel1[[#This Row],[In - F4]]),"")</f>
        <v>3</v>
      </c>
      <c r="CY107" s="14">
        <v>3</v>
      </c>
      <c r="CZ107" s="14">
        <v>3</v>
      </c>
      <c r="DA107" s="14">
        <v>3</v>
      </c>
      <c r="DB107" s="14">
        <f>IFERROR(AVERAGE(Tabel1[[#This Row],[In - V1a]:[In - V1c]]),"")</f>
        <v>3</v>
      </c>
      <c r="DC107" s="14">
        <v>3</v>
      </c>
      <c r="DD107" s="14">
        <v>4</v>
      </c>
      <c r="DE107" s="14">
        <v>3</v>
      </c>
      <c r="DF107" s="14">
        <f>IFERROR(AVERAGE(Tabel1[[#This Row],[In - V2a]:[In - V2c]]),"")</f>
        <v>3.3333333333333335</v>
      </c>
      <c r="DG107" s="14">
        <v>3</v>
      </c>
      <c r="DH107" s="14" t="s">
        <v>189</v>
      </c>
      <c r="DI107" s="14">
        <f>IFERROR(AVERAGE(Tabel1[[#This Row],[In - V3a]:[In - V3b]]),"")</f>
        <v>3</v>
      </c>
      <c r="DJ107" s="14" t="s">
        <v>189</v>
      </c>
      <c r="DK107" s="14">
        <f>IFERROR(AVERAGE(Tabel1[[#This Row],[In - V1]],Tabel1[[#This Row],[In - V2]],Tabel1[[#This Row],[In - V3]],Tabel1[[#This Row],[In - V4]]),"")</f>
        <v>3.1111111111111112</v>
      </c>
      <c r="DL107" s="14">
        <v>3</v>
      </c>
      <c r="DM107" s="14">
        <v>2</v>
      </c>
      <c r="DN107" s="14">
        <f>IFERROR(AVERAGE(Tabel1[[#This Row],[In - A1a]:[In - A1b]]),"")</f>
        <v>2.5</v>
      </c>
      <c r="DO107" s="14">
        <v>3</v>
      </c>
      <c r="DP107" s="14">
        <v>3</v>
      </c>
      <c r="DQ107" s="14">
        <f>IFERROR(AVERAGE(Tabel1[[#This Row],[In - A2a]:[In - A2b]]),"")</f>
        <v>3</v>
      </c>
      <c r="DR107" s="14">
        <v>4</v>
      </c>
      <c r="DS107" s="14" t="s">
        <v>189</v>
      </c>
      <c r="DT107" s="14">
        <f>IFERROR(AVERAGE(Tabel1[[#This Row],[In - A3a]:[In - A3a]]),"")</f>
        <v>4</v>
      </c>
      <c r="DU107" s="14" t="s">
        <v>189</v>
      </c>
      <c r="DV107" s="14">
        <f>IFERROR(AVERAGE(Tabel1[[#This Row],[In - A1]],Tabel1[[#This Row],[In - A2]],Tabel1[[#This Row],[In - A3]],Tabel1[[#This Row],[In - A4]]),"")</f>
        <v>3.1666666666666665</v>
      </c>
      <c r="DW107" s="14">
        <v>1</v>
      </c>
      <c r="DX107" s="14" t="s">
        <v>189</v>
      </c>
      <c r="DY107" s="14" t="s">
        <v>189</v>
      </c>
      <c r="DZ107" s="14">
        <f>IFERROR(AVERAGE(Tabel1[[#This Row],[Do - R1a]:[Do - R1c]]),"")</f>
        <v>1</v>
      </c>
      <c r="EA107" s="14" t="s">
        <v>189</v>
      </c>
      <c r="EB107" s="14" t="s">
        <v>189</v>
      </c>
      <c r="EC107" s="14" t="s">
        <v>189</v>
      </c>
      <c r="ED107" s="14" t="s">
        <v>189</v>
      </c>
      <c r="EE107" s="14">
        <f>IFERROR(AVERAGE(Tabel1[[#This Row],[Do - R1]:[Do - R5]]),"")</f>
        <v>1</v>
      </c>
      <c r="EF107" s="14" t="s">
        <v>189</v>
      </c>
      <c r="EG107" s="14" t="s">
        <v>189</v>
      </c>
      <c r="EH107" s="14" t="s">
        <v>189</v>
      </c>
      <c r="EI107" s="14" t="str">
        <f>IFERROR(AVERAGE(Tabel1[[#This Row],[Do - C1a]:[Do - C1c]]),"")</f>
        <v/>
      </c>
      <c r="EJ107" s="14" t="s">
        <v>189</v>
      </c>
      <c r="EK107" s="14" t="s">
        <v>189</v>
      </c>
      <c r="EL107" s="14" t="s">
        <v>189</v>
      </c>
      <c r="EM107" s="14" t="str">
        <f>IFERROR(AVERAGE(Tabel1[[#This Row],[Do - C1]:[Do - C4]]),"")</f>
        <v/>
      </c>
      <c r="EN107" s="14" t="s">
        <v>189</v>
      </c>
      <c r="EO107" s="14" t="s">
        <v>189</v>
      </c>
      <c r="EP107" s="14" t="s">
        <v>189</v>
      </c>
      <c r="EQ107" s="14" t="str">
        <f>IFERROR(AVERAGE(Tabel1[[#This Row],[Do - F1a]:[Do - F1c]]),"")</f>
        <v/>
      </c>
      <c r="ER107" s="14" t="s">
        <v>189</v>
      </c>
      <c r="ES107" s="14" t="str">
        <f>IFERROR(AVERAGE(Tabel1[[#This Row],[Do - F2a]:[Do - F2a]]),"")</f>
        <v/>
      </c>
      <c r="ET107" s="14" t="s">
        <v>189</v>
      </c>
      <c r="EU107" s="14" t="s">
        <v>189</v>
      </c>
      <c r="EV107" s="14" t="str">
        <f>IFERROR(AVERAGE(Tabel1[[#This Row],[Do - F3a]:[Do - F3b]]),"")</f>
        <v/>
      </c>
      <c r="EW107" s="14" t="s">
        <v>189</v>
      </c>
      <c r="EX107" s="14" t="str">
        <f>IFERROR(AVERAGE(Tabel1[[#This Row],[Do - F1]],Tabel1[[#This Row],[Do - F2]],Tabel1[[#This Row],[Do - F3]],Tabel1[[#This Row],[Do - F4]]),"")</f>
        <v/>
      </c>
      <c r="EY107" s="14">
        <v>4</v>
      </c>
      <c r="EZ107" s="14" t="s">
        <v>189</v>
      </c>
      <c r="FA107" s="14">
        <v>4</v>
      </c>
      <c r="FB107" s="14">
        <f>IFERROR(AVERAGE(Tabel1[[#This Row],[Do - V1a]:[Do - V1c]]),"")</f>
        <v>4</v>
      </c>
      <c r="FC107" s="14" t="s">
        <v>189</v>
      </c>
      <c r="FD107" s="14" t="s">
        <v>189</v>
      </c>
      <c r="FE107" s="14" t="str">
        <f>IFERROR(AVERAGE(Tabel1[[#This Row],[Do - V2a]:[Do - V2b]]),"")</f>
        <v/>
      </c>
      <c r="FF107" s="14" t="s">
        <v>189</v>
      </c>
      <c r="FG107" s="14" t="str">
        <f>IFERROR(AVERAGE(Tabel1[[#This Row],[Do - V3a]:[Do - V3a]]),"")</f>
        <v/>
      </c>
      <c r="FH107" s="14" t="s">
        <v>189</v>
      </c>
      <c r="FI107" s="14">
        <f>IFERROR(AVERAGE(Tabel1[[#This Row],[Do - V1]],Tabel1[[#This Row],[Do - V2]],Tabel1[[#This Row],[Do - V3]],Tabel1[[#This Row],[Do - V4]]),"")</f>
        <v>4</v>
      </c>
      <c r="FJ107" s="14" t="s">
        <v>189</v>
      </c>
      <c r="FK107" s="14" t="s">
        <v>189</v>
      </c>
      <c r="FL107" s="14" t="s">
        <v>189</v>
      </c>
      <c r="FM107" s="14" t="str">
        <f>IFERROR(AVERAGE(Tabel1[[#This Row],[Do - A1a]:[Do - A1c]]),"")</f>
        <v/>
      </c>
      <c r="FN107" s="14">
        <v>3</v>
      </c>
      <c r="FO107" s="14">
        <v>4</v>
      </c>
      <c r="FP107" s="14">
        <f>IFERROR(AVERAGE(Tabel1[[#This Row],[Do - A2a]:[Do - A2b]]),"")</f>
        <v>3.5</v>
      </c>
      <c r="FQ107" s="14" t="s">
        <v>189</v>
      </c>
      <c r="FR107" s="14" t="str">
        <f>IFERROR(AVERAGE(Tabel1[[#This Row],[Do - A3a]:[Do - A3a]]),"")</f>
        <v/>
      </c>
      <c r="FS107" s="14" t="s">
        <v>189</v>
      </c>
      <c r="FT107" s="14">
        <f>IFERROR(AVERAGE(Tabel1[[#This Row],[Do - A1]],Tabel1[[#This Row],[Do - A2]],Tabel1[[#This Row],[Do - A3]],Tabel1[[#This Row],[Do - A4]]),"")</f>
        <v>3.5</v>
      </c>
      <c r="FU10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3.0886752136752138</v>
      </c>
      <c r="FV107" s="16" t="s">
        <v>712</v>
      </c>
      <c r="FW107" t="b">
        <v>1</v>
      </c>
    </row>
    <row r="108" spans="1:179" x14ac:dyDescent="0.3">
      <c r="A108" s="13">
        <v>44978.59270833333</v>
      </c>
      <c r="B108" t="b">
        <v>0</v>
      </c>
      <c r="C108" s="14" t="s">
        <v>713</v>
      </c>
      <c r="D108" s="14" t="s">
        <v>714</v>
      </c>
      <c r="E108" s="14" t="s">
        <v>492</v>
      </c>
      <c r="F108" s="14" t="s">
        <v>184</v>
      </c>
      <c r="G108" s="14" t="s">
        <v>715</v>
      </c>
      <c r="H108" s="14" t="s">
        <v>222</v>
      </c>
      <c r="I108" s="14" t="s">
        <v>195</v>
      </c>
      <c r="J108" s="14" t="s">
        <v>196</v>
      </c>
      <c r="K108" s="14" t="s">
        <v>235</v>
      </c>
      <c r="L108" s="14" t="s">
        <v>249</v>
      </c>
      <c r="M108" s="14" t="s">
        <v>188</v>
      </c>
      <c r="N108" s="14" t="s">
        <v>199</v>
      </c>
      <c r="O108" s="14" t="s">
        <v>200</v>
      </c>
      <c r="P108" s="17" t="s">
        <v>304</v>
      </c>
      <c r="Q108" s="14" t="s">
        <v>201</v>
      </c>
      <c r="R108" s="14" t="s">
        <v>235</v>
      </c>
      <c r="S108" s="14" t="s">
        <v>202</v>
      </c>
      <c r="T108" s="14" t="s">
        <v>204</v>
      </c>
      <c r="U108" s="14" t="s">
        <v>285</v>
      </c>
      <c r="V108" s="14" t="s">
        <v>359</v>
      </c>
      <c r="W108" s="14" t="s">
        <v>395</v>
      </c>
      <c r="X108" s="14" t="s">
        <v>207</v>
      </c>
      <c r="Y108" s="14">
        <v>3</v>
      </c>
      <c r="Z108" s="14">
        <v>2</v>
      </c>
      <c r="AA108" s="14">
        <v>2</v>
      </c>
      <c r="AB108" s="15">
        <f>IFERROR(AVERAGE(Tabel1[[#This Row],[Up - R1a]:[Up - R1c]]),"")</f>
        <v>2.3333333333333335</v>
      </c>
      <c r="AC108" s="14">
        <v>4</v>
      </c>
      <c r="AD108" s="14">
        <v>2</v>
      </c>
      <c r="AE108" s="14">
        <v>1</v>
      </c>
      <c r="AF108" s="14" t="s">
        <v>189</v>
      </c>
      <c r="AG108" s="14">
        <f>IFERROR(AVERAGE(Tabel1[[#This Row],[Up - R1]:[Up - R5]]),"")</f>
        <v>2.3333333333333335</v>
      </c>
      <c r="AH108" s="14">
        <v>4</v>
      </c>
      <c r="AI108" s="14">
        <v>2</v>
      </c>
      <c r="AJ108" s="14">
        <v>3</v>
      </c>
      <c r="AK108" s="14">
        <f>IFERROR(AVERAGE(Tabel1[[#This Row],[Up - C1a]:[Up - C1c]]),"")</f>
        <v>3</v>
      </c>
      <c r="AL108" s="14">
        <v>4</v>
      </c>
      <c r="AM108" s="14">
        <v>1</v>
      </c>
      <c r="AN108" s="14">
        <v>4</v>
      </c>
      <c r="AO108" s="14">
        <f>IFERROR(AVERAGE(Tabel1[[#This Row],[Up - C1]:[Up - C4]]),"")</f>
        <v>3</v>
      </c>
      <c r="AP108" s="14">
        <v>2</v>
      </c>
      <c r="AQ108" s="14">
        <f>IFERROR(AVERAGE(Tabel1[[#This Row],[Up - F1a]:[Up - F1a]]),"")</f>
        <v>2</v>
      </c>
      <c r="AR108" s="14">
        <v>2</v>
      </c>
      <c r="AS108" s="14">
        <v>2</v>
      </c>
      <c r="AT108" s="14">
        <f>IFERROR(AVERAGE(Tabel1[[#This Row],[Up - F2a]:[Up - F2b]]),"")</f>
        <v>2</v>
      </c>
      <c r="AU108" s="14">
        <v>2</v>
      </c>
      <c r="AV108" s="14">
        <v>4</v>
      </c>
      <c r="AW108" s="14">
        <f>IFERROR(AVERAGE(Tabel1[[#This Row],[Up - F3a]:[Up - F3b]]),"")</f>
        <v>3</v>
      </c>
      <c r="AX108" s="14">
        <v>2</v>
      </c>
      <c r="AY108" s="14">
        <f>IFERROR(AVERAGE(Tabel1[[#This Row],[Up - F1]],Tabel1[[#This Row],[Up - F2]],Tabel1[[#This Row],[Up - F3]],Tabel1[[#This Row],[Up - F4]]),"")</f>
        <v>2.25</v>
      </c>
      <c r="AZ108" s="14">
        <v>4</v>
      </c>
      <c r="BA108" s="14">
        <v>3</v>
      </c>
      <c r="BB108" s="14">
        <f>IFERROR(AVERAGE(Tabel1[[#This Row],[Up - V1a]:[Up - V1b]]),"")</f>
        <v>3.5</v>
      </c>
      <c r="BC108" s="14">
        <v>2</v>
      </c>
      <c r="BD108" s="14">
        <v>3</v>
      </c>
      <c r="BE108" s="14" t="s">
        <v>189</v>
      </c>
      <c r="BF108" s="14">
        <f>IFERROR(AVERAGE(Tabel1[[#This Row],[Up - V2a]:[Up - V2c]]),"")</f>
        <v>2.5</v>
      </c>
      <c r="BG108" s="14">
        <v>2</v>
      </c>
      <c r="BH108" s="14">
        <v>2</v>
      </c>
      <c r="BI108" s="14">
        <f>IFERROR(AVERAGE(Tabel1[[#This Row],[Up - V3a]:[Up - V3b]]),"")</f>
        <v>2</v>
      </c>
      <c r="BJ108" s="14" t="s">
        <v>189</v>
      </c>
      <c r="BK108" s="14">
        <f>IFERROR(AVERAGE(Tabel1[[#This Row],[Up - V1]],Tabel1[[#This Row],[Up - V2]],Tabel1[[#This Row],[Up - V3]],Tabel1[[#This Row],[Up - V4]]),"")</f>
        <v>2.6666666666666665</v>
      </c>
      <c r="BL108" s="14">
        <v>4</v>
      </c>
      <c r="BM108" s="14">
        <v>4</v>
      </c>
      <c r="BN108" s="14">
        <v>2</v>
      </c>
      <c r="BO108" s="14">
        <v>2</v>
      </c>
      <c r="BP108" s="14">
        <f>IFERROR(AVERAGE(Tabel1[[#This Row],[Up - A1a]:[Up - A1d]]),"")</f>
        <v>3</v>
      </c>
      <c r="BQ108" s="14">
        <v>2</v>
      </c>
      <c r="BR108" s="14">
        <v>2</v>
      </c>
      <c r="BS108" s="14">
        <f>IFERROR(AVERAGE(Tabel1[[#This Row],[Up - A2a]:[Up - A2b]]),"")</f>
        <v>2</v>
      </c>
      <c r="BT108" s="14">
        <v>3</v>
      </c>
      <c r="BU108" s="14">
        <f>IFERROR(AVERAGE(Tabel1[[#This Row],[Up - A3a]:[Up - A3a]]),"")</f>
        <v>3</v>
      </c>
      <c r="BV108" s="14">
        <v>3</v>
      </c>
      <c r="BW108" s="14">
        <f>IFERROR(AVERAGE(Tabel1[[#This Row],[Up - A1]],Tabel1[[#This Row],[Up - A2]],Tabel1[[#This Row],[Up - A3]]),"")</f>
        <v>2.6666666666666665</v>
      </c>
      <c r="BX108" s="14">
        <v>1</v>
      </c>
      <c r="BY108" s="14">
        <v>1</v>
      </c>
      <c r="BZ108" s="14">
        <f>IFERROR(AVERAGE(Tabel1[[#This Row],[In - R1a]:[In - R1b]]),"")</f>
        <v>1</v>
      </c>
      <c r="CA108" s="14">
        <v>3</v>
      </c>
      <c r="CB108" s="14">
        <v>2</v>
      </c>
      <c r="CC108" s="14">
        <v>2</v>
      </c>
      <c r="CD108" s="14">
        <v>5</v>
      </c>
      <c r="CE108" s="14">
        <f>IFERROR(AVERAGE(Tabel1[[#This Row],[In - R1]:[In - R5]]),"")</f>
        <v>2.6</v>
      </c>
      <c r="CF108" s="14">
        <v>4</v>
      </c>
      <c r="CG108" s="14">
        <v>2</v>
      </c>
      <c r="CH108" s="14">
        <v>3</v>
      </c>
      <c r="CI108" s="14">
        <f>IFERROR(AVERAGE(Tabel1[[#This Row],[In - C1a]:[In - C1c]]),"")</f>
        <v>3</v>
      </c>
      <c r="CJ108" s="14">
        <v>4</v>
      </c>
      <c r="CK108" s="14">
        <v>2</v>
      </c>
      <c r="CL108" s="14">
        <v>4</v>
      </c>
      <c r="CM108" s="14">
        <f>IFERROR(AVERAGE(Tabel1[[#This Row],[In - C1]:[In - C4]]),"")</f>
        <v>3.25</v>
      </c>
      <c r="CN108" s="14">
        <v>1</v>
      </c>
      <c r="CO108" s="14">
        <v>3</v>
      </c>
      <c r="CP108" s="14">
        <v>2</v>
      </c>
      <c r="CQ108" s="14">
        <f>IFERROR(AVERAGE(Tabel1[[#This Row],[In - F1a]:[In - F1c]]),"")</f>
        <v>2</v>
      </c>
      <c r="CR108" s="14">
        <v>3</v>
      </c>
      <c r="CS108" s="14">
        <v>3</v>
      </c>
      <c r="CT108" s="14">
        <f>IFERROR(AVERAGE(Tabel1[[#This Row],[In - F2a]:[In - F2b]]),"")</f>
        <v>3</v>
      </c>
      <c r="CU108" s="14">
        <v>1</v>
      </c>
      <c r="CV108" s="14">
        <f>IFERROR(AVERAGE(Tabel1[[#This Row],[In - F3a]:[In - F3a]]),"")</f>
        <v>1</v>
      </c>
      <c r="CW108" s="14">
        <v>4</v>
      </c>
      <c r="CX108" s="14">
        <f>IFERROR(AVERAGE(Tabel1[[#This Row],[In - F1]],Tabel1[[#This Row],[In - F2]],Tabel1[[#This Row],[In - F3]],Tabel1[[#This Row],[In - F4]]),"")</f>
        <v>2.5</v>
      </c>
      <c r="CY108" s="14">
        <v>4</v>
      </c>
      <c r="CZ108" s="14">
        <v>3</v>
      </c>
      <c r="DA108" s="14">
        <v>3</v>
      </c>
      <c r="DB108" s="14">
        <f>IFERROR(AVERAGE(Tabel1[[#This Row],[In - V1a]:[In - V1c]]),"")</f>
        <v>3.3333333333333335</v>
      </c>
      <c r="DC108" s="14">
        <v>2</v>
      </c>
      <c r="DD108" s="14">
        <v>3</v>
      </c>
      <c r="DE108" s="14">
        <v>4</v>
      </c>
      <c r="DF108" s="14">
        <f>IFERROR(AVERAGE(Tabel1[[#This Row],[In - V2a]:[In - V2c]]),"")</f>
        <v>3</v>
      </c>
      <c r="DG108" s="14">
        <v>2</v>
      </c>
      <c r="DH108" s="14">
        <v>1</v>
      </c>
      <c r="DI108" s="14">
        <f>IFERROR(AVERAGE(Tabel1[[#This Row],[In - V3a]:[In - V3b]]),"")</f>
        <v>1.5</v>
      </c>
      <c r="DJ108" s="14">
        <v>3</v>
      </c>
      <c r="DK108" s="14">
        <f>IFERROR(AVERAGE(Tabel1[[#This Row],[In - V1]],Tabel1[[#This Row],[In - V2]],Tabel1[[#This Row],[In - V3]],Tabel1[[#This Row],[In - V4]]),"")</f>
        <v>2.7083333333333335</v>
      </c>
      <c r="DL108" s="14">
        <v>4</v>
      </c>
      <c r="DM108" s="14">
        <v>3</v>
      </c>
      <c r="DN108" s="14">
        <f>IFERROR(AVERAGE(Tabel1[[#This Row],[In - A1a]:[In - A1b]]),"")</f>
        <v>3.5</v>
      </c>
      <c r="DO108" s="14">
        <v>2</v>
      </c>
      <c r="DP108" s="14">
        <v>3</v>
      </c>
      <c r="DQ108" s="14">
        <f>IFERROR(AVERAGE(Tabel1[[#This Row],[In - A2a]:[In - A2b]]),"")</f>
        <v>2.5</v>
      </c>
      <c r="DR108" s="14">
        <v>4</v>
      </c>
      <c r="DS108" s="14">
        <v>3</v>
      </c>
      <c r="DT108" s="14">
        <f>IFERROR(AVERAGE(Tabel1[[#This Row],[In - A3a]:[In - A3a]]),"")</f>
        <v>4</v>
      </c>
      <c r="DU108" s="14">
        <v>2</v>
      </c>
      <c r="DV108" s="14">
        <f>IFERROR(AVERAGE(Tabel1[[#This Row],[In - A1]],Tabel1[[#This Row],[In - A2]],Tabel1[[#This Row],[In - A3]],Tabel1[[#This Row],[In - A4]]),"")</f>
        <v>3</v>
      </c>
      <c r="DW108" s="14">
        <v>2</v>
      </c>
      <c r="DX108" s="14">
        <v>4</v>
      </c>
      <c r="DY108" s="14">
        <v>2</v>
      </c>
      <c r="DZ108" s="14">
        <f>IFERROR(AVERAGE(Tabel1[[#This Row],[Do - R1a]:[Do - R1c]]),"")</f>
        <v>2.6666666666666665</v>
      </c>
      <c r="EA108" s="14">
        <v>2</v>
      </c>
      <c r="EB108" s="14">
        <v>3</v>
      </c>
      <c r="EC108" s="14">
        <v>2</v>
      </c>
      <c r="ED108" s="14">
        <v>4</v>
      </c>
      <c r="EE108" s="14">
        <f>IFERROR(AVERAGE(Tabel1[[#This Row],[Do - R1]:[Do - R5]]),"")</f>
        <v>2.7333333333333334</v>
      </c>
      <c r="EF108" s="14">
        <v>3</v>
      </c>
      <c r="EG108" s="14">
        <v>2</v>
      </c>
      <c r="EH108" s="14">
        <v>3</v>
      </c>
      <c r="EI108" s="14">
        <f>IFERROR(AVERAGE(Tabel1[[#This Row],[Do - C1a]:[Do - C1c]]),"")</f>
        <v>2.6666666666666665</v>
      </c>
      <c r="EJ108" s="14">
        <v>4</v>
      </c>
      <c r="EK108" s="14">
        <v>1</v>
      </c>
      <c r="EL108" s="14">
        <v>3</v>
      </c>
      <c r="EM108" s="14">
        <f>IFERROR(AVERAGE(Tabel1[[#This Row],[Do - C1]:[Do - C4]]),"")</f>
        <v>2.6666666666666665</v>
      </c>
      <c r="EN108" s="14">
        <v>2</v>
      </c>
      <c r="EO108" s="14">
        <v>2</v>
      </c>
      <c r="EP108" s="14">
        <v>4</v>
      </c>
      <c r="EQ108" s="14">
        <f>IFERROR(AVERAGE(Tabel1[[#This Row],[Do - F1a]:[Do - F1c]]),"")</f>
        <v>2.6666666666666665</v>
      </c>
      <c r="ER108" s="14">
        <v>2</v>
      </c>
      <c r="ES108" s="14">
        <f>IFERROR(AVERAGE(Tabel1[[#This Row],[Do - F2a]:[Do - F2a]]),"")</f>
        <v>2</v>
      </c>
      <c r="ET108" s="14">
        <v>3</v>
      </c>
      <c r="EU108" s="14">
        <v>2</v>
      </c>
      <c r="EV108" s="14">
        <f>IFERROR(AVERAGE(Tabel1[[#This Row],[Do - F3a]:[Do - F3b]]),"")</f>
        <v>2.5</v>
      </c>
      <c r="EW108" s="14">
        <v>4</v>
      </c>
      <c r="EX108" s="14">
        <f>IFERROR(AVERAGE(Tabel1[[#This Row],[Do - F1]],Tabel1[[#This Row],[Do - F2]],Tabel1[[#This Row],[Do - F3]],Tabel1[[#This Row],[Do - F4]]),"")</f>
        <v>2.7916666666666665</v>
      </c>
      <c r="EY108" s="14">
        <v>3</v>
      </c>
      <c r="EZ108" s="14">
        <v>3</v>
      </c>
      <c r="FA108" s="14">
        <v>3</v>
      </c>
      <c r="FB108" s="14">
        <f>IFERROR(AVERAGE(Tabel1[[#This Row],[Do - V1a]:[Do - V1c]]),"")</f>
        <v>3</v>
      </c>
      <c r="FC108" s="14">
        <v>4</v>
      </c>
      <c r="FD108" s="14">
        <v>3</v>
      </c>
      <c r="FE108" s="14">
        <f>IFERROR(AVERAGE(Tabel1[[#This Row],[Do - V2a]:[Do - V2b]]),"")</f>
        <v>3.5</v>
      </c>
      <c r="FF108" s="14">
        <v>2</v>
      </c>
      <c r="FG108" s="14">
        <f>IFERROR(AVERAGE(Tabel1[[#This Row],[Do - V3a]:[Do - V3a]]),"")</f>
        <v>2</v>
      </c>
      <c r="FH108" s="14">
        <v>3</v>
      </c>
      <c r="FI108" s="14">
        <f>IFERROR(AVERAGE(Tabel1[[#This Row],[Do - V1]],Tabel1[[#This Row],[Do - V2]],Tabel1[[#This Row],[Do - V3]],Tabel1[[#This Row],[Do - V4]]),"")</f>
        <v>2.875</v>
      </c>
      <c r="FJ108" s="14">
        <v>4</v>
      </c>
      <c r="FK108" s="14">
        <v>2</v>
      </c>
      <c r="FL108" s="14">
        <v>3</v>
      </c>
      <c r="FM108" s="14">
        <f>IFERROR(AVERAGE(Tabel1[[#This Row],[Do - A1a]:[Do - A1c]]),"")</f>
        <v>3</v>
      </c>
      <c r="FN108" s="14">
        <v>2</v>
      </c>
      <c r="FO108" s="14">
        <v>3</v>
      </c>
      <c r="FP108" s="14">
        <f>IFERROR(AVERAGE(Tabel1[[#This Row],[Do - A2a]:[Do - A2b]]),"")</f>
        <v>2.5</v>
      </c>
      <c r="FQ108" s="14">
        <v>4</v>
      </c>
      <c r="FR108" s="14">
        <f>IFERROR(AVERAGE(Tabel1[[#This Row],[Do - A3a]:[Do - A3a]]),"")</f>
        <v>4</v>
      </c>
      <c r="FS108" s="14">
        <v>3</v>
      </c>
      <c r="FT108" s="14">
        <f>IFERROR(AVERAGE(Tabel1[[#This Row],[Do - A1]],Tabel1[[#This Row],[Do - A2]],Tabel1[[#This Row],[Do - A3]],Tabel1[[#This Row],[Do - A4]]),"")</f>
        <v>3.125</v>
      </c>
      <c r="FU10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2.7444444444444445</v>
      </c>
      <c r="FV108" s="16" t="s">
        <v>716</v>
      </c>
      <c r="FW108" t="b">
        <v>1</v>
      </c>
    </row>
    <row r="109" spans="1:179" x14ac:dyDescent="0.3">
      <c r="A109" s="13">
        <v>44978.652824074074</v>
      </c>
      <c r="B109" t="b">
        <v>0</v>
      </c>
      <c r="C109" s="14" t="s">
        <v>717</v>
      </c>
      <c r="D109" s="14" t="s">
        <v>718</v>
      </c>
      <c r="E109" s="14" t="s">
        <v>216</v>
      </c>
      <c r="F109" s="14" t="s">
        <v>184</v>
      </c>
      <c r="G109" s="14" t="s">
        <v>719</v>
      </c>
      <c r="H109" s="14" t="s">
        <v>222</v>
      </c>
      <c r="I109" s="14"/>
      <c r="J109" s="14" t="s">
        <v>323</v>
      </c>
      <c r="K109" s="14" t="s">
        <v>202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>
        <v>3</v>
      </c>
      <c r="Z109" s="14">
        <v>4</v>
      </c>
      <c r="AA109" s="14" t="s">
        <v>189</v>
      </c>
      <c r="AB109" s="15">
        <f>IFERROR(AVERAGE(Tabel1[[#This Row],[Up - R1a]:[Up - R1c]]),"")</f>
        <v>3.5</v>
      </c>
      <c r="AC109" s="14" t="s">
        <v>189</v>
      </c>
      <c r="AD109" s="14">
        <v>3</v>
      </c>
      <c r="AE109" s="14">
        <v>1</v>
      </c>
      <c r="AF109" s="14" t="s">
        <v>189</v>
      </c>
      <c r="AG109" s="14">
        <f>IFERROR(AVERAGE(Tabel1[[#This Row],[Up - R1]:[Up - R5]]),"")</f>
        <v>2.5</v>
      </c>
      <c r="AH109" s="14">
        <v>1</v>
      </c>
      <c r="AI109" s="14">
        <v>2</v>
      </c>
      <c r="AJ109" s="14">
        <v>4</v>
      </c>
      <c r="AK109" s="14">
        <f>IFERROR(AVERAGE(Tabel1[[#This Row],[Up - C1a]:[Up - C1c]]),"")</f>
        <v>2.3333333333333335</v>
      </c>
      <c r="AL109" s="14">
        <v>4</v>
      </c>
      <c r="AM109" s="14">
        <v>3</v>
      </c>
      <c r="AN109" s="14" t="s">
        <v>189</v>
      </c>
      <c r="AO109" s="14">
        <f>IFERROR(AVERAGE(Tabel1[[#This Row],[Up - C1]:[Up - C4]]),"")</f>
        <v>3.1111111111111112</v>
      </c>
      <c r="AP109" s="14">
        <v>2</v>
      </c>
      <c r="AQ109" s="14">
        <f>IFERROR(AVERAGE(Tabel1[[#This Row],[Up - F1a]:[Up - F1a]]),"")</f>
        <v>2</v>
      </c>
      <c r="AR109" s="14">
        <v>3</v>
      </c>
      <c r="AS109" s="14">
        <v>3</v>
      </c>
      <c r="AT109" s="14">
        <f>IFERROR(AVERAGE(Tabel1[[#This Row],[Up - F2a]:[Up - F2b]]),"")</f>
        <v>3</v>
      </c>
      <c r="AU109" s="14">
        <v>3</v>
      </c>
      <c r="AV109" s="14">
        <v>3</v>
      </c>
      <c r="AW109" s="14">
        <f>IFERROR(AVERAGE(Tabel1[[#This Row],[Up - F3a]:[Up - F3b]]),"")</f>
        <v>3</v>
      </c>
      <c r="AX109" s="14">
        <v>4</v>
      </c>
      <c r="AY109" s="14">
        <f>IFERROR(AVERAGE(Tabel1[[#This Row],[Up - F1]],Tabel1[[#This Row],[Up - F2]],Tabel1[[#This Row],[Up - F3]],Tabel1[[#This Row],[Up - F4]]),"")</f>
        <v>3</v>
      </c>
      <c r="AZ109" s="14">
        <v>4</v>
      </c>
      <c r="BA109" s="14" t="s">
        <v>189</v>
      </c>
      <c r="BB109" s="14">
        <f>IFERROR(AVERAGE(Tabel1[[#This Row],[Up - V1a]:[Up - V1b]]),"")</f>
        <v>4</v>
      </c>
      <c r="BC109" s="14">
        <v>2</v>
      </c>
      <c r="BD109" s="14">
        <v>4</v>
      </c>
      <c r="BE109" s="14">
        <v>1</v>
      </c>
      <c r="BF109" s="14">
        <f>IFERROR(AVERAGE(Tabel1[[#This Row],[Up - V2a]:[Up - V2c]]),"")</f>
        <v>2.3333333333333335</v>
      </c>
      <c r="BG109" s="14" t="s">
        <v>189</v>
      </c>
      <c r="BH109" s="14">
        <v>2</v>
      </c>
      <c r="BI109" s="14">
        <f>IFERROR(AVERAGE(Tabel1[[#This Row],[Up - V3a]:[Up - V3b]]),"")</f>
        <v>2</v>
      </c>
      <c r="BJ109" s="14" t="s">
        <v>189</v>
      </c>
      <c r="BK109" s="14">
        <f>IFERROR(AVERAGE(Tabel1[[#This Row],[Up - V1]],Tabel1[[#This Row],[Up - V2]],Tabel1[[#This Row],[Up - V3]],Tabel1[[#This Row],[Up - V4]]),"")</f>
        <v>2.7777777777777781</v>
      </c>
      <c r="BL109" s="14">
        <v>1</v>
      </c>
      <c r="BM109" s="14">
        <v>2</v>
      </c>
      <c r="BN109" s="14">
        <v>3</v>
      </c>
      <c r="BO109" s="14">
        <v>4</v>
      </c>
      <c r="BP109" s="14">
        <f>IFERROR(AVERAGE(Tabel1[[#This Row],[Up - A1a]:[Up - A1d]]),"")</f>
        <v>2.5</v>
      </c>
      <c r="BQ109" s="14">
        <v>2</v>
      </c>
      <c r="BR109" s="14">
        <v>2</v>
      </c>
      <c r="BS109" s="14">
        <f>IFERROR(AVERAGE(Tabel1[[#This Row],[Up - A2a]:[Up - A2b]]),"")</f>
        <v>2</v>
      </c>
      <c r="BT109" s="14">
        <v>2</v>
      </c>
      <c r="BU109" s="14">
        <f>IFERROR(AVERAGE(Tabel1[[#This Row],[Up - A3a]:[Up - A3a]]),"")</f>
        <v>2</v>
      </c>
      <c r="BV109" s="14" t="s">
        <v>189</v>
      </c>
      <c r="BW109" s="14">
        <f>IFERROR(AVERAGE(Tabel1[[#This Row],[Up - A1]],Tabel1[[#This Row],[Up - A2]],Tabel1[[#This Row],[Up - A3]]),"")</f>
        <v>2.1666666666666665</v>
      </c>
      <c r="BX109" s="14" t="s">
        <v>189</v>
      </c>
      <c r="BY109" s="14" t="s">
        <v>189</v>
      </c>
      <c r="BZ109" s="14" t="str">
        <f>IFERROR(AVERAGE(Tabel1[[#This Row],[In - R1a]:[In - R1b]]),"")</f>
        <v/>
      </c>
      <c r="CA109" s="14" t="s">
        <v>189</v>
      </c>
      <c r="CB109" s="14" t="s">
        <v>189</v>
      </c>
      <c r="CC109" s="14" t="s">
        <v>189</v>
      </c>
      <c r="CD109" s="14" t="s">
        <v>189</v>
      </c>
      <c r="CE109" s="14" t="str">
        <f>IFERROR(AVERAGE(Tabel1[[#This Row],[In - R1]:[In - R5]]),"")</f>
        <v/>
      </c>
      <c r="CF109" s="14" t="s">
        <v>189</v>
      </c>
      <c r="CG109" s="14" t="s">
        <v>189</v>
      </c>
      <c r="CH109" s="14" t="s">
        <v>189</v>
      </c>
      <c r="CI109" s="14" t="str">
        <f>IFERROR(AVERAGE(Tabel1[[#This Row],[In - C1a]:[In - C1c]]),"")</f>
        <v/>
      </c>
      <c r="CJ109" s="14" t="s">
        <v>189</v>
      </c>
      <c r="CK109" s="14" t="s">
        <v>189</v>
      </c>
      <c r="CL109" s="14" t="s">
        <v>189</v>
      </c>
      <c r="CM109" s="14" t="str">
        <f>IFERROR(AVERAGE(Tabel1[[#This Row],[In - C1]:[In - C4]]),"")</f>
        <v/>
      </c>
      <c r="CN109" s="14" t="s">
        <v>189</v>
      </c>
      <c r="CO109" s="14" t="s">
        <v>189</v>
      </c>
      <c r="CP109" s="14" t="s">
        <v>189</v>
      </c>
      <c r="CQ109" s="14" t="str">
        <f>IFERROR(AVERAGE(Tabel1[[#This Row],[In - F1a]:[In - F1c]]),"")</f>
        <v/>
      </c>
      <c r="CR109" s="14" t="s">
        <v>189</v>
      </c>
      <c r="CS109" s="14" t="s">
        <v>189</v>
      </c>
      <c r="CT109" s="14" t="str">
        <f>IFERROR(AVERAGE(Tabel1[[#This Row],[In - F2a]:[In - F2b]]),"")</f>
        <v/>
      </c>
      <c r="CU109" s="14" t="s">
        <v>189</v>
      </c>
      <c r="CV109" s="14" t="str">
        <f>IFERROR(AVERAGE(Tabel1[[#This Row],[In - F3a]:[In - F3a]]),"")</f>
        <v/>
      </c>
      <c r="CW109" s="14" t="s">
        <v>189</v>
      </c>
      <c r="CX109" s="14" t="str">
        <f>IFERROR(AVERAGE(Tabel1[[#This Row],[In - F1]],Tabel1[[#This Row],[In - F2]],Tabel1[[#This Row],[In - F3]],Tabel1[[#This Row],[In - F4]]),"")</f>
        <v/>
      </c>
      <c r="CY109" s="14" t="s">
        <v>189</v>
      </c>
      <c r="CZ109" s="14" t="s">
        <v>189</v>
      </c>
      <c r="DA109" s="14" t="s">
        <v>189</v>
      </c>
      <c r="DB109" s="14" t="str">
        <f>IFERROR(AVERAGE(Tabel1[[#This Row],[In - V1a]:[In - V1c]]),"")</f>
        <v/>
      </c>
      <c r="DC109" s="14" t="s">
        <v>189</v>
      </c>
      <c r="DD109" s="14" t="s">
        <v>189</v>
      </c>
      <c r="DE109" s="14" t="s">
        <v>189</v>
      </c>
      <c r="DF109" s="14" t="str">
        <f>IFERROR(AVERAGE(Tabel1[[#This Row],[In - V2a]:[In - V2c]]),"")</f>
        <v/>
      </c>
      <c r="DG109" s="14" t="s">
        <v>189</v>
      </c>
      <c r="DH109" s="14" t="s">
        <v>189</v>
      </c>
      <c r="DI109" s="14" t="str">
        <f>IFERROR(AVERAGE(Tabel1[[#This Row],[In - V3a]:[In - V3b]]),"")</f>
        <v/>
      </c>
      <c r="DJ109" s="14" t="s">
        <v>189</v>
      </c>
      <c r="DK109" s="14" t="str">
        <f>IFERROR(AVERAGE(Tabel1[[#This Row],[In - V1]],Tabel1[[#This Row],[In - V2]],Tabel1[[#This Row],[In - V3]],Tabel1[[#This Row],[In - V4]]),"")</f>
        <v/>
      </c>
      <c r="DL109" s="14" t="s">
        <v>189</v>
      </c>
      <c r="DM109" s="14" t="s">
        <v>189</v>
      </c>
      <c r="DN109" s="14" t="str">
        <f>IFERROR(AVERAGE(Tabel1[[#This Row],[In - A1a]:[In - A1b]]),"")</f>
        <v/>
      </c>
      <c r="DO109" s="14" t="s">
        <v>189</v>
      </c>
      <c r="DP109" s="14" t="s">
        <v>189</v>
      </c>
      <c r="DQ109" s="14" t="str">
        <f>IFERROR(AVERAGE(Tabel1[[#This Row],[In - A2a]:[In - A2b]]),"")</f>
        <v/>
      </c>
      <c r="DR109" s="14" t="s">
        <v>189</v>
      </c>
      <c r="DS109" s="14" t="s">
        <v>189</v>
      </c>
      <c r="DT109" s="14" t="str">
        <f>IFERROR(AVERAGE(Tabel1[[#This Row],[In - A3a]:[In - A3a]]),"")</f>
        <v/>
      </c>
      <c r="DU109" s="14" t="s">
        <v>189</v>
      </c>
      <c r="DV109" s="14" t="str">
        <f>IFERROR(AVERAGE(Tabel1[[#This Row],[In - A1]],Tabel1[[#This Row],[In - A2]],Tabel1[[#This Row],[In - A3]],Tabel1[[#This Row],[In - A4]]),"")</f>
        <v/>
      </c>
      <c r="DW109" s="14" t="s">
        <v>189</v>
      </c>
      <c r="DX109" s="14" t="s">
        <v>189</v>
      </c>
      <c r="DY109" s="14" t="s">
        <v>189</v>
      </c>
      <c r="DZ109" s="14" t="str">
        <f>IFERROR(AVERAGE(Tabel1[[#This Row],[Do - R1a]:[Do - R1c]]),"")</f>
        <v/>
      </c>
      <c r="EA109" s="14" t="s">
        <v>189</v>
      </c>
      <c r="EB109" s="14" t="s">
        <v>189</v>
      </c>
      <c r="EC109" s="14" t="s">
        <v>189</v>
      </c>
      <c r="ED109" s="14" t="s">
        <v>189</v>
      </c>
      <c r="EE109" s="14" t="str">
        <f>IFERROR(AVERAGE(Tabel1[[#This Row],[Do - R1]:[Do - R5]]),"")</f>
        <v/>
      </c>
      <c r="EF109" s="14" t="s">
        <v>189</v>
      </c>
      <c r="EG109" s="14" t="s">
        <v>189</v>
      </c>
      <c r="EH109" s="14" t="s">
        <v>189</v>
      </c>
      <c r="EI109" s="14" t="str">
        <f>IFERROR(AVERAGE(Tabel1[[#This Row],[Do - C1a]:[Do - C1c]]),"")</f>
        <v/>
      </c>
      <c r="EJ109" s="14" t="s">
        <v>189</v>
      </c>
      <c r="EK109" s="14" t="s">
        <v>189</v>
      </c>
      <c r="EL109" s="14" t="s">
        <v>189</v>
      </c>
      <c r="EM109" s="14" t="str">
        <f>IFERROR(AVERAGE(Tabel1[[#This Row],[Do - C1]:[Do - C4]]),"")</f>
        <v/>
      </c>
      <c r="EN109" s="14" t="s">
        <v>189</v>
      </c>
      <c r="EO109" s="14" t="s">
        <v>189</v>
      </c>
      <c r="EP109" s="14" t="s">
        <v>189</v>
      </c>
      <c r="EQ109" s="14" t="str">
        <f>IFERROR(AVERAGE(Tabel1[[#This Row],[Do - F1a]:[Do - F1c]]),"")</f>
        <v/>
      </c>
      <c r="ER109" s="14" t="s">
        <v>189</v>
      </c>
      <c r="ES109" s="14" t="str">
        <f>IFERROR(AVERAGE(Tabel1[[#This Row],[Do - F2a]:[Do - F2a]]),"")</f>
        <v/>
      </c>
      <c r="ET109" s="14" t="s">
        <v>189</v>
      </c>
      <c r="EU109" s="14" t="s">
        <v>189</v>
      </c>
      <c r="EV109" s="14" t="str">
        <f>IFERROR(AVERAGE(Tabel1[[#This Row],[Do - F3a]:[Do - F3b]]),"")</f>
        <v/>
      </c>
      <c r="EW109" s="14" t="s">
        <v>189</v>
      </c>
      <c r="EX109" s="14" t="str">
        <f>IFERROR(AVERAGE(Tabel1[[#This Row],[Do - F1]],Tabel1[[#This Row],[Do - F2]],Tabel1[[#This Row],[Do - F3]],Tabel1[[#This Row],[Do - F4]]),"")</f>
        <v/>
      </c>
      <c r="EY109" s="14" t="s">
        <v>189</v>
      </c>
      <c r="EZ109" s="14" t="s">
        <v>189</v>
      </c>
      <c r="FA109" s="14" t="s">
        <v>189</v>
      </c>
      <c r="FB109" s="14" t="str">
        <f>IFERROR(AVERAGE(Tabel1[[#This Row],[Do - V1a]:[Do - V1c]]),"")</f>
        <v/>
      </c>
      <c r="FC109" s="14" t="s">
        <v>189</v>
      </c>
      <c r="FD109" s="14" t="s">
        <v>189</v>
      </c>
      <c r="FE109" s="14" t="str">
        <f>IFERROR(AVERAGE(Tabel1[[#This Row],[Do - V2a]:[Do - V2b]]),"")</f>
        <v/>
      </c>
      <c r="FF109" s="14" t="s">
        <v>189</v>
      </c>
      <c r="FG109" s="14" t="str">
        <f>IFERROR(AVERAGE(Tabel1[[#This Row],[Do - V3a]:[Do - V3a]]),"")</f>
        <v/>
      </c>
      <c r="FH109" s="14" t="s">
        <v>189</v>
      </c>
      <c r="FI109" s="14" t="str">
        <f>IFERROR(AVERAGE(Tabel1[[#This Row],[Do - V1]],Tabel1[[#This Row],[Do - V2]],Tabel1[[#This Row],[Do - V3]],Tabel1[[#This Row],[Do - V4]]),"")</f>
        <v/>
      </c>
      <c r="FJ109" s="14" t="s">
        <v>189</v>
      </c>
      <c r="FK109" s="14" t="s">
        <v>189</v>
      </c>
      <c r="FL109" s="14" t="s">
        <v>189</v>
      </c>
      <c r="FM109" s="14" t="str">
        <f>IFERROR(AVERAGE(Tabel1[[#This Row],[Do - A1a]:[Do - A1c]]),"")</f>
        <v/>
      </c>
      <c r="FN109" s="14" t="s">
        <v>189</v>
      </c>
      <c r="FO109" s="14" t="s">
        <v>189</v>
      </c>
      <c r="FP109" s="14" t="str">
        <f>IFERROR(AVERAGE(Tabel1[[#This Row],[Do - A2a]:[Do - A2b]]),"")</f>
        <v/>
      </c>
      <c r="FQ109" s="14" t="s">
        <v>189</v>
      </c>
      <c r="FR109" s="14" t="str">
        <f>IFERROR(AVERAGE(Tabel1[[#This Row],[Do - A3a]:[Do - A3a]]),"")</f>
        <v/>
      </c>
      <c r="FS109" s="14" t="s">
        <v>189</v>
      </c>
      <c r="FT109" s="14" t="str">
        <f>IFERROR(AVERAGE(Tabel1[[#This Row],[Do - A1]],Tabel1[[#This Row],[Do - A2]],Tabel1[[#This Row],[Do - A3]],Tabel1[[#This Row],[Do - A4]]),"")</f>
        <v/>
      </c>
      <c r="FU10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2.7111111111111112</v>
      </c>
      <c r="FV109" s="16" t="s">
        <v>720</v>
      </c>
      <c r="FW109" t="b">
        <v>1</v>
      </c>
    </row>
    <row r="110" spans="1:179" x14ac:dyDescent="0.3">
      <c r="A110" s="13">
        <v>44979.514247685183</v>
      </c>
      <c r="B110" t="b">
        <v>0</v>
      </c>
      <c r="C110" s="14" t="s">
        <v>721</v>
      </c>
      <c r="D110" s="14" t="s">
        <v>722</v>
      </c>
      <c r="E110" s="14" t="s">
        <v>723</v>
      </c>
      <c r="F110" s="14" t="s">
        <v>184</v>
      </c>
      <c r="G110" s="14" t="s">
        <v>724</v>
      </c>
      <c r="H110" s="14" t="s">
        <v>222</v>
      </c>
      <c r="I110" s="14" t="s">
        <v>243</v>
      </c>
      <c r="J110" s="14" t="s">
        <v>244</v>
      </c>
      <c r="K110" s="14" t="s">
        <v>235</v>
      </c>
      <c r="L110" s="14" t="s">
        <v>218</v>
      </c>
      <c r="M110" s="14" t="s">
        <v>281</v>
      </c>
      <c r="N110" s="14" t="s">
        <v>331</v>
      </c>
      <c r="O110" s="14" t="s">
        <v>256</v>
      </c>
      <c r="P110" s="17" t="s">
        <v>255</v>
      </c>
      <c r="Q110" s="17" t="s">
        <v>304</v>
      </c>
      <c r="R110" s="14" t="s">
        <v>187</v>
      </c>
      <c r="S110" s="14" t="s">
        <v>187</v>
      </c>
      <c r="T110" s="14" t="s">
        <v>284</v>
      </c>
      <c r="U110" s="14" t="s">
        <v>237</v>
      </c>
      <c r="V110" s="14" t="s">
        <v>224</v>
      </c>
      <c r="W110" s="14" t="s">
        <v>395</v>
      </c>
      <c r="X110" s="14" t="s">
        <v>395</v>
      </c>
      <c r="Y110" s="14">
        <v>4</v>
      </c>
      <c r="Z110" s="14">
        <v>4</v>
      </c>
      <c r="AA110" s="14">
        <v>2</v>
      </c>
      <c r="AB110" s="15">
        <f>IFERROR(AVERAGE(Tabel1[[#This Row],[Up - R1a]:[Up - R1c]]),"")</f>
        <v>3.3333333333333335</v>
      </c>
      <c r="AC110" s="14" t="s">
        <v>189</v>
      </c>
      <c r="AD110" s="14">
        <v>4</v>
      </c>
      <c r="AE110" s="14" t="s">
        <v>189</v>
      </c>
      <c r="AF110" s="14">
        <v>5</v>
      </c>
      <c r="AG110" s="14">
        <f>IFERROR(AVERAGE(Tabel1[[#This Row],[Up - R1]:[Up - R5]]),"")</f>
        <v>4.1111111111111116</v>
      </c>
      <c r="AH110" s="14">
        <v>5</v>
      </c>
      <c r="AI110" s="14">
        <v>4</v>
      </c>
      <c r="AJ110" s="14">
        <v>4</v>
      </c>
      <c r="AK110" s="14">
        <f>IFERROR(AVERAGE(Tabel1[[#This Row],[Up - C1a]:[Up - C1c]]),"")</f>
        <v>4.333333333333333</v>
      </c>
      <c r="AL110" s="14">
        <v>5</v>
      </c>
      <c r="AM110" s="14">
        <v>4</v>
      </c>
      <c r="AN110" s="14">
        <v>4</v>
      </c>
      <c r="AO110" s="14">
        <f>IFERROR(AVERAGE(Tabel1[[#This Row],[Up - C1]:[Up - C4]]),"")</f>
        <v>4.333333333333333</v>
      </c>
      <c r="AP110" s="14">
        <v>4</v>
      </c>
      <c r="AQ110" s="14">
        <f>IFERROR(AVERAGE(Tabel1[[#This Row],[Up - F1a]:[Up - F1a]]),"")</f>
        <v>4</v>
      </c>
      <c r="AR110" s="14" t="s">
        <v>189</v>
      </c>
      <c r="AS110" s="14" t="s">
        <v>189</v>
      </c>
      <c r="AT110" s="14" t="str">
        <f>IFERROR(AVERAGE(Tabel1[[#This Row],[Up - F2a]:[Up - F2b]]),"")</f>
        <v/>
      </c>
      <c r="AU110" s="14">
        <v>4</v>
      </c>
      <c r="AV110" s="14">
        <v>2</v>
      </c>
      <c r="AW110" s="14">
        <f>IFERROR(AVERAGE(Tabel1[[#This Row],[Up - F3a]:[Up - F3b]]),"")</f>
        <v>3</v>
      </c>
      <c r="AX110" s="14">
        <v>3</v>
      </c>
      <c r="AY110" s="14">
        <f>IFERROR(AVERAGE(Tabel1[[#This Row],[Up - F1]],Tabel1[[#This Row],[Up - F2]],Tabel1[[#This Row],[Up - F3]],Tabel1[[#This Row],[Up - F4]]),"")</f>
        <v>3.3333333333333335</v>
      </c>
      <c r="AZ110" s="14">
        <v>4</v>
      </c>
      <c r="BA110" s="14">
        <v>5</v>
      </c>
      <c r="BB110" s="14">
        <f>IFERROR(AVERAGE(Tabel1[[#This Row],[Up - V1a]:[Up - V1b]]),"")</f>
        <v>4.5</v>
      </c>
      <c r="BC110" s="14">
        <v>4</v>
      </c>
      <c r="BD110" s="14">
        <v>4</v>
      </c>
      <c r="BE110" s="14">
        <v>4</v>
      </c>
      <c r="BF110" s="14">
        <f>IFERROR(AVERAGE(Tabel1[[#This Row],[Up - V2a]:[Up - V2c]]),"")</f>
        <v>4</v>
      </c>
      <c r="BG110" s="14" t="s">
        <v>189</v>
      </c>
      <c r="BH110" s="14">
        <v>2</v>
      </c>
      <c r="BI110" s="14">
        <f>IFERROR(AVERAGE(Tabel1[[#This Row],[Up - V3a]:[Up - V3b]]),"")</f>
        <v>2</v>
      </c>
      <c r="BJ110" s="14">
        <v>4</v>
      </c>
      <c r="BK110" s="14">
        <f>IFERROR(AVERAGE(Tabel1[[#This Row],[Up - V1]],Tabel1[[#This Row],[Up - V2]],Tabel1[[#This Row],[Up - V3]],Tabel1[[#This Row],[Up - V4]]),"")</f>
        <v>3.625</v>
      </c>
      <c r="BL110" s="14">
        <v>5</v>
      </c>
      <c r="BM110" s="14">
        <v>3</v>
      </c>
      <c r="BN110" s="14">
        <v>3</v>
      </c>
      <c r="BO110" s="14">
        <v>4</v>
      </c>
      <c r="BP110" s="14">
        <f>IFERROR(AVERAGE(Tabel1[[#This Row],[Up - A1a]:[Up - A1d]]),"")</f>
        <v>3.75</v>
      </c>
      <c r="BQ110" s="14">
        <v>4</v>
      </c>
      <c r="BR110" s="14">
        <v>4</v>
      </c>
      <c r="BS110" s="14">
        <f>IFERROR(AVERAGE(Tabel1[[#This Row],[Up - A2a]:[Up - A2b]]),"")</f>
        <v>4</v>
      </c>
      <c r="BT110" s="14">
        <v>3</v>
      </c>
      <c r="BU110" s="14">
        <f>IFERROR(AVERAGE(Tabel1[[#This Row],[Up - A3a]:[Up - A3a]]),"")</f>
        <v>3</v>
      </c>
      <c r="BV110" s="14" t="s">
        <v>189</v>
      </c>
      <c r="BW110" s="14">
        <f>IFERROR(AVERAGE(Tabel1[[#This Row],[Up - A1]],Tabel1[[#This Row],[Up - A2]],Tabel1[[#This Row],[Up - A3]]),"")</f>
        <v>3.5833333333333335</v>
      </c>
      <c r="BX110" s="14" t="s">
        <v>189</v>
      </c>
      <c r="BY110" s="14" t="s">
        <v>189</v>
      </c>
      <c r="BZ110" s="14" t="str">
        <f>IFERROR(AVERAGE(Tabel1[[#This Row],[In - R1a]:[In - R1b]]),"")</f>
        <v/>
      </c>
      <c r="CA110" s="14">
        <v>5</v>
      </c>
      <c r="CB110" s="14">
        <v>2</v>
      </c>
      <c r="CC110" s="14" t="s">
        <v>189</v>
      </c>
      <c r="CD110" s="14">
        <v>5</v>
      </c>
      <c r="CE110" s="14">
        <f>IFERROR(AVERAGE(Tabel1[[#This Row],[In - R1]:[In - R5]]),"")</f>
        <v>4</v>
      </c>
      <c r="CF110" s="14">
        <v>3</v>
      </c>
      <c r="CG110" s="14">
        <v>4</v>
      </c>
      <c r="CH110" s="14">
        <v>3</v>
      </c>
      <c r="CI110" s="14">
        <f>IFERROR(AVERAGE(Tabel1[[#This Row],[In - C1a]:[In - C1c]]),"")</f>
        <v>3.3333333333333335</v>
      </c>
      <c r="CJ110" s="14">
        <v>4</v>
      </c>
      <c r="CK110" s="14">
        <v>2</v>
      </c>
      <c r="CL110" s="14">
        <v>5</v>
      </c>
      <c r="CM110" s="14">
        <f>IFERROR(AVERAGE(Tabel1[[#This Row],[In - C1]:[In - C4]]),"")</f>
        <v>3.5833333333333335</v>
      </c>
      <c r="CN110" s="14" t="s">
        <v>189</v>
      </c>
      <c r="CO110" s="14" t="s">
        <v>189</v>
      </c>
      <c r="CP110" s="14">
        <v>5</v>
      </c>
      <c r="CQ110" s="14">
        <f>IFERROR(AVERAGE(Tabel1[[#This Row],[In - F1a]:[In - F1c]]),"")</f>
        <v>5</v>
      </c>
      <c r="CR110" s="14" t="s">
        <v>189</v>
      </c>
      <c r="CS110" s="14">
        <v>1</v>
      </c>
      <c r="CT110" s="14">
        <f>IFERROR(AVERAGE(Tabel1[[#This Row],[In - F2a]:[In - F2b]]),"")</f>
        <v>1</v>
      </c>
      <c r="CU110" s="14">
        <v>4</v>
      </c>
      <c r="CV110" s="14">
        <f>IFERROR(AVERAGE(Tabel1[[#This Row],[In - F3a]:[In - F3a]]),"")</f>
        <v>4</v>
      </c>
      <c r="CW110" s="14">
        <v>5</v>
      </c>
      <c r="CX110" s="14">
        <f>IFERROR(AVERAGE(Tabel1[[#This Row],[In - F1]],Tabel1[[#This Row],[In - F2]],Tabel1[[#This Row],[In - F3]],Tabel1[[#This Row],[In - F4]]),"")</f>
        <v>3.75</v>
      </c>
      <c r="CY110" s="14">
        <v>4</v>
      </c>
      <c r="CZ110" s="14">
        <v>5</v>
      </c>
      <c r="DA110" s="14">
        <v>4</v>
      </c>
      <c r="DB110" s="14">
        <f>IFERROR(AVERAGE(Tabel1[[#This Row],[In - V1a]:[In - V1c]]),"")</f>
        <v>4.333333333333333</v>
      </c>
      <c r="DC110" s="14">
        <v>4</v>
      </c>
      <c r="DD110" s="14">
        <v>4</v>
      </c>
      <c r="DE110" s="14">
        <v>4</v>
      </c>
      <c r="DF110" s="14">
        <f>IFERROR(AVERAGE(Tabel1[[#This Row],[In - V2a]:[In - V2c]]),"")</f>
        <v>4</v>
      </c>
      <c r="DG110" s="14">
        <v>2</v>
      </c>
      <c r="DH110" s="14">
        <v>4</v>
      </c>
      <c r="DI110" s="14">
        <f>IFERROR(AVERAGE(Tabel1[[#This Row],[In - V3a]:[In - V3b]]),"")</f>
        <v>3</v>
      </c>
      <c r="DJ110" s="14">
        <v>4</v>
      </c>
      <c r="DK110" s="14">
        <f>IFERROR(AVERAGE(Tabel1[[#This Row],[In - V1]],Tabel1[[#This Row],[In - V2]],Tabel1[[#This Row],[In - V3]],Tabel1[[#This Row],[In - V4]]),"")</f>
        <v>3.833333333333333</v>
      </c>
      <c r="DL110" s="14">
        <v>5</v>
      </c>
      <c r="DM110" s="14">
        <v>4</v>
      </c>
      <c r="DN110" s="14">
        <f>IFERROR(AVERAGE(Tabel1[[#This Row],[In - A1a]:[In - A1b]]),"")</f>
        <v>4.5</v>
      </c>
      <c r="DO110" s="14" t="s">
        <v>189</v>
      </c>
      <c r="DP110" s="14">
        <v>4</v>
      </c>
      <c r="DQ110" s="14">
        <f>IFERROR(AVERAGE(Tabel1[[#This Row],[In - A2a]:[In - A2b]]),"")</f>
        <v>4</v>
      </c>
      <c r="DR110" s="14">
        <v>3</v>
      </c>
      <c r="DS110" s="14">
        <v>3</v>
      </c>
      <c r="DT110" s="14">
        <f>IFERROR(AVERAGE(Tabel1[[#This Row],[In - A3a]:[In - A3a]]),"")</f>
        <v>3</v>
      </c>
      <c r="DU110" s="14">
        <v>2</v>
      </c>
      <c r="DV110" s="14">
        <f>IFERROR(AVERAGE(Tabel1[[#This Row],[In - A1]],Tabel1[[#This Row],[In - A2]],Tabel1[[#This Row],[In - A3]],Tabel1[[#This Row],[In - A4]]),"")</f>
        <v>3.375</v>
      </c>
      <c r="DW110" s="14">
        <v>5</v>
      </c>
      <c r="DX110" s="14">
        <v>5</v>
      </c>
      <c r="DY110" s="14">
        <v>3</v>
      </c>
      <c r="DZ110" s="14">
        <f>IFERROR(AVERAGE(Tabel1[[#This Row],[Do - R1a]:[Do - R1c]]),"")</f>
        <v>4.333333333333333</v>
      </c>
      <c r="EA110" s="14" t="s">
        <v>189</v>
      </c>
      <c r="EB110" s="14">
        <v>2</v>
      </c>
      <c r="EC110" s="14" t="s">
        <v>189</v>
      </c>
      <c r="ED110" s="14" t="s">
        <v>189</v>
      </c>
      <c r="EE110" s="14">
        <f>IFERROR(AVERAGE(Tabel1[[#This Row],[Do - R1]:[Do - R5]]),"")</f>
        <v>3.1666666666666665</v>
      </c>
      <c r="EF110" s="14">
        <v>3</v>
      </c>
      <c r="EG110" s="14">
        <v>3</v>
      </c>
      <c r="EH110" s="14">
        <v>4</v>
      </c>
      <c r="EI110" s="14">
        <f>IFERROR(AVERAGE(Tabel1[[#This Row],[Do - C1a]:[Do - C1c]]),"")</f>
        <v>3.3333333333333335</v>
      </c>
      <c r="EJ110" s="14">
        <v>4</v>
      </c>
      <c r="EK110" s="14">
        <v>4</v>
      </c>
      <c r="EL110" s="14" t="s">
        <v>189</v>
      </c>
      <c r="EM110" s="14">
        <f>IFERROR(AVERAGE(Tabel1[[#This Row],[Do - C1]:[Do - C4]]),"")</f>
        <v>3.7777777777777781</v>
      </c>
      <c r="EN110" s="14">
        <v>5</v>
      </c>
      <c r="EO110" s="14">
        <v>5</v>
      </c>
      <c r="EP110" s="14">
        <v>4</v>
      </c>
      <c r="EQ110" s="14">
        <f>IFERROR(AVERAGE(Tabel1[[#This Row],[Do - F1a]:[Do - F1c]]),"")</f>
        <v>4.666666666666667</v>
      </c>
      <c r="ER110" s="14" t="s">
        <v>189</v>
      </c>
      <c r="ES110" s="14" t="str">
        <f>IFERROR(AVERAGE(Tabel1[[#This Row],[Do - F2a]:[Do - F2a]]),"")</f>
        <v/>
      </c>
      <c r="ET110" s="14">
        <v>3</v>
      </c>
      <c r="EU110" s="14">
        <v>4</v>
      </c>
      <c r="EV110" s="14">
        <f>IFERROR(AVERAGE(Tabel1[[#This Row],[Do - F3a]:[Do - F3b]]),"")</f>
        <v>3.5</v>
      </c>
      <c r="EW110" s="14">
        <v>5</v>
      </c>
      <c r="EX110" s="14">
        <f>IFERROR(AVERAGE(Tabel1[[#This Row],[Do - F1]],Tabel1[[#This Row],[Do - F2]],Tabel1[[#This Row],[Do - F3]],Tabel1[[#This Row],[Do - F4]]),"")</f>
        <v>4.3888888888888893</v>
      </c>
      <c r="EY110" s="14">
        <v>4</v>
      </c>
      <c r="EZ110" s="14">
        <v>5</v>
      </c>
      <c r="FA110" s="14">
        <v>4</v>
      </c>
      <c r="FB110" s="14">
        <f>IFERROR(AVERAGE(Tabel1[[#This Row],[Do - V1a]:[Do - V1c]]),"")</f>
        <v>4.333333333333333</v>
      </c>
      <c r="FC110" s="14">
        <v>5</v>
      </c>
      <c r="FD110" s="14">
        <v>5</v>
      </c>
      <c r="FE110" s="14">
        <f>IFERROR(AVERAGE(Tabel1[[#This Row],[Do - V2a]:[Do - V2b]]),"")</f>
        <v>5</v>
      </c>
      <c r="FF110" s="14">
        <v>2</v>
      </c>
      <c r="FG110" s="14">
        <f>IFERROR(AVERAGE(Tabel1[[#This Row],[Do - V3a]:[Do - V3a]]),"")</f>
        <v>2</v>
      </c>
      <c r="FH110" s="14" t="s">
        <v>189</v>
      </c>
      <c r="FI110" s="14">
        <f>IFERROR(AVERAGE(Tabel1[[#This Row],[Do - V1]],Tabel1[[#This Row],[Do - V2]],Tabel1[[#This Row],[Do - V3]],Tabel1[[#This Row],[Do - V4]]),"")</f>
        <v>3.7777777777777772</v>
      </c>
      <c r="FJ110" s="14">
        <v>5</v>
      </c>
      <c r="FK110" s="14">
        <v>5</v>
      </c>
      <c r="FL110" s="14" t="s">
        <v>189</v>
      </c>
      <c r="FM110" s="14">
        <f>IFERROR(AVERAGE(Tabel1[[#This Row],[Do - A1a]:[Do - A1c]]),"")</f>
        <v>5</v>
      </c>
      <c r="FN110" s="14">
        <v>5</v>
      </c>
      <c r="FO110" s="14" t="s">
        <v>189</v>
      </c>
      <c r="FP110" s="14">
        <f>IFERROR(AVERAGE(Tabel1[[#This Row],[Do - A2a]:[Do - A2b]]),"")</f>
        <v>5</v>
      </c>
      <c r="FQ110" s="14">
        <v>3</v>
      </c>
      <c r="FR110" s="14">
        <f>IFERROR(AVERAGE(Tabel1[[#This Row],[Do - A3a]:[Do - A3a]]),"")</f>
        <v>3</v>
      </c>
      <c r="FS110" s="14">
        <v>4</v>
      </c>
      <c r="FT110" s="14">
        <f>IFERROR(AVERAGE(Tabel1[[#This Row],[Do - A1]],Tabel1[[#This Row],[Do - A2]],Tabel1[[#This Row],[Do - A3]],Tabel1[[#This Row],[Do - A4]]),"")</f>
        <v>4.25</v>
      </c>
      <c r="FU11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3.7925925925925927</v>
      </c>
      <c r="FV110" s="16" t="s">
        <v>725</v>
      </c>
      <c r="FW110" t="b">
        <v>1</v>
      </c>
    </row>
    <row r="111" spans="1:179" x14ac:dyDescent="0.3">
      <c r="A111" s="13">
        <v>44980.378668981481</v>
      </c>
      <c r="B111" t="b">
        <v>0</v>
      </c>
      <c r="C111" s="14" t="s">
        <v>726</v>
      </c>
      <c r="D111" s="14" t="s">
        <v>727</v>
      </c>
      <c r="E111" s="14" t="s">
        <v>216</v>
      </c>
      <c r="F111" s="14" t="s">
        <v>184</v>
      </c>
      <c r="G111" s="14" t="s">
        <v>728</v>
      </c>
      <c r="H111" s="14" t="s">
        <v>194</v>
      </c>
      <c r="I111" s="14" t="s">
        <v>195</v>
      </c>
      <c r="J111" s="14" t="s">
        <v>268</v>
      </c>
      <c r="K111" s="14" t="s">
        <v>187</v>
      </c>
      <c r="L111" s="14" t="s">
        <v>197</v>
      </c>
      <c r="M111" s="14" t="s">
        <v>198</v>
      </c>
      <c r="N111" s="14" t="s">
        <v>199</v>
      </c>
      <c r="O111" s="14" t="s">
        <v>200</v>
      </c>
      <c r="P111" s="17" t="s">
        <v>255</v>
      </c>
      <c r="Q111" s="14" t="s">
        <v>235</v>
      </c>
      <c r="R111" s="14" t="s">
        <v>235</v>
      </c>
      <c r="S111" s="17" t="s">
        <v>304</v>
      </c>
      <c r="T111" s="14" t="s">
        <v>236</v>
      </c>
      <c r="U111" s="14" t="s">
        <v>237</v>
      </c>
      <c r="V111" s="14" t="s">
        <v>224</v>
      </c>
      <c r="W111" s="14" t="s">
        <v>207</v>
      </c>
      <c r="X111" s="14" t="s">
        <v>207</v>
      </c>
      <c r="Y111" s="14">
        <v>4</v>
      </c>
      <c r="Z111" s="14">
        <v>4</v>
      </c>
      <c r="AA111" s="14">
        <v>3</v>
      </c>
      <c r="AB111" s="15">
        <f>IFERROR(AVERAGE(Tabel1[[#This Row],[Up - R1a]:[Up - R1c]]),"")</f>
        <v>3.6666666666666665</v>
      </c>
      <c r="AC111" s="14">
        <v>1</v>
      </c>
      <c r="AD111" s="14">
        <v>4</v>
      </c>
      <c r="AE111" s="14">
        <v>1</v>
      </c>
      <c r="AF111" s="14">
        <v>2</v>
      </c>
      <c r="AG111" s="14">
        <f>IFERROR(AVERAGE(Tabel1[[#This Row],[Up - R1]:[Up - R5]]),"")</f>
        <v>2.333333333333333</v>
      </c>
      <c r="AH111" s="14">
        <v>3</v>
      </c>
      <c r="AI111" s="14">
        <v>4</v>
      </c>
      <c r="AJ111" s="14">
        <v>3</v>
      </c>
      <c r="AK111" s="14">
        <f>IFERROR(AVERAGE(Tabel1[[#This Row],[Up - C1a]:[Up - C1c]]),"")</f>
        <v>3.3333333333333335</v>
      </c>
      <c r="AL111" s="14">
        <v>2</v>
      </c>
      <c r="AM111" s="14">
        <v>3</v>
      </c>
      <c r="AN111" s="14">
        <v>2</v>
      </c>
      <c r="AO111" s="14">
        <f>IFERROR(AVERAGE(Tabel1[[#This Row],[Up - C1]:[Up - C4]]),"")</f>
        <v>2.5833333333333335</v>
      </c>
      <c r="AP111" s="14">
        <v>3</v>
      </c>
      <c r="AQ111" s="14">
        <f>IFERROR(AVERAGE(Tabel1[[#This Row],[Up - F1a]:[Up - F1a]]),"")</f>
        <v>3</v>
      </c>
      <c r="AR111" s="14">
        <v>1</v>
      </c>
      <c r="AS111" s="14">
        <v>1</v>
      </c>
      <c r="AT111" s="14">
        <f>IFERROR(AVERAGE(Tabel1[[#This Row],[Up - F2a]:[Up - F2b]]),"")</f>
        <v>1</v>
      </c>
      <c r="AU111" s="14">
        <v>2</v>
      </c>
      <c r="AV111" s="14">
        <v>3</v>
      </c>
      <c r="AW111" s="14">
        <f>IFERROR(AVERAGE(Tabel1[[#This Row],[Up - F3a]:[Up - F3b]]),"")</f>
        <v>2.5</v>
      </c>
      <c r="AX111" s="14">
        <v>2</v>
      </c>
      <c r="AY111" s="14">
        <f>IFERROR(AVERAGE(Tabel1[[#This Row],[Up - F1]],Tabel1[[#This Row],[Up - F2]],Tabel1[[#This Row],[Up - F3]],Tabel1[[#This Row],[Up - F4]]),"")</f>
        <v>2.125</v>
      </c>
      <c r="AZ111" s="14">
        <v>3</v>
      </c>
      <c r="BA111" s="14">
        <v>2</v>
      </c>
      <c r="BB111" s="14">
        <f>IFERROR(AVERAGE(Tabel1[[#This Row],[Up - V1a]:[Up - V1b]]),"")</f>
        <v>2.5</v>
      </c>
      <c r="BC111" s="14">
        <v>4</v>
      </c>
      <c r="BD111" s="14">
        <v>1</v>
      </c>
      <c r="BE111" s="14">
        <v>3</v>
      </c>
      <c r="BF111" s="14">
        <f>IFERROR(AVERAGE(Tabel1[[#This Row],[Up - V2a]:[Up - V2c]]),"")</f>
        <v>2.6666666666666665</v>
      </c>
      <c r="BG111" s="14">
        <v>1</v>
      </c>
      <c r="BH111" s="14">
        <v>3</v>
      </c>
      <c r="BI111" s="14">
        <f>IFERROR(AVERAGE(Tabel1[[#This Row],[Up - V3a]:[Up - V3b]]),"")</f>
        <v>2</v>
      </c>
      <c r="BJ111" s="14">
        <v>2</v>
      </c>
      <c r="BK111" s="14">
        <f>IFERROR(AVERAGE(Tabel1[[#This Row],[Up - V1]],Tabel1[[#This Row],[Up - V2]],Tabel1[[#This Row],[Up - V3]],Tabel1[[#This Row],[Up - V4]]),"")</f>
        <v>2.2916666666666665</v>
      </c>
      <c r="BL111" s="14">
        <v>3</v>
      </c>
      <c r="BM111" s="14">
        <v>4</v>
      </c>
      <c r="BN111" s="14">
        <v>2</v>
      </c>
      <c r="BO111" s="14">
        <v>3</v>
      </c>
      <c r="BP111" s="14">
        <f>IFERROR(AVERAGE(Tabel1[[#This Row],[Up - A1a]:[Up - A1d]]),"")</f>
        <v>3</v>
      </c>
      <c r="BQ111" s="14">
        <v>2</v>
      </c>
      <c r="BR111" s="14">
        <v>5</v>
      </c>
      <c r="BS111" s="14">
        <f>IFERROR(AVERAGE(Tabel1[[#This Row],[Up - A2a]:[Up - A2b]]),"")</f>
        <v>3.5</v>
      </c>
      <c r="BT111" s="14">
        <v>4</v>
      </c>
      <c r="BU111" s="14">
        <f>IFERROR(AVERAGE(Tabel1[[#This Row],[Up - A3a]:[Up - A3a]]),"")</f>
        <v>4</v>
      </c>
      <c r="BV111" s="14" t="s">
        <v>189</v>
      </c>
      <c r="BW111" s="14">
        <f>IFERROR(AVERAGE(Tabel1[[#This Row],[Up - A1]],Tabel1[[#This Row],[Up - A2]],Tabel1[[#This Row],[Up - A3]]),"")</f>
        <v>3.5</v>
      </c>
      <c r="BX111" s="14">
        <v>2</v>
      </c>
      <c r="BY111" s="14">
        <v>4</v>
      </c>
      <c r="BZ111" s="14">
        <f>IFERROR(AVERAGE(Tabel1[[#This Row],[In - R1a]:[In - R1b]]),"")</f>
        <v>3</v>
      </c>
      <c r="CA111" s="14">
        <v>2</v>
      </c>
      <c r="CB111" s="14">
        <v>2</v>
      </c>
      <c r="CC111" s="14">
        <v>1</v>
      </c>
      <c r="CD111" s="14">
        <v>2</v>
      </c>
      <c r="CE111" s="14">
        <f>IFERROR(AVERAGE(Tabel1[[#This Row],[In - R1]:[In - R5]]),"")</f>
        <v>2</v>
      </c>
      <c r="CF111" s="14">
        <v>4</v>
      </c>
      <c r="CG111" s="14">
        <v>3</v>
      </c>
      <c r="CH111" s="14">
        <v>4</v>
      </c>
      <c r="CI111" s="14">
        <f>IFERROR(AVERAGE(Tabel1[[#This Row],[In - C1a]:[In - C1c]]),"")</f>
        <v>3.6666666666666665</v>
      </c>
      <c r="CJ111" s="14">
        <v>3</v>
      </c>
      <c r="CK111" s="14">
        <v>4</v>
      </c>
      <c r="CL111" s="14">
        <v>3</v>
      </c>
      <c r="CM111" s="14">
        <f>IFERROR(AVERAGE(Tabel1[[#This Row],[In - C1]:[In - C4]]),"")</f>
        <v>3.4166666666666665</v>
      </c>
      <c r="CN111" s="14">
        <v>2</v>
      </c>
      <c r="CO111" s="14">
        <v>2</v>
      </c>
      <c r="CP111" s="14">
        <v>2</v>
      </c>
      <c r="CQ111" s="14">
        <f>IFERROR(AVERAGE(Tabel1[[#This Row],[In - F1a]:[In - F1c]]),"")</f>
        <v>2</v>
      </c>
      <c r="CR111" s="14">
        <v>3</v>
      </c>
      <c r="CS111" s="14">
        <v>1</v>
      </c>
      <c r="CT111" s="14">
        <f>IFERROR(AVERAGE(Tabel1[[#This Row],[In - F2a]:[In - F2b]]),"")</f>
        <v>2</v>
      </c>
      <c r="CU111" s="14">
        <v>4</v>
      </c>
      <c r="CV111" s="14">
        <f>IFERROR(AVERAGE(Tabel1[[#This Row],[In - F3a]:[In - F3a]]),"")</f>
        <v>4</v>
      </c>
      <c r="CW111" s="14">
        <v>2</v>
      </c>
      <c r="CX111" s="14">
        <f>IFERROR(AVERAGE(Tabel1[[#This Row],[In - F1]],Tabel1[[#This Row],[In - F2]],Tabel1[[#This Row],[In - F3]],Tabel1[[#This Row],[In - F4]]),"")</f>
        <v>2.5</v>
      </c>
      <c r="CY111" s="14">
        <v>4</v>
      </c>
      <c r="CZ111" s="14">
        <v>4</v>
      </c>
      <c r="DA111" s="14">
        <v>2</v>
      </c>
      <c r="DB111" s="14">
        <f>IFERROR(AVERAGE(Tabel1[[#This Row],[In - V1a]:[In - V1c]]),"")</f>
        <v>3.3333333333333335</v>
      </c>
      <c r="DC111" s="14">
        <v>4</v>
      </c>
      <c r="DD111" s="14">
        <v>4</v>
      </c>
      <c r="DE111" s="14">
        <v>3</v>
      </c>
      <c r="DF111" s="14">
        <f>IFERROR(AVERAGE(Tabel1[[#This Row],[In - V2a]:[In - V2c]]),"")</f>
        <v>3.6666666666666665</v>
      </c>
      <c r="DG111" s="14">
        <v>3</v>
      </c>
      <c r="DH111" s="14">
        <v>3</v>
      </c>
      <c r="DI111" s="14">
        <f>IFERROR(AVERAGE(Tabel1[[#This Row],[In - V3a]:[In - V3b]]),"")</f>
        <v>3</v>
      </c>
      <c r="DJ111" s="14">
        <v>2</v>
      </c>
      <c r="DK111" s="14">
        <f>IFERROR(AVERAGE(Tabel1[[#This Row],[In - V1]],Tabel1[[#This Row],[In - V2]],Tabel1[[#This Row],[In - V3]],Tabel1[[#This Row],[In - V4]]),"")</f>
        <v>3</v>
      </c>
      <c r="DL111" s="14">
        <v>3</v>
      </c>
      <c r="DM111" s="14">
        <v>3</v>
      </c>
      <c r="DN111" s="14">
        <f>IFERROR(AVERAGE(Tabel1[[#This Row],[In - A1a]:[In - A1b]]),"")</f>
        <v>3</v>
      </c>
      <c r="DO111" s="14">
        <v>5</v>
      </c>
      <c r="DP111" s="14">
        <v>4</v>
      </c>
      <c r="DQ111" s="14">
        <f>IFERROR(AVERAGE(Tabel1[[#This Row],[In - A2a]:[In - A2b]]),"")</f>
        <v>4.5</v>
      </c>
      <c r="DR111" s="14">
        <v>4</v>
      </c>
      <c r="DS111" s="14">
        <v>3</v>
      </c>
      <c r="DT111" s="14">
        <f>IFERROR(AVERAGE(Tabel1[[#This Row],[In - A3a]:[In - A3a]]),"")</f>
        <v>4</v>
      </c>
      <c r="DU111" s="14" t="s">
        <v>189</v>
      </c>
      <c r="DV111" s="14">
        <f>IFERROR(AVERAGE(Tabel1[[#This Row],[In - A1]],Tabel1[[#This Row],[In - A2]],Tabel1[[#This Row],[In - A3]],Tabel1[[#This Row],[In - A4]]),"")</f>
        <v>3.8333333333333335</v>
      </c>
      <c r="DW111" s="14" t="s">
        <v>189</v>
      </c>
      <c r="DX111" s="14">
        <v>4</v>
      </c>
      <c r="DY111" s="14" t="s">
        <v>189</v>
      </c>
      <c r="DZ111" s="14">
        <f>IFERROR(AVERAGE(Tabel1[[#This Row],[Do - R1a]:[Do - R1c]]),"")</f>
        <v>4</v>
      </c>
      <c r="EA111" s="14" t="s">
        <v>189</v>
      </c>
      <c r="EB111" s="14">
        <v>3</v>
      </c>
      <c r="EC111" s="14" t="s">
        <v>189</v>
      </c>
      <c r="ED111" s="14" t="s">
        <v>189</v>
      </c>
      <c r="EE111" s="14">
        <f>IFERROR(AVERAGE(Tabel1[[#This Row],[Do - R1]:[Do - R5]]),"")</f>
        <v>3.5</v>
      </c>
      <c r="EF111" s="14" t="s">
        <v>189</v>
      </c>
      <c r="EG111" s="14" t="s">
        <v>189</v>
      </c>
      <c r="EH111" s="14" t="s">
        <v>189</v>
      </c>
      <c r="EI111" s="14" t="str">
        <f>IFERROR(AVERAGE(Tabel1[[#This Row],[Do - C1a]:[Do - C1c]]),"")</f>
        <v/>
      </c>
      <c r="EJ111" s="14" t="s">
        <v>189</v>
      </c>
      <c r="EK111" s="14" t="s">
        <v>189</v>
      </c>
      <c r="EL111" s="14" t="s">
        <v>189</v>
      </c>
      <c r="EM111" s="14" t="str">
        <f>IFERROR(AVERAGE(Tabel1[[#This Row],[Do - C1]:[Do - C4]]),"")</f>
        <v/>
      </c>
      <c r="EN111" s="14" t="s">
        <v>189</v>
      </c>
      <c r="EO111" s="14" t="s">
        <v>189</v>
      </c>
      <c r="EP111" s="14" t="s">
        <v>189</v>
      </c>
      <c r="EQ111" s="14" t="str">
        <f>IFERROR(AVERAGE(Tabel1[[#This Row],[Do - F1a]:[Do - F1c]]),"")</f>
        <v/>
      </c>
      <c r="ER111" s="14" t="s">
        <v>189</v>
      </c>
      <c r="ES111" s="14" t="str">
        <f>IFERROR(AVERAGE(Tabel1[[#This Row],[Do - F2a]:[Do - F2a]]),"")</f>
        <v/>
      </c>
      <c r="ET111" s="14" t="s">
        <v>189</v>
      </c>
      <c r="EU111" s="14" t="s">
        <v>189</v>
      </c>
      <c r="EV111" s="14" t="str">
        <f>IFERROR(AVERAGE(Tabel1[[#This Row],[Do - F3a]:[Do - F3b]]),"")</f>
        <v/>
      </c>
      <c r="EW111" s="14" t="s">
        <v>189</v>
      </c>
      <c r="EX111" s="14" t="str">
        <f>IFERROR(AVERAGE(Tabel1[[#This Row],[Do - F1]],Tabel1[[#This Row],[Do - F2]],Tabel1[[#This Row],[Do - F3]],Tabel1[[#This Row],[Do - F4]]),"")</f>
        <v/>
      </c>
      <c r="EY111" s="14" t="s">
        <v>189</v>
      </c>
      <c r="EZ111" s="14" t="s">
        <v>189</v>
      </c>
      <c r="FA111" s="14" t="s">
        <v>189</v>
      </c>
      <c r="FB111" s="14" t="str">
        <f>IFERROR(AVERAGE(Tabel1[[#This Row],[Do - V1a]:[Do - V1c]]),"")</f>
        <v/>
      </c>
      <c r="FC111" s="14" t="s">
        <v>189</v>
      </c>
      <c r="FD111" s="14" t="s">
        <v>189</v>
      </c>
      <c r="FE111" s="14" t="str">
        <f>IFERROR(AVERAGE(Tabel1[[#This Row],[Do - V2a]:[Do - V2b]]),"")</f>
        <v/>
      </c>
      <c r="FF111" s="14" t="s">
        <v>189</v>
      </c>
      <c r="FG111" s="14" t="str">
        <f>IFERROR(AVERAGE(Tabel1[[#This Row],[Do - V3a]:[Do - V3a]]),"")</f>
        <v/>
      </c>
      <c r="FH111" s="14" t="s">
        <v>189</v>
      </c>
      <c r="FI111" s="14" t="str">
        <f>IFERROR(AVERAGE(Tabel1[[#This Row],[Do - V1]],Tabel1[[#This Row],[Do - V2]],Tabel1[[#This Row],[Do - V3]],Tabel1[[#This Row],[Do - V4]]),"")</f>
        <v/>
      </c>
      <c r="FJ111" s="14" t="s">
        <v>189</v>
      </c>
      <c r="FK111" s="14" t="s">
        <v>189</v>
      </c>
      <c r="FL111" s="14" t="s">
        <v>189</v>
      </c>
      <c r="FM111" s="14" t="str">
        <f>IFERROR(AVERAGE(Tabel1[[#This Row],[Do - A1a]:[Do - A1c]]),"")</f>
        <v/>
      </c>
      <c r="FN111" s="14" t="s">
        <v>189</v>
      </c>
      <c r="FO111" s="14" t="s">
        <v>189</v>
      </c>
      <c r="FP111" s="14" t="str">
        <f>IFERROR(AVERAGE(Tabel1[[#This Row],[Do - A2a]:[Do - A2b]]),"")</f>
        <v/>
      </c>
      <c r="FQ111" s="14" t="s">
        <v>189</v>
      </c>
      <c r="FR111" s="14" t="str">
        <f>IFERROR(AVERAGE(Tabel1[[#This Row],[Do - A3a]:[Do - A3a]]),"")</f>
        <v/>
      </c>
      <c r="FS111" s="14" t="s">
        <v>189</v>
      </c>
      <c r="FT111" s="14" t="str">
        <f>IFERROR(AVERAGE(Tabel1[[#This Row],[Do - A1]],Tabel1[[#This Row],[Do - A2]],Tabel1[[#This Row],[Do - A3]],Tabel1[[#This Row],[Do - A4]]),"")</f>
        <v/>
      </c>
      <c r="FU11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2.8257575757575757</v>
      </c>
      <c r="FV111" s="16" t="s">
        <v>729</v>
      </c>
      <c r="FW111" t="b">
        <v>1</v>
      </c>
    </row>
    <row r="112" spans="1:179" x14ac:dyDescent="0.3">
      <c r="A112" s="13">
        <v>44980.677951388891</v>
      </c>
      <c r="B112" t="b">
        <v>0</v>
      </c>
      <c r="C112" s="14" t="s">
        <v>730</v>
      </c>
      <c r="D112" s="14" t="s">
        <v>731</v>
      </c>
      <c r="E112" s="14" t="s">
        <v>732</v>
      </c>
      <c r="F112" s="14" t="s">
        <v>184</v>
      </c>
      <c r="G112" s="14" t="s">
        <v>733</v>
      </c>
      <c r="H112" s="14" t="s">
        <v>222</v>
      </c>
      <c r="I112" s="14" t="s">
        <v>417</v>
      </c>
      <c r="J112" s="14" t="s">
        <v>734</v>
      </c>
      <c r="K112" s="14" t="s">
        <v>203</v>
      </c>
      <c r="L112" s="14" t="s">
        <v>218</v>
      </c>
      <c r="M112" s="14" t="s">
        <v>188</v>
      </c>
      <c r="N112" s="14" t="s">
        <v>262</v>
      </c>
      <c r="O112" s="14" t="s">
        <v>200</v>
      </c>
      <c r="P112" s="17" t="s">
        <v>304</v>
      </c>
      <c r="Q112" s="14" t="s">
        <v>203</v>
      </c>
      <c r="R112" s="14" t="s">
        <v>201</v>
      </c>
      <c r="S112" s="14" t="s">
        <v>201</v>
      </c>
      <c r="T112" s="14" t="s">
        <v>348</v>
      </c>
      <c r="U112" s="14" t="s">
        <v>285</v>
      </c>
      <c r="V112" s="14" t="s">
        <v>224</v>
      </c>
      <c r="W112" s="14" t="s">
        <v>395</v>
      </c>
      <c r="X112" s="14" t="s">
        <v>306</v>
      </c>
      <c r="Y112" s="14">
        <v>1</v>
      </c>
      <c r="Z112" s="14">
        <v>3</v>
      </c>
      <c r="AA112" s="14">
        <v>3</v>
      </c>
      <c r="AB112" s="15">
        <f>IFERROR(AVERAGE(Tabel1[[#This Row],[Up - R1a]:[Up - R1c]]),"")</f>
        <v>2.3333333333333335</v>
      </c>
      <c r="AC112" s="14">
        <v>1</v>
      </c>
      <c r="AD112" s="14">
        <v>1</v>
      </c>
      <c r="AE112" s="14">
        <v>1</v>
      </c>
      <c r="AF112" s="14">
        <v>3</v>
      </c>
      <c r="AG112" s="14">
        <f>IFERROR(AVERAGE(Tabel1[[#This Row],[Up - R1]:[Up - R5]]),"")</f>
        <v>1.6666666666666667</v>
      </c>
      <c r="AH112" s="14">
        <v>1</v>
      </c>
      <c r="AI112" s="14">
        <v>2</v>
      </c>
      <c r="AJ112" s="14">
        <v>1</v>
      </c>
      <c r="AK112" s="14">
        <f>IFERROR(AVERAGE(Tabel1[[#This Row],[Up - C1a]:[Up - C1c]]),"")</f>
        <v>1.3333333333333333</v>
      </c>
      <c r="AL112" s="14">
        <v>1</v>
      </c>
      <c r="AM112" s="14">
        <v>1</v>
      </c>
      <c r="AN112" s="14">
        <v>1</v>
      </c>
      <c r="AO112" s="14">
        <f>IFERROR(AVERAGE(Tabel1[[#This Row],[Up - C1]:[Up - C4]]),"")</f>
        <v>1.0833333333333333</v>
      </c>
      <c r="AP112" s="14">
        <v>3</v>
      </c>
      <c r="AQ112" s="14">
        <f>IFERROR(AVERAGE(Tabel1[[#This Row],[Up - F1a]:[Up - F1a]]),"")</f>
        <v>3</v>
      </c>
      <c r="AR112" s="14">
        <v>3</v>
      </c>
      <c r="AS112" s="14">
        <v>5</v>
      </c>
      <c r="AT112" s="14">
        <f>IFERROR(AVERAGE(Tabel1[[#This Row],[Up - F2a]:[Up - F2b]]),"")</f>
        <v>4</v>
      </c>
      <c r="AU112" s="14">
        <v>1</v>
      </c>
      <c r="AV112" s="14">
        <v>3</v>
      </c>
      <c r="AW112" s="14">
        <f>IFERROR(AVERAGE(Tabel1[[#This Row],[Up - F3a]:[Up - F3b]]),"")</f>
        <v>2</v>
      </c>
      <c r="AX112" s="14">
        <v>1</v>
      </c>
      <c r="AY112" s="14">
        <f>IFERROR(AVERAGE(Tabel1[[#This Row],[Up - F1]],Tabel1[[#This Row],[Up - F2]],Tabel1[[#This Row],[Up - F3]],Tabel1[[#This Row],[Up - F4]]),"")</f>
        <v>2.5</v>
      </c>
      <c r="AZ112" s="14">
        <v>1</v>
      </c>
      <c r="BA112" s="14">
        <v>1</v>
      </c>
      <c r="BB112" s="14">
        <f>IFERROR(AVERAGE(Tabel1[[#This Row],[Up - V1a]:[Up - V1b]]),"")</f>
        <v>1</v>
      </c>
      <c r="BC112" s="14">
        <v>2</v>
      </c>
      <c r="BD112" s="14">
        <v>1</v>
      </c>
      <c r="BE112" s="14">
        <v>1</v>
      </c>
      <c r="BF112" s="14">
        <f>IFERROR(AVERAGE(Tabel1[[#This Row],[Up - V2a]:[Up - V2c]]),"")</f>
        <v>1.3333333333333333</v>
      </c>
      <c r="BG112" s="14">
        <v>1</v>
      </c>
      <c r="BH112" s="14" t="s">
        <v>189</v>
      </c>
      <c r="BI112" s="14">
        <f>IFERROR(AVERAGE(Tabel1[[#This Row],[Up - V3a]:[Up - V3b]]),"")</f>
        <v>1</v>
      </c>
      <c r="BJ112" s="14">
        <v>3</v>
      </c>
      <c r="BK112" s="14">
        <f>IFERROR(AVERAGE(Tabel1[[#This Row],[Up - V1]],Tabel1[[#This Row],[Up - V2]],Tabel1[[#This Row],[Up - V3]],Tabel1[[#This Row],[Up - V4]]),"")</f>
        <v>1.5833333333333333</v>
      </c>
      <c r="BL112" s="14">
        <v>2</v>
      </c>
      <c r="BM112" s="14">
        <v>2</v>
      </c>
      <c r="BN112" s="14">
        <v>1</v>
      </c>
      <c r="BO112" s="14">
        <v>1</v>
      </c>
      <c r="BP112" s="14">
        <f>IFERROR(AVERAGE(Tabel1[[#This Row],[Up - A1a]:[Up - A1d]]),"")</f>
        <v>1.5</v>
      </c>
      <c r="BQ112" s="14">
        <v>1</v>
      </c>
      <c r="BR112" s="14" t="s">
        <v>189</v>
      </c>
      <c r="BS112" s="14">
        <f>IFERROR(AVERAGE(Tabel1[[#This Row],[Up - A2a]:[Up - A2b]]),"")</f>
        <v>1</v>
      </c>
      <c r="BT112" s="14">
        <v>2</v>
      </c>
      <c r="BU112" s="14">
        <f>IFERROR(AVERAGE(Tabel1[[#This Row],[Up - A3a]:[Up - A3a]]),"")</f>
        <v>2</v>
      </c>
      <c r="BV112" s="14" t="s">
        <v>189</v>
      </c>
      <c r="BW112" s="14">
        <f>IFERROR(AVERAGE(Tabel1[[#This Row],[Up - A1]],Tabel1[[#This Row],[Up - A2]],Tabel1[[#This Row],[Up - A3]]),"")</f>
        <v>1.5</v>
      </c>
      <c r="BX112" s="14">
        <v>4</v>
      </c>
      <c r="BY112" s="14">
        <v>3</v>
      </c>
      <c r="BZ112" s="14">
        <f>IFERROR(AVERAGE(Tabel1[[#This Row],[In - R1a]:[In - R1b]]),"")</f>
        <v>3.5</v>
      </c>
      <c r="CA112" s="14">
        <v>2</v>
      </c>
      <c r="CB112" s="14" t="s">
        <v>189</v>
      </c>
      <c r="CC112" s="14">
        <v>2</v>
      </c>
      <c r="CD112" s="14">
        <v>5</v>
      </c>
      <c r="CE112" s="14">
        <f>IFERROR(AVERAGE(Tabel1[[#This Row],[In - R1]:[In - R5]]),"")</f>
        <v>3.125</v>
      </c>
      <c r="CF112" s="14">
        <v>1</v>
      </c>
      <c r="CG112" s="14">
        <v>1</v>
      </c>
      <c r="CH112" s="14">
        <v>1</v>
      </c>
      <c r="CI112" s="14">
        <f>IFERROR(AVERAGE(Tabel1[[#This Row],[In - C1a]:[In - C1c]]),"")</f>
        <v>1</v>
      </c>
      <c r="CJ112" s="14" t="s">
        <v>189</v>
      </c>
      <c r="CK112" s="14">
        <v>1</v>
      </c>
      <c r="CL112" s="14" t="s">
        <v>189</v>
      </c>
      <c r="CM112" s="14">
        <f>IFERROR(AVERAGE(Tabel1[[#This Row],[In - C1]:[In - C4]]),"")</f>
        <v>1</v>
      </c>
      <c r="CN112" s="14">
        <v>3</v>
      </c>
      <c r="CO112" s="14">
        <v>2</v>
      </c>
      <c r="CP112" s="14">
        <v>1</v>
      </c>
      <c r="CQ112" s="14">
        <f>IFERROR(AVERAGE(Tabel1[[#This Row],[In - F1a]:[In - F1c]]),"")</f>
        <v>2</v>
      </c>
      <c r="CR112" s="14">
        <v>5</v>
      </c>
      <c r="CS112" s="14">
        <v>4</v>
      </c>
      <c r="CT112" s="14">
        <f>IFERROR(AVERAGE(Tabel1[[#This Row],[In - F2a]:[In - F2b]]),"")</f>
        <v>4.5</v>
      </c>
      <c r="CU112" s="14">
        <v>3</v>
      </c>
      <c r="CV112" s="14">
        <f>IFERROR(AVERAGE(Tabel1[[#This Row],[In - F3a]:[In - F3a]]),"")</f>
        <v>3</v>
      </c>
      <c r="CW112" s="14">
        <v>2</v>
      </c>
      <c r="CX112" s="14">
        <f>IFERROR(AVERAGE(Tabel1[[#This Row],[In - F1]],Tabel1[[#This Row],[In - F2]],Tabel1[[#This Row],[In - F3]],Tabel1[[#This Row],[In - F4]]),"")</f>
        <v>2.875</v>
      </c>
      <c r="CY112" s="14">
        <v>1</v>
      </c>
      <c r="CZ112" s="14">
        <v>1</v>
      </c>
      <c r="DA112" s="14">
        <v>2</v>
      </c>
      <c r="DB112" s="14">
        <f>IFERROR(AVERAGE(Tabel1[[#This Row],[In - V1a]:[In - V1c]]),"")</f>
        <v>1.3333333333333333</v>
      </c>
      <c r="DC112" s="14">
        <v>2</v>
      </c>
      <c r="DD112" s="14">
        <v>1</v>
      </c>
      <c r="DE112" s="14">
        <v>2</v>
      </c>
      <c r="DF112" s="14">
        <f>IFERROR(AVERAGE(Tabel1[[#This Row],[In - V2a]:[In - V2c]]),"")</f>
        <v>1.6666666666666667</v>
      </c>
      <c r="DG112" s="14" t="s">
        <v>189</v>
      </c>
      <c r="DH112" s="14" t="s">
        <v>189</v>
      </c>
      <c r="DI112" s="14" t="str">
        <f>IFERROR(AVERAGE(Tabel1[[#This Row],[In - V3a]:[In - V3b]]),"")</f>
        <v/>
      </c>
      <c r="DJ112" s="14">
        <v>2</v>
      </c>
      <c r="DK112" s="14">
        <f>IFERROR(AVERAGE(Tabel1[[#This Row],[In - V1]],Tabel1[[#This Row],[In - V2]],Tabel1[[#This Row],[In - V3]],Tabel1[[#This Row],[In - V4]]),"")</f>
        <v>1.6666666666666667</v>
      </c>
      <c r="DL112" s="14">
        <v>1</v>
      </c>
      <c r="DM112" s="14" t="s">
        <v>189</v>
      </c>
      <c r="DN112" s="14">
        <f>IFERROR(AVERAGE(Tabel1[[#This Row],[In - A1a]:[In - A1b]]),"")</f>
        <v>1</v>
      </c>
      <c r="DO112" s="14">
        <v>2</v>
      </c>
      <c r="DP112" s="14">
        <v>1</v>
      </c>
      <c r="DQ112" s="14">
        <f>IFERROR(AVERAGE(Tabel1[[#This Row],[In - A2a]:[In - A2b]]),"")</f>
        <v>1.5</v>
      </c>
      <c r="DR112" s="14">
        <v>3</v>
      </c>
      <c r="DS112" s="14">
        <v>1</v>
      </c>
      <c r="DT112" s="14">
        <f>IFERROR(AVERAGE(Tabel1[[#This Row],[In - A3a]:[In - A3a]]),"")</f>
        <v>3</v>
      </c>
      <c r="DU112" s="14" t="s">
        <v>189</v>
      </c>
      <c r="DV112" s="14">
        <f>IFERROR(AVERAGE(Tabel1[[#This Row],[In - A1]],Tabel1[[#This Row],[In - A2]],Tabel1[[#This Row],[In - A3]],Tabel1[[#This Row],[In - A4]]),"")</f>
        <v>1.8333333333333333</v>
      </c>
      <c r="DW112" s="14">
        <v>4</v>
      </c>
      <c r="DX112" s="14">
        <v>5</v>
      </c>
      <c r="DY112" s="14">
        <v>4</v>
      </c>
      <c r="DZ112" s="14">
        <f>IFERROR(AVERAGE(Tabel1[[#This Row],[Do - R1a]:[Do - R1c]]),"")</f>
        <v>4.333333333333333</v>
      </c>
      <c r="EA112" s="14" t="s">
        <v>189</v>
      </c>
      <c r="EB112" s="14" t="s">
        <v>189</v>
      </c>
      <c r="EC112" s="14" t="s">
        <v>189</v>
      </c>
      <c r="ED112" s="14" t="s">
        <v>189</v>
      </c>
      <c r="EE112" s="14">
        <f>IFERROR(AVERAGE(Tabel1[[#This Row],[Do - R1]:[Do - R5]]),"")</f>
        <v>4.333333333333333</v>
      </c>
      <c r="EF112" s="14">
        <v>1</v>
      </c>
      <c r="EG112" s="14">
        <v>2</v>
      </c>
      <c r="EH112" s="14">
        <v>1</v>
      </c>
      <c r="EI112" s="14">
        <f>IFERROR(AVERAGE(Tabel1[[#This Row],[Do - C1a]:[Do - C1c]]),"")</f>
        <v>1.3333333333333333</v>
      </c>
      <c r="EJ112" s="14">
        <v>1</v>
      </c>
      <c r="EK112" s="14">
        <v>1</v>
      </c>
      <c r="EL112" s="14">
        <v>1</v>
      </c>
      <c r="EM112" s="14">
        <f>IFERROR(AVERAGE(Tabel1[[#This Row],[Do - C1]:[Do - C4]]),"")</f>
        <v>1.0833333333333333</v>
      </c>
      <c r="EN112" s="14">
        <v>1</v>
      </c>
      <c r="EO112" s="14">
        <v>1</v>
      </c>
      <c r="EP112" s="14">
        <v>4</v>
      </c>
      <c r="EQ112" s="14">
        <f>IFERROR(AVERAGE(Tabel1[[#This Row],[Do - F1a]:[Do - F1c]]),"")</f>
        <v>2</v>
      </c>
      <c r="ER112" s="14">
        <v>4</v>
      </c>
      <c r="ES112" s="14">
        <f>IFERROR(AVERAGE(Tabel1[[#This Row],[Do - F2a]:[Do - F2a]]),"")</f>
        <v>4</v>
      </c>
      <c r="ET112" s="14">
        <v>1</v>
      </c>
      <c r="EU112" s="14">
        <v>1</v>
      </c>
      <c r="EV112" s="14">
        <f>IFERROR(AVERAGE(Tabel1[[#This Row],[Do - F3a]:[Do - F3b]]),"")</f>
        <v>1</v>
      </c>
      <c r="EW112" s="14">
        <v>1</v>
      </c>
      <c r="EX112" s="14">
        <f>IFERROR(AVERAGE(Tabel1[[#This Row],[Do - F1]],Tabel1[[#This Row],[Do - F2]],Tabel1[[#This Row],[Do - F3]],Tabel1[[#This Row],[Do - F4]]),"")</f>
        <v>2</v>
      </c>
      <c r="EY112" s="14">
        <v>1</v>
      </c>
      <c r="EZ112" s="14">
        <v>1</v>
      </c>
      <c r="FA112" s="14">
        <v>3</v>
      </c>
      <c r="FB112" s="14">
        <f>IFERROR(AVERAGE(Tabel1[[#This Row],[Do - V1a]:[Do - V1c]]),"")</f>
        <v>1.6666666666666667</v>
      </c>
      <c r="FC112" s="14">
        <v>2</v>
      </c>
      <c r="FD112" s="14">
        <v>1</v>
      </c>
      <c r="FE112" s="14">
        <f>IFERROR(AVERAGE(Tabel1[[#This Row],[Do - V2a]:[Do - V2b]]),"")</f>
        <v>1.5</v>
      </c>
      <c r="FF112" s="14">
        <v>1</v>
      </c>
      <c r="FG112" s="14">
        <f>IFERROR(AVERAGE(Tabel1[[#This Row],[Do - V3a]:[Do - V3a]]),"")</f>
        <v>1</v>
      </c>
      <c r="FH112" s="14">
        <v>3</v>
      </c>
      <c r="FI112" s="14">
        <f>IFERROR(AVERAGE(Tabel1[[#This Row],[Do - V1]],Tabel1[[#This Row],[Do - V2]],Tabel1[[#This Row],[Do - V3]],Tabel1[[#This Row],[Do - V4]]),"")</f>
        <v>1.7916666666666667</v>
      </c>
      <c r="FJ112" s="14">
        <v>1</v>
      </c>
      <c r="FK112" s="14">
        <v>1</v>
      </c>
      <c r="FL112" s="14">
        <v>2</v>
      </c>
      <c r="FM112" s="14">
        <f>IFERROR(AVERAGE(Tabel1[[#This Row],[Do - A1a]:[Do - A1c]]),"")</f>
        <v>1.3333333333333333</v>
      </c>
      <c r="FN112" s="14">
        <v>3</v>
      </c>
      <c r="FO112" s="14" t="s">
        <v>189</v>
      </c>
      <c r="FP112" s="14">
        <f>IFERROR(AVERAGE(Tabel1[[#This Row],[Do - A2a]:[Do - A2b]]),"")</f>
        <v>3</v>
      </c>
      <c r="FQ112" s="14">
        <v>1</v>
      </c>
      <c r="FR112" s="14">
        <f>IFERROR(AVERAGE(Tabel1[[#This Row],[Do - A3a]:[Do - A3a]]),"")</f>
        <v>1</v>
      </c>
      <c r="FS112" s="14" t="s">
        <v>189</v>
      </c>
      <c r="FT112" s="14">
        <f>IFERROR(AVERAGE(Tabel1[[#This Row],[Do - A1]],Tabel1[[#This Row],[Do - A2]],Tabel1[[#This Row],[Do - A3]],Tabel1[[#This Row],[Do - A4]]),"")</f>
        <v>1.7777777777777777</v>
      </c>
      <c r="FU11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1.9879629629629629</v>
      </c>
      <c r="FV112" s="16" t="s">
        <v>735</v>
      </c>
      <c r="FW112" t="b">
        <v>1</v>
      </c>
    </row>
    <row r="113" spans="1:179" x14ac:dyDescent="0.3">
      <c r="A113" s="13">
        <v>44981.430127314816</v>
      </c>
      <c r="B113" t="b">
        <v>0</v>
      </c>
      <c r="C113" s="14" t="s">
        <v>736</v>
      </c>
      <c r="D113" s="14" t="s">
        <v>737</v>
      </c>
      <c r="E113" s="14" t="s">
        <v>738</v>
      </c>
      <c r="F113" s="14" t="s">
        <v>739</v>
      </c>
      <c r="G113" s="14" t="s">
        <v>740</v>
      </c>
      <c r="H113" s="14" t="s">
        <v>194</v>
      </c>
      <c r="I113" s="14" t="s">
        <v>186</v>
      </c>
      <c r="J113" s="14" t="s">
        <v>186</v>
      </c>
      <c r="K113" s="14" t="s">
        <v>235</v>
      </c>
      <c r="L113" s="14" t="s">
        <v>197</v>
      </c>
      <c r="M113" s="14" t="s">
        <v>233</v>
      </c>
      <c r="N113" s="14" t="s">
        <v>479</v>
      </c>
      <c r="O113" s="14" t="s">
        <v>200</v>
      </c>
      <c r="P113" s="17" t="s">
        <v>304</v>
      </c>
      <c r="Q113" s="14" t="s">
        <v>201</v>
      </c>
      <c r="R113" s="17" t="s">
        <v>304</v>
      </c>
      <c r="S113" s="17" t="s">
        <v>255</v>
      </c>
      <c r="T113" s="14" t="s">
        <v>348</v>
      </c>
      <c r="U113" s="14" t="s">
        <v>237</v>
      </c>
      <c r="V113" s="14" t="s">
        <v>224</v>
      </c>
      <c r="W113" s="14" t="s">
        <v>207</v>
      </c>
      <c r="X113" s="14" t="s">
        <v>207</v>
      </c>
      <c r="Y113" s="14">
        <v>3</v>
      </c>
      <c r="Z113" s="14">
        <v>4</v>
      </c>
      <c r="AA113" s="14">
        <v>4</v>
      </c>
      <c r="AB113" s="15">
        <f>IFERROR(AVERAGE(Tabel1[[#This Row],[Up - R1a]:[Up - R1c]]),"")</f>
        <v>3.6666666666666665</v>
      </c>
      <c r="AC113" s="14">
        <v>4</v>
      </c>
      <c r="AD113" s="14">
        <v>4</v>
      </c>
      <c r="AE113" s="14">
        <v>4</v>
      </c>
      <c r="AF113" s="14">
        <v>4</v>
      </c>
      <c r="AG113" s="14">
        <f>IFERROR(AVERAGE(Tabel1[[#This Row],[Up - R1]:[Up - R5]]),"")</f>
        <v>3.9333333333333327</v>
      </c>
      <c r="AH113" s="14">
        <v>4</v>
      </c>
      <c r="AI113" s="14">
        <v>4</v>
      </c>
      <c r="AJ113" s="14">
        <v>4</v>
      </c>
      <c r="AK113" s="14">
        <f>IFERROR(AVERAGE(Tabel1[[#This Row],[Up - C1a]:[Up - C1c]]),"")</f>
        <v>4</v>
      </c>
      <c r="AL113" s="14">
        <v>5</v>
      </c>
      <c r="AM113" s="14">
        <v>4</v>
      </c>
      <c r="AN113" s="14">
        <v>4</v>
      </c>
      <c r="AO113" s="14">
        <f>IFERROR(AVERAGE(Tabel1[[#This Row],[Up - C1]:[Up - C4]]),"")</f>
        <v>4.25</v>
      </c>
      <c r="AP113" s="14">
        <v>4</v>
      </c>
      <c r="AQ113" s="14">
        <f>IFERROR(AVERAGE(Tabel1[[#This Row],[Up - F1a]:[Up - F1a]]),"")</f>
        <v>4</v>
      </c>
      <c r="AR113" s="14">
        <v>3</v>
      </c>
      <c r="AS113" s="14">
        <v>3</v>
      </c>
      <c r="AT113" s="14">
        <f>IFERROR(AVERAGE(Tabel1[[#This Row],[Up - F2a]:[Up - F2b]]),"")</f>
        <v>3</v>
      </c>
      <c r="AU113" s="14">
        <v>3</v>
      </c>
      <c r="AV113" s="14">
        <v>4</v>
      </c>
      <c r="AW113" s="14">
        <f>IFERROR(AVERAGE(Tabel1[[#This Row],[Up - F3a]:[Up - F3b]]),"")</f>
        <v>3.5</v>
      </c>
      <c r="AX113" s="14">
        <v>4</v>
      </c>
      <c r="AY113" s="14">
        <f>IFERROR(AVERAGE(Tabel1[[#This Row],[Up - F1]],Tabel1[[#This Row],[Up - F2]],Tabel1[[#This Row],[Up - F3]],Tabel1[[#This Row],[Up - F4]]),"")</f>
        <v>3.625</v>
      </c>
      <c r="AZ113" s="14">
        <v>4</v>
      </c>
      <c r="BA113" s="14">
        <v>4</v>
      </c>
      <c r="BB113" s="14">
        <f>IFERROR(AVERAGE(Tabel1[[#This Row],[Up - V1a]:[Up - V1b]]),"")</f>
        <v>4</v>
      </c>
      <c r="BC113" s="14">
        <v>4</v>
      </c>
      <c r="BD113" s="14">
        <v>4</v>
      </c>
      <c r="BE113" s="14">
        <v>5</v>
      </c>
      <c r="BF113" s="14">
        <f>IFERROR(AVERAGE(Tabel1[[#This Row],[Up - V2a]:[Up - V2c]]),"")</f>
        <v>4.333333333333333</v>
      </c>
      <c r="BG113" s="14">
        <v>4</v>
      </c>
      <c r="BH113" s="14">
        <v>4</v>
      </c>
      <c r="BI113" s="14">
        <f>IFERROR(AVERAGE(Tabel1[[#This Row],[Up - V3a]:[Up - V3b]]),"")</f>
        <v>4</v>
      </c>
      <c r="BJ113" s="14">
        <v>4</v>
      </c>
      <c r="BK113" s="14">
        <f>IFERROR(AVERAGE(Tabel1[[#This Row],[Up - V1]],Tabel1[[#This Row],[Up - V2]],Tabel1[[#This Row],[Up - V3]],Tabel1[[#This Row],[Up - V4]]),"")</f>
        <v>4.083333333333333</v>
      </c>
      <c r="BL113" s="14">
        <v>4</v>
      </c>
      <c r="BM113" s="14">
        <v>4</v>
      </c>
      <c r="BN113" s="14">
        <v>4</v>
      </c>
      <c r="BO113" s="14">
        <v>3</v>
      </c>
      <c r="BP113" s="14">
        <f>IFERROR(AVERAGE(Tabel1[[#This Row],[Up - A1a]:[Up - A1d]]),"")</f>
        <v>3.75</v>
      </c>
      <c r="BQ113" s="14">
        <v>3</v>
      </c>
      <c r="BR113" s="14">
        <v>3</v>
      </c>
      <c r="BS113" s="14">
        <f>IFERROR(AVERAGE(Tabel1[[#This Row],[Up - A2a]:[Up - A2b]]),"")</f>
        <v>3</v>
      </c>
      <c r="BT113" s="14">
        <v>4</v>
      </c>
      <c r="BU113" s="14">
        <f>IFERROR(AVERAGE(Tabel1[[#This Row],[Up - A3a]:[Up - A3a]]),"")</f>
        <v>4</v>
      </c>
      <c r="BV113" s="14">
        <v>4</v>
      </c>
      <c r="BW113" s="14">
        <f>IFERROR(AVERAGE(Tabel1[[#This Row],[Up - A1]],Tabel1[[#This Row],[Up - A2]],Tabel1[[#This Row],[Up - A3]]),"")</f>
        <v>3.5833333333333335</v>
      </c>
      <c r="BX113" s="14">
        <v>4</v>
      </c>
      <c r="BY113" s="14">
        <v>4</v>
      </c>
      <c r="BZ113" s="14">
        <f>IFERROR(AVERAGE(Tabel1[[#This Row],[In - R1a]:[In - R1b]]),"")</f>
        <v>4</v>
      </c>
      <c r="CA113" s="14">
        <v>4</v>
      </c>
      <c r="CB113" s="14">
        <v>4</v>
      </c>
      <c r="CC113" s="14">
        <v>4</v>
      </c>
      <c r="CD113" s="14">
        <v>4</v>
      </c>
      <c r="CE113" s="14">
        <f>IFERROR(AVERAGE(Tabel1[[#This Row],[In - R1]:[In - R5]]),"")</f>
        <v>4</v>
      </c>
      <c r="CF113" s="14">
        <v>5</v>
      </c>
      <c r="CG113" s="14">
        <v>4</v>
      </c>
      <c r="CH113" s="14">
        <v>4</v>
      </c>
      <c r="CI113" s="14">
        <f>IFERROR(AVERAGE(Tabel1[[#This Row],[In - C1a]:[In - C1c]]),"")</f>
        <v>4.333333333333333</v>
      </c>
      <c r="CJ113" s="14">
        <v>4</v>
      </c>
      <c r="CK113" s="14">
        <v>5</v>
      </c>
      <c r="CL113" s="14">
        <v>4</v>
      </c>
      <c r="CM113" s="14">
        <f>IFERROR(AVERAGE(Tabel1[[#This Row],[In - C1]:[In - C4]]),"")</f>
        <v>4.333333333333333</v>
      </c>
      <c r="CN113" s="14">
        <v>3</v>
      </c>
      <c r="CO113" s="14">
        <v>3</v>
      </c>
      <c r="CP113" s="14">
        <v>4</v>
      </c>
      <c r="CQ113" s="14">
        <f>IFERROR(AVERAGE(Tabel1[[#This Row],[In - F1a]:[In - F1c]]),"")</f>
        <v>3.3333333333333335</v>
      </c>
      <c r="CR113" s="14">
        <v>4</v>
      </c>
      <c r="CS113" s="14">
        <v>3</v>
      </c>
      <c r="CT113" s="14">
        <f>IFERROR(AVERAGE(Tabel1[[#This Row],[In - F2a]:[In - F2b]]),"")</f>
        <v>3.5</v>
      </c>
      <c r="CU113" s="14">
        <v>3</v>
      </c>
      <c r="CV113" s="14">
        <f>IFERROR(AVERAGE(Tabel1[[#This Row],[In - F3a]:[In - F3a]]),"")</f>
        <v>3</v>
      </c>
      <c r="CW113" s="14">
        <v>4</v>
      </c>
      <c r="CX113" s="14">
        <f>IFERROR(AVERAGE(Tabel1[[#This Row],[In - F1]],Tabel1[[#This Row],[In - F2]],Tabel1[[#This Row],[In - F3]],Tabel1[[#This Row],[In - F4]]),"")</f>
        <v>3.4583333333333335</v>
      </c>
      <c r="CY113" s="14">
        <v>4</v>
      </c>
      <c r="CZ113" s="14">
        <v>4</v>
      </c>
      <c r="DA113" s="14">
        <v>4</v>
      </c>
      <c r="DB113" s="14">
        <f>IFERROR(AVERAGE(Tabel1[[#This Row],[In - V1a]:[In - V1c]]),"")</f>
        <v>4</v>
      </c>
      <c r="DC113" s="14">
        <v>4</v>
      </c>
      <c r="DD113" s="14">
        <v>5</v>
      </c>
      <c r="DE113" s="14">
        <v>5</v>
      </c>
      <c r="DF113" s="14">
        <f>IFERROR(AVERAGE(Tabel1[[#This Row],[In - V2a]:[In - V2c]]),"")</f>
        <v>4.666666666666667</v>
      </c>
      <c r="DG113" s="14">
        <v>4</v>
      </c>
      <c r="DH113" s="14">
        <v>5</v>
      </c>
      <c r="DI113" s="14">
        <f>IFERROR(AVERAGE(Tabel1[[#This Row],[In - V3a]:[In - V3b]]),"")</f>
        <v>4.5</v>
      </c>
      <c r="DJ113" s="14">
        <v>4</v>
      </c>
      <c r="DK113" s="14">
        <f>IFERROR(AVERAGE(Tabel1[[#This Row],[In - V1]],Tabel1[[#This Row],[In - V2]],Tabel1[[#This Row],[In - V3]],Tabel1[[#This Row],[In - V4]]),"")</f>
        <v>4.291666666666667</v>
      </c>
      <c r="DL113" s="14">
        <v>3</v>
      </c>
      <c r="DM113" s="14">
        <v>4</v>
      </c>
      <c r="DN113" s="14">
        <f>IFERROR(AVERAGE(Tabel1[[#This Row],[In - A1a]:[In - A1b]]),"")</f>
        <v>3.5</v>
      </c>
      <c r="DO113" s="14">
        <v>4</v>
      </c>
      <c r="DP113" s="14">
        <v>4</v>
      </c>
      <c r="DQ113" s="14">
        <f>IFERROR(AVERAGE(Tabel1[[#This Row],[In - A2a]:[In - A2b]]),"")</f>
        <v>4</v>
      </c>
      <c r="DR113" s="14">
        <v>4</v>
      </c>
      <c r="DS113" s="14">
        <v>4</v>
      </c>
      <c r="DT113" s="14">
        <f>IFERROR(AVERAGE(Tabel1[[#This Row],[In - A3a]:[In - A3a]]),"")</f>
        <v>4</v>
      </c>
      <c r="DU113" s="14">
        <v>4</v>
      </c>
      <c r="DV113" s="14">
        <f>IFERROR(AVERAGE(Tabel1[[#This Row],[In - A1]],Tabel1[[#This Row],[In - A2]],Tabel1[[#This Row],[In - A3]],Tabel1[[#This Row],[In - A4]]),"")</f>
        <v>3.875</v>
      </c>
      <c r="DW113" s="14">
        <v>3</v>
      </c>
      <c r="DX113" s="14">
        <v>3</v>
      </c>
      <c r="DY113" s="14">
        <v>3</v>
      </c>
      <c r="DZ113" s="14">
        <f>IFERROR(AVERAGE(Tabel1[[#This Row],[Do - R1a]:[Do - R1c]]),"")</f>
        <v>3</v>
      </c>
      <c r="EA113" s="14">
        <v>4</v>
      </c>
      <c r="EB113" s="14">
        <v>4</v>
      </c>
      <c r="EC113" s="14">
        <v>4</v>
      </c>
      <c r="ED113" s="14">
        <v>4</v>
      </c>
      <c r="EE113" s="14">
        <f>IFERROR(AVERAGE(Tabel1[[#This Row],[Do - R1]:[Do - R5]]),"")</f>
        <v>3.8</v>
      </c>
      <c r="EF113" s="14">
        <v>4</v>
      </c>
      <c r="EG113" s="14">
        <v>4</v>
      </c>
      <c r="EH113" s="14">
        <v>4</v>
      </c>
      <c r="EI113" s="14">
        <f>IFERROR(AVERAGE(Tabel1[[#This Row],[Do - C1a]:[Do - C1c]]),"")</f>
        <v>4</v>
      </c>
      <c r="EJ113" s="14">
        <v>5</v>
      </c>
      <c r="EK113" s="14">
        <v>4</v>
      </c>
      <c r="EL113" s="14">
        <v>4</v>
      </c>
      <c r="EM113" s="14">
        <f>IFERROR(AVERAGE(Tabel1[[#This Row],[Do - C1]:[Do - C4]]),"")</f>
        <v>4.25</v>
      </c>
      <c r="EN113" s="14">
        <v>3</v>
      </c>
      <c r="EO113" s="14">
        <v>3</v>
      </c>
      <c r="EP113" s="14">
        <v>4</v>
      </c>
      <c r="EQ113" s="14">
        <f>IFERROR(AVERAGE(Tabel1[[#This Row],[Do - F1a]:[Do - F1c]]),"")</f>
        <v>3.3333333333333335</v>
      </c>
      <c r="ER113" s="14">
        <v>3</v>
      </c>
      <c r="ES113" s="14">
        <f>IFERROR(AVERAGE(Tabel1[[#This Row],[Do - F2a]:[Do - F2a]]),"")</f>
        <v>3</v>
      </c>
      <c r="ET113" s="14">
        <v>3</v>
      </c>
      <c r="EU113" s="14">
        <v>4</v>
      </c>
      <c r="EV113" s="14">
        <f>IFERROR(AVERAGE(Tabel1[[#This Row],[Do - F3a]:[Do - F3b]]),"")</f>
        <v>3.5</v>
      </c>
      <c r="EW113" s="14">
        <v>4</v>
      </c>
      <c r="EX113" s="14">
        <f>IFERROR(AVERAGE(Tabel1[[#This Row],[Do - F1]],Tabel1[[#This Row],[Do - F2]],Tabel1[[#This Row],[Do - F3]],Tabel1[[#This Row],[Do - F4]]),"")</f>
        <v>3.4583333333333335</v>
      </c>
      <c r="EY113" s="14">
        <v>4</v>
      </c>
      <c r="EZ113" s="14">
        <v>4</v>
      </c>
      <c r="FA113" s="14">
        <v>4</v>
      </c>
      <c r="FB113" s="14">
        <f>IFERROR(AVERAGE(Tabel1[[#This Row],[Do - V1a]:[Do - V1c]]),"")</f>
        <v>4</v>
      </c>
      <c r="FC113" s="14">
        <v>4</v>
      </c>
      <c r="FD113" s="14">
        <v>4</v>
      </c>
      <c r="FE113" s="14">
        <f>IFERROR(AVERAGE(Tabel1[[#This Row],[Do - V2a]:[Do - V2b]]),"")</f>
        <v>4</v>
      </c>
      <c r="FF113" s="14">
        <v>5</v>
      </c>
      <c r="FG113" s="14">
        <f>IFERROR(AVERAGE(Tabel1[[#This Row],[Do - V3a]:[Do - V3a]]),"")</f>
        <v>5</v>
      </c>
      <c r="FH113" s="14">
        <v>4</v>
      </c>
      <c r="FI113" s="14">
        <f>IFERROR(AVERAGE(Tabel1[[#This Row],[Do - V1]],Tabel1[[#This Row],[Do - V2]],Tabel1[[#This Row],[Do - V3]],Tabel1[[#This Row],[Do - V4]]),"")</f>
        <v>4.25</v>
      </c>
      <c r="FJ113" s="14">
        <v>3</v>
      </c>
      <c r="FK113" s="14">
        <v>4</v>
      </c>
      <c r="FL113" s="14">
        <v>4</v>
      </c>
      <c r="FM113" s="14">
        <f>IFERROR(AVERAGE(Tabel1[[#This Row],[Do - A1a]:[Do - A1c]]),"")</f>
        <v>3.6666666666666665</v>
      </c>
      <c r="FN113" s="14">
        <v>4</v>
      </c>
      <c r="FO113" s="14">
        <v>3</v>
      </c>
      <c r="FP113" s="14">
        <f>IFERROR(AVERAGE(Tabel1[[#This Row],[Do - A2a]:[Do - A2b]]),"")</f>
        <v>3.5</v>
      </c>
      <c r="FQ113" s="14">
        <v>4</v>
      </c>
      <c r="FR113" s="14">
        <f>IFERROR(AVERAGE(Tabel1[[#This Row],[Do - A3a]:[Do - A3a]]),"")</f>
        <v>4</v>
      </c>
      <c r="FS113" s="14">
        <v>4</v>
      </c>
      <c r="FT113" s="14">
        <f>IFERROR(AVERAGE(Tabel1[[#This Row],[Do - A1]],Tabel1[[#This Row],[Do - A2]],Tabel1[[#This Row],[Do - A3]],Tabel1[[#This Row],[Do - A4]]),"")</f>
        <v>3.7916666666666665</v>
      </c>
      <c r="FU11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3.9322222222222218</v>
      </c>
      <c r="FV113" s="16" t="s">
        <v>741</v>
      </c>
      <c r="FW113" t="b">
        <v>1</v>
      </c>
    </row>
    <row r="114" spans="1:179" x14ac:dyDescent="0.3">
      <c r="A114" s="13">
        <v>44981.975648148145</v>
      </c>
      <c r="B114" t="b">
        <v>0</v>
      </c>
      <c r="C114" s="14" t="s">
        <v>742</v>
      </c>
      <c r="D114" s="14" t="s">
        <v>743</v>
      </c>
      <c r="E114" s="14" t="s">
        <v>744</v>
      </c>
      <c r="F114" s="14" t="s">
        <v>739</v>
      </c>
      <c r="G114" s="14" t="s">
        <v>745</v>
      </c>
      <c r="H114" s="14" t="s">
        <v>194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>
        <v>3</v>
      </c>
      <c r="Z114" s="14">
        <v>5</v>
      </c>
      <c r="AA114" s="14" t="s">
        <v>189</v>
      </c>
      <c r="AB114" s="15">
        <f>IFERROR(AVERAGE(Tabel1[[#This Row],[Up - R1a]:[Up - R1c]]),"")</f>
        <v>4</v>
      </c>
      <c r="AC114" s="14">
        <v>3</v>
      </c>
      <c r="AD114" s="14">
        <v>1</v>
      </c>
      <c r="AE114" s="14">
        <v>1</v>
      </c>
      <c r="AF114" s="14">
        <v>3</v>
      </c>
      <c r="AG114" s="14">
        <f>IFERROR(AVERAGE(Tabel1[[#This Row],[Up - R1]:[Up - R5]]),"")</f>
        <v>2.4</v>
      </c>
      <c r="AH114" s="14">
        <v>3</v>
      </c>
      <c r="AI114" s="14">
        <v>5</v>
      </c>
      <c r="AJ114" s="14">
        <v>3</v>
      </c>
      <c r="AK114" s="14">
        <f>IFERROR(AVERAGE(Tabel1[[#This Row],[Up - C1a]:[Up - C1c]]),"")</f>
        <v>3.6666666666666665</v>
      </c>
      <c r="AL114" s="14">
        <v>2</v>
      </c>
      <c r="AM114" s="14">
        <v>1</v>
      </c>
      <c r="AN114" s="14">
        <v>4</v>
      </c>
      <c r="AO114" s="14">
        <f>IFERROR(AVERAGE(Tabel1[[#This Row],[Up - C1]:[Up - C4]]),"")</f>
        <v>2.6666666666666665</v>
      </c>
      <c r="AP114" s="14">
        <v>2</v>
      </c>
      <c r="AQ114" s="14">
        <f>IFERROR(AVERAGE(Tabel1[[#This Row],[Up - F1a]:[Up - F1a]]),"")</f>
        <v>2</v>
      </c>
      <c r="AR114" s="14">
        <v>3</v>
      </c>
      <c r="AS114" s="14">
        <v>3</v>
      </c>
      <c r="AT114" s="14">
        <f>IFERROR(AVERAGE(Tabel1[[#This Row],[Up - F2a]:[Up - F2b]]),"")</f>
        <v>3</v>
      </c>
      <c r="AU114" s="14">
        <v>3</v>
      </c>
      <c r="AV114" s="14">
        <v>3</v>
      </c>
      <c r="AW114" s="14">
        <f>IFERROR(AVERAGE(Tabel1[[#This Row],[Up - F3a]:[Up - F3b]]),"")</f>
        <v>3</v>
      </c>
      <c r="AX114" s="14">
        <v>2</v>
      </c>
      <c r="AY114" s="14">
        <f>IFERROR(AVERAGE(Tabel1[[#This Row],[Up - F1]],Tabel1[[#This Row],[Up - F2]],Tabel1[[#This Row],[Up - F3]],Tabel1[[#This Row],[Up - F4]]),"")</f>
        <v>2.5</v>
      </c>
      <c r="AZ114" s="14">
        <v>2</v>
      </c>
      <c r="BA114" s="14">
        <v>2</v>
      </c>
      <c r="BB114" s="14">
        <f>IFERROR(AVERAGE(Tabel1[[#This Row],[Up - V1a]:[Up - V1b]]),"")</f>
        <v>2</v>
      </c>
      <c r="BC114" s="14">
        <v>3</v>
      </c>
      <c r="BD114" s="14">
        <v>3</v>
      </c>
      <c r="BE114" s="14">
        <v>3</v>
      </c>
      <c r="BF114" s="14">
        <f>IFERROR(AVERAGE(Tabel1[[#This Row],[Up - V2a]:[Up - V2c]]),"")</f>
        <v>3</v>
      </c>
      <c r="BG114" s="14">
        <v>4</v>
      </c>
      <c r="BH114" s="14" t="s">
        <v>189</v>
      </c>
      <c r="BI114" s="14">
        <f>IFERROR(AVERAGE(Tabel1[[#This Row],[Up - V3a]:[Up - V3b]]),"")</f>
        <v>4</v>
      </c>
      <c r="BJ114" s="14" t="s">
        <v>189</v>
      </c>
      <c r="BK114" s="14">
        <f>IFERROR(AVERAGE(Tabel1[[#This Row],[Up - V1]],Tabel1[[#This Row],[Up - V2]],Tabel1[[#This Row],[Up - V3]],Tabel1[[#This Row],[Up - V4]]),"")</f>
        <v>3</v>
      </c>
      <c r="BL114" s="14" t="s">
        <v>189</v>
      </c>
      <c r="BM114" s="14" t="s">
        <v>189</v>
      </c>
      <c r="BN114" s="14" t="s">
        <v>189</v>
      </c>
      <c r="BO114" s="14" t="s">
        <v>189</v>
      </c>
      <c r="BP114" s="14" t="str">
        <f>IFERROR(AVERAGE(Tabel1[[#This Row],[Up - A1a]:[Up - A1d]]),"")</f>
        <v/>
      </c>
      <c r="BQ114" s="14" t="s">
        <v>189</v>
      </c>
      <c r="BR114" s="14" t="s">
        <v>189</v>
      </c>
      <c r="BS114" s="14" t="str">
        <f>IFERROR(AVERAGE(Tabel1[[#This Row],[Up - A2a]:[Up - A2b]]),"")</f>
        <v/>
      </c>
      <c r="BT114" s="14" t="s">
        <v>189</v>
      </c>
      <c r="BU114" s="14" t="str">
        <f>IFERROR(AVERAGE(Tabel1[[#This Row],[Up - A3a]:[Up - A3a]]),"")</f>
        <v/>
      </c>
      <c r="BV114" s="14" t="s">
        <v>189</v>
      </c>
      <c r="BW114" s="14" t="str">
        <f>IFERROR(AVERAGE(Tabel1[[#This Row],[Up - A1]],Tabel1[[#This Row],[Up - A2]],Tabel1[[#This Row],[Up - A3]]),"")</f>
        <v/>
      </c>
      <c r="BX114" s="14">
        <v>3</v>
      </c>
      <c r="BY114" s="14">
        <v>1</v>
      </c>
      <c r="BZ114" s="14">
        <f>IFERROR(AVERAGE(Tabel1[[#This Row],[In - R1a]:[In - R1b]]),"")</f>
        <v>2</v>
      </c>
      <c r="CA114" s="14">
        <v>4</v>
      </c>
      <c r="CB114" s="14">
        <v>1</v>
      </c>
      <c r="CC114" s="14">
        <v>3</v>
      </c>
      <c r="CD114" s="14">
        <v>3</v>
      </c>
      <c r="CE114" s="14">
        <f>IFERROR(AVERAGE(Tabel1[[#This Row],[In - R1]:[In - R5]]),"")</f>
        <v>2.6</v>
      </c>
      <c r="CF114" s="14">
        <v>3</v>
      </c>
      <c r="CG114" s="14">
        <v>2</v>
      </c>
      <c r="CH114" s="14">
        <v>3</v>
      </c>
      <c r="CI114" s="14">
        <f>IFERROR(AVERAGE(Tabel1[[#This Row],[In - C1a]:[In - C1c]]),"")</f>
        <v>2.6666666666666665</v>
      </c>
      <c r="CJ114" s="14">
        <v>2</v>
      </c>
      <c r="CK114" s="14">
        <v>3</v>
      </c>
      <c r="CL114" s="14">
        <v>4</v>
      </c>
      <c r="CM114" s="14">
        <f>IFERROR(AVERAGE(Tabel1[[#This Row],[In - C1]:[In - C4]]),"")</f>
        <v>2.9166666666666665</v>
      </c>
      <c r="CN114" s="14">
        <v>3</v>
      </c>
      <c r="CO114" s="14">
        <v>2</v>
      </c>
      <c r="CP114" s="14">
        <v>1</v>
      </c>
      <c r="CQ114" s="14">
        <f>IFERROR(AVERAGE(Tabel1[[#This Row],[In - F1a]:[In - F1c]]),"")</f>
        <v>2</v>
      </c>
      <c r="CR114" s="14">
        <v>3</v>
      </c>
      <c r="CS114" s="14">
        <v>3</v>
      </c>
      <c r="CT114" s="14">
        <f>IFERROR(AVERAGE(Tabel1[[#This Row],[In - F2a]:[In - F2b]]),"")</f>
        <v>3</v>
      </c>
      <c r="CU114" s="14">
        <v>3</v>
      </c>
      <c r="CV114" s="14">
        <f>IFERROR(AVERAGE(Tabel1[[#This Row],[In - F3a]:[In - F3a]]),"")</f>
        <v>3</v>
      </c>
      <c r="CW114" s="14">
        <v>4</v>
      </c>
      <c r="CX114" s="14">
        <f>IFERROR(AVERAGE(Tabel1[[#This Row],[In - F1]],Tabel1[[#This Row],[In - F2]],Tabel1[[#This Row],[In - F3]],Tabel1[[#This Row],[In - F4]]),"")</f>
        <v>3</v>
      </c>
      <c r="CY114" s="14">
        <v>4</v>
      </c>
      <c r="CZ114" s="14">
        <v>3</v>
      </c>
      <c r="DA114" s="14">
        <v>1</v>
      </c>
      <c r="DB114" s="14">
        <f>IFERROR(AVERAGE(Tabel1[[#This Row],[In - V1a]:[In - V1c]]),"")</f>
        <v>2.6666666666666665</v>
      </c>
      <c r="DC114" s="14">
        <v>3</v>
      </c>
      <c r="DD114" s="14">
        <v>3</v>
      </c>
      <c r="DE114" s="14">
        <v>3</v>
      </c>
      <c r="DF114" s="14">
        <f>IFERROR(AVERAGE(Tabel1[[#This Row],[In - V2a]:[In - V2c]]),"")</f>
        <v>3</v>
      </c>
      <c r="DG114" s="14">
        <v>2</v>
      </c>
      <c r="DH114" s="14" t="s">
        <v>189</v>
      </c>
      <c r="DI114" s="14">
        <f>IFERROR(AVERAGE(Tabel1[[#This Row],[In - V3a]:[In - V3b]]),"")</f>
        <v>2</v>
      </c>
      <c r="DJ114" s="14" t="s">
        <v>189</v>
      </c>
      <c r="DK114" s="14">
        <f>IFERROR(AVERAGE(Tabel1[[#This Row],[In - V1]],Tabel1[[#This Row],[In - V2]],Tabel1[[#This Row],[In - V3]],Tabel1[[#This Row],[In - V4]]),"")</f>
        <v>2.5555555555555554</v>
      </c>
      <c r="DL114" s="14" t="s">
        <v>189</v>
      </c>
      <c r="DM114" s="14" t="s">
        <v>189</v>
      </c>
      <c r="DN114" s="14" t="str">
        <f>IFERROR(AVERAGE(Tabel1[[#This Row],[In - A1a]:[In - A1b]]),"")</f>
        <v/>
      </c>
      <c r="DO114" s="14" t="s">
        <v>189</v>
      </c>
      <c r="DP114" s="14" t="s">
        <v>189</v>
      </c>
      <c r="DQ114" s="14" t="str">
        <f>IFERROR(AVERAGE(Tabel1[[#This Row],[In - A2a]:[In - A2b]]),"")</f>
        <v/>
      </c>
      <c r="DR114" s="14" t="s">
        <v>189</v>
      </c>
      <c r="DS114" s="14" t="s">
        <v>189</v>
      </c>
      <c r="DT114" s="14" t="str">
        <f>IFERROR(AVERAGE(Tabel1[[#This Row],[In - A3a]:[In - A3a]]),"")</f>
        <v/>
      </c>
      <c r="DU114" s="14" t="s">
        <v>189</v>
      </c>
      <c r="DV114" s="14" t="str">
        <f>IFERROR(AVERAGE(Tabel1[[#This Row],[In - A1]],Tabel1[[#This Row],[In - A2]],Tabel1[[#This Row],[In - A3]],Tabel1[[#This Row],[In - A4]]),"")</f>
        <v/>
      </c>
      <c r="DW114" s="14">
        <v>1</v>
      </c>
      <c r="DX114" s="14">
        <v>5</v>
      </c>
      <c r="DY114" s="14" t="s">
        <v>189</v>
      </c>
      <c r="DZ114" s="14">
        <f>IFERROR(AVERAGE(Tabel1[[#This Row],[Do - R1a]:[Do - R1c]]),"")</f>
        <v>3</v>
      </c>
      <c r="EA114" s="14">
        <v>2</v>
      </c>
      <c r="EB114" s="14">
        <v>4</v>
      </c>
      <c r="EC114" s="14">
        <v>2</v>
      </c>
      <c r="ED114" s="14">
        <v>1</v>
      </c>
      <c r="EE114" s="14">
        <f>IFERROR(AVERAGE(Tabel1[[#This Row],[Do - R1]:[Do - R5]]),"")</f>
        <v>2.4</v>
      </c>
      <c r="EF114" s="14">
        <v>2</v>
      </c>
      <c r="EG114" s="14">
        <v>1</v>
      </c>
      <c r="EH114" s="14">
        <v>3</v>
      </c>
      <c r="EI114" s="14">
        <f>IFERROR(AVERAGE(Tabel1[[#This Row],[Do - C1a]:[Do - C1c]]),"")</f>
        <v>2</v>
      </c>
      <c r="EJ114" s="14">
        <v>3</v>
      </c>
      <c r="EK114" s="14">
        <v>4</v>
      </c>
      <c r="EL114" s="14">
        <v>2</v>
      </c>
      <c r="EM114" s="14">
        <f>IFERROR(AVERAGE(Tabel1[[#This Row],[Do - C1]:[Do - C4]]),"")</f>
        <v>2.75</v>
      </c>
      <c r="EN114" s="14">
        <v>1</v>
      </c>
      <c r="EO114" s="14">
        <v>2</v>
      </c>
      <c r="EP114" s="14">
        <v>4</v>
      </c>
      <c r="EQ114" s="14">
        <f>IFERROR(AVERAGE(Tabel1[[#This Row],[Do - F1a]:[Do - F1c]]),"")</f>
        <v>2.3333333333333335</v>
      </c>
      <c r="ER114" s="14">
        <v>3</v>
      </c>
      <c r="ES114" s="14">
        <f>IFERROR(AVERAGE(Tabel1[[#This Row],[Do - F2a]:[Do - F2a]]),"")</f>
        <v>3</v>
      </c>
      <c r="ET114" s="14">
        <v>1</v>
      </c>
      <c r="EU114" s="14">
        <v>3</v>
      </c>
      <c r="EV114" s="14">
        <f>IFERROR(AVERAGE(Tabel1[[#This Row],[Do - F3a]:[Do - F3b]]),"")</f>
        <v>2</v>
      </c>
      <c r="EW114" s="14">
        <v>5</v>
      </c>
      <c r="EX114" s="14">
        <f>IFERROR(AVERAGE(Tabel1[[#This Row],[Do - F1]],Tabel1[[#This Row],[Do - F2]],Tabel1[[#This Row],[Do - F3]],Tabel1[[#This Row],[Do - F4]]),"")</f>
        <v>3.0833333333333335</v>
      </c>
      <c r="EY114" s="14">
        <v>2</v>
      </c>
      <c r="EZ114" s="14">
        <v>4</v>
      </c>
      <c r="FA114" s="14">
        <v>2</v>
      </c>
      <c r="FB114" s="14">
        <f>IFERROR(AVERAGE(Tabel1[[#This Row],[Do - V1a]:[Do - V1c]]),"")</f>
        <v>2.6666666666666665</v>
      </c>
      <c r="FC114" s="14">
        <v>3</v>
      </c>
      <c r="FD114" s="14">
        <v>1</v>
      </c>
      <c r="FE114" s="14">
        <f>IFERROR(AVERAGE(Tabel1[[#This Row],[Do - V2a]:[Do - V2b]]),"")</f>
        <v>2</v>
      </c>
      <c r="FF114" s="14" t="s">
        <v>189</v>
      </c>
      <c r="FG114" s="14" t="str">
        <f>IFERROR(AVERAGE(Tabel1[[#This Row],[Do - V3a]:[Do - V3a]]),"")</f>
        <v/>
      </c>
      <c r="FH114" s="14" t="s">
        <v>189</v>
      </c>
      <c r="FI114" s="14">
        <f>IFERROR(AVERAGE(Tabel1[[#This Row],[Do - V1]],Tabel1[[#This Row],[Do - V2]],Tabel1[[#This Row],[Do - V3]],Tabel1[[#This Row],[Do - V4]]),"")</f>
        <v>2.333333333333333</v>
      </c>
      <c r="FJ114" s="14" t="s">
        <v>189</v>
      </c>
      <c r="FK114" s="14" t="s">
        <v>189</v>
      </c>
      <c r="FL114" s="14" t="s">
        <v>189</v>
      </c>
      <c r="FM114" s="14" t="str">
        <f>IFERROR(AVERAGE(Tabel1[[#This Row],[Do - A1a]:[Do - A1c]]),"")</f>
        <v/>
      </c>
      <c r="FN114" s="14" t="s">
        <v>189</v>
      </c>
      <c r="FO114" s="14" t="s">
        <v>189</v>
      </c>
      <c r="FP114" s="14" t="str">
        <f>IFERROR(AVERAGE(Tabel1[[#This Row],[Do - A2a]:[Do - A2b]]),"")</f>
        <v/>
      </c>
      <c r="FQ114" s="14" t="s">
        <v>189</v>
      </c>
      <c r="FR114" s="14" t="str">
        <f>IFERROR(AVERAGE(Tabel1[[#This Row],[Do - A3a]:[Do - A3a]]),"")</f>
        <v/>
      </c>
      <c r="FS114" s="14" t="s">
        <v>189</v>
      </c>
      <c r="FT114" s="14" t="str">
        <f>IFERROR(AVERAGE(Tabel1[[#This Row],[Do - A1]],Tabel1[[#This Row],[Do - A2]],Tabel1[[#This Row],[Do - A3]],Tabel1[[#This Row],[Do - A4]]),"")</f>
        <v/>
      </c>
      <c r="FU11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2.6837962962962956</v>
      </c>
      <c r="FV114" s="16" t="s">
        <v>746</v>
      </c>
      <c r="FW114" t="b">
        <v>1</v>
      </c>
    </row>
    <row r="115" spans="1:179" x14ac:dyDescent="0.3">
      <c r="A115" s="13">
        <v>44982.060601851852</v>
      </c>
      <c r="B115" t="b">
        <v>0</v>
      </c>
      <c r="C115" s="14" t="s">
        <v>747</v>
      </c>
      <c r="D115" s="14" t="s">
        <v>748</v>
      </c>
      <c r="E115" s="14" t="s">
        <v>749</v>
      </c>
      <c r="F115" s="14" t="s">
        <v>739</v>
      </c>
      <c r="G115" s="14" t="s">
        <v>750</v>
      </c>
      <c r="H115" s="14" t="s">
        <v>194</v>
      </c>
      <c r="I115" s="14" t="s">
        <v>417</v>
      </c>
      <c r="J115" s="14" t="s">
        <v>418</v>
      </c>
      <c r="K115" s="17" t="s">
        <v>255</v>
      </c>
      <c r="L115" s="14" t="s">
        <v>385</v>
      </c>
      <c r="M115" s="14" t="s">
        <v>188</v>
      </c>
      <c r="N115" s="14" t="s">
        <v>331</v>
      </c>
      <c r="O115" s="14" t="s">
        <v>200</v>
      </c>
      <c r="P115" s="17" t="s">
        <v>304</v>
      </c>
      <c r="Q115" s="17" t="s">
        <v>255</v>
      </c>
      <c r="R115" s="17" t="s">
        <v>304</v>
      </c>
      <c r="S115" s="17" t="s">
        <v>304</v>
      </c>
      <c r="T115" s="14" t="s">
        <v>236</v>
      </c>
      <c r="U115" s="14" t="s">
        <v>205</v>
      </c>
      <c r="V115" s="14" t="s">
        <v>224</v>
      </c>
      <c r="W115" s="14" t="s">
        <v>305</v>
      </c>
      <c r="X115" s="14" t="s">
        <v>305</v>
      </c>
      <c r="Y115" s="14">
        <v>5</v>
      </c>
      <c r="Z115" s="14">
        <v>3</v>
      </c>
      <c r="AA115" s="14" t="s">
        <v>189</v>
      </c>
      <c r="AB115" s="15">
        <f>IFERROR(AVERAGE(Tabel1[[#This Row],[Up - R1a]:[Up - R1c]]),"")</f>
        <v>4</v>
      </c>
      <c r="AC115" s="14">
        <v>3</v>
      </c>
      <c r="AD115" s="14">
        <v>2</v>
      </c>
      <c r="AE115" s="14">
        <v>2</v>
      </c>
      <c r="AF115" s="14">
        <v>2</v>
      </c>
      <c r="AG115" s="14">
        <f>IFERROR(AVERAGE(Tabel1[[#This Row],[Up - R1]:[Up - R5]]),"")</f>
        <v>2.6</v>
      </c>
      <c r="AH115" s="14">
        <v>1</v>
      </c>
      <c r="AI115" s="14">
        <v>1</v>
      </c>
      <c r="AJ115" s="14">
        <v>3</v>
      </c>
      <c r="AK115" s="14">
        <f>IFERROR(AVERAGE(Tabel1[[#This Row],[Up - C1a]:[Up - C1c]]),"")</f>
        <v>1.6666666666666667</v>
      </c>
      <c r="AL115" s="14">
        <v>3</v>
      </c>
      <c r="AM115" s="14">
        <v>1</v>
      </c>
      <c r="AN115" s="14">
        <v>3</v>
      </c>
      <c r="AO115" s="14">
        <f>IFERROR(AVERAGE(Tabel1[[#This Row],[Up - C1]:[Up - C4]]),"")</f>
        <v>2.166666666666667</v>
      </c>
      <c r="AP115" s="14" t="s">
        <v>189</v>
      </c>
      <c r="AQ115" s="14" t="str">
        <f>IFERROR(AVERAGE(Tabel1[[#This Row],[Up - F1a]:[Up - F1a]]),"")</f>
        <v/>
      </c>
      <c r="AR115" s="14" t="s">
        <v>189</v>
      </c>
      <c r="AS115" s="14" t="s">
        <v>189</v>
      </c>
      <c r="AT115" s="14" t="str">
        <f>IFERROR(AVERAGE(Tabel1[[#This Row],[Up - F2a]:[Up - F2b]]),"")</f>
        <v/>
      </c>
      <c r="AU115" s="14">
        <v>2</v>
      </c>
      <c r="AV115" s="14" t="s">
        <v>189</v>
      </c>
      <c r="AW115" s="14">
        <f>IFERROR(AVERAGE(Tabel1[[#This Row],[Up - F3a]:[Up - F3b]]),"")</f>
        <v>2</v>
      </c>
      <c r="AX115" s="14">
        <v>1</v>
      </c>
      <c r="AY115" s="14">
        <f>IFERROR(AVERAGE(Tabel1[[#This Row],[Up - F1]],Tabel1[[#This Row],[Up - F2]],Tabel1[[#This Row],[Up - F3]],Tabel1[[#This Row],[Up - F4]]),"")</f>
        <v>1.5</v>
      </c>
      <c r="AZ115" s="14">
        <v>1</v>
      </c>
      <c r="BA115" s="14">
        <v>1</v>
      </c>
      <c r="BB115" s="14">
        <f>IFERROR(AVERAGE(Tabel1[[#This Row],[Up - V1a]:[Up - V1b]]),"")</f>
        <v>1</v>
      </c>
      <c r="BC115" s="14" t="s">
        <v>189</v>
      </c>
      <c r="BD115" s="14">
        <v>2</v>
      </c>
      <c r="BE115" s="14">
        <v>2</v>
      </c>
      <c r="BF115" s="14">
        <f>IFERROR(AVERAGE(Tabel1[[#This Row],[Up - V2a]:[Up - V2c]]),"")</f>
        <v>2</v>
      </c>
      <c r="BG115" s="14">
        <v>1</v>
      </c>
      <c r="BH115" s="14" t="s">
        <v>189</v>
      </c>
      <c r="BI115" s="14">
        <f>IFERROR(AVERAGE(Tabel1[[#This Row],[Up - V3a]:[Up - V3b]]),"")</f>
        <v>1</v>
      </c>
      <c r="BJ115" s="14" t="s">
        <v>189</v>
      </c>
      <c r="BK115" s="14">
        <f>IFERROR(AVERAGE(Tabel1[[#This Row],[Up - V1]],Tabel1[[#This Row],[Up - V2]],Tabel1[[#This Row],[Up - V3]],Tabel1[[#This Row],[Up - V4]]),"")</f>
        <v>1.3333333333333333</v>
      </c>
      <c r="BL115" s="14">
        <v>2</v>
      </c>
      <c r="BM115" s="14">
        <v>2</v>
      </c>
      <c r="BN115" s="14" t="s">
        <v>189</v>
      </c>
      <c r="BO115" s="14">
        <v>2</v>
      </c>
      <c r="BP115" s="14">
        <f>IFERROR(AVERAGE(Tabel1[[#This Row],[Up - A1a]:[Up - A1d]]),"")</f>
        <v>2</v>
      </c>
      <c r="BQ115" s="14">
        <v>2</v>
      </c>
      <c r="BR115" s="14">
        <v>1</v>
      </c>
      <c r="BS115" s="14">
        <f>IFERROR(AVERAGE(Tabel1[[#This Row],[Up - A2a]:[Up - A2b]]),"")</f>
        <v>1.5</v>
      </c>
      <c r="BT115" s="14">
        <v>1</v>
      </c>
      <c r="BU115" s="14">
        <f>IFERROR(AVERAGE(Tabel1[[#This Row],[Up - A3a]:[Up - A3a]]),"")</f>
        <v>1</v>
      </c>
      <c r="BV115" s="14">
        <v>1</v>
      </c>
      <c r="BW115" s="14">
        <f>IFERROR(AVERAGE(Tabel1[[#This Row],[Up - A1]],Tabel1[[#This Row],[Up - A2]],Tabel1[[#This Row],[Up - A3]]),"")</f>
        <v>1.5</v>
      </c>
      <c r="BX115" s="14">
        <v>3</v>
      </c>
      <c r="BY115" s="14">
        <v>2</v>
      </c>
      <c r="BZ115" s="14">
        <f>IFERROR(AVERAGE(Tabel1[[#This Row],[In - R1a]:[In - R1b]]),"")</f>
        <v>2.5</v>
      </c>
      <c r="CA115" s="14">
        <v>2</v>
      </c>
      <c r="CB115" s="14" t="s">
        <v>189</v>
      </c>
      <c r="CC115" s="14">
        <v>2</v>
      </c>
      <c r="CD115" s="14">
        <v>2</v>
      </c>
      <c r="CE115" s="14">
        <f>IFERROR(AVERAGE(Tabel1[[#This Row],[In - R1]:[In - R5]]),"")</f>
        <v>2.125</v>
      </c>
      <c r="CF115" s="14">
        <v>1</v>
      </c>
      <c r="CG115" s="14">
        <v>1</v>
      </c>
      <c r="CH115" s="14">
        <v>3</v>
      </c>
      <c r="CI115" s="14">
        <f>IFERROR(AVERAGE(Tabel1[[#This Row],[In - C1a]:[In - C1c]]),"")</f>
        <v>1.6666666666666667</v>
      </c>
      <c r="CJ115" s="14">
        <v>2</v>
      </c>
      <c r="CK115" s="14">
        <v>2</v>
      </c>
      <c r="CL115" s="14">
        <v>3</v>
      </c>
      <c r="CM115" s="14">
        <f>IFERROR(AVERAGE(Tabel1[[#This Row],[In - C1]:[In - C4]]),"")</f>
        <v>2.166666666666667</v>
      </c>
      <c r="CN115" s="14">
        <v>2</v>
      </c>
      <c r="CO115" s="14">
        <v>3</v>
      </c>
      <c r="CP115" s="14">
        <v>2</v>
      </c>
      <c r="CQ115" s="14">
        <f>IFERROR(AVERAGE(Tabel1[[#This Row],[In - F1a]:[In - F1c]]),"")</f>
        <v>2.3333333333333335</v>
      </c>
      <c r="CR115" s="14" t="s">
        <v>189</v>
      </c>
      <c r="CS115" s="14" t="s">
        <v>189</v>
      </c>
      <c r="CT115" s="14" t="str">
        <f>IFERROR(AVERAGE(Tabel1[[#This Row],[In - F2a]:[In - F2b]]),"")</f>
        <v/>
      </c>
      <c r="CU115" s="14" t="s">
        <v>189</v>
      </c>
      <c r="CV115" s="14" t="str">
        <f>IFERROR(AVERAGE(Tabel1[[#This Row],[In - F3a]:[In - F3a]]),"")</f>
        <v/>
      </c>
      <c r="CW115" s="14">
        <v>1</v>
      </c>
      <c r="CX115" s="14">
        <f>IFERROR(AVERAGE(Tabel1[[#This Row],[In - F1]],Tabel1[[#This Row],[In - F2]],Tabel1[[#This Row],[In - F3]],Tabel1[[#This Row],[In - F4]]),"")</f>
        <v>1.6666666666666667</v>
      </c>
      <c r="CY115" s="14" t="s">
        <v>189</v>
      </c>
      <c r="CZ115" s="14">
        <v>2</v>
      </c>
      <c r="DA115" s="14">
        <v>1</v>
      </c>
      <c r="DB115" s="14">
        <f>IFERROR(AVERAGE(Tabel1[[#This Row],[In - V1a]:[In - V1c]]),"")</f>
        <v>1.5</v>
      </c>
      <c r="DC115" s="14">
        <v>1</v>
      </c>
      <c r="DD115" s="14">
        <v>2</v>
      </c>
      <c r="DE115" s="14">
        <v>2</v>
      </c>
      <c r="DF115" s="14">
        <f>IFERROR(AVERAGE(Tabel1[[#This Row],[In - V2a]:[In - V2c]]),"")</f>
        <v>1.6666666666666667</v>
      </c>
      <c r="DG115" s="14">
        <v>1</v>
      </c>
      <c r="DH115" s="14" t="s">
        <v>189</v>
      </c>
      <c r="DI115" s="14">
        <f>IFERROR(AVERAGE(Tabel1[[#This Row],[In - V3a]:[In - V3b]]),"")</f>
        <v>1</v>
      </c>
      <c r="DJ115" s="14">
        <v>1</v>
      </c>
      <c r="DK115" s="14">
        <f>IFERROR(AVERAGE(Tabel1[[#This Row],[In - V1]],Tabel1[[#This Row],[In - V2]],Tabel1[[#This Row],[In - V3]],Tabel1[[#This Row],[In - V4]]),"")</f>
        <v>1.2916666666666667</v>
      </c>
      <c r="DL115" s="14">
        <v>2</v>
      </c>
      <c r="DM115" s="14">
        <v>1</v>
      </c>
      <c r="DN115" s="14">
        <f>IFERROR(AVERAGE(Tabel1[[#This Row],[In - A1a]:[In - A1b]]),"")</f>
        <v>1.5</v>
      </c>
      <c r="DO115" s="14" t="s">
        <v>189</v>
      </c>
      <c r="DP115" s="14">
        <v>1</v>
      </c>
      <c r="DQ115" s="14">
        <f>IFERROR(AVERAGE(Tabel1[[#This Row],[In - A2a]:[In - A2b]]),"")</f>
        <v>1</v>
      </c>
      <c r="DR115" s="14">
        <v>2</v>
      </c>
      <c r="DS115" s="14">
        <v>1</v>
      </c>
      <c r="DT115" s="14">
        <f>IFERROR(AVERAGE(Tabel1[[#This Row],[In - A3a]:[In - A3a]]),"")</f>
        <v>2</v>
      </c>
      <c r="DU115" s="14">
        <v>2</v>
      </c>
      <c r="DV115" s="14">
        <f>IFERROR(AVERAGE(Tabel1[[#This Row],[In - A1]],Tabel1[[#This Row],[In - A2]],Tabel1[[#This Row],[In - A3]],Tabel1[[#This Row],[In - A4]]),"")</f>
        <v>1.625</v>
      </c>
      <c r="DW115" s="14">
        <v>3</v>
      </c>
      <c r="DX115" s="14">
        <v>3</v>
      </c>
      <c r="DY115" s="14">
        <v>2</v>
      </c>
      <c r="DZ115" s="14">
        <f>IFERROR(AVERAGE(Tabel1[[#This Row],[Do - R1a]:[Do - R1c]]),"")</f>
        <v>2.6666666666666665</v>
      </c>
      <c r="EA115" s="14" t="s">
        <v>189</v>
      </c>
      <c r="EB115" s="14">
        <v>3</v>
      </c>
      <c r="EC115" s="14" t="s">
        <v>189</v>
      </c>
      <c r="ED115" s="14">
        <v>2</v>
      </c>
      <c r="EE115" s="14">
        <f>IFERROR(AVERAGE(Tabel1[[#This Row],[Do - R1]:[Do - R5]]),"")</f>
        <v>2.5555555555555554</v>
      </c>
      <c r="EF115" s="14">
        <v>1</v>
      </c>
      <c r="EG115" s="14">
        <v>1</v>
      </c>
      <c r="EH115" s="14">
        <v>3</v>
      </c>
      <c r="EI115" s="14">
        <f>IFERROR(AVERAGE(Tabel1[[#This Row],[Do - C1a]:[Do - C1c]]),"")</f>
        <v>1.6666666666666667</v>
      </c>
      <c r="EJ115" s="14">
        <v>1</v>
      </c>
      <c r="EK115" s="14">
        <v>2</v>
      </c>
      <c r="EL115" s="14">
        <v>3</v>
      </c>
      <c r="EM115" s="14">
        <f>IFERROR(AVERAGE(Tabel1[[#This Row],[Do - C1]:[Do - C4]]),"")</f>
        <v>1.9166666666666667</v>
      </c>
      <c r="EN115" s="14" t="s">
        <v>189</v>
      </c>
      <c r="EO115" s="14" t="s">
        <v>189</v>
      </c>
      <c r="EP115" s="14">
        <v>2</v>
      </c>
      <c r="EQ115" s="14">
        <f>IFERROR(AVERAGE(Tabel1[[#This Row],[Do - F1a]:[Do - F1c]]),"")</f>
        <v>2</v>
      </c>
      <c r="ER115" s="14" t="s">
        <v>189</v>
      </c>
      <c r="ES115" s="14" t="str">
        <f>IFERROR(AVERAGE(Tabel1[[#This Row],[Do - F2a]:[Do - F2a]]),"")</f>
        <v/>
      </c>
      <c r="ET115" s="14" t="s">
        <v>189</v>
      </c>
      <c r="EU115" s="14" t="s">
        <v>189</v>
      </c>
      <c r="EV115" s="14" t="str">
        <f>IFERROR(AVERAGE(Tabel1[[#This Row],[Do - F3a]:[Do - F3b]]),"")</f>
        <v/>
      </c>
      <c r="EW115" s="14">
        <v>2</v>
      </c>
      <c r="EX115" s="14">
        <f>IFERROR(AVERAGE(Tabel1[[#This Row],[Do - F1]],Tabel1[[#This Row],[Do - F2]],Tabel1[[#This Row],[Do - F3]],Tabel1[[#This Row],[Do - F4]]),"")</f>
        <v>2</v>
      </c>
      <c r="EY115" s="14" t="s">
        <v>189</v>
      </c>
      <c r="EZ115" s="14">
        <v>1</v>
      </c>
      <c r="FA115" s="14" t="s">
        <v>189</v>
      </c>
      <c r="FB115" s="14">
        <f>IFERROR(AVERAGE(Tabel1[[#This Row],[Do - V1a]:[Do - V1c]]),"")</f>
        <v>1</v>
      </c>
      <c r="FC115" s="14">
        <v>1</v>
      </c>
      <c r="FD115" s="14">
        <v>2</v>
      </c>
      <c r="FE115" s="14">
        <f>IFERROR(AVERAGE(Tabel1[[#This Row],[Do - V2a]:[Do - V2b]]),"")</f>
        <v>1.5</v>
      </c>
      <c r="FF115" s="14">
        <v>1</v>
      </c>
      <c r="FG115" s="14">
        <f>IFERROR(AVERAGE(Tabel1[[#This Row],[Do - V3a]:[Do - V3a]]),"")</f>
        <v>1</v>
      </c>
      <c r="FH115" s="14">
        <v>1</v>
      </c>
      <c r="FI115" s="14">
        <f>IFERROR(AVERAGE(Tabel1[[#This Row],[Do - V1]],Tabel1[[#This Row],[Do - V2]],Tabel1[[#This Row],[Do - V3]],Tabel1[[#This Row],[Do - V4]]),"")</f>
        <v>1.125</v>
      </c>
      <c r="FJ115" s="14">
        <v>1</v>
      </c>
      <c r="FK115" s="14">
        <v>1</v>
      </c>
      <c r="FL115" s="14" t="s">
        <v>189</v>
      </c>
      <c r="FM115" s="14">
        <f>IFERROR(AVERAGE(Tabel1[[#This Row],[Do - A1a]:[Do - A1c]]),"")</f>
        <v>1</v>
      </c>
      <c r="FN115" s="14" t="s">
        <v>189</v>
      </c>
      <c r="FO115" s="14">
        <v>1</v>
      </c>
      <c r="FP115" s="14">
        <f>IFERROR(AVERAGE(Tabel1[[#This Row],[Do - A2a]:[Do - A2b]]),"")</f>
        <v>1</v>
      </c>
      <c r="FQ115" s="14">
        <v>2</v>
      </c>
      <c r="FR115" s="14">
        <f>IFERROR(AVERAGE(Tabel1[[#This Row],[Do - A3a]:[Do - A3a]]),"")</f>
        <v>2</v>
      </c>
      <c r="FS115" s="14" t="s">
        <v>189</v>
      </c>
      <c r="FT115" s="14">
        <f>IFERROR(AVERAGE(Tabel1[[#This Row],[Do - A1]],Tabel1[[#This Row],[Do - A2]],Tabel1[[#This Row],[Do - A3]],Tabel1[[#This Row],[Do - A4]]),"")</f>
        <v>1.3333333333333333</v>
      </c>
      <c r="FU11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1.7937037037037038</v>
      </c>
      <c r="FV115" s="16" t="s">
        <v>751</v>
      </c>
      <c r="FW115" t="b">
        <v>1</v>
      </c>
    </row>
    <row r="116" spans="1:179" x14ac:dyDescent="0.3">
      <c r="A116" s="13">
        <v>44982.515949074077</v>
      </c>
      <c r="B116" t="b">
        <v>0</v>
      </c>
      <c r="C116" s="14" t="s">
        <v>752</v>
      </c>
      <c r="D116" s="14" t="s">
        <v>753</v>
      </c>
      <c r="E116" s="14" t="s">
        <v>754</v>
      </c>
      <c r="F116" s="14" t="s">
        <v>739</v>
      </c>
      <c r="G116" s="14" t="s">
        <v>755</v>
      </c>
      <c r="H116" s="14" t="s">
        <v>194</v>
      </c>
      <c r="I116" s="14" t="s">
        <v>417</v>
      </c>
      <c r="J116" s="14" t="s">
        <v>734</v>
      </c>
      <c r="K116" s="14" t="s">
        <v>202</v>
      </c>
      <c r="L116" s="14" t="s">
        <v>218</v>
      </c>
      <c r="M116" s="14" t="s">
        <v>281</v>
      </c>
      <c r="N116" s="14" t="s">
        <v>316</v>
      </c>
      <c r="O116" s="14" t="s">
        <v>200</v>
      </c>
      <c r="P116" s="14" t="s">
        <v>201</v>
      </c>
      <c r="Q116" s="14" t="s">
        <v>201</v>
      </c>
      <c r="R116" s="14" t="s">
        <v>202</v>
      </c>
      <c r="S116" s="14" t="s">
        <v>202</v>
      </c>
      <c r="T116" s="14" t="s">
        <v>236</v>
      </c>
      <c r="U116" s="14" t="s">
        <v>205</v>
      </c>
      <c r="V116" s="14" t="s">
        <v>224</v>
      </c>
      <c r="W116" s="14" t="s">
        <v>207</v>
      </c>
      <c r="X116" s="14" t="s">
        <v>207</v>
      </c>
      <c r="Y116" s="14">
        <v>5</v>
      </c>
      <c r="Z116" s="14">
        <v>5</v>
      </c>
      <c r="AA116" s="14">
        <v>5</v>
      </c>
      <c r="AB116" s="15">
        <f>IFERROR(AVERAGE(Tabel1[[#This Row],[Up - R1a]:[Up - R1c]]),"")</f>
        <v>5</v>
      </c>
      <c r="AC116" s="14">
        <v>3</v>
      </c>
      <c r="AD116" s="14">
        <v>5</v>
      </c>
      <c r="AE116" s="14">
        <v>5</v>
      </c>
      <c r="AF116" s="14">
        <v>5</v>
      </c>
      <c r="AG116" s="14">
        <f>IFERROR(AVERAGE(Tabel1[[#This Row],[Up - R1]:[Up - R5]]),"")</f>
        <v>4.5999999999999996</v>
      </c>
      <c r="AH116" s="14">
        <v>5</v>
      </c>
      <c r="AI116" s="14">
        <v>5</v>
      </c>
      <c r="AJ116" s="14">
        <v>5</v>
      </c>
      <c r="AK116" s="14">
        <f>IFERROR(AVERAGE(Tabel1[[#This Row],[Up - C1a]:[Up - C1c]]),"")</f>
        <v>5</v>
      </c>
      <c r="AL116" s="14">
        <v>5</v>
      </c>
      <c r="AM116" s="14">
        <v>5</v>
      </c>
      <c r="AN116" s="14">
        <v>5</v>
      </c>
      <c r="AO116" s="14">
        <f>IFERROR(AVERAGE(Tabel1[[#This Row],[Up - C1]:[Up - C4]]),"")</f>
        <v>5</v>
      </c>
      <c r="AP116" s="14">
        <v>4</v>
      </c>
      <c r="AQ116" s="14">
        <f>IFERROR(AVERAGE(Tabel1[[#This Row],[Up - F1a]:[Up - F1a]]),"")</f>
        <v>4</v>
      </c>
      <c r="AR116" s="14">
        <v>5</v>
      </c>
      <c r="AS116" s="14">
        <v>5</v>
      </c>
      <c r="AT116" s="14">
        <f>IFERROR(AVERAGE(Tabel1[[#This Row],[Up - F2a]:[Up - F2b]]),"")</f>
        <v>5</v>
      </c>
      <c r="AU116" s="14">
        <v>4</v>
      </c>
      <c r="AV116" s="14">
        <v>4</v>
      </c>
      <c r="AW116" s="14">
        <f>IFERROR(AVERAGE(Tabel1[[#This Row],[Up - F3a]:[Up - F3b]]),"")</f>
        <v>4</v>
      </c>
      <c r="AX116" s="14">
        <v>5</v>
      </c>
      <c r="AY116" s="14">
        <f>IFERROR(AVERAGE(Tabel1[[#This Row],[Up - F1]],Tabel1[[#This Row],[Up - F2]],Tabel1[[#This Row],[Up - F3]],Tabel1[[#This Row],[Up - F4]]),"")</f>
        <v>4.5</v>
      </c>
      <c r="AZ116" s="14">
        <v>5</v>
      </c>
      <c r="BA116" s="14">
        <v>3</v>
      </c>
      <c r="BB116" s="14">
        <f>IFERROR(AVERAGE(Tabel1[[#This Row],[Up - V1a]:[Up - V1b]]),"")</f>
        <v>4</v>
      </c>
      <c r="BC116" s="14">
        <v>5</v>
      </c>
      <c r="BD116" s="14">
        <v>5</v>
      </c>
      <c r="BE116" s="14">
        <v>5</v>
      </c>
      <c r="BF116" s="14">
        <f>IFERROR(AVERAGE(Tabel1[[#This Row],[Up - V2a]:[Up - V2c]]),"")</f>
        <v>5</v>
      </c>
      <c r="BG116" s="14">
        <v>4</v>
      </c>
      <c r="BH116" s="14">
        <v>5</v>
      </c>
      <c r="BI116" s="14">
        <f>IFERROR(AVERAGE(Tabel1[[#This Row],[Up - V3a]:[Up - V3b]]),"")</f>
        <v>4.5</v>
      </c>
      <c r="BJ116" s="14">
        <v>4</v>
      </c>
      <c r="BK116" s="14">
        <f>IFERROR(AVERAGE(Tabel1[[#This Row],[Up - V1]],Tabel1[[#This Row],[Up - V2]],Tabel1[[#This Row],[Up - V3]],Tabel1[[#This Row],[Up - V4]]),"")</f>
        <v>4.375</v>
      </c>
      <c r="BL116" s="14">
        <v>5</v>
      </c>
      <c r="BM116" s="14">
        <v>5</v>
      </c>
      <c r="BN116" s="14">
        <v>4</v>
      </c>
      <c r="BO116" s="14">
        <v>5</v>
      </c>
      <c r="BP116" s="14">
        <f>IFERROR(AVERAGE(Tabel1[[#This Row],[Up - A1a]:[Up - A1d]]),"")</f>
        <v>4.75</v>
      </c>
      <c r="BQ116" s="14">
        <v>5</v>
      </c>
      <c r="BR116" s="14">
        <v>4</v>
      </c>
      <c r="BS116" s="14">
        <f>IFERROR(AVERAGE(Tabel1[[#This Row],[Up - A2a]:[Up - A2b]]),"")</f>
        <v>4.5</v>
      </c>
      <c r="BT116" s="14">
        <v>5</v>
      </c>
      <c r="BU116" s="14">
        <f>IFERROR(AVERAGE(Tabel1[[#This Row],[Up - A3a]:[Up - A3a]]),"")</f>
        <v>5</v>
      </c>
      <c r="BV116" s="14">
        <v>3</v>
      </c>
      <c r="BW116" s="14">
        <f>IFERROR(AVERAGE(Tabel1[[#This Row],[Up - A1]],Tabel1[[#This Row],[Up - A2]],Tabel1[[#This Row],[Up - A3]]),"")</f>
        <v>4.75</v>
      </c>
      <c r="BX116" s="14">
        <v>5</v>
      </c>
      <c r="BY116" s="14">
        <v>4</v>
      </c>
      <c r="BZ116" s="14">
        <f>IFERROR(AVERAGE(Tabel1[[#This Row],[In - R1a]:[In - R1b]]),"")</f>
        <v>4.5</v>
      </c>
      <c r="CA116" s="14">
        <v>5</v>
      </c>
      <c r="CB116" s="14">
        <v>5</v>
      </c>
      <c r="CC116" s="14">
        <v>5</v>
      </c>
      <c r="CD116" s="14">
        <v>5</v>
      </c>
      <c r="CE116" s="14">
        <f>IFERROR(AVERAGE(Tabel1[[#This Row],[In - R1]:[In - R5]]),"")</f>
        <v>4.9000000000000004</v>
      </c>
      <c r="CF116" s="14">
        <v>4</v>
      </c>
      <c r="CG116" s="14">
        <v>5</v>
      </c>
      <c r="CH116" s="14">
        <v>5</v>
      </c>
      <c r="CI116" s="14">
        <f>IFERROR(AVERAGE(Tabel1[[#This Row],[In - C1a]:[In - C1c]]),"")</f>
        <v>4.666666666666667</v>
      </c>
      <c r="CJ116" s="14">
        <v>4</v>
      </c>
      <c r="CK116" s="14">
        <v>5</v>
      </c>
      <c r="CL116" s="14">
        <v>5</v>
      </c>
      <c r="CM116" s="14">
        <f>IFERROR(AVERAGE(Tabel1[[#This Row],[In - C1]:[In - C4]]),"")</f>
        <v>4.666666666666667</v>
      </c>
      <c r="CN116" s="14">
        <v>3</v>
      </c>
      <c r="CO116" s="14">
        <v>4</v>
      </c>
      <c r="CP116" s="14">
        <v>3</v>
      </c>
      <c r="CQ116" s="14">
        <f>IFERROR(AVERAGE(Tabel1[[#This Row],[In - F1a]:[In - F1c]]),"")</f>
        <v>3.3333333333333335</v>
      </c>
      <c r="CR116" s="14">
        <v>3</v>
      </c>
      <c r="CS116" s="14">
        <v>4</v>
      </c>
      <c r="CT116" s="14">
        <f>IFERROR(AVERAGE(Tabel1[[#This Row],[In - F2a]:[In - F2b]]),"")</f>
        <v>3.5</v>
      </c>
      <c r="CU116" s="14">
        <v>4</v>
      </c>
      <c r="CV116" s="14">
        <f>IFERROR(AVERAGE(Tabel1[[#This Row],[In - F3a]:[In - F3a]]),"")</f>
        <v>4</v>
      </c>
      <c r="CW116" s="14">
        <v>4</v>
      </c>
      <c r="CX116" s="14">
        <f>IFERROR(AVERAGE(Tabel1[[#This Row],[In - F1]],Tabel1[[#This Row],[In - F2]],Tabel1[[#This Row],[In - F3]],Tabel1[[#This Row],[In - F4]]),"")</f>
        <v>3.7083333333333335</v>
      </c>
      <c r="CY116" s="14">
        <v>4</v>
      </c>
      <c r="CZ116" s="14">
        <v>5</v>
      </c>
      <c r="DA116" s="14">
        <v>5</v>
      </c>
      <c r="DB116" s="14">
        <f>IFERROR(AVERAGE(Tabel1[[#This Row],[In - V1a]:[In - V1c]]),"")</f>
        <v>4.666666666666667</v>
      </c>
      <c r="DC116" s="14">
        <v>3</v>
      </c>
      <c r="DD116" s="14">
        <v>5</v>
      </c>
      <c r="DE116" s="14">
        <v>5</v>
      </c>
      <c r="DF116" s="14">
        <f>IFERROR(AVERAGE(Tabel1[[#This Row],[In - V2a]:[In - V2c]]),"")</f>
        <v>4.333333333333333</v>
      </c>
      <c r="DG116" s="14">
        <v>5</v>
      </c>
      <c r="DH116" s="14">
        <v>4</v>
      </c>
      <c r="DI116" s="14">
        <f>IFERROR(AVERAGE(Tabel1[[#This Row],[In - V3a]:[In - V3b]]),"")</f>
        <v>4.5</v>
      </c>
      <c r="DJ116" s="14">
        <v>5</v>
      </c>
      <c r="DK116" s="14">
        <f>IFERROR(AVERAGE(Tabel1[[#This Row],[In - V1]],Tabel1[[#This Row],[In - V2]],Tabel1[[#This Row],[In - V3]],Tabel1[[#This Row],[In - V4]]),"")</f>
        <v>4.625</v>
      </c>
      <c r="DL116" s="14">
        <v>4</v>
      </c>
      <c r="DM116" s="14">
        <v>4</v>
      </c>
      <c r="DN116" s="14">
        <f>IFERROR(AVERAGE(Tabel1[[#This Row],[In - A1a]:[In - A1b]]),"")</f>
        <v>4</v>
      </c>
      <c r="DO116" s="14">
        <v>4</v>
      </c>
      <c r="DP116" s="14">
        <v>4</v>
      </c>
      <c r="DQ116" s="14">
        <f>IFERROR(AVERAGE(Tabel1[[#This Row],[In - A2a]:[In - A2b]]),"")</f>
        <v>4</v>
      </c>
      <c r="DR116" s="14">
        <v>5</v>
      </c>
      <c r="DS116" s="14">
        <v>5</v>
      </c>
      <c r="DT116" s="14">
        <f>IFERROR(AVERAGE(Tabel1[[#This Row],[In - A3a]:[In - A3a]]),"")</f>
        <v>5</v>
      </c>
      <c r="DU116" s="14">
        <v>4</v>
      </c>
      <c r="DV116" s="14">
        <f>IFERROR(AVERAGE(Tabel1[[#This Row],[In - A1]],Tabel1[[#This Row],[In - A2]],Tabel1[[#This Row],[In - A3]],Tabel1[[#This Row],[In - A4]]),"")</f>
        <v>4.25</v>
      </c>
      <c r="DW116" s="14">
        <v>5</v>
      </c>
      <c r="DX116" s="14">
        <v>3</v>
      </c>
      <c r="DY116" s="14">
        <v>5</v>
      </c>
      <c r="DZ116" s="14">
        <f>IFERROR(AVERAGE(Tabel1[[#This Row],[Do - R1a]:[Do - R1c]]),"")</f>
        <v>4.333333333333333</v>
      </c>
      <c r="EA116" s="14">
        <v>5</v>
      </c>
      <c r="EB116" s="14">
        <v>5</v>
      </c>
      <c r="EC116" s="14">
        <v>5</v>
      </c>
      <c r="ED116" s="14">
        <v>5</v>
      </c>
      <c r="EE116" s="14">
        <f>IFERROR(AVERAGE(Tabel1[[#This Row],[Do - R1]:[Do - R5]]),"")</f>
        <v>4.8666666666666663</v>
      </c>
      <c r="EF116" s="14">
        <v>5</v>
      </c>
      <c r="EG116" s="14">
        <v>4</v>
      </c>
      <c r="EH116" s="14">
        <v>5</v>
      </c>
      <c r="EI116" s="14">
        <f>IFERROR(AVERAGE(Tabel1[[#This Row],[Do - C1a]:[Do - C1c]]),"")</f>
        <v>4.666666666666667</v>
      </c>
      <c r="EJ116" s="14">
        <v>4</v>
      </c>
      <c r="EK116" s="14">
        <v>5</v>
      </c>
      <c r="EL116" s="14">
        <v>3</v>
      </c>
      <c r="EM116" s="14">
        <f>IFERROR(AVERAGE(Tabel1[[#This Row],[Do - C1]:[Do - C4]]),"")</f>
        <v>4.166666666666667</v>
      </c>
      <c r="EN116" s="14">
        <v>4</v>
      </c>
      <c r="EO116" s="14">
        <v>5</v>
      </c>
      <c r="EP116" s="14">
        <v>5</v>
      </c>
      <c r="EQ116" s="14">
        <f>IFERROR(AVERAGE(Tabel1[[#This Row],[Do - F1a]:[Do - F1c]]),"")</f>
        <v>4.666666666666667</v>
      </c>
      <c r="ER116" s="14">
        <v>4</v>
      </c>
      <c r="ES116" s="14">
        <f>IFERROR(AVERAGE(Tabel1[[#This Row],[Do - F2a]:[Do - F2a]]),"")</f>
        <v>4</v>
      </c>
      <c r="ET116" s="14">
        <v>5</v>
      </c>
      <c r="EU116" s="14">
        <v>3</v>
      </c>
      <c r="EV116" s="14">
        <f>IFERROR(AVERAGE(Tabel1[[#This Row],[Do - F3a]:[Do - F3b]]),"")</f>
        <v>4</v>
      </c>
      <c r="EW116" s="14">
        <v>5</v>
      </c>
      <c r="EX116" s="14">
        <f>IFERROR(AVERAGE(Tabel1[[#This Row],[Do - F1]],Tabel1[[#This Row],[Do - F2]],Tabel1[[#This Row],[Do - F3]],Tabel1[[#This Row],[Do - F4]]),"")</f>
        <v>4.416666666666667</v>
      </c>
      <c r="EY116" s="14">
        <v>4</v>
      </c>
      <c r="EZ116" s="14">
        <v>4</v>
      </c>
      <c r="FA116" s="14">
        <v>4</v>
      </c>
      <c r="FB116" s="14">
        <f>IFERROR(AVERAGE(Tabel1[[#This Row],[Do - V1a]:[Do - V1c]]),"")</f>
        <v>4</v>
      </c>
      <c r="FC116" s="14">
        <v>5</v>
      </c>
      <c r="FD116" s="14">
        <v>4</v>
      </c>
      <c r="FE116" s="14">
        <f>IFERROR(AVERAGE(Tabel1[[#This Row],[Do - V2a]:[Do - V2b]]),"")</f>
        <v>4.5</v>
      </c>
      <c r="FF116" s="14">
        <v>4</v>
      </c>
      <c r="FG116" s="14">
        <f>IFERROR(AVERAGE(Tabel1[[#This Row],[Do - V3a]:[Do - V3a]]),"")</f>
        <v>4</v>
      </c>
      <c r="FH116" s="14">
        <v>5</v>
      </c>
      <c r="FI116" s="14">
        <f>IFERROR(AVERAGE(Tabel1[[#This Row],[Do - V1]],Tabel1[[#This Row],[Do - V2]],Tabel1[[#This Row],[Do - V3]],Tabel1[[#This Row],[Do - V4]]),"")</f>
        <v>4.375</v>
      </c>
      <c r="FJ116" s="14">
        <v>4</v>
      </c>
      <c r="FK116" s="14">
        <v>5</v>
      </c>
      <c r="FL116" s="14">
        <v>5</v>
      </c>
      <c r="FM116" s="14">
        <f>IFERROR(AVERAGE(Tabel1[[#This Row],[Do - A1a]:[Do - A1c]]),"")</f>
        <v>4.666666666666667</v>
      </c>
      <c r="FN116" s="14">
        <v>5</v>
      </c>
      <c r="FO116" s="14">
        <v>4</v>
      </c>
      <c r="FP116" s="14">
        <f>IFERROR(AVERAGE(Tabel1[[#This Row],[Do - A2a]:[Do - A2b]]),"")</f>
        <v>4.5</v>
      </c>
      <c r="FQ116" s="14">
        <v>4</v>
      </c>
      <c r="FR116" s="14">
        <f>IFERROR(AVERAGE(Tabel1[[#This Row],[Do - A3a]:[Do - A3a]]),"")</f>
        <v>4</v>
      </c>
      <c r="FS116" s="14">
        <v>5</v>
      </c>
      <c r="FT116" s="14">
        <f>IFERROR(AVERAGE(Tabel1[[#This Row],[Do - A1]],Tabel1[[#This Row],[Do - A2]],Tabel1[[#This Row],[Do - A3]],Tabel1[[#This Row],[Do - A4]]),"")</f>
        <v>4.541666666666667</v>
      </c>
      <c r="FU11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4.516111111111111</v>
      </c>
      <c r="FV116" s="16" t="s">
        <v>756</v>
      </c>
      <c r="FW116" t="b">
        <v>1</v>
      </c>
    </row>
    <row r="117" spans="1:179" x14ac:dyDescent="0.3">
      <c r="A117" s="13">
        <v>44982.995393518519</v>
      </c>
      <c r="B117" t="b">
        <v>0</v>
      </c>
      <c r="C117" s="14" t="s">
        <v>757</v>
      </c>
      <c r="D117" s="14" t="s">
        <v>758</v>
      </c>
      <c r="E117" s="14" t="s">
        <v>759</v>
      </c>
      <c r="F117" s="14" t="s">
        <v>739</v>
      </c>
      <c r="G117" s="14" t="s">
        <v>760</v>
      </c>
      <c r="H117" s="14" t="s">
        <v>194</v>
      </c>
      <c r="I117" s="14" t="s">
        <v>186</v>
      </c>
      <c r="J117" s="14" t="s">
        <v>186</v>
      </c>
      <c r="K117" s="14" t="s">
        <v>203</v>
      </c>
      <c r="L117" s="14" t="s">
        <v>197</v>
      </c>
      <c r="M117" s="14" t="s">
        <v>198</v>
      </c>
      <c r="N117" s="14" t="s">
        <v>262</v>
      </c>
      <c r="O117" s="14" t="s">
        <v>256</v>
      </c>
      <c r="P117" s="14" t="s">
        <v>701</v>
      </c>
      <c r="Q117" s="14" t="s">
        <v>701</v>
      </c>
      <c r="R117" s="14" t="s">
        <v>701</v>
      </c>
      <c r="S117" s="14" t="s">
        <v>701</v>
      </c>
      <c r="T117" s="14" t="s">
        <v>236</v>
      </c>
      <c r="U117" s="14" t="s">
        <v>205</v>
      </c>
      <c r="V117" s="14" t="s">
        <v>224</v>
      </c>
      <c r="W117" s="14" t="s">
        <v>305</v>
      </c>
      <c r="X117" s="14" t="s">
        <v>305</v>
      </c>
      <c r="Y117" s="14">
        <v>5</v>
      </c>
      <c r="Z117" s="14">
        <v>1</v>
      </c>
      <c r="AA117" s="14">
        <v>1</v>
      </c>
      <c r="AB117" s="15">
        <f>IFERROR(AVERAGE(Tabel1[[#This Row],[Up - R1a]:[Up - R1c]]),"")</f>
        <v>2.3333333333333335</v>
      </c>
      <c r="AC117" s="14" t="s">
        <v>189</v>
      </c>
      <c r="AD117" s="14">
        <v>1</v>
      </c>
      <c r="AE117" s="14">
        <v>1</v>
      </c>
      <c r="AF117" s="14">
        <v>5</v>
      </c>
      <c r="AG117" s="14">
        <f>IFERROR(AVERAGE(Tabel1[[#This Row],[Up - R1]:[Up - R5]]),"")</f>
        <v>2.3333333333333335</v>
      </c>
      <c r="AH117" s="14">
        <v>5</v>
      </c>
      <c r="AI117" s="14">
        <v>3</v>
      </c>
      <c r="AJ117" s="14">
        <v>5</v>
      </c>
      <c r="AK117" s="14">
        <f>IFERROR(AVERAGE(Tabel1[[#This Row],[Up - C1a]:[Up - C1c]]),"")</f>
        <v>4.333333333333333</v>
      </c>
      <c r="AL117" s="14">
        <v>5</v>
      </c>
      <c r="AM117" s="14">
        <v>5</v>
      </c>
      <c r="AN117" s="14">
        <v>5</v>
      </c>
      <c r="AO117" s="14">
        <f>IFERROR(AVERAGE(Tabel1[[#This Row],[Up - C1]:[Up - C4]]),"")</f>
        <v>4.833333333333333</v>
      </c>
      <c r="AP117" s="14">
        <v>1</v>
      </c>
      <c r="AQ117" s="14">
        <f>IFERROR(AVERAGE(Tabel1[[#This Row],[Up - F1a]:[Up - F1a]]),"")</f>
        <v>1</v>
      </c>
      <c r="AR117" s="14">
        <v>1</v>
      </c>
      <c r="AS117" s="14">
        <v>1</v>
      </c>
      <c r="AT117" s="14">
        <f>IFERROR(AVERAGE(Tabel1[[#This Row],[Up - F2a]:[Up - F2b]]),"")</f>
        <v>1</v>
      </c>
      <c r="AU117" s="14">
        <v>1</v>
      </c>
      <c r="AV117" s="14">
        <v>1</v>
      </c>
      <c r="AW117" s="14">
        <f>IFERROR(AVERAGE(Tabel1[[#This Row],[Up - F3a]:[Up - F3b]]),"")</f>
        <v>1</v>
      </c>
      <c r="AX117" s="14">
        <v>1</v>
      </c>
      <c r="AY117" s="14">
        <f>IFERROR(AVERAGE(Tabel1[[#This Row],[Up - F1]],Tabel1[[#This Row],[Up - F2]],Tabel1[[#This Row],[Up - F3]],Tabel1[[#This Row],[Up - F4]]),"")</f>
        <v>1</v>
      </c>
      <c r="AZ117" s="14">
        <v>1</v>
      </c>
      <c r="BA117" s="14">
        <v>1</v>
      </c>
      <c r="BB117" s="14">
        <f>IFERROR(AVERAGE(Tabel1[[#This Row],[Up - V1a]:[Up - V1b]]),"")</f>
        <v>1</v>
      </c>
      <c r="BC117" s="14">
        <v>1</v>
      </c>
      <c r="BD117" s="14">
        <v>5</v>
      </c>
      <c r="BE117" s="14">
        <v>5</v>
      </c>
      <c r="BF117" s="14">
        <f>IFERROR(AVERAGE(Tabel1[[#This Row],[Up - V2a]:[Up - V2c]]),"")</f>
        <v>3.6666666666666665</v>
      </c>
      <c r="BG117" s="14" t="s">
        <v>189</v>
      </c>
      <c r="BH117" s="14" t="s">
        <v>189</v>
      </c>
      <c r="BI117" s="14" t="str">
        <f>IFERROR(AVERAGE(Tabel1[[#This Row],[Up - V3a]:[Up - V3b]]),"")</f>
        <v/>
      </c>
      <c r="BJ117" s="14" t="s">
        <v>189</v>
      </c>
      <c r="BK117" s="14">
        <f>IFERROR(AVERAGE(Tabel1[[#This Row],[Up - V1]],Tabel1[[#This Row],[Up - V2]],Tabel1[[#This Row],[Up - V3]],Tabel1[[#This Row],[Up - V4]]),"")</f>
        <v>2.333333333333333</v>
      </c>
      <c r="BL117" s="14">
        <v>1</v>
      </c>
      <c r="BM117" s="14">
        <v>5</v>
      </c>
      <c r="BN117" s="14">
        <v>1</v>
      </c>
      <c r="BO117" s="14">
        <v>1</v>
      </c>
      <c r="BP117" s="14">
        <f>IFERROR(AVERAGE(Tabel1[[#This Row],[Up - A1a]:[Up - A1d]]),"")</f>
        <v>2</v>
      </c>
      <c r="BQ117" s="14">
        <v>1</v>
      </c>
      <c r="BR117" s="14">
        <v>1</v>
      </c>
      <c r="BS117" s="14">
        <f>IFERROR(AVERAGE(Tabel1[[#This Row],[Up - A2a]:[Up - A2b]]),"")</f>
        <v>1</v>
      </c>
      <c r="BT117" s="14">
        <v>5</v>
      </c>
      <c r="BU117" s="14">
        <f>IFERROR(AVERAGE(Tabel1[[#This Row],[Up - A3a]:[Up - A3a]]),"")</f>
        <v>5</v>
      </c>
      <c r="BV117" s="14">
        <v>5</v>
      </c>
      <c r="BW117" s="14">
        <f>IFERROR(AVERAGE(Tabel1[[#This Row],[Up - A1]],Tabel1[[#This Row],[Up - A2]],Tabel1[[#This Row],[Up - A3]]),"")</f>
        <v>2.6666666666666665</v>
      </c>
      <c r="BX117" s="14">
        <v>5</v>
      </c>
      <c r="BY117" s="14">
        <v>1</v>
      </c>
      <c r="BZ117" s="14">
        <f>IFERROR(AVERAGE(Tabel1[[#This Row],[In - R1a]:[In - R1b]]),"")</f>
        <v>3</v>
      </c>
      <c r="CA117" s="14" t="s">
        <v>189</v>
      </c>
      <c r="CB117" s="14">
        <v>1</v>
      </c>
      <c r="CC117" s="14">
        <v>1</v>
      </c>
      <c r="CD117" s="14" t="s">
        <v>189</v>
      </c>
      <c r="CE117" s="14">
        <f>IFERROR(AVERAGE(Tabel1[[#This Row],[In - R1]:[In - R5]]),"")</f>
        <v>1.6666666666666667</v>
      </c>
      <c r="CF117" s="14">
        <v>5</v>
      </c>
      <c r="CG117" s="14">
        <v>5</v>
      </c>
      <c r="CH117" s="14">
        <v>5</v>
      </c>
      <c r="CI117" s="14">
        <f>IFERROR(AVERAGE(Tabel1[[#This Row],[In - C1a]:[In - C1c]]),"")</f>
        <v>5</v>
      </c>
      <c r="CJ117" s="14">
        <v>5</v>
      </c>
      <c r="CK117" s="14">
        <v>5</v>
      </c>
      <c r="CL117" s="14">
        <v>5</v>
      </c>
      <c r="CM117" s="14">
        <f>IFERROR(AVERAGE(Tabel1[[#This Row],[In - C1]:[In - C4]]),"")</f>
        <v>5</v>
      </c>
      <c r="CN117" s="14">
        <v>1</v>
      </c>
      <c r="CO117" s="14">
        <v>1</v>
      </c>
      <c r="CP117" s="14">
        <v>1</v>
      </c>
      <c r="CQ117" s="14">
        <f>IFERROR(AVERAGE(Tabel1[[#This Row],[In - F1a]:[In - F1c]]),"")</f>
        <v>1</v>
      </c>
      <c r="CR117" s="14">
        <v>1</v>
      </c>
      <c r="CS117" s="14">
        <v>1</v>
      </c>
      <c r="CT117" s="14">
        <f>IFERROR(AVERAGE(Tabel1[[#This Row],[In - F2a]:[In - F2b]]),"")</f>
        <v>1</v>
      </c>
      <c r="CU117" s="14">
        <v>1</v>
      </c>
      <c r="CV117" s="14">
        <f>IFERROR(AVERAGE(Tabel1[[#This Row],[In - F3a]:[In - F3a]]),"")</f>
        <v>1</v>
      </c>
      <c r="CW117" s="14">
        <v>1</v>
      </c>
      <c r="CX117" s="14">
        <f>IFERROR(AVERAGE(Tabel1[[#This Row],[In - F1]],Tabel1[[#This Row],[In - F2]],Tabel1[[#This Row],[In - F3]],Tabel1[[#This Row],[In - F4]]),"")</f>
        <v>1</v>
      </c>
      <c r="CY117" s="14">
        <v>5</v>
      </c>
      <c r="CZ117" s="14">
        <v>5</v>
      </c>
      <c r="DA117" s="14">
        <v>5</v>
      </c>
      <c r="DB117" s="14">
        <f>IFERROR(AVERAGE(Tabel1[[#This Row],[In - V1a]:[In - V1c]]),"")</f>
        <v>5</v>
      </c>
      <c r="DC117" s="14">
        <v>5</v>
      </c>
      <c r="DD117" s="14">
        <v>5</v>
      </c>
      <c r="DE117" s="14">
        <v>5</v>
      </c>
      <c r="DF117" s="14">
        <f>IFERROR(AVERAGE(Tabel1[[#This Row],[In - V2a]:[In - V2c]]),"")</f>
        <v>5</v>
      </c>
      <c r="DG117" s="14">
        <v>5</v>
      </c>
      <c r="DH117" s="14">
        <v>5</v>
      </c>
      <c r="DI117" s="14">
        <f>IFERROR(AVERAGE(Tabel1[[#This Row],[In - V3a]:[In - V3b]]),"")</f>
        <v>5</v>
      </c>
      <c r="DJ117" s="14" t="s">
        <v>189</v>
      </c>
      <c r="DK117" s="14">
        <f>IFERROR(AVERAGE(Tabel1[[#This Row],[In - V1]],Tabel1[[#This Row],[In - V2]],Tabel1[[#This Row],[In - V3]],Tabel1[[#This Row],[In - V4]]),"")</f>
        <v>5</v>
      </c>
      <c r="DL117" s="14">
        <v>5</v>
      </c>
      <c r="DM117" s="14">
        <v>5</v>
      </c>
      <c r="DN117" s="14">
        <f>IFERROR(AVERAGE(Tabel1[[#This Row],[In - A1a]:[In - A1b]]),"")</f>
        <v>5</v>
      </c>
      <c r="DO117" s="14">
        <v>1</v>
      </c>
      <c r="DP117" s="14">
        <v>1</v>
      </c>
      <c r="DQ117" s="14">
        <f>IFERROR(AVERAGE(Tabel1[[#This Row],[In - A2a]:[In - A2b]]),"")</f>
        <v>1</v>
      </c>
      <c r="DR117" s="14">
        <v>5</v>
      </c>
      <c r="DS117" s="14">
        <v>1</v>
      </c>
      <c r="DT117" s="14">
        <f>IFERROR(AVERAGE(Tabel1[[#This Row],[In - A3a]:[In - A3a]]),"")</f>
        <v>5</v>
      </c>
      <c r="DU117" s="14">
        <v>5</v>
      </c>
      <c r="DV117" s="14">
        <f>IFERROR(AVERAGE(Tabel1[[#This Row],[In - A1]],Tabel1[[#This Row],[In - A2]],Tabel1[[#This Row],[In - A3]],Tabel1[[#This Row],[In - A4]]),"")</f>
        <v>4</v>
      </c>
      <c r="DW117" s="14">
        <v>1</v>
      </c>
      <c r="DX117" s="14">
        <v>1</v>
      </c>
      <c r="DY117" s="14">
        <v>1</v>
      </c>
      <c r="DZ117" s="14">
        <f>IFERROR(AVERAGE(Tabel1[[#This Row],[Do - R1a]:[Do - R1c]]),"")</f>
        <v>1</v>
      </c>
      <c r="EA117" s="14" t="s">
        <v>189</v>
      </c>
      <c r="EB117" s="14">
        <v>1</v>
      </c>
      <c r="EC117" s="14" t="s">
        <v>189</v>
      </c>
      <c r="ED117" s="14">
        <v>5</v>
      </c>
      <c r="EE117" s="14">
        <f>IFERROR(AVERAGE(Tabel1[[#This Row],[Do - R1]:[Do - R5]]),"")</f>
        <v>2.3333333333333335</v>
      </c>
      <c r="EF117" s="14">
        <v>5</v>
      </c>
      <c r="EG117" s="14">
        <v>3</v>
      </c>
      <c r="EH117" s="14">
        <v>5</v>
      </c>
      <c r="EI117" s="14">
        <f>IFERROR(AVERAGE(Tabel1[[#This Row],[Do - C1a]:[Do - C1c]]),"")</f>
        <v>4.333333333333333</v>
      </c>
      <c r="EJ117" s="14" t="s">
        <v>189</v>
      </c>
      <c r="EK117" s="14">
        <v>5</v>
      </c>
      <c r="EL117" s="14">
        <v>5</v>
      </c>
      <c r="EM117" s="14">
        <f>IFERROR(AVERAGE(Tabel1[[#This Row],[Do - C1]:[Do - C4]]),"")</f>
        <v>4.7777777777777777</v>
      </c>
      <c r="EN117" s="14">
        <v>1</v>
      </c>
      <c r="EO117" s="14">
        <v>1</v>
      </c>
      <c r="EP117" s="14">
        <v>1</v>
      </c>
      <c r="EQ117" s="14">
        <f>IFERROR(AVERAGE(Tabel1[[#This Row],[Do - F1a]:[Do - F1c]]),"")</f>
        <v>1</v>
      </c>
      <c r="ER117" s="14">
        <v>1</v>
      </c>
      <c r="ES117" s="14">
        <f>IFERROR(AVERAGE(Tabel1[[#This Row],[Do - F2a]:[Do - F2a]]),"")</f>
        <v>1</v>
      </c>
      <c r="ET117" s="14">
        <v>1</v>
      </c>
      <c r="EU117" s="14">
        <v>1</v>
      </c>
      <c r="EV117" s="14">
        <f>IFERROR(AVERAGE(Tabel1[[#This Row],[Do - F3a]:[Do - F3b]]),"")</f>
        <v>1</v>
      </c>
      <c r="EW117" s="14">
        <v>1</v>
      </c>
      <c r="EX117" s="14">
        <f>IFERROR(AVERAGE(Tabel1[[#This Row],[Do - F1]],Tabel1[[#This Row],[Do - F2]],Tabel1[[#This Row],[Do - F3]],Tabel1[[#This Row],[Do - F4]]),"")</f>
        <v>1</v>
      </c>
      <c r="EY117" s="14">
        <v>5</v>
      </c>
      <c r="EZ117" s="14">
        <v>5</v>
      </c>
      <c r="FA117" s="14">
        <v>5</v>
      </c>
      <c r="FB117" s="14">
        <f>IFERROR(AVERAGE(Tabel1[[#This Row],[Do - V1a]:[Do - V1c]]),"")</f>
        <v>5</v>
      </c>
      <c r="FC117" s="14">
        <v>1</v>
      </c>
      <c r="FD117" s="14">
        <v>5</v>
      </c>
      <c r="FE117" s="14">
        <f>IFERROR(AVERAGE(Tabel1[[#This Row],[Do - V2a]:[Do - V2b]]),"")</f>
        <v>3</v>
      </c>
      <c r="FF117" s="14">
        <v>5</v>
      </c>
      <c r="FG117" s="14">
        <f>IFERROR(AVERAGE(Tabel1[[#This Row],[Do - V3a]:[Do - V3a]]),"")</f>
        <v>5</v>
      </c>
      <c r="FH117" s="14" t="s">
        <v>189</v>
      </c>
      <c r="FI117" s="14">
        <f>IFERROR(AVERAGE(Tabel1[[#This Row],[Do - V1]],Tabel1[[#This Row],[Do - V2]],Tabel1[[#This Row],[Do - V3]],Tabel1[[#This Row],[Do - V4]]),"")</f>
        <v>4.333333333333333</v>
      </c>
      <c r="FJ117" s="14">
        <v>1</v>
      </c>
      <c r="FK117" s="14">
        <v>1</v>
      </c>
      <c r="FL117" s="14">
        <v>1</v>
      </c>
      <c r="FM117" s="14">
        <f>IFERROR(AVERAGE(Tabel1[[#This Row],[Do - A1a]:[Do - A1c]]),"")</f>
        <v>1</v>
      </c>
      <c r="FN117" s="14">
        <v>1</v>
      </c>
      <c r="FO117" s="14">
        <v>1</v>
      </c>
      <c r="FP117" s="14">
        <f>IFERROR(AVERAGE(Tabel1[[#This Row],[Do - A2a]:[Do - A2b]]),"")</f>
        <v>1</v>
      </c>
      <c r="FQ117" s="14">
        <v>5</v>
      </c>
      <c r="FR117" s="14">
        <f>IFERROR(AVERAGE(Tabel1[[#This Row],[Do - A3a]:[Do - A3a]]),"")</f>
        <v>5</v>
      </c>
      <c r="FS117" s="14" t="s">
        <v>189</v>
      </c>
      <c r="FT117" s="14">
        <f>IFERROR(AVERAGE(Tabel1[[#This Row],[Do - A1]],Tabel1[[#This Row],[Do - A2]],Tabel1[[#This Row],[Do - A3]],Tabel1[[#This Row],[Do - A4]]),"")</f>
        <v>2.3333333333333335</v>
      </c>
      <c r="FU11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2.9740740740740743</v>
      </c>
      <c r="FV117" s="16" t="s">
        <v>761</v>
      </c>
      <c r="FW117" t="b">
        <v>1</v>
      </c>
    </row>
    <row r="118" spans="1:179" x14ac:dyDescent="0.3">
      <c r="A118" s="13">
        <v>44985.462604166663</v>
      </c>
      <c r="B118" t="b">
        <v>0</v>
      </c>
      <c r="C118" s="14" t="s">
        <v>762</v>
      </c>
      <c r="D118" s="14" t="s">
        <v>763</v>
      </c>
      <c r="E118" s="14" t="s">
        <v>764</v>
      </c>
      <c r="F118" s="14" t="s">
        <v>739</v>
      </c>
      <c r="G118" s="14"/>
      <c r="H118" s="14" t="s">
        <v>194</v>
      </c>
      <c r="I118" s="14" t="s">
        <v>417</v>
      </c>
      <c r="J118" s="14" t="s">
        <v>212</v>
      </c>
      <c r="K118" s="17" t="s">
        <v>255</v>
      </c>
      <c r="L118" s="14" t="s">
        <v>197</v>
      </c>
      <c r="M118" s="14" t="s">
        <v>233</v>
      </c>
      <c r="N118" s="14" t="s">
        <v>262</v>
      </c>
      <c r="O118" s="14" t="s">
        <v>200</v>
      </c>
      <c r="P118" s="17" t="s">
        <v>304</v>
      </c>
      <c r="Q118" s="17" t="s">
        <v>255</v>
      </c>
      <c r="R118" s="14" t="s">
        <v>203</v>
      </c>
      <c r="S118" s="14" t="s">
        <v>201</v>
      </c>
      <c r="T118" s="14" t="s">
        <v>236</v>
      </c>
      <c r="U118" s="14" t="s">
        <v>349</v>
      </c>
      <c r="V118" s="14" t="s">
        <v>359</v>
      </c>
      <c r="W118" s="14" t="s">
        <v>305</v>
      </c>
      <c r="X118" s="14" t="s">
        <v>306</v>
      </c>
      <c r="Y118" s="14">
        <v>4</v>
      </c>
      <c r="Z118" s="14">
        <v>1</v>
      </c>
      <c r="AA118" s="14">
        <v>3</v>
      </c>
      <c r="AB118" s="15">
        <f>IFERROR(AVERAGE(Tabel1[[#This Row],[Up - R1a]:[Up - R1c]]),"")</f>
        <v>2.6666666666666665</v>
      </c>
      <c r="AC118" s="14">
        <v>5</v>
      </c>
      <c r="AD118" s="14">
        <v>5</v>
      </c>
      <c r="AE118" s="14">
        <v>5</v>
      </c>
      <c r="AF118" s="14">
        <v>5</v>
      </c>
      <c r="AG118" s="14">
        <f>IFERROR(AVERAGE(Tabel1[[#This Row],[Up - R1]:[Up - R5]]),"")</f>
        <v>4.5333333333333332</v>
      </c>
      <c r="AH118" s="14">
        <v>5</v>
      </c>
      <c r="AI118" s="14">
        <v>3</v>
      </c>
      <c r="AJ118" s="14">
        <v>4</v>
      </c>
      <c r="AK118" s="14">
        <f>IFERROR(AVERAGE(Tabel1[[#This Row],[Up - C1a]:[Up - C1c]]),"")</f>
        <v>4</v>
      </c>
      <c r="AL118" s="14">
        <v>2</v>
      </c>
      <c r="AM118" s="14">
        <v>1</v>
      </c>
      <c r="AN118" s="14">
        <v>5</v>
      </c>
      <c r="AO118" s="14">
        <f>IFERROR(AVERAGE(Tabel1[[#This Row],[Up - C1]:[Up - C4]]),"")</f>
        <v>3</v>
      </c>
      <c r="AP118" s="14">
        <v>5</v>
      </c>
      <c r="AQ118" s="14">
        <f>IFERROR(AVERAGE(Tabel1[[#This Row],[Up - F1a]:[Up - F1a]]),"")</f>
        <v>5</v>
      </c>
      <c r="AR118" s="14">
        <v>1</v>
      </c>
      <c r="AS118" s="14">
        <v>1</v>
      </c>
      <c r="AT118" s="14">
        <f>IFERROR(AVERAGE(Tabel1[[#This Row],[Up - F2a]:[Up - F2b]]),"")</f>
        <v>1</v>
      </c>
      <c r="AU118" s="14">
        <v>5</v>
      </c>
      <c r="AV118" s="14">
        <v>1</v>
      </c>
      <c r="AW118" s="14">
        <f>IFERROR(AVERAGE(Tabel1[[#This Row],[Up - F3a]:[Up - F3b]]),"")</f>
        <v>3</v>
      </c>
      <c r="AX118" s="14">
        <v>5</v>
      </c>
      <c r="AY118" s="14">
        <f>IFERROR(AVERAGE(Tabel1[[#This Row],[Up - F1]],Tabel1[[#This Row],[Up - F2]],Tabel1[[#This Row],[Up - F3]],Tabel1[[#This Row],[Up - F4]]),"")</f>
        <v>3.5</v>
      </c>
      <c r="AZ118" s="14">
        <v>1</v>
      </c>
      <c r="BA118" s="14">
        <v>5</v>
      </c>
      <c r="BB118" s="14">
        <f>IFERROR(AVERAGE(Tabel1[[#This Row],[Up - V1a]:[Up - V1b]]),"")</f>
        <v>3</v>
      </c>
      <c r="BC118" s="14">
        <v>4</v>
      </c>
      <c r="BD118" s="14">
        <v>5</v>
      </c>
      <c r="BE118" s="14">
        <v>5</v>
      </c>
      <c r="BF118" s="14">
        <f>IFERROR(AVERAGE(Tabel1[[#This Row],[Up - V2a]:[Up - V2c]]),"")</f>
        <v>4.666666666666667</v>
      </c>
      <c r="BG118" s="14">
        <v>4</v>
      </c>
      <c r="BH118" s="14">
        <v>4</v>
      </c>
      <c r="BI118" s="14">
        <f>IFERROR(AVERAGE(Tabel1[[#This Row],[Up - V3a]:[Up - V3b]]),"")</f>
        <v>4</v>
      </c>
      <c r="BJ118" s="14">
        <v>4</v>
      </c>
      <c r="BK118" s="14">
        <f>IFERROR(AVERAGE(Tabel1[[#This Row],[Up - V1]],Tabel1[[#This Row],[Up - V2]],Tabel1[[#This Row],[Up - V3]],Tabel1[[#This Row],[Up - V4]]),"")</f>
        <v>3.916666666666667</v>
      </c>
      <c r="BL118" s="14">
        <v>5</v>
      </c>
      <c r="BM118" s="14">
        <v>5</v>
      </c>
      <c r="BN118" s="14">
        <v>5</v>
      </c>
      <c r="BO118" s="14">
        <v>5</v>
      </c>
      <c r="BP118" s="14">
        <f>IFERROR(AVERAGE(Tabel1[[#This Row],[Up - A1a]:[Up - A1d]]),"")</f>
        <v>5</v>
      </c>
      <c r="BQ118" s="14">
        <v>5</v>
      </c>
      <c r="BR118" s="14">
        <v>5</v>
      </c>
      <c r="BS118" s="14">
        <f>IFERROR(AVERAGE(Tabel1[[#This Row],[Up - A2a]:[Up - A2b]]),"")</f>
        <v>5</v>
      </c>
      <c r="BT118" s="14">
        <v>5</v>
      </c>
      <c r="BU118" s="14">
        <f>IFERROR(AVERAGE(Tabel1[[#This Row],[Up - A3a]:[Up - A3a]]),"")</f>
        <v>5</v>
      </c>
      <c r="BV118" s="14">
        <v>4</v>
      </c>
      <c r="BW118" s="14">
        <f>IFERROR(AVERAGE(Tabel1[[#This Row],[Up - A1]],Tabel1[[#This Row],[Up - A2]],Tabel1[[#This Row],[Up - A3]]),"")</f>
        <v>5</v>
      </c>
      <c r="BX118" s="14">
        <v>1</v>
      </c>
      <c r="BY118" s="14">
        <v>1</v>
      </c>
      <c r="BZ118" s="14">
        <f>IFERROR(AVERAGE(Tabel1[[#This Row],[In - R1a]:[In - R1b]]),"")</f>
        <v>1</v>
      </c>
      <c r="CA118" s="14">
        <v>5</v>
      </c>
      <c r="CB118" s="14">
        <v>1</v>
      </c>
      <c r="CC118" s="14">
        <v>5</v>
      </c>
      <c r="CD118" s="14">
        <v>5</v>
      </c>
      <c r="CE118" s="14">
        <f>IFERROR(AVERAGE(Tabel1[[#This Row],[In - R1]:[In - R5]]),"")</f>
        <v>3.4</v>
      </c>
      <c r="CF118" s="14">
        <v>3</v>
      </c>
      <c r="CG118" s="14">
        <v>1</v>
      </c>
      <c r="CH118" s="14">
        <v>2</v>
      </c>
      <c r="CI118" s="14">
        <f>IFERROR(AVERAGE(Tabel1[[#This Row],[In - C1a]:[In - C1c]]),"")</f>
        <v>2</v>
      </c>
      <c r="CJ118" s="14">
        <v>4</v>
      </c>
      <c r="CK118" s="14">
        <v>1</v>
      </c>
      <c r="CL118" s="14">
        <v>5</v>
      </c>
      <c r="CM118" s="14">
        <f>IFERROR(AVERAGE(Tabel1[[#This Row],[In - C1]:[In - C4]]),"")</f>
        <v>3</v>
      </c>
      <c r="CN118" s="14">
        <v>5</v>
      </c>
      <c r="CO118" s="14">
        <v>5</v>
      </c>
      <c r="CP118" s="14">
        <v>1</v>
      </c>
      <c r="CQ118" s="14">
        <f>IFERROR(AVERAGE(Tabel1[[#This Row],[In - F1a]:[In - F1c]]),"")</f>
        <v>3.6666666666666665</v>
      </c>
      <c r="CR118" s="14">
        <v>5</v>
      </c>
      <c r="CS118" s="14">
        <v>1</v>
      </c>
      <c r="CT118" s="14">
        <f>IFERROR(AVERAGE(Tabel1[[#This Row],[In - F2a]:[In - F2b]]),"")</f>
        <v>3</v>
      </c>
      <c r="CU118" s="14">
        <v>1</v>
      </c>
      <c r="CV118" s="14">
        <f>IFERROR(AVERAGE(Tabel1[[#This Row],[In - F3a]:[In - F3a]]),"")</f>
        <v>1</v>
      </c>
      <c r="CW118" s="14">
        <v>5</v>
      </c>
      <c r="CX118" s="14">
        <f>IFERROR(AVERAGE(Tabel1[[#This Row],[In - F1]],Tabel1[[#This Row],[In - F2]],Tabel1[[#This Row],[In - F3]],Tabel1[[#This Row],[In - F4]]),"")</f>
        <v>3.1666666666666665</v>
      </c>
      <c r="CY118" s="14">
        <v>5</v>
      </c>
      <c r="CZ118" s="14">
        <v>2</v>
      </c>
      <c r="DA118" s="14">
        <v>2</v>
      </c>
      <c r="DB118" s="14">
        <f>IFERROR(AVERAGE(Tabel1[[#This Row],[In - V1a]:[In - V1c]]),"")</f>
        <v>3</v>
      </c>
      <c r="DC118" s="14">
        <v>5</v>
      </c>
      <c r="DD118" s="14">
        <v>5</v>
      </c>
      <c r="DE118" s="14">
        <v>2</v>
      </c>
      <c r="DF118" s="14">
        <f>IFERROR(AVERAGE(Tabel1[[#This Row],[In - V2a]:[In - V2c]]),"")</f>
        <v>4</v>
      </c>
      <c r="DG118" s="14">
        <v>2</v>
      </c>
      <c r="DH118" s="14">
        <v>5</v>
      </c>
      <c r="DI118" s="14">
        <f>IFERROR(AVERAGE(Tabel1[[#This Row],[In - V3a]:[In - V3b]]),"")</f>
        <v>3.5</v>
      </c>
      <c r="DJ118" s="14">
        <v>4</v>
      </c>
      <c r="DK118" s="14">
        <f>IFERROR(AVERAGE(Tabel1[[#This Row],[In - V1]],Tabel1[[#This Row],[In - V2]],Tabel1[[#This Row],[In - V3]],Tabel1[[#This Row],[In - V4]]),"")</f>
        <v>3.625</v>
      </c>
      <c r="DL118" s="14">
        <v>5</v>
      </c>
      <c r="DM118" s="14">
        <v>5</v>
      </c>
      <c r="DN118" s="14">
        <f>IFERROR(AVERAGE(Tabel1[[#This Row],[In - A1a]:[In - A1b]]),"")</f>
        <v>5</v>
      </c>
      <c r="DO118" s="14">
        <v>5</v>
      </c>
      <c r="DP118" s="14">
        <v>5</v>
      </c>
      <c r="DQ118" s="14">
        <f>IFERROR(AVERAGE(Tabel1[[#This Row],[In - A2a]:[In - A2b]]),"")</f>
        <v>5</v>
      </c>
      <c r="DR118" s="14">
        <v>5</v>
      </c>
      <c r="DS118" s="14">
        <v>4</v>
      </c>
      <c r="DT118" s="14">
        <f>IFERROR(AVERAGE(Tabel1[[#This Row],[In - A3a]:[In - A3a]]),"")</f>
        <v>5</v>
      </c>
      <c r="DU118" s="14">
        <v>4</v>
      </c>
      <c r="DV118" s="14">
        <f>IFERROR(AVERAGE(Tabel1[[#This Row],[In - A1]],Tabel1[[#This Row],[In - A2]],Tabel1[[#This Row],[In - A3]],Tabel1[[#This Row],[In - A4]]),"")</f>
        <v>4.75</v>
      </c>
      <c r="DW118" s="14">
        <v>5</v>
      </c>
      <c r="DX118" s="14">
        <v>5</v>
      </c>
      <c r="DY118" s="14">
        <v>5</v>
      </c>
      <c r="DZ118" s="14">
        <f>IFERROR(AVERAGE(Tabel1[[#This Row],[Do - R1a]:[Do - R1c]]),"")</f>
        <v>5</v>
      </c>
      <c r="EA118" s="14">
        <v>5</v>
      </c>
      <c r="EB118" s="14">
        <v>5</v>
      </c>
      <c r="EC118" s="14">
        <v>5</v>
      </c>
      <c r="ED118" s="14">
        <v>5</v>
      </c>
      <c r="EE118" s="14">
        <f>IFERROR(AVERAGE(Tabel1[[#This Row],[Do - R1]:[Do - R5]]),"")</f>
        <v>5</v>
      </c>
      <c r="EF118" s="14">
        <v>5</v>
      </c>
      <c r="EG118" s="14">
        <v>3</v>
      </c>
      <c r="EH118" s="14">
        <v>4</v>
      </c>
      <c r="EI118" s="14">
        <f>IFERROR(AVERAGE(Tabel1[[#This Row],[Do - C1a]:[Do - C1c]]),"")</f>
        <v>4</v>
      </c>
      <c r="EJ118" s="14">
        <v>2</v>
      </c>
      <c r="EK118" s="14">
        <v>1</v>
      </c>
      <c r="EL118" s="14">
        <v>5</v>
      </c>
      <c r="EM118" s="14">
        <f>IFERROR(AVERAGE(Tabel1[[#This Row],[Do - C1]:[Do - C4]]),"")</f>
        <v>3</v>
      </c>
      <c r="EN118" s="14">
        <v>5</v>
      </c>
      <c r="EO118" s="14">
        <v>5</v>
      </c>
      <c r="EP118" s="14">
        <v>1</v>
      </c>
      <c r="EQ118" s="14">
        <f>IFERROR(AVERAGE(Tabel1[[#This Row],[Do - F1a]:[Do - F1c]]),"")</f>
        <v>3.6666666666666665</v>
      </c>
      <c r="ER118" s="14">
        <v>1</v>
      </c>
      <c r="ES118" s="14">
        <f>IFERROR(AVERAGE(Tabel1[[#This Row],[Do - F2a]:[Do - F2a]]),"")</f>
        <v>1</v>
      </c>
      <c r="ET118" s="14">
        <v>5</v>
      </c>
      <c r="EU118" s="14">
        <v>5</v>
      </c>
      <c r="EV118" s="14">
        <f>IFERROR(AVERAGE(Tabel1[[#This Row],[Do - F3a]:[Do - F3b]]),"")</f>
        <v>5</v>
      </c>
      <c r="EW118" s="14">
        <v>5</v>
      </c>
      <c r="EX118" s="14">
        <f>IFERROR(AVERAGE(Tabel1[[#This Row],[Do - F1]],Tabel1[[#This Row],[Do - F2]],Tabel1[[#This Row],[Do - F3]],Tabel1[[#This Row],[Do - F4]]),"")</f>
        <v>3.6666666666666665</v>
      </c>
      <c r="EY118" s="14">
        <v>3</v>
      </c>
      <c r="EZ118" s="14">
        <v>5</v>
      </c>
      <c r="FA118" s="14">
        <v>5</v>
      </c>
      <c r="FB118" s="14">
        <f>IFERROR(AVERAGE(Tabel1[[#This Row],[Do - V1a]:[Do - V1c]]),"")</f>
        <v>4.333333333333333</v>
      </c>
      <c r="FC118" s="14">
        <v>4</v>
      </c>
      <c r="FD118" s="14">
        <v>5</v>
      </c>
      <c r="FE118" s="14">
        <f>IFERROR(AVERAGE(Tabel1[[#This Row],[Do - V2a]:[Do - V2b]]),"")</f>
        <v>4.5</v>
      </c>
      <c r="FF118" s="14">
        <v>4</v>
      </c>
      <c r="FG118" s="14">
        <f>IFERROR(AVERAGE(Tabel1[[#This Row],[Do - V3a]:[Do - V3a]]),"")</f>
        <v>4</v>
      </c>
      <c r="FH118" s="14">
        <v>4</v>
      </c>
      <c r="FI118" s="14">
        <f>IFERROR(AVERAGE(Tabel1[[#This Row],[Do - V1]],Tabel1[[#This Row],[Do - V2]],Tabel1[[#This Row],[Do - V3]],Tabel1[[#This Row],[Do - V4]]),"")</f>
        <v>4.208333333333333</v>
      </c>
      <c r="FJ118" s="14">
        <v>5</v>
      </c>
      <c r="FK118" s="14">
        <v>5</v>
      </c>
      <c r="FL118" s="14">
        <v>5</v>
      </c>
      <c r="FM118" s="14">
        <f>IFERROR(AVERAGE(Tabel1[[#This Row],[Do - A1a]:[Do - A1c]]),"")</f>
        <v>5</v>
      </c>
      <c r="FN118" s="14">
        <v>3</v>
      </c>
      <c r="FO118" s="14">
        <v>5</v>
      </c>
      <c r="FP118" s="14">
        <f>IFERROR(AVERAGE(Tabel1[[#This Row],[Do - A2a]:[Do - A2b]]),"")</f>
        <v>4</v>
      </c>
      <c r="FQ118" s="14">
        <v>5</v>
      </c>
      <c r="FR118" s="14">
        <f>IFERROR(AVERAGE(Tabel1[[#This Row],[Do - A3a]:[Do - A3a]]),"")</f>
        <v>5</v>
      </c>
      <c r="FS118" s="14">
        <v>4</v>
      </c>
      <c r="FT118" s="14">
        <f>IFERROR(AVERAGE(Tabel1[[#This Row],[Do - A1]],Tabel1[[#This Row],[Do - A2]],Tabel1[[#This Row],[Do - A3]],Tabel1[[#This Row],[Do - A4]]),"")</f>
        <v>4.5</v>
      </c>
      <c r="FU11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3.8844444444444446</v>
      </c>
      <c r="FV118" s="16" t="s">
        <v>765</v>
      </c>
      <c r="FW118" t="b">
        <v>1</v>
      </c>
    </row>
    <row r="119" spans="1:179" x14ac:dyDescent="0.3">
      <c r="A119" s="13">
        <v>44985.564467592594</v>
      </c>
      <c r="B119" t="b">
        <v>0</v>
      </c>
      <c r="C119" s="14" t="s">
        <v>766</v>
      </c>
      <c r="D119" s="14" t="s">
        <v>767</v>
      </c>
      <c r="E119" s="14" t="s">
        <v>768</v>
      </c>
      <c r="F119" s="14" t="s">
        <v>739</v>
      </c>
      <c r="G119" s="21" t="s">
        <v>769</v>
      </c>
      <c r="H119" s="14" t="s">
        <v>194</v>
      </c>
      <c r="I119" s="14" t="s">
        <v>195</v>
      </c>
      <c r="J119" s="14" t="s">
        <v>406</v>
      </c>
      <c r="K119" s="14" t="s">
        <v>201</v>
      </c>
      <c r="L119" s="14" t="s">
        <v>197</v>
      </c>
      <c r="M119" s="14" t="s">
        <v>188</v>
      </c>
      <c r="N119" s="14" t="s">
        <v>316</v>
      </c>
      <c r="O119" s="14" t="s">
        <v>200</v>
      </c>
      <c r="P119" s="14" t="s">
        <v>317</v>
      </c>
      <c r="Q119" s="14" t="s">
        <v>201</v>
      </c>
      <c r="R119" s="17" t="s">
        <v>304</v>
      </c>
      <c r="S119" s="14" t="s">
        <v>701</v>
      </c>
      <c r="T119" s="14" t="s">
        <v>284</v>
      </c>
      <c r="U119" s="14" t="s">
        <v>205</v>
      </c>
      <c r="V119" s="14" t="s">
        <v>206</v>
      </c>
      <c r="W119" s="14" t="s">
        <v>207</v>
      </c>
      <c r="X119" s="14" t="s">
        <v>306</v>
      </c>
      <c r="Y119" s="14">
        <v>3</v>
      </c>
      <c r="Z119" s="14">
        <v>5</v>
      </c>
      <c r="AA119" s="14">
        <v>3</v>
      </c>
      <c r="AB119" s="15">
        <f>IFERROR(AVERAGE(Tabel1[[#This Row],[Up - R1a]:[Up - R1c]]),"")</f>
        <v>3.6666666666666665</v>
      </c>
      <c r="AC119" s="14">
        <v>2</v>
      </c>
      <c r="AD119" s="14">
        <v>5</v>
      </c>
      <c r="AE119" s="14">
        <v>1</v>
      </c>
      <c r="AF119" s="14">
        <v>3</v>
      </c>
      <c r="AG119" s="14">
        <f>IFERROR(AVERAGE(Tabel1[[#This Row],[Up - R1]:[Up - R5]]),"")</f>
        <v>2.9333333333333331</v>
      </c>
      <c r="AH119" s="14">
        <v>3</v>
      </c>
      <c r="AI119" s="14">
        <v>3</v>
      </c>
      <c r="AJ119" s="14">
        <v>5</v>
      </c>
      <c r="AK119" s="14">
        <f>IFERROR(AVERAGE(Tabel1[[#This Row],[Up - C1a]:[Up - C1c]]),"")</f>
        <v>3.6666666666666665</v>
      </c>
      <c r="AL119" s="14">
        <v>5</v>
      </c>
      <c r="AM119" s="14">
        <v>3</v>
      </c>
      <c r="AN119" s="14">
        <v>3</v>
      </c>
      <c r="AO119" s="14">
        <f>IFERROR(AVERAGE(Tabel1[[#This Row],[Up - C1]:[Up - C4]]),"")</f>
        <v>3.6666666666666665</v>
      </c>
      <c r="AP119" s="14">
        <v>5</v>
      </c>
      <c r="AQ119" s="14">
        <f>IFERROR(AVERAGE(Tabel1[[#This Row],[Up - F1a]:[Up - F1a]]),"")</f>
        <v>5</v>
      </c>
      <c r="AR119" s="14">
        <v>1</v>
      </c>
      <c r="AS119" s="14">
        <v>1</v>
      </c>
      <c r="AT119" s="14">
        <f>IFERROR(AVERAGE(Tabel1[[#This Row],[Up - F2a]:[Up - F2b]]),"")</f>
        <v>1</v>
      </c>
      <c r="AU119" s="14">
        <v>1</v>
      </c>
      <c r="AV119" s="14">
        <v>3</v>
      </c>
      <c r="AW119" s="14">
        <f>IFERROR(AVERAGE(Tabel1[[#This Row],[Up - F3a]:[Up - F3b]]),"")</f>
        <v>2</v>
      </c>
      <c r="AX119" s="14">
        <v>5</v>
      </c>
      <c r="AY119" s="14">
        <f>IFERROR(AVERAGE(Tabel1[[#This Row],[Up - F1]],Tabel1[[#This Row],[Up - F2]],Tabel1[[#This Row],[Up - F3]],Tabel1[[#This Row],[Up - F4]]),"")</f>
        <v>3.25</v>
      </c>
      <c r="AZ119" s="14">
        <v>5</v>
      </c>
      <c r="BA119" s="14">
        <v>5</v>
      </c>
      <c r="BB119" s="14">
        <f>IFERROR(AVERAGE(Tabel1[[#This Row],[Up - V1a]:[Up - V1b]]),"")</f>
        <v>5</v>
      </c>
      <c r="BC119" s="14">
        <v>2</v>
      </c>
      <c r="BD119" s="14">
        <v>5</v>
      </c>
      <c r="BE119" s="14">
        <v>5</v>
      </c>
      <c r="BF119" s="14">
        <f>IFERROR(AVERAGE(Tabel1[[#This Row],[Up - V2a]:[Up - V2c]]),"")</f>
        <v>4</v>
      </c>
      <c r="BG119" s="14">
        <v>5</v>
      </c>
      <c r="BH119" s="14">
        <v>5</v>
      </c>
      <c r="BI119" s="14">
        <f>IFERROR(AVERAGE(Tabel1[[#This Row],[Up - V3a]:[Up - V3b]]),"")</f>
        <v>5</v>
      </c>
      <c r="BJ119" s="14">
        <v>5</v>
      </c>
      <c r="BK119" s="14">
        <f>IFERROR(AVERAGE(Tabel1[[#This Row],[Up - V1]],Tabel1[[#This Row],[Up - V2]],Tabel1[[#This Row],[Up - V3]],Tabel1[[#This Row],[Up - V4]]),"")</f>
        <v>4.75</v>
      </c>
      <c r="BL119" s="14">
        <v>1</v>
      </c>
      <c r="BM119" s="14">
        <v>3</v>
      </c>
      <c r="BN119" s="14">
        <v>1</v>
      </c>
      <c r="BO119" s="14">
        <v>1</v>
      </c>
      <c r="BP119" s="14">
        <f>IFERROR(AVERAGE(Tabel1[[#This Row],[Up - A1a]:[Up - A1d]]),"")</f>
        <v>1.5</v>
      </c>
      <c r="BQ119" s="14">
        <v>1</v>
      </c>
      <c r="BR119" s="14">
        <v>1</v>
      </c>
      <c r="BS119" s="14">
        <f>IFERROR(AVERAGE(Tabel1[[#This Row],[Up - A2a]:[Up - A2b]]),"")</f>
        <v>1</v>
      </c>
      <c r="BT119" s="14">
        <v>3</v>
      </c>
      <c r="BU119" s="14">
        <f>IFERROR(AVERAGE(Tabel1[[#This Row],[Up - A3a]:[Up - A3a]]),"")</f>
        <v>3</v>
      </c>
      <c r="BV119" s="14">
        <v>2</v>
      </c>
      <c r="BW119" s="14">
        <f>IFERROR(AVERAGE(Tabel1[[#This Row],[Up - A1]],Tabel1[[#This Row],[Up - A2]],Tabel1[[#This Row],[Up - A3]]),"")</f>
        <v>1.8333333333333333</v>
      </c>
      <c r="BX119" s="14">
        <v>4</v>
      </c>
      <c r="BY119" s="14">
        <v>3</v>
      </c>
      <c r="BZ119" s="14">
        <f>IFERROR(AVERAGE(Tabel1[[#This Row],[In - R1a]:[In - R1b]]),"")</f>
        <v>3.5</v>
      </c>
      <c r="CA119" s="14">
        <v>3</v>
      </c>
      <c r="CB119" s="14">
        <v>1</v>
      </c>
      <c r="CC119" s="14">
        <v>1</v>
      </c>
      <c r="CD119" s="14">
        <v>2</v>
      </c>
      <c r="CE119" s="14">
        <f>IFERROR(AVERAGE(Tabel1[[#This Row],[In - R1]:[In - R5]]),"")</f>
        <v>2.1</v>
      </c>
      <c r="CF119" s="14">
        <v>5</v>
      </c>
      <c r="CG119" s="14">
        <v>5</v>
      </c>
      <c r="CH119" s="14">
        <v>5</v>
      </c>
      <c r="CI119" s="14">
        <f>IFERROR(AVERAGE(Tabel1[[#This Row],[In - C1a]:[In - C1c]]),"")</f>
        <v>5</v>
      </c>
      <c r="CJ119" s="14">
        <v>5</v>
      </c>
      <c r="CK119" s="14">
        <v>5</v>
      </c>
      <c r="CL119" s="14">
        <v>5</v>
      </c>
      <c r="CM119" s="14">
        <f>IFERROR(AVERAGE(Tabel1[[#This Row],[In - C1]:[In - C4]]),"")</f>
        <v>5</v>
      </c>
      <c r="CN119" s="14">
        <v>1</v>
      </c>
      <c r="CO119" s="14">
        <v>1</v>
      </c>
      <c r="CP119" s="14">
        <v>1</v>
      </c>
      <c r="CQ119" s="14">
        <f>IFERROR(AVERAGE(Tabel1[[#This Row],[In - F1a]:[In - F1c]]),"")</f>
        <v>1</v>
      </c>
      <c r="CR119" s="14">
        <v>1</v>
      </c>
      <c r="CS119" s="14">
        <v>1</v>
      </c>
      <c r="CT119" s="14">
        <f>IFERROR(AVERAGE(Tabel1[[#This Row],[In - F2a]:[In - F2b]]),"")</f>
        <v>1</v>
      </c>
      <c r="CU119" s="14">
        <v>1</v>
      </c>
      <c r="CV119" s="14">
        <f>IFERROR(AVERAGE(Tabel1[[#This Row],[In - F3a]:[In - F3a]]),"")</f>
        <v>1</v>
      </c>
      <c r="CW119" s="14">
        <v>3</v>
      </c>
      <c r="CX119" s="14">
        <f>IFERROR(AVERAGE(Tabel1[[#This Row],[In - F1]],Tabel1[[#This Row],[In - F2]],Tabel1[[#This Row],[In - F3]],Tabel1[[#This Row],[In - F4]]),"")</f>
        <v>1.5</v>
      </c>
      <c r="CY119" s="14">
        <v>5</v>
      </c>
      <c r="CZ119" s="14">
        <v>5</v>
      </c>
      <c r="DA119" s="14">
        <v>5</v>
      </c>
      <c r="DB119" s="14">
        <f>IFERROR(AVERAGE(Tabel1[[#This Row],[In - V1a]:[In - V1c]]),"")</f>
        <v>5</v>
      </c>
      <c r="DC119" s="14">
        <v>5</v>
      </c>
      <c r="DD119" s="14">
        <v>5</v>
      </c>
      <c r="DE119" s="14">
        <v>5</v>
      </c>
      <c r="DF119" s="14">
        <f>IFERROR(AVERAGE(Tabel1[[#This Row],[In - V2a]:[In - V2c]]),"")</f>
        <v>5</v>
      </c>
      <c r="DG119" s="14">
        <v>5</v>
      </c>
      <c r="DH119" s="14">
        <v>5</v>
      </c>
      <c r="DI119" s="14">
        <f>IFERROR(AVERAGE(Tabel1[[#This Row],[In - V3a]:[In - V3b]]),"")</f>
        <v>5</v>
      </c>
      <c r="DJ119" s="14">
        <v>5</v>
      </c>
      <c r="DK119" s="14">
        <f>IFERROR(AVERAGE(Tabel1[[#This Row],[In - V1]],Tabel1[[#This Row],[In - V2]],Tabel1[[#This Row],[In - V3]],Tabel1[[#This Row],[In - V4]]),"")</f>
        <v>5</v>
      </c>
      <c r="DL119" s="14">
        <v>1</v>
      </c>
      <c r="DM119" s="14">
        <v>5</v>
      </c>
      <c r="DN119" s="14">
        <f>IFERROR(AVERAGE(Tabel1[[#This Row],[In - A1a]:[In - A1b]]),"")</f>
        <v>3</v>
      </c>
      <c r="DO119" s="14">
        <v>5</v>
      </c>
      <c r="DP119" s="14">
        <v>3</v>
      </c>
      <c r="DQ119" s="14">
        <f>IFERROR(AVERAGE(Tabel1[[#This Row],[In - A2a]:[In - A2b]]),"")</f>
        <v>4</v>
      </c>
      <c r="DR119" s="14">
        <v>5</v>
      </c>
      <c r="DS119" s="14">
        <v>2</v>
      </c>
      <c r="DT119" s="14">
        <f>IFERROR(AVERAGE(Tabel1[[#This Row],[In - A3a]:[In - A3a]]),"")</f>
        <v>5</v>
      </c>
      <c r="DU119" s="14">
        <v>3</v>
      </c>
      <c r="DV119" s="14">
        <f>IFERROR(AVERAGE(Tabel1[[#This Row],[In - A1]],Tabel1[[#This Row],[In - A2]],Tabel1[[#This Row],[In - A3]],Tabel1[[#This Row],[In - A4]]),"")</f>
        <v>3.75</v>
      </c>
      <c r="DW119" s="14">
        <v>5</v>
      </c>
      <c r="DX119" s="14">
        <v>5</v>
      </c>
      <c r="DY119" s="14">
        <v>5</v>
      </c>
      <c r="DZ119" s="14">
        <f>IFERROR(AVERAGE(Tabel1[[#This Row],[Do - R1a]:[Do - R1c]]),"")</f>
        <v>5</v>
      </c>
      <c r="EA119" s="14">
        <v>2</v>
      </c>
      <c r="EB119" s="14">
        <v>1</v>
      </c>
      <c r="EC119" s="14">
        <v>1</v>
      </c>
      <c r="ED119" s="14">
        <v>2</v>
      </c>
      <c r="EE119" s="14">
        <f>IFERROR(AVERAGE(Tabel1[[#This Row],[Do - R1]:[Do - R5]]),"")</f>
        <v>2.2000000000000002</v>
      </c>
      <c r="EF119" s="14">
        <v>3</v>
      </c>
      <c r="EG119" s="14">
        <v>5</v>
      </c>
      <c r="EH119" s="14">
        <v>5</v>
      </c>
      <c r="EI119" s="14">
        <f>IFERROR(AVERAGE(Tabel1[[#This Row],[Do - C1a]:[Do - C1c]]),"")</f>
        <v>4.333333333333333</v>
      </c>
      <c r="EJ119" s="14">
        <v>4</v>
      </c>
      <c r="EK119" s="14">
        <v>5</v>
      </c>
      <c r="EL119" s="14">
        <v>5</v>
      </c>
      <c r="EM119" s="14">
        <f>IFERROR(AVERAGE(Tabel1[[#This Row],[Do - C1]:[Do - C4]]),"")</f>
        <v>4.583333333333333</v>
      </c>
      <c r="EN119" s="14">
        <v>1</v>
      </c>
      <c r="EO119" s="14">
        <v>1</v>
      </c>
      <c r="EP119" s="14">
        <v>1</v>
      </c>
      <c r="EQ119" s="14">
        <f>IFERROR(AVERAGE(Tabel1[[#This Row],[Do - F1a]:[Do - F1c]]),"")</f>
        <v>1</v>
      </c>
      <c r="ER119" s="14">
        <v>1</v>
      </c>
      <c r="ES119" s="14">
        <f>IFERROR(AVERAGE(Tabel1[[#This Row],[Do - F2a]:[Do - F2a]]),"")</f>
        <v>1</v>
      </c>
      <c r="ET119" s="14">
        <v>1</v>
      </c>
      <c r="EU119" s="14">
        <v>1</v>
      </c>
      <c r="EV119" s="14">
        <f>IFERROR(AVERAGE(Tabel1[[#This Row],[Do - F3a]:[Do - F3b]]),"")</f>
        <v>1</v>
      </c>
      <c r="EW119" s="14">
        <v>3</v>
      </c>
      <c r="EX119" s="14">
        <f>IFERROR(AVERAGE(Tabel1[[#This Row],[Do - F1]],Tabel1[[#This Row],[Do - F2]],Tabel1[[#This Row],[Do - F3]],Tabel1[[#This Row],[Do - F4]]),"")</f>
        <v>1.5</v>
      </c>
      <c r="EY119" s="14">
        <v>5</v>
      </c>
      <c r="EZ119" s="14">
        <v>5</v>
      </c>
      <c r="FA119" s="14">
        <v>5</v>
      </c>
      <c r="FB119" s="14">
        <f>IFERROR(AVERAGE(Tabel1[[#This Row],[Do - V1a]:[Do - V1c]]),"")</f>
        <v>5</v>
      </c>
      <c r="FC119" s="14">
        <v>2</v>
      </c>
      <c r="FD119" s="14">
        <v>5</v>
      </c>
      <c r="FE119" s="14">
        <f>IFERROR(AVERAGE(Tabel1[[#This Row],[Do - V2a]:[Do - V2b]]),"")</f>
        <v>3.5</v>
      </c>
      <c r="FF119" s="14">
        <v>5</v>
      </c>
      <c r="FG119" s="14">
        <f>IFERROR(AVERAGE(Tabel1[[#This Row],[Do - V3a]:[Do - V3a]]),"")</f>
        <v>5</v>
      </c>
      <c r="FH119" s="14">
        <v>5</v>
      </c>
      <c r="FI119" s="14">
        <f>IFERROR(AVERAGE(Tabel1[[#This Row],[Do - V1]],Tabel1[[#This Row],[Do - V2]],Tabel1[[#This Row],[Do - V3]],Tabel1[[#This Row],[Do - V4]]),"")</f>
        <v>4.625</v>
      </c>
      <c r="FJ119" s="14">
        <v>1</v>
      </c>
      <c r="FK119" s="14">
        <v>1</v>
      </c>
      <c r="FL119" s="14">
        <v>3</v>
      </c>
      <c r="FM119" s="14">
        <f>IFERROR(AVERAGE(Tabel1[[#This Row],[Do - A1a]:[Do - A1c]]),"")</f>
        <v>1.6666666666666667</v>
      </c>
      <c r="FN119" s="14">
        <v>3</v>
      </c>
      <c r="FO119" s="14">
        <v>1</v>
      </c>
      <c r="FP119" s="14">
        <f>IFERROR(AVERAGE(Tabel1[[#This Row],[Do - A2a]:[Do - A2b]]),"")</f>
        <v>2</v>
      </c>
      <c r="FQ119" s="14">
        <v>5</v>
      </c>
      <c r="FR119" s="14">
        <f>IFERROR(AVERAGE(Tabel1[[#This Row],[Do - A3a]:[Do - A3a]]),"")</f>
        <v>5</v>
      </c>
      <c r="FS119" s="14">
        <v>3</v>
      </c>
      <c r="FT119" s="14">
        <f>IFERROR(AVERAGE(Tabel1[[#This Row],[Do - A1]],Tabel1[[#This Row],[Do - A2]],Tabel1[[#This Row],[Do - A3]],Tabel1[[#This Row],[Do - A4]]),"")</f>
        <v>2.916666666666667</v>
      </c>
      <c r="FU11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3.3072222222222223</v>
      </c>
      <c r="FV119" s="16" t="s">
        <v>770</v>
      </c>
      <c r="FW119" t="b">
        <v>1</v>
      </c>
    </row>
    <row r="120" spans="1:179" x14ac:dyDescent="0.3">
      <c r="A120" s="13">
        <v>44985.690532407411</v>
      </c>
      <c r="B120" t="b">
        <v>0</v>
      </c>
      <c r="C120" s="14" t="s">
        <v>771</v>
      </c>
      <c r="D120" s="14" t="s">
        <v>772</v>
      </c>
      <c r="E120" s="14" t="s">
        <v>492</v>
      </c>
      <c r="F120" s="14" t="s">
        <v>184</v>
      </c>
      <c r="G120" s="14" t="s">
        <v>773</v>
      </c>
      <c r="H120" s="14" t="s">
        <v>222</v>
      </c>
      <c r="I120" s="14" t="s">
        <v>195</v>
      </c>
      <c r="J120" s="14" t="s">
        <v>196</v>
      </c>
      <c r="K120" s="14" t="s">
        <v>235</v>
      </c>
      <c r="L120" s="14" t="s">
        <v>197</v>
      </c>
      <c r="M120" s="14" t="s">
        <v>233</v>
      </c>
      <c r="N120" s="14" t="s">
        <v>199</v>
      </c>
      <c r="O120" s="14" t="s">
        <v>200</v>
      </c>
      <c r="P120" s="17" t="s">
        <v>304</v>
      </c>
      <c r="Q120" s="14" t="s">
        <v>202</v>
      </c>
      <c r="R120" s="14" t="s">
        <v>235</v>
      </c>
      <c r="S120" s="14" t="s">
        <v>202</v>
      </c>
      <c r="T120" s="14" t="s">
        <v>236</v>
      </c>
      <c r="U120" s="14" t="s">
        <v>285</v>
      </c>
      <c r="V120" s="14" t="s">
        <v>359</v>
      </c>
      <c r="W120" s="14" t="s">
        <v>395</v>
      </c>
      <c r="X120" s="14" t="s">
        <v>207</v>
      </c>
      <c r="Y120" s="14">
        <v>4</v>
      </c>
      <c r="Z120" s="14">
        <v>3</v>
      </c>
      <c r="AA120" s="14">
        <v>4</v>
      </c>
      <c r="AB120" s="15">
        <f>IFERROR(AVERAGE(Tabel1[[#This Row],[Up - R1a]:[Up - R1c]]),"")</f>
        <v>3.6666666666666665</v>
      </c>
      <c r="AC120" s="14">
        <v>4</v>
      </c>
      <c r="AD120" s="14">
        <v>2</v>
      </c>
      <c r="AE120" s="14">
        <v>2</v>
      </c>
      <c r="AF120" s="14">
        <v>5</v>
      </c>
      <c r="AG120" s="14">
        <f>IFERROR(AVERAGE(Tabel1[[#This Row],[Up - R1]:[Up - R5]]),"")</f>
        <v>3.333333333333333</v>
      </c>
      <c r="AH120" s="14">
        <v>4</v>
      </c>
      <c r="AI120" s="14">
        <v>4</v>
      </c>
      <c r="AJ120" s="14">
        <v>2</v>
      </c>
      <c r="AK120" s="14">
        <f>IFERROR(AVERAGE(Tabel1[[#This Row],[Up - C1a]:[Up - C1c]]),"")</f>
        <v>3.3333333333333335</v>
      </c>
      <c r="AL120" s="14">
        <v>3</v>
      </c>
      <c r="AM120" s="14">
        <v>3</v>
      </c>
      <c r="AN120" s="14">
        <v>3</v>
      </c>
      <c r="AO120" s="14">
        <f>IFERROR(AVERAGE(Tabel1[[#This Row],[Up - C1]:[Up - C4]]),"")</f>
        <v>3.0833333333333335</v>
      </c>
      <c r="AP120" s="14">
        <v>1</v>
      </c>
      <c r="AQ120" s="14">
        <f>IFERROR(AVERAGE(Tabel1[[#This Row],[Up - F1a]:[Up - F1a]]),"")</f>
        <v>1</v>
      </c>
      <c r="AR120" s="14">
        <v>1</v>
      </c>
      <c r="AS120" s="14">
        <v>2</v>
      </c>
      <c r="AT120" s="14">
        <f>IFERROR(AVERAGE(Tabel1[[#This Row],[Up - F2a]:[Up - F2b]]),"")</f>
        <v>1.5</v>
      </c>
      <c r="AU120" s="14">
        <v>3</v>
      </c>
      <c r="AV120" s="14">
        <v>4</v>
      </c>
      <c r="AW120" s="14">
        <f>IFERROR(AVERAGE(Tabel1[[#This Row],[Up - F3a]:[Up - F3b]]),"")</f>
        <v>3.5</v>
      </c>
      <c r="AX120" s="14">
        <v>3</v>
      </c>
      <c r="AY120" s="14">
        <f>IFERROR(AVERAGE(Tabel1[[#This Row],[Up - F1]],Tabel1[[#This Row],[Up - F2]],Tabel1[[#This Row],[Up - F3]],Tabel1[[#This Row],[Up - F4]]),"")</f>
        <v>2.25</v>
      </c>
      <c r="AZ120" s="14">
        <v>4</v>
      </c>
      <c r="BA120" s="14">
        <v>5</v>
      </c>
      <c r="BB120" s="14">
        <f>IFERROR(AVERAGE(Tabel1[[#This Row],[Up - V1a]:[Up - V1b]]),"")</f>
        <v>4.5</v>
      </c>
      <c r="BC120" s="14">
        <v>4</v>
      </c>
      <c r="BD120" s="14">
        <v>4</v>
      </c>
      <c r="BE120" s="14">
        <v>4</v>
      </c>
      <c r="BF120" s="14">
        <f>IFERROR(AVERAGE(Tabel1[[#This Row],[Up - V2a]:[Up - V2c]]),"")</f>
        <v>4</v>
      </c>
      <c r="BG120" s="14">
        <v>3</v>
      </c>
      <c r="BH120" s="14">
        <v>4</v>
      </c>
      <c r="BI120" s="14">
        <f>IFERROR(AVERAGE(Tabel1[[#This Row],[Up - V3a]:[Up - V3b]]),"")</f>
        <v>3.5</v>
      </c>
      <c r="BJ120" s="14">
        <v>2</v>
      </c>
      <c r="BK120" s="14">
        <f>IFERROR(AVERAGE(Tabel1[[#This Row],[Up - V1]],Tabel1[[#This Row],[Up - V2]],Tabel1[[#This Row],[Up - V3]],Tabel1[[#This Row],[Up - V4]]),"")</f>
        <v>3.5</v>
      </c>
      <c r="BL120" s="14">
        <v>3</v>
      </c>
      <c r="BM120" s="14">
        <v>4</v>
      </c>
      <c r="BN120" s="14">
        <v>3</v>
      </c>
      <c r="BO120" s="14">
        <v>2</v>
      </c>
      <c r="BP120" s="14">
        <f>IFERROR(AVERAGE(Tabel1[[#This Row],[Up - A1a]:[Up - A1d]]),"")</f>
        <v>3</v>
      </c>
      <c r="BQ120" s="14">
        <v>2</v>
      </c>
      <c r="BR120" s="14">
        <v>3</v>
      </c>
      <c r="BS120" s="14">
        <f>IFERROR(AVERAGE(Tabel1[[#This Row],[Up - A2a]:[Up - A2b]]),"")</f>
        <v>2.5</v>
      </c>
      <c r="BT120" s="14">
        <v>4</v>
      </c>
      <c r="BU120" s="14">
        <f>IFERROR(AVERAGE(Tabel1[[#This Row],[Up - A3a]:[Up - A3a]]),"")</f>
        <v>4</v>
      </c>
      <c r="BV120" s="14">
        <v>3</v>
      </c>
      <c r="BW120" s="14">
        <f>IFERROR(AVERAGE(Tabel1[[#This Row],[Up - A1]],Tabel1[[#This Row],[Up - A2]],Tabel1[[#This Row],[Up - A3]]),"")</f>
        <v>3.1666666666666665</v>
      </c>
      <c r="BX120" s="14">
        <v>2</v>
      </c>
      <c r="BY120" s="14">
        <v>1</v>
      </c>
      <c r="BZ120" s="14">
        <f>IFERROR(AVERAGE(Tabel1[[#This Row],[In - R1a]:[In - R1b]]),"")</f>
        <v>1.5</v>
      </c>
      <c r="CA120" s="14">
        <v>2</v>
      </c>
      <c r="CB120" s="14">
        <v>4</v>
      </c>
      <c r="CC120" s="14">
        <v>1</v>
      </c>
      <c r="CD120" s="14">
        <v>5</v>
      </c>
      <c r="CE120" s="14">
        <f>IFERROR(AVERAGE(Tabel1[[#This Row],[In - R1]:[In - R5]]),"")</f>
        <v>2.7</v>
      </c>
      <c r="CF120" s="14">
        <v>4</v>
      </c>
      <c r="CG120" s="14">
        <v>4</v>
      </c>
      <c r="CH120" s="14">
        <v>1</v>
      </c>
      <c r="CI120" s="14">
        <f>IFERROR(AVERAGE(Tabel1[[#This Row],[In - C1a]:[In - C1c]]),"")</f>
        <v>3</v>
      </c>
      <c r="CJ120" s="14">
        <v>4</v>
      </c>
      <c r="CK120" s="14">
        <v>3</v>
      </c>
      <c r="CL120" s="14">
        <v>1</v>
      </c>
      <c r="CM120" s="14">
        <f>IFERROR(AVERAGE(Tabel1[[#This Row],[In - C1]:[In - C4]]),"")</f>
        <v>2.75</v>
      </c>
      <c r="CN120" s="14">
        <v>4</v>
      </c>
      <c r="CO120" s="14">
        <v>2</v>
      </c>
      <c r="CP120" s="14">
        <v>1</v>
      </c>
      <c r="CQ120" s="14">
        <f>IFERROR(AVERAGE(Tabel1[[#This Row],[In - F1a]:[In - F1c]]),"")</f>
        <v>2.3333333333333335</v>
      </c>
      <c r="CR120" s="14">
        <v>5</v>
      </c>
      <c r="CS120" s="14">
        <v>2</v>
      </c>
      <c r="CT120" s="14">
        <f>IFERROR(AVERAGE(Tabel1[[#This Row],[In - F2a]:[In - F2b]]),"")</f>
        <v>3.5</v>
      </c>
      <c r="CU120" s="14">
        <v>3</v>
      </c>
      <c r="CV120" s="14">
        <f>IFERROR(AVERAGE(Tabel1[[#This Row],[In - F3a]:[In - F3a]]),"")</f>
        <v>3</v>
      </c>
      <c r="CW120" s="14">
        <v>5</v>
      </c>
      <c r="CX120" s="14">
        <f>IFERROR(AVERAGE(Tabel1[[#This Row],[In - F1]],Tabel1[[#This Row],[In - F2]],Tabel1[[#This Row],[In - F3]],Tabel1[[#This Row],[In - F4]]),"")</f>
        <v>3.4583333333333335</v>
      </c>
      <c r="CY120" s="14">
        <v>5</v>
      </c>
      <c r="CZ120" s="14">
        <v>4</v>
      </c>
      <c r="DA120" s="14">
        <v>3</v>
      </c>
      <c r="DB120" s="14">
        <f>IFERROR(AVERAGE(Tabel1[[#This Row],[In - V1a]:[In - V1c]]),"")</f>
        <v>4</v>
      </c>
      <c r="DC120" s="14">
        <v>3</v>
      </c>
      <c r="DD120" s="14">
        <v>4</v>
      </c>
      <c r="DE120" s="14">
        <v>2</v>
      </c>
      <c r="DF120" s="14">
        <f>IFERROR(AVERAGE(Tabel1[[#This Row],[In - V2a]:[In - V2c]]),"")</f>
        <v>3</v>
      </c>
      <c r="DG120" s="14">
        <v>2</v>
      </c>
      <c r="DH120" s="14">
        <v>4</v>
      </c>
      <c r="DI120" s="14">
        <f>IFERROR(AVERAGE(Tabel1[[#This Row],[In - V3a]:[In - V3b]]),"")</f>
        <v>3</v>
      </c>
      <c r="DJ120" s="14">
        <v>2</v>
      </c>
      <c r="DK120" s="14">
        <f>IFERROR(AVERAGE(Tabel1[[#This Row],[In - V1]],Tabel1[[#This Row],[In - V2]],Tabel1[[#This Row],[In - V3]],Tabel1[[#This Row],[In - V4]]),"")</f>
        <v>3</v>
      </c>
      <c r="DL120" s="14">
        <v>4</v>
      </c>
      <c r="DM120" s="14">
        <v>4</v>
      </c>
      <c r="DN120" s="14">
        <f>IFERROR(AVERAGE(Tabel1[[#This Row],[In - A1a]:[In - A1b]]),"")</f>
        <v>4</v>
      </c>
      <c r="DO120" s="14">
        <v>1</v>
      </c>
      <c r="DP120" s="14">
        <v>4</v>
      </c>
      <c r="DQ120" s="14">
        <f>IFERROR(AVERAGE(Tabel1[[#This Row],[In - A2a]:[In - A2b]]),"")</f>
        <v>2.5</v>
      </c>
      <c r="DR120" s="14">
        <v>4</v>
      </c>
      <c r="DS120" s="14">
        <v>3</v>
      </c>
      <c r="DT120" s="14">
        <f>IFERROR(AVERAGE(Tabel1[[#This Row],[In - A3a]:[In - A3a]]),"")</f>
        <v>4</v>
      </c>
      <c r="DU120" s="14">
        <v>4</v>
      </c>
      <c r="DV120" s="14">
        <f>IFERROR(AVERAGE(Tabel1[[#This Row],[In - A1]],Tabel1[[#This Row],[In - A2]],Tabel1[[#This Row],[In - A3]],Tabel1[[#This Row],[In - A4]]),"")</f>
        <v>3.625</v>
      </c>
      <c r="DW120" s="14">
        <v>4</v>
      </c>
      <c r="DX120" s="14">
        <v>5</v>
      </c>
      <c r="DY120" s="14">
        <v>4</v>
      </c>
      <c r="DZ120" s="14">
        <f>IFERROR(AVERAGE(Tabel1[[#This Row],[Do - R1a]:[Do - R1c]]),"")</f>
        <v>4.333333333333333</v>
      </c>
      <c r="EA120" s="14">
        <v>3</v>
      </c>
      <c r="EB120" s="14">
        <v>3</v>
      </c>
      <c r="EC120" s="14">
        <v>2</v>
      </c>
      <c r="ED120" s="14">
        <v>2</v>
      </c>
      <c r="EE120" s="14">
        <f>IFERROR(AVERAGE(Tabel1[[#This Row],[Do - R1]:[Do - R5]]),"")</f>
        <v>2.8666666666666663</v>
      </c>
      <c r="EF120" s="14">
        <v>4</v>
      </c>
      <c r="EG120" s="14">
        <v>3</v>
      </c>
      <c r="EH120" s="14">
        <v>2</v>
      </c>
      <c r="EI120" s="14">
        <f>IFERROR(AVERAGE(Tabel1[[#This Row],[Do - C1a]:[Do - C1c]]),"")</f>
        <v>3</v>
      </c>
      <c r="EJ120" s="14">
        <v>3</v>
      </c>
      <c r="EK120" s="14">
        <v>3</v>
      </c>
      <c r="EL120" s="14">
        <v>3</v>
      </c>
      <c r="EM120" s="14">
        <f>IFERROR(AVERAGE(Tabel1[[#This Row],[Do - C1]:[Do - C4]]),"")</f>
        <v>3</v>
      </c>
      <c r="EN120" s="14">
        <v>4</v>
      </c>
      <c r="EO120" s="14">
        <v>2</v>
      </c>
      <c r="EP120" s="14">
        <v>2</v>
      </c>
      <c r="EQ120" s="14">
        <f>IFERROR(AVERAGE(Tabel1[[#This Row],[Do - F1a]:[Do - F1c]]),"")</f>
        <v>2.6666666666666665</v>
      </c>
      <c r="ER120" s="14">
        <v>4</v>
      </c>
      <c r="ES120" s="14">
        <f>IFERROR(AVERAGE(Tabel1[[#This Row],[Do - F2a]:[Do - F2a]]),"")</f>
        <v>4</v>
      </c>
      <c r="ET120" s="14">
        <v>1</v>
      </c>
      <c r="EU120" s="14" t="s">
        <v>189</v>
      </c>
      <c r="EV120" s="14">
        <f>IFERROR(AVERAGE(Tabel1[[#This Row],[Do - F3a]:[Do - F3b]]),"")</f>
        <v>1</v>
      </c>
      <c r="EW120" s="14">
        <v>3</v>
      </c>
      <c r="EX120" s="14">
        <f>IFERROR(AVERAGE(Tabel1[[#This Row],[Do - F1]],Tabel1[[#This Row],[Do - F2]],Tabel1[[#This Row],[Do - F3]],Tabel1[[#This Row],[Do - F4]]),"")</f>
        <v>2.6666666666666665</v>
      </c>
      <c r="EY120" s="14">
        <v>2</v>
      </c>
      <c r="EZ120" s="14">
        <v>2</v>
      </c>
      <c r="FA120" s="14">
        <v>3</v>
      </c>
      <c r="FB120" s="14">
        <f>IFERROR(AVERAGE(Tabel1[[#This Row],[Do - V1a]:[Do - V1c]]),"")</f>
        <v>2.3333333333333335</v>
      </c>
      <c r="FC120" s="14">
        <v>2</v>
      </c>
      <c r="FD120" s="14">
        <v>2</v>
      </c>
      <c r="FE120" s="14">
        <f>IFERROR(AVERAGE(Tabel1[[#This Row],[Do - V2a]:[Do - V2b]]),"")</f>
        <v>2</v>
      </c>
      <c r="FF120" s="14">
        <v>3</v>
      </c>
      <c r="FG120" s="14">
        <f>IFERROR(AVERAGE(Tabel1[[#This Row],[Do - V3a]:[Do - V3a]]),"")</f>
        <v>3</v>
      </c>
      <c r="FH120" s="14">
        <v>3</v>
      </c>
      <c r="FI120" s="14">
        <f>IFERROR(AVERAGE(Tabel1[[#This Row],[Do - V1]],Tabel1[[#This Row],[Do - V2]],Tabel1[[#This Row],[Do - V3]],Tabel1[[#This Row],[Do - V4]]),"")</f>
        <v>2.5833333333333335</v>
      </c>
      <c r="FJ120" s="14">
        <v>4</v>
      </c>
      <c r="FK120" s="14">
        <v>2</v>
      </c>
      <c r="FL120" s="14">
        <v>2</v>
      </c>
      <c r="FM120" s="14">
        <f>IFERROR(AVERAGE(Tabel1[[#This Row],[Do - A1a]:[Do - A1c]]),"")</f>
        <v>2.6666666666666665</v>
      </c>
      <c r="FN120" s="14">
        <v>4</v>
      </c>
      <c r="FO120" s="14">
        <v>4</v>
      </c>
      <c r="FP120" s="14">
        <f>IFERROR(AVERAGE(Tabel1[[#This Row],[Do - A2a]:[Do - A2b]]),"")</f>
        <v>4</v>
      </c>
      <c r="FQ120" s="14">
        <v>4</v>
      </c>
      <c r="FR120" s="14">
        <f>IFERROR(AVERAGE(Tabel1[[#This Row],[Do - A3a]:[Do - A3a]]),"")</f>
        <v>4</v>
      </c>
      <c r="FS120" s="14">
        <v>3</v>
      </c>
      <c r="FT120" s="14">
        <f>IFERROR(AVERAGE(Tabel1[[#This Row],[Do - A1]],Tabel1[[#This Row],[Do - A2]],Tabel1[[#This Row],[Do - A3]],Tabel1[[#This Row],[Do - A4]]),"")</f>
        <v>3.4166666666666665</v>
      </c>
      <c r="FU12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3.026666666666666</v>
      </c>
      <c r="FV120" s="16" t="s">
        <v>774</v>
      </c>
      <c r="FW120" t="b">
        <v>1</v>
      </c>
    </row>
    <row r="121" spans="1:179" x14ac:dyDescent="0.3">
      <c r="A121" s="13">
        <v>44986.403611111113</v>
      </c>
      <c r="B121" t="b">
        <v>0</v>
      </c>
      <c r="C121" s="14" t="s">
        <v>775</v>
      </c>
      <c r="D121" s="14" t="s">
        <v>776</v>
      </c>
      <c r="E121" s="14" t="s">
        <v>777</v>
      </c>
      <c r="F121" s="14" t="s">
        <v>184</v>
      </c>
      <c r="G121" s="14" t="s">
        <v>778</v>
      </c>
      <c r="H121" s="14" t="s">
        <v>222</v>
      </c>
      <c r="I121" s="14" t="s">
        <v>385</v>
      </c>
      <c r="J121" s="14"/>
      <c r="K121" s="14" t="s">
        <v>187</v>
      </c>
      <c r="L121" s="14" t="s">
        <v>197</v>
      </c>
      <c r="M121" s="14" t="s">
        <v>233</v>
      </c>
      <c r="N121" s="14" t="s">
        <v>199</v>
      </c>
      <c r="O121" s="14" t="s">
        <v>256</v>
      </c>
      <c r="P121" s="17" t="s">
        <v>304</v>
      </c>
      <c r="Q121" s="17" t="s">
        <v>304</v>
      </c>
      <c r="R121" s="14" t="s">
        <v>187</v>
      </c>
      <c r="S121" s="14" t="s">
        <v>201</v>
      </c>
      <c r="T121" s="14" t="s">
        <v>236</v>
      </c>
      <c r="U121" s="14" t="s">
        <v>237</v>
      </c>
      <c r="V121" s="14" t="s">
        <v>484</v>
      </c>
      <c r="W121" s="14" t="s">
        <v>207</v>
      </c>
      <c r="X121" s="14" t="s">
        <v>306</v>
      </c>
      <c r="Y121" s="14">
        <v>3</v>
      </c>
      <c r="Z121" s="14">
        <v>4</v>
      </c>
      <c r="AA121" s="14">
        <v>2</v>
      </c>
      <c r="AB121" s="15">
        <f>IFERROR(AVERAGE(Tabel1[[#This Row],[Up - R1a]:[Up - R1c]]),"")</f>
        <v>3</v>
      </c>
      <c r="AC121" s="14">
        <v>2</v>
      </c>
      <c r="AD121" s="14">
        <v>2</v>
      </c>
      <c r="AE121" s="14">
        <v>2</v>
      </c>
      <c r="AF121" s="14">
        <v>2</v>
      </c>
      <c r="AG121" s="14">
        <f>IFERROR(AVERAGE(Tabel1[[#This Row],[Up - R1]:[Up - R5]]),"")</f>
        <v>2.2000000000000002</v>
      </c>
      <c r="AH121" s="14">
        <v>4</v>
      </c>
      <c r="AI121" s="14">
        <v>4</v>
      </c>
      <c r="AJ121" s="14">
        <v>4</v>
      </c>
      <c r="AK121" s="14">
        <f>IFERROR(AVERAGE(Tabel1[[#This Row],[Up - C1a]:[Up - C1c]]),"")</f>
        <v>4</v>
      </c>
      <c r="AL121" s="14">
        <v>4</v>
      </c>
      <c r="AM121" s="14">
        <v>3</v>
      </c>
      <c r="AN121" s="14">
        <v>4</v>
      </c>
      <c r="AO121" s="14">
        <f>IFERROR(AVERAGE(Tabel1[[#This Row],[Up - C1]:[Up - C4]]),"")</f>
        <v>3.75</v>
      </c>
      <c r="AP121" s="14">
        <v>1</v>
      </c>
      <c r="AQ121" s="14">
        <f>IFERROR(AVERAGE(Tabel1[[#This Row],[Up - F1a]:[Up - F1a]]),"")</f>
        <v>1</v>
      </c>
      <c r="AR121" s="14">
        <v>2</v>
      </c>
      <c r="AS121" s="14">
        <v>4</v>
      </c>
      <c r="AT121" s="14">
        <f>IFERROR(AVERAGE(Tabel1[[#This Row],[Up - F2a]:[Up - F2b]]),"")</f>
        <v>3</v>
      </c>
      <c r="AU121" s="14">
        <v>2</v>
      </c>
      <c r="AV121" s="14">
        <v>4</v>
      </c>
      <c r="AW121" s="14">
        <f>IFERROR(AVERAGE(Tabel1[[#This Row],[Up - F3a]:[Up - F3b]]),"")</f>
        <v>3</v>
      </c>
      <c r="AX121" s="14">
        <v>2</v>
      </c>
      <c r="AY121" s="14">
        <f>IFERROR(AVERAGE(Tabel1[[#This Row],[Up - F1]],Tabel1[[#This Row],[Up - F2]],Tabel1[[#This Row],[Up - F3]],Tabel1[[#This Row],[Up - F4]]),"")</f>
        <v>2.25</v>
      </c>
      <c r="AZ121" s="14">
        <v>4</v>
      </c>
      <c r="BA121" s="14">
        <v>4</v>
      </c>
      <c r="BB121" s="14">
        <f>IFERROR(AVERAGE(Tabel1[[#This Row],[Up - V1a]:[Up - V1b]]),"")</f>
        <v>4</v>
      </c>
      <c r="BC121" s="14">
        <v>5</v>
      </c>
      <c r="BD121" s="14">
        <v>4</v>
      </c>
      <c r="BE121" s="14">
        <v>5</v>
      </c>
      <c r="BF121" s="14">
        <f>IFERROR(AVERAGE(Tabel1[[#This Row],[Up - V2a]:[Up - V2c]]),"")</f>
        <v>4.666666666666667</v>
      </c>
      <c r="BG121" s="14">
        <v>4</v>
      </c>
      <c r="BH121" s="14">
        <v>5</v>
      </c>
      <c r="BI121" s="14">
        <f>IFERROR(AVERAGE(Tabel1[[#This Row],[Up - V3a]:[Up - V3b]]),"")</f>
        <v>4.5</v>
      </c>
      <c r="BJ121" s="14">
        <v>3</v>
      </c>
      <c r="BK121" s="14">
        <f>IFERROR(AVERAGE(Tabel1[[#This Row],[Up - V1]],Tabel1[[#This Row],[Up - V2]],Tabel1[[#This Row],[Up - V3]],Tabel1[[#This Row],[Up - V4]]),"")</f>
        <v>4.041666666666667</v>
      </c>
      <c r="BL121" s="14">
        <v>1</v>
      </c>
      <c r="BM121" s="14">
        <v>3</v>
      </c>
      <c r="BN121" s="14">
        <v>1</v>
      </c>
      <c r="BO121" s="14">
        <v>2</v>
      </c>
      <c r="BP121" s="14">
        <f>IFERROR(AVERAGE(Tabel1[[#This Row],[Up - A1a]:[Up - A1d]]),"")</f>
        <v>1.75</v>
      </c>
      <c r="BQ121" s="14">
        <v>1</v>
      </c>
      <c r="BR121" s="14">
        <v>3</v>
      </c>
      <c r="BS121" s="14">
        <f>IFERROR(AVERAGE(Tabel1[[#This Row],[Up - A2a]:[Up - A2b]]),"")</f>
        <v>2</v>
      </c>
      <c r="BT121" s="14">
        <v>3</v>
      </c>
      <c r="BU121" s="14">
        <f>IFERROR(AVERAGE(Tabel1[[#This Row],[Up - A3a]:[Up - A3a]]),"")</f>
        <v>3</v>
      </c>
      <c r="BV121" s="14">
        <v>2</v>
      </c>
      <c r="BW121" s="14">
        <f>IFERROR(AVERAGE(Tabel1[[#This Row],[Up - A1]],Tabel1[[#This Row],[Up - A2]],Tabel1[[#This Row],[Up - A3]]),"")</f>
        <v>2.25</v>
      </c>
      <c r="BX121" s="14">
        <v>3</v>
      </c>
      <c r="BY121" s="14">
        <v>1</v>
      </c>
      <c r="BZ121" s="14">
        <f>IFERROR(AVERAGE(Tabel1[[#This Row],[In - R1a]:[In - R1b]]),"")</f>
        <v>2</v>
      </c>
      <c r="CA121" s="14">
        <v>5</v>
      </c>
      <c r="CB121" s="14">
        <v>1</v>
      </c>
      <c r="CC121" s="14">
        <v>1</v>
      </c>
      <c r="CD121" s="14">
        <v>5</v>
      </c>
      <c r="CE121" s="14">
        <f>IFERROR(AVERAGE(Tabel1[[#This Row],[In - R1]:[In - R5]]),"")</f>
        <v>2.8</v>
      </c>
      <c r="CF121" s="14">
        <v>4</v>
      </c>
      <c r="CG121" s="14">
        <v>3</v>
      </c>
      <c r="CH121" s="14">
        <v>4</v>
      </c>
      <c r="CI121" s="14">
        <f>IFERROR(AVERAGE(Tabel1[[#This Row],[In - C1a]:[In - C1c]]),"")</f>
        <v>3.6666666666666665</v>
      </c>
      <c r="CJ121" s="14">
        <v>2</v>
      </c>
      <c r="CK121" s="14">
        <v>3</v>
      </c>
      <c r="CL121" s="14">
        <v>4</v>
      </c>
      <c r="CM121" s="14">
        <f>IFERROR(AVERAGE(Tabel1[[#This Row],[In - C1]:[In - C4]]),"")</f>
        <v>3.1666666666666665</v>
      </c>
      <c r="CN121" s="14">
        <v>1</v>
      </c>
      <c r="CO121" s="14">
        <v>2</v>
      </c>
      <c r="CP121" s="14">
        <v>1</v>
      </c>
      <c r="CQ121" s="14">
        <f>IFERROR(AVERAGE(Tabel1[[#This Row],[In - F1a]:[In - F1c]]),"")</f>
        <v>1.3333333333333333</v>
      </c>
      <c r="CR121" s="14">
        <v>1</v>
      </c>
      <c r="CS121" s="14">
        <v>1</v>
      </c>
      <c r="CT121" s="14">
        <f>IFERROR(AVERAGE(Tabel1[[#This Row],[In - F2a]:[In - F2b]]),"")</f>
        <v>1</v>
      </c>
      <c r="CU121" s="14">
        <v>1</v>
      </c>
      <c r="CV121" s="14">
        <f>IFERROR(AVERAGE(Tabel1[[#This Row],[In - F3a]:[In - F3a]]),"")</f>
        <v>1</v>
      </c>
      <c r="CW121" s="14">
        <v>4</v>
      </c>
      <c r="CX121" s="14">
        <f>IFERROR(AVERAGE(Tabel1[[#This Row],[In - F1]],Tabel1[[#This Row],[In - F2]],Tabel1[[#This Row],[In - F3]],Tabel1[[#This Row],[In - F4]]),"")</f>
        <v>1.8333333333333333</v>
      </c>
      <c r="CY121" s="14">
        <v>1</v>
      </c>
      <c r="CZ121" s="14">
        <v>1</v>
      </c>
      <c r="DA121" s="14">
        <v>1</v>
      </c>
      <c r="DB121" s="14">
        <f>IFERROR(AVERAGE(Tabel1[[#This Row],[In - V1a]:[In - V1c]]),"")</f>
        <v>1</v>
      </c>
      <c r="DC121" s="14">
        <v>2</v>
      </c>
      <c r="DD121" s="14">
        <v>2</v>
      </c>
      <c r="DE121" s="14">
        <v>2</v>
      </c>
      <c r="DF121" s="14">
        <f>IFERROR(AVERAGE(Tabel1[[#This Row],[In - V2a]:[In - V2c]]),"")</f>
        <v>2</v>
      </c>
      <c r="DG121" s="14">
        <v>1</v>
      </c>
      <c r="DH121" s="14">
        <v>5</v>
      </c>
      <c r="DI121" s="14">
        <f>IFERROR(AVERAGE(Tabel1[[#This Row],[In - V3a]:[In - V3b]]),"")</f>
        <v>3</v>
      </c>
      <c r="DJ121" s="14">
        <v>2</v>
      </c>
      <c r="DK121" s="14">
        <f>IFERROR(AVERAGE(Tabel1[[#This Row],[In - V1]],Tabel1[[#This Row],[In - V2]],Tabel1[[#This Row],[In - V3]],Tabel1[[#This Row],[In - V4]]),"")</f>
        <v>2</v>
      </c>
      <c r="DL121" s="14">
        <v>1</v>
      </c>
      <c r="DM121" s="14">
        <v>2</v>
      </c>
      <c r="DN121" s="14">
        <f>IFERROR(AVERAGE(Tabel1[[#This Row],[In - A1a]:[In - A1b]]),"")</f>
        <v>1.5</v>
      </c>
      <c r="DO121" s="14">
        <v>1</v>
      </c>
      <c r="DP121" s="14">
        <v>2</v>
      </c>
      <c r="DQ121" s="14">
        <f>IFERROR(AVERAGE(Tabel1[[#This Row],[In - A2a]:[In - A2b]]),"")</f>
        <v>1.5</v>
      </c>
      <c r="DR121" s="14">
        <v>3</v>
      </c>
      <c r="DS121" s="14">
        <v>1</v>
      </c>
      <c r="DT121" s="14">
        <f>IFERROR(AVERAGE(Tabel1[[#This Row],[In - A3a]:[In - A3a]]),"")</f>
        <v>3</v>
      </c>
      <c r="DU121" s="14">
        <v>2</v>
      </c>
      <c r="DV121" s="14">
        <f>IFERROR(AVERAGE(Tabel1[[#This Row],[In - A1]],Tabel1[[#This Row],[In - A2]],Tabel1[[#This Row],[In - A3]],Tabel1[[#This Row],[In - A4]]),"")</f>
        <v>2</v>
      </c>
      <c r="DW121" s="14">
        <v>1</v>
      </c>
      <c r="DX121" s="14">
        <v>1</v>
      </c>
      <c r="DY121" s="14" t="s">
        <v>189</v>
      </c>
      <c r="DZ121" s="14">
        <f>IFERROR(AVERAGE(Tabel1[[#This Row],[Do - R1a]:[Do - R1c]]),"")</f>
        <v>1</v>
      </c>
      <c r="EA121" s="14" t="s">
        <v>189</v>
      </c>
      <c r="EB121" s="14">
        <v>1</v>
      </c>
      <c r="EC121" s="14">
        <v>1</v>
      </c>
      <c r="ED121" s="14" t="s">
        <v>189</v>
      </c>
      <c r="EE121" s="14">
        <f>IFERROR(AVERAGE(Tabel1[[#This Row],[Do - R1]:[Do - R5]]),"")</f>
        <v>1</v>
      </c>
      <c r="EF121" s="14" t="s">
        <v>189</v>
      </c>
      <c r="EG121" s="14" t="s">
        <v>189</v>
      </c>
      <c r="EH121" s="14" t="s">
        <v>189</v>
      </c>
      <c r="EI121" s="14" t="str">
        <f>IFERROR(AVERAGE(Tabel1[[#This Row],[Do - C1a]:[Do - C1c]]),"")</f>
        <v/>
      </c>
      <c r="EJ121" s="14" t="s">
        <v>189</v>
      </c>
      <c r="EK121" s="14" t="s">
        <v>189</v>
      </c>
      <c r="EL121" s="14" t="s">
        <v>189</v>
      </c>
      <c r="EM121" s="14" t="str">
        <f>IFERROR(AVERAGE(Tabel1[[#This Row],[Do - C1]:[Do - C4]]),"")</f>
        <v/>
      </c>
      <c r="EN121" s="14" t="s">
        <v>189</v>
      </c>
      <c r="EO121" s="14" t="s">
        <v>189</v>
      </c>
      <c r="EP121" s="14" t="s">
        <v>189</v>
      </c>
      <c r="EQ121" s="14" t="str">
        <f>IFERROR(AVERAGE(Tabel1[[#This Row],[Do - F1a]:[Do - F1c]]),"")</f>
        <v/>
      </c>
      <c r="ER121" s="14" t="s">
        <v>189</v>
      </c>
      <c r="ES121" s="14" t="str">
        <f>IFERROR(AVERAGE(Tabel1[[#This Row],[Do - F2a]:[Do - F2a]]),"")</f>
        <v/>
      </c>
      <c r="ET121" s="14" t="s">
        <v>189</v>
      </c>
      <c r="EU121" s="14" t="s">
        <v>189</v>
      </c>
      <c r="EV121" s="14" t="str">
        <f>IFERROR(AVERAGE(Tabel1[[#This Row],[Do - F3a]:[Do - F3b]]),"")</f>
        <v/>
      </c>
      <c r="EW121" s="14" t="s">
        <v>189</v>
      </c>
      <c r="EX121" s="14" t="str">
        <f>IFERROR(AVERAGE(Tabel1[[#This Row],[Do - F1]],Tabel1[[#This Row],[Do - F2]],Tabel1[[#This Row],[Do - F3]],Tabel1[[#This Row],[Do - F4]]),"")</f>
        <v/>
      </c>
      <c r="EY121" s="14" t="s">
        <v>189</v>
      </c>
      <c r="EZ121" s="14" t="s">
        <v>189</v>
      </c>
      <c r="FA121" s="14" t="s">
        <v>189</v>
      </c>
      <c r="FB121" s="14" t="str">
        <f>IFERROR(AVERAGE(Tabel1[[#This Row],[Do - V1a]:[Do - V1c]]),"")</f>
        <v/>
      </c>
      <c r="FC121" s="14" t="s">
        <v>189</v>
      </c>
      <c r="FD121" s="14" t="s">
        <v>189</v>
      </c>
      <c r="FE121" s="14" t="str">
        <f>IFERROR(AVERAGE(Tabel1[[#This Row],[Do - V2a]:[Do - V2b]]),"")</f>
        <v/>
      </c>
      <c r="FF121" s="14" t="s">
        <v>189</v>
      </c>
      <c r="FG121" s="14" t="str">
        <f>IFERROR(AVERAGE(Tabel1[[#This Row],[Do - V3a]:[Do - V3a]]),"")</f>
        <v/>
      </c>
      <c r="FH121" s="14" t="s">
        <v>189</v>
      </c>
      <c r="FI121" s="14" t="str">
        <f>IFERROR(AVERAGE(Tabel1[[#This Row],[Do - V1]],Tabel1[[#This Row],[Do - V2]],Tabel1[[#This Row],[Do - V3]],Tabel1[[#This Row],[Do - V4]]),"")</f>
        <v/>
      </c>
      <c r="FJ121" s="14" t="s">
        <v>189</v>
      </c>
      <c r="FK121" s="14" t="s">
        <v>189</v>
      </c>
      <c r="FL121" s="14" t="s">
        <v>189</v>
      </c>
      <c r="FM121" s="14" t="str">
        <f>IFERROR(AVERAGE(Tabel1[[#This Row],[Do - A1a]:[Do - A1c]]),"")</f>
        <v/>
      </c>
      <c r="FN121" s="14" t="s">
        <v>189</v>
      </c>
      <c r="FO121" s="14" t="s">
        <v>189</v>
      </c>
      <c r="FP121" s="14" t="str">
        <f>IFERROR(AVERAGE(Tabel1[[#This Row],[Do - A2a]:[Do - A2b]]),"")</f>
        <v/>
      </c>
      <c r="FQ121" s="14" t="s">
        <v>189</v>
      </c>
      <c r="FR121" s="14" t="str">
        <f>IFERROR(AVERAGE(Tabel1[[#This Row],[Do - A3a]:[Do - A3a]]),"")</f>
        <v/>
      </c>
      <c r="FS121" s="14" t="s">
        <v>189</v>
      </c>
      <c r="FT121" s="14" t="str">
        <f>IFERROR(AVERAGE(Tabel1[[#This Row],[Do - A1]],Tabel1[[#This Row],[Do - A2]],Tabel1[[#This Row],[Do - A3]],Tabel1[[#This Row],[Do - A4]]),"")</f>
        <v/>
      </c>
      <c r="FU12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2.481060606060606</v>
      </c>
      <c r="FV121" s="16" t="s">
        <v>779</v>
      </c>
      <c r="FW121" t="b">
        <v>1</v>
      </c>
    </row>
    <row r="122" spans="1:179" x14ac:dyDescent="0.3">
      <c r="A122" s="13">
        <v>44987.580659722225</v>
      </c>
      <c r="B122" t="b">
        <v>0</v>
      </c>
      <c r="C122" s="14" t="s">
        <v>780</v>
      </c>
      <c r="D122" s="14" t="s">
        <v>781</v>
      </c>
      <c r="E122" s="14" t="s">
        <v>664</v>
      </c>
      <c r="F122" s="14" t="s">
        <v>184</v>
      </c>
      <c r="G122" s="14" t="s">
        <v>782</v>
      </c>
      <c r="H122" s="14" t="s">
        <v>222</v>
      </c>
      <c r="I122" s="14" t="s">
        <v>195</v>
      </c>
      <c r="J122" s="14" t="s">
        <v>273</v>
      </c>
      <c r="K122" s="14" t="s">
        <v>187</v>
      </c>
      <c r="L122" s="14" t="s">
        <v>249</v>
      </c>
      <c r="M122" s="14" t="s">
        <v>198</v>
      </c>
      <c r="N122" s="14" t="s">
        <v>199</v>
      </c>
      <c r="O122" s="14" t="s">
        <v>200</v>
      </c>
      <c r="P122" s="17" t="s">
        <v>255</v>
      </c>
      <c r="Q122" s="17" t="s">
        <v>701</v>
      </c>
      <c r="R122" s="17" t="s">
        <v>304</v>
      </c>
      <c r="S122" s="14" t="s">
        <v>201</v>
      </c>
      <c r="T122" s="14" t="s">
        <v>204</v>
      </c>
      <c r="U122" s="14" t="s">
        <v>237</v>
      </c>
      <c r="V122" s="14" t="s">
        <v>484</v>
      </c>
      <c r="W122" s="14" t="s">
        <v>207</v>
      </c>
      <c r="X122" s="14" t="s">
        <v>306</v>
      </c>
      <c r="Y122" s="14">
        <v>3</v>
      </c>
      <c r="Z122" s="14">
        <v>4</v>
      </c>
      <c r="AA122" s="14" t="s">
        <v>189</v>
      </c>
      <c r="AB122" s="15">
        <f>IFERROR(AVERAGE(Tabel1[[#This Row],[Up - R1a]:[Up - R1c]]),"")</f>
        <v>3.5</v>
      </c>
      <c r="AC122" s="14">
        <v>1</v>
      </c>
      <c r="AD122" s="14">
        <v>3</v>
      </c>
      <c r="AE122" s="14">
        <v>2</v>
      </c>
      <c r="AF122" s="14">
        <v>5</v>
      </c>
      <c r="AG122" s="14">
        <f>IFERROR(AVERAGE(Tabel1[[#This Row],[Up - R1]:[Up - R5]]),"")</f>
        <v>2.9</v>
      </c>
      <c r="AH122" s="14">
        <v>5</v>
      </c>
      <c r="AI122" s="14">
        <v>2</v>
      </c>
      <c r="AJ122" s="14">
        <v>2</v>
      </c>
      <c r="AK122" s="14">
        <f>IFERROR(AVERAGE(Tabel1[[#This Row],[Up - C1a]:[Up - C1c]]),"")</f>
        <v>3</v>
      </c>
      <c r="AL122" s="14">
        <v>5</v>
      </c>
      <c r="AM122" s="14">
        <v>2</v>
      </c>
      <c r="AN122" s="14" t="s">
        <v>189</v>
      </c>
      <c r="AO122" s="14">
        <f>IFERROR(AVERAGE(Tabel1[[#This Row],[Up - C1]:[Up - C4]]),"")</f>
        <v>3.3333333333333335</v>
      </c>
      <c r="AP122" s="14" t="s">
        <v>189</v>
      </c>
      <c r="AQ122" s="14" t="str">
        <f>IFERROR(AVERAGE(Tabel1[[#This Row],[Up - F1a]:[Up - F1a]]),"")</f>
        <v/>
      </c>
      <c r="AR122" s="14">
        <v>2</v>
      </c>
      <c r="AS122" s="14">
        <v>3</v>
      </c>
      <c r="AT122" s="14">
        <f>IFERROR(AVERAGE(Tabel1[[#This Row],[Up - F2a]:[Up - F2b]]),"")</f>
        <v>2.5</v>
      </c>
      <c r="AU122" s="14">
        <v>3</v>
      </c>
      <c r="AV122" s="14">
        <v>3</v>
      </c>
      <c r="AW122" s="14">
        <f>IFERROR(AVERAGE(Tabel1[[#This Row],[Up - F3a]:[Up - F3b]]),"")</f>
        <v>3</v>
      </c>
      <c r="AX122" s="14" t="s">
        <v>189</v>
      </c>
      <c r="AY122" s="14">
        <f>IFERROR(AVERAGE(Tabel1[[#This Row],[Up - F1]],Tabel1[[#This Row],[Up - F2]],Tabel1[[#This Row],[Up - F3]],Tabel1[[#This Row],[Up - F4]]),"")</f>
        <v>2.75</v>
      </c>
      <c r="AZ122" s="14">
        <v>4</v>
      </c>
      <c r="BA122" s="14">
        <v>1</v>
      </c>
      <c r="BB122" s="14">
        <f>IFERROR(AVERAGE(Tabel1[[#This Row],[Up - V1a]:[Up - V1b]]),"")</f>
        <v>2.5</v>
      </c>
      <c r="BC122" s="14">
        <v>3</v>
      </c>
      <c r="BD122" s="14">
        <v>4</v>
      </c>
      <c r="BE122" s="14">
        <v>4</v>
      </c>
      <c r="BF122" s="14">
        <f>IFERROR(AVERAGE(Tabel1[[#This Row],[Up - V2a]:[Up - V2c]]),"")</f>
        <v>3.6666666666666665</v>
      </c>
      <c r="BG122" s="14">
        <v>3</v>
      </c>
      <c r="BH122" s="14" t="s">
        <v>189</v>
      </c>
      <c r="BI122" s="14">
        <f>IFERROR(AVERAGE(Tabel1[[#This Row],[Up - V3a]:[Up - V3b]]),"")</f>
        <v>3</v>
      </c>
      <c r="BJ122" s="14">
        <v>5</v>
      </c>
      <c r="BK122" s="14">
        <f>IFERROR(AVERAGE(Tabel1[[#This Row],[Up - V1]],Tabel1[[#This Row],[Up - V2]],Tabel1[[#This Row],[Up - V3]],Tabel1[[#This Row],[Up - V4]]),"")</f>
        <v>3.5416666666666665</v>
      </c>
      <c r="BL122" s="14">
        <v>4</v>
      </c>
      <c r="BM122" s="14">
        <v>3</v>
      </c>
      <c r="BN122" s="14">
        <v>3</v>
      </c>
      <c r="BO122" s="14">
        <v>3</v>
      </c>
      <c r="BP122" s="14">
        <f>IFERROR(AVERAGE(Tabel1[[#This Row],[Up - A1a]:[Up - A1d]]),"")</f>
        <v>3.25</v>
      </c>
      <c r="BQ122" s="14">
        <v>3</v>
      </c>
      <c r="BR122" s="14">
        <v>3</v>
      </c>
      <c r="BS122" s="14">
        <f>IFERROR(AVERAGE(Tabel1[[#This Row],[Up - A2a]:[Up - A2b]]),"")</f>
        <v>3</v>
      </c>
      <c r="BT122" s="14">
        <v>4</v>
      </c>
      <c r="BU122" s="14">
        <f>IFERROR(AVERAGE(Tabel1[[#This Row],[Up - A3a]:[Up - A3a]]),"")</f>
        <v>4</v>
      </c>
      <c r="BV122" s="14">
        <v>3</v>
      </c>
      <c r="BW122" s="14">
        <f>IFERROR(AVERAGE(Tabel1[[#This Row],[Up - A1]],Tabel1[[#This Row],[Up - A2]],Tabel1[[#This Row],[Up - A3]]),"")</f>
        <v>3.4166666666666665</v>
      </c>
      <c r="BX122" s="14">
        <v>4</v>
      </c>
      <c r="BY122" s="14">
        <v>4</v>
      </c>
      <c r="BZ122" s="14">
        <f>IFERROR(AVERAGE(Tabel1[[#This Row],[In - R1a]:[In - R1b]]),"")</f>
        <v>4</v>
      </c>
      <c r="CA122" s="14">
        <v>1</v>
      </c>
      <c r="CB122" s="14">
        <v>5</v>
      </c>
      <c r="CC122" s="14">
        <v>2</v>
      </c>
      <c r="CD122" s="14">
        <v>5</v>
      </c>
      <c r="CE122" s="14">
        <f>IFERROR(AVERAGE(Tabel1[[#This Row],[In - R1]:[In - R5]]),"")</f>
        <v>3.4</v>
      </c>
      <c r="CF122" s="14">
        <v>4</v>
      </c>
      <c r="CG122" s="14">
        <v>5</v>
      </c>
      <c r="CH122" s="14">
        <v>4</v>
      </c>
      <c r="CI122" s="14">
        <f>IFERROR(AVERAGE(Tabel1[[#This Row],[In - C1a]:[In - C1c]]),"")</f>
        <v>4.333333333333333</v>
      </c>
      <c r="CJ122" s="14">
        <v>4</v>
      </c>
      <c r="CK122" s="14">
        <v>2</v>
      </c>
      <c r="CL122" s="14">
        <v>2</v>
      </c>
      <c r="CM122" s="14">
        <f>IFERROR(AVERAGE(Tabel1[[#This Row],[In - C1]:[In - C4]]),"")</f>
        <v>3.083333333333333</v>
      </c>
      <c r="CN122" s="14" t="s">
        <v>189</v>
      </c>
      <c r="CO122" s="14">
        <v>3</v>
      </c>
      <c r="CP122" s="14">
        <v>4</v>
      </c>
      <c r="CQ122" s="14">
        <f>IFERROR(AVERAGE(Tabel1[[#This Row],[In - F1a]:[In - F1c]]),"")</f>
        <v>3.5</v>
      </c>
      <c r="CR122" s="14">
        <v>4</v>
      </c>
      <c r="CS122" s="14">
        <v>2</v>
      </c>
      <c r="CT122" s="14">
        <f>IFERROR(AVERAGE(Tabel1[[#This Row],[In - F2a]:[In - F2b]]),"")</f>
        <v>3</v>
      </c>
      <c r="CU122" s="14" t="s">
        <v>189</v>
      </c>
      <c r="CV122" s="14" t="str">
        <f>IFERROR(AVERAGE(Tabel1[[#This Row],[In - F3a]:[In - F3a]]),"")</f>
        <v/>
      </c>
      <c r="CW122" s="14" t="s">
        <v>189</v>
      </c>
      <c r="CX122" s="14">
        <f>IFERROR(AVERAGE(Tabel1[[#This Row],[In - F1]],Tabel1[[#This Row],[In - F2]],Tabel1[[#This Row],[In - F3]],Tabel1[[#This Row],[In - F4]]),"")</f>
        <v>3.25</v>
      </c>
      <c r="CY122" s="14">
        <v>4</v>
      </c>
      <c r="CZ122" s="14">
        <v>4</v>
      </c>
      <c r="DA122" s="14">
        <v>4</v>
      </c>
      <c r="DB122" s="14">
        <f>IFERROR(AVERAGE(Tabel1[[#This Row],[In - V1a]:[In - V1c]]),"")</f>
        <v>4</v>
      </c>
      <c r="DC122" s="14">
        <v>4</v>
      </c>
      <c r="DD122" s="14">
        <v>4</v>
      </c>
      <c r="DE122" s="14">
        <v>5</v>
      </c>
      <c r="DF122" s="14">
        <f>IFERROR(AVERAGE(Tabel1[[#This Row],[In - V2a]:[In - V2c]]),"")</f>
        <v>4.333333333333333</v>
      </c>
      <c r="DG122" s="14">
        <v>3</v>
      </c>
      <c r="DH122" s="14">
        <v>2</v>
      </c>
      <c r="DI122" s="14">
        <f>IFERROR(AVERAGE(Tabel1[[#This Row],[In - V3a]:[In - V3b]]),"")</f>
        <v>2.5</v>
      </c>
      <c r="DJ122" s="14">
        <v>2</v>
      </c>
      <c r="DK122" s="14">
        <f>IFERROR(AVERAGE(Tabel1[[#This Row],[In - V1]],Tabel1[[#This Row],[In - V2]],Tabel1[[#This Row],[In - V3]],Tabel1[[#This Row],[In - V4]]),"")</f>
        <v>3.208333333333333</v>
      </c>
      <c r="DL122" s="14">
        <v>4</v>
      </c>
      <c r="DM122" s="14">
        <v>4</v>
      </c>
      <c r="DN122" s="14">
        <f>IFERROR(AVERAGE(Tabel1[[#This Row],[In - A1a]:[In - A1b]]),"")</f>
        <v>4</v>
      </c>
      <c r="DO122" s="14">
        <v>4</v>
      </c>
      <c r="DP122" s="14">
        <v>4</v>
      </c>
      <c r="DQ122" s="14">
        <f>IFERROR(AVERAGE(Tabel1[[#This Row],[In - A2a]:[In - A2b]]),"")</f>
        <v>4</v>
      </c>
      <c r="DR122" s="14">
        <v>3</v>
      </c>
      <c r="DS122" s="14">
        <v>3</v>
      </c>
      <c r="DT122" s="14">
        <f>IFERROR(AVERAGE(Tabel1[[#This Row],[In - A3a]:[In - A3a]]),"")</f>
        <v>3</v>
      </c>
      <c r="DU122" s="14">
        <v>3</v>
      </c>
      <c r="DV122" s="14">
        <f>IFERROR(AVERAGE(Tabel1[[#This Row],[In - A1]],Tabel1[[#This Row],[In - A2]],Tabel1[[#This Row],[In - A3]],Tabel1[[#This Row],[In - A4]]),"")</f>
        <v>3.5</v>
      </c>
      <c r="DW122" s="14">
        <v>1</v>
      </c>
      <c r="DX122" s="14">
        <v>5</v>
      </c>
      <c r="DY122" s="14">
        <v>1</v>
      </c>
      <c r="DZ122" s="14">
        <f>IFERROR(AVERAGE(Tabel1[[#This Row],[Do - R1a]:[Do - R1c]]),"")</f>
        <v>2.3333333333333335</v>
      </c>
      <c r="EA122" s="14">
        <v>4</v>
      </c>
      <c r="EB122" s="14">
        <v>3</v>
      </c>
      <c r="EC122" s="14">
        <v>3</v>
      </c>
      <c r="ED122" s="14">
        <v>3</v>
      </c>
      <c r="EE122" s="14">
        <f>IFERROR(AVERAGE(Tabel1[[#This Row],[Do - R1]:[Do - R5]]),"")</f>
        <v>3.0666666666666669</v>
      </c>
      <c r="EF122" s="14">
        <v>4</v>
      </c>
      <c r="EG122" s="14">
        <v>4</v>
      </c>
      <c r="EH122" s="14">
        <v>4</v>
      </c>
      <c r="EI122" s="14">
        <f>IFERROR(AVERAGE(Tabel1[[#This Row],[Do - C1a]:[Do - C1c]]),"")</f>
        <v>4</v>
      </c>
      <c r="EJ122" s="14">
        <v>4</v>
      </c>
      <c r="EK122" s="14">
        <v>3</v>
      </c>
      <c r="EL122" s="14">
        <v>3</v>
      </c>
      <c r="EM122" s="14">
        <f>IFERROR(AVERAGE(Tabel1[[#This Row],[Do - C1]:[Do - C4]]),"")</f>
        <v>3.5</v>
      </c>
      <c r="EN122" s="14">
        <v>3</v>
      </c>
      <c r="EO122" s="14">
        <v>4</v>
      </c>
      <c r="EP122" s="14">
        <v>4</v>
      </c>
      <c r="EQ122" s="14">
        <f>IFERROR(AVERAGE(Tabel1[[#This Row],[Do - F1a]:[Do - F1c]]),"")</f>
        <v>3.6666666666666665</v>
      </c>
      <c r="ER122" s="14">
        <v>3</v>
      </c>
      <c r="ES122" s="14">
        <f>IFERROR(AVERAGE(Tabel1[[#This Row],[Do - F2a]:[Do - F2a]]),"")</f>
        <v>3</v>
      </c>
      <c r="ET122" s="14">
        <v>2</v>
      </c>
      <c r="EU122" s="14">
        <v>3</v>
      </c>
      <c r="EV122" s="14">
        <f>IFERROR(AVERAGE(Tabel1[[#This Row],[Do - F3a]:[Do - F3b]]),"")</f>
        <v>2.5</v>
      </c>
      <c r="EW122" s="14">
        <v>2</v>
      </c>
      <c r="EX122" s="14">
        <f>IFERROR(AVERAGE(Tabel1[[#This Row],[Do - F1]],Tabel1[[#This Row],[Do - F2]],Tabel1[[#This Row],[Do - F3]],Tabel1[[#This Row],[Do - F4]]),"")</f>
        <v>2.7916666666666665</v>
      </c>
      <c r="EY122" s="14">
        <v>4</v>
      </c>
      <c r="EZ122" s="14">
        <v>4</v>
      </c>
      <c r="FA122" s="14">
        <v>4</v>
      </c>
      <c r="FB122" s="14">
        <f>IFERROR(AVERAGE(Tabel1[[#This Row],[Do - V1a]:[Do - V1c]]),"")</f>
        <v>4</v>
      </c>
      <c r="FC122" s="14">
        <v>4</v>
      </c>
      <c r="FD122" s="14">
        <v>4</v>
      </c>
      <c r="FE122" s="14">
        <f>IFERROR(AVERAGE(Tabel1[[#This Row],[Do - V2a]:[Do - V2b]]),"")</f>
        <v>4</v>
      </c>
      <c r="FF122" s="14">
        <v>3</v>
      </c>
      <c r="FG122" s="14">
        <f>IFERROR(AVERAGE(Tabel1[[#This Row],[Do - V3a]:[Do - V3a]]),"")</f>
        <v>3</v>
      </c>
      <c r="FH122" s="14">
        <v>3</v>
      </c>
      <c r="FI122" s="14">
        <f>IFERROR(AVERAGE(Tabel1[[#This Row],[Do - V1]],Tabel1[[#This Row],[Do - V2]],Tabel1[[#This Row],[Do - V3]],Tabel1[[#This Row],[Do - V4]]),"")</f>
        <v>3.5</v>
      </c>
      <c r="FJ122" s="14">
        <v>4</v>
      </c>
      <c r="FK122" s="14">
        <v>3</v>
      </c>
      <c r="FL122" s="14">
        <v>4</v>
      </c>
      <c r="FM122" s="14">
        <f>IFERROR(AVERAGE(Tabel1[[#This Row],[Do - A1a]:[Do - A1c]]),"")</f>
        <v>3.6666666666666665</v>
      </c>
      <c r="FN122" s="14">
        <v>3</v>
      </c>
      <c r="FO122" s="14">
        <v>2</v>
      </c>
      <c r="FP122" s="14">
        <f>IFERROR(AVERAGE(Tabel1[[#This Row],[Do - A2a]:[Do - A2b]]),"")</f>
        <v>2.5</v>
      </c>
      <c r="FQ122" s="14">
        <v>4</v>
      </c>
      <c r="FR122" s="14">
        <f>IFERROR(AVERAGE(Tabel1[[#This Row],[Do - A3a]:[Do - A3a]]),"")</f>
        <v>4</v>
      </c>
      <c r="FS122" s="14">
        <v>3</v>
      </c>
      <c r="FT122" s="14">
        <f>IFERROR(AVERAGE(Tabel1[[#This Row],[Do - A1]],Tabel1[[#This Row],[Do - A2]],Tabel1[[#This Row],[Do - A3]],Tabel1[[#This Row],[Do - A4]]),"")</f>
        <v>3.2916666666666665</v>
      </c>
      <c r="FU12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3.2355555555555551</v>
      </c>
      <c r="FV122" s="16" t="s">
        <v>783</v>
      </c>
      <c r="FW122" t="b">
        <v>1</v>
      </c>
    </row>
    <row r="123" spans="1:179" x14ac:dyDescent="0.3">
      <c r="A123" s="13">
        <v>44992.295289351852</v>
      </c>
      <c r="B123" t="b">
        <v>0</v>
      </c>
      <c r="C123" s="14" t="s">
        <v>784</v>
      </c>
      <c r="D123" s="14" t="s">
        <v>785</v>
      </c>
      <c r="E123" s="14" t="s">
        <v>492</v>
      </c>
      <c r="F123" s="14" t="s">
        <v>184</v>
      </c>
      <c r="G123" s="14" t="s">
        <v>786</v>
      </c>
      <c r="H123" s="14" t="s">
        <v>222</v>
      </c>
      <c r="I123" s="14" t="s">
        <v>195</v>
      </c>
      <c r="J123" s="14" t="s">
        <v>196</v>
      </c>
      <c r="K123" s="14" t="s">
        <v>235</v>
      </c>
      <c r="L123" s="14"/>
      <c r="M123" s="14" t="s">
        <v>198</v>
      </c>
      <c r="N123" s="14" t="s">
        <v>199</v>
      </c>
      <c r="O123" s="14" t="s">
        <v>256</v>
      </c>
      <c r="P123" s="17" t="s">
        <v>304</v>
      </c>
      <c r="Q123" s="17" t="s">
        <v>304</v>
      </c>
      <c r="R123" s="14" t="s">
        <v>203</v>
      </c>
      <c r="S123" s="14" t="s">
        <v>202</v>
      </c>
      <c r="T123" s="14" t="s">
        <v>204</v>
      </c>
      <c r="U123" s="14" t="s">
        <v>285</v>
      </c>
      <c r="V123" s="14" t="s">
        <v>359</v>
      </c>
      <c r="W123" s="14" t="s">
        <v>207</v>
      </c>
      <c r="X123" s="14" t="s">
        <v>207</v>
      </c>
      <c r="Y123" s="14">
        <v>2</v>
      </c>
      <c r="Z123" s="14">
        <v>2</v>
      </c>
      <c r="AA123" s="14">
        <v>3</v>
      </c>
      <c r="AB123" s="15">
        <f>IFERROR(AVERAGE(Tabel1[[#This Row],[Up - R1a]:[Up - R1c]]),"")</f>
        <v>2.3333333333333335</v>
      </c>
      <c r="AC123" s="14">
        <v>2</v>
      </c>
      <c r="AD123" s="14">
        <v>2</v>
      </c>
      <c r="AE123" s="14">
        <v>1</v>
      </c>
      <c r="AF123" s="14">
        <v>2</v>
      </c>
      <c r="AG123" s="14">
        <f>IFERROR(AVERAGE(Tabel1[[#This Row],[Up - R1]:[Up - R5]]),"")</f>
        <v>1.8666666666666667</v>
      </c>
      <c r="AH123" s="14">
        <v>2</v>
      </c>
      <c r="AI123" s="14">
        <v>2</v>
      </c>
      <c r="AJ123" s="14">
        <v>2</v>
      </c>
      <c r="AK123" s="14">
        <f>IFERROR(AVERAGE(Tabel1[[#This Row],[Up - C1a]:[Up - C1c]]),"")</f>
        <v>2</v>
      </c>
      <c r="AL123" s="14">
        <v>3</v>
      </c>
      <c r="AM123" s="14">
        <v>1</v>
      </c>
      <c r="AN123" s="14" t="s">
        <v>189</v>
      </c>
      <c r="AO123" s="14">
        <f>IFERROR(AVERAGE(Tabel1[[#This Row],[Up - C1]:[Up - C4]]),"")</f>
        <v>2</v>
      </c>
      <c r="AP123" s="14">
        <v>2</v>
      </c>
      <c r="AQ123" s="14">
        <f>IFERROR(AVERAGE(Tabel1[[#This Row],[Up - F1a]:[Up - F1a]]),"")</f>
        <v>2</v>
      </c>
      <c r="AR123" s="14">
        <v>2</v>
      </c>
      <c r="AS123" s="14">
        <v>2</v>
      </c>
      <c r="AT123" s="14">
        <f>IFERROR(AVERAGE(Tabel1[[#This Row],[Up - F2a]:[Up - F2b]]),"")</f>
        <v>2</v>
      </c>
      <c r="AU123" s="14">
        <v>2</v>
      </c>
      <c r="AV123" s="14">
        <v>2</v>
      </c>
      <c r="AW123" s="14">
        <f>IFERROR(AVERAGE(Tabel1[[#This Row],[Up - F3a]:[Up - F3b]]),"")</f>
        <v>2</v>
      </c>
      <c r="AX123" s="14" t="s">
        <v>189</v>
      </c>
      <c r="AY123" s="14">
        <f>IFERROR(AVERAGE(Tabel1[[#This Row],[Up - F1]],Tabel1[[#This Row],[Up - F2]],Tabel1[[#This Row],[Up - F3]],Tabel1[[#This Row],[Up - F4]]),"")</f>
        <v>2</v>
      </c>
      <c r="AZ123" s="14">
        <v>2</v>
      </c>
      <c r="BA123" s="14">
        <v>3</v>
      </c>
      <c r="BB123" s="14">
        <f>IFERROR(AVERAGE(Tabel1[[#This Row],[Up - V1a]:[Up - V1b]]),"")</f>
        <v>2.5</v>
      </c>
      <c r="BC123" s="14">
        <v>2</v>
      </c>
      <c r="BD123" s="14" t="s">
        <v>189</v>
      </c>
      <c r="BE123" s="14">
        <v>2</v>
      </c>
      <c r="BF123" s="14">
        <f>IFERROR(AVERAGE(Tabel1[[#This Row],[Up - V2a]:[Up - V2c]]),"")</f>
        <v>2</v>
      </c>
      <c r="BG123" s="14">
        <v>3</v>
      </c>
      <c r="BH123" s="14">
        <v>1</v>
      </c>
      <c r="BI123" s="14">
        <f>IFERROR(AVERAGE(Tabel1[[#This Row],[Up - V3a]:[Up - V3b]]),"")</f>
        <v>2</v>
      </c>
      <c r="BJ123" s="14">
        <v>3</v>
      </c>
      <c r="BK123" s="14">
        <f>IFERROR(AVERAGE(Tabel1[[#This Row],[Up - V1]],Tabel1[[#This Row],[Up - V2]],Tabel1[[#This Row],[Up - V3]],Tabel1[[#This Row],[Up - V4]]),"")</f>
        <v>2.375</v>
      </c>
      <c r="BL123" s="14">
        <v>3</v>
      </c>
      <c r="BM123" s="14">
        <v>3</v>
      </c>
      <c r="BN123" s="14">
        <v>2</v>
      </c>
      <c r="BO123" s="14" t="s">
        <v>189</v>
      </c>
      <c r="BP123" s="14">
        <f>IFERROR(AVERAGE(Tabel1[[#This Row],[Up - A1a]:[Up - A1d]]),"")</f>
        <v>2.6666666666666665</v>
      </c>
      <c r="BQ123" s="14" t="s">
        <v>189</v>
      </c>
      <c r="BR123" s="14" t="s">
        <v>189</v>
      </c>
      <c r="BS123" s="14" t="str">
        <f>IFERROR(AVERAGE(Tabel1[[#This Row],[Up - A2a]:[Up - A2b]]),"")</f>
        <v/>
      </c>
      <c r="BT123" s="14">
        <v>3</v>
      </c>
      <c r="BU123" s="14">
        <f>IFERROR(AVERAGE(Tabel1[[#This Row],[Up - A3a]:[Up - A3a]]),"")</f>
        <v>3</v>
      </c>
      <c r="BV123" s="14" t="s">
        <v>189</v>
      </c>
      <c r="BW123" s="14">
        <f>IFERROR(AVERAGE(Tabel1[[#This Row],[Up - A1]],Tabel1[[#This Row],[Up - A2]],Tabel1[[#This Row],[Up - A3]]),"")</f>
        <v>2.833333333333333</v>
      </c>
      <c r="BX123" s="14">
        <v>1</v>
      </c>
      <c r="BY123" s="14">
        <v>2</v>
      </c>
      <c r="BZ123" s="14">
        <f>IFERROR(AVERAGE(Tabel1[[#This Row],[In - R1a]:[In - R1b]]),"")</f>
        <v>1.5</v>
      </c>
      <c r="CA123" s="14">
        <v>2</v>
      </c>
      <c r="CB123" s="14">
        <v>2</v>
      </c>
      <c r="CC123" s="14">
        <v>1</v>
      </c>
      <c r="CD123" s="14">
        <v>3</v>
      </c>
      <c r="CE123" s="14">
        <f>IFERROR(AVERAGE(Tabel1[[#This Row],[In - R1]:[In - R5]]),"")</f>
        <v>1.9</v>
      </c>
      <c r="CF123" s="14">
        <v>1</v>
      </c>
      <c r="CG123" s="14">
        <v>2</v>
      </c>
      <c r="CH123" s="14">
        <v>2</v>
      </c>
      <c r="CI123" s="14">
        <f>IFERROR(AVERAGE(Tabel1[[#This Row],[In - C1a]:[In - C1c]]),"")</f>
        <v>1.6666666666666667</v>
      </c>
      <c r="CJ123" s="14">
        <v>3</v>
      </c>
      <c r="CK123" s="14">
        <v>2</v>
      </c>
      <c r="CL123" s="14" t="s">
        <v>189</v>
      </c>
      <c r="CM123" s="14">
        <f>IFERROR(AVERAGE(Tabel1[[#This Row],[In - C1]:[In - C4]]),"")</f>
        <v>2.2222222222222223</v>
      </c>
      <c r="CN123" s="14">
        <v>2</v>
      </c>
      <c r="CO123" s="14">
        <v>2</v>
      </c>
      <c r="CP123" s="14">
        <v>1</v>
      </c>
      <c r="CQ123" s="14">
        <f>IFERROR(AVERAGE(Tabel1[[#This Row],[In - F1a]:[In - F1c]]),"")</f>
        <v>1.6666666666666667</v>
      </c>
      <c r="CR123" s="14">
        <v>2</v>
      </c>
      <c r="CS123" s="14">
        <v>2</v>
      </c>
      <c r="CT123" s="14">
        <f>IFERROR(AVERAGE(Tabel1[[#This Row],[In - F2a]:[In - F2b]]),"")</f>
        <v>2</v>
      </c>
      <c r="CU123" s="14">
        <v>1</v>
      </c>
      <c r="CV123" s="14">
        <f>IFERROR(AVERAGE(Tabel1[[#This Row],[In - F3a]:[In - F3a]]),"")</f>
        <v>1</v>
      </c>
      <c r="CW123" s="14" t="s">
        <v>189</v>
      </c>
      <c r="CX123" s="14">
        <f>IFERROR(AVERAGE(Tabel1[[#This Row],[In - F1]],Tabel1[[#This Row],[In - F2]],Tabel1[[#This Row],[In - F3]],Tabel1[[#This Row],[In - F4]]),"")</f>
        <v>1.5555555555555556</v>
      </c>
      <c r="CY123" s="14">
        <v>3</v>
      </c>
      <c r="CZ123" s="14">
        <v>2</v>
      </c>
      <c r="DA123" s="14">
        <v>2</v>
      </c>
      <c r="DB123" s="14">
        <f>IFERROR(AVERAGE(Tabel1[[#This Row],[In - V1a]:[In - V1c]]),"")</f>
        <v>2.3333333333333335</v>
      </c>
      <c r="DC123" s="14">
        <v>1</v>
      </c>
      <c r="DD123" s="14">
        <v>2</v>
      </c>
      <c r="DE123" s="14">
        <v>3</v>
      </c>
      <c r="DF123" s="14">
        <f>IFERROR(AVERAGE(Tabel1[[#This Row],[In - V2a]:[In - V2c]]),"")</f>
        <v>2</v>
      </c>
      <c r="DG123" s="14">
        <v>1</v>
      </c>
      <c r="DH123" s="14" t="s">
        <v>189</v>
      </c>
      <c r="DI123" s="14">
        <f>IFERROR(AVERAGE(Tabel1[[#This Row],[In - V3a]:[In - V3b]]),"")</f>
        <v>1</v>
      </c>
      <c r="DJ123" s="14" t="s">
        <v>189</v>
      </c>
      <c r="DK123" s="14">
        <f>IFERROR(AVERAGE(Tabel1[[#This Row],[In - V1]],Tabel1[[#This Row],[In - V2]],Tabel1[[#This Row],[In - V3]],Tabel1[[#This Row],[In - V4]]),"")</f>
        <v>1.7777777777777779</v>
      </c>
      <c r="DL123" s="14">
        <v>2</v>
      </c>
      <c r="DM123" s="14">
        <v>2</v>
      </c>
      <c r="DN123" s="14">
        <f>IFERROR(AVERAGE(Tabel1[[#This Row],[In - A1a]:[In - A1b]]),"")</f>
        <v>2</v>
      </c>
      <c r="DO123" s="14" t="s">
        <v>189</v>
      </c>
      <c r="DP123" s="14" t="s">
        <v>189</v>
      </c>
      <c r="DQ123" s="14" t="str">
        <f>IFERROR(AVERAGE(Tabel1[[#This Row],[In - A2a]:[In - A2b]]),"")</f>
        <v/>
      </c>
      <c r="DR123" s="14">
        <v>3</v>
      </c>
      <c r="DS123" s="14">
        <v>2</v>
      </c>
      <c r="DT123" s="14">
        <f>IFERROR(AVERAGE(Tabel1[[#This Row],[In - A3a]:[In - A3a]]),"")</f>
        <v>3</v>
      </c>
      <c r="DU123" s="14" t="s">
        <v>189</v>
      </c>
      <c r="DV123" s="14">
        <f>IFERROR(AVERAGE(Tabel1[[#This Row],[In - A1]],Tabel1[[#This Row],[In - A2]],Tabel1[[#This Row],[In - A3]],Tabel1[[#This Row],[In - A4]]),"")</f>
        <v>2.5</v>
      </c>
      <c r="DW123" s="14">
        <v>1</v>
      </c>
      <c r="DX123" s="14">
        <v>3</v>
      </c>
      <c r="DY123" s="14">
        <v>1</v>
      </c>
      <c r="DZ123" s="14">
        <f>IFERROR(AVERAGE(Tabel1[[#This Row],[Do - R1a]:[Do - R1c]]),"")</f>
        <v>1.6666666666666667</v>
      </c>
      <c r="EA123" s="14">
        <v>1</v>
      </c>
      <c r="EB123" s="14">
        <v>1</v>
      </c>
      <c r="EC123" s="14">
        <v>1</v>
      </c>
      <c r="ED123" s="14">
        <v>2</v>
      </c>
      <c r="EE123" s="14">
        <f>IFERROR(AVERAGE(Tabel1[[#This Row],[Do - R1]:[Do - R5]]),"")</f>
        <v>1.3333333333333335</v>
      </c>
      <c r="EF123" s="14">
        <v>2</v>
      </c>
      <c r="EG123" s="14">
        <v>1</v>
      </c>
      <c r="EH123" s="14">
        <v>2</v>
      </c>
      <c r="EI123" s="14">
        <f>IFERROR(AVERAGE(Tabel1[[#This Row],[Do - C1a]:[Do - C1c]]),"")</f>
        <v>1.6666666666666667</v>
      </c>
      <c r="EJ123" s="14">
        <v>3</v>
      </c>
      <c r="EK123" s="14">
        <v>1</v>
      </c>
      <c r="EL123" s="14" t="s">
        <v>189</v>
      </c>
      <c r="EM123" s="14">
        <f>IFERROR(AVERAGE(Tabel1[[#This Row],[Do - C1]:[Do - C4]]),"")</f>
        <v>1.8888888888888891</v>
      </c>
      <c r="EN123" s="14" t="s">
        <v>189</v>
      </c>
      <c r="EO123" s="14">
        <v>2</v>
      </c>
      <c r="EP123" s="14">
        <v>1</v>
      </c>
      <c r="EQ123" s="14">
        <f>IFERROR(AVERAGE(Tabel1[[#This Row],[Do - F1a]:[Do - F1c]]),"")</f>
        <v>1.5</v>
      </c>
      <c r="ER123" s="14">
        <v>2</v>
      </c>
      <c r="ES123" s="14">
        <f>IFERROR(AVERAGE(Tabel1[[#This Row],[Do - F2a]:[Do - F2a]]),"")</f>
        <v>2</v>
      </c>
      <c r="ET123" s="14">
        <v>2</v>
      </c>
      <c r="EU123" s="14">
        <v>2</v>
      </c>
      <c r="EV123" s="14">
        <f>IFERROR(AVERAGE(Tabel1[[#This Row],[Do - F3a]:[Do - F3b]]),"")</f>
        <v>2</v>
      </c>
      <c r="EW123" s="14" t="s">
        <v>189</v>
      </c>
      <c r="EX123" s="14">
        <f>IFERROR(AVERAGE(Tabel1[[#This Row],[Do - F1]],Tabel1[[#This Row],[Do - F2]],Tabel1[[#This Row],[Do - F3]],Tabel1[[#This Row],[Do - F4]]),"")</f>
        <v>1.8333333333333333</v>
      </c>
      <c r="EY123" s="14">
        <v>2</v>
      </c>
      <c r="EZ123" s="14" t="s">
        <v>189</v>
      </c>
      <c r="FA123" s="14">
        <v>2</v>
      </c>
      <c r="FB123" s="14">
        <f>IFERROR(AVERAGE(Tabel1[[#This Row],[Do - V1a]:[Do - V1c]]),"")</f>
        <v>2</v>
      </c>
      <c r="FC123" s="14">
        <v>2</v>
      </c>
      <c r="FD123" s="14" t="s">
        <v>189</v>
      </c>
      <c r="FE123" s="14">
        <f>IFERROR(AVERAGE(Tabel1[[#This Row],[Do - V2a]:[Do - V2b]]),"")</f>
        <v>2</v>
      </c>
      <c r="FF123" s="14" t="s">
        <v>189</v>
      </c>
      <c r="FG123" s="14" t="str">
        <f>IFERROR(AVERAGE(Tabel1[[#This Row],[Do - V3a]:[Do - V3a]]),"")</f>
        <v/>
      </c>
      <c r="FH123" s="14" t="s">
        <v>189</v>
      </c>
      <c r="FI123" s="14">
        <f>IFERROR(AVERAGE(Tabel1[[#This Row],[Do - V1]],Tabel1[[#This Row],[Do - V2]],Tabel1[[#This Row],[Do - V3]],Tabel1[[#This Row],[Do - V4]]),"")</f>
        <v>2</v>
      </c>
      <c r="FJ123" s="14">
        <v>2</v>
      </c>
      <c r="FK123" s="14">
        <v>1</v>
      </c>
      <c r="FL123" s="14" t="s">
        <v>189</v>
      </c>
      <c r="FM123" s="14">
        <f>IFERROR(AVERAGE(Tabel1[[#This Row],[Do - A1a]:[Do - A1c]]),"")</f>
        <v>1.5</v>
      </c>
      <c r="FN123" s="14" t="s">
        <v>189</v>
      </c>
      <c r="FO123" s="14" t="s">
        <v>189</v>
      </c>
      <c r="FP123" s="14" t="str">
        <f>IFERROR(AVERAGE(Tabel1[[#This Row],[Do - A2a]:[Do - A2b]]),"")</f>
        <v/>
      </c>
      <c r="FQ123" s="14" t="s">
        <v>189</v>
      </c>
      <c r="FR123" s="14" t="str">
        <f>IFERROR(AVERAGE(Tabel1[[#This Row],[Do - A3a]:[Do - A3a]]),"")</f>
        <v/>
      </c>
      <c r="FS123" s="14" t="s">
        <v>189</v>
      </c>
      <c r="FT123" s="14">
        <f>IFERROR(AVERAGE(Tabel1[[#This Row],[Do - A1]],Tabel1[[#This Row],[Do - A2]],Tabel1[[#This Row],[Do - A3]],Tabel1[[#This Row],[Do - A4]]),"")</f>
        <v>1.5</v>
      </c>
      <c r="FU12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1.9724074074074074</v>
      </c>
      <c r="FV123" s="16" t="s">
        <v>787</v>
      </c>
      <c r="FW123" t="b">
        <v>1</v>
      </c>
    </row>
    <row r="124" spans="1:179" x14ac:dyDescent="0.3">
      <c r="A124" s="13">
        <v>44992.329583333332</v>
      </c>
      <c r="B124" t="b">
        <v>0</v>
      </c>
      <c r="C124" s="14" t="s">
        <v>788</v>
      </c>
      <c r="D124" s="14" t="s">
        <v>789</v>
      </c>
      <c r="E124" s="14" t="s">
        <v>492</v>
      </c>
      <c r="F124" s="14" t="s">
        <v>184</v>
      </c>
      <c r="G124" s="14" t="s">
        <v>790</v>
      </c>
      <c r="H124" s="14" t="s">
        <v>222</v>
      </c>
      <c r="I124" s="14" t="s">
        <v>195</v>
      </c>
      <c r="J124" s="14" t="s">
        <v>196</v>
      </c>
      <c r="K124" s="14" t="s">
        <v>235</v>
      </c>
      <c r="L124" s="14" t="s">
        <v>218</v>
      </c>
      <c r="M124" s="14" t="s">
        <v>198</v>
      </c>
      <c r="N124" s="14" t="s">
        <v>199</v>
      </c>
      <c r="O124" s="14" t="s">
        <v>200</v>
      </c>
      <c r="P124" s="17" t="s">
        <v>304</v>
      </c>
      <c r="Q124" s="14" t="s">
        <v>202</v>
      </c>
      <c r="R124" s="14" t="s">
        <v>201</v>
      </c>
      <c r="S124" s="14" t="s">
        <v>235</v>
      </c>
      <c r="T124" s="14" t="s">
        <v>204</v>
      </c>
      <c r="U124" s="14" t="s">
        <v>285</v>
      </c>
      <c r="V124" s="14" t="s">
        <v>359</v>
      </c>
      <c r="W124" s="14" t="s">
        <v>395</v>
      </c>
      <c r="X124" s="14" t="s">
        <v>207</v>
      </c>
      <c r="Y124" s="14">
        <v>3</v>
      </c>
      <c r="Z124" s="14">
        <v>2</v>
      </c>
      <c r="AA124" s="14">
        <v>4</v>
      </c>
      <c r="AB124" s="15">
        <f>IFERROR(AVERAGE(Tabel1[[#This Row],[Up - R1a]:[Up - R1c]]),"")</f>
        <v>3</v>
      </c>
      <c r="AC124" s="14">
        <v>4</v>
      </c>
      <c r="AD124" s="14">
        <v>1</v>
      </c>
      <c r="AE124" s="14">
        <v>3</v>
      </c>
      <c r="AF124" s="14">
        <v>4</v>
      </c>
      <c r="AG124" s="14">
        <f>IFERROR(AVERAGE(Tabel1[[#This Row],[Up - R1]:[Up - R5]]),"")</f>
        <v>3</v>
      </c>
      <c r="AH124" s="14">
        <v>4</v>
      </c>
      <c r="AI124" s="14">
        <v>3</v>
      </c>
      <c r="AJ124" s="14">
        <v>4</v>
      </c>
      <c r="AK124" s="14">
        <f>IFERROR(AVERAGE(Tabel1[[#This Row],[Up - C1a]:[Up - C1c]]),"")</f>
        <v>3.6666666666666665</v>
      </c>
      <c r="AL124" s="14">
        <v>4</v>
      </c>
      <c r="AM124" s="14">
        <v>2</v>
      </c>
      <c r="AN124" s="14">
        <v>5</v>
      </c>
      <c r="AO124" s="14">
        <f>IFERROR(AVERAGE(Tabel1[[#This Row],[Up - C1]:[Up - C4]]),"")</f>
        <v>3.6666666666666665</v>
      </c>
      <c r="AP124" s="14">
        <v>1</v>
      </c>
      <c r="AQ124" s="14">
        <f>IFERROR(AVERAGE(Tabel1[[#This Row],[Up - F1a]:[Up - F1a]]),"")</f>
        <v>1</v>
      </c>
      <c r="AR124" s="14">
        <v>1</v>
      </c>
      <c r="AS124" s="14">
        <v>1</v>
      </c>
      <c r="AT124" s="14">
        <f>IFERROR(AVERAGE(Tabel1[[#This Row],[Up - F2a]:[Up - F2b]]),"")</f>
        <v>1</v>
      </c>
      <c r="AU124" s="14">
        <v>3</v>
      </c>
      <c r="AV124" s="14">
        <v>1</v>
      </c>
      <c r="AW124" s="14">
        <f>IFERROR(AVERAGE(Tabel1[[#This Row],[Up - F3a]:[Up - F3b]]),"")</f>
        <v>2</v>
      </c>
      <c r="AX124" s="14">
        <v>2</v>
      </c>
      <c r="AY124" s="14">
        <f>IFERROR(AVERAGE(Tabel1[[#This Row],[Up - F1]],Tabel1[[#This Row],[Up - F2]],Tabel1[[#This Row],[Up - F3]],Tabel1[[#This Row],[Up - F4]]),"")</f>
        <v>1.5</v>
      </c>
      <c r="AZ124" s="14">
        <v>4</v>
      </c>
      <c r="BA124" s="14">
        <v>4</v>
      </c>
      <c r="BB124" s="14">
        <f>IFERROR(AVERAGE(Tabel1[[#This Row],[Up - V1a]:[Up - V1b]]),"")</f>
        <v>4</v>
      </c>
      <c r="BC124" s="14">
        <v>4</v>
      </c>
      <c r="BD124" s="14">
        <v>3</v>
      </c>
      <c r="BE124" s="14">
        <v>2</v>
      </c>
      <c r="BF124" s="14">
        <f>IFERROR(AVERAGE(Tabel1[[#This Row],[Up - V2a]:[Up - V2c]]),"")</f>
        <v>3</v>
      </c>
      <c r="BG124" s="14">
        <v>1</v>
      </c>
      <c r="BH124" s="14">
        <v>1</v>
      </c>
      <c r="BI124" s="14">
        <f>IFERROR(AVERAGE(Tabel1[[#This Row],[Up - V3a]:[Up - V3b]]),"")</f>
        <v>1</v>
      </c>
      <c r="BJ124" s="14">
        <v>3</v>
      </c>
      <c r="BK124" s="14">
        <f>IFERROR(AVERAGE(Tabel1[[#This Row],[Up - V1]],Tabel1[[#This Row],[Up - V2]],Tabel1[[#This Row],[Up - V3]],Tabel1[[#This Row],[Up - V4]]),"")</f>
        <v>2.75</v>
      </c>
      <c r="BL124" s="14">
        <v>4</v>
      </c>
      <c r="BM124" s="14">
        <v>3</v>
      </c>
      <c r="BN124" s="14">
        <v>4</v>
      </c>
      <c r="BO124" s="14">
        <v>4</v>
      </c>
      <c r="BP124" s="14">
        <f>IFERROR(AVERAGE(Tabel1[[#This Row],[Up - A1a]:[Up - A1d]]),"")</f>
        <v>3.75</v>
      </c>
      <c r="BQ124" s="14">
        <v>4</v>
      </c>
      <c r="BR124" s="14">
        <v>3</v>
      </c>
      <c r="BS124" s="14">
        <f>IFERROR(AVERAGE(Tabel1[[#This Row],[Up - A2a]:[Up - A2b]]),"")</f>
        <v>3.5</v>
      </c>
      <c r="BT124" s="14">
        <v>5</v>
      </c>
      <c r="BU124" s="14">
        <f>IFERROR(AVERAGE(Tabel1[[#This Row],[Up - A3a]:[Up - A3a]]),"")</f>
        <v>5</v>
      </c>
      <c r="BV124" s="14">
        <v>3</v>
      </c>
      <c r="BW124" s="14">
        <f>IFERROR(AVERAGE(Tabel1[[#This Row],[Up - A1]],Tabel1[[#This Row],[Up - A2]],Tabel1[[#This Row],[Up - A3]]),"")</f>
        <v>4.083333333333333</v>
      </c>
      <c r="BX124" s="14">
        <v>2</v>
      </c>
      <c r="BY124" s="14">
        <v>2</v>
      </c>
      <c r="BZ124" s="14">
        <f>IFERROR(AVERAGE(Tabel1[[#This Row],[In - R1a]:[In - R1b]]),"")</f>
        <v>2</v>
      </c>
      <c r="CA124" s="14">
        <v>2</v>
      </c>
      <c r="CB124" s="14">
        <v>2</v>
      </c>
      <c r="CC124" s="14">
        <v>1</v>
      </c>
      <c r="CD124" s="14">
        <v>4</v>
      </c>
      <c r="CE124" s="14">
        <f>IFERROR(AVERAGE(Tabel1[[#This Row],[In - R1]:[In - R5]]),"")</f>
        <v>2.2000000000000002</v>
      </c>
      <c r="CF124" s="14">
        <v>3</v>
      </c>
      <c r="CG124" s="14">
        <v>3</v>
      </c>
      <c r="CH124" s="14">
        <v>3</v>
      </c>
      <c r="CI124" s="14">
        <f>IFERROR(AVERAGE(Tabel1[[#This Row],[In - C1a]:[In - C1c]]),"")</f>
        <v>3</v>
      </c>
      <c r="CJ124" s="14">
        <v>3</v>
      </c>
      <c r="CK124" s="14">
        <v>3</v>
      </c>
      <c r="CL124" s="14">
        <v>3</v>
      </c>
      <c r="CM124" s="14">
        <f>IFERROR(AVERAGE(Tabel1[[#This Row],[In - C1]:[In - C4]]),"")</f>
        <v>3</v>
      </c>
      <c r="CN124" s="14">
        <v>3</v>
      </c>
      <c r="CO124" s="14">
        <v>2</v>
      </c>
      <c r="CP124" s="14">
        <v>1</v>
      </c>
      <c r="CQ124" s="14">
        <f>IFERROR(AVERAGE(Tabel1[[#This Row],[In - F1a]:[In - F1c]]),"")</f>
        <v>2</v>
      </c>
      <c r="CR124" s="14">
        <v>4</v>
      </c>
      <c r="CS124" s="14">
        <v>1</v>
      </c>
      <c r="CT124" s="14">
        <f>IFERROR(AVERAGE(Tabel1[[#This Row],[In - F2a]:[In - F2b]]),"")</f>
        <v>2.5</v>
      </c>
      <c r="CU124" s="14">
        <v>1</v>
      </c>
      <c r="CV124" s="14">
        <f>IFERROR(AVERAGE(Tabel1[[#This Row],[In - F3a]:[In - F3a]]),"")</f>
        <v>1</v>
      </c>
      <c r="CW124" s="14">
        <v>3</v>
      </c>
      <c r="CX124" s="14">
        <f>IFERROR(AVERAGE(Tabel1[[#This Row],[In - F1]],Tabel1[[#This Row],[In - F2]],Tabel1[[#This Row],[In - F3]],Tabel1[[#This Row],[In - F4]]),"")</f>
        <v>2.125</v>
      </c>
      <c r="CY124" s="14">
        <v>5</v>
      </c>
      <c r="CZ124" s="14">
        <v>3</v>
      </c>
      <c r="DA124" s="14">
        <v>3</v>
      </c>
      <c r="DB124" s="14">
        <f>IFERROR(AVERAGE(Tabel1[[#This Row],[In - V1a]:[In - V1c]]),"")</f>
        <v>3.6666666666666665</v>
      </c>
      <c r="DC124" s="14">
        <v>2</v>
      </c>
      <c r="DD124" s="14">
        <v>3</v>
      </c>
      <c r="DE124" s="14">
        <v>1</v>
      </c>
      <c r="DF124" s="14">
        <f>IFERROR(AVERAGE(Tabel1[[#This Row],[In - V2a]:[In - V2c]]),"")</f>
        <v>2</v>
      </c>
      <c r="DG124" s="14">
        <v>2</v>
      </c>
      <c r="DH124" s="14">
        <v>1</v>
      </c>
      <c r="DI124" s="14">
        <f>IFERROR(AVERAGE(Tabel1[[#This Row],[In - V3a]:[In - V3b]]),"")</f>
        <v>1.5</v>
      </c>
      <c r="DJ124" s="14">
        <v>3</v>
      </c>
      <c r="DK124" s="14">
        <f>IFERROR(AVERAGE(Tabel1[[#This Row],[In - V1]],Tabel1[[#This Row],[In - V2]],Tabel1[[#This Row],[In - V3]],Tabel1[[#This Row],[In - V4]]),"")</f>
        <v>2.5416666666666665</v>
      </c>
      <c r="DL124" s="14">
        <v>2</v>
      </c>
      <c r="DM124" s="14">
        <v>3</v>
      </c>
      <c r="DN124" s="14">
        <f>IFERROR(AVERAGE(Tabel1[[#This Row],[In - A1a]:[In - A1b]]),"")</f>
        <v>2.5</v>
      </c>
      <c r="DO124" s="14">
        <v>4</v>
      </c>
      <c r="DP124" s="14">
        <v>3</v>
      </c>
      <c r="DQ124" s="14">
        <f>IFERROR(AVERAGE(Tabel1[[#This Row],[In - A2a]:[In - A2b]]),"")</f>
        <v>3.5</v>
      </c>
      <c r="DR124" s="14">
        <v>4</v>
      </c>
      <c r="DS124" s="14">
        <v>4</v>
      </c>
      <c r="DT124" s="14">
        <f>IFERROR(AVERAGE(Tabel1[[#This Row],[In - A3a]:[In - A3a]]),"")</f>
        <v>4</v>
      </c>
      <c r="DU124" s="14">
        <v>2</v>
      </c>
      <c r="DV124" s="14">
        <f>IFERROR(AVERAGE(Tabel1[[#This Row],[In - A1]],Tabel1[[#This Row],[In - A2]],Tabel1[[#This Row],[In - A3]],Tabel1[[#This Row],[In - A4]]),"")</f>
        <v>3</v>
      </c>
      <c r="DW124" s="14">
        <v>3</v>
      </c>
      <c r="DX124" s="14">
        <v>4</v>
      </c>
      <c r="DY124" s="14">
        <v>2</v>
      </c>
      <c r="DZ124" s="14">
        <f>IFERROR(AVERAGE(Tabel1[[#This Row],[Do - R1a]:[Do - R1c]]),"")</f>
        <v>3</v>
      </c>
      <c r="EA124" s="14">
        <v>1</v>
      </c>
      <c r="EB124" s="14">
        <v>3</v>
      </c>
      <c r="EC124" s="14">
        <v>2</v>
      </c>
      <c r="ED124" s="14">
        <v>3</v>
      </c>
      <c r="EE124" s="14">
        <f>IFERROR(AVERAGE(Tabel1[[#This Row],[Do - R1]:[Do - R5]]),"")</f>
        <v>2.4</v>
      </c>
      <c r="EF124" s="14">
        <v>3</v>
      </c>
      <c r="EG124" s="14">
        <v>3</v>
      </c>
      <c r="EH124" s="14">
        <v>4</v>
      </c>
      <c r="EI124" s="14">
        <f>IFERROR(AVERAGE(Tabel1[[#This Row],[Do - C1a]:[Do - C1c]]),"")</f>
        <v>3.3333333333333335</v>
      </c>
      <c r="EJ124" s="14">
        <v>3</v>
      </c>
      <c r="EK124" s="14">
        <v>2</v>
      </c>
      <c r="EL124" s="14">
        <v>3</v>
      </c>
      <c r="EM124" s="14">
        <f>IFERROR(AVERAGE(Tabel1[[#This Row],[Do - C1]:[Do - C4]]),"")</f>
        <v>2.8333333333333335</v>
      </c>
      <c r="EN124" s="14">
        <v>2</v>
      </c>
      <c r="EO124" s="14">
        <v>1</v>
      </c>
      <c r="EP124" s="14">
        <v>2</v>
      </c>
      <c r="EQ124" s="14">
        <f>IFERROR(AVERAGE(Tabel1[[#This Row],[Do - F1a]:[Do - F1c]]),"")</f>
        <v>1.6666666666666667</v>
      </c>
      <c r="ER124" s="14">
        <v>2</v>
      </c>
      <c r="ES124" s="14">
        <f>IFERROR(AVERAGE(Tabel1[[#This Row],[Do - F2a]:[Do - F2a]]),"")</f>
        <v>2</v>
      </c>
      <c r="ET124" s="14">
        <v>3</v>
      </c>
      <c r="EU124" s="14">
        <v>2</v>
      </c>
      <c r="EV124" s="14">
        <f>IFERROR(AVERAGE(Tabel1[[#This Row],[Do - F3a]:[Do - F3b]]),"")</f>
        <v>2.5</v>
      </c>
      <c r="EW124" s="14">
        <v>3</v>
      </c>
      <c r="EX124" s="14">
        <f>IFERROR(AVERAGE(Tabel1[[#This Row],[Do - F1]],Tabel1[[#This Row],[Do - F2]],Tabel1[[#This Row],[Do - F3]],Tabel1[[#This Row],[Do - F4]]),"")</f>
        <v>2.291666666666667</v>
      </c>
      <c r="EY124" s="14">
        <v>3</v>
      </c>
      <c r="EZ124" s="14">
        <v>2</v>
      </c>
      <c r="FA124" s="14">
        <v>3</v>
      </c>
      <c r="FB124" s="14">
        <f>IFERROR(AVERAGE(Tabel1[[#This Row],[Do - V1a]:[Do - V1c]]),"")</f>
        <v>2.6666666666666665</v>
      </c>
      <c r="FC124" s="14">
        <v>3</v>
      </c>
      <c r="FD124" s="14">
        <v>2</v>
      </c>
      <c r="FE124" s="14">
        <f>IFERROR(AVERAGE(Tabel1[[#This Row],[Do - V2a]:[Do - V2b]]),"")</f>
        <v>2.5</v>
      </c>
      <c r="FF124" s="14">
        <v>1</v>
      </c>
      <c r="FG124" s="14">
        <f>IFERROR(AVERAGE(Tabel1[[#This Row],[Do - V3a]:[Do - V3a]]),"")</f>
        <v>1</v>
      </c>
      <c r="FH124" s="14">
        <v>2</v>
      </c>
      <c r="FI124" s="14">
        <f>IFERROR(AVERAGE(Tabel1[[#This Row],[Do - V1]],Tabel1[[#This Row],[Do - V2]],Tabel1[[#This Row],[Do - V3]],Tabel1[[#This Row],[Do - V4]]),"")</f>
        <v>2.0416666666666665</v>
      </c>
      <c r="FJ124" s="14">
        <v>4</v>
      </c>
      <c r="FK124" s="14">
        <v>1</v>
      </c>
      <c r="FL124" s="14">
        <v>4</v>
      </c>
      <c r="FM124" s="14">
        <f>IFERROR(AVERAGE(Tabel1[[#This Row],[Do - A1a]:[Do - A1c]]),"")</f>
        <v>3</v>
      </c>
      <c r="FN124" s="14">
        <v>4</v>
      </c>
      <c r="FO124" s="14">
        <v>4</v>
      </c>
      <c r="FP124" s="14">
        <f>IFERROR(AVERAGE(Tabel1[[#This Row],[Do - A2a]:[Do - A2b]]),"")</f>
        <v>4</v>
      </c>
      <c r="FQ124" s="14">
        <v>4</v>
      </c>
      <c r="FR124" s="14">
        <f>IFERROR(AVERAGE(Tabel1[[#This Row],[Do - A3a]:[Do - A3a]]),"")</f>
        <v>4</v>
      </c>
      <c r="FS124" s="14">
        <v>3</v>
      </c>
      <c r="FT124" s="14">
        <f>IFERROR(AVERAGE(Tabel1[[#This Row],[Do - A1]],Tabel1[[#This Row],[Do - A2]],Tabel1[[#This Row],[Do - A3]],Tabel1[[#This Row],[Do - A4]]),"")</f>
        <v>3.5</v>
      </c>
      <c r="FU12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2.7288888888888887</v>
      </c>
      <c r="FV124" s="16" t="s">
        <v>791</v>
      </c>
      <c r="FW124" t="b">
        <v>1</v>
      </c>
    </row>
    <row r="125" spans="1:179" x14ac:dyDescent="0.3">
      <c r="A125" s="13">
        <v>44992.455613425926</v>
      </c>
      <c r="B125" t="b">
        <v>0</v>
      </c>
      <c r="C125" s="14" t="s">
        <v>792</v>
      </c>
      <c r="D125" s="14" t="s">
        <v>793</v>
      </c>
      <c r="E125" s="14" t="s">
        <v>492</v>
      </c>
      <c r="F125" s="14" t="s">
        <v>184</v>
      </c>
      <c r="G125" s="14" t="s">
        <v>794</v>
      </c>
      <c r="H125" s="14" t="s">
        <v>222</v>
      </c>
      <c r="I125" s="14" t="s">
        <v>195</v>
      </c>
      <c r="J125" s="14" t="s">
        <v>196</v>
      </c>
      <c r="K125" s="14" t="s">
        <v>235</v>
      </c>
      <c r="L125" s="14" t="s">
        <v>218</v>
      </c>
      <c r="M125" s="14" t="s">
        <v>233</v>
      </c>
      <c r="N125" s="14" t="s">
        <v>199</v>
      </c>
      <c r="O125" s="14" t="s">
        <v>200</v>
      </c>
      <c r="P125" s="17" t="s">
        <v>304</v>
      </c>
      <c r="Q125" s="14" t="s">
        <v>235</v>
      </c>
      <c r="R125" s="14" t="s">
        <v>235</v>
      </c>
      <c r="S125" s="14" t="s">
        <v>235</v>
      </c>
      <c r="T125" s="14" t="s">
        <v>236</v>
      </c>
      <c r="U125" s="14" t="s">
        <v>285</v>
      </c>
      <c r="V125" s="14" t="s">
        <v>359</v>
      </c>
      <c r="W125" s="14" t="s">
        <v>395</v>
      </c>
      <c r="X125" s="14" t="s">
        <v>207</v>
      </c>
      <c r="Y125" s="14" t="s">
        <v>189</v>
      </c>
      <c r="Z125" s="14">
        <v>3</v>
      </c>
      <c r="AA125" s="14" t="s">
        <v>189</v>
      </c>
      <c r="AB125" s="15">
        <f>IFERROR(AVERAGE(Tabel1[[#This Row],[Up - R1a]:[Up - R1c]]),"")</f>
        <v>3</v>
      </c>
      <c r="AC125" s="14" t="s">
        <v>189</v>
      </c>
      <c r="AD125" s="14">
        <v>3</v>
      </c>
      <c r="AE125" s="14">
        <v>1</v>
      </c>
      <c r="AF125" s="14">
        <v>4</v>
      </c>
      <c r="AG125" s="14">
        <f>IFERROR(AVERAGE(Tabel1[[#This Row],[Up - R1]:[Up - R5]]),"")</f>
        <v>2.75</v>
      </c>
      <c r="AH125" s="14">
        <v>4</v>
      </c>
      <c r="AI125" s="14">
        <v>3</v>
      </c>
      <c r="AJ125" s="14">
        <v>2</v>
      </c>
      <c r="AK125" s="14">
        <f>IFERROR(AVERAGE(Tabel1[[#This Row],[Up - C1a]:[Up - C1c]]),"")</f>
        <v>3</v>
      </c>
      <c r="AL125" s="14">
        <v>2</v>
      </c>
      <c r="AM125" s="14">
        <v>2</v>
      </c>
      <c r="AN125" s="14">
        <v>2</v>
      </c>
      <c r="AO125" s="14">
        <f>IFERROR(AVERAGE(Tabel1[[#This Row],[Up - C1]:[Up - C4]]),"")</f>
        <v>2.25</v>
      </c>
      <c r="AP125" s="14">
        <v>2</v>
      </c>
      <c r="AQ125" s="14">
        <f>IFERROR(AVERAGE(Tabel1[[#This Row],[Up - F1a]:[Up - F1a]]),"")</f>
        <v>2</v>
      </c>
      <c r="AR125" s="14" t="s">
        <v>189</v>
      </c>
      <c r="AS125" s="14" t="s">
        <v>189</v>
      </c>
      <c r="AT125" s="14" t="str">
        <f>IFERROR(AVERAGE(Tabel1[[#This Row],[Up - F2a]:[Up - F2b]]),"")</f>
        <v/>
      </c>
      <c r="AU125" s="14">
        <v>3</v>
      </c>
      <c r="AV125" s="14" t="s">
        <v>189</v>
      </c>
      <c r="AW125" s="14">
        <f>IFERROR(AVERAGE(Tabel1[[#This Row],[Up - F3a]:[Up - F3b]]),"")</f>
        <v>3</v>
      </c>
      <c r="AX125" s="14">
        <v>2</v>
      </c>
      <c r="AY125" s="14">
        <f>IFERROR(AVERAGE(Tabel1[[#This Row],[Up - F1]],Tabel1[[#This Row],[Up - F2]],Tabel1[[#This Row],[Up - F3]],Tabel1[[#This Row],[Up - F4]]),"")</f>
        <v>2.3333333333333335</v>
      </c>
      <c r="AZ125" s="14" t="s">
        <v>189</v>
      </c>
      <c r="BA125" s="14">
        <v>4</v>
      </c>
      <c r="BB125" s="14">
        <f>IFERROR(AVERAGE(Tabel1[[#This Row],[Up - V1a]:[Up - V1b]]),"")</f>
        <v>4</v>
      </c>
      <c r="BC125" s="14">
        <v>2</v>
      </c>
      <c r="BD125" s="14">
        <v>2</v>
      </c>
      <c r="BE125" s="14">
        <v>3</v>
      </c>
      <c r="BF125" s="14">
        <f>IFERROR(AVERAGE(Tabel1[[#This Row],[Up - V2a]:[Up - V2c]]),"")</f>
        <v>2.3333333333333335</v>
      </c>
      <c r="BG125" s="14" t="s">
        <v>189</v>
      </c>
      <c r="BH125" s="14">
        <v>1</v>
      </c>
      <c r="BI125" s="14">
        <f>IFERROR(AVERAGE(Tabel1[[#This Row],[Up - V3a]:[Up - V3b]]),"")</f>
        <v>1</v>
      </c>
      <c r="BJ125" s="14">
        <v>2</v>
      </c>
      <c r="BK125" s="14">
        <f>IFERROR(AVERAGE(Tabel1[[#This Row],[Up - V1]],Tabel1[[#This Row],[Up - V2]],Tabel1[[#This Row],[Up - V3]],Tabel1[[#This Row],[Up - V4]]),"")</f>
        <v>2.3333333333333335</v>
      </c>
      <c r="BL125" s="14" t="s">
        <v>189</v>
      </c>
      <c r="BM125" s="14">
        <v>2</v>
      </c>
      <c r="BN125" s="14">
        <v>2</v>
      </c>
      <c r="BO125" s="14">
        <v>2</v>
      </c>
      <c r="BP125" s="14">
        <f>IFERROR(AVERAGE(Tabel1[[#This Row],[Up - A1a]:[Up - A1d]]),"")</f>
        <v>2</v>
      </c>
      <c r="BQ125" s="14">
        <v>3</v>
      </c>
      <c r="BR125" s="14">
        <v>3</v>
      </c>
      <c r="BS125" s="14">
        <f>IFERROR(AVERAGE(Tabel1[[#This Row],[Up - A2a]:[Up - A2b]]),"")</f>
        <v>3</v>
      </c>
      <c r="BT125" s="14">
        <v>3</v>
      </c>
      <c r="BU125" s="14">
        <f>IFERROR(AVERAGE(Tabel1[[#This Row],[Up - A3a]:[Up - A3a]]),"")</f>
        <v>3</v>
      </c>
      <c r="BV125" s="14">
        <v>2</v>
      </c>
      <c r="BW125" s="14">
        <f>IFERROR(AVERAGE(Tabel1[[#This Row],[Up - A1]],Tabel1[[#This Row],[Up - A2]],Tabel1[[#This Row],[Up - A3]]),"")</f>
        <v>2.6666666666666665</v>
      </c>
      <c r="BX125" s="14" t="s">
        <v>189</v>
      </c>
      <c r="BY125" s="14" t="s">
        <v>189</v>
      </c>
      <c r="BZ125" s="14" t="str">
        <f>IFERROR(AVERAGE(Tabel1[[#This Row],[In - R1a]:[In - R1b]]),"")</f>
        <v/>
      </c>
      <c r="CA125" s="14" t="s">
        <v>189</v>
      </c>
      <c r="CB125" s="14">
        <v>4</v>
      </c>
      <c r="CC125" s="14">
        <v>1</v>
      </c>
      <c r="CD125" s="14">
        <v>4</v>
      </c>
      <c r="CE125" s="14">
        <f>IFERROR(AVERAGE(Tabel1[[#This Row],[In - R1]:[In - R5]]),"")</f>
        <v>3</v>
      </c>
      <c r="CF125" s="14">
        <v>4</v>
      </c>
      <c r="CG125" s="14">
        <v>3</v>
      </c>
      <c r="CH125" s="14">
        <v>3</v>
      </c>
      <c r="CI125" s="14">
        <f>IFERROR(AVERAGE(Tabel1[[#This Row],[In - C1a]:[In - C1c]]),"")</f>
        <v>3.3333333333333335</v>
      </c>
      <c r="CJ125" s="14">
        <v>3</v>
      </c>
      <c r="CK125" s="14">
        <v>2</v>
      </c>
      <c r="CL125" s="14">
        <v>4</v>
      </c>
      <c r="CM125" s="14">
        <f>IFERROR(AVERAGE(Tabel1[[#This Row],[In - C1]:[In - C4]]),"")</f>
        <v>3.0833333333333335</v>
      </c>
      <c r="CN125" s="14" t="s">
        <v>189</v>
      </c>
      <c r="CO125" s="14" t="s">
        <v>189</v>
      </c>
      <c r="CP125" s="14" t="s">
        <v>189</v>
      </c>
      <c r="CQ125" s="14" t="str">
        <f>IFERROR(AVERAGE(Tabel1[[#This Row],[In - F1a]:[In - F1c]]),"")</f>
        <v/>
      </c>
      <c r="CR125" s="14" t="s">
        <v>189</v>
      </c>
      <c r="CS125" s="14" t="s">
        <v>189</v>
      </c>
      <c r="CT125" s="14" t="str">
        <f>IFERROR(AVERAGE(Tabel1[[#This Row],[In - F2a]:[In - F2b]]),"")</f>
        <v/>
      </c>
      <c r="CU125" s="14" t="s">
        <v>189</v>
      </c>
      <c r="CV125" s="14" t="str">
        <f>IFERROR(AVERAGE(Tabel1[[#This Row],[In - F3a]:[In - F3a]]),"")</f>
        <v/>
      </c>
      <c r="CW125" s="14" t="s">
        <v>189</v>
      </c>
      <c r="CX125" s="14" t="str">
        <f>IFERROR(AVERAGE(Tabel1[[#This Row],[In - F1]],Tabel1[[#This Row],[In - F2]],Tabel1[[#This Row],[In - F3]],Tabel1[[#This Row],[In - F4]]),"")</f>
        <v/>
      </c>
      <c r="CY125" s="14">
        <v>3</v>
      </c>
      <c r="CZ125" s="14">
        <v>3</v>
      </c>
      <c r="DA125" s="14">
        <v>1</v>
      </c>
      <c r="DB125" s="14">
        <f>IFERROR(AVERAGE(Tabel1[[#This Row],[In - V1a]:[In - V1c]]),"")</f>
        <v>2.3333333333333335</v>
      </c>
      <c r="DC125" s="14">
        <v>1</v>
      </c>
      <c r="DD125" s="14" t="s">
        <v>189</v>
      </c>
      <c r="DE125" s="14">
        <v>3</v>
      </c>
      <c r="DF125" s="14">
        <f>IFERROR(AVERAGE(Tabel1[[#This Row],[In - V2a]:[In - V2c]]),"")</f>
        <v>2</v>
      </c>
      <c r="DG125" s="14">
        <v>2</v>
      </c>
      <c r="DH125" s="14">
        <v>1</v>
      </c>
      <c r="DI125" s="14">
        <f>IFERROR(AVERAGE(Tabel1[[#This Row],[In - V3a]:[In - V3b]]),"")</f>
        <v>1.5</v>
      </c>
      <c r="DJ125" s="14">
        <v>1</v>
      </c>
      <c r="DK125" s="14">
        <f>IFERROR(AVERAGE(Tabel1[[#This Row],[In - V1]],Tabel1[[#This Row],[In - V2]],Tabel1[[#This Row],[In - V3]],Tabel1[[#This Row],[In - V4]]),"")</f>
        <v>1.7083333333333335</v>
      </c>
      <c r="DL125" s="14">
        <v>2</v>
      </c>
      <c r="DM125" s="14" t="s">
        <v>189</v>
      </c>
      <c r="DN125" s="14">
        <f>IFERROR(AVERAGE(Tabel1[[#This Row],[In - A1a]:[In - A1b]]),"")</f>
        <v>2</v>
      </c>
      <c r="DO125" s="14" t="s">
        <v>189</v>
      </c>
      <c r="DP125" s="14">
        <v>2</v>
      </c>
      <c r="DQ125" s="14">
        <f>IFERROR(AVERAGE(Tabel1[[#This Row],[In - A2a]:[In - A2b]]),"")</f>
        <v>2</v>
      </c>
      <c r="DR125" s="14">
        <v>4</v>
      </c>
      <c r="DS125" s="14">
        <v>2</v>
      </c>
      <c r="DT125" s="14">
        <f>IFERROR(AVERAGE(Tabel1[[#This Row],[In - A3a]:[In - A3a]]),"")</f>
        <v>4</v>
      </c>
      <c r="DU125" s="14" t="s">
        <v>189</v>
      </c>
      <c r="DV125" s="14">
        <f>IFERROR(AVERAGE(Tabel1[[#This Row],[In - A1]],Tabel1[[#This Row],[In - A2]],Tabel1[[#This Row],[In - A3]],Tabel1[[#This Row],[In - A4]]),"")</f>
        <v>2.6666666666666665</v>
      </c>
      <c r="DW125" s="14" t="s">
        <v>189</v>
      </c>
      <c r="DX125" s="14">
        <v>5</v>
      </c>
      <c r="DY125" s="14" t="s">
        <v>189</v>
      </c>
      <c r="DZ125" s="14">
        <f>IFERROR(AVERAGE(Tabel1[[#This Row],[Do - R1a]:[Do - R1c]]),"")</f>
        <v>5</v>
      </c>
      <c r="EA125" s="14" t="s">
        <v>189</v>
      </c>
      <c r="EB125" s="14">
        <v>3</v>
      </c>
      <c r="EC125" s="14">
        <v>2</v>
      </c>
      <c r="ED125" s="14">
        <v>4</v>
      </c>
      <c r="EE125" s="14">
        <f>IFERROR(AVERAGE(Tabel1[[#This Row],[Do - R1]:[Do - R5]]),"")</f>
        <v>3.5</v>
      </c>
      <c r="EF125" s="14">
        <v>4</v>
      </c>
      <c r="EG125" s="14">
        <v>3</v>
      </c>
      <c r="EH125" s="14">
        <v>2</v>
      </c>
      <c r="EI125" s="14">
        <f>IFERROR(AVERAGE(Tabel1[[#This Row],[Do - C1a]:[Do - C1c]]),"")</f>
        <v>3</v>
      </c>
      <c r="EJ125" s="14">
        <v>2</v>
      </c>
      <c r="EK125" s="14">
        <v>2</v>
      </c>
      <c r="EL125" s="14">
        <v>1</v>
      </c>
      <c r="EM125" s="14">
        <f>IFERROR(AVERAGE(Tabel1[[#This Row],[Do - C1]:[Do - C4]]),"")</f>
        <v>2</v>
      </c>
      <c r="EN125" s="14">
        <v>1</v>
      </c>
      <c r="EO125" s="14" t="s">
        <v>189</v>
      </c>
      <c r="EP125" s="14" t="s">
        <v>189</v>
      </c>
      <c r="EQ125" s="14">
        <f>IFERROR(AVERAGE(Tabel1[[#This Row],[Do - F1a]:[Do - F1c]]),"")</f>
        <v>1</v>
      </c>
      <c r="ER125" s="14" t="s">
        <v>189</v>
      </c>
      <c r="ES125" s="14" t="str">
        <f>IFERROR(AVERAGE(Tabel1[[#This Row],[Do - F2a]:[Do - F2a]]),"")</f>
        <v/>
      </c>
      <c r="ET125" s="14">
        <v>3</v>
      </c>
      <c r="EU125" s="14" t="s">
        <v>189</v>
      </c>
      <c r="EV125" s="14">
        <f>IFERROR(AVERAGE(Tabel1[[#This Row],[Do - F3a]:[Do - F3b]]),"")</f>
        <v>3</v>
      </c>
      <c r="EW125" s="14">
        <v>1</v>
      </c>
      <c r="EX125" s="14">
        <f>IFERROR(AVERAGE(Tabel1[[#This Row],[Do - F1]],Tabel1[[#This Row],[Do - F2]],Tabel1[[#This Row],[Do - F3]],Tabel1[[#This Row],[Do - F4]]),"")</f>
        <v>1.6666666666666667</v>
      </c>
      <c r="EY125" s="14">
        <v>1</v>
      </c>
      <c r="EZ125" s="14" t="s">
        <v>189</v>
      </c>
      <c r="FA125" s="14">
        <v>1</v>
      </c>
      <c r="FB125" s="14">
        <f>IFERROR(AVERAGE(Tabel1[[#This Row],[Do - V1a]:[Do - V1c]]),"")</f>
        <v>1</v>
      </c>
      <c r="FC125" s="14" t="s">
        <v>189</v>
      </c>
      <c r="FD125" s="14">
        <v>1</v>
      </c>
      <c r="FE125" s="14">
        <f>IFERROR(AVERAGE(Tabel1[[#This Row],[Do - V2a]:[Do - V2b]]),"")</f>
        <v>1</v>
      </c>
      <c r="FF125" s="14" t="s">
        <v>189</v>
      </c>
      <c r="FG125" s="14" t="str">
        <f>IFERROR(AVERAGE(Tabel1[[#This Row],[Do - V3a]:[Do - V3a]]),"")</f>
        <v/>
      </c>
      <c r="FH125" s="14" t="s">
        <v>189</v>
      </c>
      <c r="FI125" s="14">
        <f>IFERROR(AVERAGE(Tabel1[[#This Row],[Do - V1]],Tabel1[[#This Row],[Do - V2]],Tabel1[[#This Row],[Do - V3]],Tabel1[[#This Row],[Do - V4]]),"")</f>
        <v>1</v>
      </c>
      <c r="FJ125" s="14" t="s">
        <v>189</v>
      </c>
      <c r="FK125" s="14" t="s">
        <v>189</v>
      </c>
      <c r="FL125" s="14" t="s">
        <v>189</v>
      </c>
      <c r="FM125" s="14" t="str">
        <f>IFERROR(AVERAGE(Tabel1[[#This Row],[Do - A1a]:[Do - A1c]]),"")</f>
        <v/>
      </c>
      <c r="FN125" s="14" t="s">
        <v>189</v>
      </c>
      <c r="FO125" s="14">
        <v>3</v>
      </c>
      <c r="FP125" s="14">
        <f>IFERROR(AVERAGE(Tabel1[[#This Row],[Do - A2a]:[Do - A2b]]),"")</f>
        <v>3</v>
      </c>
      <c r="FQ125" s="14">
        <v>2</v>
      </c>
      <c r="FR125" s="14">
        <f>IFERROR(AVERAGE(Tabel1[[#This Row],[Do - A3a]:[Do - A3a]]),"")</f>
        <v>2</v>
      </c>
      <c r="FS125" s="14" t="s">
        <v>189</v>
      </c>
      <c r="FT125" s="14">
        <f>IFERROR(AVERAGE(Tabel1[[#This Row],[Do - A1]],Tabel1[[#This Row],[Do - A2]],Tabel1[[#This Row],[Do - A3]],Tabel1[[#This Row],[Do - A4]]),"")</f>
        <v>2.5</v>
      </c>
      <c r="FU12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2.3898809523809526</v>
      </c>
      <c r="FV125" s="16" t="s">
        <v>795</v>
      </c>
      <c r="FW125" t="b">
        <v>1</v>
      </c>
    </row>
    <row r="126" spans="1:179" x14ac:dyDescent="0.3">
      <c r="A126" s="13">
        <v>44994.614120370374</v>
      </c>
      <c r="B126" t="b">
        <v>0</v>
      </c>
      <c r="C126" s="14" t="s">
        <v>796</v>
      </c>
      <c r="D126" s="14" t="s">
        <v>797</v>
      </c>
      <c r="E126" s="32" t="s">
        <v>798</v>
      </c>
      <c r="F126" s="14" t="s">
        <v>739</v>
      </c>
      <c r="G126" s="14" t="s">
        <v>799</v>
      </c>
      <c r="H126" s="14" t="s">
        <v>194</v>
      </c>
      <c r="I126" s="14" t="s">
        <v>195</v>
      </c>
      <c r="J126" s="14" t="s">
        <v>406</v>
      </c>
      <c r="K126" s="14" t="s">
        <v>235</v>
      </c>
      <c r="L126" s="14" t="s">
        <v>218</v>
      </c>
      <c r="M126" s="14" t="s">
        <v>198</v>
      </c>
      <c r="N126" s="14" t="s">
        <v>199</v>
      </c>
      <c r="O126" s="14" t="s">
        <v>256</v>
      </c>
      <c r="P126" s="14" t="s">
        <v>201</v>
      </c>
      <c r="Q126" s="14" t="s">
        <v>235</v>
      </c>
      <c r="R126" s="14" t="s">
        <v>235</v>
      </c>
      <c r="S126" s="14" t="s">
        <v>203</v>
      </c>
      <c r="T126" s="14" t="s">
        <v>204</v>
      </c>
      <c r="U126" s="14" t="s">
        <v>237</v>
      </c>
      <c r="V126" s="14" t="s">
        <v>206</v>
      </c>
      <c r="W126" s="14" t="s">
        <v>207</v>
      </c>
      <c r="X126" s="14" t="s">
        <v>207</v>
      </c>
      <c r="Y126" s="14">
        <v>4</v>
      </c>
      <c r="Z126" s="14">
        <v>3</v>
      </c>
      <c r="AA126" s="14">
        <v>3</v>
      </c>
      <c r="AB126" s="15">
        <f>IFERROR(AVERAGE(Tabel1[[#This Row],[Up - R1a]:[Up - R1c]]),"")</f>
        <v>3.3333333333333335</v>
      </c>
      <c r="AC126" s="14">
        <v>3</v>
      </c>
      <c r="AD126" s="14">
        <v>3</v>
      </c>
      <c r="AE126" s="14">
        <v>1</v>
      </c>
      <c r="AF126" s="14">
        <v>3</v>
      </c>
      <c r="AG126" s="14">
        <f>IFERROR(AVERAGE(Tabel1[[#This Row],[Up - R1]:[Up - R5]]),"")</f>
        <v>2.666666666666667</v>
      </c>
      <c r="AH126" s="14">
        <v>3</v>
      </c>
      <c r="AI126" s="14">
        <v>3</v>
      </c>
      <c r="AJ126" s="14">
        <v>4</v>
      </c>
      <c r="AK126" s="14">
        <f>IFERROR(AVERAGE(Tabel1[[#This Row],[Up - C1a]:[Up - C1c]]),"")</f>
        <v>3.3333333333333335</v>
      </c>
      <c r="AL126" s="14">
        <v>2</v>
      </c>
      <c r="AM126" s="14">
        <v>2</v>
      </c>
      <c r="AN126" s="14">
        <v>3</v>
      </c>
      <c r="AO126" s="14">
        <f>IFERROR(AVERAGE(Tabel1[[#This Row],[Up - C1]:[Up - C4]]),"")</f>
        <v>2.5833333333333335</v>
      </c>
      <c r="AP126" s="14">
        <v>3</v>
      </c>
      <c r="AQ126" s="14">
        <f>IFERROR(AVERAGE(Tabel1[[#This Row],[Up - F1a]:[Up - F1a]]),"")</f>
        <v>3</v>
      </c>
      <c r="AR126" s="14">
        <v>3</v>
      </c>
      <c r="AS126" s="14">
        <v>3</v>
      </c>
      <c r="AT126" s="14">
        <f>IFERROR(AVERAGE(Tabel1[[#This Row],[Up - F2a]:[Up - F2b]]),"")</f>
        <v>3</v>
      </c>
      <c r="AU126" s="14">
        <v>3</v>
      </c>
      <c r="AV126" s="14">
        <v>4</v>
      </c>
      <c r="AW126" s="14">
        <f>IFERROR(AVERAGE(Tabel1[[#This Row],[Up - F3a]:[Up - F3b]]),"")</f>
        <v>3.5</v>
      </c>
      <c r="AX126" s="14">
        <v>5</v>
      </c>
      <c r="AY126" s="14">
        <f>IFERROR(AVERAGE(Tabel1[[#This Row],[Up - F1]],Tabel1[[#This Row],[Up - F2]],Tabel1[[#This Row],[Up - F3]],Tabel1[[#This Row],[Up - F4]]),"")</f>
        <v>3.625</v>
      </c>
      <c r="AZ126" s="14">
        <v>2</v>
      </c>
      <c r="BA126" s="14">
        <v>4</v>
      </c>
      <c r="BB126" s="14">
        <f>IFERROR(AVERAGE(Tabel1[[#This Row],[Up - V1a]:[Up - V1b]]),"")</f>
        <v>3</v>
      </c>
      <c r="BC126" s="14">
        <v>3</v>
      </c>
      <c r="BD126" s="14">
        <v>4</v>
      </c>
      <c r="BE126" s="14">
        <v>4</v>
      </c>
      <c r="BF126" s="14">
        <f>IFERROR(AVERAGE(Tabel1[[#This Row],[Up - V2a]:[Up - V2c]]),"")</f>
        <v>3.6666666666666665</v>
      </c>
      <c r="BG126" s="14">
        <v>3</v>
      </c>
      <c r="BH126" s="14">
        <v>2</v>
      </c>
      <c r="BI126" s="14">
        <f>IFERROR(AVERAGE(Tabel1[[#This Row],[Up - V3a]:[Up - V3b]]),"")</f>
        <v>2.5</v>
      </c>
      <c r="BJ126" s="14">
        <v>2</v>
      </c>
      <c r="BK126" s="14">
        <f>IFERROR(AVERAGE(Tabel1[[#This Row],[Up - V1]],Tabel1[[#This Row],[Up - V2]],Tabel1[[#This Row],[Up - V3]],Tabel1[[#This Row],[Up - V4]]),"")</f>
        <v>2.7916666666666665</v>
      </c>
      <c r="BL126" s="14">
        <v>3</v>
      </c>
      <c r="BM126" s="14">
        <v>4</v>
      </c>
      <c r="BN126" s="14">
        <v>3</v>
      </c>
      <c r="BO126" s="14">
        <v>4</v>
      </c>
      <c r="BP126" s="14">
        <f>IFERROR(AVERAGE(Tabel1[[#This Row],[Up - A1a]:[Up - A1d]]),"")</f>
        <v>3.5</v>
      </c>
      <c r="BQ126" s="14">
        <v>4</v>
      </c>
      <c r="BR126" s="14">
        <v>4</v>
      </c>
      <c r="BS126" s="14">
        <f>IFERROR(AVERAGE(Tabel1[[#This Row],[Up - A2a]:[Up - A2b]]),"")</f>
        <v>4</v>
      </c>
      <c r="BT126" s="14">
        <v>4</v>
      </c>
      <c r="BU126" s="14">
        <f>IFERROR(AVERAGE(Tabel1[[#This Row],[Up - A3a]:[Up - A3a]]),"")</f>
        <v>4</v>
      </c>
      <c r="BV126" s="14">
        <v>3</v>
      </c>
      <c r="BW126" s="14">
        <f>IFERROR(AVERAGE(Tabel1[[#This Row],[Up - A1]],Tabel1[[#This Row],[Up - A2]],Tabel1[[#This Row],[Up - A3]]),"")</f>
        <v>3.8333333333333335</v>
      </c>
      <c r="BX126" s="14">
        <v>3</v>
      </c>
      <c r="BY126" s="14">
        <v>3</v>
      </c>
      <c r="BZ126" s="14">
        <f>IFERROR(AVERAGE(Tabel1[[#This Row],[In - R1a]:[In - R1b]]),"")</f>
        <v>3</v>
      </c>
      <c r="CA126" s="14">
        <v>4</v>
      </c>
      <c r="CB126" s="14">
        <v>4</v>
      </c>
      <c r="CC126" s="14">
        <v>1</v>
      </c>
      <c r="CD126" s="14">
        <v>5</v>
      </c>
      <c r="CE126" s="14">
        <f>IFERROR(AVERAGE(Tabel1[[#This Row],[In - R1]:[In - R5]]),"")</f>
        <v>3.4</v>
      </c>
      <c r="CF126" s="14">
        <v>4</v>
      </c>
      <c r="CG126" s="14">
        <v>3</v>
      </c>
      <c r="CH126" s="14">
        <v>5</v>
      </c>
      <c r="CI126" s="14">
        <f>IFERROR(AVERAGE(Tabel1[[#This Row],[In - C1a]:[In - C1c]]),"")</f>
        <v>4</v>
      </c>
      <c r="CJ126" s="14">
        <v>5</v>
      </c>
      <c r="CK126" s="14">
        <v>5</v>
      </c>
      <c r="CL126" s="14">
        <v>4</v>
      </c>
      <c r="CM126" s="14">
        <f>IFERROR(AVERAGE(Tabel1[[#This Row],[In - C1]:[In - C4]]),"")</f>
        <v>4.5</v>
      </c>
      <c r="CN126" s="14">
        <v>3</v>
      </c>
      <c r="CO126" s="14">
        <v>3</v>
      </c>
      <c r="CP126" s="14">
        <v>1</v>
      </c>
      <c r="CQ126" s="14">
        <f>IFERROR(AVERAGE(Tabel1[[#This Row],[In - F1a]:[In - F1c]]),"")</f>
        <v>2.3333333333333335</v>
      </c>
      <c r="CR126" s="14">
        <v>4</v>
      </c>
      <c r="CS126" s="14">
        <v>2</v>
      </c>
      <c r="CT126" s="14">
        <f>IFERROR(AVERAGE(Tabel1[[#This Row],[In - F2a]:[In - F2b]]),"")</f>
        <v>3</v>
      </c>
      <c r="CU126" s="14">
        <v>2</v>
      </c>
      <c r="CV126" s="14">
        <f>IFERROR(AVERAGE(Tabel1[[#This Row],[In - F3a]:[In - F3a]]),"")</f>
        <v>2</v>
      </c>
      <c r="CW126" s="14">
        <v>4</v>
      </c>
      <c r="CX126" s="14">
        <f>IFERROR(AVERAGE(Tabel1[[#This Row],[In - F1]],Tabel1[[#This Row],[In - F2]],Tabel1[[#This Row],[In - F3]],Tabel1[[#This Row],[In - F4]]),"")</f>
        <v>2.8333333333333335</v>
      </c>
      <c r="CY126" s="14">
        <v>4</v>
      </c>
      <c r="CZ126" s="14">
        <v>5</v>
      </c>
      <c r="DA126" s="14">
        <v>5</v>
      </c>
      <c r="DB126" s="14">
        <f>IFERROR(AVERAGE(Tabel1[[#This Row],[In - V1a]:[In - V1c]]),"")</f>
        <v>4.666666666666667</v>
      </c>
      <c r="DC126" s="14">
        <v>4</v>
      </c>
      <c r="DD126" s="14">
        <v>4</v>
      </c>
      <c r="DE126" s="14">
        <v>4</v>
      </c>
      <c r="DF126" s="14">
        <f>IFERROR(AVERAGE(Tabel1[[#This Row],[In - V2a]:[In - V2c]]),"")</f>
        <v>4</v>
      </c>
      <c r="DG126" s="14">
        <v>3</v>
      </c>
      <c r="DH126" s="14">
        <v>3</v>
      </c>
      <c r="DI126" s="14">
        <f>IFERROR(AVERAGE(Tabel1[[#This Row],[In - V3a]:[In - V3b]]),"")</f>
        <v>3</v>
      </c>
      <c r="DJ126" s="14">
        <v>4</v>
      </c>
      <c r="DK126" s="14">
        <f>IFERROR(AVERAGE(Tabel1[[#This Row],[In - V1]],Tabel1[[#This Row],[In - V2]],Tabel1[[#This Row],[In - V3]],Tabel1[[#This Row],[In - V4]]),"")</f>
        <v>3.916666666666667</v>
      </c>
      <c r="DL126" s="14">
        <v>3</v>
      </c>
      <c r="DM126" s="14">
        <v>4</v>
      </c>
      <c r="DN126" s="14">
        <f>IFERROR(AVERAGE(Tabel1[[#This Row],[In - A1a]:[In - A1b]]),"")</f>
        <v>3.5</v>
      </c>
      <c r="DO126" s="14">
        <v>4</v>
      </c>
      <c r="DP126" s="14">
        <v>3</v>
      </c>
      <c r="DQ126" s="14">
        <f>IFERROR(AVERAGE(Tabel1[[#This Row],[In - A2a]:[In - A2b]]),"")</f>
        <v>3.5</v>
      </c>
      <c r="DR126" s="14">
        <v>5</v>
      </c>
      <c r="DS126" s="14">
        <v>4</v>
      </c>
      <c r="DT126" s="14">
        <f>IFERROR(AVERAGE(Tabel1[[#This Row],[In - A3a]:[In - A3a]]),"")</f>
        <v>5</v>
      </c>
      <c r="DU126" s="14">
        <v>3</v>
      </c>
      <c r="DV126" s="14">
        <f>IFERROR(AVERAGE(Tabel1[[#This Row],[In - A1]],Tabel1[[#This Row],[In - A2]],Tabel1[[#This Row],[In - A3]],Tabel1[[#This Row],[In - A4]]),"")</f>
        <v>3.75</v>
      </c>
      <c r="DW126" s="14">
        <v>4</v>
      </c>
      <c r="DX126" s="14">
        <v>3</v>
      </c>
      <c r="DY126" s="14">
        <v>4</v>
      </c>
      <c r="DZ126" s="14">
        <f>IFERROR(AVERAGE(Tabel1[[#This Row],[Do - R1a]:[Do - R1c]]),"")</f>
        <v>3.6666666666666665</v>
      </c>
      <c r="EA126" s="14">
        <v>2</v>
      </c>
      <c r="EB126" s="14">
        <v>4</v>
      </c>
      <c r="EC126" s="14">
        <v>1</v>
      </c>
      <c r="ED126" s="14">
        <v>3</v>
      </c>
      <c r="EE126" s="14">
        <f>IFERROR(AVERAGE(Tabel1[[#This Row],[Do - R1]:[Do - R5]]),"")</f>
        <v>2.7333333333333334</v>
      </c>
      <c r="EF126" s="14">
        <v>3</v>
      </c>
      <c r="EG126" s="14">
        <v>3</v>
      </c>
      <c r="EH126" s="14">
        <v>4</v>
      </c>
      <c r="EI126" s="14">
        <f>IFERROR(AVERAGE(Tabel1[[#This Row],[Do - C1a]:[Do - C1c]]),"")</f>
        <v>3.3333333333333335</v>
      </c>
      <c r="EJ126" s="14">
        <v>5</v>
      </c>
      <c r="EK126" s="14">
        <v>3</v>
      </c>
      <c r="EL126" s="14">
        <v>4</v>
      </c>
      <c r="EM126" s="14">
        <f>IFERROR(AVERAGE(Tabel1[[#This Row],[Do - C1]:[Do - C4]]),"")</f>
        <v>3.8333333333333335</v>
      </c>
      <c r="EN126" s="14">
        <v>3</v>
      </c>
      <c r="EO126" s="14">
        <v>3</v>
      </c>
      <c r="EP126" s="14">
        <v>5</v>
      </c>
      <c r="EQ126" s="14">
        <f>IFERROR(AVERAGE(Tabel1[[#This Row],[Do - F1a]:[Do - F1c]]),"")</f>
        <v>3.6666666666666665</v>
      </c>
      <c r="ER126" s="14">
        <v>3</v>
      </c>
      <c r="ES126" s="14">
        <f>IFERROR(AVERAGE(Tabel1[[#This Row],[Do - F2a]:[Do - F2a]]),"")</f>
        <v>3</v>
      </c>
      <c r="ET126" s="14">
        <v>2</v>
      </c>
      <c r="EU126" s="14">
        <v>3</v>
      </c>
      <c r="EV126" s="14">
        <f>IFERROR(AVERAGE(Tabel1[[#This Row],[Do - F3a]:[Do - F3b]]),"")</f>
        <v>2.5</v>
      </c>
      <c r="EW126" s="14">
        <v>5</v>
      </c>
      <c r="EX126" s="14">
        <f>IFERROR(AVERAGE(Tabel1[[#This Row],[Do - F1]],Tabel1[[#This Row],[Do - F2]],Tabel1[[#This Row],[Do - F3]],Tabel1[[#This Row],[Do - F4]]),"")</f>
        <v>3.5416666666666665</v>
      </c>
      <c r="EY126" s="14">
        <v>4</v>
      </c>
      <c r="EZ126" s="14">
        <v>4</v>
      </c>
      <c r="FA126" s="14">
        <v>5</v>
      </c>
      <c r="FB126" s="14">
        <f>IFERROR(AVERAGE(Tabel1[[#This Row],[Do - V1a]:[Do - V1c]]),"")</f>
        <v>4.333333333333333</v>
      </c>
      <c r="FC126" s="14">
        <v>4</v>
      </c>
      <c r="FD126" s="14">
        <v>4</v>
      </c>
      <c r="FE126" s="14">
        <f>IFERROR(AVERAGE(Tabel1[[#This Row],[Do - V2a]:[Do - V2b]]),"")</f>
        <v>4</v>
      </c>
      <c r="FF126" s="14">
        <v>3</v>
      </c>
      <c r="FG126" s="14">
        <f>IFERROR(AVERAGE(Tabel1[[#This Row],[Do - V3a]:[Do - V3a]]),"")</f>
        <v>3</v>
      </c>
      <c r="FH126" s="14">
        <v>4</v>
      </c>
      <c r="FI126" s="14">
        <f>IFERROR(AVERAGE(Tabel1[[#This Row],[Do - V1]],Tabel1[[#This Row],[Do - V2]],Tabel1[[#This Row],[Do - V3]],Tabel1[[#This Row],[Do - V4]]),"")</f>
        <v>3.833333333333333</v>
      </c>
      <c r="FJ126" s="14">
        <v>4</v>
      </c>
      <c r="FK126" s="14">
        <v>3</v>
      </c>
      <c r="FL126" s="14">
        <v>3</v>
      </c>
      <c r="FM126" s="14">
        <f>IFERROR(AVERAGE(Tabel1[[#This Row],[Do - A1a]:[Do - A1c]]),"")</f>
        <v>3.3333333333333335</v>
      </c>
      <c r="FN126" s="14">
        <v>4</v>
      </c>
      <c r="FO126" s="14">
        <v>4</v>
      </c>
      <c r="FP126" s="14">
        <f>IFERROR(AVERAGE(Tabel1[[#This Row],[Do - A2a]:[Do - A2b]]),"")</f>
        <v>4</v>
      </c>
      <c r="FQ126" s="14">
        <v>5</v>
      </c>
      <c r="FR126" s="14">
        <f>IFERROR(AVERAGE(Tabel1[[#This Row],[Do - A3a]:[Do - A3a]]),"")</f>
        <v>5</v>
      </c>
      <c r="FS126" s="14">
        <v>3</v>
      </c>
      <c r="FT126" s="14">
        <f>IFERROR(AVERAGE(Tabel1[[#This Row],[Do - A1]],Tabel1[[#This Row],[Do - A2]],Tabel1[[#This Row],[Do - A3]],Tabel1[[#This Row],[Do - A4]]),"")</f>
        <v>3.8333333333333335</v>
      </c>
      <c r="FU12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3.4450000000000003</v>
      </c>
      <c r="FV126" s="16" t="s">
        <v>800</v>
      </c>
      <c r="FW126" t="b">
        <v>1</v>
      </c>
    </row>
    <row r="127" spans="1:179" x14ac:dyDescent="0.3">
      <c r="A127" s="13">
        <v>44995.123414351852</v>
      </c>
      <c r="B127" t="b">
        <v>0</v>
      </c>
      <c r="C127" s="14" t="s">
        <v>801</v>
      </c>
      <c r="D127" s="14" t="s">
        <v>192</v>
      </c>
      <c r="E127" s="14" t="s">
        <v>798</v>
      </c>
      <c r="F127" s="14" t="s">
        <v>739</v>
      </c>
      <c r="G127" s="14" t="s">
        <v>802</v>
      </c>
      <c r="H127" s="14" t="s">
        <v>194</v>
      </c>
      <c r="I127" s="14" t="s">
        <v>195</v>
      </c>
      <c r="J127" s="14" t="s">
        <v>406</v>
      </c>
      <c r="K127" s="14" t="s">
        <v>235</v>
      </c>
      <c r="L127" s="14" t="s">
        <v>197</v>
      </c>
      <c r="M127" s="14" t="s">
        <v>233</v>
      </c>
      <c r="N127" s="14" t="s">
        <v>262</v>
      </c>
      <c r="O127" s="14" t="s">
        <v>256</v>
      </c>
      <c r="P127" s="17" t="s">
        <v>304</v>
      </c>
      <c r="Q127" s="17" t="s">
        <v>304</v>
      </c>
      <c r="R127" s="14" t="s">
        <v>202</v>
      </c>
      <c r="S127" s="14" t="s">
        <v>203</v>
      </c>
      <c r="T127" s="14" t="s">
        <v>284</v>
      </c>
      <c r="U127" s="14" t="s">
        <v>237</v>
      </c>
      <c r="V127" s="14" t="s">
        <v>206</v>
      </c>
      <c r="W127" s="14" t="s">
        <v>207</v>
      </c>
      <c r="X127" s="14" t="s">
        <v>207</v>
      </c>
      <c r="Y127" s="14">
        <v>5</v>
      </c>
      <c r="Z127" s="14">
        <v>4</v>
      </c>
      <c r="AA127" s="14">
        <v>1</v>
      </c>
      <c r="AB127" s="15">
        <f>IFERROR(AVERAGE(Tabel1[[#This Row],[Up - R1a]:[Up - R1c]]),"")</f>
        <v>3.3333333333333335</v>
      </c>
      <c r="AC127" s="14">
        <v>3</v>
      </c>
      <c r="AD127" s="14">
        <v>3</v>
      </c>
      <c r="AE127" s="14">
        <v>3</v>
      </c>
      <c r="AF127" s="14" t="s">
        <v>189</v>
      </c>
      <c r="AG127" s="14">
        <f>IFERROR(AVERAGE(Tabel1[[#This Row],[Up - R1]:[Up - R5]]),"")</f>
        <v>3.0833333333333335</v>
      </c>
      <c r="AH127" s="14">
        <v>5</v>
      </c>
      <c r="AI127" s="14">
        <v>4</v>
      </c>
      <c r="AJ127" s="14">
        <v>4</v>
      </c>
      <c r="AK127" s="14">
        <f>IFERROR(AVERAGE(Tabel1[[#This Row],[Up - C1a]:[Up - C1c]]),"")</f>
        <v>4.333333333333333</v>
      </c>
      <c r="AL127" s="14">
        <v>5</v>
      </c>
      <c r="AM127" s="14">
        <v>3</v>
      </c>
      <c r="AN127" s="14">
        <v>5</v>
      </c>
      <c r="AO127" s="14">
        <f>IFERROR(AVERAGE(Tabel1[[#This Row],[Up - C1]:[Up - C4]]),"")</f>
        <v>4.333333333333333</v>
      </c>
      <c r="AP127" s="14">
        <v>3</v>
      </c>
      <c r="AQ127" s="14">
        <f>IFERROR(AVERAGE(Tabel1[[#This Row],[Up - F1a]:[Up - F1a]]),"")</f>
        <v>3</v>
      </c>
      <c r="AR127" s="14">
        <v>3</v>
      </c>
      <c r="AS127" s="14">
        <v>4</v>
      </c>
      <c r="AT127" s="14">
        <f>IFERROR(AVERAGE(Tabel1[[#This Row],[Up - F2a]:[Up - F2b]]),"")</f>
        <v>3.5</v>
      </c>
      <c r="AU127" s="14">
        <v>4</v>
      </c>
      <c r="AV127" s="14">
        <v>2</v>
      </c>
      <c r="AW127" s="14">
        <f>IFERROR(AVERAGE(Tabel1[[#This Row],[Up - F3a]:[Up - F3b]]),"")</f>
        <v>3</v>
      </c>
      <c r="AX127" s="14">
        <v>2</v>
      </c>
      <c r="AY127" s="14">
        <f>IFERROR(AVERAGE(Tabel1[[#This Row],[Up - F1]],Tabel1[[#This Row],[Up - F2]],Tabel1[[#This Row],[Up - F3]],Tabel1[[#This Row],[Up - F4]]),"")</f>
        <v>2.875</v>
      </c>
      <c r="AZ127" s="14">
        <v>3</v>
      </c>
      <c r="BA127" s="14">
        <v>4</v>
      </c>
      <c r="BB127" s="14">
        <f>IFERROR(AVERAGE(Tabel1[[#This Row],[Up - V1a]:[Up - V1b]]),"")</f>
        <v>3.5</v>
      </c>
      <c r="BC127" s="14">
        <v>4</v>
      </c>
      <c r="BD127" s="14">
        <v>2</v>
      </c>
      <c r="BE127" s="14">
        <v>3</v>
      </c>
      <c r="BF127" s="14">
        <f>IFERROR(AVERAGE(Tabel1[[#This Row],[Up - V2a]:[Up - V2c]]),"")</f>
        <v>3</v>
      </c>
      <c r="BG127" s="14">
        <v>2</v>
      </c>
      <c r="BH127" s="14">
        <v>1</v>
      </c>
      <c r="BI127" s="14">
        <f>IFERROR(AVERAGE(Tabel1[[#This Row],[Up - V3a]:[Up - V3b]]),"")</f>
        <v>1.5</v>
      </c>
      <c r="BJ127" s="14">
        <v>3</v>
      </c>
      <c r="BK127" s="14">
        <f>IFERROR(AVERAGE(Tabel1[[#This Row],[Up - V1]],Tabel1[[#This Row],[Up - V2]],Tabel1[[#This Row],[Up - V3]],Tabel1[[#This Row],[Up - V4]]),"")</f>
        <v>2.75</v>
      </c>
      <c r="BL127" s="14">
        <v>4</v>
      </c>
      <c r="BM127" s="14">
        <v>4</v>
      </c>
      <c r="BN127" s="14">
        <v>3</v>
      </c>
      <c r="BO127" s="14">
        <v>3</v>
      </c>
      <c r="BP127" s="14">
        <f>IFERROR(AVERAGE(Tabel1[[#This Row],[Up - A1a]:[Up - A1d]]),"")</f>
        <v>3.5</v>
      </c>
      <c r="BQ127" s="14">
        <v>3</v>
      </c>
      <c r="BR127" s="14">
        <v>3</v>
      </c>
      <c r="BS127" s="14">
        <f>IFERROR(AVERAGE(Tabel1[[#This Row],[Up - A2a]:[Up - A2b]]),"")</f>
        <v>3</v>
      </c>
      <c r="BT127" s="14">
        <v>3</v>
      </c>
      <c r="BU127" s="14">
        <f>IFERROR(AVERAGE(Tabel1[[#This Row],[Up - A3a]:[Up - A3a]]),"")</f>
        <v>3</v>
      </c>
      <c r="BV127" s="14">
        <v>3</v>
      </c>
      <c r="BW127" s="14">
        <f>IFERROR(AVERAGE(Tabel1[[#This Row],[Up - A1]],Tabel1[[#This Row],[Up - A2]],Tabel1[[#This Row],[Up - A3]]),"")</f>
        <v>3.1666666666666665</v>
      </c>
      <c r="BX127" s="14">
        <v>3</v>
      </c>
      <c r="BY127" s="14">
        <v>1</v>
      </c>
      <c r="BZ127" s="14">
        <f>IFERROR(AVERAGE(Tabel1[[#This Row],[In - R1a]:[In - R1b]]),"")</f>
        <v>2</v>
      </c>
      <c r="CA127" s="14">
        <v>5</v>
      </c>
      <c r="CB127" s="14">
        <v>5</v>
      </c>
      <c r="CC127" s="14">
        <v>5</v>
      </c>
      <c r="CD127" s="14">
        <v>5</v>
      </c>
      <c r="CE127" s="14">
        <f>IFERROR(AVERAGE(Tabel1[[#This Row],[In - R1]:[In - R5]]),"")</f>
        <v>4.4000000000000004</v>
      </c>
      <c r="CF127" s="14">
        <v>5</v>
      </c>
      <c r="CG127" s="14">
        <v>5</v>
      </c>
      <c r="CH127" s="14">
        <v>4</v>
      </c>
      <c r="CI127" s="14">
        <f>IFERROR(AVERAGE(Tabel1[[#This Row],[In - C1a]:[In - C1c]]),"")</f>
        <v>4.666666666666667</v>
      </c>
      <c r="CJ127" s="14">
        <v>5</v>
      </c>
      <c r="CK127" s="14">
        <v>4</v>
      </c>
      <c r="CL127" s="14">
        <v>5</v>
      </c>
      <c r="CM127" s="14">
        <f>IFERROR(AVERAGE(Tabel1[[#This Row],[In - C1]:[In - C4]]),"")</f>
        <v>4.666666666666667</v>
      </c>
      <c r="CN127" s="14">
        <v>4</v>
      </c>
      <c r="CO127" s="14">
        <v>4</v>
      </c>
      <c r="CP127" s="14">
        <v>1</v>
      </c>
      <c r="CQ127" s="14">
        <f>IFERROR(AVERAGE(Tabel1[[#This Row],[In - F1a]:[In - F1c]]),"")</f>
        <v>3</v>
      </c>
      <c r="CR127" s="14">
        <v>5</v>
      </c>
      <c r="CS127" s="14">
        <v>3</v>
      </c>
      <c r="CT127" s="14">
        <f>IFERROR(AVERAGE(Tabel1[[#This Row],[In - F2a]:[In - F2b]]),"")</f>
        <v>4</v>
      </c>
      <c r="CU127" s="14">
        <v>3</v>
      </c>
      <c r="CV127" s="14">
        <f>IFERROR(AVERAGE(Tabel1[[#This Row],[In - F3a]:[In - F3a]]),"")</f>
        <v>3</v>
      </c>
      <c r="CW127" s="14">
        <v>5</v>
      </c>
      <c r="CX127" s="14">
        <f>IFERROR(AVERAGE(Tabel1[[#This Row],[In - F1]],Tabel1[[#This Row],[In - F2]],Tabel1[[#This Row],[In - F3]],Tabel1[[#This Row],[In - F4]]),"")</f>
        <v>3.75</v>
      </c>
      <c r="CY127" s="14">
        <v>5</v>
      </c>
      <c r="CZ127" s="14">
        <v>5</v>
      </c>
      <c r="DA127" s="14">
        <v>5</v>
      </c>
      <c r="DB127" s="14">
        <f>IFERROR(AVERAGE(Tabel1[[#This Row],[In - V1a]:[In - V1c]]),"")</f>
        <v>5</v>
      </c>
      <c r="DC127" s="14">
        <v>5</v>
      </c>
      <c r="DD127" s="14">
        <v>5</v>
      </c>
      <c r="DE127" s="14">
        <v>4</v>
      </c>
      <c r="DF127" s="14">
        <f>IFERROR(AVERAGE(Tabel1[[#This Row],[In - V2a]:[In - V2c]]),"")</f>
        <v>4.666666666666667</v>
      </c>
      <c r="DG127" s="14">
        <v>5</v>
      </c>
      <c r="DH127" s="14">
        <v>3</v>
      </c>
      <c r="DI127" s="14">
        <f>IFERROR(AVERAGE(Tabel1[[#This Row],[In - V3a]:[In - V3b]]),"")</f>
        <v>4</v>
      </c>
      <c r="DJ127" s="14">
        <v>5</v>
      </c>
      <c r="DK127" s="14">
        <f>IFERROR(AVERAGE(Tabel1[[#This Row],[In - V1]],Tabel1[[#This Row],[In - V2]],Tabel1[[#This Row],[In - V3]],Tabel1[[#This Row],[In - V4]]),"")</f>
        <v>4.666666666666667</v>
      </c>
      <c r="DL127" s="14">
        <v>4</v>
      </c>
      <c r="DM127" s="14">
        <v>5</v>
      </c>
      <c r="DN127" s="14">
        <f>IFERROR(AVERAGE(Tabel1[[#This Row],[In - A1a]:[In - A1b]]),"")</f>
        <v>4.5</v>
      </c>
      <c r="DO127" s="14">
        <v>3</v>
      </c>
      <c r="DP127" s="14">
        <v>4</v>
      </c>
      <c r="DQ127" s="14">
        <f>IFERROR(AVERAGE(Tabel1[[#This Row],[In - A2a]:[In - A2b]]),"")</f>
        <v>3.5</v>
      </c>
      <c r="DR127" s="14">
        <v>3</v>
      </c>
      <c r="DS127" s="14">
        <v>3</v>
      </c>
      <c r="DT127" s="14">
        <f>IFERROR(AVERAGE(Tabel1[[#This Row],[In - A3a]:[In - A3a]]),"")</f>
        <v>3</v>
      </c>
      <c r="DU127" s="14">
        <v>2</v>
      </c>
      <c r="DV127" s="14">
        <f>IFERROR(AVERAGE(Tabel1[[#This Row],[In - A1]],Tabel1[[#This Row],[In - A2]],Tabel1[[#This Row],[In - A3]],Tabel1[[#This Row],[In - A4]]),"")</f>
        <v>3.25</v>
      </c>
      <c r="DW127" s="14">
        <v>4</v>
      </c>
      <c r="DX127" s="14">
        <v>3</v>
      </c>
      <c r="DY127" s="14">
        <v>2</v>
      </c>
      <c r="DZ127" s="14">
        <f>IFERROR(AVERAGE(Tabel1[[#This Row],[Do - R1a]:[Do - R1c]]),"")</f>
        <v>3</v>
      </c>
      <c r="EA127" s="14">
        <v>4</v>
      </c>
      <c r="EB127" s="14">
        <v>4</v>
      </c>
      <c r="EC127" s="14">
        <v>2</v>
      </c>
      <c r="ED127" s="14">
        <v>5</v>
      </c>
      <c r="EE127" s="14">
        <f>IFERROR(AVERAGE(Tabel1[[#This Row],[Do - R1]:[Do - R5]]),"")</f>
        <v>3.6</v>
      </c>
      <c r="EF127" s="14">
        <v>5</v>
      </c>
      <c r="EG127" s="14">
        <v>4</v>
      </c>
      <c r="EH127" s="14">
        <v>4</v>
      </c>
      <c r="EI127" s="14">
        <f>IFERROR(AVERAGE(Tabel1[[#This Row],[Do - C1a]:[Do - C1c]]),"")</f>
        <v>4.333333333333333</v>
      </c>
      <c r="EJ127" s="14">
        <v>4</v>
      </c>
      <c r="EK127" s="14">
        <v>3</v>
      </c>
      <c r="EL127" s="14" t="s">
        <v>189</v>
      </c>
      <c r="EM127" s="14">
        <f>IFERROR(AVERAGE(Tabel1[[#This Row],[Do - C1]:[Do - C4]]),"")</f>
        <v>3.7777777777777772</v>
      </c>
      <c r="EN127" s="14">
        <v>2</v>
      </c>
      <c r="EO127" s="14">
        <v>2</v>
      </c>
      <c r="EP127" s="14">
        <v>4</v>
      </c>
      <c r="EQ127" s="14">
        <f>IFERROR(AVERAGE(Tabel1[[#This Row],[Do - F1a]:[Do - F1c]]),"")</f>
        <v>2.6666666666666665</v>
      </c>
      <c r="ER127" s="14" t="s">
        <v>189</v>
      </c>
      <c r="ES127" s="14" t="str">
        <f>IFERROR(AVERAGE(Tabel1[[#This Row],[Do - F2a]:[Do - F2a]]),"")</f>
        <v/>
      </c>
      <c r="ET127" s="14">
        <v>5</v>
      </c>
      <c r="EU127" s="14">
        <v>2</v>
      </c>
      <c r="EV127" s="14">
        <f>IFERROR(AVERAGE(Tabel1[[#This Row],[Do - F3a]:[Do - F3b]]),"")</f>
        <v>3.5</v>
      </c>
      <c r="EW127" s="14">
        <v>5</v>
      </c>
      <c r="EX127" s="14">
        <f>IFERROR(AVERAGE(Tabel1[[#This Row],[Do - F1]],Tabel1[[#This Row],[Do - F2]],Tabel1[[#This Row],[Do - F3]],Tabel1[[#This Row],[Do - F4]]),"")</f>
        <v>3.7222222222222219</v>
      </c>
      <c r="EY127" s="14">
        <v>4</v>
      </c>
      <c r="EZ127" s="14">
        <v>1</v>
      </c>
      <c r="FA127" s="14">
        <v>3</v>
      </c>
      <c r="FB127" s="14">
        <f>IFERROR(AVERAGE(Tabel1[[#This Row],[Do - V1a]:[Do - V1c]]),"")</f>
        <v>2.6666666666666665</v>
      </c>
      <c r="FC127" s="14">
        <v>5</v>
      </c>
      <c r="FD127" s="14">
        <v>2</v>
      </c>
      <c r="FE127" s="14">
        <f>IFERROR(AVERAGE(Tabel1[[#This Row],[Do - V2a]:[Do - V2b]]),"")</f>
        <v>3.5</v>
      </c>
      <c r="FF127" s="14">
        <v>2</v>
      </c>
      <c r="FG127" s="14">
        <f>IFERROR(AVERAGE(Tabel1[[#This Row],[Do - V3a]:[Do - V3a]]),"")</f>
        <v>2</v>
      </c>
      <c r="FH127" s="14" t="s">
        <v>189</v>
      </c>
      <c r="FI127" s="14">
        <f>IFERROR(AVERAGE(Tabel1[[#This Row],[Do - V1]],Tabel1[[#This Row],[Do - V2]],Tabel1[[#This Row],[Do - V3]],Tabel1[[#This Row],[Do - V4]]),"")</f>
        <v>2.7222222222222219</v>
      </c>
      <c r="FJ127" s="14">
        <v>4</v>
      </c>
      <c r="FK127" s="14">
        <v>3</v>
      </c>
      <c r="FL127" s="14">
        <v>4</v>
      </c>
      <c r="FM127" s="14">
        <f>IFERROR(AVERAGE(Tabel1[[#This Row],[Do - A1a]:[Do - A1c]]),"")</f>
        <v>3.6666666666666665</v>
      </c>
      <c r="FN127" s="14">
        <v>5</v>
      </c>
      <c r="FO127" s="14">
        <v>5</v>
      </c>
      <c r="FP127" s="14">
        <f>IFERROR(AVERAGE(Tabel1[[#This Row],[Do - A2a]:[Do - A2b]]),"")</f>
        <v>5</v>
      </c>
      <c r="FQ127" s="14">
        <v>3</v>
      </c>
      <c r="FR127" s="14">
        <f>IFERROR(AVERAGE(Tabel1[[#This Row],[Do - A3a]:[Do - A3a]]),"")</f>
        <v>3</v>
      </c>
      <c r="FS127" s="14">
        <v>4</v>
      </c>
      <c r="FT127" s="14">
        <f>IFERROR(AVERAGE(Tabel1[[#This Row],[Do - A1]],Tabel1[[#This Row],[Do - A2]],Tabel1[[#This Row],[Do - A3]],Tabel1[[#This Row],[Do - A4]]),"")</f>
        <v>3.9166666666666665</v>
      </c>
      <c r="FU12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3.6453703703703706</v>
      </c>
      <c r="FV127" s="16" t="s">
        <v>803</v>
      </c>
      <c r="FW127" t="b">
        <v>1</v>
      </c>
    </row>
    <row r="128" spans="1:179" x14ac:dyDescent="0.3">
      <c r="A128" s="13">
        <v>44995.304699074077</v>
      </c>
      <c r="B128" t="b">
        <v>0</v>
      </c>
      <c r="C128" s="14" t="s">
        <v>804</v>
      </c>
      <c r="D128" s="14" t="s">
        <v>805</v>
      </c>
      <c r="E128" s="14" t="s">
        <v>806</v>
      </c>
      <c r="F128" s="14" t="s">
        <v>739</v>
      </c>
      <c r="G128" s="14" t="s">
        <v>807</v>
      </c>
      <c r="H128" s="14" t="s">
        <v>194</v>
      </c>
      <c r="I128" s="14" t="s">
        <v>195</v>
      </c>
      <c r="J128" s="14" t="s">
        <v>406</v>
      </c>
      <c r="K128" s="14" t="s">
        <v>235</v>
      </c>
      <c r="L128" s="14" t="s">
        <v>197</v>
      </c>
      <c r="M128" s="14" t="s">
        <v>233</v>
      </c>
      <c r="N128" s="14" t="s">
        <v>262</v>
      </c>
      <c r="O128" s="14" t="s">
        <v>256</v>
      </c>
      <c r="P128" s="17" t="s">
        <v>304</v>
      </c>
      <c r="Q128" s="14" t="s">
        <v>202</v>
      </c>
      <c r="R128" s="14" t="s">
        <v>203</v>
      </c>
      <c r="S128" s="14" t="s">
        <v>203</v>
      </c>
      <c r="T128" s="14" t="s">
        <v>284</v>
      </c>
      <c r="U128" s="14" t="s">
        <v>237</v>
      </c>
      <c r="V128" s="14" t="s">
        <v>206</v>
      </c>
      <c r="W128" s="14" t="s">
        <v>207</v>
      </c>
      <c r="X128" s="14" t="s">
        <v>207</v>
      </c>
      <c r="Y128" s="14">
        <v>5</v>
      </c>
      <c r="Z128" s="14">
        <v>4</v>
      </c>
      <c r="AA128" s="14">
        <v>1</v>
      </c>
      <c r="AB128" s="15">
        <f>IFERROR(AVERAGE(Tabel1[[#This Row],[Up - R1a]:[Up - R1c]]),"")</f>
        <v>3.3333333333333335</v>
      </c>
      <c r="AC128" s="14" t="s">
        <v>189</v>
      </c>
      <c r="AD128" s="14">
        <v>3</v>
      </c>
      <c r="AE128" s="14">
        <v>3</v>
      </c>
      <c r="AF128" s="14" t="s">
        <v>189</v>
      </c>
      <c r="AG128" s="14">
        <f>IFERROR(AVERAGE(Tabel1[[#This Row],[Up - R1]:[Up - R5]]),"")</f>
        <v>3.1111111111111112</v>
      </c>
      <c r="AH128" s="14">
        <v>5</v>
      </c>
      <c r="AI128" s="14">
        <v>4</v>
      </c>
      <c r="AJ128" s="14">
        <v>4</v>
      </c>
      <c r="AK128" s="14">
        <f>IFERROR(AVERAGE(Tabel1[[#This Row],[Up - C1a]:[Up - C1c]]),"")</f>
        <v>4.333333333333333</v>
      </c>
      <c r="AL128" s="14">
        <v>5</v>
      </c>
      <c r="AM128" s="14">
        <v>3</v>
      </c>
      <c r="AN128" s="14">
        <v>5</v>
      </c>
      <c r="AO128" s="14">
        <f>IFERROR(AVERAGE(Tabel1[[#This Row],[Up - C1]:[Up - C4]]),"")</f>
        <v>4.333333333333333</v>
      </c>
      <c r="AP128" s="14">
        <v>3</v>
      </c>
      <c r="AQ128" s="14">
        <f>IFERROR(AVERAGE(Tabel1[[#This Row],[Up - F1a]:[Up - F1a]]),"")</f>
        <v>3</v>
      </c>
      <c r="AR128" s="14">
        <v>3</v>
      </c>
      <c r="AS128" s="14">
        <v>4</v>
      </c>
      <c r="AT128" s="14">
        <f>IFERROR(AVERAGE(Tabel1[[#This Row],[Up - F2a]:[Up - F2b]]),"")</f>
        <v>3.5</v>
      </c>
      <c r="AU128" s="14">
        <v>4</v>
      </c>
      <c r="AV128" s="14">
        <v>2</v>
      </c>
      <c r="AW128" s="14">
        <f>IFERROR(AVERAGE(Tabel1[[#This Row],[Up - F3a]:[Up - F3b]]),"")</f>
        <v>3</v>
      </c>
      <c r="AX128" s="14">
        <v>2</v>
      </c>
      <c r="AY128" s="14">
        <f>IFERROR(AVERAGE(Tabel1[[#This Row],[Up - F1]],Tabel1[[#This Row],[Up - F2]],Tabel1[[#This Row],[Up - F3]],Tabel1[[#This Row],[Up - F4]]),"")</f>
        <v>2.875</v>
      </c>
      <c r="AZ128" s="14">
        <v>3</v>
      </c>
      <c r="BA128" s="14">
        <v>4</v>
      </c>
      <c r="BB128" s="14">
        <f>IFERROR(AVERAGE(Tabel1[[#This Row],[Up - V1a]:[Up - V1b]]),"")</f>
        <v>3.5</v>
      </c>
      <c r="BC128" s="14">
        <v>4</v>
      </c>
      <c r="BD128" s="14">
        <v>2</v>
      </c>
      <c r="BE128" s="14">
        <v>3</v>
      </c>
      <c r="BF128" s="14">
        <f>IFERROR(AVERAGE(Tabel1[[#This Row],[Up - V2a]:[Up - V2c]]),"")</f>
        <v>3</v>
      </c>
      <c r="BG128" s="14">
        <v>2</v>
      </c>
      <c r="BH128" s="14">
        <v>1</v>
      </c>
      <c r="BI128" s="14">
        <f>IFERROR(AVERAGE(Tabel1[[#This Row],[Up - V3a]:[Up - V3b]]),"")</f>
        <v>1.5</v>
      </c>
      <c r="BJ128" s="14">
        <v>3</v>
      </c>
      <c r="BK128" s="14">
        <f>IFERROR(AVERAGE(Tabel1[[#This Row],[Up - V1]],Tabel1[[#This Row],[Up - V2]],Tabel1[[#This Row],[Up - V3]],Tabel1[[#This Row],[Up - V4]]),"")</f>
        <v>2.75</v>
      </c>
      <c r="BL128" s="14">
        <v>4</v>
      </c>
      <c r="BM128" s="14">
        <v>4</v>
      </c>
      <c r="BN128" s="14">
        <v>3</v>
      </c>
      <c r="BO128" s="14">
        <v>3</v>
      </c>
      <c r="BP128" s="14">
        <f>IFERROR(AVERAGE(Tabel1[[#This Row],[Up - A1a]:[Up - A1d]]),"")</f>
        <v>3.5</v>
      </c>
      <c r="BQ128" s="14">
        <v>3</v>
      </c>
      <c r="BR128" s="14">
        <v>3</v>
      </c>
      <c r="BS128" s="14">
        <f>IFERROR(AVERAGE(Tabel1[[#This Row],[Up - A2a]:[Up - A2b]]),"")</f>
        <v>3</v>
      </c>
      <c r="BT128" s="14">
        <v>3</v>
      </c>
      <c r="BU128" s="14">
        <f>IFERROR(AVERAGE(Tabel1[[#This Row],[Up - A3a]:[Up - A3a]]),"")</f>
        <v>3</v>
      </c>
      <c r="BV128" s="14">
        <v>3</v>
      </c>
      <c r="BW128" s="14">
        <f>IFERROR(AVERAGE(Tabel1[[#This Row],[Up - A1]],Tabel1[[#This Row],[Up - A2]],Tabel1[[#This Row],[Up - A3]]),"")</f>
        <v>3.1666666666666665</v>
      </c>
      <c r="BX128" s="14">
        <v>3</v>
      </c>
      <c r="BY128" s="14">
        <v>1</v>
      </c>
      <c r="BZ128" s="14">
        <f>IFERROR(AVERAGE(Tabel1[[#This Row],[In - R1a]:[In - R1b]]),"")</f>
        <v>2</v>
      </c>
      <c r="CA128" s="14" t="s">
        <v>189</v>
      </c>
      <c r="CB128" s="14">
        <v>5</v>
      </c>
      <c r="CC128" s="14">
        <v>5</v>
      </c>
      <c r="CD128" s="14">
        <v>5</v>
      </c>
      <c r="CE128" s="14">
        <f>IFERROR(AVERAGE(Tabel1[[#This Row],[In - R1]:[In - R5]]),"")</f>
        <v>4.25</v>
      </c>
      <c r="CF128" s="14">
        <v>5</v>
      </c>
      <c r="CG128" s="14">
        <v>5</v>
      </c>
      <c r="CH128" s="14">
        <v>4</v>
      </c>
      <c r="CI128" s="14">
        <f>IFERROR(AVERAGE(Tabel1[[#This Row],[In - C1a]:[In - C1c]]),"")</f>
        <v>4.666666666666667</v>
      </c>
      <c r="CJ128" s="14">
        <v>5</v>
      </c>
      <c r="CK128" s="14">
        <v>4</v>
      </c>
      <c r="CL128" s="14">
        <v>5</v>
      </c>
      <c r="CM128" s="14">
        <f>IFERROR(AVERAGE(Tabel1[[#This Row],[In - C1]:[In - C4]]),"")</f>
        <v>4.666666666666667</v>
      </c>
      <c r="CN128" s="14">
        <v>4</v>
      </c>
      <c r="CO128" s="14">
        <v>4</v>
      </c>
      <c r="CP128" s="14">
        <v>1</v>
      </c>
      <c r="CQ128" s="14">
        <f>IFERROR(AVERAGE(Tabel1[[#This Row],[In - F1a]:[In - F1c]]),"")</f>
        <v>3</v>
      </c>
      <c r="CR128" s="14">
        <v>5</v>
      </c>
      <c r="CS128" s="14">
        <v>3</v>
      </c>
      <c r="CT128" s="14">
        <f>IFERROR(AVERAGE(Tabel1[[#This Row],[In - F2a]:[In - F2b]]),"")</f>
        <v>4</v>
      </c>
      <c r="CU128" s="14">
        <v>3</v>
      </c>
      <c r="CV128" s="14">
        <f>IFERROR(AVERAGE(Tabel1[[#This Row],[In - F3a]:[In - F3a]]),"")</f>
        <v>3</v>
      </c>
      <c r="CW128" s="14">
        <v>5</v>
      </c>
      <c r="CX128" s="14">
        <f>IFERROR(AVERAGE(Tabel1[[#This Row],[In - F1]],Tabel1[[#This Row],[In - F2]],Tabel1[[#This Row],[In - F3]],Tabel1[[#This Row],[In - F4]]),"")</f>
        <v>3.75</v>
      </c>
      <c r="CY128" s="14" t="s">
        <v>189</v>
      </c>
      <c r="CZ128" s="14" t="s">
        <v>189</v>
      </c>
      <c r="DA128" s="14">
        <v>5</v>
      </c>
      <c r="DB128" s="14">
        <f>IFERROR(AVERAGE(Tabel1[[#This Row],[In - V1a]:[In - V1c]]),"")</f>
        <v>5</v>
      </c>
      <c r="DC128" s="14">
        <v>5</v>
      </c>
      <c r="DD128" s="14">
        <v>5</v>
      </c>
      <c r="DE128" s="14">
        <v>4</v>
      </c>
      <c r="DF128" s="14">
        <f>IFERROR(AVERAGE(Tabel1[[#This Row],[In - V2a]:[In - V2c]]),"")</f>
        <v>4.666666666666667</v>
      </c>
      <c r="DG128" s="14">
        <v>5</v>
      </c>
      <c r="DH128" s="14">
        <v>3</v>
      </c>
      <c r="DI128" s="14">
        <f>IFERROR(AVERAGE(Tabel1[[#This Row],[In - V3a]:[In - V3b]]),"")</f>
        <v>4</v>
      </c>
      <c r="DJ128" s="14">
        <v>5</v>
      </c>
      <c r="DK128" s="14">
        <f>IFERROR(AVERAGE(Tabel1[[#This Row],[In - V1]],Tabel1[[#This Row],[In - V2]],Tabel1[[#This Row],[In - V3]],Tabel1[[#This Row],[In - V4]]),"")</f>
        <v>4.666666666666667</v>
      </c>
      <c r="DL128" s="14">
        <v>4</v>
      </c>
      <c r="DM128" s="14">
        <v>5</v>
      </c>
      <c r="DN128" s="14">
        <f>IFERROR(AVERAGE(Tabel1[[#This Row],[In - A1a]:[In - A1b]]),"")</f>
        <v>4.5</v>
      </c>
      <c r="DO128" s="14">
        <v>3</v>
      </c>
      <c r="DP128" s="14">
        <v>4</v>
      </c>
      <c r="DQ128" s="14">
        <f>IFERROR(AVERAGE(Tabel1[[#This Row],[In - A2a]:[In - A2b]]),"")</f>
        <v>3.5</v>
      </c>
      <c r="DR128" s="14">
        <v>3</v>
      </c>
      <c r="DS128" s="14">
        <v>3</v>
      </c>
      <c r="DT128" s="14">
        <f>IFERROR(AVERAGE(Tabel1[[#This Row],[In - A3a]:[In - A3a]]),"")</f>
        <v>3</v>
      </c>
      <c r="DU128" s="14">
        <v>2</v>
      </c>
      <c r="DV128" s="14">
        <f>IFERROR(AVERAGE(Tabel1[[#This Row],[In - A1]],Tabel1[[#This Row],[In - A2]],Tabel1[[#This Row],[In - A3]],Tabel1[[#This Row],[In - A4]]),"")</f>
        <v>3.25</v>
      </c>
      <c r="DW128" s="14">
        <v>4</v>
      </c>
      <c r="DX128" s="14">
        <v>3</v>
      </c>
      <c r="DY128" s="14">
        <v>2</v>
      </c>
      <c r="DZ128" s="14">
        <f>IFERROR(AVERAGE(Tabel1[[#This Row],[Do - R1a]:[Do - R1c]]),"")</f>
        <v>3</v>
      </c>
      <c r="EA128" s="14" t="s">
        <v>189</v>
      </c>
      <c r="EB128" s="14">
        <v>4</v>
      </c>
      <c r="EC128" s="14">
        <v>2</v>
      </c>
      <c r="ED128" s="14">
        <v>5</v>
      </c>
      <c r="EE128" s="14">
        <f>IFERROR(AVERAGE(Tabel1[[#This Row],[Do - R1]:[Do - R5]]),"")</f>
        <v>3.5</v>
      </c>
      <c r="EF128" s="14">
        <v>5</v>
      </c>
      <c r="EG128" s="14">
        <v>4</v>
      </c>
      <c r="EH128" s="14">
        <v>4</v>
      </c>
      <c r="EI128" s="14">
        <f>IFERROR(AVERAGE(Tabel1[[#This Row],[Do - C1a]:[Do - C1c]]),"")</f>
        <v>4.333333333333333</v>
      </c>
      <c r="EJ128" s="14">
        <v>4</v>
      </c>
      <c r="EK128" s="14">
        <v>3</v>
      </c>
      <c r="EL128" s="14" t="s">
        <v>189</v>
      </c>
      <c r="EM128" s="14">
        <f>IFERROR(AVERAGE(Tabel1[[#This Row],[Do - C1]:[Do - C4]]),"")</f>
        <v>3.7777777777777772</v>
      </c>
      <c r="EN128" s="14">
        <v>2</v>
      </c>
      <c r="EO128" s="14">
        <v>2</v>
      </c>
      <c r="EP128" s="14">
        <v>4</v>
      </c>
      <c r="EQ128" s="14">
        <f>IFERROR(AVERAGE(Tabel1[[#This Row],[Do - F1a]:[Do - F1c]]),"")</f>
        <v>2.6666666666666665</v>
      </c>
      <c r="ER128" s="14">
        <v>3</v>
      </c>
      <c r="ES128" s="14">
        <f>IFERROR(AVERAGE(Tabel1[[#This Row],[Do - F2a]:[Do - F2a]]),"")</f>
        <v>3</v>
      </c>
      <c r="ET128" s="14">
        <v>5</v>
      </c>
      <c r="EU128" s="14">
        <v>2</v>
      </c>
      <c r="EV128" s="14">
        <f>IFERROR(AVERAGE(Tabel1[[#This Row],[Do - F3a]:[Do - F3b]]),"")</f>
        <v>3.5</v>
      </c>
      <c r="EW128" s="14">
        <v>5</v>
      </c>
      <c r="EX128" s="14">
        <f>IFERROR(AVERAGE(Tabel1[[#This Row],[Do - F1]],Tabel1[[#This Row],[Do - F2]],Tabel1[[#This Row],[Do - F3]],Tabel1[[#This Row],[Do - F4]]),"")</f>
        <v>3.5416666666666665</v>
      </c>
      <c r="EY128" s="14">
        <v>4</v>
      </c>
      <c r="EZ128" s="14">
        <v>1</v>
      </c>
      <c r="FA128" s="14">
        <v>3</v>
      </c>
      <c r="FB128" s="14">
        <f>IFERROR(AVERAGE(Tabel1[[#This Row],[Do - V1a]:[Do - V1c]]),"")</f>
        <v>2.6666666666666665</v>
      </c>
      <c r="FC128" s="14">
        <v>5</v>
      </c>
      <c r="FD128" s="14">
        <v>2</v>
      </c>
      <c r="FE128" s="14">
        <f>IFERROR(AVERAGE(Tabel1[[#This Row],[Do - V2a]:[Do - V2b]]),"")</f>
        <v>3.5</v>
      </c>
      <c r="FF128" s="14">
        <v>2</v>
      </c>
      <c r="FG128" s="14">
        <f>IFERROR(AVERAGE(Tabel1[[#This Row],[Do - V3a]:[Do - V3a]]),"")</f>
        <v>2</v>
      </c>
      <c r="FH128" s="14" t="s">
        <v>189</v>
      </c>
      <c r="FI128" s="14">
        <f>IFERROR(AVERAGE(Tabel1[[#This Row],[Do - V1]],Tabel1[[#This Row],[Do - V2]],Tabel1[[#This Row],[Do - V3]],Tabel1[[#This Row],[Do - V4]]),"")</f>
        <v>2.7222222222222219</v>
      </c>
      <c r="FJ128" s="14">
        <v>4</v>
      </c>
      <c r="FK128" s="14">
        <v>3</v>
      </c>
      <c r="FL128" s="14">
        <v>4</v>
      </c>
      <c r="FM128" s="14">
        <f>IFERROR(AVERAGE(Tabel1[[#This Row],[Do - A1a]:[Do - A1c]]),"")</f>
        <v>3.6666666666666665</v>
      </c>
      <c r="FN128" s="14">
        <v>5</v>
      </c>
      <c r="FO128" s="14">
        <v>5</v>
      </c>
      <c r="FP128" s="14">
        <f>IFERROR(AVERAGE(Tabel1[[#This Row],[Do - A2a]:[Do - A2b]]),"")</f>
        <v>5</v>
      </c>
      <c r="FQ128" s="14">
        <v>3</v>
      </c>
      <c r="FR128" s="14">
        <f>IFERROR(AVERAGE(Tabel1[[#This Row],[Do - A3a]:[Do - A3a]]),"")</f>
        <v>3</v>
      </c>
      <c r="FS128" s="14">
        <v>4</v>
      </c>
      <c r="FT128" s="14">
        <f>IFERROR(AVERAGE(Tabel1[[#This Row],[Do - A1]],Tabel1[[#This Row],[Do - A2]],Tabel1[[#This Row],[Do - A3]],Tabel1[[#This Row],[Do - A4]]),"")</f>
        <v>3.9166666666666665</v>
      </c>
      <c r="FU12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3.6185185185185182</v>
      </c>
      <c r="FV128" s="16" t="s">
        <v>808</v>
      </c>
      <c r="FW128" t="b">
        <v>1</v>
      </c>
    </row>
    <row r="129" spans="1:179" x14ac:dyDescent="0.3">
      <c r="A129" s="13">
        <v>44995.427870370368</v>
      </c>
      <c r="B129" t="b">
        <v>0</v>
      </c>
      <c r="C129" s="14" t="s">
        <v>809</v>
      </c>
      <c r="D129" s="14" t="s">
        <v>810</v>
      </c>
      <c r="E129" s="14" t="s">
        <v>806</v>
      </c>
      <c r="F129" s="14" t="s">
        <v>739</v>
      </c>
      <c r="G129" s="14" t="s">
        <v>811</v>
      </c>
      <c r="H129" s="14" t="s">
        <v>194</v>
      </c>
      <c r="I129" s="14" t="s">
        <v>195</v>
      </c>
      <c r="J129" s="14" t="s">
        <v>406</v>
      </c>
      <c r="K129" s="14" t="s">
        <v>235</v>
      </c>
      <c r="L129" s="14" t="s">
        <v>197</v>
      </c>
      <c r="M129" s="14" t="s">
        <v>233</v>
      </c>
      <c r="N129" s="14" t="s">
        <v>262</v>
      </c>
      <c r="O129" s="14" t="s">
        <v>256</v>
      </c>
      <c r="P129" s="17" t="s">
        <v>304</v>
      </c>
      <c r="Q129" s="17" t="s">
        <v>304</v>
      </c>
      <c r="R129" s="14" t="s">
        <v>202</v>
      </c>
      <c r="S129" s="14" t="s">
        <v>203</v>
      </c>
      <c r="T129" s="14" t="s">
        <v>284</v>
      </c>
      <c r="U129" s="14" t="s">
        <v>237</v>
      </c>
      <c r="V129" s="14" t="s">
        <v>206</v>
      </c>
      <c r="W129" s="14" t="s">
        <v>207</v>
      </c>
      <c r="X129" s="14" t="s">
        <v>207</v>
      </c>
      <c r="Y129" s="14">
        <v>5</v>
      </c>
      <c r="Z129" s="14">
        <v>4</v>
      </c>
      <c r="AA129" s="14">
        <v>1</v>
      </c>
      <c r="AB129" s="15">
        <f>IFERROR(AVERAGE(Tabel1[[#This Row],[Up - R1a]:[Up - R1c]]),"")</f>
        <v>3.3333333333333335</v>
      </c>
      <c r="AC129" s="14">
        <v>3</v>
      </c>
      <c r="AD129" s="14">
        <v>3</v>
      </c>
      <c r="AE129" s="14">
        <v>3</v>
      </c>
      <c r="AF129" s="14">
        <v>5</v>
      </c>
      <c r="AG129" s="14">
        <f>IFERROR(AVERAGE(Tabel1[[#This Row],[Up - R1]:[Up - R5]]),"")</f>
        <v>3.4666666666666672</v>
      </c>
      <c r="AH129" s="14">
        <v>5</v>
      </c>
      <c r="AI129" s="14">
        <v>4</v>
      </c>
      <c r="AJ129" s="14">
        <v>4</v>
      </c>
      <c r="AK129" s="14">
        <f>IFERROR(AVERAGE(Tabel1[[#This Row],[Up - C1a]:[Up - C1c]]),"")</f>
        <v>4.333333333333333</v>
      </c>
      <c r="AL129" s="14">
        <v>5</v>
      </c>
      <c r="AM129" s="14">
        <v>3</v>
      </c>
      <c r="AN129" s="14">
        <v>5</v>
      </c>
      <c r="AO129" s="14">
        <f>IFERROR(AVERAGE(Tabel1[[#This Row],[Up - C1]:[Up - C4]]),"")</f>
        <v>4.333333333333333</v>
      </c>
      <c r="AP129" s="14">
        <v>3</v>
      </c>
      <c r="AQ129" s="14">
        <f>IFERROR(AVERAGE(Tabel1[[#This Row],[Up - F1a]:[Up - F1a]]),"")</f>
        <v>3</v>
      </c>
      <c r="AR129" s="14">
        <v>3</v>
      </c>
      <c r="AS129" s="14">
        <v>4</v>
      </c>
      <c r="AT129" s="14">
        <f>IFERROR(AVERAGE(Tabel1[[#This Row],[Up - F2a]:[Up - F2b]]),"")</f>
        <v>3.5</v>
      </c>
      <c r="AU129" s="14">
        <v>4</v>
      </c>
      <c r="AV129" s="14">
        <v>3</v>
      </c>
      <c r="AW129" s="14">
        <f>IFERROR(AVERAGE(Tabel1[[#This Row],[Up - F3a]:[Up - F3b]]),"")</f>
        <v>3.5</v>
      </c>
      <c r="AX129" s="14">
        <v>2</v>
      </c>
      <c r="AY129" s="14">
        <f>IFERROR(AVERAGE(Tabel1[[#This Row],[Up - F1]],Tabel1[[#This Row],[Up - F2]],Tabel1[[#This Row],[Up - F3]],Tabel1[[#This Row],[Up - F4]]),"")</f>
        <v>3</v>
      </c>
      <c r="AZ129" s="14">
        <v>3</v>
      </c>
      <c r="BA129" s="14">
        <v>4</v>
      </c>
      <c r="BB129" s="14">
        <f>IFERROR(AVERAGE(Tabel1[[#This Row],[Up - V1a]:[Up - V1b]]),"")</f>
        <v>3.5</v>
      </c>
      <c r="BC129" s="14">
        <v>4</v>
      </c>
      <c r="BD129" s="14">
        <v>2</v>
      </c>
      <c r="BE129" s="14">
        <v>3</v>
      </c>
      <c r="BF129" s="14">
        <f>IFERROR(AVERAGE(Tabel1[[#This Row],[Up - V2a]:[Up - V2c]]),"")</f>
        <v>3</v>
      </c>
      <c r="BG129" s="14">
        <v>2</v>
      </c>
      <c r="BH129" s="14">
        <v>1</v>
      </c>
      <c r="BI129" s="14">
        <f>IFERROR(AVERAGE(Tabel1[[#This Row],[Up - V3a]:[Up - V3b]]),"")</f>
        <v>1.5</v>
      </c>
      <c r="BJ129" s="14">
        <v>3</v>
      </c>
      <c r="BK129" s="14">
        <f>IFERROR(AVERAGE(Tabel1[[#This Row],[Up - V1]],Tabel1[[#This Row],[Up - V2]],Tabel1[[#This Row],[Up - V3]],Tabel1[[#This Row],[Up - V4]]),"")</f>
        <v>2.75</v>
      </c>
      <c r="BL129" s="14">
        <v>4</v>
      </c>
      <c r="BM129" s="14">
        <v>4</v>
      </c>
      <c r="BN129" s="14">
        <v>3</v>
      </c>
      <c r="BO129" s="14">
        <v>3</v>
      </c>
      <c r="BP129" s="14">
        <f>IFERROR(AVERAGE(Tabel1[[#This Row],[Up - A1a]:[Up - A1d]]),"")</f>
        <v>3.5</v>
      </c>
      <c r="BQ129" s="14">
        <v>3</v>
      </c>
      <c r="BR129" s="14">
        <v>3</v>
      </c>
      <c r="BS129" s="14">
        <f>IFERROR(AVERAGE(Tabel1[[#This Row],[Up - A2a]:[Up - A2b]]),"")</f>
        <v>3</v>
      </c>
      <c r="BT129" s="14">
        <v>3</v>
      </c>
      <c r="BU129" s="14">
        <f>IFERROR(AVERAGE(Tabel1[[#This Row],[Up - A3a]:[Up - A3a]]),"")</f>
        <v>3</v>
      </c>
      <c r="BV129" s="14">
        <v>3</v>
      </c>
      <c r="BW129" s="14">
        <f>IFERROR(AVERAGE(Tabel1[[#This Row],[Up - A1]],Tabel1[[#This Row],[Up - A2]],Tabel1[[#This Row],[Up - A3]]),"")</f>
        <v>3.1666666666666665</v>
      </c>
      <c r="BX129" s="14">
        <v>3</v>
      </c>
      <c r="BY129" s="14">
        <v>1</v>
      </c>
      <c r="BZ129" s="14">
        <f>IFERROR(AVERAGE(Tabel1[[#This Row],[In - R1a]:[In - R1b]]),"")</f>
        <v>2</v>
      </c>
      <c r="CA129" s="14">
        <v>5</v>
      </c>
      <c r="CB129" s="14">
        <v>5</v>
      </c>
      <c r="CC129" s="14">
        <v>5</v>
      </c>
      <c r="CD129" s="14">
        <v>5</v>
      </c>
      <c r="CE129" s="14">
        <f>IFERROR(AVERAGE(Tabel1[[#This Row],[In - R1]:[In - R5]]),"")</f>
        <v>4.4000000000000004</v>
      </c>
      <c r="CF129" s="14">
        <v>5</v>
      </c>
      <c r="CG129" s="14">
        <v>5</v>
      </c>
      <c r="CH129" s="14">
        <v>5</v>
      </c>
      <c r="CI129" s="14">
        <f>IFERROR(AVERAGE(Tabel1[[#This Row],[In - C1a]:[In - C1c]]),"")</f>
        <v>5</v>
      </c>
      <c r="CJ129" s="14">
        <v>5</v>
      </c>
      <c r="CK129" s="14">
        <v>5</v>
      </c>
      <c r="CL129" s="14">
        <v>5</v>
      </c>
      <c r="CM129" s="14">
        <f>IFERROR(AVERAGE(Tabel1[[#This Row],[In - C1]:[In - C4]]),"")</f>
        <v>5</v>
      </c>
      <c r="CN129" s="14">
        <v>4</v>
      </c>
      <c r="CO129" s="14">
        <v>4</v>
      </c>
      <c r="CP129" s="14">
        <v>1</v>
      </c>
      <c r="CQ129" s="14">
        <f>IFERROR(AVERAGE(Tabel1[[#This Row],[In - F1a]:[In - F1c]]),"")</f>
        <v>3</v>
      </c>
      <c r="CR129" s="14">
        <v>5</v>
      </c>
      <c r="CS129" s="14">
        <v>3</v>
      </c>
      <c r="CT129" s="14">
        <f>IFERROR(AVERAGE(Tabel1[[#This Row],[In - F2a]:[In - F2b]]),"")</f>
        <v>4</v>
      </c>
      <c r="CU129" s="14">
        <v>3</v>
      </c>
      <c r="CV129" s="14">
        <f>IFERROR(AVERAGE(Tabel1[[#This Row],[In - F3a]:[In - F3a]]),"")</f>
        <v>3</v>
      </c>
      <c r="CW129" s="14">
        <v>5</v>
      </c>
      <c r="CX129" s="14">
        <f>IFERROR(AVERAGE(Tabel1[[#This Row],[In - F1]],Tabel1[[#This Row],[In - F2]],Tabel1[[#This Row],[In - F3]],Tabel1[[#This Row],[In - F4]]),"")</f>
        <v>3.75</v>
      </c>
      <c r="CY129" s="14">
        <v>5</v>
      </c>
      <c r="CZ129" s="14">
        <v>5</v>
      </c>
      <c r="DA129" s="14">
        <v>5</v>
      </c>
      <c r="DB129" s="14">
        <f>IFERROR(AVERAGE(Tabel1[[#This Row],[In - V1a]:[In - V1c]]),"")</f>
        <v>5</v>
      </c>
      <c r="DC129" s="14">
        <v>5</v>
      </c>
      <c r="DD129" s="14">
        <v>5</v>
      </c>
      <c r="DE129" s="14">
        <v>4</v>
      </c>
      <c r="DF129" s="14">
        <f>IFERROR(AVERAGE(Tabel1[[#This Row],[In - V2a]:[In - V2c]]),"")</f>
        <v>4.666666666666667</v>
      </c>
      <c r="DG129" s="14">
        <v>5</v>
      </c>
      <c r="DH129" s="14">
        <v>3</v>
      </c>
      <c r="DI129" s="14">
        <f>IFERROR(AVERAGE(Tabel1[[#This Row],[In - V3a]:[In - V3b]]),"")</f>
        <v>4</v>
      </c>
      <c r="DJ129" s="14">
        <v>5</v>
      </c>
      <c r="DK129" s="14">
        <f>IFERROR(AVERAGE(Tabel1[[#This Row],[In - V1]],Tabel1[[#This Row],[In - V2]],Tabel1[[#This Row],[In - V3]],Tabel1[[#This Row],[In - V4]]),"")</f>
        <v>4.666666666666667</v>
      </c>
      <c r="DL129" s="14">
        <v>4</v>
      </c>
      <c r="DM129" s="14">
        <v>5</v>
      </c>
      <c r="DN129" s="14">
        <f>IFERROR(AVERAGE(Tabel1[[#This Row],[In - A1a]:[In - A1b]]),"")</f>
        <v>4.5</v>
      </c>
      <c r="DO129" s="14">
        <v>3</v>
      </c>
      <c r="DP129" s="14">
        <v>4</v>
      </c>
      <c r="DQ129" s="14">
        <f>IFERROR(AVERAGE(Tabel1[[#This Row],[In - A2a]:[In - A2b]]),"")</f>
        <v>3.5</v>
      </c>
      <c r="DR129" s="14">
        <v>3</v>
      </c>
      <c r="DS129" s="14">
        <v>3</v>
      </c>
      <c r="DT129" s="14">
        <f>IFERROR(AVERAGE(Tabel1[[#This Row],[In - A3a]:[In - A3a]]),"")</f>
        <v>3</v>
      </c>
      <c r="DU129" s="14">
        <v>2</v>
      </c>
      <c r="DV129" s="14">
        <f>IFERROR(AVERAGE(Tabel1[[#This Row],[In - A1]],Tabel1[[#This Row],[In - A2]],Tabel1[[#This Row],[In - A3]],Tabel1[[#This Row],[In - A4]]),"")</f>
        <v>3.25</v>
      </c>
      <c r="DW129" s="14">
        <v>4</v>
      </c>
      <c r="DX129" s="14">
        <v>3</v>
      </c>
      <c r="DY129" s="14">
        <v>2</v>
      </c>
      <c r="DZ129" s="14">
        <f>IFERROR(AVERAGE(Tabel1[[#This Row],[Do - R1a]:[Do - R1c]]),"")</f>
        <v>3</v>
      </c>
      <c r="EA129" s="14">
        <v>4</v>
      </c>
      <c r="EB129" s="14">
        <v>4</v>
      </c>
      <c r="EC129" s="14">
        <v>2</v>
      </c>
      <c r="ED129" s="14">
        <v>5</v>
      </c>
      <c r="EE129" s="14">
        <f>IFERROR(AVERAGE(Tabel1[[#This Row],[Do - R1]:[Do - R5]]),"")</f>
        <v>3.6</v>
      </c>
      <c r="EF129" s="14">
        <v>5</v>
      </c>
      <c r="EG129" s="14">
        <v>4</v>
      </c>
      <c r="EH129" s="14">
        <v>4</v>
      </c>
      <c r="EI129" s="14">
        <f>IFERROR(AVERAGE(Tabel1[[#This Row],[Do - C1a]:[Do - C1c]]),"")</f>
        <v>4.333333333333333</v>
      </c>
      <c r="EJ129" s="14">
        <v>4</v>
      </c>
      <c r="EK129" s="14">
        <v>3</v>
      </c>
      <c r="EL129" s="14" t="s">
        <v>189</v>
      </c>
      <c r="EM129" s="14">
        <f>IFERROR(AVERAGE(Tabel1[[#This Row],[Do - C1]:[Do - C4]]),"")</f>
        <v>3.7777777777777772</v>
      </c>
      <c r="EN129" s="14">
        <v>2</v>
      </c>
      <c r="EO129" s="14">
        <v>2</v>
      </c>
      <c r="EP129" s="14">
        <v>4</v>
      </c>
      <c r="EQ129" s="14">
        <f>IFERROR(AVERAGE(Tabel1[[#This Row],[Do - F1a]:[Do - F1c]]),"")</f>
        <v>2.6666666666666665</v>
      </c>
      <c r="ER129" s="14">
        <v>3</v>
      </c>
      <c r="ES129" s="14">
        <f>IFERROR(AVERAGE(Tabel1[[#This Row],[Do - F2a]:[Do - F2a]]),"")</f>
        <v>3</v>
      </c>
      <c r="ET129" s="14">
        <v>5</v>
      </c>
      <c r="EU129" s="14">
        <v>3</v>
      </c>
      <c r="EV129" s="14">
        <f>IFERROR(AVERAGE(Tabel1[[#This Row],[Do - F3a]:[Do - F3b]]),"")</f>
        <v>4</v>
      </c>
      <c r="EW129" s="14">
        <v>5</v>
      </c>
      <c r="EX129" s="14">
        <f>IFERROR(AVERAGE(Tabel1[[#This Row],[Do - F1]],Tabel1[[#This Row],[Do - F2]],Tabel1[[#This Row],[Do - F3]],Tabel1[[#This Row],[Do - F4]]),"")</f>
        <v>3.6666666666666665</v>
      </c>
      <c r="EY129" s="14">
        <v>4</v>
      </c>
      <c r="EZ129" s="14">
        <v>2</v>
      </c>
      <c r="FA129" s="14">
        <v>3</v>
      </c>
      <c r="FB129" s="14">
        <f>IFERROR(AVERAGE(Tabel1[[#This Row],[Do - V1a]:[Do - V1c]]),"")</f>
        <v>3</v>
      </c>
      <c r="FC129" s="14">
        <v>5</v>
      </c>
      <c r="FD129" s="14">
        <v>2</v>
      </c>
      <c r="FE129" s="14">
        <f>IFERROR(AVERAGE(Tabel1[[#This Row],[Do - V2a]:[Do - V2b]]),"")</f>
        <v>3.5</v>
      </c>
      <c r="FF129" s="14">
        <v>2</v>
      </c>
      <c r="FG129" s="14">
        <f>IFERROR(AVERAGE(Tabel1[[#This Row],[Do - V3a]:[Do - V3a]]),"")</f>
        <v>2</v>
      </c>
      <c r="FH129" s="14" t="s">
        <v>189</v>
      </c>
      <c r="FI129" s="14">
        <f>IFERROR(AVERAGE(Tabel1[[#This Row],[Do - V1]],Tabel1[[#This Row],[Do - V2]],Tabel1[[#This Row],[Do - V3]],Tabel1[[#This Row],[Do - V4]]),"")</f>
        <v>2.8333333333333335</v>
      </c>
      <c r="FJ129" s="14">
        <v>4</v>
      </c>
      <c r="FK129" s="14">
        <v>3</v>
      </c>
      <c r="FL129" s="14">
        <v>4</v>
      </c>
      <c r="FM129" s="14">
        <f>IFERROR(AVERAGE(Tabel1[[#This Row],[Do - A1a]:[Do - A1c]]),"")</f>
        <v>3.6666666666666665</v>
      </c>
      <c r="FN129" s="14">
        <v>5</v>
      </c>
      <c r="FO129" s="14">
        <v>5</v>
      </c>
      <c r="FP129" s="14">
        <f>IFERROR(AVERAGE(Tabel1[[#This Row],[Do - A2a]:[Do - A2b]]),"")</f>
        <v>5</v>
      </c>
      <c r="FQ129" s="14">
        <v>3</v>
      </c>
      <c r="FR129" s="14">
        <f>IFERROR(AVERAGE(Tabel1[[#This Row],[Do - A3a]:[Do - A3a]]),"")</f>
        <v>3</v>
      </c>
      <c r="FS129" s="14">
        <v>4</v>
      </c>
      <c r="FT129" s="14">
        <f>IFERROR(AVERAGE(Tabel1[[#This Row],[Do - A1]],Tabel1[[#This Row],[Do - A2]],Tabel1[[#This Row],[Do - A3]],Tabel1[[#This Row],[Do - A4]]),"")</f>
        <v>3.9166666666666665</v>
      </c>
      <c r="FU12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3.7051851851851851</v>
      </c>
      <c r="FV129" s="16" t="s">
        <v>812</v>
      </c>
      <c r="FW129" t="b">
        <v>1</v>
      </c>
    </row>
    <row r="130" spans="1:179" x14ac:dyDescent="0.3">
      <c r="A130" s="13">
        <v>44995.5700462963</v>
      </c>
      <c r="B130" t="b">
        <v>0</v>
      </c>
      <c r="C130" s="14" t="s">
        <v>813</v>
      </c>
      <c r="D130" s="14" t="s">
        <v>814</v>
      </c>
      <c r="E130" s="14" t="s">
        <v>815</v>
      </c>
      <c r="F130" s="14" t="s">
        <v>184</v>
      </c>
      <c r="G130" s="14" t="s">
        <v>816</v>
      </c>
      <c r="H130" s="14" t="s">
        <v>222</v>
      </c>
      <c r="I130" s="14" t="s">
        <v>195</v>
      </c>
      <c r="J130" s="14" t="s">
        <v>533</v>
      </c>
      <c r="K130" s="14" t="s">
        <v>187</v>
      </c>
      <c r="L130" s="14" t="s">
        <v>197</v>
      </c>
      <c r="M130" s="14"/>
      <c r="N130" s="14" t="s">
        <v>199</v>
      </c>
      <c r="O130" s="14" t="s">
        <v>200</v>
      </c>
      <c r="P130" s="14"/>
      <c r="Q130" s="14"/>
      <c r="R130" s="14"/>
      <c r="S130" s="14" t="s">
        <v>235</v>
      </c>
      <c r="T130" s="14" t="s">
        <v>236</v>
      </c>
      <c r="U130" s="14" t="s">
        <v>285</v>
      </c>
      <c r="V130" s="14" t="s">
        <v>484</v>
      </c>
      <c r="W130" s="14" t="s">
        <v>207</v>
      </c>
      <c r="X130" s="14" t="s">
        <v>207</v>
      </c>
      <c r="Y130" s="14" t="s">
        <v>189</v>
      </c>
      <c r="Z130" s="14" t="s">
        <v>189</v>
      </c>
      <c r="AA130" s="14" t="s">
        <v>189</v>
      </c>
      <c r="AB130" s="15" t="str">
        <f>IFERROR(AVERAGE(Tabel1[[#This Row],[Up - R1a]:[Up - R1c]]),"")</f>
        <v/>
      </c>
      <c r="AC130" s="14" t="s">
        <v>189</v>
      </c>
      <c r="AD130" s="14" t="s">
        <v>189</v>
      </c>
      <c r="AE130" s="14" t="s">
        <v>189</v>
      </c>
      <c r="AF130" s="14" t="s">
        <v>189</v>
      </c>
      <c r="AG130" s="14" t="str">
        <f>IFERROR(AVERAGE(Tabel1[[#This Row],[Up - R1]:[Up - R5]]),"")</f>
        <v/>
      </c>
      <c r="AH130" s="14" t="s">
        <v>189</v>
      </c>
      <c r="AI130" s="14" t="s">
        <v>189</v>
      </c>
      <c r="AJ130" s="14" t="s">
        <v>189</v>
      </c>
      <c r="AK130" s="14" t="str">
        <f>IFERROR(AVERAGE(Tabel1[[#This Row],[Up - C1a]:[Up - C1c]]),"")</f>
        <v/>
      </c>
      <c r="AL130" s="14" t="s">
        <v>189</v>
      </c>
      <c r="AM130" s="14" t="s">
        <v>189</v>
      </c>
      <c r="AN130" s="14" t="s">
        <v>189</v>
      </c>
      <c r="AO130" s="14" t="str">
        <f>IFERROR(AVERAGE(Tabel1[[#This Row],[Up - C1]:[Up - C4]]),"")</f>
        <v/>
      </c>
      <c r="AP130" s="14" t="s">
        <v>189</v>
      </c>
      <c r="AQ130" s="14" t="str">
        <f>IFERROR(AVERAGE(Tabel1[[#This Row],[Up - F1a]:[Up - F1a]]),"")</f>
        <v/>
      </c>
      <c r="AR130" s="14" t="s">
        <v>189</v>
      </c>
      <c r="AS130" s="14" t="s">
        <v>189</v>
      </c>
      <c r="AT130" s="14" t="str">
        <f>IFERROR(AVERAGE(Tabel1[[#This Row],[Up - F2a]:[Up - F2b]]),"")</f>
        <v/>
      </c>
      <c r="AU130" s="14" t="s">
        <v>189</v>
      </c>
      <c r="AV130" s="14" t="s">
        <v>189</v>
      </c>
      <c r="AW130" s="14" t="str">
        <f>IFERROR(AVERAGE(Tabel1[[#This Row],[Up - F3a]:[Up - F3b]]),"")</f>
        <v/>
      </c>
      <c r="AX130" s="14" t="s">
        <v>189</v>
      </c>
      <c r="AY130" s="14" t="str">
        <f>IFERROR(AVERAGE(Tabel1[[#This Row],[Up - F1]],Tabel1[[#This Row],[Up - F2]],Tabel1[[#This Row],[Up - F3]],Tabel1[[#This Row],[Up - F4]]),"")</f>
        <v/>
      </c>
      <c r="AZ130" s="14" t="s">
        <v>189</v>
      </c>
      <c r="BA130" s="14" t="s">
        <v>189</v>
      </c>
      <c r="BB130" s="14" t="str">
        <f>IFERROR(AVERAGE(Tabel1[[#This Row],[Up - V1a]:[Up - V1b]]),"")</f>
        <v/>
      </c>
      <c r="BC130" s="14" t="s">
        <v>189</v>
      </c>
      <c r="BD130" s="14" t="s">
        <v>189</v>
      </c>
      <c r="BE130" s="14" t="s">
        <v>189</v>
      </c>
      <c r="BF130" s="14" t="str">
        <f>IFERROR(AVERAGE(Tabel1[[#This Row],[Up - V2a]:[Up - V2c]]),"")</f>
        <v/>
      </c>
      <c r="BG130" s="14" t="s">
        <v>189</v>
      </c>
      <c r="BH130" s="14" t="s">
        <v>189</v>
      </c>
      <c r="BI130" s="14" t="str">
        <f>IFERROR(AVERAGE(Tabel1[[#This Row],[Up - V3a]:[Up - V3b]]),"")</f>
        <v/>
      </c>
      <c r="BJ130" s="14" t="s">
        <v>189</v>
      </c>
      <c r="BK130" s="14" t="str">
        <f>IFERROR(AVERAGE(Tabel1[[#This Row],[Up - V1]],Tabel1[[#This Row],[Up - V2]],Tabel1[[#This Row],[Up - V3]],Tabel1[[#This Row],[Up - V4]]),"")</f>
        <v/>
      </c>
      <c r="BL130" s="14" t="s">
        <v>189</v>
      </c>
      <c r="BM130" s="14" t="s">
        <v>189</v>
      </c>
      <c r="BN130" s="14" t="s">
        <v>189</v>
      </c>
      <c r="BO130" s="14" t="s">
        <v>189</v>
      </c>
      <c r="BP130" s="14" t="str">
        <f>IFERROR(AVERAGE(Tabel1[[#This Row],[Up - A1a]:[Up - A1d]]),"")</f>
        <v/>
      </c>
      <c r="BQ130" s="14" t="s">
        <v>189</v>
      </c>
      <c r="BR130" s="14" t="s">
        <v>189</v>
      </c>
      <c r="BS130" s="14" t="str">
        <f>IFERROR(AVERAGE(Tabel1[[#This Row],[Up - A2a]:[Up - A2b]]),"")</f>
        <v/>
      </c>
      <c r="BT130" s="14" t="s">
        <v>189</v>
      </c>
      <c r="BU130" s="14" t="str">
        <f>IFERROR(AVERAGE(Tabel1[[#This Row],[Up - A3a]:[Up - A3a]]),"")</f>
        <v/>
      </c>
      <c r="BV130" s="14" t="s">
        <v>189</v>
      </c>
      <c r="BW130" s="14" t="str">
        <f>IFERROR(AVERAGE(Tabel1[[#This Row],[Up - A1]],Tabel1[[#This Row],[Up - A2]],Tabel1[[#This Row],[Up - A3]]),"")</f>
        <v/>
      </c>
      <c r="BX130" s="14">
        <v>3</v>
      </c>
      <c r="BY130" s="14">
        <v>4</v>
      </c>
      <c r="BZ130" s="14">
        <f>IFERROR(AVERAGE(Tabel1[[#This Row],[In - R1a]:[In - R1b]]),"")</f>
        <v>3.5</v>
      </c>
      <c r="CA130" s="14">
        <v>3</v>
      </c>
      <c r="CB130" s="14">
        <v>3</v>
      </c>
      <c r="CC130" s="14">
        <v>4</v>
      </c>
      <c r="CD130" s="14">
        <v>4</v>
      </c>
      <c r="CE130" s="14">
        <f>IFERROR(AVERAGE(Tabel1[[#This Row],[In - R1]:[In - R5]]),"")</f>
        <v>3.5</v>
      </c>
      <c r="CF130" s="14">
        <v>3</v>
      </c>
      <c r="CG130" s="14">
        <v>2</v>
      </c>
      <c r="CH130" s="14">
        <v>2</v>
      </c>
      <c r="CI130" s="14">
        <f>IFERROR(AVERAGE(Tabel1[[#This Row],[In - C1a]:[In - C1c]]),"")</f>
        <v>2.3333333333333335</v>
      </c>
      <c r="CJ130" s="14">
        <v>2</v>
      </c>
      <c r="CK130" s="14">
        <v>2</v>
      </c>
      <c r="CL130" s="14">
        <v>2</v>
      </c>
      <c r="CM130" s="14">
        <f>IFERROR(AVERAGE(Tabel1[[#This Row],[In - C1]:[In - C4]]),"")</f>
        <v>2.0833333333333335</v>
      </c>
      <c r="CN130" s="14">
        <v>3</v>
      </c>
      <c r="CO130" s="14">
        <v>3</v>
      </c>
      <c r="CP130" s="14">
        <v>2</v>
      </c>
      <c r="CQ130" s="14">
        <f>IFERROR(AVERAGE(Tabel1[[#This Row],[In - F1a]:[In - F1c]]),"")</f>
        <v>2.6666666666666665</v>
      </c>
      <c r="CR130" s="14">
        <v>2</v>
      </c>
      <c r="CS130" s="14">
        <v>2</v>
      </c>
      <c r="CT130" s="14">
        <f>IFERROR(AVERAGE(Tabel1[[#This Row],[In - F2a]:[In - F2b]]),"")</f>
        <v>2</v>
      </c>
      <c r="CU130" s="14">
        <v>2</v>
      </c>
      <c r="CV130" s="14">
        <f>IFERROR(AVERAGE(Tabel1[[#This Row],[In - F3a]:[In - F3a]]),"")</f>
        <v>2</v>
      </c>
      <c r="CW130" s="14">
        <v>3</v>
      </c>
      <c r="CX130" s="14">
        <f>IFERROR(AVERAGE(Tabel1[[#This Row],[In - F1]],Tabel1[[#This Row],[In - F2]],Tabel1[[#This Row],[In - F3]],Tabel1[[#This Row],[In - F4]]),"")</f>
        <v>2.4166666666666665</v>
      </c>
      <c r="CY130" s="14">
        <v>2</v>
      </c>
      <c r="CZ130" s="14">
        <v>2</v>
      </c>
      <c r="DA130" s="14">
        <v>2</v>
      </c>
      <c r="DB130" s="14">
        <f>IFERROR(AVERAGE(Tabel1[[#This Row],[In - V1a]:[In - V1c]]),"")</f>
        <v>2</v>
      </c>
      <c r="DC130" s="14">
        <v>3</v>
      </c>
      <c r="DD130" s="14" t="s">
        <v>189</v>
      </c>
      <c r="DE130" s="14">
        <v>3</v>
      </c>
      <c r="DF130" s="14">
        <f>IFERROR(AVERAGE(Tabel1[[#This Row],[In - V2a]:[In - V2c]]),"")</f>
        <v>3</v>
      </c>
      <c r="DG130" s="14">
        <v>1</v>
      </c>
      <c r="DH130" s="14">
        <v>2</v>
      </c>
      <c r="DI130" s="14">
        <f>IFERROR(AVERAGE(Tabel1[[#This Row],[In - V3a]:[In - V3b]]),"")</f>
        <v>1.5</v>
      </c>
      <c r="DJ130" s="14" t="s">
        <v>189</v>
      </c>
      <c r="DK130" s="14">
        <f>IFERROR(AVERAGE(Tabel1[[#This Row],[In - V1]],Tabel1[[#This Row],[In - V2]],Tabel1[[#This Row],[In - V3]],Tabel1[[#This Row],[In - V4]]),"")</f>
        <v>2.1666666666666665</v>
      </c>
      <c r="DL130" s="14">
        <v>2</v>
      </c>
      <c r="DM130" s="14">
        <v>4</v>
      </c>
      <c r="DN130" s="14">
        <f>IFERROR(AVERAGE(Tabel1[[#This Row],[In - A1a]:[In - A1b]]),"")</f>
        <v>3</v>
      </c>
      <c r="DO130" s="14">
        <v>3</v>
      </c>
      <c r="DP130" s="14">
        <v>2</v>
      </c>
      <c r="DQ130" s="14">
        <f>IFERROR(AVERAGE(Tabel1[[#This Row],[In - A2a]:[In - A2b]]),"")</f>
        <v>2.5</v>
      </c>
      <c r="DR130" s="14">
        <v>3</v>
      </c>
      <c r="DS130" s="14">
        <v>2</v>
      </c>
      <c r="DT130" s="14">
        <f>IFERROR(AVERAGE(Tabel1[[#This Row],[In - A3a]:[In - A3a]]),"")</f>
        <v>3</v>
      </c>
      <c r="DU130" s="14" t="s">
        <v>189</v>
      </c>
      <c r="DV130" s="14">
        <f>IFERROR(AVERAGE(Tabel1[[#This Row],[In - A1]],Tabel1[[#This Row],[In - A2]],Tabel1[[#This Row],[In - A3]],Tabel1[[#This Row],[In - A4]]),"")</f>
        <v>2.8333333333333335</v>
      </c>
      <c r="DW130" s="14" t="s">
        <v>189</v>
      </c>
      <c r="DX130" s="14" t="s">
        <v>189</v>
      </c>
      <c r="DY130" s="14" t="s">
        <v>189</v>
      </c>
      <c r="DZ130" s="14" t="str">
        <f>IFERROR(AVERAGE(Tabel1[[#This Row],[Do - R1a]:[Do - R1c]]),"")</f>
        <v/>
      </c>
      <c r="EA130" s="14" t="s">
        <v>189</v>
      </c>
      <c r="EB130" s="14" t="s">
        <v>189</v>
      </c>
      <c r="EC130" s="14" t="s">
        <v>189</v>
      </c>
      <c r="ED130" s="14" t="s">
        <v>189</v>
      </c>
      <c r="EE130" s="14" t="str">
        <f>IFERROR(AVERAGE(Tabel1[[#This Row],[Do - R1]:[Do - R5]]),"")</f>
        <v/>
      </c>
      <c r="EF130" s="14" t="s">
        <v>189</v>
      </c>
      <c r="EG130" s="14" t="s">
        <v>189</v>
      </c>
      <c r="EH130" s="14" t="s">
        <v>189</v>
      </c>
      <c r="EI130" s="14" t="str">
        <f>IFERROR(AVERAGE(Tabel1[[#This Row],[Do - C1a]:[Do - C1c]]),"")</f>
        <v/>
      </c>
      <c r="EJ130" s="14" t="s">
        <v>189</v>
      </c>
      <c r="EK130" s="14" t="s">
        <v>189</v>
      </c>
      <c r="EL130" s="14" t="s">
        <v>189</v>
      </c>
      <c r="EM130" s="14" t="str">
        <f>IFERROR(AVERAGE(Tabel1[[#This Row],[Do - C1]:[Do - C4]]),"")</f>
        <v/>
      </c>
      <c r="EN130" s="14" t="s">
        <v>189</v>
      </c>
      <c r="EO130" s="14" t="s">
        <v>189</v>
      </c>
      <c r="EP130" s="14" t="s">
        <v>189</v>
      </c>
      <c r="EQ130" s="14" t="str">
        <f>IFERROR(AVERAGE(Tabel1[[#This Row],[Do - F1a]:[Do - F1c]]),"")</f>
        <v/>
      </c>
      <c r="ER130" s="14" t="s">
        <v>189</v>
      </c>
      <c r="ES130" s="14" t="str">
        <f>IFERROR(AVERAGE(Tabel1[[#This Row],[Do - F2a]:[Do - F2a]]),"")</f>
        <v/>
      </c>
      <c r="ET130" s="14" t="s">
        <v>189</v>
      </c>
      <c r="EU130" s="14" t="s">
        <v>189</v>
      </c>
      <c r="EV130" s="14" t="str">
        <f>IFERROR(AVERAGE(Tabel1[[#This Row],[Do - F3a]:[Do - F3b]]),"")</f>
        <v/>
      </c>
      <c r="EW130" s="14" t="s">
        <v>189</v>
      </c>
      <c r="EX130" s="14" t="str">
        <f>IFERROR(AVERAGE(Tabel1[[#This Row],[Do - F1]],Tabel1[[#This Row],[Do - F2]],Tabel1[[#This Row],[Do - F3]],Tabel1[[#This Row],[Do - F4]]),"")</f>
        <v/>
      </c>
      <c r="EY130" s="14" t="s">
        <v>189</v>
      </c>
      <c r="EZ130" s="14" t="s">
        <v>189</v>
      </c>
      <c r="FA130" s="14" t="s">
        <v>189</v>
      </c>
      <c r="FB130" s="14" t="str">
        <f>IFERROR(AVERAGE(Tabel1[[#This Row],[Do - V1a]:[Do - V1c]]),"")</f>
        <v/>
      </c>
      <c r="FC130" s="14" t="s">
        <v>189</v>
      </c>
      <c r="FD130" s="14" t="s">
        <v>189</v>
      </c>
      <c r="FE130" s="14" t="str">
        <f>IFERROR(AVERAGE(Tabel1[[#This Row],[Do - V2a]:[Do - V2b]]),"")</f>
        <v/>
      </c>
      <c r="FF130" s="14" t="s">
        <v>189</v>
      </c>
      <c r="FG130" s="14" t="str">
        <f>IFERROR(AVERAGE(Tabel1[[#This Row],[Do - V3a]:[Do - V3a]]),"")</f>
        <v/>
      </c>
      <c r="FH130" s="14" t="s">
        <v>189</v>
      </c>
      <c r="FI130" s="14" t="str">
        <f>IFERROR(AVERAGE(Tabel1[[#This Row],[Do - V1]],Tabel1[[#This Row],[Do - V2]],Tabel1[[#This Row],[Do - V3]],Tabel1[[#This Row],[Do - V4]]),"")</f>
        <v/>
      </c>
      <c r="FJ130" s="14" t="s">
        <v>189</v>
      </c>
      <c r="FK130" s="14" t="s">
        <v>189</v>
      </c>
      <c r="FL130" s="14" t="s">
        <v>189</v>
      </c>
      <c r="FM130" s="14" t="str">
        <f>IFERROR(AVERAGE(Tabel1[[#This Row],[Do - A1a]:[Do - A1c]]),"")</f>
        <v/>
      </c>
      <c r="FN130" s="14" t="s">
        <v>189</v>
      </c>
      <c r="FO130" s="14" t="s">
        <v>189</v>
      </c>
      <c r="FP130" s="14" t="str">
        <f>IFERROR(AVERAGE(Tabel1[[#This Row],[Do - A2a]:[Do - A2b]]),"")</f>
        <v/>
      </c>
      <c r="FQ130" s="14" t="s">
        <v>189</v>
      </c>
      <c r="FR130" s="14" t="str">
        <f>IFERROR(AVERAGE(Tabel1[[#This Row],[Do - A3a]:[Do - A3a]]),"")</f>
        <v/>
      </c>
      <c r="FS130" s="14" t="s">
        <v>189</v>
      </c>
      <c r="FT130" s="14" t="str">
        <f>IFERROR(AVERAGE(Tabel1[[#This Row],[Do - A1]],Tabel1[[#This Row],[Do - A2]],Tabel1[[#This Row],[Do - A3]],Tabel1[[#This Row],[Do - A4]]),"")</f>
        <v/>
      </c>
      <c r="FU13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</v>
      </c>
      <c r="FV130" s="16" t="s">
        <v>817</v>
      </c>
      <c r="FW130" t="b">
        <v>1</v>
      </c>
    </row>
    <row r="131" spans="1:179" x14ac:dyDescent="0.3">
      <c r="A131" s="13">
        <v>44997.580914351798</v>
      </c>
      <c r="B131" t="b">
        <v>0</v>
      </c>
      <c r="C131" t="s">
        <v>818</v>
      </c>
      <c r="D131" t="s">
        <v>819</v>
      </c>
      <c r="E131" t="s">
        <v>820</v>
      </c>
      <c r="F131" s="14" t="s">
        <v>739</v>
      </c>
      <c r="G131" t="s">
        <v>821</v>
      </c>
      <c r="H131" s="14" t="s">
        <v>194</v>
      </c>
      <c r="I131" t="s">
        <v>385</v>
      </c>
      <c r="K131" t="s">
        <v>187</v>
      </c>
      <c r="L131" t="s">
        <v>197</v>
      </c>
      <c r="N131" t="s">
        <v>199</v>
      </c>
      <c r="P131" s="22" t="s">
        <v>255</v>
      </c>
      <c r="U131" t="s">
        <v>205</v>
      </c>
      <c r="V131" t="s">
        <v>206</v>
      </c>
      <c r="W131" t="s">
        <v>207</v>
      </c>
      <c r="X131" t="s">
        <v>207</v>
      </c>
      <c r="Y131" t="s">
        <v>189</v>
      </c>
      <c r="Z131" t="s">
        <v>189</v>
      </c>
      <c r="AA131" t="s">
        <v>189</v>
      </c>
      <c r="AB131" t="str">
        <f>IFERROR(AVERAGE(Tabel1[[#This Row],[Up - R1a]:[Up - R1c]]),"")</f>
        <v/>
      </c>
      <c r="AC131" t="s">
        <v>189</v>
      </c>
      <c r="AD131" t="s">
        <v>189</v>
      </c>
      <c r="AE131" t="s">
        <v>189</v>
      </c>
      <c r="AF131" t="s">
        <v>189</v>
      </c>
      <c r="AG131" t="str">
        <f>IFERROR(AVERAGE(Tabel1[[#This Row],[Up - R1]:[Up - R5]]),"")</f>
        <v/>
      </c>
      <c r="AH131" t="s">
        <v>189</v>
      </c>
      <c r="AI131" t="s">
        <v>189</v>
      </c>
      <c r="AJ131" t="s">
        <v>189</v>
      </c>
      <c r="AK131" t="str">
        <f>IFERROR(AVERAGE(Tabel1[[#This Row],[Up - C1a]:[Up - C1c]]),"")</f>
        <v/>
      </c>
      <c r="AL131" t="s">
        <v>189</v>
      </c>
      <c r="AM131" t="s">
        <v>189</v>
      </c>
      <c r="AN131" t="s">
        <v>189</v>
      </c>
      <c r="AO131" t="str">
        <f>IFERROR(AVERAGE(Tabel1[[#This Row],[Up - C1]:[Up - C4]]),"")</f>
        <v/>
      </c>
      <c r="AP131" t="s">
        <v>189</v>
      </c>
      <c r="AQ131" t="str">
        <f>IFERROR(AVERAGE(Tabel1[[#This Row],[Up - F1a]:[Up - F1a]]),"")</f>
        <v/>
      </c>
      <c r="AR131" t="s">
        <v>189</v>
      </c>
      <c r="AS131" t="s">
        <v>189</v>
      </c>
      <c r="AT131" t="str">
        <f>IFERROR(AVERAGE(Tabel1[[#This Row],[Up - F2a]:[Up - F2b]]),"")</f>
        <v/>
      </c>
      <c r="AU131" t="s">
        <v>189</v>
      </c>
      <c r="AV131" t="s">
        <v>189</v>
      </c>
      <c r="AW131" t="str">
        <f>IFERROR(AVERAGE(Tabel1[[#This Row],[Up - F3a]:[Up - F3b]]),"")</f>
        <v/>
      </c>
      <c r="AX131" t="s">
        <v>189</v>
      </c>
      <c r="AY131" t="str">
        <f>IFERROR(AVERAGE(Tabel1[[#This Row],[Up - F1]],Tabel1[[#This Row],[Up - F2]],Tabel1[[#This Row],[Up - F3]],Tabel1[[#This Row],[Up - F4]]),"")</f>
        <v/>
      </c>
      <c r="AZ131" t="s">
        <v>189</v>
      </c>
      <c r="BA131" t="s">
        <v>189</v>
      </c>
      <c r="BB131" t="str">
        <f>IFERROR(AVERAGE(Tabel1[[#This Row],[Up - V1a]:[Up - V1b]]),"")</f>
        <v/>
      </c>
      <c r="BC131" t="s">
        <v>189</v>
      </c>
      <c r="BD131" t="s">
        <v>189</v>
      </c>
      <c r="BE131" t="s">
        <v>189</v>
      </c>
      <c r="BF131" t="str">
        <f>IFERROR(AVERAGE(Tabel1[[#This Row],[Up - V2a]:[Up - V2c]]),"")</f>
        <v/>
      </c>
      <c r="BG131" t="s">
        <v>189</v>
      </c>
      <c r="BH131" t="s">
        <v>189</v>
      </c>
      <c r="BI131" t="str">
        <f>IFERROR(AVERAGE(Tabel1[[#This Row],[Up - V3a]:[Up - V3b]]),"")</f>
        <v/>
      </c>
      <c r="BJ131" t="s">
        <v>189</v>
      </c>
      <c r="BK131" t="str">
        <f>IFERROR(AVERAGE(Tabel1[[#This Row],[Up - V1]],Tabel1[[#This Row],[Up - V2]],Tabel1[[#This Row],[Up - V3]],Tabel1[[#This Row],[Up - V4]]),"")</f>
        <v/>
      </c>
      <c r="BL131" t="s">
        <v>189</v>
      </c>
      <c r="BM131" t="s">
        <v>189</v>
      </c>
      <c r="BN131" t="s">
        <v>189</v>
      </c>
      <c r="BO131" t="s">
        <v>189</v>
      </c>
      <c r="BP131" t="str">
        <f>IFERROR(AVERAGE(Tabel1[[#This Row],[Up - A1a]:[Up - A1d]]),"")</f>
        <v/>
      </c>
      <c r="BQ131" t="s">
        <v>189</v>
      </c>
      <c r="BR131" t="s">
        <v>189</v>
      </c>
      <c r="BS131" t="str">
        <f>IFERROR(AVERAGE(Tabel1[[#This Row],[Up - A2a]:[Up - A2b]]),"")</f>
        <v/>
      </c>
      <c r="BT131" t="s">
        <v>189</v>
      </c>
      <c r="BU131" t="str">
        <f>IFERROR(AVERAGE(Tabel1[[#This Row],[Up - A3a]:[Up - A3a]]),"")</f>
        <v/>
      </c>
      <c r="BV131" t="s">
        <v>189</v>
      </c>
      <c r="BW131" t="str">
        <f>IFERROR(AVERAGE(Tabel1[[#This Row],[Up - A1]],Tabel1[[#This Row],[Up - A2]],Tabel1[[#This Row],[Up - A3]]),"")</f>
        <v/>
      </c>
      <c r="BX131" t="s">
        <v>189</v>
      </c>
      <c r="BY131" t="s">
        <v>189</v>
      </c>
      <c r="BZ131" t="str">
        <f>IFERROR(AVERAGE(Tabel1[[#This Row],[In - R1a]:[In - R1b]]),"")</f>
        <v/>
      </c>
      <c r="CA131" t="s">
        <v>189</v>
      </c>
      <c r="CB131">
        <v>5</v>
      </c>
      <c r="CC131" t="s">
        <v>189</v>
      </c>
      <c r="CD131" t="s">
        <v>189</v>
      </c>
      <c r="CE131">
        <f>IFERROR(AVERAGE(Tabel1[[#This Row],[In - R1]:[In - R5]]),"")</f>
        <v>5</v>
      </c>
      <c r="CF131">
        <v>5</v>
      </c>
      <c r="CG131">
        <v>5</v>
      </c>
      <c r="CH131">
        <v>5</v>
      </c>
      <c r="CI131">
        <f>IFERROR(AVERAGE(Tabel1[[#This Row],[In - C1a]:[In - C1c]]),"")</f>
        <v>5</v>
      </c>
      <c r="CJ131" t="s">
        <v>189</v>
      </c>
      <c r="CK131" t="s">
        <v>189</v>
      </c>
      <c r="CL131" t="s">
        <v>189</v>
      </c>
      <c r="CM131">
        <f>IFERROR(AVERAGE(Tabel1[[#This Row],[In - C1]:[In - C4]]),"")</f>
        <v>5</v>
      </c>
      <c r="CN131" t="s">
        <v>189</v>
      </c>
      <c r="CO131">
        <v>4</v>
      </c>
      <c r="CP131" t="s">
        <v>189</v>
      </c>
      <c r="CQ131">
        <f>IFERROR(AVERAGE(Tabel1[[#This Row],[In - F1a]:[In - F1c]]),"")</f>
        <v>4</v>
      </c>
      <c r="CR131" t="s">
        <v>189</v>
      </c>
      <c r="CS131" t="s">
        <v>189</v>
      </c>
      <c r="CT131" t="str">
        <f>IFERROR(AVERAGE(Tabel1[[#This Row],[In - F2a]:[In - F2b]]),"")</f>
        <v/>
      </c>
      <c r="CU131" t="s">
        <v>189</v>
      </c>
      <c r="CV131" t="str">
        <f>IFERROR(AVERAGE(Tabel1[[#This Row],[In - F3a]:[In - F3a]]),"")</f>
        <v/>
      </c>
      <c r="CW131" t="s">
        <v>189</v>
      </c>
      <c r="CX131">
        <f>IFERROR(AVERAGE(Tabel1[[#This Row],[In - F1]],Tabel1[[#This Row],[In - F2]],Tabel1[[#This Row],[In - F3]],Tabel1[[#This Row],[In - F4]]),"")</f>
        <v>4</v>
      </c>
      <c r="CY131" t="s">
        <v>189</v>
      </c>
      <c r="CZ131">
        <v>5</v>
      </c>
      <c r="DA131" t="s">
        <v>189</v>
      </c>
      <c r="DB131">
        <f>IFERROR(AVERAGE(Tabel1[[#This Row],[In - V1a]:[In - V1c]]),"")</f>
        <v>5</v>
      </c>
      <c r="DC131">
        <v>5</v>
      </c>
      <c r="DD131" t="s">
        <v>189</v>
      </c>
      <c r="DE131">
        <v>4</v>
      </c>
      <c r="DF131">
        <f>IFERROR(AVERAGE(Tabel1[[#This Row],[In - V2a]:[In - V2c]]),"")</f>
        <v>4.5</v>
      </c>
      <c r="DG131" t="s">
        <v>189</v>
      </c>
      <c r="DH131" t="s">
        <v>189</v>
      </c>
      <c r="DI131" t="str">
        <f>IFERROR(AVERAGE(Tabel1[[#This Row],[In - V3a]:[In - V3b]]),"")</f>
        <v/>
      </c>
      <c r="DJ131" t="s">
        <v>189</v>
      </c>
      <c r="DK131">
        <f>IFERROR(AVERAGE(Tabel1[[#This Row],[In - V1]],Tabel1[[#This Row],[In - V2]],Tabel1[[#This Row],[In - V3]],Tabel1[[#This Row],[In - V4]]),"")</f>
        <v>4.75</v>
      </c>
      <c r="DL131" t="s">
        <v>189</v>
      </c>
      <c r="DM131" t="s">
        <v>189</v>
      </c>
      <c r="DN131" t="str">
        <f>IFERROR(AVERAGE(Tabel1[[#This Row],[In - A1a]:[In - A1b]]),"")</f>
        <v/>
      </c>
      <c r="DO131" t="s">
        <v>189</v>
      </c>
      <c r="DP131" t="s">
        <v>189</v>
      </c>
      <c r="DQ131" t="str">
        <f>IFERROR(AVERAGE(Tabel1[[#This Row],[In - A2a]:[In - A2b]]),"")</f>
        <v/>
      </c>
      <c r="DR131">
        <v>4</v>
      </c>
      <c r="DS131" t="s">
        <v>189</v>
      </c>
      <c r="DT131">
        <f>IFERROR(AVERAGE(Tabel1[[#This Row],[In - A3a]:[In - A3a]]),"")</f>
        <v>4</v>
      </c>
      <c r="DU131" t="s">
        <v>189</v>
      </c>
      <c r="DV131">
        <f>IFERROR(AVERAGE(Tabel1[[#This Row],[In - A1]],Tabel1[[#This Row],[In - A2]],Tabel1[[#This Row],[In - A3]],Tabel1[[#This Row],[In - A4]]),"")</f>
        <v>4</v>
      </c>
      <c r="DW131" t="s">
        <v>189</v>
      </c>
      <c r="DX131">
        <v>5</v>
      </c>
      <c r="DY131" t="s">
        <v>189</v>
      </c>
      <c r="DZ131">
        <f>IFERROR(AVERAGE(Tabel1[[#This Row],[Do - R1a]:[Do - R1c]]),"")</f>
        <v>5</v>
      </c>
      <c r="EA131" t="s">
        <v>189</v>
      </c>
      <c r="EB131" t="s">
        <v>189</v>
      </c>
      <c r="EC131" t="s">
        <v>189</v>
      </c>
      <c r="ED131" t="s">
        <v>189</v>
      </c>
      <c r="EE131">
        <f>IFERROR(AVERAGE(Tabel1[[#This Row],[Do - R1]:[Do - R5]]),"")</f>
        <v>5</v>
      </c>
      <c r="EF131">
        <v>5</v>
      </c>
      <c r="EG131">
        <v>5</v>
      </c>
      <c r="EH131" t="s">
        <v>189</v>
      </c>
      <c r="EI131">
        <f>IFERROR(AVERAGE(Tabel1[[#This Row],[Do - C1a]:[Do - C1c]]),"")</f>
        <v>5</v>
      </c>
      <c r="EJ131">
        <v>4</v>
      </c>
      <c r="EK131">
        <v>2</v>
      </c>
      <c r="EL131" t="s">
        <v>189</v>
      </c>
      <c r="EM131">
        <f>IFERROR(AVERAGE(Tabel1[[#This Row],[Do - C1]:[Do - C4]]),"")</f>
        <v>3.6666666666666665</v>
      </c>
      <c r="EN131">
        <v>3</v>
      </c>
      <c r="EO131">
        <v>3</v>
      </c>
      <c r="EP131">
        <v>4</v>
      </c>
      <c r="EQ131" s="14">
        <f>IFERROR(AVERAGE(Tabel1[[#This Row],[Do - F1a]:[Do - F1c]]),"")</f>
        <v>3.3333333333333335</v>
      </c>
      <c r="ER131">
        <v>3</v>
      </c>
      <c r="ES131" s="14">
        <f>IFERROR(AVERAGE(Tabel1[[#This Row],[Do - F2a]:[Do - F2a]]),"")</f>
        <v>3</v>
      </c>
      <c r="ET131" t="s">
        <v>189</v>
      </c>
      <c r="EU131">
        <v>2</v>
      </c>
      <c r="EV131" s="14">
        <f>IFERROR(AVERAGE(Tabel1[[#This Row],[Do - F3a]:[Do - F3b]]),"")</f>
        <v>2</v>
      </c>
      <c r="EW131" t="s">
        <v>189</v>
      </c>
      <c r="EX131" s="14">
        <f>IFERROR(AVERAGE(Tabel1[[#This Row],[Do - F1]],Tabel1[[#This Row],[Do - F2]],Tabel1[[#This Row],[Do - F3]],Tabel1[[#This Row],[Do - F4]]),"")</f>
        <v>2.7777777777777781</v>
      </c>
      <c r="EY131">
        <v>3</v>
      </c>
      <c r="EZ131" t="s">
        <v>189</v>
      </c>
      <c r="FA131">
        <v>5</v>
      </c>
      <c r="FB131" s="14">
        <f>IFERROR(AVERAGE(Tabel1[[#This Row],[Do - V1a]:[Do - V1c]]),"")</f>
        <v>4</v>
      </c>
      <c r="FC131" t="s">
        <v>189</v>
      </c>
      <c r="FD131" t="s">
        <v>189</v>
      </c>
      <c r="FE131" t="str">
        <f>IFERROR(AVERAGE(Tabel1[[#This Row],[Do - V2a]:[Do - V2b]]),"")</f>
        <v/>
      </c>
      <c r="FF131" t="s">
        <v>189</v>
      </c>
      <c r="FG131" t="str">
        <f>IFERROR(AVERAGE(Tabel1[[#This Row],[Do - V3a]:[Do - V3a]]),"")</f>
        <v/>
      </c>
      <c r="FH131" t="s">
        <v>189</v>
      </c>
      <c r="FI131">
        <f>IFERROR(AVERAGE(Tabel1[[#This Row],[Do - V1]],Tabel1[[#This Row],[Do - V2]],Tabel1[[#This Row],[Do - V3]],Tabel1[[#This Row],[Do - V4]]),"")</f>
        <v>4</v>
      </c>
      <c r="FJ131" t="s">
        <v>189</v>
      </c>
      <c r="FK131" t="s">
        <v>189</v>
      </c>
      <c r="FL131">
        <v>5</v>
      </c>
      <c r="FM131">
        <f>IFERROR(AVERAGE(Tabel1[[#This Row],[Do - A1a]:[Do - A1c]]),"")</f>
        <v>5</v>
      </c>
      <c r="FN131" t="s">
        <v>189</v>
      </c>
      <c r="FO131" t="s">
        <v>189</v>
      </c>
      <c r="FP131" t="str">
        <f>IFERROR(AVERAGE(Tabel1[[#This Row],[Do - A2a]:[Do - A2b]]),"")</f>
        <v/>
      </c>
      <c r="FQ131" t="s">
        <v>189</v>
      </c>
      <c r="FR131" t="str">
        <f>IFERROR(AVERAGE(Tabel1[[#This Row],[Do - A3a]:[Do - A3a]]),"")</f>
        <v/>
      </c>
      <c r="FS131" t="s">
        <v>189</v>
      </c>
      <c r="FT131">
        <f>IFERROR(AVERAGE(Tabel1[[#This Row],[Do - A1]],Tabel1[[#This Row],[Do - A2]],Tabel1[[#This Row],[Do - A3]],Tabel1[[#This Row],[Do - A4]]),"")</f>
        <v>5</v>
      </c>
      <c r="FU13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4.3194444444444446</v>
      </c>
      <c r="FV131" t="s">
        <v>822</v>
      </c>
      <c r="FW131" t="b">
        <v>1</v>
      </c>
    </row>
    <row r="132" spans="1:179" x14ac:dyDescent="0.3">
      <c r="A132" s="13">
        <v>44998.376689814817</v>
      </c>
      <c r="B132" t="b">
        <v>0</v>
      </c>
      <c r="C132" s="14" t="s">
        <v>823</v>
      </c>
      <c r="D132" s="14" t="s">
        <v>824</v>
      </c>
      <c r="E132" s="14" t="s">
        <v>415</v>
      </c>
      <c r="F132" s="14" t="s">
        <v>184</v>
      </c>
      <c r="G132" s="14" t="s">
        <v>825</v>
      </c>
      <c r="H132" s="14" t="s">
        <v>222</v>
      </c>
      <c r="I132" s="14" t="s">
        <v>417</v>
      </c>
      <c r="J132" s="14" t="s">
        <v>418</v>
      </c>
      <c r="K132" s="14" t="s">
        <v>201</v>
      </c>
      <c r="L132" s="14" t="s">
        <v>197</v>
      </c>
      <c r="M132" s="14" t="s">
        <v>281</v>
      </c>
      <c r="N132" s="14" t="s">
        <v>262</v>
      </c>
      <c r="O132" s="14" t="s">
        <v>200</v>
      </c>
      <c r="P132" s="17" t="s">
        <v>255</v>
      </c>
      <c r="Q132" s="14" t="s">
        <v>201</v>
      </c>
      <c r="R132" s="14" t="s">
        <v>201</v>
      </c>
      <c r="S132" s="17" t="s">
        <v>304</v>
      </c>
      <c r="T132" s="14" t="s">
        <v>380</v>
      </c>
      <c r="U132" s="14" t="s">
        <v>205</v>
      </c>
      <c r="V132" s="14" t="s">
        <v>359</v>
      </c>
      <c r="W132" s="14" t="s">
        <v>306</v>
      </c>
      <c r="X132" s="14" t="s">
        <v>306</v>
      </c>
      <c r="Y132" s="14">
        <v>1</v>
      </c>
      <c r="Z132" s="14">
        <v>1</v>
      </c>
      <c r="AA132" s="14">
        <v>3</v>
      </c>
      <c r="AB132" s="15">
        <f>IFERROR(AVERAGE(Tabel1[[#This Row],[Up - R1a]:[Up - R1c]]),"")</f>
        <v>1.6666666666666667</v>
      </c>
      <c r="AC132" s="14">
        <v>3</v>
      </c>
      <c r="AD132" s="14">
        <v>1</v>
      </c>
      <c r="AE132" s="14">
        <v>2</v>
      </c>
      <c r="AF132" s="14">
        <v>4</v>
      </c>
      <c r="AG132" s="14">
        <f>IFERROR(AVERAGE(Tabel1[[#This Row],[Up - R1]:[Up - R5]]),"")</f>
        <v>2.3333333333333335</v>
      </c>
      <c r="AH132" s="14">
        <v>5</v>
      </c>
      <c r="AI132" s="14">
        <v>3</v>
      </c>
      <c r="AJ132" s="14">
        <v>2</v>
      </c>
      <c r="AK132" s="14">
        <f>IFERROR(AVERAGE(Tabel1[[#This Row],[Up - C1a]:[Up - C1c]]),"")</f>
        <v>3.3333333333333335</v>
      </c>
      <c r="AL132" s="14">
        <v>1</v>
      </c>
      <c r="AM132" s="14">
        <v>1</v>
      </c>
      <c r="AN132" s="14">
        <v>1</v>
      </c>
      <c r="AO132" s="14">
        <f>IFERROR(AVERAGE(Tabel1[[#This Row],[Up - C1]:[Up - C4]]),"")</f>
        <v>1.5833333333333335</v>
      </c>
      <c r="AP132" s="14">
        <v>2</v>
      </c>
      <c r="AQ132" s="14">
        <f>IFERROR(AVERAGE(Tabel1[[#This Row],[Up - F1a]:[Up - F1a]]),"")</f>
        <v>2</v>
      </c>
      <c r="AR132" s="14">
        <v>1</v>
      </c>
      <c r="AS132" s="14">
        <v>3</v>
      </c>
      <c r="AT132" s="14">
        <f>IFERROR(AVERAGE(Tabel1[[#This Row],[Up - F2a]:[Up - F2b]]),"")</f>
        <v>2</v>
      </c>
      <c r="AU132" s="14">
        <v>1</v>
      </c>
      <c r="AV132" s="14">
        <v>1</v>
      </c>
      <c r="AW132" s="14">
        <f>IFERROR(AVERAGE(Tabel1[[#This Row],[Up - F3a]:[Up - F3b]]),"")</f>
        <v>1</v>
      </c>
      <c r="AX132" s="14">
        <v>2</v>
      </c>
      <c r="AY132" s="14">
        <f>IFERROR(AVERAGE(Tabel1[[#This Row],[Up - F1]],Tabel1[[#This Row],[Up - F2]],Tabel1[[#This Row],[Up - F3]],Tabel1[[#This Row],[Up - F4]]),"")</f>
        <v>1.75</v>
      </c>
      <c r="AZ132" s="14">
        <v>3</v>
      </c>
      <c r="BA132" s="14">
        <v>4</v>
      </c>
      <c r="BB132" s="14">
        <f>IFERROR(AVERAGE(Tabel1[[#This Row],[Up - V1a]:[Up - V1b]]),"")</f>
        <v>3.5</v>
      </c>
      <c r="BC132" s="14">
        <v>2</v>
      </c>
      <c r="BD132" s="14">
        <v>1</v>
      </c>
      <c r="BE132" s="14">
        <v>1</v>
      </c>
      <c r="BF132" s="14">
        <f>IFERROR(AVERAGE(Tabel1[[#This Row],[Up - V2a]:[Up - V2c]]),"")</f>
        <v>1.3333333333333333</v>
      </c>
      <c r="BG132" s="14">
        <v>1</v>
      </c>
      <c r="BH132" s="14">
        <v>1</v>
      </c>
      <c r="BI132" s="14">
        <f>IFERROR(AVERAGE(Tabel1[[#This Row],[Up - V3a]:[Up - V3b]]),"")</f>
        <v>1</v>
      </c>
      <c r="BJ132" s="14">
        <v>1</v>
      </c>
      <c r="BK132" s="14">
        <f>IFERROR(AVERAGE(Tabel1[[#This Row],[Up - V1]],Tabel1[[#This Row],[Up - V2]],Tabel1[[#This Row],[Up - V3]],Tabel1[[#This Row],[Up - V4]]),"")</f>
        <v>1.7083333333333333</v>
      </c>
      <c r="BL132" s="14">
        <v>1</v>
      </c>
      <c r="BM132" s="14">
        <v>1</v>
      </c>
      <c r="BN132" s="14">
        <v>2</v>
      </c>
      <c r="BO132" s="14" t="s">
        <v>189</v>
      </c>
      <c r="BP132" s="14">
        <f>IFERROR(AVERAGE(Tabel1[[#This Row],[Up - A1a]:[Up - A1d]]),"")</f>
        <v>1.3333333333333333</v>
      </c>
      <c r="BQ132" s="14">
        <v>3</v>
      </c>
      <c r="BR132" s="14">
        <v>1</v>
      </c>
      <c r="BS132" s="14">
        <f>IFERROR(AVERAGE(Tabel1[[#This Row],[Up - A2a]:[Up - A2b]]),"")</f>
        <v>2</v>
      </c>
      <c r="BT132" s="14">
        <v>5</v>
      </c>
      <c r="BU132" s="14">
        <f>IFERROR(AVERAGE(Tabel1[[#This Row],[Up - A3a]:[Up - A3a]]),"")</f>
        <v>5</v>
      </c>
      <c r="BV132" s="14">
        <v>2</v>
      </c>
      <c r="BW132" s="14">
        <f>IFERROR(AVERAGE(Tabel1[[#This Row],[Up - A1]],Tabel1[[#This Row],[Up - A2]],Tabel1[[#This Row],[Up - A3]]),"")</f>
        <v>2.7777777777777772</v>
      </c>
      <c r="BX132" s="14">
        <v>2</v>
      </c>
      <c r="BY132" s="14">
        <v>1</v>
      </c>
      <c r="BZ132" s="14">
        <f>IFERROR(AVERAGE(Tabel1[[#This Row],[In - R1a]:[In - R1b]]),"")</f>
        <v>1.5</v>
      </c>
      <c r="CA132" s="14">
        <v>2</v>
      </c>
      <c r="CB132" s="14">
        <v>1</v>
      </c>
      <c r="CC132" s="14">
        <v>1</v>
      </c>
      <c r="CD132" s="14">
        <v>5</v>
      </c>
      <c r="CE132" s="14">
        <f>IFERROR(AVERAGE(Tabel1[[#This Row],[In - R1]:[In - R5]]),"")</f>
        <v>2.1</v>
      </c>
      <c r="CF132" s="14">
        <v>4</v>
      </c>
      <c r="CG132" s="14">
        <v>3</v>
      </c>
      <c r="CH132" s="14">
        <v>1</v>
      </c>
      <c r="CI132" s="14">
        <f>IFERROR(AVERAGE(Tabel1[[#This Row],[In - C1a]:[In - C1c]]),"")</f>
        <v>2.6666666666666665</v>
      </c>
      <c r="CJ132" s="14">
        <v>1</v>
      </c>
      <c r="CK132" s="14">
        <v>1</v>
      </c>
      <c r="CL132" s="14">
        <v>3</v>
      </c>
      <c r="CM132" s="14">
        <f>IFERROR(AVERAGE(Tabel1[[#This Row],[In - C1]:[In - C4]]),"")</f>
        <v>1.9166666666666665</v>
      </c>
      <c r="CN132" s="14">
        <v>4</v>
      </c>
      <c r="CO132" s="14">
        <v>3</v>
      </c>
      <c r="CP132" s="14">
        <v>1</v>
      </c>
      <c r="CQ132" s="14">
        <f>IFERROR(AVERAGE(Tabel1[[#This Row],[In - F1a]:[In - F1c]]),"")</f>
        <v>2.6666666666666665</v>
      </c>
      <c r="CR132" s="14">
        <v>4</v>
      </c>
      <c r="CS132" s="14">
        <v>1</v>
      </c>
      <c r="CT132" s="14">
        <f>IFERROR(AVERAGE(Tabel1[[#This Row],[In - F2a]:[In - F2b]]),"")</f>
        <v>2.5</v>
      </c>
      <c r="CU132" s="14">
        <v>1</v>
      </c>
      <c r="CV132" s="14">
        <f>IFERROR(AVERAGE(Tabel1[[#This Row],[In - F3a]:[In - F3a]]),"")</f>
        <v>1</v>
      </c>
      <c r="CW132" s="14">
        <v>2</v>
      </c>
      <c r="CX132" s="14">
        <f>IFERROR(AVERAGE(Tabel1[[#This Row],[In - F1]],Tabel1[[#This Row],[In - F2]],Tabel1[[#This Row],[In - F3]],Tabel1[[#This Row],[In - F4]]),"")</f>
        <v>2.0416666666666665</v>
      </c>
      <c r="CY132" s="14">
        <v>3</v>
      </c>
      <c r="CZ132" s="14">
        <v>2</v>
      </c>
      <c r="DA132" s="14">
        <v>1</v>
      </c>
      <c r="DB132" s="14">
        <f>IFERROR(AVERAGE(Tabel1[[#This Row],[In - V1a]:[In - V1c]]),"")</f>
        <v>2</v>
      </c>
      <c r="DC132" s="14">
        <v>3</v>
      </c>
      <c r="DD132" s="14">
        <v>2</v>
      </c>
      <c r="DE132" s="14">
        <v>2</v>
      </c>
      <c r="DF132" s="14">
        <f>IFERROR(AVERAGE(Tabel1[[#This Row],[In - V2a]:[In - V2c]]),"")</f>
        <v>2.3333333333333335</v>
      </c>
      <c r="DG132" s="14">
        <v>1</v>
      </c>
      <c r="DH132" s="14">
        <v>2</v>
      </c>
      <c r="DI132" s="14">
        <f>IFERROR(AVERAGE(Tabel1[[#This Row],[In - V3a]:[In - V3b]]),"")</f>
        <v>1.5</v>
      </c>
      <c r="DJ132" s="14">
        <v>2</v>
      </c>
      <c r="DK132" s="14">
        <f>IFERROR(AVERAGE(Tabel1[[#This Row],[In - V1]],Tabel1[[#This Row],[In - V2]],Tabel1[[#This Row],[In - V3]],Tabel1[[#This Row],[In - V4]]),"")</f>
        <v>1.9583333333333335</v>
      </c>
      <c r="DL132" s="14">
        <v>1</v>
      </c>
      <c r="DM132" s="14">
        <v>2</v>
      </c>
      <c r="DN132" s="14">
        <f>IFERROR(AVERAGE(Tabel1[[#This Row],[In - A1a]:[In - A1b]]),"")</f>
        <v>1.5</v>
      </c>
      <c r="DO132" s="14">
        <v>2</v>
      </c>
      <c r="DP132" s="14">
        <v>2</v>
      </c>
      <c r="DQ132" s="14">
        <f>IFERROR(AVERAGE(Tabel1[[#This Row],[In - A2a]:[In - A2b]]),"")</f>
        <v>2</v>
      </c>
      <c r="DR132" s="14">
        <v>3</v>
      </c>
      <c r="DS132" s="14">
        <v>1</v>
      </c>
      <c r="DT132" s="14">
        <f>IFERROR(AVERAGE(Tabel1[[#This Row],[In - A3a]:[In - A3a]]),"")</f>
        <v>3</v>
      </c>
      <c r="DU132" s="14">
        <v>1</v>
      </c>
      <c r="DV132" s="14">
        <f>IFERROR(AVERAGE(Tabel1[[#This Row],[In - A1]],Tabel1[[#This Row],[In - A2]],Tabel1[[#This Row],[In - A3]],Tabel1[[#This Row],[In - A4]]),"")</f>
        <v>1.875</v>
      </c>
      <c r="DW132" s="14">
        <v>1</v>
      </c>
      <c r="DX132" s="14">
        <v>3</v>
      </c>
      <c r="DY132" s="14">
        <v>1</v>
      </c>
      <c r="DZ132" s="14">
        <f>IFERROR(AVERAGE(Tabel1[[#This Row],[Do - R1a]:[Do - R1c]]),"")</f>
        <v>1.6666666666666667</v>
      </c>
      <c r="EA132" s="14">
        <v>1</v>
      </c>
      <c r="EB132" s="14">
        <v>1</v>
      </c>
      <c r="EC132" s="14">
        <v>1</v>
      </c>
      <c r="ED132" s="14">
        <v>4</v>
      </c>
      <c r="EE132" s="14">
        <f>IFERROR(AVERAGE(Tabel1[[#This Row],[Do - R1]:[Do - R5]]),"")</f>
        <v>1.7333333333333336</v>
      </c>
      <c r="EF132" s="14">
        <v>2</v>
      </c>
      <c r="EG132" s="14">
        <v>3</v>
      </c>
      <c r="EH132" s="14">
        <v>2</v>
      </c>
      <c r="EI132" s="14">
        <f>IFERROR(AVERAGE(Tabel1[[#This Row],[Do - C1a]:[Do - C1c]]),"")</f>
        <v>2.3333333333333335</v>
      </c>
      <c r="EJ132" s="14">
        <v>2</v>
      </c>
      <c r="EK132" s="14">
        <v>1</v>
      </c>
      <c r="EL132" s="14">
        <v>3</v>
      </c>
      <c r="EM132" s="14">
        <f>IFERROR(AVERAGE(Tabel1[[#This Row],[Do - C1]:[Do - C4]]),"")</f>
        <v>2.0833333333333335</v>
      </c>
      <c r="EN132" s="14">
        <v>1</v>
      </c>
      <c r="EO132" s="14">
        <v>1</v>
      </c>
      <c r="EP132" s="14">
        <v>1</v>
      </c>
      <c r="EQ132" s="14">
        <f>IFERROR(AVERAGE(Tabel1[[#This Row],[Do - F1a]:[Do - F1c]]),"")</f>
        <v>1</v>
      </c>
      <c r="ER132" s="14">
        <v>2</v>
      </c>
      <c r="ES132" s="14">
        <f>IFERROR(AVERAGE(Tabel1[[#This Row],[Do - F2a]:[Do - F2a]]),"")</f>
        <v>2</v>
      </c>
      <c r="ET132" s="14">
        <v>2</v>
      </c>
      <c r="EU132" s="14">
        <v>1</v>
      </c>
      <c r="EV132" s="14">
        <f>IFERROR(AVERAGE(Tabel1[[#This Row],[Do - F3a]:[Do - F3b]]),"")</f>
        <v>1.5</v>
      </c>
      <c r="EW132" s="14">
        <v>2</v>
      </c>
      <c r="EX132" s="14">
        <f>IFERROR(AVERAGE(Tabel1[[#This Row],[Do - F1]],Tabel1[[#This Row],[Do - F2]],Tabel1[[#This Row],[Do - F3]],Tabel1[[#This Row],[Do - F4]]),"")</f>
        <v>1.625</v>
      </c>
      <c r="EY132" s="14">
        <v>3</v>
      </c>
      <c r="EZ132" s="14" t="s">
        <v>189</v>
      </c>
      <c r="FA132" s="14">
        <v>3</v>
      </c>
      <c r="FB132" s="14">
        <f>IFERROR(AVERAGE(Tabel1[[#This Row],[Do - V1a]:[Do - V1c]]),"")</f>
        <v>3</v>
      </c>
      <c r="FC132" s="14">
        <v>1</v>
      </c>
      <c r="FD132" s="14">
        <v>1</v>
      </c>
      <c r="FE132" s="14">
        <f>IFERROR(AVERAGE(Tabel1[[#This Row],[Do - V2a]:[Do - V2b]]),"")</f>
        <v>1</v>
      </c>
      <c r="FF132" s="14">
        <v>1</v>
      </c>
      <c r="FG132" s="14">
        <f>IFERROR(AVERAGE(Tabel1[[#This Row],[Do - V3a]:[Do - V3a]]),"")</f>
        <v>1</v>
      </c>
      <c r="FH132" s="14" t="s">
        <v>189</v>
      </c>
      <c r="FI132" s="14">
        <f>IFERROR(AVERAGE(Tabel1[[#This Row],[Do - V1]],Tabel1[[#This Row],[Do - V2]],Tabel1[[#This Row],[Do - V3]],Tabel1[[#This Row],[Do - V4]]),"")</f>
        <v>1.6666666666666667</v>
      </c>
      <c r="FJ132" s="14">
        <v>2</v>
      </c>
      <c r="FK132" s="14">
        <v>1</v>
      </c>
      <c r="FL132" s="14">
        <v>5</v>
      </c>
      <c r="FM132" s="14">
        <f>IFERROR(AVERAGE(Tabel1[[#This Row],[Do - A1a]:[Do - A1c]]),"")</f>
        <v>2.6666666666666665</v>
      </c>
      <c r="FN132" s="14">
        <v>1</v>
      </c>
      <c r="FO132" s="14">
        <v>1</v>
      </c>
      <c r="FP132" s="14">
        <f>IFERROR(AVERAGE(Tabel1[[#This Row],[Do - A2a]:[Do - A2b]]),"")</f>
        <v>1</v>
      </c>
      <c r="FQ132" s="14">
        <v>2</v>
      </c>
      <c r="FR132" s="14">
        <f>IFERROR(AVERAGE(Tabel1[[#This Row],[Do - A3a]:[Do - A3a]]),"")</f>
        <v>2</v>
      </c>
      <c r="FS132" s="14">
        <v>1</v>
      </c>
      <c r="FT132" s="14">
        <f>IFERROR(AVERAGE(Tabel1[[#This Row],[Do - A1]],Tabel1[[#This Row],[Do - A2]],Tabel1[[#This Row],[Do - A3]],Tabel1[[#This Row],[Do - A4]]),"")</f>
        <v>1.6666666666666665</v>
      </c>
      <c r="FU13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1.9212962962962963</v>
      </c>
      <c r="FV132" s="16" t="s">
        <v>826</v>
      </c>
      <c r="FW132" t="b">
        <v>1</v>
      </c>
    </row>
    <row r="133" spans="1:179" x14ac:dyDescent="0.3">
      <c r="A133" s="13">
        <v>45000.540856481479</v>
      </c>
      <c r="B133" t="b">
        <v>0</v>
      </c>
      <c r="C133" s="14" t="s">
        <v>827</v>
      </c>
      <c r="D133" s="14" t="s">
        <v>215</v>
      </c>
      <c r="E133" s="14" t="s">
        <v>828</v>
      </c>
      <c r="F133" s="14" t="s">
        <v>184</v>
      </c>
      <c r="G133" s="14" t="s">
        <v>829</v>
      </c>
      <c r="H133" s="14" t="s">
        <v>222</v>
      </c>
      <c r="I133" s="14" t="s">
        <v>385</v>
      </c>
      <c r="J133" s="14"/>
      <c r="K133" s="14" t="s">
        <v>203</v>
      </c>
      <c r="L133" s="14" t="s">
        <v>249</v>
      </c>
      <c r="M133" s="14" t="s">
        <v>233</v>
      </c>
      <c r="N133" s="14" t="s">
        <v>316</v>
      </c>
      <c r="O133" s="14" t="s">
        <v>200</v>
      </c>
      <c r="P133" s="17" t="s">
        <v>255</v>
      </c>
      <c r="Q133" s="14" t="s">
        <v>201</v>
      </c>
      <c r="R133" s="17" t="s">
        <v>304</v>
      </c>
      <c r="S133" s="14" t="s">
        <v>203</v>
      </c>
      <c r="T133" s="14" t="s">
        <v>380</v>
      </c>
      <c r="U133" s="14" t="s">
        <v>349</v>
      </c>
      <c r="V133" s="14" t="s">
        <v>224</v>
      </c>
      <c r="W133" s="14" t="s">
        <v>207</v>
      </c>
      <c r="X133" s="14" t="s">
        <v>207</v>
      </c>
      <c r="Y133" s="14">
        <v>2</v>
      </c>
      <c r="Z133" s="14">
        <v>3</v>
      </c>
      <c r="AA133" s="14">
        <v>3</v>
      </c>
      <c r="AB133" s="15">
        <f>IFERROR(AVERAGE(Tabel1[[#This Row],[Up - R1a]:[Up - R1c]]),"")</f>
        <v>2.6666666666666665</v>
      </c>
      <c r="AC133" s="14">
        <v>3</v>
      </c>
      <c r="AD133" s="14">
        <v>3</v>
      </c>
      <c r="AE133" s="14">
        <v>1</v>
      </c>
      <c r="AF133" s="14">
        <v>4</v>
      </c>
      <c r="AG133" s="14">
        <f>IFERROR(AVERAGE(Tabel1[[#This Row],[Up - R1]:[Up - R5]]),"")</f>
        <v>2.7333333333333334</v>
      </c>
      <c r="AH133" s="14">
        <v>4</v>
      </c>
      <c r="AI133" s="14">
        <v>4</v>
      </c>
      <c r="AJ133" s="14">
        <v>3</v>
      </c>
      <c r="AK133" s="14">
        <f>IFERROR(AVERAGE(Tabel1[[#This Row],[Up - C1a]:[Up - C1c]]),"")</f>
        <v>3.6666666666666665</v>
      </c>
      <c r="AL133" s="14">
        <v>2</v>
      </c>
      <c r="AM133" s="14">
        <v>1</v>
      </c>
      <c r="AN133" s="14">
        <v>2</v>
      </c>
      <c r="AO133" s="14">
        <f>IFERROR(AVERAGE(Tabel1[[#This Row],[Up - C1]:[Up - C4]]),"")</f>
        <v>2.1666666666666665</v>
      </c>
      <c r="AP133" s="14">
        <v>3</v>
      </c>
      <c r="AQ133" s="14">
        <f>IFERROR(AVERAGE(Tabel1[[#This Row],[Up - F1a]:[Up - F1a]]),"")</f>
        <v>3</v>
      </c>
      <c r="AR133" s="14">
        <v>3</v>
      </c>
      <c r="AS133" s="14">
        <v>3</v>
      </c>
      <c r="AT133" s="14">
        <f>IFERROR(AVERAGE(Tabel1[[#This Row],[Up - F2a]:[Up - F2b]]),"")</f>
        <v>3</v>
      </c>
      <c r="AU133" s="14">
        <v>3</v>
      </c>
      <c r="AV133" s="14">
        <v>3</v>
      </c>
      <c r="AW133" s="14">
        <f>IFERROR(AVERAGE(Tabel1[[#This Row],[Up - F3a]:[Up - F3b]]),"")</f>
        <v>3</v>
      </c>
      <c r="AX133" s="14">
        <v>2</v>
      </c>
      <c r="AY133" s="14">
        <f>IFERROR(AVERAGE(Tabel1[[#This Row],[Up - F1]],Tabel1[[#This Row],[Up - F2]],Tabel1[[#This Row],[Up - F3]],Tabel1[[#This Row],[Up - F4]]),"")</f>
        <v>2.75</v>
      </c>
      <c r="AZ133" s="14">
        <v>3</v>
      </c>
      <c r="BA133" s="14">
        <v>3</v>
      </c>
      <c r="BB133" s="14">
        <f>IFERROR(AVERAGE(Tabel1[[#This Row],[Up - V1a]:[Up - V1b]]),"")</f>
        <v>3</v>
      </c>
      <c r="BC133" s="14">
        <v>2</v>
      </c>
      <c r="BD133" s="14">
        <v>2</v>
      </c>
      <c r="BE133" s="14">
        <v>3</v>
      </c>
      <c r="BF133" s="14">
        <f>IFERROR(AVERAGE(Tabel1[[#This Row],[Up - V2a]:[Up - V2c]]),"")</f>
        <v>2.3333333333333335</v>
      </c>
      <c r="BG133" s="14">
        <v>2</v>
      </c>
      <c r="BH133" s="14">
        <v>4</v>
      </c>
      <c r="BI133" s="14">
        <f>IFERROR(AVERAGE(Tabel1[[#This Row],[Up - V3a]:[Up - V3b]]),"")</f>
        <v>3</v>
      </c>
      <c r="BJ133" s="14">
        <v>2</v>
      </c>
      <c r="BK133" s="14">
        <f>IFERROR(AVERAGE(Tabel1[[#This Row],[Up - V1]],Tabel1[[#This Row],[Up - V2]],Tabel1[[#This Row],[Up - V3]],Tabel1[[#This Row],[Up - V4]]),"")</f>
        <v>2.5833333333333335</v>
      </c>
      <c r="BL133" s="14">
        <v>3</v>
      </c>
      <c r="BM133" s="14">
        <v>4</v>
      </c>
      <c r="BN133" s="14">
        <v>4</v>
      </c>
      <c r="BO133" s="14">
        <v>3</v>
      </c>
      <c r="BP133" s="14">
        <f>IFERROR(AVERAGE(Tabel1[[#This Row],[Up - A1a]:[Up - A1d]]),"")</f>
        <v>3.5</v>
      </c>
      <c r="BQ133" s="14">
        <v>3</v>
      </c>
      <c r="BR133" s="14">
        <v>2</v>
      </c>
      <c r="BS133" s="14">
        <f>IFERROR(AVERAGE(Tabel1[[#This Row],[Up - A2a]:[Up - A2b]]),"")</f>
        <v>2.5</v>
      </c>
      <c r="BT133" s="14">
        <v>4</v>
      </c>
      <c r="BU133" s="14">
        <f>IFERROR(AVERAGE(Tabel1[[#This Row],[Up - A3a]:[Up - A3a]]),"")</f>
        <v>4</v>
      </c>
      <c r="BV133" s="14">
        <v>4</v>
      </c>
      <c r="BW133" s="14">
        <f>IFERROR(AVERAGE(Tabel1[[#This Row],[Up - A1]],Tabel1[[#This Row],[Up - A2]],Tabel1[[#This Row],[Up - A3]]),"")</f>
        <v>3.3333333333333335</v>
      </c>
      <c r="BX133" s="14">
        <v>1</v>
      </c>
      <c r="BY133" s="14">
        <v>1</v>
      </c>
      <c r="BZ133" s="14">
        <f>IFERROR(AVERAGE(Tabel1[[#This Row],[In - R1a]:[In - R1b]]),"")</f>
        <v>1</v>
      </c>
      <c r="CA133" s="14">
        <v>4</v>
      </c>
      <c r="CB133" s="14" t="s">
        <v>189</v>
      </c>
      <c r="CC133" s="14">
        <v>2</v>
      </c>
      <c r="CD133" s="14">
        <v>5</v>
      </c>
      <c r="CE133" s="14">
        <f>IFERROR(AVERAGE(Tabel1[[#This Row],[In - R1]:[In - R5]]),"")</f>
        <v>3</v>
      </c>
      <c r="CF133" s="14">
        <v>5</v>
      </c>
      <c r="CG133" s="14">
        <v>4</v>
      </c>
      <c r="CH133" s="14">
        <v>4</v>
      </c>
      <c r="CI133" s="14">
        <f>IFERROR(AVERAGE(Tabel1[[#This Row],[In - C1a]:[In - C1c]]),"")</f>
        <v>4.333333333333333</v>
      </c>
      <c r="CJ133" s="14">
        <v>2</v>
      </c>
      <c r="CK133" s="14">
        <v>3</v>
      </c>
      <c r="CL133" s="14">
        <v>4</v>
      </c>
      <c r="CM133" s="14">
        <f>IFERROR(AVERAGE(Tabel1[[#This Row],[In - C1]:[In - C4]]),"")</f>
        <v>3.333333333333333</v>
      </c>
      <c r="CN133" s="14">
        <v>2</v>
      </c>
      <c r="CO133" s="14">
        <v>2</v>
      </c>
      <c r="CP133" s="14">
        <v>2</v>
      </c>
      <c r="CQ133" s="14">
        <f>IFERROR(AVERAGE(Tabel1[[#This Row],[In - F1a]:[In - F1c]]),"")</f>
        <v>2</v>
      </c>
      <c r="CR133" s="14">
        <v>3</v>
      </c>
      <c r="CS133" s="14">
        <v>2</v>
      </c>
      <c r="CT133" s="14">
        <f>IFERROR(AVERAGE(Tabel1[[#This Row],[In - F2a]:[In - F2b]]),"")</f>
        <v>2.5</v>
      </c>
      <c r="CU133" s="14">
        <v>4</v>
      </c>
      <c r="CV133" s="14">
        <f>IFERROR(AVERAGE(Tabel1[[#This Row],[In - F3a]:[In - F3a]]),"")</f>
        <v>4</v>
      </c>
      <c r="CW133" s="14">
        <v>3</v>
      </c>
      <c r="CX133" s="14">
        <f>IFERROR(AVERAGE(Tabel1[[#This Row],[In - F1]],Tabel1[[#This Row],[In - F2]],Tabel1[[#This Row],[In - F3]],Tabel1[[#This Row],[In - F4]]),"")</f>
        <v>2.875</v>
      </c>
      <c r="CY133" s="14">
        <v>5</v>
      </c>
      <c r="CZ133" s="14">
        <v>4</v>
      </c>
      <c r="DA133" s="14">
        <v>1</v>
      </c>
      <c r="DB133" s="14">
        <f>IFERROR(AVERAGE(Tabel1[[#This Row],[In - V1a]:[In - V1c]]),"")</f>
        <v>3.3333333333333335</v>
      </c>
      <c r="DC133" s="14">
        <v>1</v>
      </c>
      <c r="DD133" s="14">
        <v>3</v>
      </c>
      <c r="DE133" s="14">
        <v>2</v>
      </c>
      <c r="DF133" s="14">
        <f>IFERROR(AVERAGE(Tabel1[[#This Row],[In - V2a]:[In - V2c]]),"")</f>
        <v>2</v>
      </c>
      <c r="DG133" s="14">
        <v>3</v>
      </c>
      <c r="DH133" s="14">
        <v>5</v>
      </c>
      <c r="DI133" s="14">
        <f>IFERROR(AVERAGE(Tabel1[[#This Row],[In - V3a]:[In - V3b]]),"")</f>
        <v>4</v>
      </c>
      <c r="DJ133" s="14" t="s">
        <v>189</v>
      </c>
      <c r="DK133" s="14">
        <f>IFERROR(AVERAGE(Tabel1[[#This Row],[In - V1]],Tabel1[[#This Row],[In - V2]],Tabel1[[#This Row],[In - V3]],Tabel1[[#This Row],[In - V4]]),"")</f>
        <v>3.1111111111111112</v>
      </c>
      <c r="DL133" s="14">
        <v>3</v>
      </c>
      <c r="DM133" s="14" t="s">
        <v>189</v>
      </c>
      <c r="DN133" s="14">
        <f>IFERROR(AVERAGE(Tabel1[[#This Row],[In - A1a]:[In - A1b]]),"")</f>
        <v>3</v>
      </c>
      <c r="DO133" s="14">
        <v>2</v>
      </c>
      <c r="DP133" s="14">
        <v>3</v>
      </c>
      <c r="DQ133" s="14">
        <f>IFERROR(AVERAGE(Tabel1[[#This Row],[In - A2a]:[In - A2b]]),"")</f>
        <v>2.5</v>
      </c>
      <c r="DR133" s="14">
        <v>4</v>
      </c>
      <c r="DS133" s="14">
        <v>3</v>
      </c>
      <c r="DT133" s="14">
        <f>IFERROR(AVERAGE(Tabel1[[#This Row],[In - A3a]:[In - A3a]]),"")</f>
        <v>4</v>
      </c>
      <c r="DU133" s="14">
        <v>2</v>
      </c>
      <c r="DV133" s="14">
        <f>IFERROR(AVERAGE(Tabel1[[#This Row],[In - A1]],Tabel1[[#This Row],[In - A2]],Tabel1[[#This Row],[In - A3]],Tabel1[[#This Row],[In - A4]]),"")</f>
        <v>2.875</v>
      </c>
      <c r="DW133" s="14">
        <v>3</v>
      </c>
      <c r="DX133" s="14">
        <v>5</v>
      </c>
      <c r="DY133" s="14">
        <v>2</v>
      </c>
      <c r="DZ133" s="14">
        <f>IFERROR(AVERAGE(Tabel1[[#This Row],[Do - R1a]:[Do - R1c]]),"")</f>
        <v>3.3333333333333335</v>
      </c>
      <c r="EA133" s="14">
        <v>3</v>
      </c>
      <c r="EB133" s="14">
        <v>4</v>
      </c>
      <c r="EC133" s="14">
        <v>2</v>
      </c>
      <c r="ED133" s="14">
        <v>4</v>
      </c>
      <c r="EE133" s="14">
        <f>IFERROR(AVERAGE(Tabel1[[#This Row],[Do - R1]:[Do - R5]]),"")</f>
        <v>3.2666666666666671</v>
      </c>
      <c r="EF133" s="14">
        <v>5</v>
      </c>
      <c r="EG133" s="14">
        <v>4</v>
      </c>
      <c r="EH133" s="14">
        <v>3</v>
      </c>
      <c r="EI133" s="14">
        <f>IFERROR(AVERAGE(Tabel1[[#This Row],[Do - C1a]:[Do - C1c]]),"")</f>
        <v>4</v>
      </c>
      <c r="EJ133" s="14">
        <v>3</v>
      </c>
      <c r="EK133" s="14">
        <v>1</v>
      </c>
      <c r="EL133" s="14">
        <v>3</v>
      </c>
      <c r="EM133" s="14">
        <f>IFERROR(AVERAGE(Tabel1[[#This Row],[Do - C1]:[Do - C4]]),"")</f>
        <v>2.75</v>
      </c>
      <c r="EN133" s="14">
        <v>1</v>
      </c>
      <c r="EO133" s="14">
        <v>2</v>
      </c>
      <c r="EP133" s="14">
        <v>4</v>
      </c>
      <c r="EQ133" s="14">
        <f>IFERROR(AVERAGE(Tabel1[[#This Row],[Do - F1a]:[Do - F1c]]),"")</f>
        <v>2.3333333333333335</v>
      </c>
      <c r="ER133" s="14">
        <v>3</v>
      </c>
      <c r="ES133" s="14">
        <f>IFERROR(AVERAGE(Tabel1[[#This Row],[Do - F2a]:[Do - F2a]]),"")</f>
        <v>3</v>
      </c>
      <c r="ET133" s="14">
        <v>4</v>
      </c>
      <c r="EU133" s="14">
        <v>3</v>
      </c>
      <c r="EV133" s="14">
        <f>IFERROR(AVERAGE(Tabel1[[#This Row],[Do - F3a]:[Do - F3b]]),"")</f>
        <v>3.5</v>
      </c>
      <c r="EW133" s="14">
        <v>1</v>
      </c>
      <c r="EX133" s="14">
        <f>IFERROR(AVERAGE(Tabel1[[#This Row],[Do - F1]],Tabel1[[#This Row],[Do - F2]],Tabel1[[#This Row],[Do - F3]],Tabel1[[#This Row],[Do - F4]]),"")</f>
        <v>2.4583333333333335</v>
      </c>
      <c r="EY133" s="14">
        <v>2</v>
      </c>
      <c r="EZ133" s="14" t="s">
        <v>189</v>
      </c>
      <c r="FA133" s="14">
        <v>3</v>
      </c>
      <c r="FB133" s="14">
        <f>IFERROR(AVERAGE(Tabel1[[#This Row],[Do - V1a]:[Do - V1c]]),"")</f>
        <v>2.5</v>
      </c>
      <c r="FC133" s="14">
        <v>2</v>
      </c>
      <c r="FD133" s="14">
        <v>4</v>
      </c>
      <c r="FE133" s="14">
        <f>IFERROR(AVERAGE(Tabel1[[#This Row],[Do - V2a]:[Do - V2b]]),"")</f>
        <v>3</v>
      </c>
      <c r="FF133" s="14">
        <v>1</v>
      </c>
      <c r="FG133" s="14">
        <f>IFERROR(AVERAGE(Tabel1[[#This Row],[Do - V3a]:[Do - V3a]]),"")</f>
        <v>1</v>
      </c>
      <c r="FH133" s="14">
        <v>2</v>
      </c>
      <c r="FI133" s="14">
        <f>IFERROR(AVERAGE(Tabel1[[#This Row],[Do - V1]],Tabel1[[#This Row],[Do - V2]],Tabel1[[#This Row],[Do - V3]],Tabel1[[#This Row],[Do - V4]]),"")</f>
        <v>2.125</v>
      </c>
      <c r="FJ133" s="14">
        <v>2</v>
      </c>
      <c r="FK133" s="14" t="s">
        <v>189</v>
      </c>
      <c r="FL133" s="14">
        <v>4</v>
      </c>
      <c r="FM133" s="14">
        <f>IFERROR(AVERAGE(Tabel1[[#This Row],[Do - A1a]:[Do - A1c]]),"")</f>
        <v>3</v>
      </c>
      <c r="FN133" s="14" t="s">
        <v>189</v>
      </c>
      <c r="FO133" s="14">
        <v>4</v>
      </c>
      <c r="FP133" s="14">
        <f>IFERROR(AVERAGE(Tabel1[[#This Row],[Do - A2a]:[Do - A2b]]),"")</f>
        <v>4</v>
      </c>
      <c r="FQ133" s="14">
        <v>3</v>
      </c>
      <c r="FR133" s="14">
        <f>IFERROR(AVERAGE(Tabel1[[#This Row],[Do - A3a]:[Do - A3a]]),"")</f>
        <v>3</v>
      </c>
      <c r="FS133" s="14">
        <v>3</v>
      </c>
      <c r="FT133" s="14">
        <f>IFERROR(AVERAGE(Tabel1[[#This Row],[Do - A1]],Tabel1[[#This Row],[Do - A2]],Tabel1[[#This Row],[Do - A3]],Tabel1[[#This Row],[Do - A4]]),"")</f>
        <v>3.25</v>
      </c>
      <c r="FU13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2.840740740740741</v>
      </c>
      <c r="FV133" s="16" t="s">
        <v>830</v>
      </c>
      <c r="FW133" t="b">
        <v>1</v>
      </c>
    </row>
    <row r="134" spans="1:179" x14ac:dyDescent="0.3">
      <c r="A134" s="13">
        <v>45000.561145833337</v>
      </c>
      <c r="B134" t="b">
        <v>0</v>
      </c>
      <c r="C134" s="14" t="s">
        <v>831</v>
      </c>
      <c r="D134" s="14" t="s">
        <v>832</v>
      </c>
      <c r="E134" s="14" t="s">
        <v>833</v>
      </c>
      <c r="F134" s="14" t="s">
        <v>184</v>
      </c>
      <c r="G134" s="14" t="s">
        <v>834</v>
      </c>
      <c r="H134" s="14" t="s">
        <v>194</v>
      </c>
      <c r="I134" s="14" t="s">
        <v>195</v>
      </c>
      <c r="J134" s="14" t="s">
        <v>406</v>
      </c>
      <c r="K134" s="14" t="s">
        <v>187</v>
      </c>
      <c r="L134" s="14" t="s">
        <v>385</v>
      </c>
      <c r="M134" s="14" t="s">
        <v>233</v>
      </c>
      <c r="N134" s="14" t="s">
        <v>199</v>
      </c>
      <c r="O134" s="14" t="s">
        <v>200</v>
      </c>
      <c r="P134" s="14" t="s">
        <v>203</v>
      </c>
      <c r="Q134" s="14" t="s">
        <v>235</v>
      </c>
      <c r="R134" s="14" t="s">
        <v>187</v>
      </c>
      <c r="S134" s="14" t="s">
        <v>187</v>
      </c>
      <c r="T134" s="14" t="s">
        <v>204</v>
      </c>
      <c r="U134" s="14" t="s">
        <v>285</v>
      </c>
      <c r="V134" s="14" t="s">
        <v>224</v>
      </c>
      <c r="W134" s="14" t="s">
        <v>207</v>
      </c>
      <c r="X134" s="14" t="s">
        <v>207</v>
      </c>
      <c r="Y134" s="14">
        <v>3</v>
      </c>
      <c r="Z134" s="14">
        <v>4</v>
      </c>
      <c r="AA134" s="14">
        <v>3</v>
      </c>
      <c r="AB134" s="15">
        <f>IFERROR(AVERAGE(Tabel1[[#This Row],[Up - R1a]:[Up - R1c]]),"")</f>
        <v>3.3333333333333335</v>
      </c>
      <c r="AC134" s="14">
        <v>3</v>
      </c>
      <c r="AD134" s="14">
        <v>3</v>
      </c>
      <c r="AE134" s="14">
        <v>2</v>
      </c>
      <c r="AF134" s="14">
        <v>3</v>
      </c>
      <c r="AG134" s="14">
        <f>IFERROR(AVERAGE(Tabel1[[#This Row],[Up - R1]:[Up - R5]]),"")</f>
        <v>2.8666666666666667</v>
      </c>
      <c r="AH134" s="14">
        <v>2</v>
      </c>
      <c r="AI134" s="14">
        <v>4</v>
      </c>
      <c r="AJ134" s="14">
        <v>3</v>
      </c>
      <c r="AK134" s="14">
        <f>IFERROR(AVERAGE(Tabel1[[#This Row],[Up - C1a]:[Up - C1c]]),"")</f>
        <v>3</v>
      </c>
      <c r="AL134" s="14">
        <v>3</v>
      </c>
      <c r="AM134" s="14">
        <v>2</v>
      </c>
      <c r="AN134" s="14" t="s">
        <v>189</v>
      </c>
      <c r="AO134" s="14">
        <f>IFERROR(AVERAGE(Tabel1[[#This Row],[Up - C1]:[Up - C4]]),"")</f>
        <v>2.6666666666666665</v>
      </c>
      <c r="AP134" s="14">
        <v>3</v>
      </c>
      <c r="AQ134" s="14">
        <f>IFERROR(AVERAGE(Tabel1[[#This Row],[Up - F1a]:[Up - F1a]]),"")</f>
        <v>3</v>
      </c>
      <c r="AR134" s="14">
        <v>2</v>
      </c>
      <c r="AS134" s="14">
        <v>1</v>
      </c>
      <c r="AT134" s="14">
        <f>IFERROR(AVERAGE(Tabel1[[#This Row],[Up - F2a]:[Up - F2b]]),"")</f>
        <v>1.5</v>
      </c>
      <c r="AU134" s="14">
        <v>2</v>
      </c>
      <c r="AV134" s="14">
        <v>2</v>
      </c>
      <c r="AW134" s="14">
        <f>IFERROR(AVERAGE(Tabel1[[#This Row],[Up - F3a]:[Up - F3b]]),"")</f>
        <v>2</v>
      </c>
      <c r="AX134" s="14">
        <v>2</v>
      </c>
      <c r="AY134" s="14">
        <f>IFERROR(AVERAGE(Tabel1[[#This Row],[Up - F1]],Tabel1[[#This Row],[Up - F2]],Tabel1[[#This Row],[Up - F3]],Tabel1[[#This Row],[Up - F4]]),"")</f>
        <v>2.125</v>
      </c>
      <c r="AZ134" s="14">
        <v>2</v>
      </c>
      <c r="BA134" s="14">
        <v>3</v>
      </c>
      <c r="BB134" s="14">
        <f>IFERROR(AVERAGE(Tabel1[[#This Row],[Up - V1a]:[Up - V1b]]),"")</f>
        <v>2.5</v>
      </c>
      <c r="BC134" s="14">
        <v>3</v>
      </c>
      <c r="BD134" s="14">
        <v>3</v>
      </c>
      <c r="BE134" s="14">
        <v>3</v>
      </c>
      <c r="BF134" s="14">
        <f>IFERROR(AVERAGE(Tabel1[[#This Row],[Up - V2a]:[Up - V2c]]),"")</f>
        <v>3</v>
      </c>
      <c r="BG134" s="14">
        <v>3</v>
      </c>
      <c r="BH134" s="14">
        <v>1</v>
      </c>
      <c r="BI134" s="14">
        <f>IFERROR(AVERAGE(Tabel1[[#This Row],[Up - V3a]:[Up - V3b]]),"")</f>
        <v>2</v>
      </c>
      <c r="BJ134" s="14">
        <v>3</v>
      </c>
      <c r="BK134" s="14">
        <f>IFERROR(AVERAGE(Tabel1[[#This Row],[Up - V1]],Tabel1[[#This Row],[Up - V2]],Tabel1[[#This Row],[Up - V3]],Tabel1[[#This Row],[Up - V4]]),"")</f>
        <v>2.625</v>
      </c>
      <c r="BL134" s="14">
        <v>3</v>
      </c>
      <c r="BM134" s="14">
        <v>3</v>
      </c>
      <c r="BN134" s="14">
        <v>2</v>
      </c>
      <c r="BO134" s="14">
        <v>3</v>
      </c>
      <c r="BP134" s="14">
        <f>IFERROR(AVERAGE(Tabel1[[#This Row],[Up - A1a]:[Up - A1d]]),"")</f>
        <v>2.75</v>
      </c>
      <c r="BQ134" s="14">
        <v>3</v>
      </c>
      <c r="BR134" s="14">
        <v>3</v>
      </c>
      <c r="BS134" s="14">
        <f>IFERROR(AVERAGE(Tabel1[[#This Row],[Up - A2a]:[Up - A2b]]),"")</f>
        <v>3</v>
      </c>
      <c r="BT134" s="14">
        <v>4</v>
      </c>
      <c r="BU134" s="14">
        <f>IFERROR(AVERAGE(Tabel1[[#This Row],[Up - A3a]:[Up - A3a]]),"")</f>
        <v>4</v>
      </c>
      <c r="BV134" s="14">
        <v>2</v>
      </c>
      <c r="BW134" s="14">
        <f>IFERROR(AVERAGE(Tabel1[[#This Row],[Up - A1]],Tabel1[[#This Row],[Up - A2]],Tabel1[[#This Row],[Up - A3]]),"")</f>
        <v>3.25</v>
      </c>
      <c r="BX134" s="14">
        <v>3</v>
      </c>
      <c r="BY134" s="14">
        <v>5</v>
      </c>
      <c r="BZ134" s="14">
        <f>IFERROR(AVERAGE(Tabel1[[#This Row],[In - R1a]:[In - R1b]]),"")</f>
        <v>4</v>
      </c>
      <c r="CA134" s="14">
        <v>3</v>
      </c>
      <c r="CB134" s="14">
        <v>3</v>
      </c>
      <c r="CC134" s="14">
        <v>2</v>
      </c>
      <c r="CD134" s="14">
        <v>3</v>
      </c>
      <c r="CE134" s="14">
        <f>IFERROR(AVERAGE(Tabel1[[#This Row],[In - R1]:[In - R5]]),"")</f>
        <v>3</v>
      </c>
      <c r="CF134" s="14">
        <v>3</v>
      </c>
      <c r="CG134" s="14">
        <v>2</v>
      </c>
      <c r="CH134" s="14">
        <v>3</v>
      </c>
      <c r="CI134" s="14">
        <f>IFERROR(AVERAGE(Tabel1[[#This Row],[In - C1a]:[In - C1c]]),"")</f>
        <v>2.6666666666666665</v>
      </c>
      <c r="CJ134" s="14">
        <v>2</v>
      </c>
      <c r="CK134" s="14">
        <v>2</v>
      </c>
      <c r="CL134" s="14" t="s">
        <v>189</v>
      </c>
      <c r="CM134" s="14">
        <f>IFERROR(AVERAGE(Tabel1[[#This Row],[In - C1]:[In - C4]]),"")</f>
        <v>2.2222222222222219</v>
      </c>
      <c r="CN134" s="14">
        <v>3</v>
      </c>
      <c r="CO134" s="14">
        <v>2</v>
      </c>
      <c r="CP134" s="14">
        <v>3</v>
      </c>
      <c r="CQ134" s="14">
        <f>IFERROR(AVERAGE(Tabel1[[#This Row],[In - F1a]:[In - F1c]]),"")</f>
        <v>2.6666666666666665</v>
      </c>
      <c r="CR134" s="14">
        <v>4</v>
      </c>
      <c r="CS134" s="14">
        <v>1</v>
      </c>
      <c r="CT134" s="14">
        <f>IFERROR(AVERAGE(Tabel1[[#This Row],[In - F2a]:[In - F2b]]),"")</f>
        <v>2.5</v>
      </c>
      <c r="CU134" s="14">
        <v>2</v>
      </c>
      <c r="CV134" s="14">
        <f>IFERROR(AVERAGE(Tabel1[[#This Row],[In - F3a]:[In - F3a]]),"")</f>
        <v>2</v>
      </c>
      <c r="CW134" s="14">
        <v>2</v>
      </c>
      <c r="CX134" s="14">
        <f>IFERROR(AVERAGE(Tabel1[[#This Row],[In - F1]],Tabel1[[#This Row],[In - F2]],Tabel1[[#This Row],[In - F3]],Tabel1[[#This Row],[In - F4]]),"")</f>
        <v>2.2916666666666665</v>
      </c>
      <c r="CY134" s="14">
        <v>2</v>
      </c>
      <c r="CZ134" s="14">
        <v>2</v>
      </c>
      <c r="DA134" s="14">
        <v>2</v>
      </c>
      <c r="DB134" s="14">
        <f>IFERROR(AVERAGE(Tabel1[[#This Row],[In - V1a]:[In - V1c]]),"")</f>
        <v>2</v>
      </c>
      <c r="DC134" s="14">
        <v>3</v>
      </c>
      <c r="DD134" s="14">
        <v>3</v>
      </c>
      <c r="DE134" s="14">
        <v>4</v>
      </c>
      <c r="DF134" s="14">
        <f>IFERROR(AVERAGE(Tabel1[[#This Row],[In - V2a]:[In - V2c]]),"")</f>
        <v>3.3333333333333335</v>
      </c>
      <c r="DG134" s="14">
        <v>3</v>
      </c>
      <c r="DH134" s="14">
        <v>3</v>
      </c>
      <c r="DI134" s="14">
        <f>IFERROR(AVERAGE(Tabel1[[#This Row],[In - V3a]:[In - V3b]]),"")</f>
        <v>3</v>
      </c>
      <c r="DJ134" s="14">
        <v>3</v>
      </c>
      <c r="DK134" s="14">
        <f>IFERROR(AVERAGE(Tabel1[[#This Row],[In - V1]],Tabel1[[#This Row],[In - V2]],Tabel1[[#This Row],[In - V3]],Tabel1[[#This Row],[In - V4]]),"")</f>
        <v>2.8333333333333335</v>
      </c>
      <c r="DL134" s="14">
        <v>3</v>
      </c>
      <c r="DM134" s="14">
        <v>3</v>
      </c>
      <c r="DN134" s="14">
        <f>IFERROR(AVERAGE(Tabel1[[#This Row],[In - A1a]:[In - A1b]]),"")</f>
        <v>3</v>
      </c>
      <c r="DO134" s="14">
        <v>3</v>
      </c>
      <c r="DP134" s="14">
        <v>3</v>
      </c>
      <c r="DQ134" s="14">
        <f>IFERROR(AVERAGE(Tabel1[[#This Row],[In - A2a]:[In - A2b]]),"")</f>
        <v>3</v>
      </c>
      <c r="DR134" s="14">
        <v>3</v>
      </c>
      <c r="DS134" s="14">
        <v>3</v>
      </c>
      <c r="DT134" s="14">
        <f>IFERROR(AVERAGE(Tabel1[[#This Row],[In - A3a]:[In - A3a]]),"")</f>
        <v>3</v>
      </c>
      <c r="DU134" s="14">
        <v>2</v>
      </c>
      <c r="DV134" s="14">
        <f>IFERROR(AVERAGE(Tabel1[[#This Row],[In - A1]],Tabel1[[#This Row],[In - A2]],Tabel1[[#This Row],[In - A3]],Tabel1[[#This Row],[In - A4]]),"")</f>
        <v>2.75</v>
      </c>
      <c r="DW134" s="14">
        <v>3</v>
      </c>
      <c r="DX134" s="14">
        <v>4</v>
      </c>
      <c r="DY134" s="14">
        <v>2</v>
      </c>
      <c r="DZ134" s="14">
        <f>IFERROR(AVERAGE(Tabel1[[#This Row],[Do - R1a]:[Do - R1c]]),"")</f>
        <v>3</v>
      </c>
      <c r="EA134" s="14">
        <v>3</v>
      </c>
      <c r="EB134" s="14">
        <v>2</v>
      </c>
      <c r="EC134" s="14">
        <v>1</v>
      </c>
      <c r="ED134" s="14">
        <v>3</v>
      </c>
      <c r="EE134" s="14">
        <f>IFERROR(AVERAGE(Tabel1[[#This Row],[Do - R1]:[Do - R5]]),"")</f>
        <v>2.4</v>
      </c>
      <c r="EF134" s="14">
        <v>3</v>
      </c>
      <c r="EG134" s="14">
        <v>3</v>
      </c>
      <c r="EH134" s="14">
        <v>3</v>
      </c>
      <c r="EI134" s="14">
        <f>IFERROR(AVERAGE(Tabel1[[#This Row],[Do - C1a]:[Do - C1c]]),"")</f>
        <v>3</v>
      </c>
      <c r="EJ134" s="14">
        <v>2</v>
      </c>
      <c r="EK134" s="14">
        <v>2</v>
      </c>
      <c r="EL134" s="14" t="s">
        <v>189</v>
      </c>
      <c r="EM134" s="14">
        <f>IFERROR(AVERAGE(Tabel1[[#This Row],[Do - C1]:[Do - C4]]),"")</f>
        <v>2.3333333333333335</v>
      </c>
      <c r="EN134" s="14">
        <v>3</v>
      </c>
      <c r="EO134" s="14">
        <v>3</v>
      </c>
      <c r="EP134" s="14">
        <v>2</v>
      </c>
      <c r="EQ134" s="14">
        <f>IFERROR(AVERAGE(Tabel1[[#This Row],[Do - F1a]:[Do - F1c]]),"")</f>
        <v>2.6666666666666665</v>
      </c>
      <c r="ER134" s="14">
        <v>2</v>
      </c>
      <c r="ES134" s="14">
        <f>IFERROR(AVERAGE(Tabel1[[#This Row],[Do - F2a]:[Do - F2a]]),"")</f>
        <v>2</v>
      </c>
      <c r="ET134" s="14">
        <v>1</v>
      </c>
      <c r="EU134" s="14">
        <v>1</v>
      </c>
      <c r="EV134" s="14">
        <f>IFERROR(AVERAGE(Tabel1[[#This Row],[Do - F3a]:[Do - F3b]]),"")</f>
        <v>1</v>
      </c>
      <c r="EW134" s="14">
        <v>2</v>
      </c>
      <c r="EX134" s="14">
        <f>IFERROR(AVERAGE(Tabel1[[#This Row],[Do - F1]],Tabel1[[#This Row],[Do - F2]],Tabel1[[#This Row],[Do - F3]],Tabel1[[#This Row],[Do - F4]]),"")</f>
        <v>1.9166666666666665</v>
      </c>
      <c r="EY134" s="14">
        <v>2</v>
      </c>
      <c r="EZ134" s="14">
        <v>2</v>
      </c>
      <c r="FA134" s="14">
        <v>4</v>
      </c>
      <c r="FB134" s="14">
        <f>IFERROR(AVERAGE(Tabel1[[#This Row],[Do - V1a]:[Do - V1c]]),"")</f>
        <v>2.6666666666666665</v>
      </c>
      <c r="FC134" s="14">
        <v>4</v>
      </c>
      <c r="FD134" s="14">
        <v>3</v>
      </c>
      <c r="FE134" s="14">
        <f>IFERROR(AVERAGE(Tabel1[[#This Row],[Do - V2a]:[Do - V2b]]),"")</f>
        <v>3.5</v>
      </c>
      <c r="FF134" s="14">
        <v>3</v>
      </c>
      <c r="FG134" s="14">
        <f>IFERROR(AVERAGE(Tabel1[[#This Row],[Do - V3a]:[Do - V3a]]),"")</f>
        <v>3</v>
      </c>
      <c r="FH134" s="14">
        <v>3</v>
      </c>
      <c r="FI134" s="14">
        <f>IFERROR(AVERAGE(Tabel1[[#This Row],[Do - V1]],Tabel1[[#This Row],[Do - V2]],Tabel1[[#This Row],[Do - V3]],Tabel1[[#This Row],[Do - V4]]),"")</f>
        <v>3.0416666666666665</v>
      </c>
      <c r="FJ134" s="14">
        <v>3</v>
      </c>
      <c r="FK134" s="14">
        <v>3</v>
      </c>
      <c r="FL134" s="14">
        <v>3</v>
      </c>
      <c r="FM134" s="14">
        <f>IFERROR(AVERAGE(Tabel1[[#This Row],[Do - A1a]:[Do - A1c]]),"")</f>
        <v>3</v>
      </c>
      <c r="FN134" s="14">
        <v>3</v>
      </c>
      <c r="FO134" s="14">
        <v>2</v>
      </c>
      <c r="FP134" s="14">
        <f>IFERROR(AVERAGE(Tabel1[[#This Row],[Do - A2a]:[Do - A2b]]),"")</f>
        <v>2.5</v>
      </c>
      <c r="FQ134" s="14">
        <v>3</v>
      </c>
      <c r="FR134" s="14">
        <f>IFERROR(AVERAGE(Tabel1[[#This Row],[Do - A3a]:[Do - A3a]]),"")</f>
        <v>3</v>
      </c>
      <c r="FS134" s="14">
        <v>3</v>
      </c>
      <c r="FT134" s="14">
        <f>IFERROR(AVERAGE(Tabel1[[#This Row],[Do - A1]],Tabel1[[#This Row],[Do - A2]],Tabel1[[#This Row],[Do - A3]],Tabel1[[#This Row],[Do - A4]]),"")</f>
        <v>2.875</v>
      </c>
      <c r="FU13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2.6131481481481478</v>
      </c>
      <c r="FV134" s="16" t="s">
        <v>835</v>
      </c>
      <c r="FW134" t="b">
        <v>1</v>
      </c>
    </row>
    <row r="135" spans="1:179" x14ac:dyDescent="0.3">
      <c r="A135" s="13">
        <v>45002.457071759258</v>
      </c>
      <c r="B135" t="b">
        <v>0</v>
      </c>
      <c r="C135" s="14" t="s">
        <v>836</v>
      </c>
      <c r="D135" s="14" t="s">
        <v>694</v>
      </c>
      <c r="E135" s="14" t="s">
        <v>216</v>
      </c>
      <c r="F135" s="14" t="s">
        <v>184</v>
      </c>
      <c r="G135" s="14" t="s">
        <v>837</v>
      </c>
      <c r="H135" s="14" t="s">
        <v>222</v>
      </c>
      <c r="I135" s="14" t="s">
        <v>322</v>
      </c>
      <c r="J135" s="14" t="s">
        <v>838</v>
      </c>
      <c r="K135" s="14" t="s">
        <v>202</v>
      </c>
      <c r="L135" s="14" t="s">
        <v>197</v>
      </c>
      <c r="M135" s="14" t="s">
        <v>188</v>
      </c>
      <c r="N135" s="14" t="s">
        <v>262</v>
      </c>
      <c r="O135" s="14" t="s">
        <v>200</v>
      </c>
      <c r="P135" s="14"/>
      <c r="Q135" s="14" t="s">
        <v>235</v>
      </c>
      <c r="R135" s="14" t="s">
        <v>701</v>
      </c>
      <c r="S135" s="14" t="s">
        <v>187</v>
      </c>
      <c r="T135" s="14" t="s">
        <v>236</v>
      </c>
      <c r="U135" s="14" t="s">
        <v>349</v>
      </c>
      <c r="V135" s="14" t="s">
        <v>484</v>
      </c>
      <c r="W135" s="14" t="s">
        <v>207</v>
      </c>
      <c r="X135" s="14" t="s">
        <v>207</v>
      </c>
      <c r="Y135" s="14">
        <v>2</v>
      </c>
      <c r="Z135" s="14">
        <v>4</v>
      </c>
      <c r="AA135" s="14" t="s">
        <v>189</v>
      </c>
      <c r="AB135" s="15">
        <f>IFERROR(AVERAGE(Tabel1[[#This Row],[Up - R1a]:[Up - R1c]]),"")</f>
        <v>3</v>
      </c>
      <c r="AC135" s="14" t="s">
        <v>189</v>
      </c>
      <c r="AD135" s="14">
        <v>2</v>
      </c>
      <c r="AE135" s="14">
        <v>2</v>
      </c>
      <c r="AF135" s="14">
        <v>4</v>
      </c>
      <c r="AG135" s="14">
        <f>IFERROR(AVERAGE(Tabel1[[#This Row],[Up - R1]:[Up - R5]]),"")</f>
        <v>2.75</v>
      </c>
      <c r="AH135" s="14">
        <v>2</v>
      </c>
      <c r="AI135" s="14">
        <v>2</v>
      </c>
      <c r="AJ135" s="14">
        <v>2</v>
      </c>
      <c r="AK135" s="14">
        <f>IFERROR(AVERAGE(Tabel1[[#This Row],[Up - C1a]:[Up - C1c]]),"")</f>
        <v>2</v>
      </c>
      <c r="AL135" s="14">
        <v>3</v>
      </c>
      <c r="AM135" s="14" t="s">
        <v>189</v>
      </c>
      <c r="AN135" s="14" t="s">
        <v>189</v>
      </c>
      <c r="AO135" s="14">
        <f>IFERROR(AVERAGE(Tabel1[[#This Row],[Up - C1]:[Up - C4]]),"")</f>
        <v>2.5</v>
      </c>
      <c r="AP135" s="14">
        <v>5</v>
      </c>
      <c r="AQ135" s="14">
        <f>IFERROR(AVERAGE(Tabel1[[#This Row],[Up - F1a]:[Up - F1a]]),"")</f>
        <v>5</v>
      </c>
      <c r="AR135" s="14">
        <v>3</v>
      </c>
      <c r="AS135" s="14" t="s">
        <v>189</v>
      </c>
      <c r="AT135" s="14">
        <f>IFERROR(AVERAGE(Tabel1[[#This Row],[Up - F2a]:[Up - F2b]]),"")</f>
        <v>3</v>
      </c>
      <c r="AU135" s="14">
        <v>3</v>
      </c>
      <c r="AV135" s="14" t="s">
        <v>189</v>
      </c>
      <c r="AW135" s="14">
        <f>IFERROR(AVERAGE(Tabel1[[#This Row],[Up - F3a]:[Up - F3b]]),"")</f>
        <v>3</v>
      </c>
      <c r="AX135" s="14">
        <v>5</v>
      </c>
      <c r="AY135" s="14">
        <f>IFERROR(AVERAGE(Tabel1[[#This Row],[Up - F1]],Tabel1[[#This Row],[Up - F2]],Tabel1[[#This Row],[Up - F3]],Tabel1[[#This Row],[Up - F4]]),"")</f>
        <v>4</v>
      </c>
      <c r="AZ135" s="14" t="s">
        <v>189</v>
      </c>
      <c r="BA135" s="14">
        <v>2</v>
      </c>
      <c r="BB135" s="14">
        <f>IFERROR(AVERAGE(Tabel1[[#This Row],[Up - V1a]:[Up - V1b]]),"")</f>
        <v>2</v>
      </c>
      <c r="BC135" s="14">
        <v>5</v>
      </c>
      <c r="BD135" s="14">
        <v>3</v>
      </c>
      <c r="BE135" s="14">
        <v>3</v>
      </c>
      <c r="BF135" s="14">
        <f>IFERROR(AVERAGE(Tabel1[[#This Row],[Up - V2a]:[Up - V2c]]),"")</f>
        <v>3.6666666666666665</v>
      </c>
      <c r="BG135" s="14">
        <v>1</v>
      </c>
      <c r="BH135" s="14">
        <v>4</v>
      </c>
      <c r="BI135" s="14">
        <f>IFERROR(AVERAGE(Tabel1[[#This Row],[Up - V3a]:[Up - V3b]]),"")</f>
        <v>2.5</v>
      </c>
      <c r="BJ135" s="14">
        <v>4</v>
      </c>
      <c r="BK135" s="14">
        <f>IFERROR(AVERAGE(Tabel1[[#This Row],[Up - V1]],Tabel1[[#This Row],[Up - V2]],Tabel1[[#This Row],[Up - V3]],Tabel1[[#This Row],[Up - V4]]),"")</f>
        <v>3.0416666666666665</v>
      </c>
      <c r="BL135" s="14">
        <v>5</v>
      </c>
      <c r="BM135" s="14">
        <v>5</v>
      </c>
      <c r="BN135" s="14">
        <v>2</v>
      </c>
      <c r="BO135" s="14">
        <v>1</v>
      </c>
      <c r="BP135" s="14">
        <f>IFERROR(AVERAGE(Tabel1[[#This Row],[Up - A1a]:[Up - A1d]]),"")</f>
        <v>3.25</v>
      </c>
      <c r="BQ135" s="14">
        <v>5</v>
      </c>
      <c r="BR135" s="14">
        <v>4</v>
      </c>
      <c r="BS135" s="14">
        <f>IFERROR(AVERAGE(Tabel1[[#This Row],[Up - A2a]:[Up - A2b]]),"")</f>
        <v>4.5</v>
      </c>
      <c r="BT135" s="14">
        <v>3</v>
      </c>
      <c r="BU135" s="14">
        <f>IFERROR(AVERAGE(Tabel1[[#This Row],[Up - A3a]:[Up - A3a]]),"")</f>
        <v>3</v>
      </c>
      <c r="BV135" s="14" t="s">
        <v>189</v>
      </c>
      <c r="BW135" s="14">
        <f>IFERROR(AVERAGE(Tabel1[[#This Row],[Up - A1]],Tabel1[[#This Row],[Up - A2]],Tabel1[[#This Row],[Up - A3]]),"")</f>
        <v>3.5833333333333335</v>
      </c>
      <c r="BX135" s="14">
        <v>5</v>
      </c>
      <c r="BY135" s="14">
        <v>3</v>
      </c>
      <c r="BZ135" s="14">
        <f>IFERROR(AVERAGE(Tabel1[[#This Row],[In - R1a]:[In - R1b]]),"")</f>
        <v>4</v>
      </c>
      <c r="CA135" s="14">
        <v>1</v>
      </c>
      <c r="CB135" s="14" t="s">
        <v>189</v>
      </c>
      <c r="CC135" s="14">
        <v>1</v>
      </c>
      <c r="CD135" s="14">
        <v>5</v>
      </c>
      <c r="CE135" s="14">
        <f>IFERROR(AVERAGE(Tabel1[[#This Row],[In - R1]:[In - R5]]),"")</f>
        <v>2.75</v>
      </c>
      <c r="CF135" s="14">
        <v>3</v>
      </c>
      <c r="CG135" s="14">
        <v>3</v>
      </c>
      <c r="CH135" s="14">
        <v>3</v>
      </c>
      <c r="CI135" s="14">
        <f>IFERROR(AVERAGE(Tabel1[[#This Row],[In - C1a]:[In - C1c]]),"")</f>
        <v>3</v>
      </c>
      <c r="CJ135" s="14">
        <v>2</v>
      </c>
      <c r="CK135" s="14" t="s">
        <v>189</v>
      </c>
      <c r="CL135" s="14">
        <v>2</v>
      </c>
      <c r="CM135" s="14">
        <f>IFERROR(AVERAGE(Tabel1[[#This Row],[In - C1]:[In - C4]]),"")</f>
        <v>2.3333333333333335</v>
      </c>
      <c r="CN135" s="14">
        <v>2</v>
      </c>
      <c r="CO135" s="14">
        <v>2</v>
      </c>
      <c r="CP135" s="14">
        <v>4</v>
      </c>
      <c r="CQ135" s="14">
        <f>IFERROR(AVERAGE(Tabel1[[#This Row],[In - F1a]:[In - F1c]]),"")</f>
        <v>2.6666666666666665</v>
      </c>
      <c r="CR135" s="14" t="s">
        <v>189</v>
      </c>
      <c r="CS135" s="14">
        <v>1</v>
      </c>
      <c r="CT135" s="14">
        <f>IFERROR(AVERAGE(Tabel1[[#This Row],[In - F2a]:[In - F2b]]),"")</f>
        <v>1</v>
      </c>
      <c r="CU135" s="14">
        <v>2</v>
      </c>
      <c r="CV135" s="14">
        <f>IFERROR(AVERAGE(Tabel1[[#This Row],[In - F3a]:[In - F3a]]),"")</f>
        <v>2</v>
      </c>
      <c r="CW135" s="14" t="s">
        <v>189</v>
      </c>
      <c r="CX135" s="14">
        <f>IFERROR(AVERAGE(Tabel1[[#This Row],[In - F1]],Tabel1[[#This Row],[In - F2]],Tabel1[[#This Row],[In - F3]],Tabel1[[#This Row],[In - F4]]),"")</f>
        <v>1.8888888888888886</v>
      </c>
      <c r="CY135" s="14">
        <v>4</v>
      </c>
      <c r="CZ135" s="14">
        <v>2</v>
      </c>
      <c r="DA135" s="14">
        <v>1</v>
      </c>
      <c r="DB135" s="14">
        <f>IFERROR(AVERAGE(Tabel1[[#This Row],[In - V1a]:[In - V1c]]),"")</f>
        <v>2.3333333333333335</v>
      </c>
      <c r="DC135" s="14">
        <v>5</v>
      </c>
      <c r="DD135" s="14">
        <v>4</v>
      </c>
      <c r="DE135" s="14">
        <v>2</v>
      </c>
      <c r="DF135" s="14">
        <f>IFERROR(AVERAGE(Tabel1[[#This Row],[In - V2a]:[In - V2c]]),"")</f>
        <v>3.6666666666666665</v>
      </c>
      <c r="DG135" s="14" t="s">
        <v>189</v>
      </c>
      <c r="DH135" s="14" t="s">
        <v>189</v>
      </c>
      <c r="DI135" s="14" t="str">
        <f>IFERROR(AVERAGE(Tabel1[[#This Row],[In - V3a]:[In - V3b]]),"")</f>
        <v/>
      </c>
      <c r="DJ135" s="14">
        <v>4</v>
      </c>
      <c r="DK135" s="14">
        <f>IFERROR(AVERAGE(Tabel1[[#This Row],[In - V1]],Tabel1[[#This Row],[In - V2]],Tabel1[[#This Row],[In - V3]],Tabel1[[#This Row],[In - V4]]),"")</f>
        <v>3.3333333333333335</v>
      </c>
      <c r="DL135" s="14">
        <v>4</v>
      </c>
      <c r="DM135" s="14" t="s">
        <v>189</v>
      </c>
      <c r="DN135" s="14">
        <f>IFERROR(AVERAGE(Tabel1[[#This Row],[In - A1a]:[In - A1b]]),"")</f>
        <v>4</v>
      </c>
      <c r="DO135" s="14">
        <v>2</v>
      </c>
      <c r="DP135" s="14">
        <v>2</v>
      </c>
      <c r="DQ135" s="14">
        <f>IFERROR(AVERAGE(Tabel1[[#This Row],[In - A2a]:[In - A2b]]),"")</f>
        <v>2</v>
      </c>
      <c r="DR135" s="14">
        <v>3</v>
      </c>
      <c r="DS135" s="14">
        <v>1</v>
      </c>
      <c r="DT135" s="14">
        <f>IFERROR(AVERAGE(Tabel1[[#This Row],[In - A3a]:[In - A3a]]),"")</f>
        <v>3</v>
      </c>
      <c r="DU135" s="14" t="s">
        <v>189</v>
      </c>
      <c r="DV135" s="14">
        <f>IFERROR(AVERAGE(Tabel1[[#This Row],[In - A1]],Tabel1[[#This Row],[In - A2]],Tabel1[[#This Row],[In - A3]],Tabel1[[#This Row],[In - A4]]),"")</f>
        <v>3</v>
      </c>
      <c r="DW135" s="14">
        <v>1</v>
      </c>
      <c r="DX135" s="14">
        <v>4</v>
      </c>
      <c r="DY135" s="14">
        <v>1</v>
      </c>
      <c r="DZ135" s="14">
        <f>IFERROR(AVERAGE(Tabel1[[#This Row],[Do - R1a]:[Do - R1c]]),"")</f>
        <v>2</v>
      </c>
      <c r="EA135" s="14">
        <v>1</v>
      </c>
      <c r="EB135" s="14">
        <v>2</v>
      </c>
      <c r="EC135" s="14">
        <v>1</v>
      </c>
      <c r="ED135" s="14">
        <v>5</v>
      </c>
      <c r="EE135" s="14">
        <f>IFERROR(AVERAGE(Tabel1[[#This Row],[Do - R1]:[Do - R5]]),"")</f>
        <v>2.2000000000000002</v>
      </c>
      <c r="EF135" s="14">
        <v>3</v>
      </c>
      <c r="EG135" s="14">
        <v>3</v>
      </c>
      <c r="EH135" s="14">
        <v>2</v>
      </c>
      <c r="EI135" s="14">
        <f>IFERROR(AVERAGE(Tabel1[[#This Row],[Do - C1a]:[Do - C1c]]),"")</f>
        <v>2.6666666666666665</v>
      </c>
      <c r="EJ135" s="14">
        <v>2</v>
      </c>
      <c r="EK135" s="14" t="s">
        <v>189</v>
      </c>
      <c r="EL135" s="14" t="s">
        <v>189</v>
      </c>
      <c r="EM135" s="14">
        <f>IFERROR(AVERAGE(Tabel1[[#This Row],[Do - C1]:[Do - C4]]),"")</f>
        <v>2.333333333333333</v>
      </c>
      <c r="EN135" s="14">
        <v>1</v>
      </c>
      <c r="EO135" s="14">
        <v>1</v>
      </c>
      <c r="EP135" s="14">
        <v>3</v>
      </c>
      <c r="EQ135" s="14">
        <f>IFERROR(AVERAGE(Tabel1[[#This Row],[Do - F1a]:[Do - F1c]]),"")</f>
        <v>1.6666666666666667</v>
      </c>
      <c r="ER135" s="14">
        <v>2</v>
      </c>
      <c r="ES135" s="14">
        <f>IFERROR(AVERAGE(Tabel1[[#This Row],[Do - F2a]:[Do - F2a]]),"")</f>
        <v>2</v>
      </c>
      <c r="ET135" s="14">
        <v>2</v>
      </c>
      <c r="EU135" s="14" t="s">
        <v>189</v>
      </c>
      <c r="EV135" s="14">
        <f>IFERROR(AVERAGE(Tabel1[[#This Row],[Do - F3a]:[Do - F3b]]),"")</f>
        <v>2</v>
      </c>
      <c r="EW135" s="14" t="s">
        <v>189</v>
      </c>
      <c r="EX135" s="14">
        <f>IFERROR(AVERAGE(Tabel1[[#This Row],[Do - F1]],Tabel1[[#This Row],[Do - F2]],Tabel1[[#This Row],[Do - F3]],Tabel1[[#This Row],[Do - F4]]),"")</f>
        <v>1.8888888888888891</v>
      </c>
      <c r="EY135" s="14">
        <v>3</v>
      </c>
      <c r="EZ135" s="14">
        <v>1</v>
      </c>
      <c r="FA135" s="14" t="s">
        <v>189</v>
      </c>
      <c r="FB135" s="14">
        <f>IFERROR(AVERAGE(Tabel1[[#This Row],[Do - V1a]:[Do - V1c]]),"")</f>
        <v>2</v>
      </c>
      <c r="FC135" s="14">
        <v>5</v>
      </c>
      <c r="FD135" s="14">
        <v>1</v>
      </c>
      <c r="FE135" s="14">
        <f>IFERROR(AVERAGE(Tabel1[[#This Row],[Do - V2a]:[Do - V2b]]),"")</f>
        <v>3</v>
      </c>
      <c r="FF135" s="14">
        <v>2</v>
      </c>
      <c r="FG135" s="14">
        <f>IFERROR(AVERAGE(Tabel1[[#This Row],[Do - V3a]:[Do - V3a]]),"")</f>
        <v>2</v>
      </c>
      <c r="FH135" s="14" t="s">
        <v>189</v>
      </c>
      <c r="FI135" s="14">
        <f>IFERROR(AVERAGE(Tabel1[[#This Row],[Do - V1]],Tabel1[[#This Row],[Do - V2]],Tabel1[[#This Row],[Do - V3]],Tabel1[[#This Row],[Do - V4]]),"")</f>
        <v>2.3333333333333335</v>
      </c>
      <c r="FJ135" s="14">
        <v>5</v>
      </c>
      <c r="FK135" s="14" t="s">
        <v>189</v>
      </c>
      <c r="FL135" s="14">
        <v>2</v>
      </c>
      <c r="FM135" s="14">
        <f>IFERROR(AVERAGE(Tabel1[[#This Row],[Do - A1a]:[Do - A1c]]),"")</f>
        <v>3.5</v>
      </c>
      <c r="FN135" s="14" t="s">
        <v>189</v>
      </c>
      <c r="FO135" s="14">
        <v>4</v>
      </c>
      <c r="FP135" s="14">
        <f>IFERROR(AVERAGE(Tabel1[[#This Row],[Do - A2a]:[Do - A2b]]),"")</f>
        <v>4</v>
      </c>
      <c r="FQ135" s="14">
        <v>3</v>
      </c>
      <c r="FR135" s="14">
        <f>IFERROR(AVERAGE(Tabel1[[#This Row],[Do - A3a]:[Do - A3a]]),"")</f>
        <v>3</v>
      </c>
      <c r="FS135" s="14" t="s">
        <v>189</v>
      </c>
      <c r="FT135" s="14">
        <f>IFERROR(AVERAGE(Tabel1[[#This Row],[Do - A1]],Tabel1[[#This Row],[Do - A2]],Tabel1[[#This Row],[Do - A3]],Tabel1[[#This Row],[Do - A4]]),"")</f>
        <v>3.5</v>
      </c>
      <c r="FU13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2.7624074074074074</v>
      </c>
      <c r="FV135" s="16" t="s">
        <v>839</v>
      </c>
      <c r="FW135" t="b">
        <v>1</v>
      </c>
    </row>
    <row r="136" spans="1:179" x14ac:dyDescent="0.3">
      <c r="A136" s="13">
        <v>45005.346168981479</v>
      </c>
      <c r="B136" t="b">
        <v>0</v>
      </c>
      <c r="C136" s="14" t="s">
        <v>840</v>
      </c>
      <c r="D136" s="14" t="s">
        <v>841</v>
      </c>
      <c r="E136" s="14" t="s">
        <v>216</v>
      </c>
      <c r="F136" s="14" t="s">
        <v>184</v>
      </c>
      <c r="G136" s="14" t="s">
        <v>842</v>
      </c>
      <c r="H136" s="14" t="s">
        <v>222</v>
      </c>
      <c r="I136" s="14" t="s">
        <v>195</v>
      </c>
      <c r="J136" s="14" t="s">
        <v>268</v>
      </c>
      <c r="K136" s="14" t="s">
        <v>187</v>
      </c>
      <c r="L136" s="14" t="s">
        <v>249</v>
      </c>
      <c r="M136" s="14" t="s">
        <v>198</v>
      </c>
      <c r="N136" s="14" t="s">
        <v>262</v>
      </c>
      <c r="O136" s="14" t="s">
        <v>200</v>
      </c>
      <c r="P136" s="17" t="s">
        <v>304</v>
      </c>
      <c r="Q136" s="14" t="s">
        <v>202</v>
      </c>
      <c r="R136" s="14" t="s">
        <v>187</v>
      </c>
      <c r="S136" s="14" t="s">
        <v>235</v>
      </c>
      <c r="T136" s="14" t="s">
        <v>236</v>
      </c>
      <c r="U136" s="14" t="s">
        <v>237</v>
      </c>
      <c r="V136" s="14" t="s">
        <v>484</v>
      </c>
      <c r="W136" s="14" t="s">
        <v>207</v>
      </c>
      <c r="X136" s="14" t="s">
        <v>207</v>
      </c>
      <c r="Y136" s="14">
        <v>3</v>
      </c>
      <c r="Z136" s="14">
        <v>5</v>
      </c>
      <c r="AA136" s="14">
        <v>3</v>
      </c>
      <c r="AB136" s="15">
        <f>IFERROR(AVERAGE(Tabel1[[#This Row],[Up - R1a]:[Up - R1c]]),"")</f>
        <v>3.6666666666666665</v>
      </c>
      <c r="AC136" s="14">
        <v>2</v>
      </c>
      <c r="AD136" s="14">
        <v>5</v>
      </c>
      <c r="AE136" s="14">
        <v>1</v>
      </c>
      <c r="AF136" s="14">
        <v>4</v>
      </c>
      <c r="AG136" s="14">
        <f>IFERROR(AVERAGE(Tabel1[[#This Row],[Up - R1]:[Up - R5]]),"")</f>
        <v>3.1333333333333333</v>
      </c>
      <c r="AH136" s="14">
        <v>5</v>
      </c>
      <c r="AI136" s="14">
        <v>5</v>
      </c>
      <c r="AJ136" s="14">
        <v>4</v>
      </c>
      <c r="AK136" s="14">
        <f>IFERROR(AVERAGE(Tabel1[[#This Row],[Up - C1a]:[Up - C1c]]),"")</f>
        <v>4.666666666666667</v>
      </c>
      <c r="AL136" s="14">
        <v>2</v>
      </c>
      <c r="AM136" s="14">
        <v>2</v>
      </c>
      <c r="AN136" s="14">
        <v>3</v>
      </c>
      <c r="AO136" s="14">
        <f>IFERROR(AVERAGE(Tabel1[[#This Row],[Up - C1]:[Up - C4]]),"")</f>
        <v>2.916666666666667</v>
      </c>
      <c r="AP136" s="14">
        <v>5</v>
      </c>
      <c r="AQ136" s="14">
        <f>IFERROR(AVERAGE(Tabel1[[#This Row],[Up - F1a]:[Up - F1a]]),"")</f>
        <v>5</v>
      </c>
      <c r="AR136" s="14">
        <v>3</v>
      </c>
      <c r="AS136" s="14">
        <v>5</v>
      </c>
      <c r="AT136" s="14">
        <f>IFERROR(AVERAGE(Tabel1[[#This Row],[Up - F2a]:[Up - F2b]]),"")</f>
        <v>4</v>
      </c>
      <c r="AU136" s="14">
        <v>3</v>
      </c>
      <c r="AV136" s="14">
        <v>5</v>
      </c>
      <c r="AW136" s="14">
        <f>IFERROR(AVERAGE(Tabel1[[#This Row],[Up - F3a]:[Up - F3b]]),"")</f>
        <v>4</v>
      </c>
      <c r="AX136" s="14">
        <v>3</v>
      </c>
      <c r="AY136" s="14">
        <f>IFERROR(AVERAGE(Tabel1[[#This Row],[Up - F1]],Tabel1[[#This Row],[Up - F2]],Tabel1[[#This Row],[Up - F3]],Tabel1[[#This Row],[Up - F4]]),"")</f>
        <v>4</v>
      </c>
      <c r="AZ136" s="14">
        <v>4</v>
      </c>
      <c r="BA136" s="14">
        <v>4</v>
      </c>
      <c r="BB136" s="14">
        <f>IFERROR(AVERAGE(Tabel1[[#This Row],[Up - V1a]:[Up - V1b]]),"")</f>
        <v>4</v>
      </c>
      <c r="BC136" s="14">
        <v>2</v>
      </c>
      <c r="BD136" s="14">
        <v>2</v>
      </c>
      <c r="BE136" s="14">
        <v>5</v>
      </c>
      <c r="BF136" s="14">
        <f>IFERROR(AVERAGE(Tabel1[[#This Row],[Up - V2a]:[Up - V2c]]),"")</f>
        <v>3</v>
      </c>
      <c r="BG136" s="14">
        <v>4</v>
      </c>
      <c r="BH136" s="14">
        <v>4</v>
      </c>
      <c r="BI136" s="14">
        <f>IFERROR(AVERAGE(Tabel1[[#This Row],[Up - V3a]:[Up - V3b]]),"")</f>
        <v>4</v>
      </c>
      <c r="BJ136" s="14">
        <v>3</v>
      </c>
      <c r="BK136" s="14">
        <f>IFERROR(AVERAGE(Tabel1[[#This Row],[Up - V1]],Tabel1[[#This Row],[Up - V2]],Tabel1[[#This Row],[Up - V3]],Tabel1[[#This Row],[Up - V4]]),"")</f>
        <v>3.5</v>
      </c>
      <c r="BL136" s="14">
        <v>4</v>
      </c>
      <c r="BM136" s="14">
        <v>3</v>
      </c>
      <c r="BN136" s="14">
        <v>3</v>
      </c>
      <c r="BO136" s="14">
        <v>3</v>
      </c>
      <c r="BP136" s="14">
        <f>IFERROR(AVERAGE(Tabel1[[#This Row],[Up - A1a]:[Up - A1d]]),"")</f>
        <v>3.25</v>
      </c>
      <c r="BQ136" s="14">
        <v>3</v>
      </c>
      <c r="BR136" s="14">
        <v>5</v>
      </c>
      <c r="BS136" s="14">
        <f>IFERROR(AVERAGE(Tabel1[[#This Row],[Up - A2a]:[Up - A2b]]),"")</f>
        <v>4</v>
      </c>
      <c r="BT136" s="14">
        <v>5</v>
      </c>
      <c r="BU136" s="14">
        <f>IFERROR(AVERAGE(Tabel1[[#This Row],[Up - A3a]:[Up - A3a]]),"")</f>
        <v>5</v>
      </c>
      <c r="BV136" s="14">
        <v>2</v>
      </c>
      <c r="BW136" s="14">
        <f>IFERROR(AVERAGE(Tabel1[[#This Row],[Up - A1]],Tabel1[[#This Row],[Up - A2]],Tabel1[[#This Row],[Up - A3]]),"")</f>
        <v>4.083333333333333</v>
      </c>
      <c r="BX136" s="14">
        <v>3</v>
      </c>
      <c r="BY136" s="14">
        <v>4</v>
      </c>
      <c r="BZ136" s="14">
        <f>IFERROR(AVERAGE(Tabel1[[#This Row],[In - R1a]:[In - R1b]]),"")</f>
        <v>3.5</v>
      </c>
      <c r="CA136" s="14">
        <v>1</v>
      </c>
      <c r="CB136" s="14">
        <v>3</v>
      </c>
      <c r="CC136" s="14">
        <v>2</v>
      </c>
      <c r="CD136" s="14">
        <v>5</v>
      </c>
      <c r="CE136" s="14">
        <f>IFERROR(AVERAGE(Tabel1[[#This Row],[In - R1]:[In - R5]]),"")</f>
        <v>2.9</v>
      </c>
      <c r="CF136" s="14">
        <v>5</v>
      </c>
      <c r="CG136" s="14">
        <v>3</v>
      </c>
      <c r="CH136" s="14">
        <v>5</v>
      </c>
      <c r="CI136" s="14">
        <f>IFERROR(AVERAGE(Tabel1[[#This Row],[In - C1a]:[In - C1c]]),"")</f>
        <v>4.333333333333333</v>
      </c>
      <c r="CJ136" s="14">
        <v>3</v>
      </c>
      <c r="CK136" s="14">
        <v>3</v>
      </c>
      <c r="CL136" s="14">
        <v>3</v>
      </c>
      <c r="CM136" s="14">
        <f>IFERROR(AVERAGE(Tabel1[[#This Row],[In - C1]:[In - C4]]),"")</f>
        <v>3.333333333333333</v>
      </c>
      <c r="CN136" s="14">
        <v>4</v>
      </c>
      <c r="CO136" s="14">
        <v>2</v>
      </c>
      <c r="CP136" s="14">
        <v>5</v>
      </c>
      <c r="CQ136" s="14">
        <f>IFERROR(AVERAGE(Tabel1[[#This Row],[In - F1a]:[In - F1c]]),"")</f>
        <v>3.6666666666666665</v>
      </c>
      <c r="CR136" s="14">
        <v>5</v>
      </c>
      <c r="CS136" s="14">
        <v>3</v>
      </c>
      <c r="CT136" s="14">
        <f>IFERROR(AVERAGE(Tabel1[[#This Row],[In - F2a]:[In - F2b]]),"")</f>
        <v>4</v>
      </c>
      <c r="CU136" s="14">
        <v>1</v>
      </c>
      <c r="CV136" s="14">
        <f>IFERROR(AVERAGE(Tabel1[[#This Row],[In - F3a]:[In - F3a]]),"")</f>
        <v>1</v>
      </c>
      <c r="CW136" s="14">
        <v>3</v>
      </c>
      <c r="CX136" s="14">
        <f>IFERROR(AVERAGE(Tabel1[[#This Row],[In - F1]],Tabel1[[#This Row],[In - F2]],Tabel1[[#This Row],[In - F3]],Tabel1[[#This Row],[In - F4]]),"")</f>
        <v>2.9166666666666665</v>
      </c>
      <c r="CY136" s="14">
        <v>5</v>
      </c>
      <c r="CZ136" s="14">
        <v>3</v>
      </c>
      <c r="DA136" s="14">
        <v>3</v>
      </c>
      <c r="DB136" s="14">
        <f>IFERROR(AVERAGE(Tabel1[[#This Row],[In - V1a]:[In - V1c]]),"")</f>
        <v>3.6666666666666665</v>
      </c>
      <c r="DC136" s="14">
        <v>3</v>
      </c>
      <c r="DD136" s="14">
        <v>4</v>
      </c>
      <c r="DE136" s="14">
        <v>5</v>
      </c>
      <c r="DF136" s="14">
        <f>IFERROR(AVERAGE(Tabel1[[#This Row],[In - V2a]:[In - V2c]]),"")</f>
        <v>4</v>
      </c>
      <c r="DG136" s="14">
        <v>4</v>
      </c>
      <c r="DH136" s="14">
        <v>4</v>
      </c>
      <c r="DI136" s="14">
        <f>IFERROR(AVERAGE(Tabel1[[#This Row],[In - V3a]:[In - V3b]]),"")</f>
        <v>4</v>
      </c>
      <c r="DJ136" s="14">
        <v>3</v>
      </c>
      <c r="DK136" s="14">
        <f>IFERROR(AVERAGE(Tabel1[[#This Row],[In - V1]],Tabel1[[#This Row],[In - V2]],Tabel1[[#This Row],[In - V3]],Tabel1[[#This Row],[In - V4]]),"")</f>
        <v>3.6666666666666665</v>
      </c>
      <c r="DL136" s="14">
        <v>5</v>
      </c>
      <c r="DM136" s="14">
        <v>4</v>
      </c>
      <c r="DN136" s="14">
        <f>IFERROR(AVERAGE(Tabel1[[#This Row],[In - A1a]:[In - A1b]]),"")</f>
        <v>4.5</v>
      </c>
      <c r="DO136" s="14">
        <v>5</v>
      </c>
      <c r="DP136" s="14">
        <v>5</v>
      </c>
      <c r="DQ136" s="14">
        <f>IFERROR(AVERAGE(Tabel1[[#This Row],[In - A2a]:[In - A2b]]),"")</f>
        <v>5</v>
      </c>
      <c r="DR136" s="14">
        <v>4</v>
      </c>
      <c r="DS136" s="14">
        <v>2</v>
      </c>
      <c r="DT136" s="14">
        <f>IFERROR(AVERAGE(Tabel1[[#This Row],[In - A3a]:[In - A3a]]),"")</f>
        <v>4</v>
      </c>
      <c r="DU136" s="14">
        <v>2</v>
      </c>
      <c r="DV136" s="14">
        <f>IFERROR(AVERAGE(Tabel1[[#This Row],[In - A1]],Tabel1[[#This Row],[In - A2]],Tabel1[[#This Row],[In - A3]],Tabel1[[#This Row],[In - A4]]),"")</f>
        <v>3.875</v>
      </c>
      <c r="DW136" s="14">
        <v>2</v>
      </c>
      <c r="DX136" s="14">
        <v>5</v>
      </c>
      <c r="DY136" s="14">
        <v>2</v>
      </c>
      <c r="DZ136" s="14">
        <f>IFERROR(AVERAGE(Tabel1[[#This Row],[Do - R1a]:[Do - R1c]]),"")</f>
        <v>3</v>
      </c>
      <c r="EA136" s="14">
        <v>1</v>
      </c>
      <c r="EB136" s="14">
        <v>3</v>
      </c>
      <c r="EC136" s="14">
        <v>2</v>
      </c>
      <c r="ED136" s="14">
        <v>3</v>
      </c>
      <c r="EE136" s="14">
        <f>IFERROR(AVERAGE(Tabel1[[#This Row],[Do - R1]:[Do - R5]]),"")</f>
        <v>2.4</v>
      </c>
      <c r="EF136" s="14">
        <v>4</v>
      </c>
      <c r="EG136" s="14">
        <v>3</v>
      </c>
      <c r="EH136" s="14" t="s">
        <v>189</v>
      </c>
      <c r="EI136" s="14">
        <f>IFERROR(AVERAGE(Tabel1[[#This Row],[Do - C1a]:[Do - C1c]]),"")</f>
        <v>3.5</v>
      </c>
      <c r="EJ136" s="14">
        <v>3</v>
      </c>
      <c r="EK136" s="14" t="s">
        <v>189</v>
      </c>
      <c r="EL136" s="14" t="s">
        <v>189</v>
      </c>
      <c r="EM136" s="14">
        <f>IFERROR(AVERAGE(Tabel1[[#This Row],[Do - C1]:[Do - C4]]),"")</f>
        <v>3.25</v>
      </c>
      <c r="EN136" s="14">
        <v>1</v>
      </c>
      <c r="EO136" s="14">
        <v>3</v>
      </c>
      <c r="EP136" s="14">
        <v>3</v>
      </c>
      <c r="EQ136" s="14">
        <f>IFERROR(AVERAGE(Tabel1[[#This Row],[Do - F1a]:[Do - F1c]]),"")</f>
        <v>2.3333333333333335</v>
      </c>
      <c r="ER136" s="14">
        <v>4</v>
      </c>
      <c r="ES136" s="14">
        <f>IFERROR(AVERAGE(Tabel1[[#This Row],[Do - F2a]:[Do - F2a]]),"")</f>
        <v>4</v>
      </c>
      <c r="ET136" s="14">
        <v>3</v>
      </c>
      <c r="EU136" s="14">
        <v>3</v>
      </c>
      <c r="EV136" s="14">
        <f>IFERROR(AVERAGE(Tabel1[[#This Row],[Do - F3a]:[Do - F3b]]),"")</f>
        <v>3</v>
      </c>
      <c r="EW136" s="14">
        <v>3</v>
      </c>
      <c r="EX136" s="14">
        <f>IFERROR(AVERAGE(Tabel1[[#This Row],[Do - F1]],Tabel1[[#This Row],[Do - F2]],Tabel1[[#This Row],[Do - F3]],Tabel1[[#This Row],[Do - F4]]),"")</f>
        <v>3.0833333333333335</v>
      </c>
      <c r="EY136" s="14">
        <v>4</v>
      </c>
      <c r="EZ136" s="14">
        <v>3</v>
      </c>
      <c r="FA136" s="14">
        <v>4</v>
      </c>
      <c r="FB136" s="14">
        <f>IFERROR(AVERAGE(Tabel1[[#This Row],[Do - V1a]:[Do - V1c]]),"")</f>
        <v>3.6666666666666665</v>
      </c>
      <c r="FC136" s="14">
        <v>3</v>
      </c>
      <c r="FD136" s="14" t="s">
        <v>189</v>
      </c>
      <c r="FE136" s="14">
        <f>IFERROR(AVERAGE(Tabel1[[#This Row],[Do - V2a]:[Do - V2b]]),"")</f>
        <v>3</v>
      </c>
      <c r="FF136" s="14" t="s">
        <v>189</v>
      </c>
      <c r="FG136" s="14" t="str">
        <f>IFERROR(AVERAGE(Tabel1[[#This Row],[Do - V3a]:[Do - V3a]]),"")</f>
        <v/>
      </c>
      <c r="FH136" s="14">
        <v>3</v>
      </c>
      <c r="FI136" s="14">
        <f>IFERROR(AVERAGE(Tabel1[[#This Row],[Do - V1]],Tabel1[[#This Row],[Do - V2]],Tabel1[[#This Row],[Do - V3]],Tabel1[[#This Row],[Do - V4]]),"")</f>
        <v>3.2222222222222219</v>
      </c>
      <c r="FJ136" s="14">
        <v>2</v>
      </c>
      <c r="FK136" s="14">
        <v>2</v>
      </c>
      <c r="FL136" s="14">
        <v>4</v>
      </c>
      <c r="FM136" s="14">
        <f>IFERROR(AVERAGE(Tabel1[[#This Row],[Do - A1a]:[Do - A1c]]),"")</f>
        <v>2.6666666666666665</v>
      </c>
      <c r="FN136" s="14" t="s">
        <v>189</v>
      </c>
      <c r="FO136" s="14">
        <v>3</v>
      </c>
      <c r="FP136" s="14">
        <f>IFERROR(AVERAGE(Tabel1[[#This Row],[Do - A2a]:[Do - A2b]]),"")</f>
        <v>3</v>
      </c>
      <c r="FQ136" s="14">
        <v>4</v>
      </c>
      <c r="FR136" s="14">
        <f>IFERROR(AVERAGE(Tabel1[[#This Row],[Do - A3a]:[Do - A3a]]),"")</f>
        <v>4</v>
      </c>
      <c r="FS136" s="14">
        <v>4</v>
      </c>
      <c r="FT136" s="14">
        <f>IFERROR(AVERAGE(Tabel1[[#This Row],[Do - A1]],Tabel1[[#This Row],[Do - A2]],Tabel1[[#This Row],[Do - A3]],Tabel1[[#This Row],[Do - A4]]),"")</f>
        <v>3.4166666666666665</v>
      </c>
      <c r="FU13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3.3131481481481484</v>
      </c>
      <c r="FV136" s="16" t="s">
        <v>843</v>
      </c>
      <c r="FW136" t="b">
        <v>1</v>
      </c>
    </row>
    <row r="137" spans="1:179" x14ac:dyDescent="0.3">
      <c r="A137" s="13">
        <v>45006.411226851851</v>
      </c>
      <c r="B137" t="b">
        <v>0</v>
      </c>
      <c r="C137" s="14" t="s">
        <v>844</v>
      </c>
      <c r="D137" s="14" t="s">
        <v>845</v>
      </c>
      <c r="E137" s="14" t="s">
        <v>260</v>
      </c>
      <c r="F137" s="14" t="s">
        <v>184</v>
      </c>
      <c r="G137" s="14" t="s">
        <v>846</v>
      </c>
      <c r="H137" s="14" t="s">
        <v>194</v>
      </c>
      <c r="I137" s="14" t="s">
        <v>195</v>
      </c>
      <c r="J137" s="14" t="s">
        <v>261</v>
      </c>
      <c r="K137" s="14" t="s">
        <v>235</v>
      </c>
      <c r="L137" s="14" t="s">
        <v>249</v>
      </c>
      <c r="M137" s="14" t="s">
        <v>233</v>
      </c>
      <c r="N137" s="14" t="s">
        <v>262</v>
      </c>
      <c r="O137" s="14" t="s">
        <v>200</v>
      </c>
      <c r="P137" s="17" t="s">
        <v>255</v>
      </c>
      <c r="Q137" s="14" t="s">
        <v>201</v>
      </c>
      <c r="R137" s="14" t="s">
        <v>235</v>
      </c>
      <c r="S137" s="14" t="s">
        <v>235</v>
      </c>
      <c r="T137" s="14" t="s">
        <v>204</v>
      </c>
      <c r="U137" s="14" t="s">
        <v>285</v>
      </c>
      <c r="V137" s="14" t="s">
        <v>206</v>
      </c>
      <c r="W137" s="14" t="s">
        <v>207</v>
      </c>
      <c r="X137" s="14" t="s">
        <v>207</v>
      </c>
      <c r="Y137" s="14">
        <v>4</v>
      </c>
      <c r="Z137" s="14">
        <v>5</v>
      </c>
      <c r="AA137" s="14" t="s">
        <v>189</v>
      </c>
      <c r="AB137" s="15">
        <f>IFERROR(AVERAGE(Tabel1[[#This Row],[Up - R1a]:[Up - R1c]]),"")</f>
        <v>4.5</v>
      </c>
      <c r="AC137" s="14">
        <v>4</v>
      </c>
      <c r="AD137" s="14">
        <v>5</v>
      </c>
      <c r="AE137" s="14">
        <v>2</v>
      </c>
      <c r="AF137" s="14" t="s">
        <v>189</v>
      </c>
      <c r="AG137" s="14">
        <f>IFERROR(AVERAGE(Tabel1[[#This Row],[Up - R1]:[Up - R5]]),"")</f>
        <v>3.875</v>
      </c>
      <c r="AH137" s="14">
        <v>3</v>
      </c>
      <c r="AI137" s="14">
        <v>4</v>
      </c>
      <c r="AJ137" s="14">
        <v>3</v>
      </c>
      <c r="AK137" s="14">
        <f>IFERROR(AVERAGE(Tabel1[[#This Row],[Up - C1a]:[Up - C1c]]),"")</f>
        <v>3.3333333333333335</v>
      </c>
      <c r="AL137" s="14">
        <v>2</v>
      </c>
      <c r="AM137" s="14">
        <v>3</v>
      </c>
      <c r="AN137" s="14" t="s">
        <v>189</v>
      </c>
      <c r="AO137" s="14">
        <f>IFERROR(AVERAGE(Tabel1[[#This Row],[Up - C1]:[Up - C4]]),"")</f>
        <v>2.7777777777777781</v>
      </c>
      <c r="AP137" s="14">
        <v>2</v>
      </c>
      <c r="AQ137" s="14">
        <f>IFERROR(AVERAGE(Tabel1[[#This Row],[Up - F1a]:[Up - F1a]]),"")</f>
        <v>2</v>
      </c>
      <c r="AR137" s="14">
        <v>2</v>
      </c>
      <c r="AS137" s="14">
        <v>1</v>
      </c>
      <c r="AT137" s="14">
        <f>IFERROR(AVERAGE(Tabel1[[#This Row],[Up - F2a]:[Up - F2b]]),"")</f>
        <v>1.5</v>
      </c>
      <c r="AU137" s="14">
        <v>2</v>
      </c>
      <c r="AV137" s="14" t="s">
        <v>189</v>
      </c>
      <c r="AW137" s="14">
        <f>IFERROR(AVERAGE(Tabel1[[#This Row],[Up - F3a]:[Up - F3b]]),"")</f>
        <v>2</v>
      </c>
      <c r="AX137" s="14">
        <v>3</v>
      </c>
      <c r="AY137" s="14">
        <f>IFERROR(AVERAGE(Tabel1[[#This Row],[Up - F1]],Tabel1[[#This Row],[Up - F2]],Tabel1[[#This Row],[Up - F3]],Tabel1[[#This Row],[Up - F4]]),"")</f>
        <v>2.125</v>
      </c>
      <c r="AZ137" s="14">
        <v>1</v>
      </c>
      <c r="BA137" s="14">
        <v>3</v>
      </c>
      <c r="BB137" s="14">
        <f>IFERROR(AVERAGE(Tabel1[[#This Row],[Up - V1a]:[Up - V1b]]),"")</f>
        <v>2</v>
      </c>
      <c r="BC137" s="14">
        <v>2</v>
      </c>
      <c r="BD137" s="14">
        <v>1</v>
      </c>
      <c r="BE137" s="14">
        <v>2</v>
      </c>
      <c r="BF137" s="14">
        <f>IFERROR(AVERAGE(Tabel1[[#This Row],[Up - V2a]:[Up - V2c]]),"")</f>
        <v>1.6666666666666667</v>
      </c>
      <c r="BG137" s="14">
        <v>1</v>
      </c>
      <c r="BH137" s="14">
        <v>3</v>
      </c>
      <c r="BI137" s="14">
        <f>IFERROR(AVERAGE(Tabel1[[#This Row],[Up - V3a]:[Up - V3b]]),"")</f>
        <v>2</v>
      </c>
      <c r="BJ137" s="14">
        <v>3</v>
      </c>
      <c r="BK137" s="14">
        <f>IFERROR(AVERAGE(Tabel1[[#This Row],[Up - V1]],Tabel1[[#This Row],[Up - V2]],Tabel1[[#This Row],[Up - V3]],Tabel1[[#This Row],[Up - V4]]),"")</f>
        <v>2.166666666666667</v>
      </c>
      <c r="BL137" s="14">
        <v>4</v>
      </c>
      <c r="BM137" s="14">
        <v>3</v>
      </c>
      <c r="BN137" s="14">
        <v>1</v>
      </c>
      <c r="BO137" s="14">
        <v>2</v>
      </c>
      <c r="BP137" s="14">
        <f>IFERROR(AVERAGE(Tabel1[[#This Row],[Up - A1a]:[Up - A1d]]),"")</f>
        <v>2.5</v>
      </c>
      <c r="BQ137" s="14">
        <v>3</v>
      </c>
      <c r="BR137" s="14">
        <v>3</v>
      </c>
      <c r="BS137" s="14">
        <f>IFERROR(AVERAGE(Tabel1[[#This Row],[Up - A2a]:[Up - A2b]]),"")</f>
        <v>3</v>
      </c>
      <c r="BT137" s="14">
        <v>3</v>
      </c>
      <c r="BU137" s="14">
        <f>IFERROR(AVERAGE(Tabel1[[#This Row],[Up - A3a]:[Up - A3a]]),"")</f>
        <v>3</v>
      </c>
      <c r="BV137" s="14" t="s">
        <v>189</v>
      </c>
      <c r="BW137" s="14">
        <f>IFERROR(AVERAGE(Tabel1[[#This Row],[Up - A1]],Tabel1[[#This Row],[Up - A2]],Tabel1[[#This Row],[Up - A3]]),"")</f>
        <v>2.8333333333333335</v>
      </c>
      <c r="BX137" s="14">
        <v>2</v>
      </c>
      <c r="BY137" s="14">
        <v>5</v>
      </c>
      <c r="BZ137" s="14">
        <f>IFERROR(AVERAGE(Tabel1[[#This Row],[In - R1a]:[In - R1b]]),"")</f>
        <v>3.5</v>
      </c>
      <c r="CA137" s="14">
        <v>4</v>
      </c>
      <c r="CB137" s="14">
        <v>5</v>
      </c>
      <c r="CC137" s="14">
        <v>1</v>
      </c>
      <c r="CD137" s="14">
        <v>5</v>
      </c>
      <c r="CE137" s="14">
        <f>IFERROR(AVERAGE(Tabel1[[#This Row],[In - R1]:[In - R5]]),"")</f>
        <v>3.7</v>
      </c>
      <c r="CF137" s="14">
        <v>4</v>
      </c>
      <c r="CG137" s="14">
        <v>3</v>
      </c>
      <c r="CH137" s="14">
        <v>3</v>
      </c>
      <c r="CI137" s="14">
        <f>IFERROR(AVERAGE(Tabel1[[#This Row],[In - C1a]:[In - C1c]]),"")</f>
        <v>3.3333333333333335</v>
      </c>
      <c r="CJ137" s="14">
        <v>3</v>
      </c>
      <c r="CK137" s="14">
        <v>3</v>
      </c>
      <c r="CL137" s="14">
        <v>2</v>
      </c>
      <c r="CM137" s="14">
        <f>IFERROR(AVERAGE(Tabel1[[#This Row],[In - C1]:[In - C4]]),"")</f>
        <v>2.8333333333333335</v>
      </c>
      <c r="CN137" s="14">
        <v>2</v>
      </c>
      <c r="CO137" s="14">
        <v>2</v>
      </c>
      <c r="CP137" s="14">
        <v>1</v>
      </c>
      <c r="CQ137" s="14">
        <f>IFERROR(AVERAGE(Tabel1[[#This Row],[In - F1a]:[In - F1c]]),"")</f>
        <v>1.6666666666666667</v>
      </c>
      <c r="CR137" s="14">
        <v>5</v>
      </c>
      <c r="CS137" s="14">
        <v>1</v>
      </c>
      <c r="CT137" s="14">
        <f>IFERROR(AVERAGE(Tabel1[[#This Row],[In - F2a]:[In - F2b]]),"")</f>
        <v>3</v>
      </c>
      <c r="CU137" s="14">
        <v>2</v>
      </c>
      <c r="CV137" s="14">
        <f>IFERROR(AVERAGE(Tabel1[[#This Row],[In - F3a]:[In - F3a]]),"")</f>
        <v>2</v>
      </c>
      <c r="CW137" s="14" t="s">
        <v>189</v>
      </c>
      <c r="CX137" s="14">
        <f>IFERROR(AVERAGE(Tabel1[[#This Row],[In - F1]],Tabel1[[#This Row],[In - F2]],Tabel1[[#This Row],[In - F3]],Tabel1[[#This Row],[In - F4]]),"")</f>
        <v>2.2222222222222223</v>
      </c>
      <c r="CY137" s="14">
        <v>2</v>
      </c>
      <c r="CZ137" s="14">
        <v>3</v>
      </c>
      <c r="DA137" s="14">
        <v>3</v>
      </c>
      <c r="DB137" s="14">
        <f>IFERROR(AVERAGE(Tabel1[[#This Row],[In - V1a]:[In - V1c]]),"")</f>
        <v>2.6666666666666665</v>
      </c>
      <c r="DC137" s="14">
        <v>4</v>
      </c>
      <c r="DD137" s="14">
        <v>3</v>
      </c>
      <c r="DE137" s="14">
        <v>1</v>
      </c>
      <c r="DF137" s="14">
        <f>IFERROR(AVERAGE(Tabel1[[#This Row],[In - V2a]:[In - V2c]]),"")</f>
        <v>2.6666666666666665</v>
      </c>
      <c r="DG137" s="14">
        <v>2</v>
      </c>
      <c r="DH137" s="14">
        <v>4</v>
      </c>
      <c r="DI137" s="14">
        <f>IFERROR(AVERAGE(Tabel1[[#This Row],[In - V3a]:[In - V3b]]),"")</f>
        <v>3</v>
      </c>
      <c r="DJ137" s="14" t="s">
        <v>189</v>
      </c>
      <c r="DK137" s="14">
        <f>IFERROR(AVERAGE(Tabel1[[#This Row],[In - V1]],Tabel1[[#This Row],[In - V2]],Tabel1[[#This Row],[In - V3]],Tabel1[[#This Row],[In - V4]]),"")</f>
        <v>2.7777777777777772</v>
      </c>
      <c r="DL137" s="14">
        <v>2</v>
      </c>
      <c r="DM137" s="14">
        <v>3</v>
      </c>
      <c r="DN137" s="14">
        <f>IFERROR(AVERAGE(Tabel1[[#This Row],[In - A1a]:[In - A1b]]),"")</f>
        <v>2.5</v>
      </c>
      <c r="DO137" s="14">
        <v>2</v>
      </c>
      <c r="DP137" s="14">
        <v>2</v>
      </c>
      <c r="DQ137" s="14">
        <f>IFERROR(AVERAGE(Tabel1[[#This Row],[In - A2a]:[In - A2b]]),"")</f>
        <v>2</v>
      </c>
      <c r="DR137" s="14">
        <v>4</v>
      </c>
      <c r="DS137" s="14">
        <v>2</v>
      </c>
      <c r="DT137" s="14">
        <f>IFERROR(AVERAGE(Tabel1[[#This Row],[In - A3a]:[In - A3a]]),"")</f>
        <v>4</v>
      </c>
      <c r="DU137" s="14" t="s">
        <v>189</v>
      </c>
      <c r="DV137" s="14">
        <f>IFERROR(AVERAGE(Tabel1[[#This Row],[In - A1]],Tabel1[[#This Row],[In - A2]],Tabel1[[#This Row],[In - A3]],Tabel1[[#This Row],[In - A4]]),"")</f>
        <v>2.8333333333333335</v>
      </c>
      <c r="DW137" s="14">
        <v>1</v>
      </c>
      <c r="DX137" s="14">
        <v>5</v>
      </c>
      <c r="DY137" s="14">
        <v>2</v>
      </c>
      <c r="DZ137" s="14">
        <f>IFERROR(AVERAGE(Tabel1[[#This Row],[Do - R1a]:[Do - R1c]]),"")</f>
        <v>2.6666666666666665</v>
      </c>
      <c r="EA137" s="14">
        <v>3</v>
      </c>
      <c r="EB137" s="14">
        <v>5</v>
      </c>
      <c r="EC137" s="14">
        <v>3</v>
      </c>
      <c r="ED137" s="14">
        <v>4</v>
      </c>
      <c r="EE137" s="14">
        <f>IFERROR(AVERAGE(Tabel1[[#This Row],[Do - R1]:[Do - R5]]),"")</f>
        <v>3.5333333333333328</v>
      </c>
      <c r="EF137" s="14">
        <v>3</v>
      </c>
      <c r="EG137" s="14">
        <v>4</v>
      </c>
      <c r="EH137" s="14">
        <v>3</v>
      </c>
      <c r="EI137" s="14">
        <f>IFERROR(AVERAGE(Tabel1[[#This Row],[Do - C1a]:[Do - C1c]]),"")</f>
        <v>3.3333333333333335</v>
      </c>
      <c r="EJ137" s="14">
        <v>3</v>
      </c>
      <c r="EK137" s="14">
        <v>2</v>
      </c>
      <c r="EL137" s="14" t="s">
        <v>189</v>
      </c>
      <c r="EM137" s="14">
        <f>IFERROR(AVERAGE(Tabel1[[#This Row],[Do - C1]:[Do - C4]]),"")</f>
        <v>2.7777777777777781</v>
      </c>
      <c r="EN137" s="14">
        <v>4</v>
      </c>
      <c r="EO137" s="14">
        <v>4</v>
      </c>
      <c r="EP137" s="14">
        <v>3</v>
      </c>
      <c r="EQ137" s="14">
        <f>IFERROR(AVERAGE(Tabel1[[#This Row],[Do - F1a]:[Do - F1c]]),"")</f>
        <v>3.6666666666666665</v>
      </c>
      <c r="ER137" s="14">
        <v>2</v>
      </c>
      <c r="ES137" s="14">
        <f>IFERROR(AVERAGE(Tabel1[[#This Row],[Do - F2a]:[Do - F2a]]),"")</f>
        <v>2</v>
      </c>
      <c r="ET137" s="14">
        <v>2</v>
      </c>
      <c r="EU137" s="14">
        <v>3</v>
      </c>
      <c r="EV137" s="14">
        <f>IFERROR(AVERAGE(Tabel1[[#This Row],[Do - F3a]:[Do - F3b]]),"")</f>
        <v>2.5</v>
      </c>
      <c r="EW137" s="14" t="s">
        <v>189</v>
      </c>
      <c r="EX137" s="14">
        <f>IFERROR(AVERAGE(Tabel1[[#This Row],[Do - F1]],Tabel1[[#This Row],[Do - F2]],Tabel1[[#This Row],[Do - F3]],Tabel1[[#This Row],[Do - F4]]),"")</f>
        <v>2.7222222222222219</v>
      </c>
      <c r="EY137" s="14">
        <v>2</v>
      </c>
      <c r="EZ137" s="14">
        <v>3</v>
      </c>
      <c r="FA137" s="14">
        <v>2</v>
      </c>
      <c r="FB137" s="14">
        <f>IFERROR(AVERAGE(Tabel1[[#This Row],[Do - V1a]:[Do - V1c]]),"")</f>
        <v>2.3333333333333335</v>
      </c>
      <c r="FC137" s="14">
        <v>2</v>
      </c>
      <c r="FD137" s="14">
        <v>1</v>
      </c>
      <c r="FE137" s="14">
        <f>IFERROR(AVERAGE(Tabel1[[#This Row],[Do - V2a]:[Do - V2b]]),"")</f>
        <v>1.5</v>
      </c>
      <c r="FF137" s="14">
        <v>2</v>
      </c>
      <c r="FG137" s="14">
        <f>IFERROR(AVERAGE(Tabel1[[#This Row],[Do - V3a]:[Do - V3a]]),"")</f>
        <v>2</v>
      </c>
      <c r="FH137" s="14" t="s">
        <v>189</v>
      </c>
      <c r="FI137" s="14">
        <f>IFERROR(AVERAGE(Tabel1[[#This Row],[Do - V1]],Tabel1[[#This Row],[Do - V2]],Tabel1[[#This Row],[Do - V3]],Tabel1[[#This Row],[Do - V4]]),"")</f>
        <v>1.9444444444444446</v>
      </c>
      <c r="FJ137" s="14">
        <v>4</v>
      </c>
      <c r="FK137" s="14">
        <v>1</v>
      </c>
      <c r="FL137" s="14">
        <v>3</v>
      </c>
      <c r="FM137" s="14">
        <f>IFERROR(AVERAGE(Tabel1[[#This Row],[Do - A1a]:[Do - A1c]]),"")</f>
        <v>2.6666666666666665</v>
      </c>
      <c r="FN137" s="14">
        <v>1</v>
      </c>
      <c r="FO137" s="14">
        <v>3</v>
      </c>
      <c r="FP137" s="14">
        <f>IFERROR(AVERAGE(Tabel1[[#This Row],[Do - A2a]:[Do - A2b]]),"")</f>
        <v>2</v>
      </c>
      <c r="FQ137" s="14">
        <v>3</v>
      </c>
      <c r="FR137" s="14">
        <f>IFERROR(AVERAGE(Tabel1[[#This Row],[Do - A3a]:[Do - A3a]]),"")</f>
        <v>3</v>
      </c>
      <c r="FS137" s="14" t="s">
        <v>189</v>
      </c>
      <c r="FT137" s="14">
        <f>IFERROR(AVERAGE(Tabel1[[#This Row],[Do - A1]],Tabel1[[#This Row],[Do - A2]],Tabel1[[#This Row],[Do - A3]],Tabel1[[#This Row],[Do - A4]]),"")</f>
        <v>2.5555555555555554</v>
      </c>
      <c r="FU13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2.7785185185185184</v>
      </c>
      <c r="FV137" s="16" t="s">
        <v>847</v>
      </c>
      <c r="FW137" t="b">
        <v>1</v>
      </c>
    </row>
    <row r="138" spans="1:179" x14ac:dyDescent="0.3">
      <c r="A138" s="13">
        <v>45006.447129629632</v>
      </c>
      <c r="B138" t="b">
        <v>0</v>
      </c>
      <c r="C138" s="14" t="s">
        <v>848</v>
      </c>
      <c r="D138" s="14" t="s">
        <v>182</v>
      </c>
      <c r="E138" s="14" t="s">
        <v>260</v>
      </c>
      <c r="F138" s="14" t="s">
        <v>184</v>
      </c>
      <c r="G138" s="14" t="s">
        <v>849</v>
      </c>
      <c r="H138" s="14" t="s">
        <v>194</v>
      </c>
      <c r="I138" s="14" t="s">
        <v>195</v>
      </c>
      <c r="J138" s="14" t="s">
        <v>261</v>
      </c>
      <c r="K138" s="14" t="s">
        <v>235</v>
      </c>
      <c r="L138" s="14" t="s">
        <v>218</v>
      </c>
      <c r="M138" s="14" t="s">
        <v>198</v>
      </c>
      <c r="N138" s="14" t="s">
        <v>262</v>
      </c>
      <c r="O138" s="14" t="s">
        <v>200</v>
      </c>
      <c r="P138" s="17" t="s">
        <v>304</v>
      </c>
      <c r="Q138" s="14" t="s">
        <v>235</v>
      </c>
      <c r="R138" s="14"/>
      <c r="S138" s="14"/>
      <c r="T138" s="14"/>
      <c r="U138" s="14" t="s">
        <v>237</v>
      </c>
      <c r="V138" s="14"/>
      <c r="W138" s="14" t="s">
        <v>207</v>
      </c>
      <c r="X138" s="14" t="s">
        <v>207</v>
      </c>
      <c r="Y138" s="14">
        <v>5</v>
      </c>
      <c r="Z138" s="14">
        <v>5</v>
      </c>
      <c r="AA138" s="14">
        <v>3</v>
      </c>
      <c r="AB138" s="15">
        <f>IFERROR(AVERAGE(Tabel1[[#This Row],[Up - R1a]:[Up - R1c]]),"")</f>
        <v>4.333333333333333</v>
      </c>
      <c r="AC138" s="14">
        <v>3</v>
      </c>
      <c r="AD138" s="14">
        <v>3</v>
      </c>
      <c r="AE138" s="14">
        <v>3</v>
      </c>
      <c r="AF138" s="14">
        <v>5</v>
      </c>
      <c r="AG138" s="14">
        <f>IFERROR(AVERAGE(Tabel1[[#This Row],[Up - R1]:[Up - R5]]),"")</f>
        <v>3.6666666666666665</v>
      </c>
      <c r="AH138" s="14">
        <v>4</v>
      </c>
      <c r="AI138" s="14">
        <v>3</v>
      </c>
      <c r="AJ138" s="14">
        <v>5</v>
      </c>
      <c r="AK138" s="14">
        <f>IFERROR(AVERAGE(Tabel1[[#This Row],[Up - C1a]:[Up - C1c]]),"")</f>
        <v>4</v>
      </c>
      <c r="AL138" s="14">
        <v>3</v>
      </c>
      <c r="AM138" s="14">
        <v>3</v>
      </c>
      <c r="AN138" s="14">
        <v>4</v>
      </c>
      <c r="AO138" s="14">
        <f>IFERROR(AVERAGE(Tabel1[[#This Row],[Up - C1]:[Up - C4]]),"")</f>
        <v>3.5</v>
      </c>
      <c r="AP138" s="14">
        <v>4</v>
      </c>
      <c r="AQ138" s="14">
        <f>IFERROR(AVERAGE(Tabel1[[#This Row],[Up - F1a]:[Up - F1a]]),"")</f>
        <v>4</v>
      </c>
      <c r="AR138" s="14">
        <v>3</v>
      </c>
      <c r="AS138" s="14">
        <v>3</v>
      </c>
      <c r="AT138" s="14">
        <f>IFERROR(AVERAGE(Tabel1[[#This Row],[Up - F2a]:[Up - F2b]]),"")</f>
        <v>3</v>
      </c>
      <c r="AU138" s="14">
        <v>3</v>
      </c>
      <c r="AV138" s="14">
        <v>4</v>
      </c>
      <c r="AW138" s="14">
        <f>IFERROR(AVERAGE(Tabel1[[#This Row],[Up - F3a]:[Up - F3b]]),"")</f>
        <v>3.5</v>
      </c>
      <c r="AX138" s="14">
        <v>4</v>
      </c>
      <c r="AY138" s="14">
        <f>IFERROR(AVERAGE(Tabel1[[#This Row],[Up - F1]],Tabel1[[#This Row],[Up - F2]],Tabel1[[#This Row],[Up - F3]],Tabel1[[#This Row],[Up - F4]]),"")</f>
        <v>3.625</v>
      </c>
      <c r="AZ138" s="14">
        <v>3</v>
      </c>
      <c r="BA138" s="14">
        <v>5</v>
      </c>
      <c r="BB138" s="14">
        <f>IFERROR(AVERAGE(Tabel1[[#This Row],[Up - V1a]:[Up - V1b]]),"")</f>
        <v>4</v>
      </c>
      <c r="BC138" s="14">
        <v>4</v>
      </c>
      <c r="BD138" s="14">
        <v>3</v>
      </c>
      <c r="BE138" s="14">
        <v>4</v>
      </c>
      <c r="BF138" s="14">
        <f>IFERROR(AVERAGE(Tabel1[[#This Row],[Up - V2a]:[Up - V2c]]),"")</f>
        <v>3.6666666666666665</v>
      </c>
      <c r="BG138" s="14">
        <v>2</v>
      </c>
      <c r="BH138" s="14">
        <v>1</v>
      </c>
      <c r="BI138" s="14">
        <f>IFERROR(AVERAGE(Tabel1[[#This Row],[Up - V3a]:[Up - V3b]]),"")</f>
        <v>1.5</v>
      </c>
      <c r="BJ138" s="14">
        <v>1</v>
      </c>
      <c r="BK138" s="14">
        <f>IFERROR(AVERAGE(Tabel1[[#This Row],[Up - V1]],Tabel1[[#This Row],[Up - V2]],Tabel1[[#This Row],[Up - V3]],Tabel1[[#This Row],[Up - V4]]),"")</f>
        <v>2.5416666666666665</v>
      </c>
      <c r="BL138" s="14">
        <v>5</v>
      </c>
      <c r="BM138" s="14">
        <v>4</v>
      </c>
      <c r="BN138" s="14">
        <v>5</v>
      </c>
      <c r="BO138" s="14">
        <v>3</v>
      </c>
      <c r="BP138" s="14">
        <f>IFERROR(AVERAGE(Tabel1[[#This Row],[Up - A1a]:[Up - A1d]]),"")</f>
        <v>4.25</v>
      </c>
      <c r="BQ138" s="14">
        <v>3</v>
      </c>
      <c r="BR138" s="14" t="s">
        <v>189</v>
      </c>
      <c r="BS138" s="14">
        <f>IFERROR(AVERAGE(Tabel1[[#This Row],[Up - A2a]:[Up - A2b]]),"")</f>
        <v>3</v>
      </c>
      <c r="BT138" s="14">
        <v>5</v>
      </c>
      <c r="BU138" s="14">
        <f>IFERROR(AVERAGE(Tabel1[[#This Row],[Up - A3a]:[Up - A3a]]),"")</f>
        <v>5</v>
      </c>
      <c r="BV138" s="14">
        <v>3</v>
      </c>
      <c r="BW138" s="14">
        <f>IFERROR(AVERAGE(Tabel1[[#This Row],[Up - A1]],Tabel1[[#This Row],[Up - A2]],Tabel1[[#This Row],[Up - A3]]),"")</f>
        <v>4.083333333333333</v>
      </c>
      <c r="BX138" s="14">
        <v>3</v>
      </c>
      <c r="BY138" s="14">
        <v>3</v>
      </c>
      <c r="BZ138" s="14">
        <f>IFERROR(AVERAGE(Tabel1[[#This Row],[In - R1a]:[In - R1b]]),"")</f>
        <v>3</v>
      </c>
      <c r="CA138" s="14">
        <v>3</v>
      </c>
      <c r="CB138" s="14">
        <v>4</v>
      </c>
      <c r="CC138" s="14">
        <v>2</v>
      </c>
      <c r="CD138" s="14">
        <v>4</v>
      </c>
      <c r="CE138" s="14">
        <f>IFERROR(AVERAGE(Tabel1[[#This Row],[In - R1]:[In - R5]]),"")</f>
        <v>3.2</v>
      </c>
      <c r="CF138" s="14">
        <v>4</v>
      </c>
      <c r="CG138" s="14">
        <v>4</v>
      </c>
      <c r="CH138" s="14">
        <v>3</v>
      </c>
      <c r="CI138" s="14">
        <f>IFERROR(AVERAGE(Tabel1[[#This Row],[In - C1a]:[In - C1c]]),"")</f>
        <v>3.6666666666666665</v>
      </c>
      <c r="CJ138" s="14">
        <v>4</v>
      </c>
      <c r="CK138" s="14">
        <v>4</v>
      </c>
      <c r="CL138" s="14">
        <v>2</v>
      </c>
      <c r="CM138" s="14">
        <f>IFERROR(AVERAGE(Tabel1[[#This Row],[In - C1]:[In - C4]]),"")</f>
        <v>3.4166666666666665</v>
      </c>
      <c r="CN138" s="14">
        <v>3</v>
      </c>
      <c r="CO138" s="14">
        <v>2</v>
      </c>
      <c r="CP138" s="14">
        <v>3</v>
      </c>
      <c r="CQ138" s="14">
        <f>IFERROR(AVERAGE(Tabel1[[#This Row],[In - F1a]:[In - F1c]]),"")</f>
        <v>2.6666666666666665</v>
      </c>
      <c r="CR138" s="14">
        <v>2</v>
      </c>
      <c r="CS138" s="14" t="s">
        <v>189</v>
      </c>
      <c r="CT138" s="14">
        <f>IFERROR(AVERAGE(Tabel1[[#This Row],[In - F2a]:[In - F2b]]),"")</f>
        <v>2</v>
      </c>
      <c r="CU138" s="14">
        <v>3</v>
      </c>
      <c r="CV138" s="14">
        <f>IFERROR(AVERAGE(Tabel1[[#This Row],[In - F3a]:[In - F3a]]),"")</f>
        <v>3</v>
      </c>
      <c r="CW138" s="14" t="s">
        <v>189</v>
      </c>
      <c r="CX138" s="14">
        <f>IFERROR(AVERAGE(Tabel1[[#This Row],[In - F1]],Tabel1[[#This Row],[In - F2]],Tabel1[[#This Row],[In - F3]],Tabel1[[#This Row],[In - F4]]),"")</f>
        <v>2.5555555555555554</v>
      </c>
      <c r="CY138" s="14">
        <v>3</v>
      </c>
      <c r="CZ138" s="14">
        <v>3</v>
      </c>
      <c r="DA138" s="14">
        <v>1</v>
      </c>
      <c r="DB138" s="14">
        <f>IFERROR(AVERAGE(Tabel1[[#This Row],[In - V1a]:[In - V1c]]),"")</f>
        <v>2.3333333333333335</v>
      </c>
      <c r="DC138" s="14">
        <v>2</v>
      </c>
      <c r="DD138" s="14">
        <v>2</v>
      </c>
      <c r="DE138" s="14">
        <v>5</v>
      </c>
      <c r="DF138" s="14">
        <f>IFERROR(AVERAGE(Tabel1[[#This Row],[In - V2a]:[In - V2c]]),"")</f>
        <v>3</v>
      </c>
      <c r="DG138" s="14">
        <v>4</v>
      </c>
      <c r="DH138" s="14">
        <v>1</v>
      </c>
      <c r="DI138" s="14">
        <f>IFERROR(AVERAGE(Tabel1[[#This Row],[In - V3a]:[In - V3b]]),"")</f>
        <v>2.5</v>
      </c>
      <c r="DJ138" s="14" t="s">
        <v>189</v>
      </c>
      <c r="DK138" s="14">
        <f>IFERROR(AVERAGE(Tabel1[[#This Row],[In - V1]],Tabel1[[#This Row],[In - V2]],Tabel1[[#This Row],[In - V3]],Tabel1[[#This Row],[In - V4]]),"")</f>
        <v>2.6111111111111112</v>
      </c>
      <c r="DL138" s="14">
        <v>3</v>
      </c>
      <c r="DM138" s="14">
        <v>3</v>
      </c>
      <c r="DN138" s="14">
        <f>IFERROR(AVERAGE(Tabel1[[#This Row],[In - A1a]:[In - A1b]]),"")</f>
        <v>3</v>
      </c>
      <c r="DO138" s="14" t="s">
        <v>189</v>
      </c>
      <c r="DP138" s="14" t="s">
        <v>189</v>
      </c>
      <c r="DQ138" s="14" t="str">
        <f>IFERROR(AVERAGE(Tabel1[[#This Row],[In - A2a]:[In - A2b]]),"")</f>
        <v/>
      </c>
      <c r="DR138" s="14">
        <v>4</v>
      </c>
      <c r="DS138" s="14">
        <v>2</v>
      </c>
      <c r="DT138" s="14">
        <f>IFERROR(AVERAGE(Tabel1[[#This Row],[In - A3a]:[In - A3a]]),"")</f>
        <v>4</v>
      </c>
      <c r="DU138" s="14" t="s">
        <v>189</v>
      </c>
      <c r="DV138" s="14">
        <f>IFERROR(AVERAGE(Tabel1[[#This Row],[In - A1]],Tabel1[[#This Row],[In - A2]],Tabel1[[#This Row],[In - A3]],Tabel1[[#This Row],[In - A4]]),"")</f>
        <v>3.5</v>
      </c>
      <c r="DW138" s="14">
        <v>2</v>
      </c>
      <c r="DX138" s="14">
        <v>4</v>
      </c>
      <c r="DY138" s="14" t="s">
        <v>189</v>
      </c>
      <c r="DZ138" s="14">
        <f>IFERROR(AVERAGE(Tabel1[[#This Row],[Do - R1a]:[Do - R1c]]),"")</f>
        <v>3</v>
      </c>
      <c r="EA138" s="14" t="s">
        <v>189</v>
      </c>
      <c r="EB138" s="14" t="s">
        <v>189</v>
      </c>
      <c r="EC138" s="14" t="s">
        <v>189</v>
      </c>
      <c r="ED138" s="14" t="s">
        <v>189</v>
      </c>
      <c r="EE138" s="14">
        <f>IFERROR(AVERAGE(Tabel1[[#This Row],[Do - R1]:[Do - R5]]),"")</f>
        <v>3</v>
      </c>
      <c r="EF138" s="14" t="s">
        <v>189</v>
      </c>
      <c r="EG138" s="14">
        <v>4</v>
      </c>
      <c r="EH138" s="14" t="s">
        <v>189</v>
      </c>
      <c r="EI138" s="14">
        <f>IFERROR(AVERAGE(Tabel1[[#This Row],[Do - C1a]:[Do - C1c]]),"")</f>
        <v>4</v>
      </c>
      <c r="EJ138" s="14" t="s">
        <v>189</v>
      </c>
      <c r="EK138" s="14" t="s">
        <v>189</v>
      </c>
      <c r="EL138" s="14" t="s">
        <v>189</v>
      </c>
      <c r="EM138" s="14">
        <f>IFERROR(AVERAGE(Tabel1[[#This Row],[Do - C1]:[Do - C4]]),"")</f>
        <v>4</v>
      </c>
      <c r="EN138" s="14" t="s">
        <v>189</v>
      </c>
      <c r="EO138" s="14" t="s">
        <v>189</v>
      </c>
      <c r="EP138" s="14">
        <v>3</v>
      </c>
      <c r="EQ138" s="14">
        <f>IFERROR(AVERAGE(Tabel1[[#This Row],[Do - F1a]:[Do - F1c]]),"")</f>
        <v>3</v>
      </c>
      <c r="ER138" s="14" t="s">
        <v>189</v>
      </c>
      <c r="ES138" s="14" t="str">
        <f>IFERROR(AVERAGE(Tabel1[[#This Row],[Do - F2a]:[Do - F2a]]),"")</f>
        <v/>
      </c>
      <c r="ET138" s="14" t="s">
        <v>189</v>
      </c>
      <c r="EU138" s="14" t="s">
        <v>189</v>
      </c>
      <c r="EV138" s="14" t="str">
        <f>IFERROR(AVERAGE(Tabel1[[#This Row],[Do - F3a]:[Do - F3b]]),"")</f>
        <v/>
      </c>
      <c r="EW138" s="14" t="s">
        <v>189</v>
      </c>
      <c r="EX138" s="14">
        <f>IFERROR(AVERAGE(Tabel1[[#This Row],[Do - F1]],Tabel1[[#This Row],[Do - F2]],Tabel1[[#This Row],[Do - F3]],Tabel1[[#This Row],[Do - F4]]),"")</f>
        <v>3</v>
      </c>
      <c r="EY138" s="14">
        <v>1</v>
      </c>
      <c r="EZ138" s="14" t="s">
        <v>189</v>
      </c>
      <c r="FA138" s="14">
        <v>2</v>
      </c>
      <c r="FB138" s="14">
        <f>IFERROR(AVERAGE(Tabel1[[#This Row],[Do - V1a]:[Do - V1c]]),"")</f>
        <v>1.5</v>
      </c>
      <c r="FC138" s="14" t="s">
        <v>189</v>
      </c>
      <c r="FD138" s="14" t="s">
        <v>189</v>
      </c>
      <c r="FE138" s="14" t="str">
        <f>IFERROR(AVERAGE(Tabel1[[#This Row],[Do - V2a]:[Do - V2b]]),"")</f>
        <v/>
      </c>
      <c r="FF138" s="14" t="s">
        <v>189</v>
      </c>
      <c r="FG138" s="14" t="str">
        <f>IFERROR(AVERAGE(Tabel1[[#This Row],[Do - V3a]:[Do - V3a]]),"")</f>
        <v/>
      </c>
      <c r="FH138" s="14" t="s">
        <v>189</v>
      </c>
      <c r="FI138" s="14">
        <f>IFERROR(AVERAGE(Tabel1[[#This Row],[Do - V1]],Tabel1[[#This Row],[Do - V2]],Tabel1[[#This Row],[Do - V3]],Tabel1[[#This Row],[Do - V4]]),"")</f>
        <v>1.5</v>
      </c>
      <c r="FJ138" s="14" t="s">
        <v>189</v>
      </c>
      <c r="FK138" s="14">
        <v>2</v>
      </c>
      <c r="FL138" s="14" t="s">
        <v>189</v>
      </c>
      <c r="FM138" s="14">
        <f>IFERROR(AVERAGE(Tabel1[[#This Row],[Do - A1a]:[Do - A1c]]),"")</f>
        <v>2</v>
      </c>
      <c r="FN138" s="14" t="s">
        <v>189</v>
      </c>
      <c r="FO138" s="14" t="s">
        <v>189</v>
      </c>
      <c r="FP138" s="14" t="str">
        <f>IFERROR(AVERAGE(Tabel1[[#This Row],[Do - A2a]:[Do - A2b]]),"")</f>
        <v/>
      </c>
      <c r="FQ138" s="14" t="s">
        <v>189</v>
      </c>
      <c r="FR138" s="14" t="str">
        <f>IFERROR(AVERAGE(Tabel1[[#This Row],[Do - A3a]:[Do - A3a]]),"")</f>
        <v/>
      </c>
      <c r="FS138" s="14" t="s">
        <v>189</v>
      </c>
      <c r="FT138" s="14">
        <f>IFERROR(AVERAGE(Tabel1[[#This Row],[Do - A1]],Tabel1[[#This Row],[Do - A2]],Tabel1[[#This Row],[Do - A3]],Tabel1[[#This Row],[Do - A4]]),"")</f>
        <v>2</v>
      </c>
      <c r="FU13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3.08</v>
      </c>
      <c r="FV138" s="16" t="s">
        <v>850</v>
      </c>
      <c r="FW138" t="b">
        <v>1</v>
      </c>
    </row>
    <row r="139" spans="1:179" x14ac:dyDescent="0.3">
      <c r="A139" s="13">
        <v>45006.457337962966</v>
      </c>
      <c r="B139" t="b">
        <v>0</v>
      </c>
      <c r="C139" s="14" t="s">
        <v>851</v>
      </c>
      <c r="D139" s="14" t="s">
        <v>521</v>
      </c>
      <c r="E139" s="14" t="s">
        <v>260</v>
      </c>
      <c r="F139" s="14" t="s">
        <v>184</v>
      </c>
      <c r="G139" s="14" t="s">
        <v>852</v>
      </c>
      <c r="H139" s="14" t="s">
        <v>194</v>
      </c>
      <c r="I139" s="14" t="s">
        <v>195</v>
      </c>
      <c r="J139" s="14" t="s">
        <v>406</v>
      </c>
      <c r="K139" s="14" t="s">
        <v>235</v>
      </c>
      <c r="L139" s="14" t="s">
        <v>249</v>
      </c>
      <c r="M139" s="14" t="s">
        <v>188</v>
      </c>
      <c r="N139" s="14" t="s">
        <v>262</v>
      </c>
      <c r="O139" s="14" t="s">
        <v>200</v>
      </c>
      <c r="P139" s="17" t="s">
        <v>255</v>
      </c>
      <c r="Q139" s="14" t="s">
        <v>202</v>
      </c>
      <c r="R139" s="14" t="s">
        <v>235</v>
      </c>
      <c r="S139" s="14" t="s">
        <v>202</v>
      </c>
      <c r="T139" s="14" t="s">
        <v>204</v>
      </c>
      <c r="U139" s="14" t="s">
        <v>349</v>
      </c>
      <c r="V139" s="14" t="s">
        <v>610</v>
      </c>
      <c r="W139" s="14" t="s">
        <v>207</v>
      </c>
      <c r="X139" s="14" t="s">
        <v>207</v>
      </c>
      <c r="Y139" s="14">
        <v>4</v>
      </c>
      <c r="Z139" s="14">
        <v>3</v>
      </c>
      <c r="AA139" s="14" t="s">
        <v>189</v>
      </c>
      <c r="AB139" s="15">
        <f>IFERROR(AVERAGE(Tabel1[[#This Row],[Up - R1a]:[Up - R1c]]),"")</f>
        <v>3.5</v>
      </c>
      <c r="AC139" s="14">
        <v>2</v>
      </c>
      <c r="AD139" s="14">
        <v>4</v>
      </c>
      <c r="AE139" s="14">
        <v>2</v>
      </c>
      <c r="AF139" s="14" t="s">
        <v>189</v>
      </c>
      <c r="AG139" s="14">
        <f>IFERROR(AVERAGE(Tabel1[[#This Row],[Up - R1]:[Up - R5]]),"")</f>
        <v>2.875</v>
      </c>
      <c r="AH139" s="14">
        <v>4</v>
      </c>
      <c r="AI139" s="14" t="s">
        <v>189</v>
      </c>
      <c r="AJ139" s="14">
        <v>2</v>
      </c>
      <c r="AK139" s="14">
        <f>IFERROR(AVERAGE(Tabel1[[#This Row],[Up - C1a]:[Up - C1c]]),"")</f>
        <v>3</v>
      </c>
      <c r="AL139" s="14">
        <v>2</v>
      </c>
      <c r="AM139" s="14">
        <v>2</v>
      </c>
      <c r="AN139" s="14">
        <v>1</v>
      </c>
      <c r="AO139" s="14">
        <f>IFERROR(AVERAGE(Tabel1[[#This Row],[Up - C1]:[Up - C4]]),"")</f>
        <v>2</v>
      </c>
      <c r="AP139" s="14">
        <v>2</v>
      </c>
      <c r="AQ139" s="14">
        <f>IFERROR(AVERAGE(Tabel1[[#This Row],[Up - F1a]:[Up - F1a]]),"")</f>
        <v>2</v>
      </c>
      <c r="AR139" s="14">
        <v>1</v>
      </c>
      <c r="AS139" s="14">
        <v>3</v>
      </c>
      <c r="AT139" s="14">
        <f>IFERROR(AVERAGE(Tabel1[[#This Row],[Up - F2a]:[Up - F2b]]),"")</f>
        <v>2</v>
      </c>
      <c r="AU139" s="14">
        <v>3</v>
      </c>
      <c r="AV139" s="14">
        <v>2</v>
      </c>
      <c r="AW139" s="14">
        <f>IFERROR(AVERAGE(Tabel1[[#This Row],[Up - F3a]:[Up - F3b]]),"")</f>
        <v>2.5</v>
      </c>
      <c r="AX139" s="14">
        <v>2</v>
      </c>
      <c r="AY139" s="14">
        <f>IFERROR(AVERAGE(Tabel1[[#This Row],[Up - F1]],Tabel1[[#This Row],[Up - F2]],Tabel1[[#This Row],[Up - F3]],Tabel1[[#This Row],[Up - F4]]),"")</f>
        <v>2.125</v>
      </c>
      <c r="AZ139" s="14">
        <v>2</v>
      </c>
      <c r="BA139" s="14">
        <v>4</v>
      </c>
      <c r="BB139" s="14">
        <f>IFERROR(AVERAGE(Tabel1[[#This Row],[Up - V1a]:[Up - V1b]]),"")</f>
        <v>3</v>
      </c>
      <c r="BC139" s="14">
        <v>2</v>
      </c>
      <c r="BD139" s="14">
        <v>3</v>
      </c>
      <c r="BE139" s="14" t="s">
        <v>189</v>
      </c>
      <c r="BF139" s="14">
        <f>IFERROR(AVERAGE(Tabel1[[#This Row],[Up - V2a]:[Up - V2c]]),"")</f>
        <v>2.5</v>
      </c>
      <c r="BG139" s="14">
        <v>2</v>
      </c>
      <c r="BH139" s="14">
        <v>3</v>
      </c>
      <c r="BI139" s="14">
        <f>IFERROR(AVERAGE(Tabel1[[#This Row],[Up - V3a]:[Up - V3b]]),"")</f>
        <v>2.5</v>
      </c>
      <c r="BJ139" s="14">
        <v>4</v>
      </c>
      <c r="BK139" s="14">
        <f>IFERROR(AVERAGE(Tabel1[[#This Row],[Up - V1]],Tabel1[[#This Row],[Up - V2]],Tabel1[[#This Row],[Up - V3]],Tabel1[[#This Row],[Up - V4]]),"")</f>
        <v>3</v>
      </c>
      <c r="BL139" s="14">
        <v>3</v>
      </c>
      <c r="BM139" s="14">
        <v>2</v>
      </c>
      <c r="BN139" s="14" t="s">
        <v>189</v>
      </c>
      <c r="BO139" s="14">
        <v>2</v>
      </c>
      <c r="BP139" s="14">
        <f>IFERROR(AVERAGE(Tabel1[[#This Row],[Up - A1a]:[Up - A1d]]),"")</f>
        <v>2.3333333333333335</v>
      </c>
      <c r="BQ139" s="14">
        <v>2</v>
      </c>
      <c r="BR139" s="14">
        <v>4</v>
      </c>
      <c r="BS139" s="14">
        <f>IFERROR(AVERAGE(Tabel1[[#This Row],[Up - A2a]:[Up - A2b]]),"")</f>
        <v>3</v>
      </c>
      <c r="BT139" s="14">
        <v>3</v>
      </c>
      <c r="BU139" s="14">
        <f>IFERROR(AVERAGE(Tabel1[[#This Row],[Up - A3a]:[Up - A3a]]),"")</f>
        <v>3</v>
      </c>
      <c r="BV139" s="14">
        <v>2</v>
      </c>
      <c r="BW139" s="14">
        <f>IFERROR(AVERAGE(Tabel1[[#This Row],[Up - A1]],Tabel1[[#This Row],[Up - A2]],Tabel1[[#This Row],[Up - A3]]),"")</f>
        <v>2.7777777777777781</v>
      </c>
      <c r="BX139" s="14">
        <v>3</v>
      </c>
      <c r="BY139" s="14">
        <v>4</v>
      </c>
      <c r="BZ139" s="14">
        <f>IFERROR(AVERAGE(Tabel1[[#This Row],[In - R1a]:[In - R1b]]),"")</f>
        <v>3.5</v>
      </c>
      <c r="CA139" s="14">
        <v>4</v>
      </c>
      <c r="CB139" s="14">
        <v>4</v>
      </c>
      <c r="CC139" s="14">
        <v>1</v>
      </c>
      <c r="CD139" s="14">
        <v>2</v>
      </c>
      <c r="CE139" s="14">
        <f>IFERROR(AVERAGE(Tabel1[[#This Row],[In - R1]:[In - R5]]),"")</f>
        <v>2.9</v>
      </c>
      <c r="CF139" s="14">
        <v>3</v>
      </c>
      <c r="CG139" s="14">
        <v>4</v>
      </c>
      <c r="CH139" s="14">
        <v>4</v>
      </c>
      <c r="CI139" s="14">
        <f>IFERROR(AVERAGE(Tabel1[[#This Row],[In - C1a]:[In - C1c]]),"")</f>
        <v>3.6666666666666665</v>
      </c>
      <c r="CJ139" s="14">
        <v>3</v>
      </c>
      <c r="CK139" s="14">
        <v>2</v>
      </c>
      <c r="CL139" s="14">
        <v>4</v>
      </c>
      <c r="CM139" s="14">
        <f>IFERROR(AVERAGE(Tabel1[[#This Row],[In - C1]:[In - C4]]),"")</f>
        <v>3.1666666666666665</v>
      </c>
      <c r="CN139" s="14">
        <v>2</v>
      </c>
      <c r="CO139" s="14">
        <v>2</v>
      </c>
      <c r="CP139" s="14">
        <v>2</v>
      </c>
      <c r="CQ139" s="14">
        <f>IFERROR(AVERAGE(Tabel1[[#This Row],[In - F1a]:[In - F1c]]),"")</f>
        <v>2</v>
      </c>
      <c r="CR139" s="14">
        <v>4</v>
      </c>
      <c r="CS139" s="14">
        <v>3</v>
      </c>
      <c r="CT139" s="14">
        <f>IFERROR(AVERAGE(Tabel1[[#This Row],[In - F2a]:[In - F2b]]),"")</f>
        <v>3.5</v>
      </c>
      <c r="CU139" s="14">
        <v>3</v>
      </c>
      <c r="CV139" s="14">
        <f>IFERROR(AVERAGE(Tabel1[[#This Row],[In - F3a]:[In - F3a]]),"")</f>
        <v>3</v>
      </c>
      <c r="CW139" s="14" t="s">
        <v>189</v>
      </c>
      <c r="CX139" s="14">
        <f>IFERROR(AVERAGE(Tabel1[[#This Row],[In - F1]],Tabel1[[#This Row],[In - F2]],Tabel1[[#This Row],[In - F3]],Tabel1[[#This Row],[In - F4]]),"")</f>
        <v>2.8333333333333335</v>
      </c>
      <c r="CY139" s="14">
        <v>4</v>
      </c>
      <c r="CZ139" s="14">
        <v>4</v>
      </c>
      <c r="DA139" s="14">
        <v>2</v>
      </c>
      <c r="DB139" s="14">
        <f>IFERROR(AVERAGE(Tabel1[[#This Row],[In - V1a]:[In - V1c]]),"")</f>
        <v>3.3333333333333335</v>
      </c>
      <c r="DC139" s="14">
        <v>3</v>
      </c>
      <c r="DD139" s="14">
        <v>3</v>
      </c>
      <c r="DE139" s="14">
        <v>3</v>
      </c>
      <c r="DF139" s="14">
        <f>IFERROR(AVERAGE(Tabel1[[#This Row],[In - V2a]:[In - V2c]]),"")</f>
        <v>3</v>
      </c>
      <c r="DG139" s="14">
        <v>1</v>
      </c>
      <c r="DH139" s="14">
        <v>4</v>
      </c>
      <c r="DI139" s="14">
        <f>IFERROR(AVERAGE(Tabel1[[#This Row],[In - V3a]:[In - V3b]]),"")</f>
        <v>2.5</v>
      </c>
      <c r="DJ139" s="14">
        <v>4</v>
      </c>
      <c r="DK139" s="14">
        <f>IFERROR(AVERAGE(Tabel1[[#This Row],[In - V1]],Tabel1[[#This Row],[In - V2]],Tabel1[[#This Row],[In - V3]],Tabel1[[#This Row],[In - V4]]),"")</f>
        <v>3.2083333333333335</v>
      </c>
      <c r="DL139" s="14">
        <v>3</v>
      </c>
      <c r="DM139" s="14">
        <v>2</v>
      </c>
      <c r="DN139" s="14">
        <f>IFERROR(AVERAGE(Tabel1[[#This Row],[In - A1a]:[In - A1b]]),"")</f>
        <v>2.5</v>
      </c>
      <c r="DO139" s="14">
        <v>4</v>
      </c>
      <c r="DP139" s="14">
        <v>3</v>
      </c>
      <c r="DQ139" s="14">
        <f>IFERROR(AVERAGE(Tabel1[[#This Row],[In - A2a]:[In - A2b]]),"")</f>
        <v>3.5</v>
      </c>
      <c r="DR139" s="14">
        <v>2</v>
      </c>
      <c r="DS139" s="14">
        <v>3</v>
      </c>
      <c r="DT139" s="14">
        <f>IFERROR(AVERAGE(Tabel1[[#This Row],[In - A3a]:[In - A3a]]),"")</f>
        <v>2</v>
      </c>
      <c r="DU139" s="14">
        <v>2</v>
      </c>
      <c r="DV139" s="14">
        <f>IFERROR(AVERAGE(Tabel1[[#This Row],[In - A1]],Tabel1[[#This Row],[In - A2]],Tabel1[[#This Row],[In - A3]],Tabel1[[#This Row],[In - A4]]),"")</f>
        <v>2.5</v>
      </c>
      <c r="DW139" s="14">
        <v>3</v>
      </c>
      <c r="DX139" s="14">
        <v>4</v>
      </c>
      <c r="DY139" s="14">
        <v>2</v>
      </c>
      <c r="DZ139" s="14">
        <f>IFERROR(AVERAGE(Tabel1[[#This Row],[Do - R1a]:[Do - R1c]]),"")</f>
        <v>3</v>
      </c>
      <c r="EA139" s="14">
        <v>3</v>
      </c>
      <c r="EB139" s="14">
        <v>4</v>
      </c>
      <c r="EC139" s="14">
        <v>1</v>
      </c>
      <c r="ED139" s="14" t="s">
        <v>189</v>
      </c>
      <c r="EE139" s="14">
        <f>IFERROR(AVERAGE(Tabel1[[#This Row],[Do - R1]:[Do - R5]]),"")</f>
        <v>2.75</v>
      </c>
      <c r="EF139" s="14">
        <v>3</v>
      </c>
      <c r="EG139" s="14" t="s">
        <v>189</v>
      </c>
      <c r="EH139" s="14">
        <v>2</v>
      </c>
      <c r="EI139" s="14">
        <f>IFERROR(AVERAGE(Tabel1[[#This Row],[Do - C1a]:[Do - C1c]]),"")</f>
        <v>2.5</v>
      </c>
      <c r="EJ139" s="14">
        <v>2</v>
      </c>
      <c r="EK139" s="14">
        <v>2</v>
      </c>
      <c r="EL139" s="14">
        <v>2</v>
      </c>
      <c r="EM139" s="14">
        <f>IFERROR(AVERAGE(Tabel1[[#This Row],[Do - C1]:[Do - C4]]),"")</f>
        <v>2.125</v>
      </c>
      <c r="EN139" s="14">
        <v>2</v>
      </c>
      <c r="EO139" s="14">
        <v>2</v>
      </c>
      <c r="EP139" s="14">
        <v>3</v>
      </c>
      <c r="EQ139" s="14">
        <f>IFERROR(AVERAGE(Tabel1[[#This Row],[Do - F1a]:[Do - F1c]]),"")</f>
        <v>2.3333333333333335</v>
      </c>
      <c r="ER139" s="14">
        <v>3</v>
      </c>
      <c r="ES139" s="14">
        <f>IFERROR(AVERAGE(Tabel1[[#This Row],[Do - F2a]:[Do - F2a]]),"")</f>
        <v>3</v>
      </c>
      <c r="ET139" s="14">
        <v>3</v>
      </c>
      <c r="EU139" s="14" t="s">
        <v>189</v>
      </c>
      <c r="EV139" s="14">
        <f>IFERROR(AVERAGE(Tabel1[[#This Row],[Do - F3a]:[Do - F3b]]),"")</f>
        <v>3</v>
      </c>
      <c r="EW139" s="14" t="s">
        <v>189</v>
      </c>
      <c r="EX139" s="14">
        <f>IFERROR(AVERAGE(Tabel1[[#This Row],[Do - F1]],Tabel1[[#This Row],[Do - F2]],Tabel1[[#This Row],[Do - F3]],Tabel1[[#This Row],[Do - F4]]),"")</f>
        <v>2.7777777777777781</v>
      </c>
      <c r="EY139" s="14">
        <v>1</v>
      </c>
      <c r="EZ139" s="14">
        <v>2</v>
      </c>
      <c r="FA139" s="14">
        <v>1</v>
      </c>
      <c r="FB139" s="14">
        <f>IFERROR(AVERAGE(Tabel1[[#This Row],[Do - V1a]:[Do - V1c]]),"")</f>
        <v>1.3333333333333333</v>
      </c>
      <c r="FC139" s="14">
        <v>2</v>
      </c>
      <c r="FD139" s="14">
        <v>3</v>
      </c>
      <c r="FE139" s="14">
        <f>IFERROR(AVERAGE(Tabel1[[#This Row],[Do - V2a]:[Do - V2b]]),"")</f>
        <v>2.5</v>
      </c>
      <c r="FF139" s="14">
        <v>2</v>
      </c>
      <c r="FG139" s="14">
        <f>IFERROR(AVERAGE(Tabel1[[#This Row],[Do - V3a]:[Do - V3a]]),"")</f>
        <v>2</v>
      </c>
      <c r="FH139" s="14">
        <v>4</v>
      </c>
      <c r="FI139" s="14">
        <f>IFERROR(AVERAGE(Tabel1[[#This Row],[Do - V1]],Tabel1[[#This Row],[Do - V2]],Tabel1[[#This Row],[Do - V3]],Tabel1[[#This Row],[Do - V4]]),"")</f>
        <v>2.458333333333333</v>
      </c>
      <c r="FJ139" s="14">
        <v>3</v>
      </c>
      <c r="FK139" s="14">
        <v>1</v>
      </c>
      <c r="FL139" s="14" t="s">
        <v>189</v>
      </c>
      <c r="FM139" s="14">
        <f>IFERROR(AVERAGE(Tabel1[[#This Row],[Do - A1a]:[Do - A1c]]),"")</f>
        <v>2</v>
      </c>
      <c r="FN139" s="14">
        <v>3</v>
      </c>
      <c r="FO139" s="14">
        <v>4</v>
      </c>
      <c r="FP139" s="14">
        <f>IFERROR(AVERAGE(Tabel1[[#This Row],[Do - A2a]:[Do - A2b]]),"")</f>
        <v>3.5</v>
      </c>
      <c r="FQ139" s="14">
        <v>2</v>
      </c>
      <c r="FR139" s="14">
        <f>IFERROR(AVERAGE(Tabel1[[#This Row],[Do - A3a]:[Do - A3a]]),"")</f>
        <v>2</v>
      </c>
      <c r="FS139" s="14">
        <v>2</v>
      </c>
      <c r="FT139" s="14">
        <f>IFERROR(AVERAGE(Tabel1[[#This Row],[Do - A1]],Tabel1[[#This Row],[Do - A2]],Tabel1[[#This Row],[Do - A3]],Tabel1[[#This Row],[Do - A4]]),"")</f>
        <v>2.375</v>
      </c>
      <c r="FU13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2.6581481481481481</v>
      </c>
      <c r="FV139" s="16" t="s">
        <v>853</v>
      </c>
      <c r="FW139" t="b">
        <v>1</v>
      </c>
    </row>
    <row r="140" spans="1:179" x14ac:dyDescent="0.3">
      <c r="A140" s="13">
        <v>45006.457997685182</v>
      </c>
      <c r="B140" t="b">
        <v>0</v>
      </c>
      <c r="C140" s="14" t="s">
        <v>854</v>
      </c>
      <c r="D140" s="14" t="s">
        <v>855</v>
      </c>
      <c r="E140" s="14" t="s">
        <v>260</v>
      </c>
      <c r="F140" s="14" t="s">
        <v>184</v>
      </c>
      <c r="G140" s="14" t="s">
        <v>856</v>
      </c>
      <c r="H140" s="14" t="s">
        <v>194</v>
      </c>
      <c r="I140" s="14" t="s">
        <v>195</v>
      </c>
      <c r="J140" s="14" t="s">
        <v>261</v>
      </c>
      <c r="K140" s="14" t="s">
        <v>235</v>
      </c>
      <c r="L140" s="14" t="s">
        <v>249</v>
      </c>
      <c r="M140" s="14" t="s">
        <v>198</v>
      </c>
      <c r="N140" s="14" t="s">
        <v>262</v>
      </c>
      <c r="O140" s="14" t="s">
        <v>200</v>
      </c>
      <c r="P140" s="17" t="s">
        <v>255</v>
      </c>
      <c r="Q140" s="14" t="s">
        <v>201</v>
      </c>
      <c r="R140" s="14" t="s">
        <v>235</v>
      </c>
      <c r="S140" s="14" t="s">
        <v>201</v>
      </c>
      <c r="T140" s="14" t="s">
        <v>204</v>
      </c>
      <c r="U140" s="14" t="s">
        <v>285</v>
      </c>
      <c r="V140" s="14" t="s">
        <v>206</v>
      </c>
      <c r="W140" s="14" t="s">
        <v>207</v>
      </c>
      <c r="X140" s="14" t="s">
        <v>207</v>
      </c>
      <c r="Y140" s="14">
        <v>4</v>
      </c>
      <c r="Z140" s="14">
        <v>3</v>
      </c>
      <c r="AA140" s="14">
        <v>4</v>
      </c>
      <c r="AB140" s="15">
        <f>IFERROR(AVERAGE(Tabel1[[#This Row],[Up - R1a]:[Up - R1c]]),"")</f>
        <v>3.6666666666666665</v>
      </c>
      <c r="AC140" s="14">
        <v>3</v>
      </c>
      <c r="AD140" s="14">
        <v>3</v>
      </c>
      <c r="AE140" s="14">
        <v>2</v>
      </c>
      <c r="AF140" s="14">
        <v>4</v>
      </c>
      <c r="AG140" s="14">
        <f>IFERROR(AVERAGE(Tabel1[[#This Row],[Up - R1]:[Up - R5]]),"")</f>
        <v>3.1333333333333333</v>
      </c>
      <c r="AH140" s="14">
        <v>3</v>
      </c>
      <c r="AI140" s="14">
        <v>3</v>
      </c>
      <c r="AJ140" s="14">
        <v>3</v>
      </c>
      <c r="AK140" s="14">
        <f>IFERROR(AVERAGE(Tabel1[[#This Row],[Up - C1a]:[Up - C1c]]),"")</f>
        <v>3</v>
      </c>
      <c r="AL140" s="14">
        <v>3</v>
      </c>
      <c r="AM140" s="14">
        <v>2</v>
      </c>
      <c r="AN140" s="14">
        <v>2</v>
      </c>
      <c r="AO140" s="14">
        <f>IFERROR(AVERAGE(Tabel1[[#This Row],[Up - C1]:[Up - C4]]),"")</f>
        <v>2.5</v>
      </c>
      <c r="AP140" s="14">
        <v>3</v>
      </c>
      <c r="AQ140" s="14">
        <f>IFERROR(AVERAGE(Tabel1[[#This Row],[Up - F1a]:[Up - F1a]]),"")</f>
        <v>3</v>
      </c>
      <c r="AR140" s="14">
        <v>1</v>
      </c>
      <c r="AS140" s="14">
        <v>1</v>
      </c>
      <c r="AT140" s="14">
        <f>IFERROR(AVERAGE(Tabel1[[#This Row],[Up - F2a]:[Up - F2b]]),"")</f>
        <v>1</v>
      </c>
      <c r="AU140" s="14">
        <v>3</v>
      </c>
      <c r="AV140" s="14">
        <v>2</v>
      </c>
      <c r="AW140" s="14">
        <f>IFERROR(AVERAGE(Tabel1[[#This Row],[Up - F3a]:[Up - F3b]]),"")</f>
        <v>2.5</v>
      </c>
      <c r="AX140" s="14">
        <v>3</v>
      </c>
      <c r="AY140" s="14">
        <f>IFERROR(AVERAGE(Tabel1[[#This Row],[Up - F1]],Tabel1[[#This Row],[Up - F2]],Tabel1[[#This Row],[Up - F3]],Tabel1[[#This Row],[Up - F4]]),"")</f>
        <v>2.375</v>
      </c>
      <c r="AZ140" s="14">
        <v>1</v>
      </c>
      <c r="BA140" s="14">
        <v>4</v>
      </c>
      <c r="BB140" s="14">
        <f>IFERROR(AVERAGE(Tabel1[[#This Row],[Up - V1a]:[Up - V1b]]),"")</f>
        <v>2.5</v>
      </c>
      <c r="BC140" s="14">
        <v>3</v>
      </c>
      <c r="BD140" s="14">
        <v>2</v>
      </c>
      <c r="BE140" s="14">
        <v>3</v>
      </c>
      <c r="BF140" s="14">
        <f>IFERROR(AVERAGE(Tabel1[[#This Row],[Up - V2a]:[Up - V2c]]),"")</f>
        <v>2.6666666666666665</v>
      </c>
      <c r="BG140" s="14">
        <v>2</v>
      </c>
      <c r="BH140" s="14">
        <v>1</v>
      </c>
      <c r="BI140" s="14">
        <f>IFERROR(AVERAGE(Tabel1[[#This Row],[Up - V3a]:[Up - V3b]]),"")</f>
        <v>1.5</v>
      </c>
      <c r="BJ140" s="14">
        <v>1</v>
      </c>
      <c r="BK140" s="14">
        <f>IFERROR(AVERAGE(Tabel1[[#This Row],[Up - V1]],Tabel1[[#This Row],[Up - V2]],Tabel1[[#This Row],[Up - V3]],Tabel1[[#This Row],[Up - V4]]),"")</f>
        <v>1.9166666666666665</v>
      </c>
      <c r="BL140" s="14">
        <v>1</v>
      </c>
      <c r="BM140" s="14">
        <v>1</v>
      </c>
      <c r="BN140" s="14">
        <v>1</v>
      </c>
      <c r="BO140" s="14">
        <v>3</v>
      </c>
      <c r="BP140" s="14">
        <f>IFERROR(AVERAGE(Tabel1[[#This Row],[Up - A1a]:[Up - A1d]]),"")</f>
        <v>1.5</v>
      </c>
      <c r="BQ140" s="14">
        <v>2</v>
      </c>
      <c r="BR140" s="14">
        <v>2</v>
      </c>
      <c r="BS140" s="14">
        <f>IFERROR(AVERAGE(Tabel1[[#This Row],[Up - A2a]:[Up - A2b]]),"")</f>
        <v>2</v>
      </c>
      <c r="BT140" s="14">
        <v>2</v>
      </c>
      <c r="BU140" s="14">
        <f>IFERROR(AVERAGE(Tabel1[[#This Row],[Up - A3a]:[Up - A3a]]),"")</f>
        <v>2</v>
      </c>
      <c r="BV140" s="14">
        <v>1</v>
      </c>
      <c r="BW140" s="14">
        <f>IFERROR(AVERAGE(Tabel1[[#This Row],[Up - A1]],Tabel1[[#This Row],[Up - A2]],Tabel1[[#This Row],[Up - A3]]),"")</f>
        <v>1.8333333333333333</v>
      </c>
      <c r="BX140" s="14">
        <v>3</v>
      </c>
      <c r="BY140" s="14">
        <v>5</v>
      </c>
      <c r="BZ140" s="14">
        <f>IFERROR(AVERAGE(Tabel1[[#This Row],[In - R1a]:[In - R1b]]),"")</f>
        <v>4</v>
      </c>
      <c r="CA140" s="14">
        <v>4</v>
      </c>
      <c r="CB140" s="14">
        <v>5</v>
      </c>
      <c r="CC140" s="14">
        <v>2</v>
      </c>
      <c r="CD140" s="14">
        <v>5</v>
      </c>
      <c r="CE140" s="14">
        <f>IFERROR(AVERAGE(Tabel1[[#This Row],[In - R1]:[In - R5]]),"")</f>
        <v>4</v>
      </c>
      <c r="CF140" s="14">
        <v>4</v>
      </c>
      <c r="CG140" s="14">
        <v>5</v>
      </c>
      <c r="CH140" s="14">
        <v>4</v>
      </c>
      <c r="CI140" s="14">
        <f>IFERROR(AVERAGE(Tabel1[[#This Row],[In - C1a]:[In - C1c]]),"")</f>
        <v>4.333333333333333</v>
      </c>
      <c r="CJ140" s="14">
        <v>4</v>
      </c>
      <c r="CK140" s="14">
        <v>3</v>
      </c>
      <c r="CL140" s="14">
        <v>3</v>
      </c>
      <c r="CM140" s="14">
        <f>IFERROR(AVERAGE(Tabel1[[#This Row],[In - C1]:[In - C4]]),"")</f>
        <v>3.583333333333333</v>
      </c>
      <c r="CN140" s="14">
        <v>2</v>
      </c>
      <c r="CO140" s="14">
        <v>3</v>
      </c>
      <c r="CP140" s="14">
        <v>2</v>
      </c>
      <c r="CQ140" s="14">
        <f>IFERROR(AVERAGE(Tabel1[[#This Row],[In - F1a]:[In - F1c]]),"")</f>
        <v>2.3333333333333335</v>
      </c>
      <c r="CR140" s="14">
        <v>4</v>
      </c>
      <c r="CS140" s="14">
        <v>1</v>
      </c>
      <c r="CT140" s="14">
        <f>IFERROR(AVERAGE(Tabel1[[#This Row],[In - F2a]:[In - F2b]]),"")</f>
        <v>2.5</v>
      </c>
      <c r="CU140" s="14">
        <v>1</v>
      </c>
      <c r="CV140" s="14">
        <f>IFERROR(AVERAGE(Tabel1[[#This Row],[In - F3a]:[In - F3a]]),"")</f>
        <v>1</v>
      </c>
      <c r="CW140" s="14">
        <v>3</v>
      </c>
      <c r="CX140" s="14">
        <f>IFERROR(AVERAGE(Tabel1[[#This Row],[In - F1]],Tabel1[[#This Row],[In - F2]],Tabel1[[#This Row],[In - F3]],Tabel1[[#This Row],[In - F4]]),"")</f>
        <v>2.2083333333333335</v>
      </c>
      <c r="CY140" s="14">
        <v>2</v>
      </c>
      <c r="CZ140" s="14">
        <v>4</v>
      </c>
      <c r="DA140" s="14">
        <v>2</v>
      </c>
      <c r="DB140" s="14">
        <f>IFERROR(AVERAGE(Tabel1[[#This Row],[In - V1a]:[In - V1c]]),"")</f>
        <v>2.6666666666666665</v>
      </c>
      <c r="DC140" s="14">
        <v>2</v>
      </c>
      <c r="DD140" s="14">
        <v>3</v>
      </c>
      <c r="DE140" s="14">
        <v>3</v>
      </c>
      <c r="DF140" s="14">
        <f>IFERROR(AVERAGE(Tabel1[[#This Row],[In - V2a]:[In - V2c]]),"")</f>
        <v>2.6666666666666665</v>
      </c>
      <c r="DG140" s="14">
        <v>3</v>
      </c>
      <c r="DH140" s="14">
        <v>3</v>
      </c>
      <c r="DI140" s="14">
        <f>IFERROR(AVERAGE(Tabel1[[#This Row],[In - V3a]:[In - V3b]]),"")</f>
        <v>3</v>
      </c>
      <c r="DJ140" s="14">
        <v>1</v>
      </c>
      <c r="DK140" s="14">
        <f>IFERROR(AVERAGE(Tabel1[[#This Row],[In - V1]],Tabel1[[#This Row],[In - V2]],Tabel1[[#This Row],[In - V3]],Tabel1[[#This Row],[In - V4]]),"")</f>
        <v>2.333333333333333</v>
      </c>
      <c r="DL140" s="14">
        <v>2</v>
      </c>
      <c r="DM140" s="14">
        <v>3</v>
      </c>
      <c r="DN140" s="14">
        <f>IFERROR(AVERAGE(Tabel1[[#This Row],[In - A1a]:[In - A1b]]),"")</f>
        <v>2.5</v>
      </c>
      <c r="DO140" s="14">
        <v>1</v>
      </c>
      <c r="DP140" s="14">
        <v>2</v>
      </c>
      <c r="DQ140" s="14">
        <f>IFERROR(AVERAGE(Tabel1[[#This Row],[In - A2a]:[In - A2b]]),"")</f>
        <v>1.5</v>
      </c>
      <c r="DR140" s="14">
        <v>3</v>
      </c>
      <c r="DS140" s="14">
        <v>3</v>
      </c>
      <c r="DT140" s="14">
        <f>IFERROR(AVERAGE(Tabel1[[#This Row],[In - A3a]:[In - A3a]]),"")</f>
        <v>3</v>
      </c>
      <c r="DU140" s="14">
        <v>1</v>
      </c>
      <c r="DV140" s="14">
        <f>IFERROR(AVERAGE(Tabel1[[#This Row],[In - A1]],Tabel1[[#This Row],[In - A2]],Tabel1[[#This Row],[In - A3]],Tabel1[[#This Row],[In - A4]]),"")</f>
        <v>2</v>
      </c>
      <c r="DW140" s="14">
        <v>1</v>
      </c>
      <c r="DX140" s="14">
        <v>5</v>
      </c>
      <c r="DY140" s="14">
        <v>2</v>
      </c>
      <c r="DZ140" s="14">
        <f>IFERROR(AVERAGE(Tabel1[[#This Row],[Do - R1a]:[Do - R1c]]),"")</f>
        <v>2.6666666666666665</v>
      </c>
      <c r="EA140" s="14">
        <v>3</v>
      </c>
      <c r="EB140" s="14">
        <v>3</v>
      </c>
      <c r="EC140" s="14">
        <v>4</v>
      </c>
      <c r="ED140" s="14">
        <v>4</v>
      </c>
      <c r="EE140" s="14">
        <f>IFERROR(AVERAGE(Tabel1[[#This Row],[Do - R1]:[Do - R5]]),"")</f>
        <v>3.333333333333333</v>
      </c>
      <c r="EF140" s="14">
        <v>3</v>
      </c>
      <c r="EG140" s="14">
        <v>3</v>
      </c>
      <c r="EH140" s="14">
        <v>4</v>
      </c>
      <c r="EI140" s="14">
        <f>IFERROR(AVERAGE(Tabel1[[#This Row],[Do - C1a]:[Do - C1c]]),"")</f>
        <v>3.3333333333333335</v>
      </c>
      <c r="EJ140" s="14" t="s">
        <v>189</v>
      </c>
      <c r="EK140" s="14">
        <v>2</v>
      </c>
      <c r="EL140" s="14">
        <v>1</v>
      </c>
      <c r="EM140" s="14">
        <f>IFERROR(AVERAGE(Tabel1[[#This Row],[Do - C1]:[Do - C4]]),"")</f>
        <v>2.1111111111111112</v>
      </c>
      <c r="EN140" s="14">
        <v>3</v>
      </c>
      <c r="EO140" s="14">
        <v>3</v>
      </c>
      <c r="EP140" s="14">
        <v>3</v>
      </c>
      <c r="EQ140" s="14">
        <f>IFERROR(AVERAGE(Tabel1[[#This Row],[Do - F1a]:[Do - F1c]]),"")</f>
        <v>3</v>
      </c>
      <c r="ER140" s="14">
        <v>2</v>
      </c>
      <c r="ES140" s="14">
        <f>IFERROR(AVERAGE(Tabel1[[#This Row],[Do - F2a]:[Do - F2a]]),"")</f>
        <v>2</v>
      </c>
      <c r="ET140" s="14">
        <v>3</v>
      </c>
      <c r="EU140" s="14">
        <v>3</v>
      </c>
      <c r="EV140" s="14">
        <f>IFERROR(AVERAGE(Tabel1[[#This Row],[Do - F3a]:[Do - F3b]]),"")</f>
        <v>3</v>
      </c>
      <c r="EW140" s="14">
        <v>3</v>
      </c>
      <c r="EX140" s="14">
        <f>IFERROR(AVERAGE(Tabel1[[#This Row],[Do - F1]],Tabel1[[#This Row],[Do - F2]],Tabel1[[#This Row],[Do - F3]],Tabel1[[#This Row],[Do - F4]]),"")</f>
        <v>2.75</v>
      </c>
      <c r="EY140" s="14">
        <v>1</v>
      </c>
      <c r="EZ140" s="14">
        <v>1</v>
      </c>
      <c r="FA140" s="14">
        <v>3</v>
      </c>
      <c r="FB140" s="14">
        <f>IFERROR(AVERAGE(Tabel1[[#This Row],[Do - V1a]:[Do - V1c]]),"")</f>
        <v>1.6666666666666667</v>
      </c>
      <c r="FC140" s="14">
        <v>1</v>
      </c>
      <c r="FD140" s="14">
        <v>1</v>
      </c>
      <c r="FE140" s="14">
        <f>IFERROR(AVERAGE(Tabel1[[#This Row],[Do - V2a]:[Do - V2b]]),"")</f>
        <v>1</v>
      </c>
      <c r="FF140" s="14">
        <v>1</v>
      </c>
      <c r="FG140" s="14">
        <f>IFERROR(AVERAGE(Tabel1[[#This Row],[Do - V3a]:[Do - V3a]]),"")</f>
        <v>1</v>
      </c>
      <c r="FH140" s="14">
        <v>1</v>
      </c>
      <c r="FI140" s="14">
        <f>IFERROR(AVERAGE(Tabel1[[#This Row],[Do - V1]],Tabel1[[#This Row],[Do - V2]],Tabel1[[#This Row],[Do - V3]],Tabel1[[#This Row],[Do - V4]]),"")</f>
        <v>1.1666666666666667</v>
      </c>
      <c r="FJ140" s="14">
        <v>1</v>
      </c>
      <c r="FK140" s="14">
        <v>1</v>
      </c>
      <c r="FL140" s="14">
        <v>2</v>
      </c>
      <c r="FM140" s="14">
        <f>IFERROR(AVERAGE(Tabel1[[#This Row],[Do - A1a]:[Do - A1c]]),"")</f>
        <v>1.3333333333333333</v>
      </c>
      <c r="FN140" s="14">
        <v>3</v>
      </c>
      <c r="FO140" s="14">
        <v>2</v>
      </c>
      <c r="FP140" s="14">
        <f>IFERROR(AVERAGE(Tabel1[[#This Row],[Do - A2a]:[Do - A2b]]),"")</f>
        <v>2.5</v>
      </c>
      <c r="FQ140" s="14">
        <v>1</v>
      </c>
      <c r="FR140" s="14">
        <f>IFERROR(AVERAGE(Tabel1[[#This Row],[Do - A3a]:[Do - A3a]]),"")</f>
        <v>1</v>
      </c>
      <c r="FS140" s="14">
        <v>1</v>
      </c>
      <c r="FT140" s="14">
        <f>IFERROR(AVERAGE(Tabel1[[#This Row],[Do - A1]],Tabel1[[#This Row],[Do - A2]],Tabel1[[#This Row],[Do - A3]],Tabel1[[#This Row],[Do - A4]]),"")</f>
        <v>1.4583333333333333</v>
      </c>
      <c r="FU14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2.4468518518518514</v>
      </c>
      <c r="FV140" s="16" t="s">
        <v>857</v>
      </c>
      <c r="FW140" t="b">
        <v>1</v>
      </c>
    </row>
    <row r="141" spans="1:179" x14ac:dyDescent="0.3">
      <c r="A141" s="13">
        <v>45006.579988425925</v>
      </c>
      <c r="B141" t="b">
        <v>0</v>
      </c>
      <c r="C141" s="14" t="s">
        <v>858</v>
      </c>
      <c r="D141" s="14" t="s">
        <v>859</v>
      </c>
      <c r="E141" s="14" t="s">
        <v>860</v>
      </c>
      <c r="F141" s="14" t="s">
        <v>184</v>
      </c>
      <c r="G141" s="14" t="s">
        <v>861</v>
      </c>
      <c r="H141" s="14" t="s">
        <v>222</v>
      </c>
      <c r="I141" s="14" t="s">
        <v>195</v>
      </c>
      <c r="J141" s="14" t="s">
        <v>406</v>
      </c>
      <c r="K141" s="14" t="s">
        <v>235</v>
      </c>
      <c r="L141" s="14" t="s">
        <v>197</v>
      </c>
      <c r="M141" s="14" t="s">
        <v>233</v>
      </c>
      <c r="N141" s="14" t="s">
        <v>479</v>
      </c>
      <c r="O141" s="14" t="s">
        <v>200</v>
      </c>
      <c r="P141" s="17" t="s">
        <v>304</v>
      </c>
      <c r="Q141" s="14" t="s">
        <v>201</v>
      </c>
      <c r="R141" s="14" t="s">
        <v>235</v>
      </c>
      <c r="S141" s="14" t="s">
        <v>201</v>
      </c>
      <c r="T141" s="14" t="s">
        <v>204</v>
      </c>
      <c r="U141" s="14" t="s">
        <v>285</v>
      </c>
      <c r="V141" s="14" t="s">
        <v>224</v>
      </c>
      <c r="W141" s="14" t="s">
        <v>395</v>
      </c>
      <c r="X141" s="14" t="s">
        <v>395</v>
      </c>
      <c r="Y141" s="14">
        <v>2</v>
      </c>
      <c r="Z141" s="14">
        <v>4</v>
      </c>
      <c r="AA141" s="14">
        <v>5</v>
      </c>
      <c r="AB141" s="15">
        <f>IFERROR(AVERAGE(Tabel1[[#This Row],[Up - R1a]:[Up - R1c]]),"")</f>
        <v>3.6666666666666665</v>
      </c>
      <c r="AC141" s="14">
        <v>4</v>
      </c>
      <c r="AD141" s="14">
        <v>5</v>
      </c>
      <c r="AE141" s="14">
        <v>2</v>
      </c>
      <c r="AF141" s="14">
        <v>4</v>
      </c>
      <c r="AG141" s="14">
        <f>IFERROR(AVERAGE(Tabel1[[#This Row],[Up - R1]:[Up - R5]]),"")</f>
        <v>3.7333333333333329</v>
      </c>
      <c r="AH141" s="14">
        <v>4</v>
      </c>
      <c r="AI141" s="14">
        <v>4</v>
      </c>
      <c r="AJ141" s="14">
        <v>4</v>
      </c>
      <c r="AK141" s="14">
        <f>IFERROR(AVERAGE(Tabel1[[#This Row],[Up - C1a]:[Up - C1c]]),"")</f>
        <v>4</v>
      </c>
      <c r="AL141" s="14">
        <v>4</v>
      </c>
      <c r="AM141" s="14">
        <v>4</v>
      </c>
      <c r="AN141" s="14">
        <v>3</v>
      </c>
      <c r="AO141" s="14">
        <f>IFERROR(AVERAGE(Tabel1[[#This Row],[Up - C1]:[Up - C4]]),"")</f>
        <v>3.75</v>
      </c>
      <c r="AP141" s="14">
        <v>3</v>
      </c>
      <c r="AQ141" s="14">
        <f>IFERROR(AVERAGE(Tabel1[[#This Row],[Up - F1a]:[Up - F1a]]),"")</f>
        <v>3</v>
      </c>
      <c r="AR141" s="14">
        <v>2</v>
      </c>
      <c r="AS141" s="14" t="s">
        <v>189</v>
      </c>
      <c r="AT141" s="14">
        <f>IFERROR(AVERAGE(Tabel1[[#This Row],[Up - F2a]:[Up - F2b]]),"")</f>
        <v>2</v>
      </c>
      <c r="AU141" s="14">
        <v>3</v>
      </c>
      <c r="AV141" s="14">
        <v>4</v>
      </c>
      <c r="AW141" s="14">
        <f>IFERROR(AVERAGE(Tabel1[[#This Row],[Up - F3a]:[Up - F3b]]),"")</f>
        <v>3.5</v>
      </c>
      <c r="AX141" s="14">
        <v>4</v>
      </c>
      <c r="AY141" s="14">
        <f>IFERROR(AVERAGE(Tabel1[[#This Row],[Up - F1]],Tabel1[[#This Row],[Up - F2]],Tabel1[[#This Row],[Up - F3]],Tabel1[[#This Row],[Up - F4]]),"")</f>
        <v>3.125</v>
      </c>
      <c r="AZ141" s="14">
        <v>5</v>
      </c>
      <c r="BA141" s="14">
        <v>3</v>
      </c>
      <c r="BB141" s="14">
        <f>IFERROR(AVERAGE(Tabel1[[#This Row],[Up - V1a]:[Up - V1b]]),"")</f>
        <v>4</v>
      </c>
      <c r="BC141" s="14">
        <v>5</v>
      </c>
      <c r="BD141" s="14">
        <v>3</v>
      </c>
      <c r="BE141" s="14">
        <v>4</v>
      </c>
      <c r="BF141" s="14">
        <f>IFERROR(AVERAGE(Tabel1[[#This Row],[Up - V2a]:[Up - V2c]]),"")</f>
        <v>4</v>
      </c>
      <c r="BG141" s="14">
        <v>2</v>
      </c>
      <c r="BH141" s="14">
        <v>3</v>
      </c>
      <c r="BI141" s="14">
        <f>IFERROR(AVERAGE(Tabel1[[#This Row],[Up - V3a]:[Up - V3b]]),"")</f>
        <v>2.5</v>
      </c>
      <c r="BJ141" s="14">
        <v>3</v>
      </c>
      <c r="BK141" s="14">
        <f>IFERROR(AVERAGE(Tabel1[[#This Row],[Up - V1]],Tabel1[[#This Row],[Up - V2]],Tabel1[[#This Row],[Up - V3]],Tabel1[[#This Row],[Up - V4]]),"")</f>
        <v>3.375</v>
      </c>
      <c r="BL141" s="14">
        <v>4</v>
      </c>
      <c r="BM141" s="14">
        <v>4</v>
      </c>
      <c r="BN141" s="14">
        <v>5</v>
      </c>
      <c r="BO141" s="14">
        <v>2</v>
      </c>
      <c r="BP141" s="14">
        <f>IFERROR(AVERAGE(Tabel1[[#This Row],[Up - A1a]:[Up - A1d]]),"")</f>
        <v>3.75</v>
      </c>
      <c r="BQ141" s="14">
        <v>4</v>
      </c>
      <c r="BR141" s="14">
        <v>3</v>
      </c>
      <c r="BS141" s="14">
        <f>IFERROR(AVERAGE(Tabel1[[#This Row],[Up - A2a]:[Up - A2b]]),"")</f>
        <v>3.5</v>
      </c>
      <c r="BT141" s="14">
        <v>4</v>
      </c>
      <c r="BU141" s="14">
        <f>IFERROR(AVERAGE(Tabel1[[#This Row],[Up - A3a]:[Up - A3a]]),"")</f>
        <v>4</v>
      </c>
      <c r="BV141" s="14">
        <v>5</v>
      </c>
      <c r="BW141" s="14">
        <f>IFERROR(AVERAGE(Tabel1[[#This Row],[Up - A1]],Tabel1[[#This Row],[Up - A2]],Tabel1[[#This Row],[Up - A3]]),"")</f>
        <v>3.75</v>
      </c>
      <c r="BX141" s="14">
        <v>4</v>
      </c>
      <c r="BY141" s="14">
        <v>4</v>
      </c>
      <c r="BZ141" s="14">
        <f>IFERROR(AVERAGE(Tabel1[[#This Row],[In - R1a]:[In - R1b]]),"")</f>
        <v>4</v>
      </c>
      <c r="CA141" s="14">
        <v>4</v>
      </c>
      <c r="CB141" s="14">
        <v>4</v>
      </c>
      <c r="CC141" s="14">
        <v>2</v>
      </c>
      <c r="CD141" s="14">
        <v>4</v>
      </c>
      <c r="CE141" s="14">
        <f>IFERROR(AVERAGE(Tabel1[[#This Row],[In - R1]:[In - R5]]),"")</f>
        <v>3.6</v>
      </c>
      <c r="CF141" s="14">
        <v>5</v>
      </c>
      <c r="CG141" s="14">
        <v>5</v>
      </c>
      <c r="CH141" s="14">
        <v>5</v>
      </c>
      <c r="CI141" s="14">
        <f>IFERROR(AVERAGE(Tabel1[[#This Row],[In - C1a]:[In - C1c]]),"")</f>
        <v>5</v>
      </c>
      <c r="CJ141" s="14">
        <v>4</v>
      </c>
      <c r="CK141" s="14">
        <v>5</v>
      </c>
      <c r="CL141" s="14">
        <v>3</v>
      </c>
      <c r="CM141" s="14">
        <f>IFERROR(AVERAGE(Tabel1[[#This Row],[In - C1]:[In - C4]]),"")</f>
        <v>4.25</v>
      </c>
      <c r="CN141" s="14">
        <v>3</v>
      </c>
      <c r="CO141" s="14">
        <v>4</v>
      </c>
      <c r="CP141" s="14">
        <v>4</v>
      </c>
      <c r="CQ141" s="14">
        <f>IFERROR(AVERAGE(Tabel1[[#This Row],[In - F1a]:[In - F1c]]),"")</f>
        <v>3.6666666666666665</v>
      </c>
      <c r="CR141" s="14">
        <v>3</v>
      </c>
      <c r="CS141" s="14" t="s">
        <v>189</v>
      </c>
      <c r="CT141" s="14">
        <f>IFERROR(AVERAGE(Tabel1[[#This Row],[In - F2a]:[In - F2b]]),"")</f>
        <v>3</v>
      </c>
      <c r="CU141" s="14">
        <v>2</v>
      </c>
      <c r="CV141" s="14">
        <f>IFERROR(AVERAGE(Tabel1[[#This Row],[In - F3a]:[In - F3a]]),"")</f>
        <v>2</v>
      </c>
      <c r="CW141" s="14">
        <v>2</v>
      </c>
      <c r="CX141" s="14">
        <f>IFERROR(AVERAGE(Tabel1[[#This Row],[In - F1]],Tabel1[[#This Row],[In - F2]],Tabel1[[#This Row],[In - F3]],Tabel1[[#This Row],[In - F4]]),"")</f>
        <v>2.6666666666666665</v>
      </c>
      <c r="CY141" s="14">
        <v>4</v>
      </c>
      <c r="CZ141" s="14">
        <v>5</v>
      </c>
      <c r="DA141" s="14">
        <v>4</v>
      </c>
      <c r="DB141" s="14">
        <f>IFERROR(AVERAGE(Tabel1[[#This Row],[In - V1a]:[In - V1c]]),"")</f>
        <v>4.333333333333333</v>
      </c>
      <c r="DC141" s="14">
        <v>4</v>
      </c>
      <c r="DD141" s="14">
        <v>4</v>
      </c>
      <c r="DE141" s="14">
        <v>5</v>
      </c>
      <c r="DF141" s="14">
        <f>IFERROR(AVERAGE(Tabel1[[#This Row],[In - V2a]:[In - V2c]]),"")</f>
        <v>4.333333333333333</v>
      </c>
      <c r="DG141" s="14">
        <v>4</v>
      </c>
      <c r="DH141" s="14">
        <v>4</v>
      </c>
      <c r="DI141" s="14">
        <f>IFERROR(AVERAGE(Tabel1[[#This Row],[In - V3a]:[In - V3b]]),"")</f>
        <v>4</v>
      </c>
      <c r="DJ141" s="14">
        <v>4</v>
      </c>
      <c r="DK141" s="14">
        <f>IFERROR(AVERAGE(Tabel1[[#This Row],[In - V1]],Tabel1[[#This Row],[In - V2]],Tabel1[[#This Row],[In - V3]],Tabel1[[#This Row],[In - V4]]),"")</f>
        <v>4.1666666666666661</v>
      </c>
      <c r="DL141" s="14">
        <v>4</v>
      </c>
      <c r="DM141" s="14">
        <v>4</v>
      </c>
      <c r="DN141" s="14">
        <f>IFERROR(AVERAGE(Tabel1[[#This Row],[In - A1a]:[In - A1b]]),"")</f>
        <v>4</v>
      </c>
      <c r="DO141" s="14" t="s">
        <v>189</v>
      </c>
      <c r="DP141" s="14">
        <v>5</v>
      </c>
      <c r="DQ141" s="14">
        <f>IFERROR(AVERAGE(Tabel1[[#This Row],[In - A2a]:[In - A2b]]),"")</f>
        <v>5</v>
      </c>
      <c r="DR141" s="14">
        <v>5</v>
      </c>
      <c r="DS141" s="14">
        <v>4</v>
      </c>
      <c r="DT141" s="14">
        <f>IFERROR(AVERAGE(Tabel1[[#This Row],[In - A3a]:[In - A3a]]),"")</f>
        <v>5</v>
      </c>
      <c r="DU141" s="14">
        <v>4</v>
      </c>
      <c r="DV141" s="14">
        <f>IFERROR(AVERAGE(Tabel1[[#This Row],[In - A1]],Tabel1[[#This Row],[In - A2]],Tabel1[[#This Row],[In - A3]],Tabel1[[#This Row],[In - A4]]),"")</f>
        <v>4.5</v>
      </c>
      <c r="DW141" s="14">
        <v>2</v>
      </c>
      <c r="DX141" s="14">
        <v>4</v>
      </c>
      <c r="DY141" s="14">
        <v>3</v>
      </c>
      <c r="DZ141" s="14">
        <f>IFERROR(AVERAGE(Tabel1[[#This Row],[Do - R1a]:[Do - R1c]]),"")</f>
        <v>3</v>
      </c>
      <c r="EA141" s="14">
        <v>3</v>
      </c>
      <c r="EB141" s="14">
        <v>4</v>
      </c>
      <c r="EC141" s="14">
        <v>3</v>
      </c>
      <c r="ED141" s="14">
        <v>4</v>
      </c>
      <c r="EE141" s="14">
        <f>IFERROR(AVERAGE(Tabel1[[#This Row],[Do - R1]:[Do - R5]]),"")</f>
        <v>3.4</v>
      </c>
      <c r="EF141" s="14">
        <v>4</v>
      </c>
      <c r="EG141" s="14">
        <v>4</v>
      </c>
      <c r="EH141" s="14">
        <v>4</v>
      </c>
      <c r="EI141" s="14">
        <f>IFERROR(AVERAGE(Tabel1[[#This Row],[Do - C1a]:[Do - C1c]]),"")</f>
        <v>4</v>
      </c>
      <c r="EJ141" s="14">
        <v>3</v>
      </c>
      <c r="EK141" s="14">
        <v>2</v>
      </c>
      <c r="EL141" s="14">
        <v>2</v>
      </c>
      <c r="EM141" s="14">
        <f>IFERROR(AVERAGE(Tabel1[[#This Row],[Do - C1]:[Do - C4]]),"")</f>
        <v>2.75</v>
      </c>
      <c r="EN141" s="14">
        <v>4</v>
      </c>
      <c r="EO141" s="14">
        <v>2</v>
      </c>
      <c r="EP141" s="14">
        <v>3</v>
      </c>
      <c r="EQ141" s="14">
        <f>IFERROR(AVERAGE(Tabel1[[#This Row],[Do - F1a]:[Do - F1c]]),"")</f>
        <v>3</v>
      </c>
      <c r="ER141" s="14">
        <v>3</v>
      </c>
      <c r="ES141" s="14">
        <f>IFERROR(AVERAGE(Tabel1[[#This Row],[Do - F2a]:[Do - F2a]]),"")</f>
        <v>3</v>
      </c>
      <c r="ET141" s="14">
        <v>4</v>
      </c>
      <c r="EU141" s="14">
        <v>2</v>
      </c>
      <c r="EV141" s="14">
        <f>IFERROR(AVERAGE(Tabel1[[#This Row],[Do - F3a]:[Do - F3b]]),"")</f>
        <v>3</v>
      </c>
      <c r="EW141" s="14">
        <v>3</v>
      </c>
      <c r="EX141" s="14">
        <f>IFERROR(AVERAGE(Tabel1[[#This Row],[Do - F1]],Tabel1[[#This Row],[Do - F2]],Tabel1[[#This Row],[Do - F3]],Tabel1[[#This Row],[Do - F4]]),"")</f>
        <v>3</v>
      </c>
      <c r="EY141" s="14">
        <v>4</v>
      </c>
      <c r="EZ141" s="14">
        <v>4</v>
      </c>
      <c r="FA141" s="14">
        <v>3</v>
      </c>
      <c r="FB141" s="14">
        <f>IFERROR(AVERAGE(Tabel1[[#This Row],[Do - V1a]:[Do - V1c]]),"")</f>
        <v>3.6666666666666665</v>
      </c>
      <c r="FC141" s="14">
        <v>5</v>
      </c>
      <c r="FD141" s="14">
        <v>4</v>
      </c>
      <c r="FE141" s="14">
        <f>IFERROR(AVERAGE(Tabel1[[#This Row],[Do - V2a]:[Do - V2b]]),"")</f>
        <v>4.5</v>
      </c>
      <c r="FF141" s="14">
        <v>4</v>
      </c>
      <c r="FG141" s="14">
        <f>IFERROR(AVERAGE(Tabel1[[#This Row],[Do - V3a]:[Do - V3a]]),"")</f>
        <v>4</v>
      </c>
      <c r="FH141" s="14">
        <v>4</v>
      </c>
      <c r="FI141" s="14">
        <f>IFERROR(AVERAGE(Tabel1[[#This Row],[Do - V1]],Tabel1[[#This Row],[Do - V2]],Tabel1[[#This Row],[Do - V3]],Tabel1[[#This Row],[Do - V4]]),"")</f>
        <v>4.0416666666666661</v>
      </c>
      <c r="FJ141" s="14">
        <v>4</v>
      </c>
      <c r="FK141" s="14" t="s">
        <v>189</v>
      </c>
      <c r="FL141" s="14">
        <v>5</v>
      </c>
      <c r="FM141" s="14">
        <f>IFERROR(AVERAGE(Tabel1[[#This Row],[Do - A1a]:[Do - A1c]]),"")</f>
        <v>4.5</v>
      </c>
      <c r="FN141" s="14">
        <v>4</v>
      </c>
      <c r="FO141" s="14">
        <v>4</v>
      </c>
      <c r="FP141" s="14">
        <f>IFERROR(AVERAGE(Tabel1[[#This Row],[Do - A2a]:[Do - A2b]]),"")</f>
        <v>4</v>
      </c>
      <c r="FQ141" s="14">
        <v>4</v>
      </c>
      <c r="FR141" s="14">
        <f>IFERROR(AVERAGE(Tabel1[[#This Row],[Do - A3a]:[Do - A3a]]),"")</f>
        <v>4</v>
      </c>
      <c r="FS141" s="14">
        <v>4</v>
      </c>
      <c r="FT141" s="14">
        <f>IFERROR(AVERAGE(Tabel1[[#This Row],[Do - A1]],Tabel1[[#This Row],[Do - A2]],Tabel1[[#This Row],[Do - A3]],Tabel1[[#This Row],[Do - A4]]),"")</f>
        <v>4.125</v>
      </c>
      <c r="FU14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3.6155555555555554</v>
      </c>
      <c r="FV141" s="16" t="s">
        <v>862</v>
      </c>
      <c r="FW141" t="b">
        <v>1</v>
      </c>
    </row>
    <row r="142" spans="1:179" x14ac:dyDescent="0.3">
      <c r="A142" s="13">
        <v>45006.709189814814</v>
      </c>
      <c r="B142" t="b">
        <v>0</v>
      </c>
      <c r="C142" s="14" t="s">
        <v>863</v>
      </c>
      <c r="D142" s="14" t="s">
        <v>864</v>
      </c>
      <c r="E142" s="14" t="s">
        <v>260</v>
      </c>
      <c r="F142" s="14" t="s">
        <v>184</v>
      </c>
      <c r="G142" s="14" t="s">
        <v>865</v>
      </c>
      <c r="H142" s="14" t="s">
        <v>194</v>
      </c>
      <c r="I142" s="14" t="s">
        <v>195</v>
      </c>
      <c r="J142" s="14" t="s">
        <v>406</v>
      </c>
      <c r="K142" s="14" t="s">
        <v>235</v>
      </c>
      <c r="L142" s="14" t="s">
        <v>249</v>
      </c>
      <c r="M142" s="14" t="s">
        <v>233</v>
      </c>
      <c r="N142" s="14" t="s">
        <v>262</v>
      </c>
      <c r="O142" s="14" t="s">
        <v>200</v>
      </c>
      <c r="P142" s="17" t="s">
        <v>255</v>
      </c>
      <c r="Q142" s="17" t="s">
        <v>255</v>
      </c>
      <c r="R142" s="14" t="s">
        <v>235</v>
      </c>
      <c r="S142" s="14" t="s">
        <v>202</v>
      </c>
      <c r="T142" s="14" t="s">
        <v>204</v>
      </c>
      <c r="U142" s="14" t="s">
        <v>205</v>
      </c>
      <c r="V142" s="14" t="s">
        <v>206</v>
      </c>
      <c r="W142" s="14" t="s">
        <v>207</v>
      </c>
      <c r="X142" s="14" t="s">
        <v>207</v>
      </c>
      <c r="Y142" s="14">
        <v>2</v>
      </c>
      <c r="Z142" s="14">
        <v>4</v>
      </c>
      <c r="AA142" s="14" t="s">
        <v>189</v>
      </c>
      <c r="AB142" s="15">
        <f>IFERROR(AVERAGE(Tabel1[[#This Row],[Up - R1a]:[Up - R1c]]),"")</f>
        <v>3</v>
      </c>
      <c r="AC142" s="14" t="s">
        <v>189</v>
      </c>
      <c r="AD142" s="14">
        <v>3</v>
      </c>
      <c r="AE142" s="14">
        <v>1</v>
      </c>
      <c r="AF142" s="14" t="s">
        <v>189</v>
      </c>
      <c r="AG142" s="14">
        <f>IFERROR(AVERAGE(Tabel1[[#This Row],[Up - R1]:[Up - R5]]),"")</f>
        <v>2.3333333333333335</v>
      </c>
      <c r="AH142" s="14">
        <v>3</v>
      </c>
      <c r="AI142" s="14" t="s">
        <v>189</v>
      </c>
      <c r="AJ142" s="14">
        <v>3</v>
      </c>
      <c r="AK142" s="14">
        <f>IFERROR(AVERAGE(Tabel1[[#This Row],[Up - C1a]:[Up - C1c]]),"")</f>
        <v>3</v>
      </c>
      <c r="AL142" s="14">
        <v>4</v>
      </c>
      <c r="AM142" s="14">
        <v>2</v>
      </c>
      <c r="AN142" s="14" t="s">
        <v>189</v>
      </c>
      <c r="AO142" s="14">
        <f>IFERROR(AVERAGE(Tabel1[[#This Row],[Up - C1]:[Up - C4]]),"")</f>
        <v>3</v>
      </c>
      <c r="AP142" s="14" t="s">
        <v>189</v>
      </c>
      <c r="AQ142" s="14" t="str">
        <f>IFERROR(AVERAGE(Tabel1[[#This Row],[Up - F1a]:[Up - F1a]]),"")</f>
        <v/>
      </c>
      <c r="AR142" s="14">
        <v>2</v>
      </c>
      <c r="AS142" s="14">
        <v>2</v>
      </c>
      <c r="AT142" s="14">
        <f>IFERROR(AVERAGE(Tabel1[[#This Row],[Up - F2a]:[Up - F2b]]),"")</f>
        <v>2</v>
      </c>
      <c r="AU142" s="14" t="s">
        <v>189</v>
      </c>
      <c r="AV142" s="14">
        <v>2</v>
      </c>
      <c r="AW142" s="14">
        <f>IFERROR(AVERAGE(Tabel1[[#This Row],[Up - F3a]:[Up - F3b]]),"")</f>
        <v>2</v>
      </c>
      <c r="AX142" s="14">
        <v>3</v>
      </c>
      <c r="AY142" s="14">
        <f>IFERROR(AVERAGE(Tabel1[[#This Row],[Up - F1]],Tabel1[[#This Row],[Up - F2]],Tabel1[[#This Row],[Up - F3]],Tabel1[[#This Row],[Up - F4]]),"")</f>
        <v>2.3333333333333335</v>
      </c>
      <c r="AZ142" s="14" t="s">
        <v>189</v>
      </c>
      <c r="BA142" s="14" t="s">
        <v>189</v>
      </c>
      <c r="BB142" s="14" t="str">
        <f>IFERROR(AVERAGE(Tabel1[[#This Row],[Up - V1a]:[Up - V1b]]),"")</f>
        <v/>
      </c>
      <c r="BC142" s="14">
        <v>2</v>
      </c>
      <c r="BD142" s="14" t="s">
        <v>189</v>
      </c>
      <c r="BE142" s="14" t="s">
        <v>189</v>
      </c>
      <c r="BF142" s="14">
        <f>IFERROR(AVERAGE(Tabel1[[#This Row],[Up - V2a]:[Up - V2c]]),"")</f>
        <v>2</v>
      </c>
      <c r="BG142" s="14">
        <v>3</v>
      </c>
      <c r="BH142" s="14" t="s">
        <v>189</v>
      </c>
      <c r="BI142" s="14">
        <f>IFERROR(AVERAGE(Tabel1[[#This Row],[Up - V3a]:[Up - V3b]]),"")</f>
        <v>3</v>
      </c>
      <c r="BJ142" s="14" t="s">
        <v>189</v>
      </c>
      <c r="BK142" s="14">
        <f>IFERROR(AVERAGE(Tabel1[[#This Row],[Up - V1]],Tabel1[[#This Row],[Up - V2]],Tabel1[[#This Row],[Up - V3]],Tabel1[[#This Row],[Up - V4]]),"")</f>
        <v>2.5</v>
      </c>
      <c r="BL142" s="14" t="s">
        <v>189</v>
      </c>
      <c r="BM142" s="14" t="s">
        <v>189</v>
      </c>
      <c r="BN142" s="14" t="s">
        <v>189</v>
      </c>
      <c r="BO142" s="14">
        <v>2</v>
      </c>
      <c r="BP142" s="14">
        <f>IFERROR(AVERAGE(Tabel1[[#This Row],[Up - A1a]:[Up - A1d]]),"")</f>
        <v>2</v>
      </c>
      <c r="BQ142" s="14">
        <v>2</v>
      </c>
      <c r="BR142" s="14">
        <v>2</v>
      </c>
      <c r="BS142" s="14">
        <f>IFERROR(AVERAGE(Tabel1[[#This Row],[Up - A2a]:[Up - A2b]]),"")</f>
        <v>2</v>
      </c>
      <c r="BT142" s="14">
        <v>3</v>
      </c>
      <c r="BU142" s="14">
        <f>IFERROR(AVERAGE(Tabel1[[#This Row],[Up - A3a]:[Up - A3a]]),"")</f>
        <v>3</v>
      </c>
      <c r="BV142" s="14" t="s">
        <v>189</v>
      </c>
      <c r="BW142" s="14">
        <f>IFERROR(AVERAGE(Tabel1[[#This Row],[Up - A1]],Tabel1[[#This Row],[Up - A2]],Tabel1[[#This Row],[Up - A3]]),"")</f>
        <v>2.3333333333333335</v>
      </c>
      <c r="BX142" s="14">
        <v>2</v>
      </c>
      <c r="BY142" s="14">
        <v>4</v>
      </c>
      <c r="BZ142" s="14">
        <f>IFERROR(AVERAGE(Tabel1[[#This Row],[In - R1a]:[In - R1b]]),"")</f>
        <v>3</v>
      </c>
      <c r="CA142" s="14">
        <v>2</v>
      </c>
      <c r="CB142" s="14">
        <v>3</v>
      </c>
      <c r="CC142" s="14">
        <v>2</v>
      </c>
      <c r="CD142" s="14" t="s">
        <v>189</v>
      </c>
      <c r="CE142" s="14">
        <f>IFERROR(AVERAGE(Tabel1[[#This Row],[In - R1]:[In - R5]]),"")</f>
        <v>2.5</v>
      </c>
      <c r="CF142" s="14">
        <v>4</v>
      </c>
      <c r="CG142" s="14">
        <v>2</v>
      </c>
      <c r="CH142" s="14">
        <v>1</v>
      </c>
      <c r="CI142" s="14">
        <f>IFERROR(AVERAGE(Tabel1[[#This Row],[In - C1a]:[In - C1c]]),"")</f>
        <v>2.3333333333333335</v>
      </c>
      <c r="CJ142" s="14">
        <v>3</v>
      </c>
      <c r="CK142" s="14">
        <v>1</v>
      </c>
      <c r="CL142" s="14">
        <v>3</v>
      </c>
      <c r="CM142" s="14">
        <f>IFERROR(AVERAGE(Tabel1[[#This Row],[In - C1]:[In - C4]]),"")</f>
        <v>2.3333333333333335</v>
      </c>
      <c r="CN142" s="14">
        <v>3</v>
      </c>
      <c r="CO142" s="14">
        <v>2</v>
      </c>
      <c r="CP142" s="14">
        <v>2</v>
      </c>
      <c r="CQ142" s="14">
        <f>IFERROR(AVERAGE(Tabel1[[#This Row],[In - F1a]:[In - F1c]]),"")</f>
        <v>2.3333333333333335</v>
      </c>
      <c r="CR142" s="14">
        <v>2</v>
      </c>
      <c r="CS142" s="14">
        <v>3</v>
      </c>
      <c r="CT142" s="14">
        <f>IFERROR(AVERAGE(Tabel1[[#This Row],[In - F2a]:[In - F2b]]),"")</f>
        <v>2.5</v>
      </c>
      <c r="CU142" s="14" t="s">
        <v>189</v>
      </c>
      <c r="CV142" s="14" t="str">
        <f>IFERROR(AVERAGE(Tabel1[[#This Row],[In - F3a]:[In - F3a]]),"")</f>
        <v/>
      </c>
      <c r="CW142" s="14">
        <v>3</v>
      </c>
      <c r="CX142" s="14">
        <f>IFERROR(AVERAGE(Tabel1[[#This Row],[In - F1]],Tabel1[[#This Row],[In - F2]],Tabel1[[#This Row],[In - F3]],Tabel1[[#This Row],[In - F4]]),"")</f>
        <v>2.6111111111111112</v>
      </c>
      <c r="CY142" s="14">
        <v>2</v>
      </c>
      <c r="CZ142" s="14">
        <v>2</v>
      </c>
      <c r="DA142" s="14">
        <v>3</v>
      </c>
      <c r="DB142" s="14">
        <f>IFERROR(AVERAGE(Tabel1[[#This Row],[In - V1a]:[In - V1c]]),"")</f>
        <v>2.3333333333333335</v>
      </c>
      <c r="DC142" s="14">
        <v>2</v>
      </c>
      <c r="DD142" s="14">
        <v>3</v>
      </c>
      <c r="DE142" s="14">
        <v>1</v>
      </c>
      <c r="DF142" s="14">
        <f>IFERROR(AVERAGE(Tabel1[[#This Row],[In - V2a]:[In - V2c]]),"")</f>
        <v>2</v>
      </c>
      <c r="DG142" s="14">
        <v>1</v>
      </c>
      <c r="DH142" s="14">
        <v>2</v>
      </c>
      <c r="DI142" s="14">
        <f>IFERROR(AVERAGE(Tabel1[[#This Row],[In - V3a]:[In - V3b]]),"")</f>
        <v>1.5</v>
      </c>
      <c r="DJ142" s="14" t="s">
        <v>189</v>
      </c>
      <c r="DK142" s="14">
        <f>IFERROR(AVERAGE(Tabel1[[#This Row],[In - V1]],Tabel1[[#This Row],[In - V2]],Tabel1[[#This Row],[In - V3]],Tabel1[[#This Row],[In - V4]]),"")</f>
        <v>1.9444444444444446</v>
      </c>
      <c r="DL142" s="14">
        <v>5</v>
      </c>
      <c r="DM142" s="14">
        <v>1</v>
      </c>
      <c r="DN142" s="14">
        <f>IFERROR(AVERAGE(Tabel1[[#This Row],[In - A1a]:[In - A1b]]),"")</f>
        <v>3</v>
      </c>
      <c r="DO142" s="14">
        <v>1</v>
      </c>
      <c r="DP142" s="14">
        <v>1</v>
      </c>
      <c r="DQ142" s="14">
        <f>IFERROR(AVERAGE(Tabel1[[#This Row],[In - A2a]:[In - A2b]]),"")</f>
        <v>1</v>
      </c>
      <c r="DR142" s="14">
        <v>3</v>
      </c>
      <c r="DS142" s="14">
        <v>1</v>
      </c>
      <c r="DT142" s="14">
        <f>IFERROR(AVERAGE(Tabel1[[#This Row],[In - A3a]:[In - A3a]]),"")</f>
        <v>3</v>
      </c>
      <c r="DU142" s="14" t="s">
        <v>189</v>
      </c>
      <c r="DV142" s="14">
        <f>IFERROR(AVERAGE(Tabel1[[#This Row],[In - A1]],Tabel1[[#This Row],[In - A2]],Tabel1[[#This Row],[In - A3]],Tabel1[[#This Row],[In - A4]]),"")</f>
        <v>2.3333333333333335</v>
      </c>
      <c r="DW142" s="14">
        <v>3</v>
      </c>
      <c r="DX142" s="14">
        <v>5</v>
      </c>
      <c r="DY142" s="14">
        <v>3</v>
      </c>
      <c r="DZ142" s="14">
        <f>IFERROR(AVERAGE(Tabel1[[#This Row],[Do - R1a]:[Do - R1c]]),"")</f>
        <v>3.6666666666666665</v>
      </c>
      <c r="EA142" s="14">
        <v>1</v>
      </c>
      <c r="EB142" s="14">
        <v>3</v>
      </c>
      <c r="EC142" s="14">
        <v>2</v>
      </c>
      <c r="ED142" s="14" t="s">
        <v>189</v>
      </c>
      <c r="EE142" s="14">
        <f>IFERROR(AVERAGE(Tabel1[[#This Row],[Do - R1]:[Do - R5]]),"")</f>
        <v>2.4166666666666665</v>
      </c>
      <c r="EF142" s="14" t="s">
        <v>189</v>
      </c>
      <c r="EG142" s="14">
        <v>2</v>
      </c>
      <c r="EH142" s="14">
        <v>3</v>
      </c>
      <c r="EI142" s="14">
        <f>IFERROR(AVERAGE(Tabel1[[#This Row],[Do - C1a]:[Do - C1c]]),"")</f>
        <v>2.5</v>
      </c>
      <c r="EJ142" s="14">
        <v>1</v>
      </c>
      <c r="EK142" s="14">
        <v>1</v>
      </c>
      <c r="EL142" s="14">
        <v>2</v>
      </c>
      <c r="EM142" s="14">
        <f>IFERROR(AVERAGE(Tabel1[[#This Row],[Do - C1]:[Do - C4]]),"")</f>
        <v>1.625</v>
      </c>
      <c r="EN142" s="14">
        <v>2</v>
      </c>
      <c r="EO142" s="14">
        <v>2</v>
      </c>
      <c r="EP142" s="14">
        <v>2</v>
      </c>
      <c r="EQ142" s="14">
        <f>IFERROR(AVERAGE(Tabel1[[#This Row],[Do - F1a]:[Do - F1c]]),"")</f>
        <v>2</v>
      </c>
      <c r="ER142" s="14">
        <v>2</v>
      </c>
      <c r="ES142" s="14">
        <f>IFERROR(AVERAGE(Tabel1[[#This Row],[Do - F2a]:[Do - F2a]]),"")</f>
        <v>2</v>
      </c>
      <c r="ET142" s="14">
        <v>3</v>
      </c>
      <c r="EU142" s="14">
        <v>2</v>
      </c>
      <c r="EV142" s="14">
        <f>IFERROR(AVERAGE(Tabel1[[#This Row],[Do - F3a]:[Do - F3b]]),"")</f>
        <v>2.5</v>
      </c>
      <c r="EW142" s="14" t="s">
        <v>189</v>
      </c>
      <c r="EX142" s="14">
        <f>IFERROR(AVERAGE(Tabel1[[#This Row],[Do - F1]],Tabel1[[#This Row],[Do - F2]],Tabel1[[#This Row],[Do - F3]],Tabel1[[#This Row],[Do - F4]]),"")</f>
        <v>2.1666666666666665</v>
      </c>
      <c r="EY142" s="14">
        <v>1</v>
      </c>
      <c r="EZ142" s="14">
        <v>2</v>
      </c>
      <c r="FA142" s="14">
        <v>3</v>
      </c>
      <c r="FB142" s="14">
        <f>IFERROR(AVERAGE(Tabel1[[#This Row],[Do - V1a]:[Do - V1c]]),"")</f>
        <v>2</v>
      </c>
      <c r="FC142" s="14" t="s">
        <v>189</v>
      </c>
      <c r="FD142" s="14">
        <v>2</v>
      </c>
      <c r="FE142" s="14">
        <f>IFERROR(AVERAGE(Tabel1[[#This Row],[Do - V2a]:[Do - V2b]]),"")</f>
        <v>2</v>
      </c>
      <c r="FF142" s="14">
        <v>2</v>
      </c>
      <c r="FG142" s="14">
        <f>IFERROR(AVERAGE(Tabel1[[#This Row],[Do - V3a]:[Do - V3a]]),"")</f>
        <v>2</v>
      </c>
      <c r="FH142" s="14" t="s">
        <v>189</v>
      </c>
      <c r="FI142" s="14">
        <f>IFERROR(AVERAGE(Tabel1[[#This Row],[Do - V1]],Tabel1[[#This Row],[Do - V2]],Tabel1[[#This Row],[Do - V3]],Tabel1[[#This Row],[Do - V4]]),"")</f>
        <v>2</v>
      </c>
      <c r="FJ142" s="14">
        <v>4</v>
      </c>
      <c r="FK142" s="14">
        <v>1</v>
      </c>
      <c r="FL142" s="14">
        <v>2</v>
      </c>
      <c r="FM142" s="14">
        <f>IFERROR(AVERAGE(Tabel1[[#This Row],[Do - A1a]:[Do - A1c]]),"")</f>
        <v>2.3333333333333335</v>
      </c>
      <c r="FN142" s="14">
        <v>2</v>
      </c>
      <c r="FO142" s="14">
        <v>3</v>
      </c>
      <c r="FP142" s="14">
        <f>IFERROR(AVERAGE(Tabel1[[#This Row],[Do - A2a]:[Do - A2b]]),"")</f>
        <v>2.5</v>
      </c>
      <c r="FQ142" s="14">
        <v>3</v>
      </c>
      <c r="FR142" s="14">
        <f>IFERROR(AVERAGE(Tabel1[[#This Row],[Do - A3a]:[Do - A3a]]),"")</f>
        <v>3</v>
      </c>
      <c r="FS142" s="14" t="s">
        <v>189</v>
      </c>
      <c r="FT142" s="14">
        <f>IFERROR(AVERAGE(Tabel1[[#This Row],[Do - A1]],Tabel1[[#This Row],[Do - A2]],Tabel1[[#This Row],[Do - A3]],Tabel1[[#This Row],[Do - A4]]),"")</f>
        <v>2.6111111111111112</v>
      </c>
      <c r="FU14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2.3361111111111112</v>
      </c>
      <c r="FV142" s="16" t="s">
        <v>866</v>
      </c>
      <c r="FW142" t="b">
        <v>1</v>
      </c>
    </row>
    <row r="143" spans="1:179" x14ac:dyDescent="0.3">
      <c r="A143" s="13">
        <v>45007.595613425925</v>
      </c>
      <c r="B143" t="b">
        <v>0</v>
      </c>
      <c r="C143" s="14" t="s">
        <v>867</v>
      </c>
      <c r="D143" s="14" t="s">
        <v>868</v>
      </c>
      <c r="E143" s="14" t="s">
        <v>869</v>
      </c>
      <c r="F143" s="14" t="s">
        <v>184</v>
      </c>
      <c r="G143" s="14" t="s">
        <v>870</v>
      </c>
      <c r="H143" s="14" t="s">
        <v>222</v>
      </c>
      <c r="I143" s="14" t="s">
        <v>195</v>
      </c>
      <c r="J143" s="14" t="s">
        <v>268</v>
      </c>
      <c r="K143" s="14" t="s">
        <v>187</v>
      </c>
      <c r="L143" s="14" t="s">
        <v>218</v>
      </c>
      <c r="M143" s="14" t="s">
        <v>281</v>
      </c>
      <c r="N143" s="14" t="s">
        <v>199</v>
      </c>
      <c r="O143" s="14" t="s">
        <v>200</v>
      </c>
      <c r="P143" s="14" t="s">
        <v>203</v>
      </c>
      <c r="Q143" s="14" t="s">
        <v>235</v>
      </c>
      <c r="R143" s="14" t="s">
        <v>235</v>
      </c>
      <c r="S143" s="14" t="s">
        <v>187</v>
      </c>
      <c r="T143" s="14" t="s">
        <v>284</v>
      </c>
      <c r="U143" s="14" t="s">
        <v>237</v>
      </c>
      <c r="V143" s="14" t="s">
        <v>484</v>
      </c>
      <c r="W143" s="14" t="s">
        <v>207</v>
      </c>
      <c r="X143" s="14" t="s">
        <v>207</v>
      </c>
      <c r="Y143" s="14">
        <v>2</v>
      </c>
      <c r="Z143" s="14">
        <v>4</v>
      </c>
      <c r="AA143" s="14">
        <v>2</v>
      </c>
      <c r="AB143" s="15">
        <f>IFERROR(AVERAGE(Tabel1[[#This Row],[Up - R1a]:[Up - R1c]]),"")</f>
        <v>2.6666666666666665</v>
      </c>
      <c r="AC143" s="14">
        <v>2</v>
      </c>
      <c r="AD143" s="14">
        <v>3</v>
      </c>
      <c r="AE143" s="14">
        <v>1</v>
      </c>
      <c r="AF143" s="14">
        <v>3</v>
      </c>
      <c r="AG143" s="14">
        <f>IFERROR(AVERAGE(Tabel1[[#This Row],[Up - R1]:[Up - R5]]),"")</f>
        <v>2.333333333333333</v>
      </c>
      <c r="AH143" s="14">
        <v>2</v>
      </c>
      <c r="AI143" s="14">
        <v>3</v>
      </c>
      <c r="AJ143" s="14">
        <v>3</v>
      </c>
      <c r="AK143" s="14">
        <f>IFERROR(AVERAGE(Tabel1[[#This Row],[Up - C1a]:[Up - C1c]]),"")</f>
        <v>2.6666666666666665</v>
      </c>
      <c r="AL143" s="14">
        <v>2</v>
      </c>
      <c r="AM143" s="14">
        <v>2</v>
      </c>
      <c r="AN143" s="14">
        <v>2</v>
      </c>
      <c r="AO143" s="14">
        <f>IFERROR(AVERAGE(Tabel1[[#This Row],[Up - C1]:[Up - C4]]),"")</f>
        <v>2.1666666666666665</v>
      </c>
      <c r="AP143" s="14">
        <v>3</v>
      </c>
      <c r="AQ143" s="14">
        <f>IFERROR(AVERAGE(Tabel1[[#This Row],[Up - F1a]:[Up - F1a]]),"")</f>
        <v>3</v>
      </c>
      <c r="AR143" s="14">
        <v>1</v>
      </c>
      <c r="AS143" s="14">
        <v>2</v>
      </c>
      <c r="AT143" s="14">
        <f>IFERROR(AVERAGE(Tabel1[[#This Row],[Up - F2a]:[Up - F2b]]),"")</f>
        <v>1.5</v>
      </c>
      <c r="AU143" s="14">
        <v>4</v>
      </c>
      <c r="AV143" s="14">
        <v>3</v>
      </c>
      <c r="AW143" s="14">
        <f>IFERROR(AVERAGE(Tabel1[[#This Row],[Up - F3a]:[Up - F3b]]),"")</f>
        <v>3.5</v>
      </c>
      <c r="AX143" s="14">
        <v>2</v>
      </c>
      <c r="AY143" s="14">
        <f>IFERROR(AVERAGE(Tabel1[[#This Row],[Up - F1]],Tabel1[[#This Row],[Up - F2]],Tabel1[[#This Row],[Up - F3]],Tabel1[[#This Row],[Up - F4]]),"")</f>
        <v>2.5</v>
      </c>
      <c r="AZ143" s="14">
        <v>3</v>
      </c>
      <c r="BA143" s="14">
        <v>2</v>
      </c>
      <c r="BB143" s="14">
        <f>IFERROR(AVERAGE(Tabel1[[#This Row],[Up - V1a]:[Up - V1b]]),"")</f>
        <v>2.5</v>
      </c>
      <c r="BC143" s="14">
        <v>2</v>
      </c>
      <c r="BD143" s="14">
        <v>2</v>
      </c>
      <c r="BE143" s="14">
        <v>2</v>
      </c>
      <c r="BF143" s="14">
        <f>IFERROR(AVERAGE(Tabel1[[#This Row],[Up - V2a]:[Up - V2c]]),"")</f>
        <v>2</v>
      </c>
      <c r="BG143" s="14">
        <v>2</v>
      </c>
      <c r="BH143" s="14">
        <v>4</v>
      </c>
      <c r="BI143" s="14">
        <f>IFERROR(AVERAGE(Tabel1[[#This Row],[Up - V3a]:[Up - V3b]]),"")</f>
        <v>3</v>
      </c>
      <c r="BJ143" s="14">
        <v>3</v>
      </c>
      <c r="BK143" s="14">
        <f>IFERROR(AVERAGE(Tabel1[[#This Row],[Up - V1]],Tabel1[[#This Row],[Up - V2]],Tabel1[[#This Row],[Up - V3]],Tabel1[[#This Row],[Up - V4]]),"")</f>
        <v>2.625</v>
      </c>
      <c r="BL143" s="14">
        <v>2</v>
      </c>
      <c r="BM143" s="14">
        <v>4</v>
      </c>
      <c r="BN143" s="14">
        <v>2</v>
      </c>
      <c r="BO143" s="14">
        <v>2</v>
      </c>
      <c r="BP143" s="14">
        <f>IFERROR(AVERAGE(Tabel1[[#This Row],[Up - A1a]:[Up - A1d]]),"")</f>
        <v>2.5</v>
      </c>
      <c r="BQ143" s="14">
        <v>2</v>
      </c>
      <c r="BR143" s="14">
        <v>4</v>
      </c>
      <c r="BS143" s="14">
        <f>IFERROR(AVERAGE(Tabel1[[#This Row],[Up - A2a]:[Up - A2b]]),"")</f>
        <v>3</v>
      </c>
      <c r="BT143" s="14">
        <v>3</v>
      </c>
      <c r="BU143" s="14">
        <f>IFERROR(AVERAGE(Tabel1[[#This Row],[Up - A3a]:[Up - A3a]]),"")</f>
        <v>3</v>
      </c>
      <c r="BV143" s="14">
        <v>2</v>
      </c>
      <c r="BW143" s="14">
        <f>IFERROR(AVERAGE(Tabel1[[#This Row],[Up - A1]],Tabel1[[#This Row],[Up - A2]],Tabel1[[#This Row],[Up - A3]]),"")</f>
        <v>2.8333333333333335</v>
      </c>
      <c r="BX143" s="14">
        <v>3</v>
      </c>
      <c r="BY143" s="14">
        <v>4</v>
      </c>
      <c r="BZ143" s="14">
        <f>IFERROR(AVERAGE(Tabel1[[#This Row],[In - R1a]:[In - R1b]]),"")</f>
        <v>3.5</v>
      </c>
      <c r="CA143" s="14">
        <v>4</v>
      </c>
      <c r="CB143" s="14">
        <v>4</v>
      </c>
      <c r="CC143" s="14" t="s">
        <v>189</v>
      </c>
      <c r="CD143" s="14">
        <v>3</v>
      </c>
      <c r="CE143" s="14">
        <f>IFERROR(AVERAGE(Tabel1[[#This Row],[In - R1]:[In - R5]]),"")</f>
        <v>3.625</v>
      </c>
      <c r="CF143" s="14">
        <v>4</v>
      </c>
      <c r="CG143" s="14">
        <v>4</v>
      </c>
      <c r="CH143" s="14">
        <v>4</v>
      </c>
      <c r="CI143" s="14">
        <f>IFERROR(AVERAGE(Tabel1[[#This Row],[In - C1a]:[In - C1c]]),"")</f>
        <v>4</v>
      </c>
      <c r="CJ143" s="14">
        <v>2</v>
      </c>
      <c r="CK143" s="14">
        <v>3</v>
      </c>
      <c r="CL143" s="14">
        <v>2</v>
      </c>
      <c r="CM143" s="14">
        <f>IFERROR(AVERAGE(Tabel1[[#This Row],[In - C1]:[In - C4]]),"")</f>
        <v>2.75</v>
      </c>
      <c r="CN143" s="14">
        <v>3</v>
      </c>
      <c r="CO143" s="14">
        <v>3</v>
      </c>
      <c r="CP143" s="14">
        <v>1</v>
      </c>
      <c r="CQ143" s="14">
        <f>IFERROR(AVERAGE(Tabel1[[#This Row],[In - F1a]:[In - F1c]]),"")</f>
        <v>2.3333333333333335</v>
      </c>
      <c r="CR143" s="14" t="s">
        <v>189</v>
      </c>
      <c r="CS143" s="14" t="s">
        <v>189</v>
      </c>
      <c r="CT143" s="14" t="str">
        <f>IFERROR(AVERAGE(Tabel1[[#This Row],[In - F2a]:[In - F2b]]),"")</f>
        <v/>
      </c>
      <c r="CU143" s="14" t="s">
        <v>189</v>
      </c>
      <c r="CV143" s="14" t="str">
        <f>IFERROR(AVERAGE(Tabel1[[#This Row],[In - F3a]:[In - F3a]]),"")</f>
        <v/>
      </c>
      <c r="CW143" s="14">
        <v>2</v>
      </c>
      <c r="CX143" s="14">
        <f>IFERROR(AVERAGE(Tabel1[[#This Row],[In - F1]],Tabel1[[#This Row],[In - F2]],Tabel1[[#This Row],[In - F3]],Tabel1[[#This Row],[In - F4]]),"")</f>
        <v>2.166666666666667</v>
      </c>
      <c r="CY143" s="14">
        <v>2</v>
      </c>
      <c r="CZ143" s="14">
        <v>3</v>
      </c>
      <c r="DA143" s="14">
        <v>2</v>
      </c>
      <c r="DB143" s="14">
        <f>IFERROR(AVERAGE(Tabel1[[#This Row],[In - V1a]:[In - V1c]]),"")</f>
        <v>2.3333333333333335</v>
      </c>
      <c r="DC143" s="14">
        <v>2</v>
      </c>
      <c r="DD143" s="14">
        <v>2</v>
      </c>
      <c r="DE143" s="14">
        <v>2</v>
      </c>
      <c r="DF143" s="14">
        <f>IFERROR(AVERAGE(Tabel1[[#This Row],[In - V2a]:[In - V2c]]),"")</f>
        <v>2</v>
      </c>
      <c r="DG143" s="14">
        <v>2</v>
      </c>
      <c r="DH143" s="14">
        <v>3</v>
      </c>
      <c r="DI143" s="14">
        <f>IFERROR(AVERAGE(Tabel1[[#This Row],[In - V3a]:[In - V3b]]),"")</f>
        <v>2.5</v>
      </c>
      <c r="DJ143" s="14">
        <v>3</v>
      </c>
      <c r="DK143" s="14">
        <f>IFERROR(AVERAGE(Tabel1[[#This Row],[In - V1]],Tabel1[[#This Row],[In - V2]],Tabel1[[#This Row],[In - V3]],Tabel1[[#This Row],[In - V4]]),"")</f>
        <v>2.4583333333333335</v>
      </c>
      <c r="DL143" s="14">
        <v>3</v>
      </c>
      <c r="DM143" s="14">
        <v>4</v>
      </c>
      <c r="DN143" s="14">
        <f>IFERROR(AVERAGE(Tabel1[[#This Row],[In - A1a]:[In - A1b]]),"")</f>
        <v>3.5</v>
      </c>
      <c r="DO143" s="14" t="s">
        <v>189</v>
      </c>
      <c r="DP143" s="14">
        <v>3</v>
      </c>
      <c r="DQ143" s="14">
        <f>IFERROR(AVERAGE(Tabel1[[#This Row],[In - A2a]:[In - A2b]]),"")</f>
        <v>3</v>
      </c>
      <c r="DR143" s="14">
        <v>4</v>
      </c>
      <c r="DS143" s="14">
        <v>2</v>
      </c>
      <c r="DT143" s="14">
        <f>IFERROR(AVERAGE(Tabel1[[#This Row],[In - A3a]:[In - A3a]]),"")</f>
        <v>4</v>
      </c>
      <c r="DU143" s="14">
        <v>2</v>
      </c>
      <c r="DV143" s="14">
        <f>IFERROR(AVERAGE(Tabel1[[#This Row],[In - A1]],Tabel1[[#This Row],[In - A2]],Tabel1[[#This Row],[In - A3]],Tabel1[[#This Row],[In - A4]]),"")</f>
        <v>3.125</v>
      </c>
      <c r="DW143" s="14">
        <v>5</v>
      </c>
      <c r="DX143" s="14">
        <v>5</v>
      </c>
      <c r="DY143" s="14">
        <v>3</v>
      </c>
      <c r="DZ143" s="14">
        <f>IFERROR(AVERAGE(Tabel1[[#This Row],[Do - R1a]:[Do - R1c]]),"")</f>
        <v>4.333333333333333</v>
      </c>
      <c r="EA143" s="14">
        <v>3</v>
      </c>
      <c r="EB143" s="14">
        <v>3</v>
      </c>
      <c r="EC143" s="14">
        <v>3</v>
      </c>
      <c r="ED143" s="14">
        <v>2</v>
      </c>
      <c r="EE143" s="14">
        <f>IFERROR(AVERAGE(Tabel1[[#This Row],[Do - R1]:[Do - R5]]),"")</f>
        <v>3.0666666666666664</v>
      </c>
      <c r="EF143" s="14">
        <v>4</v>
      </c>
      <c r="EG143" s="14">
        <v>3</v>
      </c>
      <c r="EH143" s="14">
        <v>3</v>
      </c>
      <c r="EI143" s="14">
        <f>IFERROR(AVERAGE(Tabel1[[#This Row],[Do - C1a]:[Do - C1c]]),"")</f>
        <v>3.3333333333333335</v>
      </c>
      <c r="EJ143" s="14">
        <v>2</v>
      </c>
      <c r="EK143" s="14">
        <v>2</v>
      </c>
      <c r="EL143" s="14">
        <v>2</v>
      </c>
      <c r="EM143" s="14">
        <f>IFERROR(AVERAGE(Tabel1[[#This Row],[Do - C1]:[Do - C4]]),"")</f>
        <v>2.3333333333333335</v>
      </c>
      <c r="EN143" s="14">
        <v>2</v>
      </c>
      <c r="EO143" s="14">
        <v>3</v>
      </c>
      <c r="EP143" s="14">
        <v>3</v>
      </c>
      <c r="EQ143" s="14">
        <f>IFERROR(AVERAGE(Tabel1[[#This Row],[Do - F1a]:[Do - F1c]]),"")</f>
        <v>2.6666666666666665</v>
      </c>
      <c r="ER143" s="14">
        <v>3</v>
      </c>
      <c r="ES143" s="14">
        <f>IFERROR(AVERAGE(Tabel1[[#This Row],[Do - F2a]:[Do - F2a]]),"")</f>
        <v>3</v>
      </c>
      <c r="ET143" s="14">
        <v>3</v>
      </c>
      <c r="EU143" s="14">
        <v>3</v>
      </c>
      <c r="EV143" s="14">
        <f>IFERROR(AVERAGE(Tabel1[[#This Row],[Do - F3a]:[Do - F3b]]),"")</f>
        <v>3</v>
      </c>
      <c r="EW143" s="14">
        <v>2</v>
      </c>
      <c r="EX143" s="14">
        <f>IFERROR(AVERAGE(Tabel1[[#This Row],[Do - F1]],Tabel1[[#This Row],[Do - F2]],Tabel1[[#This Row],[Do - F3]],Tabel1[[#This Row],[Do - F4]]),"")</f>
        <v>2.6666666666666665</v>
      </c>
      <c r="EY143" s="14">
        <v>2</v>
      </c>
      <c r="EZ143" s="14">
        <v>2</v>
      </c>
      <c r="FA143" s="14">
        <v>3</v>
      </c>
      <c r="FB143" s="14">
        <f>IFERROR(AVERAGE(Tabel1[[#This Row],[Do - V1a]:[Do - V1c]]),"")</f>
        <v>2.3333333333333335</v>
      </c>
      <c r="FC143" s="14">
        <v>4</v>
      </c>
      <c r="FD143" s="14">
        <v>1</v>
      </c>
      <c r="FE143" s="14">
        <f>IFERROR(AVERAGE(Tabel1[[#This Row],[Do - V2a]:[Do - V2b]]),"")</f>
        <v>2.5</v>
      </c>
      <c r="FF143" s="14">
        <v>2</v>
      </c>
      <c r="FG143" s="14">
        <f>IFERROR(AVERAGE(Tabel1[[#This Row],[Do - V3a]:[Do - V3a]]),"")</f>
        <v>2</v>
      </c>
      <c r="FH143" s="14">
        <v>3</v>
      </c>
      <c r="FI143" s="14">
        <f>IFERROR(AVERAGE(Tabel1[[#This Row],[Do - V1]],Tabel1[[#This Row],[Do - V2]],Tabel1[[#This Row],[Do - V3]],Tabel1[[#This Row],[Do - V4]]),"")</f>
        <v>2.4583333333333335</v>
      </c>
      <c r="FJ143" s="14">
        <v>5</v>
      </c>
      <c r="FK143" s="14">
        <v>2</v>
      </c>
      <c r="FL143" s="14">
        <v>2</v>
      </c>
      <c r="FM143" s="14">
        <f>IFERROR(AVERAGE(Tabel1[[#This Row],[Do - A1a]:[Do - A1c]]),"")</f>
        <v>3</v>
      </c>
      <c r="FN143" s="14">
        <v>2</v>
      </c>
      <c r="FO143" s="14">
        <v>4</v>
      </c>
      <c r="FP143" s="14">
        <f>IFERROR(AVERAGE(Tabel1[[#This Row],[Do - A2a]:[Do - A2b]]),"")</f>
        <v>3</v>
      </c>
      <c r="FQ143" s="14">
        <v>3</v>
      </c>
      <c r="FR143" s="14">
        <f>IFERROR(AVERAGE(Tabel1[[#This Row],[Do - A3a]:[Do - A3a]]),"")</f>
        <v>3</v>
      </c>
      <c r="FS143" s="14">
        <v>2</v>
      </c>
      <c r="FT143" s="14">
        <f>IFERROR(AVERAGE(Tabel1[[#This Row],[Do - A1]],Tabel1[[#This Row],[Do - A2]],Tabel1[[#This Row],[Do - A3]],Tabel1[[#This Row],[Do - A4]]),"")</f>
        <v>2.75</v>
      </c>
      <c r="FU14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2.6572222222222224</v>
      </c>
      <c r="FV143" s="16" t="s">
        <v>871</v>
      </c>
      <c r="FW143" t="b">
        <v>1</v>
      </c>
    </row>
    <row r="144" spans="1:179" x14ac:dyDescent="0.3">
      <c r="A144" s="13">
        <v>45035.276377314818</v>
      </c>
      <c r="B144" t="b">
        <v>0</v>
      </c>
      <c r="C144" s="14" t="s">
        <v>872</v>
      </c>
      <c r="D144" s="14" t="s">
        <v>873</v>
      </c>
      <c r="E144" s="14" t="s">
        <v>556</v>
      </c>
      <c r="F144" s="14" t="s">
        <v>184</v>
      </c>
      <c r="G144" s="14" t="s">
        <v>874</v>
      </c>
      <c r="H144" s="14" t="s">
        <v>222</v>
      </c>
      <c r="I144" s="14" t="s">
        <v>195</v>
      </c>
      <c r="J144" s="14" t="s">
        <v>261</v>
      </c>
      <c r="K144" s="14" t="s">
        <v>202</v>
      </c>
      <c r="L144" s="14" t="s">
        <v>218</v>
      </c>
      <c r="M144" s="14" t="s">
        <v>188</v>
      </c>
      <c r="N144" s="14" t="s">
        <v>262</v>
      </c>
      <c r="O144" s="14" t="s">
        <v>200</v>
      </c>
      <c r="P144" s="17" t="s">
        <v>304</v>
      </c>
      <c r="Q144" s="14" t="s">
        <v>201</v>
      </c>
      <c r="R144" s="14" t="s">
        <v>201</v>
      </c>
      <c r="S144" s="14" t="s">
        <v>202</v>
      </c>
      <c r="T144" s="14" t="s">
        <v>236</v>
      </c>
      <c r="U144" s="14" t="s">
        <v>285</v>
      </c>
      <c r="V144" s="14" t="s">
        <v>359</v>
      </c>
      <c r="W144" s="14" t="s">
        <v>207</v>
      </c>
      <c r="X144" s="14" t="s">
        <v>207</v>
      </c>
      <c r="Y144" s="14">
        <v>4</v>
      </c>
      <c r="Z144" s="14">
        <v>3</v>
      </c>
      <c r="AA144" s="14">
        <v>3</v>
      </c>
      <c r="AB144" s="15">
        <f>IFERROR(AVERAGE(Tabel1[[#This Row],[Up - R1a]:[Up - R1c]]),"")</f>
        <v>3.3333333333333335</v>
      </c>
      <c r="AC144" s="14">
        <v>3</v>
      </c>
      <c r="AD144" s="14">
        <v>2</v>
      </c>
      <c r="AE144" s="14">
        <v>3</v>
      </c>
      <c r="AF144" s="14">
        <v>4</v>
      </c>
      <c r="AG144" s="14">
        <f>IFERROR(AVERAGE(Tabel1[[#This Row],[Up - R1]:[Up - R5]]),"")</f>
        <v>3.0666666666666669</v>
      </c>
      <c r="AH144" s="14">
        <v>4</v>
      </c>
      <c r="AI144" s="14">
        <v>4</v>
      </c>
      <c r="AJ144" s="14">
        <v>3</v>
      </c>
      <c r="AK144" s="14">
        <f>IFERROR(AVERAGE(Tabel1[[#This Row],[Up - C1a]:[Up - C1c]]),"")</f>
        <v>3.6666666666666665</v>
      </c>
      <c r="AL144" s="14">
        <v>3</v>
      </c>
      <c r="AM144" s="14">
        <v>2</v>
      </c>
      <c r="AN144" s="14">
        <v>2</v>
      </c>
      <c r="AO144" s="14">
        <f>IFERROR(AVERAGE(Tabel1[[#This Row],[Up - C1]:[Up - C4]]),"")</f>
        <v>2.6666666666666665</v>
      </c>
      <c r="AP144" s="14">
        <v>3</v>
      </c>
      <c r="AQ144" s="14">
        <f>IFERROR(AVERAGE(Tabel1[[#This Row],[Up - F1a]:[Up - F1a]]),"")</f>
        <v>3</v>
      </c>
      <c r="AR144" s="14">
        <v>4</v>
      </c>
      <c r="AS144" s="14">
        <v>2</v>
      </c>
      <c r="AT144" s="14">
        <f>IFERROR(AVERAGE(Tabel1[[#This Row],[Up - F2a]:[Up - F2b]]),"")</f>
        <v>3</v>
      </c>
      <c r="AU144" s="14">
        <v>2</v>
      </c>
      <c r="AV144" s="14">
        <v>2</v>
      </c>
      <c r="AW144" s="14">
        <f>IFERROR(AVERAGE(Tabel1[[#This Row],[Up - F3a]:[Up - F3b]]),"")</f>
        <v>2</v>
      </c>
      <c r="AX144" s="14">
        <v>3</v>
      </c>
      <c r="AY144" s="14">
        <f>IFERROR(AVERAGE(Tabel1[[#This Row],[Up - F1]],Tabel1[[#This Row],[Up - F2]],Tabel1[[#This Row],[Up - F3]],Tabel1[[#This Row],[Up - F4]]),"")</f>
        <v>2.75</v>
      </c>
      <c r="AZ144" s="14">
        <v>2</v>
      </c>
      <c r="BA144" s="14">
        <v>4</v>
      </c>
      <c r="BB144" s="14">
        <f>IFERROR(AVERAGE(Tabel1[[#This Row],[Up - V1a]:[Up - V1b]]),"")</f>
        <v>3</v>
      </c>
      <c r="BC144" s="14">
        <v>4</v>
      </c>
      <c r="BD144" s="14">
        <v>3</v>
      </c>
      <c r="BE144" s="14">
        <v>4</v>
      </c>
      <c r="BF144" s="14">
        <f>IFERROR(AVERAGE(Tabel1[[#This Row],[Up - V2a]:[Up - V2c]]),"")</f>
        <v>3.6666666666666665</v>
      </c>
      <c r="BG144" s="14">
        <v>3</v>
      </c>
      <c r="BH144" s="14">
        <v>2</v>
      </c>
      <c r="BI144" s="14">
        <f>IFERROR(AVERAGE(Tabel1[[#This Row],[Up - V3a]:[Up - V3b]]),"")</f>
        <v>2.5</v>
      </c>
      <c r="BJ144" s="14">
        <v>4</v>
      </c>
      <c r="BK144" s="14">
        <f>IFERROR(AVERAGE(Tabel1[[#This Row],[Up - V1]],Tabel1[[#This Row],[Up - V2]],Tabel1[[#This Row],[Up - V3]],Tabel1[[#This Row],[Up - V4]]),"")</f>
        <v>3.2916666666666665</v>
      </c>
      <c r="BL144" s="14">
        <v>4</v>
      </c>
      <c r="BM144" s="14">
        <v>4</v>
      </c>
      <c r="BN144" s="14">
        <v>4</v>
      </c>
      <c r="BO144" s="14">
        <v>4</v>
      </c>
      <c r="BP144" s="14">
        <f>IFERROR(AVERAGE(Tabel1[[#This Row],[Up - A1a]:[Up - A1d]]),"")</f>
        <v>4</v>
      </c>
      <c r="BQ144" s="14">
        <v>4</v>
      </c>
      <c r="BR144" s="14">
        <v>2</v>
      </c>
      <c r="BS144" s="14">
        <f>IFERROR(AVERAGE(Tabel1[[#This Row],[Up - A2a]:[Up - A2b]]),"")</f>
        <v>3</v>
      </c>
      <c r="BT144" s="14">
        <v>4</v>
      </c>
      <c r="BU144" s="14">
        <f>IFERROR(AVERAGE(Tabel1[[#This Row],[Up - A3a]:[Up - A3a]]),"")</f>
        <v>4</v>
      </c>
      <c r="BV144" s="14">
        <v>4</v>
      </c>
      <c r="BW144" s="14">
        <f>IFERROR(AVERAGE(Tabel1[[#This Row],[Up - A1]],Tabel1[[#This Row],[Up - A2]],Tabel1[[#This Row],[Up - A3]]),"")</f>
        <v>3.6666666666666665</v>
      </c>
      <c r="BX144" s="14">
        <v>2</v>
      </c>
      <c r="BY144" s="14">
        <v>3</v>
      </c>
      <c r="BZ144" s="14">
        <f>IFERROR(AVERAGE(Tabel1[[#This Row],[In - R1a]:[In - R1b]]),"")</f>
        <v>2.5</v>
      </c>
      <c r="CA144" s="14">
        <v>3</v>
      </c>
      <c r="CB144" s="14">
        <v>2</v>
      </c>
      <c r="CC144" s="14">
        <v>2</v>
      </c>
      <c r="CD144" s="14">
        <v>4</v>
      </c>
      <c r="CE144" s="14">
        <f>IFERROR(AVERAGE(Tabel1[[#This Row],[In - R1]:[In - R5]]),"")</f>
        <v>2.7</v>
      </c>
      <c r="CF144" s="14">
        <v>4</v>
      </c>
      <c r="CG144" s="14">
        <v>4</v>
      </c>
      <c r="CH144" s="14">
        <v>4</v>
      </c>
      <c r="CI144" s="14">
        <f>IFERROR(AVERAGE(Tabel1[[#This Row],[In - C1a]:[In - C1c]]),"")</f>
        <v>4</v>
      </c>
      <c r="CJ144" s="14">
        <v>4</v>
      </c>
      <c r="CK144" s="14">
        <v>1</v>
      </c>
      <c r="CL144" s="14">
        <v>2</v>
      </c>
      <c r="CM144" s="14">
        <f>IFERROR(AVERAGE(Tabel1[[#This Row],[In - C1]:[In - C4]]),"")</f>
        <v>2.75</v>
      </c>
      <c r="CN144" s="14">
        <v>4</v>
      </c>
      <c r="CO144" s="14">
        <v>3</v>
      </c>
      <c r="CP144" s="14">
        <v>2</v>
      </c>
      <c r="CQ144" s="14">
        <f>IFERROR(AVERAGE(Tabel1[[#This Row],[In - F1a]:[In - F1c]]),"")</f>
        <v>3</v>
      </c>
      <c r="CR144" s="14">
        <v>5</v>
      </c>
      <c r="CS144" s="14">
        <v>3</v>
      </c>
      <c r="CT144" s="14">
        <f>IFERROR(AVERAGE(Tabel1[[#This Row],[In - F2a]:[In - F2b]]),"")</f>
        <v>4</v>
      </c>
      <c r="CU144" s="14">
        <v>4</v>
      </c>
      <c r="CV144" s="14">
        <f>IFERROR(AVERAGE(Tabel1[[#This Row],[In - F3a]:[In - F3a]]),"")</f>
        <v>4</v>
      </c>
      <c r="CW144" s="14">
        <v>3</v>
      </c>
      <c r="CX144" s="14">
        <f>IFERROR(AVERAGE(Tabel1[[#This Row],[In - F1]],Tabel1[[#This Row],[In - F2]],Tabel1[[#This Row],[In - F3]],Tabel1[[#This Row],[In - F4]]),"")</f>
        <v>3.5</v>
      </c>
      <c r="CY144" s="14">
        <v>5</v>
      </c>
      <c r="CZ144" s="14">
        <v>3</v>
      </c>
      <c r="DA144" s="14">
        <v>4</v>
      </c>
      <c r="DB144" s="14">
        <f>IFERROR(AVERAGE(Tabel1[[#This Row],[In - V1a]:[In - V1c]]),"")</f>
        <v>4</v>
      </c>
      <c r="DC144" s="14">
        <v>4</v>
      </c>
      <c r="DD144" s="14">
        <v>4</v>
      </c>
      <c r="DE144" s="14">
        <v>4</v>
      </c>
      <c r="DF144" s="14">
        <f>IFERROR(AVERAGE(Tabel1[[#This Row],[In - V2a]:[In - V2c]]),"")</f>
        <v>4</v>
      </c>
      <c r="DG144" s="14">
        <v>2</v>
      </c>
      <c r="DH144" s="14">
        <v>4</v>
      </c>
      <c r="DI144" s="14">
        <f>IFERROR(AVERAGE(Tabel1[[#This Row],[In - V3a]:[In - V3b]]),"")</f>
        <v>3</v>
      </c>
      <c r="DJ144" s="14">
        <v>5</v>
      </c>
      <c r="DK144" s="14">
        <f>IFERROR(AVERAGE(Tabel1[[#This Row],[In - V1]],Tabel1[[#This Row],[In - V2]],Tabel1[[#This Row],[In - V3]],Tabel1[[#This Row],[In - V4]]),"")</f>
        <v>4</v>
      </c>
      <c r="DL144" s="14">
        <v>5</v>
      </c>
      <c r="DM144" s="14">
        <v>4</v>
      </c>
      <c r="DN144" s="14">
        <f>IFERROR(AVERAGE(Tabel1[[#This Row],[In - A1a]:[In - A1b]]),"")</f>
        <v>4.5</v>
      </c>
      <c r="DO144" s="14">
        <v>4</v>
      </c>
      <c r="DP144" s="14">
        <v>3</v>
      </c>
      <c r="DQ144" s="14">
        <f>IFERROR(AVERAGE(Tabel1[[#This Row],[In - A2a]:[In - A2b]]),"")</f>
        <v>3.5</v>
      </c>
      <c r="DR144" s="14">
        <v>5</v>
      </c>
      <c r="DS144" s="14">
        <v>3</v>
      </c>
      <c r="DT144" s="14">
        <f>IFERROR(AVERAGE(Tabel1[[#This Row],[In - A3a]:[In - A3a]]),"")</f>
        <v>5</v>
      </c>
      <c r="DU144" s="14">
        <v>4</v>
      </c>
      <c r="DV144" s="14">
        <f>IFERROR(AVERAGE(Tabel1[[#This Row],[In - A1]],Tabel1[[#This Row],[In - A2]],Tabel1[[#This Row],[In - A3]],Tabel1[[#This Row],[In - A4]]),"")</f>
        <v>4.25</v>
      </c>
      <c r="DW144" s="14">
        <v>2</v>
      </c>
      <c r="DX144" s="14">
        <v>5</v>
      </c>
      <c r="DY144" s="14">
        <v>2</v>
      </c>
      <c r="DZ144" s="14">
        <f>IFERROR(AVERAGE(Tabel1[[#This Row],[Do - R1a]:[Do - R1c]]),"")</f>
        <v>3</v>
      </c>
      <c r="EA144" s="14">
        <v>3</v>
      </c>
      <c r="EB144" s="14">
        <v>2</v>
      </c>
      <c r="EC144" s="14">
        <v>3</v>
      </c>
      <c r="ED144" s="14">
        <v>4</v>
      </c>
      <c r="EE144" s="14">
        <f>IFERROR(AVERAGE(Tabel1[[#This Row],[Do - R1]:[Do - R5]]),"")</f>
        <v>3</v>
      </c>
      <c r="EF144" s="14">
        <v>4</v>
      </c>
      <c r="EG144" s="14">
        <v>4</v>
      </c>
      <c r="EH144" s="14">
        <v>4</v>
      </c>
      <c r="EI144" s="14">
        <f>IFERROR(AVERAGE(Tabel1[[#This Row],[Do - C1a]:[Do - C1c]]),"")</f>
        <v>4</v>
      </c>
      <c r="EJ144" s="14">
        <v>4</v>
      </c>
      <c r="EK144" s="14">
        <v>1</v>
      </c>
      <c r="EL144" s="14">
        <v>3</v>
      </c>
      <c r="EM144" s="14">
        <f>IFERROR(AVERAGE(Tabel1[[#This Row],[Do - C1]:[Do - C4]]),"")</f>
        <v>3</v>
      </c>
      <c r="EN144" s="14">
        <v>3</v>
      </c>
      <c r="EO144" s="14">
        <v>2</v>
      </c>
      <c r="EP144" s="14">
        <v>2</v>
      </c>
      <c r="EQ144" s="14">
        <f>IFERROR(AVERAGE(Tabel1[[#This Row],[Do - F1a]:[Do - F1c]]),"")</f>
        <v>2.3333333333333335</v>
      </c>
      <c r="ER144" s="14">
        <v>4</v>
      </c>
      <c r="ES144" s="14">
        <f>IFERROR(AVERAGE(Tabel1[[#This Row],[Do - F2a]:[Do - F2a]]),"")</f>
        <v>4</v>
      </c>
      <c r="ET144" s="14">
        <v>2</v>
      </c>
      <c r="EU144" s="14">
        <v>4</v>
      </c>
      <c r="EV144" s="14">
        <f>IFERROR(AVERAGE(Tabel1[[#This Row],[Do - F3a]:[Do - F3b]]),"")</f>
        <v>3</v>
      </c>
      <c r="EW144" s="14">
        <v>3</v>
      </c>
      <c r="EX144" s="14">
        <f>IFERROR(AVERAGE(Tabel1[[#This Row],[Do - F1]],Tabel1[[#This Row],[Do - F2]],Tabel1[[#This Row],[Do - F3]],Tabel1[[#This Row],[Do - F4]]),"")</f>
        <v>3.0833333333333335</v>
      </c>
      <c r="EY144" s="14">
        <v>4</v>
      </c>
      <c r="EZ144" s="14">
        <v>3</v>
      </c>
      <c r="FA144" s="14">
        <v>4</v>
      </c>
      <c r="FB144" s="14">
        <f>IFERROR(AVERAGE(Tabel1[[#This Row],[Do - V1a]:[Do - V1c]]),"")</f>
        <v>3.6666666666666665</v>
      </c>
      <c r="FC144" s="14">
        <v>4</v>
      </c>
      <c r="FD144" s="14">
        <v>4</v>
      </c>
      <c r="FE144" s="14">
        <f>IFERROR(AVERAGE(Tabel1[[#This Row],[Do - V2a]:[Do - V2b]]),"")</f>
        <v>4</v>
      </c>
      <c r="FF144" s="14">
        <v>3</v>
      </c>
      <c r="FG144" s="14">
        <f>IFERROR(AVERAGE(Tabel1[[#This Row],[Do - V3a]:[Do - V3a]]),"")</f>
        <v>3</v>
      </c>
      <c r="FH144" s="14">
        <v>4</v>
      </c>
      <c r="FI144" s="14">
        <f>IFERROR(AVERAGE(Tabel1[[#This Row],[Do - V1]],Tabel1[[#This Row],[Do - V2]],Tabel1[[#This Row],[Do - V3]],Tabel1[[#This Row],[Do - V4]]),"")</f>
        <v>3.6666666666666665</v>
      </c>
      <c r="FJ144" s="14">
        <v>4</v>
      </c>
      <c r="FK144" s="14">
        <v>3</v>
      </c>
      <c r="FL144" s="14">
        <v>4</v>
      </c>
      <c r="FM144" s="14">
        <f>IFERROR(AVERAGE(Tabel1[[#This Row],[Do - A1a]:[Do - A1c]]),"")</f>
        <v>3.6666666666666665</v>
      </c>
      <c r="FN144" s="14">
        <v>3</v>
      </c>
      <c r="FO144" s="14">
        <v>2</v>
      </c>
      <c r="FP144" s="14">
        <f>IFERROR(AVERAGE(Tabel1[[#This Row],[Do - A2a]:[Do - A2b]]),"")</f>
        <v>2.5</v>
      </c>
      <c r="FQ144" s="14">
        <v>5</v>
      </c>
      <c r="FR144" s="14">
        <f>IFERROR(AVERAGE(Tabel1[[#This Row],[Do - A3a]:[Do - A3a]]),"")</f>
        <v>5</v>
      </c>
      <c r="FS144" s="14">
        <v>4</v>
      </c>
      <c r="FT144" s="14">
        <f>IFERROR(AVERAGE(Tabel1[[#This Row],[Do - A1]],Tabel1[[#This Row],[Do - A2]],Tabel1[[#This Row],[Do - A3]],Tabel1[[#This Row],[Do - A4]]),"")</f>
        <v>3.7916666666666665</v>
      </c>
      <c r="FU14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3.2788888888888885</v>
      </c>
      <c r="FV144" s="16" t="s">
        <v>875</v>
      </c>
      <c r="FW144" t="b">
        <v>1</v>
      </c>
    </row>
    <row r="145" spans="1:179" x14ac:dyDescent="0.3">
      <c r="A145" s="13">
        <v>45037.56890046296</v>
      </c>
      <c r="B145" t="b">
        <v>0</v>
      </c>
      <c r="C145" s="14" t="s">
        <v>876</v>
      </c>
      <c r="D145" s="14" t="s">
        <v>877</v>
      </c>
      <c r="E145" s="14" t="s">
        <v>260</v>
      </c>
      <c r="F145" s="14" t="s">
        <v>184</v>
      </c>
      <c r="G145" s="14" t="s">
        <v>878</v>
      </c>
      <c r="H145" s="14" t="s">
        <v>194</v>
      </c>
      <c r="I145" s="14" t="s">
        <v>195</v>
      </c>
      <c r="J145" s="14" t="s">
        <v>261</v>
      </c>
      <c r="K145" s="14" t="s">
        <v>235</v>
      </c>
      <c r="L145" s="14" t="s">
        <v>249</v>
      </c>
      <c r="M145" s="14" t="s">
        <v>233</v>
      </c>
      <c r="N145" s="14" t="s">
        <v>262</v>
      </c>
      <c r="O145" s="14" t="s">
        <v>200</v>
      </c>
      <c r="P145" s="14"/>
      <c r="Q145" s="14"/>
      <c r="R145" s="14"/>
      <c r="S145" s="14"/>
      <c r="T145" s="14"/>
      <c r="U145" s="14" t="s">
        <v>285</v>
      </c>
      <c r="V145" s="14" t="s">
        <v>206</v>
      </c>
      <c r="W145" s="14" t="s">
        <v>207</v>
      </c>
      <c r="X145" s="14" t="s">
        <v>207</v>
      </c>
      <c r="Y145" s="14">
        <v>2</v>
      </c>
      <c r="Z145" s="14">
        <v>4</v>
      </c>
      <c r="AA145" s="14" t="s">
        <v>189</v>
      </c>
      <c r="AB145" s="15">
        <f>IFERROR(AVERAGE(Tabel1[[#This Row],[Up - R1a]:[Up - R1c]]),"")</f>
        <v>3</v>
      </c>
      <c r="AC145" s="14" t="s">
        <v>189</v>
      </c>
      <c r="AD145" s="14">
        <v>3</v>
      </c>
      <c r="AE145" s="14" t="s">
        <v>189</v>
      </c>
      <c r="AF145" s="14" t="s">
        <v>189</v>
      </c>
      <c r="AG145" s="14">
        <f>IFERROR(AVERAGE(Tabel1[[#This Row],[Up - R1]:[Up - R5]]),"")</f>
        <v>3</v>
      </c>
      <c r="AH145" s="14" t="s">
        <v>189</v>
      </c>
      <c r="AI145" s="14" t="s">
        <v>189</v>
      </c>
      <c r="AJ145" s="14" t="s">
        <v>189</v>
      </c>
      <c r="AK145" s="14" t="str">
        <f>IFERROR(AVERAGE(Tabel1[[#This Row],[Up - C1a]:[Up - C1c]]),"")</f>
        <v/>
      </c>
      <c r="AL145" s="14" t="s">
        <v>189</v>
      </c>
      <c r="AM145" s="14" t="s">
        <v>189</v>
      </c>
      <c r="AN145" s="14" t="s">
        <v>189</v>
      </c>
      <c r="AO145" s="14" t="str">
        <f>IFERROR(AVERAGE(Tabel1[[#This Row],[Up - C1]:[Up - C4]]),"")</f>
        <v/>
      </c>
      <c r="AP145" s="14" t="s">
        <v>189</v>
      </c>
      <c r="AQ145" s="14" t="str">
        <f>IFERROR(AVERAGE(Tabel1[[#This Row],[Up - F1a]:[Up - F1a]]),"")</f>
        <v/>
      </c>
      <c r="AR145" s="14" t="s">
        <v>189</v>
      </c>
      <c r="AS145" s="14" t="s">
        <v>189</v>
      </c>
      <c r="AT145" s="14" t="str">
        <f>IFERROR(AVERAGE(Tabel1[[#This Row],[Up - F2a]:[Up - F2b]]),"")</f>
        <v/>
      </c>
      <c r="AU145" s="14" t="s">
        <v>189</v>
      </c>
      <c r="AV145" s="14" t="s">
        <v>189</v>
      </c>
      <c r="AW145" s="14" t="str">
        <f>IFERROR(AVERAGE(Tabel1[[#This Row],[Up - F3a]:[Up - F3b]]),"")</f>
        <v/>
      </c>
      <c r="AX145" s="14" t="s">
        <v>189</v>
      </c>
      <c r="AY145" s="14" t="str">
        <f>IFERROR(AVERAGE(Tabel1[[#This Row],[Up - F1]],Tabel1[[#This Row],[Up - F2]],Tabel1[[#This Row],[Up - F3]],Tabel1[[#This Row],[Up - F4]]),"")</f>
        <v/>
      </c>
      <c r="AZ145" s="14" t="s">
        <v>189</v>
      </c>
      <c r="BA145" s="14" t="s">
        <v>189</v>
      </c>
      <c r="BB145" s="14" t="str">
        <f>IFERROR(AVERAGE(Tabel1[[#This Row],[Up - V1a]:[Up - V1b]]),"")</f>
        <v/>
      </c>
      <c r="BC145" s="14" t="s">
        <v>189</v>
      </c>
      <c r="BD145" s="14" t="s">
        <v>189</v>
      </c>
      <c r="BE145" s="14" t="s">
        <v>189</v>
      </c>
      <c r="BF145" s="14" t="str">
        <f>IFERROR(AVERAGE(Tabel1[[#This Row],[Up - V2a]:[Up - V2c]]),"")</f>
        <v/>
      </c>
      <c r="BG145" s="14" t="s">
        <v>189</v>
      </c>
      <c r="BH145" s="14" t="s">
        <v>189</v>
      </c>
      <c r="BI145" s="14" t="str">
        <f>IFERROR(AVERAGE(Tabel1[[#This Row],[Up - V3a]:[Up - V3b]]),"")</f>
        <v/>
      </c>
      <c r="BJ145" s="14" t="s">
        <v>189</v>
      </c>
      <c r="BK145" s="14" t="str">
        <f>IFERROR(AVERAGE(Tabel1[[#This Row],[Up - V1]],Tabel1[[#This Row],[Up - V2]],Tabel1[[#This Row],[Up - V3]],Tabel1[[#This Row],[Up - V4]]),"")</f>
        <v/>
      </c>
      <c r="BL145" s="14" t="s">
        <v>189</v>
      </c>
      <c r="BM145" s="14" t="s">
        <v>189</v>
      </c>
      <c r="BN145" s="14" t="s">
        <v>189</v>
      </c>
      <c r="BO145" s="14" t="s">
        <v>189</v>
      </c>
      <c r="BP145" s="14" t="str">
        <f>IFERROR(AVERAGE(Tabel1[[#This Row],[Up - A1a]:[Up - A1d]]),"")</f>
        <v/>
      </c>
      <c r="BQ145" s="14" t="s">
        <v>189</v>
      </c>
      <c r="BR145" s="14" t="s">
        <v>189</v>
      </c>
      <c r="BS145" s="14" t="str">
        <f>IFERROR(AVERAGE(Tabel1[[#This Row],[Up - A2a]:[Up - A2b]]),"")</f>
        <v/>
      </c>
      <c r="BT145" s="14" t="s">
        <v>189</v>
      </c>
      <c r="BU145" s="14" t="str">
        <f>IFERROR(AVERAGE(Tabel1[[#This Row],[Up - A3a]:[Up - A3a]]),"")</f>
        <v/>
      </c>
      <c r="BV145" s="14" t="s">
        <v>189</v>
      </c>
      <c r="BW145" s="14" t="str">
        <f>IFERROR(AVERAGE(Tabel1[[#This Row],[Up - A1]],Tabel1[[#This Row],[Up - A2]],Tabel1[[#This Row],[Up - A3]]),"")</f>
        <v/>
      </c>
      <c r="BX145" s="14">
        <v>3</v>
      </c>
      <c r="BY145" s="14">
        <v>3</v>
      </c>
      <c r="BZ145" s="14">
        <f>IFERROR(AVERAGE(Tabel1[[#This Row],[In - R1a]:[In - R1b]]),"")</f>
        <v>3</v>
      </c>
      <c r="CA145" s="14">
        <v>3</v>
      </c>
      <c r="CB145" s="14">
        <v>4</v>
      </c>
      <c r="CC145" s="14">
        <v>1</v>
      </c>
      <c r="CD145" s="14" t="s">
        <v>189</v>
      </c>
      <c r="CE145" s="14">
        <f>IFERROR(AVERAGE(Tabel1[[#This Row],[In - R1]:[In - R5]]),"")</f>
        <v>2.75</v>
      </c>
      <c r="CF145" s="14">
        <v>3</v>
      </c>
      <c r="CG145" s="14">
        <v>3</v>
      </c>
      <c r="CH145" s="14">
        <v>3</v>
      </c>
      <c r="CI145" s="14">
        <f>IFERROR(AVERAGE(Tabel1[[#This Row],[In - C1a]:[In - C1c]]),"")</f>
        <v>3</v>
      </c>
      <c r="CJ145" s="14">
        <v>3</v>
      </c>
      <c r="CK145" s="14">
        <v>3</v>
      </c>
      <c r="CL145" s="14">
        <v>4</v>
      </c>
      <c r="CM145" s="14">
        <f>IFERROR(AVERAGE(Tabel1[[#This Row],[In - C1]:[In - C4]]),"")</f>
        <v>3.25</v>
      </c>
      <c r="CN145" s="14">
        <v>4</v>
      </c>
      <c r="CO145" s="14">
        <v>3</v>
      </c>
      <c r="CP145" s="14">
        <v>2</v>
      </c>
      <c r="CQ145" s="14">
        <f>IFERROR(AVERAGE(Tabel1[[#This Row],[In - F1a]:[In - F1c]]),"")</f>
        <v>3</v>
      </c>
      <c r="CR145" s="14">
        <v>4</v>
      </c>
      <c r="CS145" s="14">
        <v>3</v>
      </c>
      <c r="CT145" s="14">
        <f>IFERROR(AVERAGE(Tabel1[[#This Row],[In - F2a]:[In - F2b]]),"")</f>
        <v>3.5</v>
      </c>
      <c r="CU145" s="14">
        <v>2</v>
      </c>
      <c r="CV145" s="14">
        <f>IFERROR(AVERAGE(Tabel1[[#This Row],[In - F3a]:[In - F3a]]),"")</f>
        <v>2</v>
      </c>
      <c r="CW145" s="14" t="s">
        <v>189</v>
      </c>
      <c r="CX145" s="14">
        <f>IFERROR(AVERAGE(Tabel1[[#This Row],[In - F1]],Tabel1[[#This Row],[In - F2]],Tabel1[[#This Row],[In - F3]],Tabel1[[#This Row],[In - F4]]),"")</f>
        <v>2.8333333333333335</v>
      </c>
      <c r="CY145" s="14">
        <v>2</v>
      </c>
      <c r="CZ145" s="14">
        <v>2</v>
      </c>
      <c r="DA145" s="14">
        <v>3</v>
      </c>
      <c r="DB145" s="14">
        <f>IFERROR(AVERAGE(Tabel1[[#This Row],[In - V1a]:[In - V1c]]),"")</f>
        <v>2.3333333333333335</v>
      </c>
      <c r="DC145" s="14">
        <v>2</v>
      </c>
      <c r="DD145" s="14" t="s">
        <v>189</v>
      </c>
      <c r="DE145" s="14">
        <v>3</v>
      </c>
      <c r="DF145" s="14">
        <f>IFERROR(AVERAGE(Tabel1[[#This Row],[In - V2a]:[In - V2c]]),"")</f>
        <v>2.5</v>
      </c>
      <c r="DG145" s="14">
        <v>2</v>
      </c>
      <c r="DH145" s="14">
        <v>4</v>
      </c>
      <c r="DI145" s="14">
        <f>IFERROR(AVERAGE(Tabel1[[#This Row],[In - V3a]:[In - V3b]]),"")</f>
        <v>3</v>
      </c>
      <c r="DJ145" s="14" t="s">
        <v>189</v>
      </c>
      <c r="DK145" s="14">
        <f>IFERROR(AVERAGE(Tabel1[[#This Row],[In - V1]],Tabel1[[#This Row],[In - V2]],Tabel1[[#This Row],[In - V3]],Tabel1[[#This Row],[In - V4]]),"")</f>
        <v>2.6111111111111112</v>
      </c>
      <c r="DL145" s="14" t="s">
        <v>189</v>
      </c>
      <c r="DM145" s="14">
        <v>3</v>
      </c>
      <c r="DN145" s="14">
        <f>IFERROR(AVERAGE(Tabel1[[#This Row],[In - A1a]:[In - A1b]]),"")</f>
        <v>3</v>
      </c>
      <c r="DO145" s="14">
        <v>2</v>
      </c>
      <c r="DP145" s="14">
        <v>2</v>
      </c>
      <c r="DQ145" s="14">
        <f>IFERROR(AVERAGE(Tabel1[[#This Row],[In - A2a]:[In - A2b]]),"")</f>
        <v>2</v>
      </c>
      <c r="DR145" s="14">
        <v>3</v>
      </c>
      <c r="DS145" s="14">
        <v>2</v>
      </c>
      <c r="DT145" s="14">
        <f>IFERROR(AVERAGE(Tabel1[[#This Row],[In - A3a]:[In - A3a]]),"")</f>
        <v>3</v>
      </c>
      <c r="DU145" s="14" t="s">
        <v>189</v>
      </c>
      <c r="DV145" s="14">
        <f>IFERROR(AVERAGE(Tabel1[[#This Row],[In - A1]],Tabel1[[#This Row],[In - A2]],Tabel1[[#This Row],[In - A3]],Tabel1[[#This Row],[In - A4]]),"")</f>
        <v>2.6666666666666665</v>
      </c>
      <c r="DW145" s="14" t="s">
        <v>189</v>
      </c>
      <c r="DX145" s="14" t="s">
        <v>189</v>
      </c>
      <c r="DY145" s="14" t="s">
        <v>189</v>
      </c>
      <c r="DZ145" s="14" t="str">
        <f>IFERROR(AVERAGE(Tabel1[[#This Row],[Do - R1a]:[Do - R1c]]),"")</f>
        <v/>
      </c>
      <c r="EA145" s="14" t="s">
        <v>189</v>
      </c>
      <c r="EB145" s="14" t="s">
        <v>189</v>
      </c>
      <c r="EC145" s="14" t="s">
        <v>189</v>
      </c>
      <c r="ED145" s="14" t="s">
        <v>189</v>
      </c>
      <c r="EE145" s="14" t="str">
        <f>IFERROR(AVERAGE(Tabel1[[#This Row],[Do - R1]:[Do - R5]]),"")</f>
        <v/>
      </c>
      <c r="EF145" s="14" t="s">
        <v>189</v>
      </c>
      <c r="EG145" s="14" t="s">
        <v>189</v>
      </c>
      <c r="EH145" s="14" t="s">
        <v>189</v>
      </c>
      <c r="EI145" s="14" t="str">
        <f>IFERROR(AVERAGE(Tabel1[[#This Row],[Do - C1a]:[Do - C1c]]),"")</f>
        <v/>
      </c>
      <c r="EJ145" s="14" t="s">
        <v>189</v>
      </c>
      <c r="EK145" s="14" t="s">
        <v>189</v>
      </c>
      <c r="EL145" s="14" t="s">
        <v>189</v>
      </c>
      <c r="EM145" s="14" t="str">
        <f>IFERROR(AVERAGE(Tabel1[[#This Row],[Do - C1]:[Do - C4]]),"")</f>
        <v/>
      </c>
      <c r="EN145" s="14" t="s">
        <v>189</v>
      </c>
      <c r="EO145" s="14" t="s">
        <v>189</v>
      </c>
      <c r="EP145" s="14" t="s">
        <v>189</v>
      </c>
      <c r="EQ145" s="14" t="str">
        <f>IFERROR(AVERAGE(Tabel1[[#This Row],[Do - F1a]:[Do - F1c]]),"")</f>
        <v/>
      </c>
      <c r="ER145" s="14" t="s">
        <v>189</v>
      </c>
      <c r="ES145" s="14" t="str">
        <f>IFERROR(AVERAGE(Tabel1[[#This Row],[Do - F2a]:[Do - F2a]]),"")</f>
        <v/>
      </c>
      <c r="ET145" s="14" t="s">
        <v>189</v>
      </c>
      <c r="EU145" s="14" t="s">
        <v>189</v>
      </c>
      <c r="EV145" s="14" t="str">
        <f>IFERROR(AVERAGE(Tabel1[[#This Row],[Do - F3a]:[Do - F3b]]),"")</f>
        <v/>
      </c>
      <c r="EW145" s="14" t="s">
        <v>189</v>
      </c>
      <c r="EX145" s="14" t="str">
        <f>IFERROR(AVERAGE(Tabel1[[#This Row],[Do - F1]],Tabel1[[#This Row],[Do - F2]],Tabel1[[#This Row],[Do - F3]],Tabel1[[#This Row],[Do - F4]]),"")</f>
        <v/>
      </c>
      <c r="EY145" s="14" t="s">
        <v>189</v>
      </c>
      <c r="EZ145" s="14" t="s">
        <v>189</v>
      </c>
      <c r="FA145" s="14" t="s">
        <v>189</v>
      </c>
      <c r="FB145" s="14" t="str">
        <f>IFERROR(AVERAGE(Tabel1[[#This Row],[Do - V1a]:[Do - V1c]]),"")</f>
        <v/>
      </c>
      <c r="FC145" s="14" t="s">
        <v>189</v>
      </c>
      <c r="FD145" s="14" t="s">
        <v>189</v>
      </c>
      <c r="FE145" s="14" t="str">
        <f>IFERROR(AVERAGE(Tabel1[[#This Row],[Do - V2a]:[Do - V2b]]),"")</f>
        <v/>
      </c>
      <c r="FF145" s="14" t="s">
        <v>189</v>
      </c>
      <c r="FG145" s="14" t="str">
        <f>IFERROR(AVERAGE(Tabel1[[#This Row],[Do - V3a]:[Do - V3a]]),"")</f>
        <v/>
      </c>
      <c r="FH145" s="14" t="s">
        <v>189</v>
      </c>
      <c r="FI145" s="14" t="str">
        <f>IFERROR(AVERAGE(Tabel1[[#This Row],[Do - V1]],Tabel1[[#This Row],[Do - V2]],Tabel1[[#This Row],[Do - V3]],Tabel1[[#This Row],[Do - V4]]),"")</f>
        <v/>
      </c>
      <c r="FJ145" s="14" t="s">
        <v>189</v>
      </c>
      <c r="FK145" s="14" t="s">
        <v>189</v>
      </c>
      <c r="FL145" s="14" t="s">
        <v>189</v>
      </c>
      <c r="FM145" s="14" t="str">
        <f>IFERROR(AVERAGE(Tabel1[[#This Row],[Do - A1a]:[Do - A1c]]),"")</f>
        <v/>
      </c>
      <c r="FN145" s="14" t="s">
        <v>189</v>
      </c>
      <c r="FO145" s="14" t="s">
        <v>189</v>
      </c>
      <c r="FP145" s="14" t="str">
        <f>IFERROR(AVERAGE(Tabel1[[#This Row],[Do - A2a]:[Do - A2b]]),"")</f>
        <v/>
      </c>
      <c r="FQ145" s="14" t="s">
        <v>189</v>
      </c>
      <c r="FR145" s="14" t="str">
        <f>IFERROR(AVERAGE(Tabel1[[#This Row],[Do - A3a]:[Do - A3a]]),"")</f>
        <v/>
      </c>
      <c r="FS145" s="14" t="s">
        <v>189</v>
      </c>
      <c r="FT145" s="14" t="str">
        <f>IFERROR(AVERAGE(Tabel1[[#This Row],[Do - A1]],Tabel1[[#This Row],[Do - A2]],Tabel1[[#This Row],[Do - A3]],Tabel1[[#This Row],[Do - A4]]),"")</f>
        <v/>
      </c>
      <c r="FU14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2.8518518518518516</v>
      </c>
      <c r="FV145" s="16" t="s">
        <v>879</v>
      </c>
      <c r="FW145" t="b">
        <v>1</v>
      </c>
    </row>
    <row r="146" spans="1:179" x14ac:dyDescent="0.3">
      <c r="A146" s="13">
        <v>45042.452303240738</v>
      </c>
      <c r="B146" t="b">
        <v>0</v>
      </c>
      <c r="C146" s="14" t="s">
        <v>880</v>
      </c>
      <c r="D146" s="14" t="s">
        <v>881</v>
      </c>
      <c r="E146" s="14" t="s">
        <v>345</v>
      </c>
      <c r="F146" s="14" t="s">
        <v>184</v>
      </c>
      <c r="G146" s="14" t="s">
        <v>346</v>
      </c>
      <c r="H146" s="14" t="s">
        <v>222</v>
      </c>
      <c r="I146" s="14" t="s">
        <v>195</v>
      </c>
      <c r="J146" s="14" t="s">
        <v>347</v>
      </c>
      <c r="K146" s="14" t="s">
        <v>202</v>
      </c>
      <c r="L146" s="14" t="s">
        <v>218</v>
      </c>
      <c r="M146" s="14" t="s">
        <v>188</v>
      </c>
      <c r="N146" s="14" t="s">
        <v>262</v>
      </c>
      <c r="O146" s="14" t="s">
        <v>200</v>
      </c>
      <c r="P146" s="17" t="s">
        <v>255</v>
      </c>
      <c r="Q146" s="17" t="s">
        <v>304</v>
      </c>
      <c r="R146" s="17" t="s">
        <v>304</v>
      </c>
      <c r="S146" s="17" t="s">
        <v>255</v>
      </c>
      <c r="T146" s="14" t="s">
        <v>348</v>
      </c>
      <c r="U146" s="14" t="s">
        <v>349</v>
      </c>
      <c r="V146" s="14" t="s">
        <v>224</v>
      </c>
      <c r="W146" s="14" t="s">
        <v>207</v>
      </c>
      <c r="X146" s="14" t="s">
        <v>207</v>
      </c>
      <c r="Y146" s="14">
        <v>4</v>
      </c>
      <c r="Z146" s="14">
        <v>2</v>
      </c>
      <c r="AA146" s="14">
        <v>2</v>
      </c>
      <c r="AB146" s="15">
        <f>IFERROR(AVERAGE(Tabel1[[#This Row],[Up - R1a]:[Up - R1c]]),"")</f>
        <v>2.6666666666666665</v>
      </c>
      <c r="AC146" s="14">
        <v>3</v>
      </c>
      <c r="AD146" s="14">
        <v>3</v>
      </c>
      <c r="AE146" s="14">
        <v>1</v>
      </c>
      <c r="AF146" s="14">
        <v>4</v>
      </c>
      <c r="AG146" s="14">
        <f>IFERROR(AVERAGE(Tabel1[[#This Row],[Up - R1]:[Up - R5]]),"")</f>
        <v>2.7333333333333334</v>
      </c>
      <c r="AH146" s="14">
        <v>4</v>
      </c>
      <c r="AI146" s="14">
        <v>3</v>
      </c>
      <c r="AJ146" s="14">
        <v>3</v>
      </c>
      <c r="AK146" s="14">
        <f>IFERROR(AVERAGE(Tabel1[[#This Row],[Up - C1a]:[Up - C1c]]),"")</f>
        <v>3.3333333333333335</v>
      </c>
      <c r="AL146" s="14">
        <v>1</v>
      </c>
      <c r="AM146" s="14">
        <v>1</v>
      </c>
      <c r="AN146" s="14">
        <v>5</v>
      </c>
      <c r="AO146" s="14">
        <f>IFERROR(AVERAGE(Tabel1[[#This Row],[Up - C1]:[Up - C4]]),"")</f>
        <v>2.5833333333333335</v>
      </c>
      <c r="AP146" s="14" t="s">
        <v>189</v>
      </c>
      <c r="AQ146" s="14" t="str">
        <f>IFERROR(AVERAGE(Tabel1[[#This Row],[Up - F1a]:[Up - F1a]]),"")</f>
        <v/>
      </c>
      <c r="AR146" s="14">
        <v>4</v>
      </c>
      <c r="AS146" s="14">
        <v>5</v>
      </c>
      <c r="AT146" s="14">
        <f>IFERROR(AVERAGE(Tabel1[[#This Row],[Up - F2a]:[Up - F2b]]),"")</f>
        <v>4.5</v>
      </c>
      <c r="AU146" s="14">
        <v>2</v>
      </c>
      <c r="AV146" s="14">
        <v>1</v>
      </c>
      <c r="AW146" s="14">
        <f>IFERROR(AVERAGE(Tabel1[[#This Row],[Up - F3a]:[Up - F3b]]),"")</f>
        <v>1.5</v>
      </c>
      <c r="AX146" s="14">
        <v>4</v>
      </c>
      <c r="AY146" s="14">
        <f>IFERROR(AVERAGE(Tabel1[[#This Row],[Up - F1]],Tabel1[[#This Row],[Up - F2]],Tabel1[[#This Row],[Up - F3]],Tabel1[[#This Row],[Up - F4]]),"")</f>
        <v>3.3333333333333335</v>
      </c>
      <c r="AZ146" s="14">
        <v>3</v>
      </c>
      <c r="BA146" s="14">
        <v>4</v>
      </c>
      <c r="BB146" s="14">
        <f>IFERROR(AVERAGE(Tabel1[[#This Row],[Up - V1a]:[Up - V1b]]),"")</f>
        <v>3.5</v>
      </c>
      <c r="BC146" s="14">
        <v>5</v>
      </c>
      <c r="BD146" s="14">
        <v>5</v>
      </c>
      <c r="BE146" s="14">
        <v>3</v>
      </c>
      <c r="BF146" s="14">
        <f>IFERROR(AVERAGE(Tabel1[[#This Row],[Up - V2a]:[Up - V2c]]),"")</f>
        <v>4.333333333333333</v>
      </c>
      <c r="BG146" s="14">
        <v>2</v>
      </c>
      <c r="BH146" s="14">
        <v>1</v>
      </c>
      <c r="BI146" s="14">
        <f>IFERROR(AVERAGE(Tabel1[[#This Row],[Up - V3a]:[Up - V3b]]),"")</f>
        <v>1.5</v>
      </c>
      <c r="BJ146" s="14">
        <v>2</v>
      </c>
      <c r="BK146" s="14">
        <f>IFERROR(AVERAGE(Tabel1[[#This Row],[Up - V1]],Tabel1[[#This Row],[Up - V2]],Tabel1[[#This Row],[Up - V3]],Tabel1[[#This Row],[Up - V4]]),"")</f>
        <v>2.833333333333333</v>
      </c>
      <c r="BL146" s="14">
        <v>3</v>
      </c>
      <c r="BM146" s="14">
        <v>4</v>
      </c>
      <c r="BN146" s="14">
        <v>5</v>
      </c>
      <c r="BO146" s="14">
        <v>5</v>
      </c>
      <c r="BP146" s="14">
        <f>IFERROR(AVERAGE(Tabel1[[#This Row],[Up - A1a]:[Up - A1d]]),"")</f>
        <v>4.25</v>
      </c>
      <c r="BQ146" s="14">
        <v>3</v>
      </c>
      <c r="BR146" s="14">
        <v>5</v>
      </c>
      <c r="BS146" s="14">
        <f>IFERROR(AVERAGE(Tabel1[[#This Row],[Up - A2a]:[Up - A2b]]),"")</f>
        <v>4</v>
      </c>
      <c r="BT146" s="14">
        <v>4</v>
      </c>
      <c r="BU146" s="14">
        <f>IFERROR(AVERAGE(Tabel1[[#This Row],[Up - A3a]:[Up - A3a]]),"")</f>
        <v>4</v>
      </c>
      <c r="BV146" s="14">
        <v>4</v>
      </c>
      <c r="BW146" s="14">
        <f>IFERROR(AVERAGE(Tabel1[[#This Row],[Up - A1]],Tabel1[[#This Row],[Up - A2]],Tabel1[[#This Row],[Up - A3]]),"")</f>
        <v>4.083333333333333</v>
      </c>
      <c r="BX146" s="14">
        <v>5</v>
      </c>
      <c r="BY146" s="14">
        <v>5</v>
      </c>
      <c r="BZ146" s="14">
        <f>IFERROR(AVERAGE(Tabel1[[#This Row],[In - R1a]:[In - R1b]]),"")</f>
        <v>5</v>
      </c>
      <c r="CA146" s="14">
        <v>2</v>
      </c>
      <c r="CB146" s="14">
        <v>5</v>
      </c>
      <c r="CC146" s="14">
        <v>1</v>
      </c>
      <c r="CD146" s="14">
        <v>1</v>
      </c>
      <c r="CE146" s="14">
        <f>IFERROR(AVERAGE(Tabel1[[#This Row],[In - R1]:[In - R5]]),"")</f>
        <v>2.8</v>
      </c>
      <c r="CF146" s="14">
        <v>5</v>
      </c>
      <c r="CG146" s="14">
        <v>3</v>
      </c>
      <c r="CH146" s="14">
        <v>4</v>
      </c>
      <c r="CI146" s="14">
        <f>IFERROR(AVERAGE(Tabel1[[#This Row],[In - C1a]:[In - C1c]]),"")</f>
        <v>4</v>
      </c>
      <c r="CJ146" s="14">
        <v>3</v>
      </c>
      <c r="CK146" s="14">
        <v>1</v>
      </c>
      <c r="CL146" s="14">
        <v>3</v>
      </c>
      <c r="CM146" s="14">
        <f>IFERROR(AVERAGE(Tabel1[[#This Row],[In - C1]:[In - C4]]),"")</f>
        <v>2.75</v>
      </c>
      <c r="CN146" s="14">
        <v>1</v>
      </c>
      <c r="CO146" s="14">
        <v>1</v>
      </c>
      <c r="CP146" s="14">
        <v>4</v>
      </c>
      <c r="CQ146" s="14">
        <f>IFERROR(AVERAGE(Tabel1[[#This Row],[In - F1a]:[In - F1c]]),"")</f>
        <v>2</v>
      </c>
      <c r="CR146" s="14">
        <v>2</v>
      </c>
      <c r="CS146" s="14">
        <v>1</v>
      </c>
      <c r="CT146" s="14">
        <f>IFERROR(AVERAGE(Tabel1[[#This Row],[In - F2a]:[In - F2b]]),"")</f>
        <v>1.5</v>
      </c>
      <c r="CU146" s="14">
        <v>1</v>
      </c>
      <c r="CV146" s="14">
        <f>IFERROR(AVERAGE(Tabel1[[#This Row],[In - F3a]:[In - F3a]]),"")</f>
        <v>1</v>
      </c>
      <c r="CW146" s="14">
        <v>1</v>
      </c>
      <c r="CX146" s="14">
        <f>IFERROR(AVERAGE(Tabel1[[#This Row],[In - F1]],Tabel1[[#This Row],[In - F2]],Tabel1[[#This Row],[In - F3]],Tabel1[[#This Row],[In - F4]]),"")</f>
        <v>1.375</v>
      </c>
      <c r="CY146" s="14">
        <v>4</v>
      </c>
      <c r="CZ146" s="14">
        <v>4</v>
      </c>
      <c r="DA146" s="14">
        <v>1</v>
      </c>
      <c r="DB146" s="14">
        <f>IFERROR(AVERAGE(Tabel1[[#This Row],[In - V1a]:[In - V1c]]),"")</f>
        <v>3</v>
      </c>
      <c r="DC146" s="14">
        <v>5</v>
      </c>
      <c r="DD146" s="14" t="s">
        <v>189</v>
      </c>
      <c r="DE146" s="14">
        <v>4</v>
      </c>
      <c r="DF146" s="14">
        <f>IFERROR(AVERAGE(Tabel1[[#This Row],[In - V2a]:[In - V2c]]),"")</f>
        <v>4.5</v>
      </c>
      <c r="DG146" s="14">
        <v>1</v>
      </c>
      <c r="DH146" s="14">
        <v>4</v>
      </c>
      <c r="DI146" s="14">
        <f>IFERROR(AVERAGE(Tabel1[[#This Row],[In - V3a]:[In - V3b]]),"")</f>
        <v>2.5</v>
      </c>
      <c r="DJ146" s="14">
        <v>2</v>
      </c>
      <c r="DK146" s="14">
        <f>IFERROR(AVERAGE(Tabel1[[#This Row],[In - V1]],Tabel1[[#This Row],[In - V2]],Tabel1[[#This Row],[In - V3]],Tabel1[[#This Row],[In - V4]]),"")</f>
        <v>3</v>
      </c>
      <c r="DL146" s="14">
        <v>1</v>
      </c>
      <c r="DM146" s="14" t="s">
        <v>189</v>
      </c>
      <c r="DN146" s="14">
        <f>IFERROR(AVERAGE(Tabel1[[#This Row],[In - A1a]:[In - A1b]]),"")</f>
        <v>1</v>
      </c>
      <c r="DO146" s="14">
        <v>1</v>
      </c>
      <c r="DP146" s="14">
        <v>4</v>
      </c>
      <c r="DQ146" s="14">
        <f>IFERROR(AVERAGE(Tabel1[[#This Row],[In - A2a]:[In - A2b]]),"")</f>
        <v>2.5</v>
      </c>
      <c r="DR146" s="14">
        <v>5</v>
      </c>
      <c r="DS146" s="14">
        <v>4</v>
      </c>
      <c r="DT146" s="14">
        <f>IFERROR(AVERAGE(Tabel1[[#This Row],[In - A3a]:[In - A3a]]),"")</f>
        <v>5</v>
      </c>
      <c r="DU146" s="14">
        <v>2</v>
      </c>
      <c r="DV146" s="14">
        <f>IFERROR(AVERAGE(Tabel1[[#This Row],[In - A1]],Tabel1[[#This Row],[In - A2]],Tabel1[[#This Row],[In - A3]],Tabel1[[#This Row],[In - A4]]),"")</f>
        <v>2.625</v>
      </c>
      <c r="DW146" s="14">
        <v>2</v>
      </c>
      <c r="DX146" s="14">
        <v>5</v>
      </c>
      <c r="DY146" s="14">
        <v>2</v>
      </c>
      <c r="DZ146" s="14">
        <f>IFERROR(AVERAGE(Tabel1[[#This Row],[Do - R1a]:[Do - R1c]]),"")</f>
        <v>3</v>
      </c>
      <c r="EA146" s="14">
        <v>1</v>
      </c>
      <c r="EB146" s="14">
        <v>2</v>
      </c>
      <c r="EC146" s="14">
        <v>1</v>
      </c>
      <c r="ED146" s="14">
        <v>3</v>
      </c>
      <c r="EE146" s="14">
        <f>IFERROR(AVERAGE(Tabel1[[#This Row],[Do - R1]:[Do - R5]]),"")</f>
        <v>2</v>
      </c>
      <c r="EF146" s="14">
        <v>4</v>
      </c>
      <c r="EG146" s="14">
        <v>4</v>
      </c>
      <c r="EH146" s="14">
        <v>2</v>
      </c>
      <c r="EI146" s="14">
        <f>IFERROR(AVERAGE(Tabel1[[#This Row],[Do - C1a]:[Do - C1c]]),"")</f>
        <v>3.3333333333333335</v>
      </c>
      <c r="EJ146" s="14">
        <v>4</v>
      </c>
      <c r="EK146" s="14">
        <v>3</v>
      </c>
      <c r="EL146" s="14">
        <v>3</v>
      </c>
      <c r="EM146" s="14">
        <f>IFERROR(AVERAGE(Tabel1[[#This Row],[Do - C1]:[Do - C4]]),"")</f>
        <v>3.3333333333333335</v>
      </c>
      <c r="EN146" s="14" t="s">
        <v>189</v>
      </c>
      <c r="EO146" s="14">
        <v>1</v>
      </c>
      <c r="EP146" s="14" t="s">
        <v>189</v>
      </c>
      <c r="EQ146" s="14">
        <f>IFERROR(AVERAGE(Tabel1[[#This Row],[Do - F1a]:[Do - F1c]]),"")</f>
        <v>1</v>
      </c>
      <c r="ER146" s="14">
        <v>2</v>
      </c>
      <c r="ES146" s="14">
        <f>IFERROR(AVERAGE(Tabel1[[#This Row],[Do - F2a]:[Do - F2a]]),"")</f>
        <v>2</v>
      </c>
      <c r="ET146" s="14">
        <v>2</v>
      </c>
      <c r="EU146" s="14">
        <v>1</v>
      </c>
      <c r="EV146" s="14">
        <f>IFERROR(AVERAGE(Tabel1[[#This Row],[Do - F3a]:[Do - F3b]]),"")</f>
        <v>1.5</v>
      </c>
      <c r="EW146" s="14">
        <v>4</v>
      </c>
      <c r="EX146" s="14">
        <f>IFERROR(AVERAGE(Tabel1[[#This Row],[Do - F1]],Tabel1[[#This Row],[Do - F2]],Tabel1[[#This Row],[Do - F3]],Tabel1[[#This Row],[Do - F4]]),"")</f>
        <v>2.125</v>
      </c>
      <c r="EY146" s="14">
        <v>1</v>
      </c>
      <c r="EZ146" s="14" t="s">
        <v>189</v>
      </c>
      <c r="FA146" s="14">
        <v>4</v>
      </c>
      <c r="FB146" s="14">
        <f>IFERROR(AVERAGE(Tabel1[[#This Row],[Do - V1a]:[Do - V1c]]),"")</f>
        <v>2.5</v>
      </c>
      <c r="FC146" s="14">
        <v>2</v>
      </c>
      <c r="FD146" s="14">
        <v>4</v>
      </c>
      <c r="FE146" s="14">
        <f>IFERROR(AVERAGE(Tabel1[[#This Row],[Do - V2a]:[Do - V2b]]),"")</f>
        <v>3</v>
      </c>
      <c r="FF146" s="14">
        <v>3</v>
      </c>
      <c r="FG146" s="14">
        <f>IFERROR(AVERAGE(Tabel1[[#This Row],[Do - V3a]:[Do - V3a]]),"")</f>
        <v>3</v>
      </c>
      <c r="FH146" s="14">
        <v>5</v>
      </c>
      <c r="FI146" s="14">
        <f>IFERROR(AVERAGE(Tabel1[[#This Row],[Do - V1]],Tabel1[[#This Row],[Do - V2]],Tabel1[[#This Row],[Do - V3]],Tabel1[[#This Row],[Do - V4]]),"")</f>
        <v>3.375</v>
      </c>
      <c r="FJ146" s="14">
        <v>1</v>
      </c>
      <c r="FK146" s="14">
        <v>1</v>
      </c>
      <c r="FL146" s="14">
        <v>5</v>
      </c>
      <c r="FM146" s="14">
        <f>IFERROR(AVERAGE(Tabel1[[#This Row],[Do - A1a]:[Do - A1c]]),"")</f>
        <v>2.3333333333333335</v>
      </c>
      <c r="FN146" s="14" t="s">
        <v>189</v>
      </c>
      <c r="FO146" s="14">
        <v>2</v>
      </c>
      <c r="FP146" s="14">
        <f>IFERROR(AVERAGE(Tabel1[[#This Row],[Do - A2a]:[Do - A2b]]),"")</f>
        <v>2</v>
      </c>
      <c r="FQ146" s="14">
        <v>4</v>
      </c>
      <c r="FR146" s="14">
        <f>IFERROR(AVERAGE(Tabel1[[#This Row],[Do - A3a]:[Do - A3a]]),"")</f>
        <v>4</v>
      </c>
      <c r="FS146" s="14">
        <v>2</v>
      </c>
      <c r="FT146" s="14">
        <f>IFERROR(AVERAGE(Tabel1[[#This Row],[Do - A1]],Tabel1[[#This Row],[Do - A2]],Tabel1[[#This Row],[Do - A3]],Tabel1[[#This Row],[Do - A4]]),"")</f>
        <v>2.5833333333333335</v>
      </c>
      <c r="FU14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2.7688888888888892</v>
      </c>
      <c r="FV146" t="s">
        <v>882</v>
      </c>
      <c r="FW146" t="b">
        <v>1</v>
      </c>
    </row>
    <row r="147" spans="1:179" x14ac:dyDescent="0.3">
      <c r="A147" s="13">
        <v>45056.458194444444</v>
      </c>
      <c r="B147" t="b">
        <v>0</v>
      </c>
      <c r="C147" s="14" t="s">
        <v>883</v>
      </c>
      <c r="D147" s="14" t="s">
        <v>884</v>
      </c>
      <c r="E147" s="14" t="s">
        <v>885</v>
      </c>
      <c r="F147" s="14" t="s">
        <v>886</v>
      </c>
      <c r="G147" s="14" t="s">
        <v>887</v>
      </c>
      <c r="H147" s="14" t="s">
        <v>194</v>
      </c>
      <c r="I147" s="14" t="s">
        <v>322</v>
      </c>
      <c r="J147" s="14" t="s">
        <v>888</v>
      </c>
      <c r="K147" s="14" t="s">
        <v>202</v>
      </c>
      <c r="L147" s="14" t="s">
        <v>218</v>
      </c>
      <c r="M147" s="14" t="s">
        <v>198</v>
      </c>
      <c r="N147" s="14" t="s">
        <v>479</v>
      </c>
      <c r="O147" s="14" t="s">
        <v>200</v>
      </c>
      <c r="P147" s="17" t="s">
        <v>304</v>
      </c>
      <c r="Q147" s="14" t="s">
        <v>202</v>
      </c>
      <c r="R147" s="14" t="s">
        <v>202</v>
      </c>
      <c r="S147" s="14" t="s">
        <v>202</v>
      </c>
      <c r="T147" s="14" t="s">
        <v>380</v>
      </c>
      <c r="U147" s="14" t="s">
        <v>237</v>
      </c>
      <c r="V147" s="14" t="s">
        <v>484</v>
      </c>
      <c r="W147" s="14" t="s">
        <v>306</v>
      </c>
      <c r="X147" s="14" t="s">
        <v>306</v>
      </c>
      <c r="Y147" s="14">
        <v>5</v>
      </c>
      <c r="Z147" s="14">
        <v>5</v>
      </c>
      <c r="AA147" s="14">
        <v>5</v>
      </c>
      <c r="AB147" s="15">
        <f>IFERROR(AVERAGE(Tabel1[[#This Row],[Up - R1a]:[Up - R1c]]),"")</f>
        <v>5</v>
      </c>
      <c r="AC147" s="14">
        <v>4</v>
      </c>
      <c r="AD147" s="14">
        <v>5</v>
      </c>
      <c r="AE147" s="14">
        <v>5</v>
      </c>
      <c r="AF147" s="14">
        <v>5</v>
      </c>
      <c r="AG147" s="14">
        <f>IFERROR(AVERAGE(Tabel1[[#This Row],[Up - R1]:[Up - R5]]),"")</f>
        <v>4.8</v>
      </c>
      <c r="AH147" s="14">
        <v>5</v>
      </c>
      <c r="AI147" s="14">
        <v>4</v>
      </c>
      <c r="AJ147" s="14">
        <v>4</v>
      </c>
      <c r="AK147" s="14">
        <f>IFERROR(AVERAGE(Tabel1[[#This Row],[Up - C1a]:[Up - C1c]]),"")</f>
        <v>4.333333333333333</v>
      </c>
      <c r="AL147" s="14">
        <v>5</v>
      </c>
      <c r="AM147" s="14">
        <v>5</v>
      </c>
      <c r="AN147" s="14">
        <v>4</v>
      </c>
      <c r="AO147" s="14">
        <f>IFERROR(AVERAGE(Tabel1[[#This Row],[Up - C1]:[Up - C4]]),"")</f>
        <v>4.583333333333333</v>
      </c>
      <c r="AP147" s="14">
        <v>4</v>
      </c>
      <c r="AQ147" s="14">
        <f>IFERROR(AVERAGE(Tabel1[[#This Row],[Up - F1a]:[Up - F1a]]),"")</f>
        <v>4</v>
      </c>
      <c r="AR147" s="14">
        <v>4</v>
      </c>
      <c r="AS147" s="14">
        <v>4</v>
      </c>
      <c r="AT147" s="14">
        <f>IFERROR(AVERAGE(Tabel1[[#This Row],[Up - F2a]:[Up - F2b]]),"")</f>
        <v>4</v>
      </c>
      <c r="AU147" s="14">
        <v>5</v>
      </c>
      <c r="AV147" s="14">
        <v>5</v>
      </c>
      <c r="AW147" s="14">
        <f>IFERROR(AVERAGE(Tabel1[[#This Row],[Up - F3a]:[Up - F3b]]),"")</f>
        <v>5</v>
      </c>
      <c r="AX147" s="14">
        <v>5</v>
      </c>
      <c r="AY147" s="14">
        <f>IFERROR(AVERAGE(Tabel1[[#This Row],[Up - F1]],Tabel1[[#This Row],[Up - F2]],Tabel1[[#This Row],[Up - F3]],Tabel1[[#This Row],[Up - F4]]),"")</f>
        <v>4.5</v>
      </c>
      <c r="AZ147" s="14">
        <v>3</v>
      </c>
      <c r="BA147" s="14">
        <v>4</v>
      </c>
      <c r="BB147" s="14">
        <f>IFERROR(AVERAGE(Tabel1[[#This Row],[Up - V1a]:[Up - V1b]]),"")</f>
        <v>3.5</v>
      </c>
      <c r="BC147" s="14">
        <v>3</v>
      </c>
      <c r="BD147" s="14">
        <v>4</v>
      </c>
      <c r="BE147" s="14">
        <v>3</v>
      </c>
      <c r="BF147" s="14">
        <f>IFERROR(AVERAGE(Tabel1[[#This Row],[Up - V2a]:[Up - V2c]]),"")</f>
        <v>3.3333333333333335</v>
      </c>
      <c r="BG147" s="14">
        <v>4</v>
      </c>
      <c r="BH147" s="14">
        <v>4</v>
      </c>
      <c r="BI147" s="14">
        <f>IFERROR(AVERAGE(Tabel1[[#This Row],[Up - V3a]:[Up - V3b]]),"")</f>
        <v>4</v>
      </c>
      <c r="BJ147" s="14">
        <v>3</v>
      </c>
      <c r="BK147" s="14">
        <f>IFERROR(AVERAGE(Tabel1[[#This Row],[Up - V1]],Tabel1[[#This Row],[Up - V2]],Tabel1[[#This Row],[Up - V3]],Tabel1[[#This Row],[Up - V4]]),"")</f>
        <v>3.4583333333333335</v>
      </c>
      <c r="BL147" s="14">
        <v>4</v>
      </c>
      <c r="BM147" s="14">
        <v>5</v>
      </c>
      <c r="BN147" s="14">
        <v>5</v>
      </c>
      <c r="BO147" s="14">
        <v>5</v>
      </c>
      <c r="BP147" s="14">
        <f>IFERROR(AVERAGE(Tabel1[[#This Row],[Up - A1a]:[Up - A1d]]),"")</f>
        <v>4.75</v>
      </c>
      <c r="BQ147" s="14">
        <v>3</v>
      </c>
      <c r="BR147" s="14">
        <v>5</v>
      </c>
      <c r="BS147" s="14">
        <f>IFERROR(AVERAGE(Tabel1[[#This Row],[Up - A2a]:[Up - A2b]]),"")</f>
        <v>4</v>
      </c>
      <c r="BT147" s="14">
        <v>3</v>
      </c>
      <c r="BU147" s="14">
        <f>IFERROR(AVERAGE(Tabel1[[#This Row],[Up - A3a]:[Up - A3a]]),"")</f>
        <v>3</v>
      </c>
      <c r="BV147" s="14">
        <v>4</v>
      </c>
      <c r="BW147" s="14">
        <f>IFERROR(AVERAGE(Tabel1[[#This Row],[Up - A1]],Tabel1[[#This Row],[Up - A2]],Tabel1[[#This Row],[Up - A3]]),"")</f>
        <v>3.9166666666666665</v>
      </c>
      <c r="BX147" s="14">
        <v>5</v>
      </c>
      <c r="BY147" s="14">
        <v>5</v>
      </c>
      <c r="BZ147" s="14">
        <f>IFERROR(AVERAGE(Tabel1[[#This Row],[In - R1a]:[In - R1b]]),"")</f>
        <v>5</v>
      </c>
      <c r="CA147" s="14">
        <v>3</v>
      </c>
      <c r="CB147" s="14">
        <v>5</v>
      </c>
      <c r="CC147" s="14">
        <v>5</v>
      </c>
      <c r="CD147" s="14">
        <v>5</v>
      </c>
      <c r="CE147" s="14">
        <f>IFERROR(AVERAGE(Tabel1[[#This Row],[In - R1]:[In - R5]]),"")</f>
        <v>4.5999999999999996</v>
      </c>
      <c r="CF147" s="14">
        <v>5</v>
      </c>
      <c r="CG147" s="14">
        <v>4</v>
      </c>
      <c r="CH147" s="14">
        <v>5</v>
      </c>
      <c r="CI147" s="14">
        <f>IFERROR(AVERAGE(Tabel1[[#This Row],[In - C1a]:[In - C1c]]),"")</f>
        <v>4.666666666666667</v>
      </c>
      <c r="CJ147" s="14">
        <v>4</v>
      </c>
      <c r="CK147" s="14">
        <v>5</v>
      </c>
      <c r="CL147" s="14">
        <v>4</v>
      </c>
      <c r="CM147" s="14">
        <f>IFERROR(AVERAGE(Tabel1[[#This Row],[In - C1]:[In - C4]]),"")</f>
        <v>4.416666666666667</v>
      </c>
      <c r="CN147" s="14">
        <v>4</v>
      </c>
      <c r="CO147" s="14">
        <v>5</v>
      </c>
      <c r="CP147" s="14">
        <v>4</v>
      </c>
      <c r="CQ147" s="14">
        <f>IFERROR(AVERAGE(Tabel1[[#This Row],[In - F1a]:[In - F1c]]),"")</f>
        <v>4.333333333333333</v>
      </c>
      <c r="CR147" s="14">
        <v>4</v>
      </c>
      <c r="CS147" s="14">
        <v>4</v>
      </c>
      <c r="CT147" s="14">
        <f>IFERROR(AVERAGE(Tabel1[[#This Row],[In - F2a]:[In - F2b]]),"")</f>
        <v>4</v>
      </c>
      <c r="CU147" s="14">
        <v>5</v>
      </c>
      <c r="CV147" s="14">
        <f>IFERROR(AVERAGE(Tabel1[[#This Row],[In - F3a]:[In - F3a]]),"")</f>
        <v>5</v>
      </c>
      <c r="CW147" s="14">
        <v>5</v>
      </c>
      <c r="CX147" s="14">
        <f>IFERROR(AVERAGE(Tabel1[[#This Row],[In - F1]],Tabel1[[#This Row],[In - F2]],Tabel1[[#This Row],[In - F3]],Tabel1[[#This Row],[In - F4]]),"")</f>
        <v>4.583333333333333</v>
      </c>
      <c r="CY147" s="14">
        <v>3</v>
      </c>
      <c r="CZ147" s="14">
        <v>4</v>
      </c>
      <c r="DA147" s="14">
        <v>3</v>
      </c>
      <c r="DB147" s="14">
        <f>IFERROR(AVERAGE(Tabel1[[#This Row],[In - V1a]:[In - V1c]]),"")</f>
        <v>3.3333333333333335</v>
      </c>
      <c r="DC147" s="14">
        <v>3</v>
      </c>
      <c r="DD147" s="14">
        <v>4</v>
      </c>
      <c r="DE147" s="14">
        <v>3</v>
      </c>
      <c r="DF147" s="14">
        <f>IFERROR(AVERAGE(Tabel1[[#This Row],[In - V2a]:[In - V2c]]),"")</f>
        <v>3.3333333333333335</v>
      </c>
      <c r="DG147" s="14">
        <v>4</v>
      </c>
      <c r="DH147" s="14">
        <v>4</v>
      </c>
      <c r="DI147" s="14">
        <f>IFERROR(AVERAGE(Tabel1[[#This Row],[In - V3a]:[In - V3b]]),"")</f>
        <v>4</v>
      </c>
      <c r="DJ147" s="14">
        <v>3</v>
      </c>
      <c r="DK147" s="14">
        <f>IFERROR(AVERAGE(Tabel1[[#This Row],[In - V1]],Tabel1[[#This Row],[In - V2]],Tabel1[[#This Row],[In - V3]],Tabel1[[#This Row],[In - V4]]),"")</f>
        <v>3.416666666666667</v>
      </c>
      <c r="DL147" s="14">
        <v>4</v>
      </c>
      <c r="DM147" s="14">
        <v>5</v>
      </c>
      <c r="DN147" s="14">
        <f>IFERROR(AVERAGE(Tabel1[[#This Row],[In - A1a]:[In - A1b]]),"")</f>
        <v>4.5</v>
      </c>
      <c r="DO147" s="14">
        <v>4</v>
      </c>
      <c r="DP147" s="14" t="s">
        <v>189</v>
      </c>
      <c r="DQ147" s="14">
        <f>IFERROR(AVERAGE(Tabel1[[#This Row],[In - A2a]:[In - A2b]]),"")</f>
        <v>4</v>
      </c>
      <c r="DR147" s="14">
        <v>3</v>
      </c>
      <c r="DS147" s="14">
        <v>5</v>
      </c>
      <c r="DT147" s="14">
        <f>IFERROR(AVERAGE(Tabel1[[#This Row],[In - A3a]:[In - A3a]]),"")</f>
        <v>3</v>
      </c>
      <c r="DU147" s="14">
        <v>4</v>
      </c>
      <c r="DV147" s="14">
        <f>IFERROR(AVERAGE(Tabel1[[#This Row],[In - A1]],Tabel1[[#This Row],[In - A2]],Tabel1[[#This Row],[In - A3]],Tabel1[[#This Row],[In - A4]]),"")</f>
        <v>3.875</v>
      </c>
      <c r="DW147" s="14">
        <v>5</v>
      </c>
      <c r="DX147" s="14">
        <v>5</v>
      </c>
      <c r="DY147" s="14">
        <v>5</v>
      </c>
      <c r="DZ147" s="14">
        <f>IFERROR(AVERAGE(Tabel1[[#This Row],[Do - R1a]:[Do - R1c]]),"")</f>
        <v>5</v>
      </c>
      <c r="EA147" s="14">
        <v>3</v>
      </c>
      <c r="EB147" s="14">
        <v>5</v>
      </c>
      <c r="EC147" s="14">
        <v>5</v>
      </c>
      <c r="ED147" s="14">
        <v>5</v>
      </c>
      <c r="EE147" s="14">
        <f>IFERROR(AVERAGE(Tabel1[[#This Row],[Do - R1]:[Do - R5]]),"")</f>
        <v>4.5999999999999996</v>
      </c>
      <c r="EF147" s="14">
        <v>5</v>
      </c>
      <c r="EG147" s="14">
        <v>5</v>
      </c>
      <c r="EH147" s="14">
        <v>5</v>
      </c>
      <c r="EI147" s="14">
        <f>IFERROR(AVERAGE(Tabel1[[#This Row],[Do - C1a]:[Do - C1c]]),"")</f>
        <v>5</v>
      </c>
      <c r="EJ147" s="14">
        <v>5</v>
      </c>
      <c r="EK147" s="14">
        <v>5</v>
      </c>
      <c r="EL147" s="14">
        <v>4</v>
      </c>
      <c r="EM147" s="14">
        <f>IFERROR(AVERAGE(Tabel1[[#This Row],[Do - C1]:[Do - C4]]),"")</f>
        <v>4.75</v>
      </c>
      <c r="EN147" s="14">
        <v>3</v>
      </c>
      <c r="EO147" s="14">
        <v>5</v>
      </c>
      <c r="EP147" s="14">
        <v>4</v>
      </c>
      <c r="EQ147" s="14">
        <f>IFERROR(AVERAGE(Tabel1[[#This Row],[Do - F1a]:[Do - F1c]]),"")</f>
        <v>4</v>
      </c>
      <c r="ER147" s="14">
        <v>5</v>
      </c>
      <c r="ES147" s="14">
        <f>IFERROR(AVERAGE(Tabel1[[#This Row],[Do - F2a]:[Do - F2a]]),"")</f>
        <v>5</v>
      </c>
      <c r="ET147" s="14">
        <v>5</v>
      </c>
      <c r="EU147" s="14">
        <v>5</v>
      </c>
      <c r="EV147" s="14">
        <f>IFERROR(AVERAGE(Tabel1[[#This Row],[Do - F3a]:[Do - F3b]]),"")</f>
        <v>5</v>
      </c>
      <c r="EW147" s="14">
        <v>5</v>
      </c>
      <c r="EX147" s="14">
        <f>IFERROR(AVERAGE(Tabel1[[#This Row],[Do - F1]],Tabel1[[#This Row],[Do - F2]],Tabel1[[#This Row],[Do - F3]],Tabel1[[#This Row],[Do - F4]]),"")</f>
        <v>4.75</v>
      </c>
      <c r="EY147" s="14">
        <v>3</v>
      </c>
      <c r="EZ147" s="14">
        <v>4</v>
      </c>
      <c r="FA147" s="14">
        <v>4</v>
      </c>
      <c r="FB147" s="14">
        <f>IFERROR(AVERAGE(Tabel1[[#This Row],[Do - V1a]:[Do - V1c]]),"")</f>
        <v>3.6666666666666665</v>
      </c>
      <c r="FC147" s="14">
        <v>3</v>
      </c>
      <c r="FD147" s="14">
        <v>4</v>
      </c>
      <c r="FE147" s="14">
        <f>IFERROR(AVERAGE(Tabel1[[#This Row],[Do - V2a]:[Do - V2b]]),"")</f>
        <v>3.5</v>
      </c>
      <c r="FF147" s="14">
        <v>4</v>
      </c>
      <c r="FG147" s="14">
        <f>IFERROR(AVERAGE(Tabel1[[#This Row],[Do - V3a]:[Do - V3a]]),"")</f>
        <v>4</v>
      </c>
      <c r="FH147" s="14">
        <v>3</v>
      </c>
      <c r="FI147" s="14">
        <f>IFERROR(AVERAGE(Tabel1[[#This Row],[Do - V1]],Tabel1[[#This Row],[Do - V2]],Tabel1[[#This Row],[Do - V3]],Tabel1[[#This Row],[Do - V4]]),"")</f>
        <v>3.5416666666666665</v>
      </c>
      <c r="FJ147" s="14">
        <v>4</v>
      </c>
      <c r="FK147" s="14">
        <v>4</v>
      </c>
      <c r="FL147" s="14">
        <v>4</v>
      </c>
      <c r="FM147" s="14">
        <f>IFERROR(AVERAGE(Tabel1[[#This Row],[Do - A1a]:[Do - A1c]]),"")</f>
        <v>4</v>
      </c>
      <c r="FN147" s="14">
        <v>4</v>
      </c>
      <c r="FO147" s="14">
        <v>5</v>
      </c>
      <c r="FP147" s="14">
        <f>IFERROR(AVERAGE(Tabel1[[#This Row],[Do - A2a]:[Do - A2b]]),"")</f>
        <v>4.5</v>
      </c>
      <c r="FQ147" s="14">
        <v>3</v>
      </c>
      <c r="FR147" s="14">
        <f>IFERROR(AVERAGE(Tabel1[[#This Row],[Do - A3a]:[Do - A3a]]),"")</f>
        <v>3</v>
      </c>
      <c r="FS147" s="14">
        <v>4</v>
      </c>
      <c r="FT147" s="14">
        <f>IFERROR(AVERAGE(Tabel1[[#This Row],[Do - A1]],Tabel1[[#This Row],[Do - A2]],Tabel1[[#This Row],[Do - A3]],Tabel1[[#This Row],[Do - A4]]),"")</f>
        <v>3.875</v>
      </c>
      <c r="FU14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4.2444444444444445</v>
      </c>
      <c r="FV147" s="16" t="s">
        <v>889</v>
      </c>
      <c r="FW147" t="b">
        <v>1</v>
      </c>
    </row>
    <row r="148" spans="1:179" x14ac:dyDescent="0.3">
      <c r="A148" s="13">
        <v>45062.426817129628</v>
      </c>
      <c r="B148" t="b">
        <v>0</v>
      </c>
      <c r="C148" s="14" t="s">
        <v>890</v>
      </c>
      <c r="D148" s="14" t="s">
        <v>891</v>
      </c>
      <c r="E148" s="14" t="s">
        <v>892</v>
      </c>
      <c r="F148" s="14" t="s">
        <v>893</v>
      </c>
      <c r="G148" s="14" t="s">
        <v>894</v>
      </c>
      <c r="H148" s="14" t="s">
        <v>194</v>
      </c>
      <c r="I148" s="14" t="s">
        <v>195</v>
      </c>
      <c r="J148" s="14" t="s">
        <v>533</v>
      </c>
      <c r="K148" s="14" t="s">
        <v>187</v>
      </c>
      <c r="L148" s="14" t="s">
        <v>249</v>
      </c>
      <c r="M148" s="14" t="s">
        <v>198</v>
      </c>
      <c r="N148" s="14" t="s">
        <v>199</v>
      </c>
      <c r="O148" s="14" t="s">
        <v>200</v>
      </c>
      <c r="P148" s="14" t="s">
        <v>201</v>
      </c>
      <c r="Q148" s="14" t="s">
        <v>187</v>
      </c>
      <c r="R148" s="14" t="s">
        <v>187</v>
      </c>
      <c r="S148" s="14" t="s">
        <v>235</v>
      </c>
      <c r="T148" s="14" t="s">
        <v>204</v>
      </c>
      <c r="U148" s="14" t="s">
        <v>237</v>
      </c>
      <c r="V148" s="14" t="s">
        <v>206</v>
      </c>
      <c r="W148" s="14" t="s">
        <v>207</v>
      </c>
      <c r="X148" s="14" t="s">
        <v>306</v>
      </c>
      <c r="Y148" s="14">
        <v>2</v>
      </c>
      <c r="Z148" s="14">
        <v>2</v>
      </c>
      <c r="AA148" s="14">
        <v>2</v>
      </c>
      <c r="AB148" s="15">
        <f>IFERROR(AVERAGE(Tabel1[[#This Row],[Up - R1a]:[Up - R1c]]),"")</f>
        <v>2</v>
      </c>
      <c r="AC148" s="14">
        <v>3</v>
      </c>
      <c r="AD148" s="14">
        <v>5</v>
      </c>
      <c r="AE148" s="14">
        <v>2</v>
      </c>
      <c r="AF148" s="14">
        <v>2</v>
      </c>
      <c r="AG148" s="14">
        <f>IFERROR(AVERAGE(Tabel1[[#This Row],[Up - R1]:[Up - R5]]),"")</f>
        <v>2.8</v>
      </c>
      <c r="AH148" s="14" t="s">
        <v>189</v>
      </c>
      <c r="AI148" s="14" t="s">
        <v>189</v>
      </c>
      <c r="AJ148" s="14">
        <v>3</v>
      </c>
      <c r="AK148" s="14">
        <f>IFERROR(AVERAGE(Tabel1[[#This Row],[Up - C1a]:[Up - C1c]]),"")</f>
        <v>3</v>
      </c>
      <c r="AL148" s="14" t="s">
        <v>189</v>
      </c>
      <c r="AM148" s="14">
        <v>2</v>
      </c>
      <c r="AN148" s="14" t="s">
        <v>189</v>
      </c>
      <c r="AO148" s="14">
        <f>IFERROR(AVERAGE(Tabel1[[#This Row],[Up - C1]:[Up - C4]]),"")</f>
        <v>2.5</v>
      </c>
      <c r="AP148" s="14">
        <v>4</v>
      </c>
      <c r="AQ148" s="14">
        <f>IFERROR(AVERAGE(Tabel1[[#This Row],[Up - F1a]:[Up - F1a]]),"")</f>
        <v>4</v>
      </c>
      <c r="AR148" s="14">
        <v>2</v>
      </c>
      <c r="AS148" s="14">
        <v>4</v>
      </c>
      <c r="AT148" s="14">
        <f>IFERROR(AVERAGE(Tabel1[[#This Row],[Up - F2a]:[Up - F2b]]),"")</f>
        <v>3</v>
      </c>
      <c r="AU148" s="14">
        <v>4</v>
      </c>
      <c r="AV148" s="14">
        <v>2</v>
      </c>
      <c r="AW148" s="14">
        <f>IFERROR(AVERAGE(Tabel1[[#This Row],[Up - F3a]:[Up - F3b]]),"")</f>
        <v>3</v>
      </c>
      <c r="AX148" s="14" t="s">
        <v>189</v>
      </c>
      <c r="AY148" s="14">
        <f>IFERROR(AVERAGE(Tabel1[[#This Row],[Up - F1]],Tabel1[[#This Row],[Up - F2]],Tabel1[[#This Row],[Up - F3]],Tabel1[[#This Row],[Up - F4]]),"")</f>
        <v>3.3333333333333335</v>
      </c>
      <c r="AZ148" s="14">
        <v>4</v>
      </c>
      <c r="BA148" s="14">
        <v>3</v>
      </c>
      <c r="BB148" s="14">
        <f>IFERROR(AVERAGE(Tabel1[[#This Row],[Up - V1a]:[Up - V1b]]),"")</f>
        <v>3.5</v>
      </c>
      <c r="BC148" s="14">
        <v>3</v>
      </c>
      <c r="BD148" s="14" t="s">
        <v>189</v>
      </c>
      <c r="BE148" s="14">
        <v>4</v>
      </c>
      <c r="BF148" s="14">
        <f>IFERROR(AVERAGE(Tabel1[[#This Row],[Up - V2a]:[Up - V2c]]),"")</f>
        <v>3.5</v>
      </c>
      <c r="BG148" s="14" t="s">
        <v>189</v>
      </c>
      <c r="BH148" s="14">
        <v>3</v>
      </c>
      <c r="BI148" s="14">
        <f>IFERROR(AVERAGE(Tabel1[[#This Row],[Up - V3a]:[Up - V3b]]),"")</f>
        <v>3</v>
      </c>
      <c r="BJ148" s="14" t="s">
        <v>189</v>
      </c>
      <c r="BK148" s="14">
        <f>IFERROR(AVERAGE(Tabel1[[#This Row],[Up - V1]],Tabel1[[#This Row],[Up - V2]],Tabel1[[#This Row],[Up - V3]],Tabel1[[#This Row],[Up - V4]]),"")</f>
        <v>3.3333333333333335</v>
      </c>
      <c r="BL148" s="14">
        <v>2</v>
      </c>
      <c r="BM148" s="14">
        <v>3</v>
      </c>
      <c r="BN148" s="14">
        <v>2</v>
      </c>
      <c r="BO148" s="14">
        <v>2</v>
      </c>
      <c r="BP148" s="14">
        <f>IFERROR(AVERAGE(Tabel1[[#This Row],[Up - A1a]:[Up - A1d]]),"")</f>
        <v>2.25</v>
      </c>
      <c r="BQ148" s="14">
        <v>3</v>
      </c>
      <c r="BR148" s="14">
        <v>4</v>
      </c>
      <c r="BS148" s="14">
        <f>IFERROR(AVERAGE(Tabel1[[#This Row],[Up - A2a]:[Up - A2b]]),"")</f>
        <v>3.5</v>
      </c>
      <c r="BT148" s="14">
        <v>2</v>
      </c>
      <c r="BU148" s="14">
        <f>IFERROR(AVERAGE(Tabel1[[#This Row],[Up - A3a]:[Up - A3a]]),"")</f>
        <v>2</v>
      </c>
      <c r="BV148" s="14" t="s">
        <v>189</v>
      </c>
      <c r="BW148" s="14">
        <f>IFERROR(AVERAGE(Tabel1[[#This Row],[Up - A1]],Tabel1[[#This Row],[Up - A2]],Tabel1[[#This Row],[Up - A3]]),"")</f>
        <v>2.5833333333333335</v>
      </c>
      <c r="BX148" s="14">
        <v>2</v>
      </c>
      <c r="BY148" s="14">
        <v>3</v>
      </c>
      <c r="BZ148" s="14">
        <f>IFERROR(AVERAGE(Tabel1[[#This Row],[In - R1a]:[In - R1b]]),"")</f>
        <v>2.5</v>
      </c>
      <c r="CA148" s="14">
        <v>4</v>
      </c>
      <c r="CB148" s="14">
        <v>2</v>
      </c>
      <c r="CC148" s="14">
        <v>5</v>
      </c>
      <c r="CD148" s="14">
        <v>5</v>
      </c>
      <c r="CE148" s="14">
        <f>IFERROR(AVERAGE(Tabel1[[#This Row],[In - R1]:[In - R5]]),"")</f>
        <v>3.7</v>
      </c>
      <c r="CF148" s="14">
        <v>3</v>
      </c>
      <c r="CG148" s="14">
        <v>3</v>
      </c>
      <c r="CH148" s="14">
        <v>3</v>
      </c>
      <c r="CI148" s="14">
        <f>IFERROR(AVERAGE(Tabel1[[#This Row],[In - C1a]:[In - C1c]]),"")</f>
        <v>3</v>
      </c>
      <c r="CJ148" s="14">
        <v>3</v>
      </c>
      <c r="CK148" s="14">
        <v>1</v>
      </c>
      <c r="CL148" s="14">
        <v>3</v>
      </c>
      <c r="CM148" s="14">
        <f>IFERROR(AVERAGE(Tabel1[[#This Row],[In - C1]:[In - C4]]),"")</f>
        <v>2.5</v>
      </c>
      <c r="CN148" s="14">
        <v>2</v>
      </c>
      <c r="CO148" s="14">
        <v>3</v>
      </c>
      <c r="CP148" s="14">
        <v>2</v>
      </c>
      <c r="CQ148" s="14">
        <f>IFERROR(AVERAGE(Tabel1[[#This Row],[In - F1a]:[In - F1c]]),"")</f>
        <v>2.3333333333333335</v>
      </c>
      <c r="CR148" s="14">
        <v>3</v>
      </c>
      <c r="CS148" s="14">
        <v>4</v>
      </c>
      <c r="CT148" s="14">
        <f>IFERROR(AVERAGE(Tabel1[[#This Row],[In - F2a]:[In - F2b]]),"")</f>
        <v>3.5</v>
      </c>
      <c r="CU148" s="14">
        <v>4</v>
      </c>
      <c r="CV148" s="14">
        <f>IFERROR(AVERAGE(Tabel1[[#This Row],[In - F3a]:[In - F3a]]),"")</f>
        <v>4</v>
      </c>
      <c r="CW148" s="14">
        <v>3</v>
      </c>
      <c r="CX148" s="14">
        <f>IFERROR(AVERAGE(Tabel1[[#This Row],[In - F1]],Tabel1[[#This Row],[In - F2]],Tabel1[[#This Row],[In - F3]],Tabel1[[#This Row],[In - F4]]),"")</f>
        <v>3.2083333333333335</v>
      </c>
      <c r="CY148" s="14">
        <v>3</v>
      </c>
      <c r="CZ148" s="14">
        <v>2</v>
      </c>
      <c r="DA148" s="14">
        <v>3</v>
      </c>
      <c r="DB148" s="14">
        <f>IFERROR(AVERAGE(Tabel1[[#This Row],[In - V1a]:[In - V1c]]),"")</f>
        <v>2.6666666666666665</v>
      </c>
      <c r="DC148" s="14">
        <v>4</v>
      </c>
      <c r="DD148" s="14">
        <v>4</v>
      </c>
      <c r="DE148" s="14">
        <v>5</v>
      </c>
      <c r="DF148" s="14">
        <f>IFERROR(AVERAGE(Tabel1[[#This Row],[In - V2a]:[In - V2c]]),"")</f>
        <v>4.333333333333333</v>
      </c>
      <c r="DG148" s="14">
        <v>3</v>
      </c>
      <c r="DH148" s="14">
        <v>3</v>
      </c>
      <c r="DI148" s="14">
        <f>IFERROR(AVERAGE(Tabel1[[#This Row],[In - V3a]:[In - V3b]]),"")</f>
        <v>3</v>
      </c>
      <c r="DJ148" s="14">
        <v>4</v>
      </c>
      <c r="DK148" s="14">
        <f>IFERROR(AVERAGE(Tabel1[[#This Row],[In - V1]],Tabel1[[#This Row],[In - V2]],Tabel1[[#This Row],[In - V3]],Tabel1[[#This Row],[In - V4]]),"")</f>
        <v>3.5</v>
      </c>
      <c r="DL148" s="14">
        <v>1</v>
      </c>
      <c r="DM148" s="14">
        <v>4</v>
      </c>
      <c r="DN148" s="14">
        <f>IFERROR(AVERAGE(Tabel1[[#This Row],[In - A1a]:[In - A1b]]),"")</f>
        <v>2.5</v>
      </c>
      <c r="DO148" s="14">
        <v>2</v>
      </c>
      <c r="DP148" s="14">
        <v>3</v>
      </c>
      <c r="DQ148" s="14">
        <f>IFERROR(AVERAGE(Tabel1[[#This Row],[In - A2a]:[In - A2b]]),"")</f>
        <v>2.5</v>
      </c>
      <c r="DR148" s="14">
        <v>3</v>
      </c>
      <c r="DS148" s="14">
        <v>3</v>
      </c>
      <c r="DT148" s="14">
        <f>IFERROR(AVERAGE(Tabel1[[#This Row],[In - A3a]:[In - A3a]]),"")</f>
        <v>3</v>
      </c>
      <c r="DU148" s="14">
        <v>1</v>
      </c>
      <c r="DV148" s="14">
        <f>IFERROR(AVERAGE(Tabel1[[#This Row],[In - A1]],Tabel1[[#This Row],[In - A2]],Tabel1[[#This Row],[In - A3]],Tabel1[[#This Row],[In - A4]]),"")</f>
        <v>2.25</v>
      </c>
      <c r="DW148" s="14">
        <v>2</v>
      </c>
      <c r="DX148" s="14">
        <v>4</v>
      </c>
      <c r="DY148" s="14">
        <v>2</v>
      </c>
      <c r="DZ148" s="14">
        <f>IFERROR(AVERAGE(Tabel1[[#This Row],[Do - R1a]:[Do - R1c]]),"")</f>
        <v>2.6666666666666665</v>
      </c>
      <c r="EA148" s="14">
        <v>5</v>
      </c>
      <c r="EB148" s="14">
        <v>1</v>
      </c>
      <c r="EC148" s="14">
        <v>1</v>
      </c>
      <c r="ED148" s="14">
        <v>2</v>
      </c>
      <c r="EE148" s="14">
        <f>IFERROR(AVERAGE(Tabel1[[#This Row],[Do - R1]:[Do - R5]]),"")</f>
        <v>2.333333333333333</v>
      </c>
      <c r="EF148" s="14">
        <v>4</v>
      </c>
      <c r="EG148" s="14">
        <v>3</v>
      </c>
      <c r="EH148" s="14">
        <v>2</v>
      </c>
      <c r="EI148" s="14">
        <f>IFERROR(AVERAGE(Tabel1[[#This Row],[Do - C1a]:[Do - C1c]]),"")</f>
        <v>3</v>
      </c>
      <c r="EJ148" s="14">
        <v>4</v>
      </c>
      <c r="EK148" s="14">
        <v>2</v>
      </c>
      <c r="EL148" s="14">
        <v>3</v>
      </c>
      <c r="EM148" s="14">
        <f>IFERROR(AVERAGE(Tabel1[[#This Row],[Do - C1]:[Do - C4]]),"")</f>
        <v>3</v>
      </c>
      <c r="EN148" s="14">
        <v>4</v>
      </c>
      <c r="EO148" s="14">
        <v>2</v>
      </c>
      <c r="EP148" s="14">
        <v>3</v>
      </c>
      <c r="EQ148" s="14">
        <f>IFERROR(AVERAGE(Tabel1[[#This Row],[Do - F1a]:[Do - F1c]]),"")</f>
        <v>3</v>
      </c>
      <c r="ER148" s="14">
        <v>3</v>
      </c>
      <c r="ES148" s="14">
        <f>IFERROR(AVERAGE(Tabel1[[#This Row],[Do - F2a]:[Do - F2a]]),"")</f>
        <v>3</v>
      </c>
      <c r="ET148" s="14">
        <v>1</v>
      </c>
      <c r="EU148" s="14">
        <v>3</v>
      </c>
      <c r="EV148" s="14">
        <f>IFERROR(AVERAGE(Tabel1[[#This Row],[Do - F3a]:[Do - F3b]]),"")</f>
        <v>2</v>
      </c>
      <c r="EW148" s="14">
        <v>2</v>
      </c>
      <c r="EX148" s="14">
        <f>IFERROR(AVERAGE(Tabel1[[#This Row],[Do - F1]],Tabel1[[#This Row],[Do - F2]],Tabel1[[#This Row],[Do - F3]],Tabel1[[#This Row],[Do - F4]]),"")</f>
        <v>2.5</v>
      </c>
      <c r="EY148" s="14">
        <v>3</v>
      </c>
      <c r="EZ148" s="14">
        <v>2</v>
      </c>
      <c r="FA148" s="14">
        <v>4</v>
      </c>
      <c r="FB148" s="14">
        <f>IFERROR(AVERAGE(Tabel1[[#This Row],[Do - V1a]:[Do - V1c]]),"")</f>
        <v>3</v>
      </c>
      <c r="FC148" s="14">
        <v>3</v>
      </c>
      <c r="FD148" s="14">
        <v>5</v>
      </c>
      <c r="FE148" s="14">
        <f>IFERROR(AVERAGE(Tabel1[[#This Row],[Do - V2a]:[Do - V2b]]),"")</f>
        <v>4</v>
      </c>
      <c r="FF148" s="14">
        <v>4</v>
      </c>
      <c r="FG148" s="14">
        <f>IFERROR(AVERAGE(Tabel1[[#This Row],[Do - V3a]:[Do - V3a]]),"")</f>
        <v>4</v>
      </c>
      <c r="FH148" s="14">
        <v>4</v>
      </c>
      <c r="FI148" s="14">
        <f>IFERROR(AVERAGE(Tabel1[[#This Row],[Do - V1]],Tabel1[[#This Row],[Do - V2]],Tabel1[[#This Row],[Do - V3]],Tabel1[[#This Row],[Do - V4]]),"")</f>
        <v>3.75</v>
      </c>
      <c r="FJ148" s="14">
        <v>4</v>
      </c>
      <c r="FK148" s="14">
        <v>2</v>
      </c>
      <c r="FL148" s="14">
        <v>5</v>
      </c>
      <c r="FM148" s="14">
        <f>IFERROR(AVERAGE(Tabel1[[#This Row],[Do - A1a]:[Do - A1c]]),"")</f>
        <v>3.6666666666666665</v>
      </c>
      <c r="FN148" s="14">
        <v>4</v>
      </c>
      <c r="FO148" s="14">
        <v>2</v>
      </c>
      <c r="FP148" s="14">
        <f>IFERROR(AVERAGE(Tabel1[[#This Row],[Do - A2a]:[Do - A2b]]),"")</f>
        <v>3</v>
      </c>
      <c r="FQ148" s="14">
        <v>5</v>
      </c>
      <c r="FR148" s="14">
        <f>IFERROR(AVERAGE(Tabel1[[#This Row],[Do - A3a]:[Do - A3a]]),"")</f>
        <v>5</v>
      </c>
      <c r="FS148" s="14">
        <v>2</v>
      </c>
      <c r="FT148" s="14">
        <f>IFERROR(AVERAGE(Tabel1[[#This Row],[Do - A1]],Tabel1[[#This Row],[Do - A2]],Tabel1[[#This Row],[Do - A3]],Tabel1[[#This Row],[Do - A4]]),"")</f>
        <v>3.4166666666666665</v>
      </c>
      <c r="FU14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2.9805555555555552</v>
      </c>
      <c r="FV148" s="16" t="s">
        <v>895</v>
      </c>
      <c r="FW148" t="b">
        <v>1</v>
      </c>
    </row>
    <row r="149" spans="1:179" x14ac:dyDescent="0.3">
      <c r="A149" s="13">
        <v>45067.581608796296</v>
      </c>
      <c r="B149" t="b">
        <v>0</v>
      </c>
      <c r="C149" s="14" t="s">
        <v>896</v>
      </c>
      <c r="D149" s="14" t="s">
        <v>897</v>
      </c>
      <c r="E149" s="14" t="s">
        <v>664</v>
      </c>
      <c r="F149" s="14" t="s">
        <v>898</v>
      </c>
      <c r="G149" s="14" t="s">
        <v>899</v>
      </c>
      <c r="H149" s="14" t="s">
        <v>194</v>
      </c>
      <c r="I149" s="14" t="s">
        <v>186</v>
      </c>
      <c r="J149" s="14" t="s">
        <v>186</v>
      </c>
      <c r="K149" s="14" t="s">
        <v>187</v>
      </c>
      <c r="L149" s="14" t="s">
        <v>249</v>
      </c>
      <c r="M149" s="14" t="s">
        <v>198</v>
      </c>
      <c r="N149" s="14"/>
      <c r="O149" s="14" t="s">
        <v>200</v>
      </c>
      <c r="P149" s="17" t="s">
        <v>255</v>
      </c>
      <c r="Q149" s="14" t="s">
        <v>202</v>
      </c>
      <c r="R149" s="14" t="s">
        <v>187</v>
      </c>
      <c r="S149" s="14" t="s">
        <v>203</v>
      </c>
      <c r="T149" s="14" t="s">
        <v>284</v>
      </c>
      <c r="U149" s="14" t="s">
        <v>205</v>
      </c>
      <c r="V149" s="14" t="s">
        <v>206</v>
      </c>
      <c r="W149" s="14" t="s">
        <v>207</v>
      </c>
      <c r="X149" s="14" t="s">
        <v>207</v>
      </c>
      <c r="Y149" s="14">
        <v>5</v>
      </c>
      <c r="Z149" s="14">
        <v>4</v>
      </c>
      <c r="AA149" s="14">
        <v>5</v>
      </c>
      <c r="AB149" s="15">
        <f>IFERROR(AVERAGE(Tabel1[[#This Row],[Up - R1a]:[Up - R1c]]),"")</f>
        <v>4.666666666666667</v>
      </c>
      <c r="AC149" s="14">
        <v>5</v>
      </c>
      <c r="AD149" s="14">
        <v>5</v>
      </c>
      <c r="AE149" s="14">
        <v>3</v>
      </c>
      <c r="AF149" s="14">
        <v>5</v>
      </c>
      <c r="AG149" s="14">
        <f>IFERROR(AVERAGE(Tabel1[[#This Row],[Up - R1]:[Up - R5]]),"")</f>
        <v>4.5333333333333332</v>
      </c>
      <c r="AH149" s="14">
        <v>5</v>
      </c>
      <c r="AI149" s="14">
        <v>5</v>
      </c>
      <c r="AJ149" s="14">
        <v>5</v>
      </c>
      <c r="AK149" s="14">
        <f>IFERROR(AVERAGE(Tabel1[[#This Row],[Up - C1a]:[Up - C1c]]),"")</f>
        <v>5</v>
      </c>
      <c r="AL149" s="14">
        <v>5</v>
      </c>
      <c r="AM149" s="14">
        <v>5</v>
      </c>
      <c r="AN149" s="14">
        <v>5</v>
      </c>
      <c r="AO149" s="14">
        <f>IFERROR(AVERAGE(Tabel1[[#This Row],[Up - C1]:[Up - C4]]),"")</f>
        <v>5</v>
      </c>
      <c r="AP149" s="14">
        <v>4</v>
      </c>
      <c r="AQ149" s="14">
        <f>IFERROR(AVERAGE(Tabel1[[#This Row],[Up - F1a]:[Up - F1a]]),"")</f>
        <v>4</v>
      </c>
      <c r="AR149" s="14">
        <v>1</v>
      </c>
      <c r="AS149" s="14" t="s">
        <v>189</v>
      </c>
      <c r="AT149" s="14">
        <f>IFERROR(AVERAGE(Tabel1[[#This Row],[Up - F2a]:[Up - F2b]]),"")</f>
        <v>1</v>
      </c>
      <c r="AU149" s="14">
        <v>2</v>
      </c>
      <c r="AV149" s="14">
        <v>5</v>
      </c>
      <c r="AW149" s="14">
        <f>IFERROR(AVERAGE(Tabel1[[#This Row],[Up - F3a]:[Up - F3b]]),"")</f>
        <v>3.5</v>
      </c>
      <c r="AX149" s="14">
        <v>5</v>
      </c>
      <c r="AY149" s="14">
        <f>IFERROR(AVERAGE(Tabel1[[#This Row],[Up - F1]],Tabel1[[#This Row],[Up - F2]],Tabel1[[#This Row],[Up - F3]],Tabel1[[#This Row],[Up - F4]]),"")</f>
        <v>3.375</v>
      </c>
      <c r="AZ149" s="14">
        <v>5</v>
      </c>
      <c r="BA149" s="14">
        <v>5</v>
      </c>
      <c r="BB149" s="14">
        <f>IFERROR(AVERAGE(Tabel1[[#This Row],[Up - V1a]:[Up - V1b]]),"")</f>
        <v>5</v>
      </c>
      <c r="BC149" s="14">
        <v>5</v>
      </c>
      <c r="BD149" s="14">
        <v>5</v>
      </c>
      <c r="BE149" s="14">
        <v>5</v>
      </c>
      <c r="BF149" s="14">
        <f>IFERROR(AVERAGE(Tabel1[[#This Row],[Up - V2a]:[Up - V2c]]),"")</f>
        <v>5</v>
      </c>
      <c r="BG149" s="14">
        <v>5</v>
      </c>
      <c r="BH149" s="14">
        <v>5</v>
      </c>
      <c r="BI149" s="14">
        <f>IFERROR(AVERAGE(Tabel1[[#This Row],[Up - V3a]:[Up - V3b]]),"")</f>
        <v>5</v>
      </c>
      <c r="BJ149" s="14">
        <v>5</v>
      </c>
      <c r="BK149" s="14">
        <f>IFERROR(AVERAGE(Tabel1[[#This Row],[Up - V1]],Tabel1[[#This Row],[Up - V2]],Tabel1[[#This Row],[Up - V3]],Tabel1[[#This Row],[Up - V4]]),"")</f>
        <v>5</v>
      </c>
      <c r="BL149" s="14">
        <v>5</v>
      </c>
      <c r="BM149" s="14">
        <v>4</v>
      </c>
      <c r="BN149" s="14">
        <v>5</v>
      </c>
      <c r="BO149" s="14">
        <v>1</v>
      </c>
      <c r="BP149" s="14">
        <f>IFERROR(AVERAGE(Tabel1[[#This Row],[Up - A1a]:[Up - A1d]]),"")</f>
        <v>3.75</v>
      </c>
      <c r="BQ149" s="14">
        <v>5</v>
      </c>
      <c r="BR149" s="14">
        <v>4</v>
      </c>
      <c r="BS149" s="14">
        <f>IFERROR(AVERAGE(Tabel1[[#This Row],[Up - A2a]:[Up - A2b]]),"")</f>
        <v>4.5</v>
      </c>
      <c r="BT149" s="14">
        <v>4</v>
      </c>
      <c r="BU149" s="14">
        <f>IFERROR(AVERAGE(Tabel1[[#This Row],[Up - A3a]:[Up - A3a]]),"")</f>
        <v>4</v>
      </c>
      <c r="BV149" s="14">
        <v>5</v>
      </c>
      <c r="BW149" s="14">
        <f>IFERROR(AVERAGE(Tabel1[[#This Row],[Up - A1]],Tabel1[[#This Row],[Up - A2]],Tabel1[[#This Row],[Up - A3]]),"")</f>
        <v>4.083333333333333</v>
      </c>
      <c r="BX149" s="14">
        <v>5</v>
      </c>
      <c r="BY149" s="14">
        <v>5</v>
      </c>
      <c r="BZ149" s="14">
        <f>IFERROR(AVERAGE(Tabel1[[#This Row],[In - R1a]:[In - R1b]]),"")</f>
        <v>5</v>
      </c>
      <c r="CA149" s="14">
        <v>5</v>
      </c>
      <c r="CB149" s="14">
        <v>5</v>
      </c>
      <c r="CC149" s="14">
        <v>5</v>
      </c>
      <c r="CD149" s="14">
        <v>5</v>
      </c>
      <c r="CE149" s="14">
        <f>IFERROR(AVERAGE(Tabel1[[#This Row],[In - R1]:[In - R5]]),"")</f>
        <v>5</v>
      </c>
      <c r="CF149" s="14">
        <v>5</v>
      </c>
      <c r="CG149" s="14">
        <v>5</v>
      </c>
      <c r="CH149" s="14">
        <v>5</v>
      </c>
      <c r="CI149" s="14">
        <f>IFERROR(AVERAGE(Tabel1[[#This Row],[In - C1a]:[In - C1c]]),"")</f>
        <v>5</v>
      </c>
      <c r="CJ149" s="14">
        <v>5</v>
      </c>
      <c r="CK149" s="14">
        <v>5</v>
      </c>
      <c r="CL149" s="14">
        <v>5</v>
      </c>
      <c r="CM149" s="14">
        <f>IFERROR(AVERAGE(Tabel1[[#This Row],[In - C1]:[In - C4]]),"")</f>
        <v>5</v>
      </c>
      <c r="CN149" s="14">
        <v>5</v>
      </c>
      <c r="CO149" s="14">
        <v>3</v>
      </c>
      <c r="CP149" s="14">
        <v>1</v>
      </c>
      <c r="CQ149" s="14">
        <f>IFERROR(AVERAGE(Tabel1[[#This Row],[In - F1a]:[In - F1c]]),"")</f>
        <v>3</v>
      </c>
      <c r="CR149" s="14">
        <v>5</v>
      </c>
      <c r="CS149" s="14">
        <v>1</v>
      </c>
      <c r="CT149" s="14">
        <f>IFERROR(AVERAGE(Tabel1[[#This Row],[In - F2a]:[In - F2b]]),"")</f>
        <v>3</v>
      </c>
      <c r="CU149" s="14">
        <v>1</v>
      </c>
      <c r="CV149" s="14">
        <f>IFERROR(AVERAGE(Tabel1[[#This Row],[In - F3a]:[In - F3a]]),"")</f>
        <v>1</v>
      </c>
      <c r="CW149" s="14">
        <v>5</v>
      </c>
      <c r="CX149" s="14">
        <f>IFERROR(AVERAGE(Tabel1[[#This Row],[In - F1]],Tabel1[[#This Row],[In - F2]],Tabel1[[#This Row],[In - F3]],Tabel1[[#This Row],[In - F4]]),"")</f>
        <v>3</v>
      </c>
      <c r="CY149" s="14">
        <v>5</v>
      </c>
      <c r="CZ149" s="14">
        <v>2</v>
      </c>
      <c r="DA149" s="14">
        <v>4</v>
      </c>
      <c r="DB149" s="14">
        <f>IFERROR(AVERAGE(Tabel1[[#This Row],[In - V1a]:[In - V1c]]),"")</f>
        <v>3.6666666666666665</v>
      </c>
      <c r="DC149" s="14">
        <v>1</v>
      </c>
      <c r="DD149" s="14">
        <v>5</v>
      </c>
      <c r="DE149" s="14">
        <v>5</v>
      </c>
      <c r="DF149" s="14">
        <f>IFERROR(AVERAGE(Tabel1[[#This Row],[In - V2a]:[In - V2c]]),"")</f>
        <v>3.6666666666666665</v>
      </c>
      <c r="DG149" s="14">
        <v>5</v>
      </c>
      <c r="DH149" s="14">
        <v>5</v>
      </c>
      <c r="DI149" s="14">
        <f>IFERROR(AVERAGE(Tabel1[[#This Row],[In - V3a]:[In - V3b]]),"")</f>
        <v>5</v>
      </c>
      <c r="DJ149" s="14">
        <v>5</v>
      </c>
      <c r="DK149" s="14">
        <f>IFERROR(AVERAGE(Tabel1[[#This Row],[In - V1]],Tabel1[[#This Row],[In - V2]],Tabel1[[#This Row],[In - V3]],Tabel1[[#This Row],[In - V4]]),"")</f>
        <v>4.333333333333333</v>
      </c>
      <c r="DL149" s="14">
        <v>2</v>
      </c>
      <c r="DM149" s="14">
        <v>5</v>
      </c>
      <c r="DN149" s="14">
        <f>IFERROR(AVERAGE(Tabel1[[#This Row],[In - A1a]:[In - A1b]]),"")</f>
        <v>3.5</v>
      </c>
      <c r="DO149" s="14">
        <v>1</v>
      </c>
      <c r="DP149" s="14">
        <v>4</v>
      </c>
      <c r="DQ149" s="14">
        <f>IFERROR(AVERAGE(Tabel1[[#This Row],[In - A2a]:[In - A2b]]),"")</f>
        <v>2.5</v>
      </c>
      <c r="DR149" s="14">
        <v>1</v>
      </c>
      <c r="DS149" s="14">
        <v>5</v>
      </c>
      <c r="DT149" s="14">
        <f>IFERROR(AVERAGE(Tabel1[[#This Row],[In - A3a]:[In - A3a]]),"")</f>
        <v>1</v>
      </c>
      <c r="DU149" s="14">
        <v>5</v>
      </c>
      <c r="DV149" s="14">
        <f>IFERROR(AVERAGE(Tabel1[[#This Row],[In - A1]],Tabel1[[#This Row],[In - A2]],Tabel1[[#This Row],[In - A3]],Tabel1[[#This Row],[In - A4]]),"")</f>
        <v>3</v>
      </c>
      <c r="DW149" s="14">
        <v>4</v>
      </c>
      <c r="DX149" s="14">
        <v>5</v>
      </c>
      <c r="DY149" s="14">
        <v>5</v>
      </c>
      <c r="DZ149" s="14">
        <f>IFERROR(AVERAGE(Tabel1[[#This Row],[Do - R1a]:[Do - R1c]]),"")</f>
        <v>4.666666666666667</v>
      </c>
      <c r="EA149" s="14">
        <v>5</v>
      </c>
      <c r="EB149" s="14">
        <v>5</v>
      </c>
      <c r="EC149" s="14">
        <v>5</v>
      </c>
      <c r="ED149" s="14">
        <v>5</v>
      </c>
      <c r="EE149" s="14">
        <f>IFERROR(AVERAGE(Tabel1[[#This Row],[Do - R1]:[Do - R5]]),"")</f>
        <v>4.9333333333333336</v>
      </c>
      <c r="EF149" s="14">
        <v>5</v>
      </c>
      <c r="EG149" s="14">
        <v>5</v>
      </c>
      <c r="EH149" s="14">
        <v>5</v>
      </c>
      <c r="EI149" s="14">
        <f>IFERROR(AVERAGE(Tabel1[[#This Row],[Do - C1a]:[Do - C1c]]),"")</f>
        <v>5</v>
      </c>
      <c r="EJ149" s="14">
        <v>5</v>
      </c>
      <c r="EK149" s="14">
        <v>5</v>
      </c>
      <c r="EL149" s="14">
        <v>5</v>
      </c>
      <c r="EM149" s="14">
        <f>IFERROR(AVERAGE(Tabel1[[#This Row],[Do - C1]:[Do - C4]]),"")</f>
        <v>5</v>
      </c>
      <c r="EN149" s="14">
        <v>3</v>
      </c>
      <c r="EO149" s="14">
        <v>3</v>
      </c>
      <c r="EP149" s="14">
        <v>4</v>
      </c>
      <c r="EQ149" s="14">
        <f>IFERROR(AVERAGE(Tabel1[[#This Row],[Do - F1a]:[Do - F1c]]),"")</f>
        <v>3.3333333333333335</v>
      </c>
      <c r="ER149" s="14">
        <v>4</v>
      </c>
      <c r="ES149" s="14">
        <f>IFERROR(AVERAGE(Tabel1[[#This Row],[Do - F2a]:[Do - F2a]]),"")</f>
        <v>4</v>
      </c>
      <c r="ET149" s="14">
        <v>5</v>
      </c>
      <c r="EU149" s="14">
        <v>4</v>
      </c>
      <c r="EV149" s="14">
        <f>IFERROR(AVERAGE(Tabel1[[#This Row],[Do - F3a]:[Do - F3b]]),"")</f>
        <v>4.5</v>
      </c>
      <c r="EW149" s="14">
        <v>5</v>
      </c>
      <c r="EX149" s="14">
        <f>IFERROR(AVERAGE(Tabel1[[#This Row],[Do - F1]],Tabel1[[#This Row],[Do - F2]],Tabel1[[#This Row],[Do - F3]],Tabel1[[#This Row],[Do - F4]]),"")</f>
        <v>4.2083333333333339</v>
      </c>
      <c r="EY149" s="14">
        <v>5</v>
      </c>
      <c r="EZ149" s="14">
        <v>2</v>
      </c>
      <c r="FA149" s="14">
        <v>4</v>
      </c>
      <c r="FB149" s="14">
        <f>IFERROR(AVERAGE(Tabel1[[#This Row],[Do - V1a]:[Do - V1c]]),"")</f>
        <v>3.6666666666666665</v>
      </c>
      <c r="FC149" s="14">
        <v>4</v>
      </c>
      <c r="FD149" s="14">
        <v>4</v>
      </c>
      <c r="FE149" s="14">
        <f>IFERROR(AVERAGE(Tabel1[[#This Row],[Do - V2a]:[Do - V2b]]),"")</f>
        <v>4</v>
      </c>
      <c r="FF149" s="14">
        <v>5</v>
      </c>
      <c r="FG149" s="14">
        <f>IFERROR(AVERAGE(Tabel1[[#This Row],[Do - V3a]:[Do - V3a]]),"")</f>
        <v>5</v>
      </c>
      <c r="FH149" s="14">
        <v>5</v>
      </c>
      <c r="FI149" s="14">
        <f>IFERROR(AVERAGE(Tabel1[[#This Row],[Do - V1]],Tabel1[[#This Row],[Do - V2]],Tabel1[[#This Row],[Do - V3]],Tabel1[[#This Row],[Do - V4]]),"")</f>
        <v>4.4166666666666661</v>
      </c>
      <c r="FJ149" s="14">
        <v>5</v>
      </c>
      <c r="FK149" s="14">
        <v>2</v>
      </c>
      <c r="FL149" s="14">
        <v>5</v>
      </c>
      <c r="FM149" s="14">
        <f>IFERROR(AVERAGE(Tabel1[[#This Row],[Do - A1a]:[Do - A1c]]),"")</f>
        <v>4</v>
      </c>
      <c r="FN149" s="14">
        <v>5</v>
      </c>
      <c r="FO149" s="14">
        <v>4</v>
      </c>
      <c r="FP149" s="14">
        <f>IFERROR(AVERAGE(Tabel1[[#This Row],[Do - A2a]:[Do - A2b]]),"")</f>
        <v>4.5</v>
      </c>
      <c r="FQ149" s="14">
        <v>4</v>
      </c>
      <c r="FR149" s="14">
        <f>IFERROR(AVERAGE(Tabel1[[#This Row],[Do - A3a]:[Do - A3a]]),"")</f>
        <v>4</v>
      </c>
      <c r="FS149" s="14">
        <v>5</v>
      </c>
      <c r="FT149" s="14">
        <f>IFERROR(AVERAGE(Tabel1[[#This Row],[Do - A1]],Tabel1[[#This Row],[Do - A2]],Tabel1[[#This Row],[Do - A3]],Tabel1[[#This Row],[Do - A4]]),"")</f>
        <v>4.375</v>
      </c>
      <c r="FU14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4.3505555555555553</v>
      </c>
      <c r="FV149" s="16" t="s">
        <v>900</v>
      </c>
      <c r="FW149" t="b">
        <v>1</v>
      </c>
    </row>
    <row r="150" spans="1:179" x14ac:dyDescent="0.3">
      <c r="A150" s="13">
        <v>45069.322870370372</v>
      </c>
      <c r="B150" t="b">
        <v>0</v>
      </c>
      <c r="C150" s="14" t="s">
        <v>901</v>
      </c>
      <c r="D150" s="14" t="s">
        <v>902</v>
      </c>
      <c r="E150" s="14" t="s">
        <v>903</v>
      </c>
      <c r="F150" s="14" t="s">
        <v>184</v>
      </c>
      <c r="G150" s="14" t="s">
        <v>904</v>
      </c>
      <c r="H150" s="14" t="s">
        <v>222</v>
      </c>
      <c r="I150" s="14" t="s">
        <v>195</v>
      </c>
      <c r="J150" s="14" t="s">
        <v>905</v>
      </c>
      <c r="K150" s="14" t="s">
        <v>235</v>
      </c>
      <c r="L150" s="14" t="s">
        <v>218</v>
      </c>
      <c r="M150" s="14" t="s">
        <v>233</v>
      </c>
      <c r="N150" s="14" t="s">
        <v>479</v>
      </c>
      <c r="O150" s="14" t="s">
        <v>200</v>
      </c>
      <c r="P150" s="17" t="s">
        <v>255</v>
      </c>
      <c r="Q150" s="17" t="s">
        <v>255</v>
      </c>
      <c r="R150" s="14" t="s">
        <v>203</v>
      </c>
      <c r="S150" s="14" t="s">
        <v>203</v>
      </c>
      <c r="T150" s="14" t="s">
        <v>204</v>
      </c>
      <c r="U150" s="14" t="s">
        <v>205</v>
      </c>
      <c r="V150" s="14" t="s">
        <v>224</v>
      </c>
      <c r="W150" s="14" t="s">
        <v>207</v>
      </c>
      <c r="X150" s="14" t="s">
        <v>207</v>
      </c>
      <c r="Y150" s="14">
        <v>2</v>
      </c>
      <c r="Z150" s="14">
        <v>3</v>
      </c>
      <c r="AA150" s="14">
        <v>3</v>
      </c>
      <c r="AB150" s="15">
        <f>IFERROR(AVERAGE(Tabel1[[#This Row],[Up - R1a]:[Up - R1c]]),"")</f>
        <v>2.6666666666666665</v>
      </c>
      <c r="AC150" s="14">
        <v>2</v>
      </c>
      <c r="AD150" s="14">
        <v>1</v>
      </c>
      <c r="AE150" s="14">
        <v>1</v>
      </c>
      <c r="AF150" s="14">
        <v>2</v>
      </c>
      <c r="AG150" s="14">
        <f>IFERROR(AVERAGE(Tabel1[[#This Row],[Up - R1]:[Up - R5]]),"")</f>
        <v>1.7333333333333332</v>
      </c>
      <c r="AH150" s="14">
        <v>4</v>
      </c>
      <c r="AI150" s="14">
        <v>4</v>
      </c>
      <c r="AJ150" s="14">
        <v>4</v>
      </c>
      <c r="AK150" s="14">
        <f>IFERROR(AVERAGE(Tabel1[[#This Row],[Up - C1a]:[Up - C1c]]),"")</f>
        <v>4</v>
      </c>
      <c r="AL150" s="14">
        <v>2</v>
      </c>
      <c r="AM150" s="14">
        <v>1</v>
      </c>
      <c r="AN150" s="14">
        <v>4</v>
      </c>
      <c r="AO150" s="14">
        <f>IFERROR(AVERAGE(Tabel1[[#This Row],[Up - C1]:[Up - C4]]),"")</f>
        <v>2.75</v>
      </c>
      <c r="AP150" s="14">
        <v>4</v>
      </c>
      <c r="AQ150" s="14">
        <f>IFERROR(AVERAGE(Tabel1[[#This Row],[Up - F1a]:[Up - F1a]]),"")</f>
        <v>4</v>
      </c>
      <c r="AR150" s="14">
        <v>1</v>
      </c>
      <c r="AS150" s="14" t="s">
        <v>189</v>
      </c>
      <c r="AT150" s="14">
        <f>IFERROR(AVERAGE(Tabel1[[#This Row],[Up - F2a]:[Up - F2b]]),"")</f>
        <v>1</v>
      </c>
      <c r="AU150" s="14">
        <v>2</v>
      </c>
      <c r="AV150" s="14">
        <v>1</v>
      </c>
      <c r="AW150" s="14">
        <f>IFERROR(AVERAGE(Tabel1[[#This Row],[Up - F3a]:[Up - F3b]]),"")</f>
        <v>1.5</v>
      </c>
      <c r="AX150" s="14">
        <v>3</v>
      </c>
      <c r="AY150" s="14">
        <f>IFERROR(AVERAGE(Tabel1[[#This Row],[Up - F1]],Tabel1[[#This Row],[Up - F2]],Tabel1[[#This Row],[Up - F3]],Tabel1[[#This Row],[Up - F4]]),"")</f>
        <v>2.375</v>
      </c>
      <c r="AZ150" s="14">
        <v>1</v>
      </c>
      <c r="BA150" s="14">
        <v>3</v>
      </c>
      <c r="BB150" s="14">
        <f>IFERROR(AVERAGE(Tabel1[[#This Row],[Up - V1a]:[Up - V1b]]),"")</f>
        <v>2</v>
      </c>
      <c r="BC150" s="14">
        <v>1</v>
      </c>
      <c r="BD150" s="14">
        <v>1</v>
      </c>
      <c r="BE150" s="14">
        <v>2</v>
      </c>
      <c r="BF150" s="14">
        <f>IFERROR(AVERAGE(Tabel1[[#This Row],[Up - V2a]:[Up - V2c]]),"")</f>
        <v>1.3333333333333333</v>
      </c>
      <c r="BG150" s="14" t="s">
        <v>189</v>
      </c>
      <c r="BH150" s="14">
        <v>1</v>
      </c>
      <c r="BI150" s="14">
        <f>IFERROR(AVERAGE(Tabel1[[#This Row],[Up - V3a]:[Up - V3b]]),"")</f>
        <v>1</v>
      </c>
      <c r="BJ150" s="14">
        <v>1</v>
      </c>
      <c r="BK150" s="14">
        <f>IFERROR(AVERAGE(Tabel1[[#This Row],[Up - V1]],Tabel1[[#This Row],[Up - V2]],Tabel1[[#This Row],[Up - V3]],Tabel1[[#This Row],[Up - V4]]),"")</f>
        <v>1.3333333333333333</v>
      </c>
      <c r="BL150" s="14">
        <v>2</v>
      </c>
      <c r="BM150" s="14">
        <v>3</v>
      </c>
      <c r="BN150" s="14">
        <v>1</v>
      </c>
      <c r="BO150" s="14">
        <v>3</v>
      </c>
      <c r="BP150" s="14">
        <f>IFERROR(AVERAGE(Tabel1[[#This Row],[Up - A1a]:[Up - A1d]]),"")</f>
        <v>2.25</v>
      </c>
      <c r="BQ150" s="14">
        <v>3</v>
      </c>
      <c r="BR150" s="14">
        <v>1</v>
      </c>
      <c r="BS150" s="14">
        <f>IFERROR(AVERAGE(Tabel1[[#This Row],[Up - A2a]:[Up - A2b]]),"")</f>
        <v>2</v>
      </c>
      <c r="BT150" s="14">
        <v>4</v>
      </c>
      <c r="BU150" s="14">
        <f>IFERROR(AVERAGE(Tabel1[[#This Row],[Up - A3a]:[Up - A3a]]),"")</f>
        <v>4</v>
      </c>
      <c r="BV150" s="14">
        <v>2</v>
      </c>
      <c r="BW150" s="14">
        <f>IFERROR(AVERAGE(Tabel1[[#This Row],[Up - A1]],Tabel1[[#This Row],[Up - A2]],Tabel1[[#This Row],[Up - A3]]),"")</f>
        <v>2.75</v>
      </c>
      <c r="BX150" s="14">
        <v>4</v>
      </c>
      <c r="BY150" s="14">
        <v>3</v>
      </c>
      <c r="BZ150" s="14">
        <f>IFERROR(AVERAGE(Tabel1[[#This Row],[In - R1a]:[In - R1b]]),"")</f>
        <v>3.5</v>
      </c>
      <c r="CA150" s="14">
        <v>1</v>
      </c>
      <c r="CB150" s="14">
        <v>2</v>
      </c>
      <c r="CC150" s="14">
        <v>4</v>
      </c>
      <c r="CD150" s="14">
        <v>2</v>
      </c>
      <c r="CE150" s="14">
        <f>IFERROR(AVERAGE(Tabel1[[#This Row],[In - R1]:[In - R5]]),"")</f>
        <v>2.5</v>
      </c>
      <c r="CF150" s="14">
        <v>4</v>
      </c>
      <c r="CG150" s="14">
        <v>1</v>
      </c>
      <c r="CH150" s="14">
        <v>1</v>
      </c>
      <c r="CI150" s="14">
        <f>IFERROR(AVERAGE(Tabel1[[#This Row],[In - C1a]:[In - C1c]]),"")</f>
        <v>2</v>
      </c>
      <c r="CJ150" s="14">
        <v>1</v>
      </c>
      <c r="CK150" s="14">
        <v>1</v>
      </c>
      <c r="CL150" s="14">
        <v>1</v>
      </c>
      <c r="CM150" s="14">
        <f>IFERROR(AVERAGE(Tabel1[[#This Row],[In - C1]:[In - C4]]),"")</f>
        <v>1.25</v>
      </c>
      <c r="CN150" s="14">
        <v>1</v>
      </c>
      <c r="CO150" s="14">
        <v>4</v>
      </c>
      <c r="CP150" s="14">
        <v>1</v>
      </c>
      <c r="CQ150" s="14">
        <f>IFERROR(AVERAGE(Tabel1[[#This Row],[In - F1a]:[In - F1c]]),"")</f>
        <v>2</v>
      </c>
      <c r="CR150" s="14">
        <v>2</v>
      </c>
      <c r="CS150" s="14">
        <v>1</v>
      </c>
      <c r="CT150" s="14">
        <f>IFERROR(AVERAGE(Tabel1[[#This Row],[In - F2a]:[In - F2b]]),"")</f>
        <v>1.5</v>
      </c>
      <c r="CU150" s="14">
        <v>3</v>
      </c>
      <c r="CV150" s="14">
        <f>IFERROR(AVERAGE(Tabel1[[#This Row],[In - F3a]:[In - F3a]]),"")</f>
        <v>3</v>
      </c>
      <c r="CW150" s="14">
        <v>3</v>
      </c>
      <c r="CX150" s="14">
        <f>IFERROR(AVERAGE(Tabel1[[#This Row],[In - F1]],Tabel1[[#This Row],[In - F2]],Tabel1[[#This Row],[In - F3]],Tabel1[[#This Row],[In - F4]]),"")</f>
        <v>2.375</v>
      </c>
      <c r="CY150" s="14">
        <v>1</v>
      </c>
      <c r="CZ150" s="14">
        <v>1</v>
      </c>
      <c r="DA150" s="14">
        <v>1</v>
      </c>
      <c r="DB150" s="14">
        <f>IFERROR(AVERAGE(Tabel1[[#This Row],[In - V1a]:[In - V1c]]),"")</f>
        <v>1</v>
      </c>
      <c r="DC150" s="14">
        <v>1</v>
      </c>
      <c r="DD150" s="14">
        <v>1</v>
      </c>
      <c r="DE150" s="14">
        <v>1</v>
      </c>
      <c r="DF150" s="14">
        <f>IFERROR(AVERAGE(Tabel1[[#This Row],[In - V2a]:[In - V2c]]),"")</f>
        <v>1</v>
      </c>
      <c r="DG150" s="14">
        <v>1</v>
      </c>
      <c r="DH150" s="14" t="s">
        <v>189</v>
      </c>
      <c r="DI150" s="14">
        <f>IFERROR(AVERAGE(Tabel1[[#This Row],[In - V3a]:[In - V3b]]),"")</f>
        <v>1</v>
      </c>
      <c r="DJ150" s="14" t="s">
        <v>189</v>
      </c>
      <c r="DK150" s="14">
        <f>IFERROR(AVERAGE(Tabel1[[#This Row],[In - V1]],Tabel1[[#This Row],[In - V2]],Tabel1[[#This Row],[In - V3]],Tabel1[[#This Row],[In - V4]]),"")</f>
        <v>1</v>
      </c>
      <c r="DL150" s="14">
        <v>4</v>
      </c>
      <c r="DM150" s="14">
        <v>3</v>
      </c>
      <c r="DN150" s="14">
        <f>IFERROR(AVERAGE(Tabel1[[#This Row],[In - A1a]:[In - A1b]]),"")</f>
        <v>3.5</v>
      </c>
      <c r="DO150" s="14">
        <v>3</v>
      </c>
      <c r="DP150" s="14">
        <v>2</v>
      </c>
      <c r="DQ150" s="14">
        <f>IFERROR(AVERAGE(Tabel1[[#This Row],[In - A2a]:[In - A2b]]),"")</f>
        <v>2.5</v>
      </c>
      <c r="DR150" s="14">
        <v>4</v>
      </c>
      <c r="DS150" s="14">
        <v>2</v>
      </c>
      <c r="DT150" s="14">
        <f>IFERROR(AVERAGE(Tabel1[[#This Row],[In - A3a]:[In - A3a]]),"")</f>
        <v>4</v>
      </c>
      <c r="DU150" s="14">
        <v>2</v>
      </c>
      <c r="DV150" s="14">
        <f>IFERROR(AVERAGE(Tabel1[[#This Row],[In - A1]],Tabel1[[#This Row],[In - A2]],Tabel1[[#This Row],[In - A3]],Tabel1[[#This Row],[In - A4]]),"")</f>
        <v>3</v>
      </c>
      <c r="DW150" s="14">
        <v>1</v>
      </c>
      <c r="DX150" s="14">
        <v>4</v>
      </c>
      <c r="DY150" s="14">
        <v>2</v>
      </c>
      <c r="DZ150" s="14">
        <f>IFERROR(AVERAGE(Tabel1[[#This Row],[Do - R1a]:[Do - R1c]]),"")</f>
        <v>2.3333333333333335</v>
      </c>
      <c r="EA150" s="14">
        <v>2</v>
      </c>
      <c r="EB150" s="14">
        <v>2</v>
      </c>
      <c r="EC150" s="14">
        <v>2</v>
      </c>
      <c r="ED150" s="14" t="s">
        <v>189</v>
      </c>
      <c r="EE150" s="14">
        <f>IFERROR(AVERAGE(Tabel1[[#This Row],[Do - R1]:[Do - R5]]),"")</f>
        <v>2.0833333333333335</v>
      </c>
      <c r="EF150" s="14">
        <v>3</v>
      </c>
      <c r="EG150" s="14">
        <v>4</v>
      </c>
      <c r="EH150" s="14" t="s">
        <v>189</v>
      </c>
      <c r="EI150" s="14">
        <f>IFERROR(AVERAGE(Tabel1[[#This Row],[Do - C1a]:[Do - C1c]]),"")</f>
        <v>3.5</v>
      </c>
      <c r="EJ150" s="14">
        <v>2</v>
      </c>
      <c r="EK150" s="14">
        <v>1</v>
      </c>
      <c r="EL150" s="14">
        <v>2</v>
      </c>
      <c r="EM150" s="14">
        <f>IFERROR(AVERAGE(Tabel1[[#This Row],[Do - C1]:[Do - C4]]),"")</f>
        <v>2.125</v>
      </c>
      <c r="EN150" s="14">
        <v>3</v>
      </c>
      <c r="EO150" s="14">
        <v>1</v>
      </c>
      <c r="EP150" s="14">
        <v>1</v>
      </c>
      <c r="EQ150" s="14">
        <f>IFERROR(AVERAGE(Tabel1[[#This Row],[Do - F1a]:[Do - F1c]]),"")</f>
        <v>1.6666666666666667</v>
      </c>
      <c r="ER150" s="14">
        <v>4</v>
      </c>
      <c r="ES150" s="14">
        <f>IFERROR(AVERAGE(Tabel1[[#This Row],[Do - F2a]:[Do - F2a]]),"")</f>
        <v>4</v>
      </c>
      <c r="ET150" s="14" t="s">
        <v>189</v>
      </c>
      <c r="EU150" s="14">
        <v>4</v>
      </c>
      <c r="EV150" s="14">
        <f>IFERROR(AVERAGE(Tabel1[[#This Row],[Do - F3a]:[Do - F3b]]),"")</f>
        <v>4</v>
      </c>
      <c r="EW150" s="14" t="s">
        <v>189</v>
      </c>
      <c r="EX150" s="14">
        <f>IFERROR(AVERAGE(Tabel1[[#This Row],[Do - F1]],Tabel1[[#This Row],[Do - F2]],Tabel1[[#This Row],[Do - F3]],Tabel1[[#This Row],[Do - F4]]),"")</f>
        <v>3.2222222222222228</v>
      </c>
      <c r="EY150" s="14">
        <v>3</v>
      </c>
      <c r="EZ150" s="14">
        <v>1</v>
      </c>
      <c r="FA150" s="14">
        <v>1</v>
      </c>
      <c r="FB150" s="14">
        <f>IFERROR(AVERAGE(Tabel1[[#This Row],[Do - V1a]:[Do - V1c]]),"")</f>
        <v>1.6666666666666667</v>
      </c>
      <c r="FC150" s="14">
        <v>1</v>
      </c>
      <c r="FD150" s="14">
        <v>1</v>
      </c>
      <c r="FE150" s="14">
        <f>IFERROR(AVERAGE(Tabel1[[#This Row],[Do - V2a]:[Do - V2b]]),"")</f>
        <v>1</v>
      </c>
      <c r="FF150" s="14">
        <v>1</v>
      </c>
      <c r="FG150" s="14">
        <f>IFERROR(AVERAGE(Tabel1[[#This Row],[Do - V3a]:[Do - V3a]]),"")</f>
        <v>1</v>
      </c>
      <c r="FH150" s="14">
        <v>4</v>
      </c>
      <c r="FI150" s="14">
        <f>IFERROR(AVERAGE(Tabel1[[#This Row],[Do - V1]],Tabel1[[#This Row],[Do - V2]],Tabel1[[#This Row],[Do - V3]],Tabel1[[#This Row],[Do - V4]]),"")</f>
        <v>1.9166666666666667</v>
      </c>
      <c r="FJ150" s="14">
        <v>2</v>
      </c>
      <c r="FK150" s="14" t="s">
        <v>189</v>
      </c>
      <c r="FL150" s="14">
        <v>4</v>
      </c>
      <c r="FM150" s="14">
        <f>IFERROR(AVERAGE(Tabel1[[#This Row],[Do - A1a]:[Do - A1c]]),"")</f>
        <v>3</v>
      </c>
      <c r="FN150" s="14">
        <v>2</v>
      </c>
      <c r="FO150" s="14">
        <v>2</v>
      </c>
      <c r="FP150" s="14">
        <f>IFERROR(AVERAGE(Tabel1[[#This Row],[Do - A2a]:[Do - A2b]]),"")</f>
        <v>2</v>
      </c>
      <c r="FQ150" s="14">
        <v>4</v>
      </c>
      <c r="FR150" s="14">
        <f>IFERROR(AVERAGE(Tabel1[[#This Row],[Do - A3a]:[Do - A3a]]),"")</f>
        <v>4</v>
      </c>
      <c r="FS150" s="14">
        <v>1</v>
      </c>
      <c r="FT150" s="14">
        <f>IFERROR(AVERAGE(Tabel1[[#This Row],[Do - A1]],Tabel1[[#This Row],[Do - A2]],Tabel1[[#This Row],[Do - A3]],Tabel1[[#This Row],[Do - A4]]),"")</f>
        <v>2.5</v>
      </c>
      <c r="FU15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2.1942592592592596</v>
      </c>
      <c r="FV150" s="16" t="s">
        <v>906</v>
      </c>
      <c r="FW150" t="b">
        <v>1</v>
      </c>
    </row>
    <row r="151" spans="1:179" x14ac:dyDescent="0.3">
      <c r="A151" s="13">
        <v>45069.54315972222</v>
      </c>
      <c r="B151" t="b">
        <v>0</v>
      </c>
      <c r="C151" s="14" t="s">
        <v>907</v>
      </c>
      <c r="D151" s="14" t="s">
        <v>908</v>
      </c>
      <c r="E151" s="14" t="s">
        <v>909</v>
      </c>
      <c r="F151" s="14" t="s">
        <v>189</v>
      </c>
      <c r="G151" s="14" t="s">
        <v>910</v>
      </c>
      <c r="H151" s="14" t="s">
        <v>194</v>
      </c>
      <c r="I151" s="14" t="s">
        <v>243</v>
      </c>
      <c r="J151" s="14" t="s">
        <v>248</v>
      </c>
      <c r="K151" s="17" t="s">
        <v>304</v>
      </c>
      <c r="L151" s="14" t="s">
        <v>218</v>
      </c>
      <c r="M151" s="14" t="s">
        <v>198</v>
      </c>
      <c r="N151" s="14" t="s">
        <v>316</v>
      </c>
      <c r="O151" s="14" t="s">
        <v>200</v>
      </c>
      <c r="P151" s="14" t="s">
        <v>201</v>
      </c>
      <c r="Q151" s="17" t="s">
        <v>304</v>
      </c>
      <c r="R151" s="14" t="s">
        <v>201</v>
      </c>
      <c r="S151" s="14" t="s">
        <v>203</v>
      </c>
      <c r="T151" s="14" t="s">
        <v>284</v>
      </c>
      <c r="U151" s="14" t="s">
        <v>285</v>
      </c>
      <c r="V151" s="14" t="s">
        <v>359</v>
      </c>
      <c r="W151" s="14" t="s">
        <v>395</v>
      </c>
      <c r="X151" s="14" t="s">
        <v>306</v>
      </c>
      <c r="Y151" s="14">
        <v>3</v>
      </c>
      <c r="Z151" s="14">
        <v>5</v>
      </c>
      <c r="AA151" s="14" t="s">
        <v>189</v>
      </c>
      <c r="AB151" s="15">
        <f>IFERROR(AVERAGE(Tabel1[[#This Row],[Up - R1a]:[Up - R1c]]),"")</f>
        <v>4</v>
      </c>
      <c r="AC151" s="14">
        <v>3</v>
      </c>
      <c r="AD151" s="14">
        <v>1</v>
      </c>
      <c r="AE151" s="14">
        <v>3</v>
      </c>
      <c r="AF151" s="14">
        <v>4</v>
      </c>
      <c r="AG151" s="14">
        <f>IFERROR(AVERAGE(Tabel1[[#This Row],[Up - R1]:[Up - R5]]),"")</f>
        <v>3</v>
      </c>
      <c r="AH151" s="14">
        <v>1</v>
      </c>
      <c r="AI151" s="14">
        <v>1</v>
      </c>
      <c r="AJ151" s="14">
        <v>1</v>
      </c>
      <c r="AK151" s="14">
        <f>IFERROR(AVERAGE(Tabel1[[#This Row],[Up - C1a]:[Up - C1c]]),"")</f>
        <v>1</v>
      </c>
      <c r="AL151" s="14">
        <v>1</v>
      </c>
      <c r="AM151" s="14">
        <v>1</v>
      </c>
      <c r="AN151" s="14">
        <v>2</v>
      </c>
      <c r="AO151" s="14">
        <f>IFERROR(AVERAGE(Tabel1[[#This Row],[Up - C1]:[Up - C4]]),"")</f>
        <v>1.25</v>
      </c>
      <c r="AP151" s="14">
        <v>5</v>
      </c>
      <c r="AQ151" s="14">
        <f>IFERROR(AVERAGE(Tabel1[[#This Row],[Up - F1a]:[Up - F1a]]),"")</f>
        <v>5</v>
      </c>
      <c r="AR151" s="14">
        <v>3</v>
      </c>
      <c r="AS151" s="14">
        <v>5</v>
      </c>
      <c r="AT151" s="14">
        <f>IFERROR(AVERAGE(Tabel1[[#This Row],[Up - F2a]:[Up - F2b]]),"")</f>
        <v>4</v>
      </c>
      <c r="AU151" s="14">
        <v>3</v>
      </c>
      <c r="AV151" s="14">
        <v>2</v>
      </c>
      <c r="AW151" s="14">
        <f>IFERROR(AVERAGE(Tabel1[[#This Row],[Up - F3a]:[Up - F3b]]),"")</f>
        <v>2.5</v>
      </c>
      <c r="AX151" s="14">
        <v>3</v>
      </c>
      <c r="AY151" s="14">
        <f>IFERROR(AVERAGE(Tabel1[[#This Row],[Up - F1]],Tabel1[[#This Row],[Up - F2]],Tabel1[[#This Row],[Up - F3]],Tabel1[[#This Row],[Up - F4]]),"")</f>
        <v>3.625</v>
      </c>
      <c r="AZ151" s="14">
        <v>1</v>
      </c>
      <c r="BA151" s="14">
        <v>4</v>
      </c>
      <c r="BB151" s="14">
        <f>IFERROR(AVERAGE(Tabel1[[#This Row],[Up - V1a]:[Up - V1b]]),"")</f>
        <v>2.5</v>
      </c>
      <c r="BC151" s="14">
        <v>2</v>
      </c>
      <c r="BD151" s="14">
        <v>1</v>
      </c>
      <c r="BE151" s="14">
        <v>1</v>
      </c>
      <c r="BF151" s="14">
        <f>IFERROR(AVERAGE(Tabel1[[#This Row],[Up - V2a]:[Up - V2c]]),"")</f>
        <v>1.3333333333333333</v>
      </c>
      <c r="BG151" s="14">
        <v>3</v>
      </c>
      <c r="BH151" s="14">
        <v>1</v>
      </c>
      <c r="BI151" s="14">
        <f>IFERROR(AVERAGE(Tabel1[[#This Row],[Up - V3a]:[Up - V3b]]),"")</f>
        <v>2</v>
      </c>
      <c r="BJ151" s="14">
        <v>4</v>
      </c>
      <c r="BK151" s="14">
        <f>IFERROR(AVERAGE(Tabel1[[#This Row],[Up - V1]],Tabel1[[#This Row],[Up - V2]],Tabel1[[#This Row],[Up - V3]],Tabel1[[#This Row],[Up - V4]]),"")</f>
        <v>2.458333333333333</v>
      </c>
      <c r="BL151" s="14">
        <v>4</v>
      </c>
      <c r="BM151" s="14">
        <v>2</v>
      </c>
      <c r="BN151" s="14">
        <v>5</v>
      </c>
      <c r="BO151" s="14">
        <v>5</v>
      </c>
      <c r="BP151" s="14">
        <f>IFERROR(AVERAGE(Tabel1[[#This Row],[Up - A1a]:[Up - A1d]]),"")</f>
        <v>4</v>
      </c>
      <c r="BQ151" s="14">
        <v>5</v>
      </c>
      <c r="BR151" s="14">
        <v>1</v>
      </c>
      <c r="BS151" s="14">
        <f>IFERROR(AVERAGE(Tabel1[[#This Row],[Up - A2a]:[Up - A2b]]),"")</f>
        <v>3</v>
      </c>
      <c r="BT151" s="14">
        <v>4</v>
      </c>
      <c r="BU151" s="14">
        <f>IFERROR(AVERAGE(Tabel1[[#This Row],[Up - A3a]:[Up - A3a]]),"")</f>
        <v>4</v>
      </c>
      <c r="BV151" s="14">
        <v>2</v>
      </c>
      <c r="BW151" s="14">
        <f>IFERROR(AVERAGE(Tabel1[[#This Row],[Up - A1]],Tabel1[[#This Row],[Up - A2]],Tabel1[[#This Row],[Up - A3]]),"")</f>
        <v>3.6666666666666665</v>
      </c>
      <c r="BX151" s="14">
        <v>1</v>
      </c>
      <c r="BY151" s="14">
        <v>1</v>
      </c>
      <c r="BZ151" s="14">
        <f>IFERROR(AVERAGE(Tabel1[[#This Row],[In - R1a]:[In - R1b]]),"")</f>
        <v>1</v>
      </c>
      <c r="CA151" s="14">
        <v>4</v>
      </c>
      <c r="CB151" s="14">
        <v>1</v>
      </c>
      <c r="CC151" s="14">
        <v>3</v>
      </c>
      <c r="CD151" s="14">
        <v>5</v>
      </c>
      <c r="CE151" s="14">
        <f>IFERROR(AVERAGE(Tabel1[[#This Row],[In - R1]:[In - R5]]),"")</f>
        <v>2.8</v>
      </c>
      <c r="CF151" s="14">
        <v>4</v>
      </c>
      <c r="CG151" s="14">
        <v>4</v>
      </c>
      <c r="CH151" s="14">
        <v>2</v>
      </c>
      <c r="CI151" s="14">
        <f>IFERROR(AVERAGE(Tabel1[[#This Row],[In - C1a]:[In - C1c]]),"")</f>
        <v>3.3333333333333335</v>
      </c>
      <c r="CJ151" s="14">
        <v>3</v>
      </c>
      <c r="CK151" s="14">
        <v>3</v>
      </c>
      <c r="CL151" s="14">
        <v>3</v>
      </c>
      <c r="CM151" s="14">
        <f>IFERROR(AVERAGE(Tabel1[[#This Row],[In - C1]:[In - C4]]),"")</f>
        <v>3.0833333333333335</v>
      </c>
      <c r="CN151" s="14">
        <v>5</v>
      </c>
      <c r="CO151" s="14">
        <v>4</v>
      </c>
      <c r="CP151" s="14">
        <v>3</v>
      </c>
      <c r="CQ151" s="14">
        <f>IFERROR(AVERAGE(Tabel1[[#This Row],[In - F1a]:[In - F1c]]),"")</f>
        <v>4</v>
      </c>
      <c r="CR151" s="14">
        <v>4</v>
      </c>
      <c r="CS151" s="14">
        <v>5</v>
      </c>
      <c r="CT151" s="14">
        <f>IFERROR(AVERAGE(Tabel1[[#This Row],[In - F2a]:[In - F2b]]),"")</f>
        <v>4.5</v>
      </c>
      <c r="CU151" s="14">
        <v>4</v>
      </c>
      <c r="CV151" s="14">
        <f>IFERROR(AVERAGE(Tabel1[[#This Row],[In - F3a]:[In - F3a]]),"")</f>
        <v>4</v>
      </c>
      <c r="CW151" s="14">
        <v>1</v>
      </c>
      <c r="CX151" s="14">
        <f>IFERROR(AVERAGE(Tabel1[[#This Row],[In - F1]],Tabel1[[#This Row],[In - F2]],Tabel1[[#This Row],[In - F3]],Tabel1[[#This Row],[In - F4]]),"")</f>
        <v>3.375</v>
      </c>
      <c r="CY151" s="14">
        <v>3</v>
      </c>
      <c r="CZ151" s="14">
        <v>3</v>
      </c>
      <c r="DA151" s="14">
        <v>4</v>
      </c>
      <c r="DB151" s="14">
        <f>IFERROR(AVERAGE(Tabel1[[#This Row],[In - V1a]:[In - V1c]]),"")</f>
        <v>3.3333333333333335</v>
      </c>
      <c r="DC151" s="14">
        <v>4</v>
      </c>
      <c r="DD151" s="14">
        <v>1</v>
      </c>
      <c r="DE151" s="14">
        <v>3</v>
      </c>
      <c r="DF151" s="14">
        <f>IFERROR(AVERAGE(Tabel1[[#This Row],[In - V2a]:[In - V2c]]),"")</f>
        <v>2.6666666666666665</v>
      </c>
      <c r="DG151" s="14">
        <v>3</v>
      </c>
      <c r="DH151" s="14">
        <v>1</v>
      </c>
      <c r="DI151" s="14">
        <f>IFERROR(AVERAGE(Tabel1[[#This Row],[In - V3a]:[In - V3b]]),"")</f>
        <v>2</v>
      </c>
      <c r="DJ151" s="14">
        <v>3</v>
      </c>
      <c r="DK151" s="14">
        <f>IFERROR(AVERAGE(Tabel1[[#This Row],[In - V1]],Tabel1[[#This Row],[In - V2]],Tabel1[[#This Row],[In - V3]],Tabel1[[#This Row],[In - V4]]),"")</f>
        <v>2.75</v>
      </c>
      <c r="DL151" s="14">
        <v>3</v>
      </c>
      <c r="DM151" s="14">
        <v>3</v>
      </c>
      <c r="DN151" s="14">
        <f>IFERROR(AVERAGE(Tabel1[[#This Row],[In - A1a]:[In - A1b]]),"")</f>
        <v>3</v>
      </c>
      <c r="DO151" s="14" t="s">
        <v>189</v>
      </c>
      <c r="DP151" s="14">
        <v>3</v>
      </c>
      <c r="DQ151" s="14">
        <f>IFERROR(AVERAGE(Tabel1[[#This Row],[In - A2a]:[In - A2b]]),"")</f>
        <v>3</v>
      </c>
      <c r="DR151" s="14">
        <v>5</v>
      </c>
      <c r="DS151" s="14">
        <v>5</v>
      </c>
      <c r="DT151" s="14">
        <f>IFERROR(AVERAGE(Tabel1[[#This Row],[In - A3a]:[In - A3a]]),"")</f>
        <v>5</v>
      </c>
      <c r="DU151" s="14">
        <v>4</v>
      </c>
      <c r="DV151" s="14">
        <f>IFERROR(AVERAGE(Tabel1[[#This Row],[In - A1]],Tabel1[[#This Row],[In - A2]],Tabel1[[#This Row],[In - A3]],Tabel1[[#This Row],[In - A4]]),"")</f>
        <v>3.75</v>
      </c>
      <c r="DW151" s="14">
        <v>1</v>
      </c>
      <c r="DX151" s="14">
        <v>2</v>
      </c>
      <c r="DY151" s="14">
        <v>1</v>
      </c>
      <c r="DZ151" s="14">
        <f>IFERROR(AVERAGE(Tabel1[[#This Row],[Do - R1a]:[Do - R1c]]),"")</f>
        <v>1.3333333333333333</v>
      </c>
      <c r="EA151" s="14">
        <v>4</v>
      </c>
      <c r="EB151" s="14">
        <v>3</v>
      </c>
      <c r="EC151" s="14">
        <v>2</v>
      </c>
      <c r="ED151" s="14">
        <v>4</v>
      </c>
      <c r="EE151" s="14">
        <f>IFERROR(AVERAGE(Tabel1[[#This Row],[Do - R1]:[Do - R5]]),"")</f>
        <v>2.8666666666666663</v>
      </c>
      <c r="EF151" s="14">
        <v>1</v>
      </c>
      <c r="EG151" s="14">
        <v>1</v>
      </c>
      <c r="EH151" s="14">
        <v>2</v>
      </c>
      <c r="EI151" s="14">
        <f>IFERROR(AVERAGE(Tabel1[[#This Row],[Do - C1a]:[Do - C1c]]),"")</f>
        <v>1.3333333333333333</v>
      </c>
      <c r="EJ151" s="14">
        <v>1</v>
      </c>
      <c r="EK151" s="14">
        <v>1</v>
      </c>
      <c r="EL151" s="14">
        <v>2</v>
      </c>
      <c r="EM151" s="14">
        <f>IFERROR(AVERAGE(Tabel1[[#This Row],[Do - C1]:[Do - C4]]),"")</f>
        <v>1.3333333333333333</v>
      </c>
      <c r="EN151" s="14">
        <v>4</v>
      </c>
      <c r="EO151" s="14">
        <v>5</v>
      </c>
      <c r="EP151" s="14">
        <v>3</v>
      </c>
      <c r="EQ151" s="14">
        <f>IFERROR(AVERAGE(Tabel1[[#This Row],[Do - F1a]:[Do - F1c]]),"")</f>
        <v>4</v>
      </c>
      <c r="ER151" s="14">
        <v>3</v>
      </c>
      <c r="ES151" s="14">
        <f>IFERROR(AVERAGE(Tabel1[[#This Row],[Do - F2a]:[Do - F2a]]),"")</f>
        <v>3</v>
      </c>
      <c r="ET151" s="14">
        <v>2</v>
      </c>
      <c r="EU151" s="14">
        <v>5</v>
      </c>
      <c r="EV151" s="14">
        <f>IFERROR(AVERAGE(Tabel1[[#This Row],[Do - F3a]:[Do - F3b]]),"")</f>
        <v>3.5</v>
      </c>
      <c r="EW151" s="14">
        <v>3</v>
      </c>
      <c r="EX151" s="14">
        <f>IFERROR(AVERAGE(Tabel1[[#This Row],[Do - F1]],Tabel1[[#This Row],[Do - F2]],Tabel1[[#This Row],[Do - F3]],Tabel1[[#This Row],[Do - F4]]),"")</f>
        <v>3.375</v>
      </c>
      <c r="EY151" s="14">
        <v>3</v>
      </c>
      <c r="EZ151" s="14">
        <v>3</v>
      </c>
      <c r="FA151" s="14">
        <v>4</v>
      </c>
      <c r="FB151" s="14">
        <f>IFERROR(AVERAGE(Tabel1[[#This Row],[Do - V1a]:[Do - V1c]]),"")</f>
        <v>3.3333333333333335</v>
      </c>
      <c r="FC151" s="14">
        <v>3</v>
      </c>
      <c r="FD151" s="14">
        <v>2</v>
      </c>
      <c r="FE151" s="14">
        <f>IFERROR(AVERAGE(Tabel1[[#This Row],[Do - V2a]:[Do - V2b]]),"")</f>
        <v>2.5</v>
      </c>
      <c r="FF151" s="14">
        <v>3</v>
      </c>
      <c r="FG151" s="14">
        <f>IFERROR(AVERAGE(Tabel1[[#This Row],[Do - V3a]:[Do - V3a]]),"")</f>
        <v>3</v>
      </c>
      <c r="FH151" s="14">
        <v>3</v>
      </c>
      <c r="FI151" s="14">
        <f>IFERROR(AVERAGE(Tabel1[[#This Row],[Do - V1]],Tabel1[[#This Row],[Do - V2]],Tabel1[[#This Row],[Do - V3]],Tabel1[[#This Row],[Do - V4]]),"")</f>
        <v>2.9583333333333335</v>
      </c>
      <c r="FJ151" s="14">
        <v>5</v>
      </c>
      <c r="FK151" s="14">
        <v>4</v>
      </c>
      <c r="FL151" s="14">
        <v>5</v>
      </c>
      <c r="FM151" s="14">
        <f>IFERROR(AVERAGE(Tabel1[[#This Row],[Do - A1a]:[Do - A1c]]),"")</f>
        <v>4.666666666666667</v>
      </c>
      <c r="FN151" s="14">
        <v>5</v>
      </c>
      <c r="FO151" s="14">
        <v>5</v>
      </c>
      <c r="FP151" s="14">
        <f>IFERROR(AVERAGE(Tabel1[[#This Row],[Do - A2a]:[Do - A2b]]),"")</f>
        <v>5</v>
      </c>
      <c r="FQ151" s="14">
        <v>5</v>
      </c>
      <c r="FR151" s="14">
        <f>IFERROR(AVERAGE(Tabel1[[#This Row],[Do - A3a]:[Do - A3a]]),"")</f>
        <v>5</v>
      </c>
      <c r="FS151" s="14">
        <v>4</v>
      </c>
      <c r="FT151" s="14">
        <f>IFERROR(AVERAGE(Tabel1[[#This Row],[Do - A1]],Tabel1[[#This Row],[Do - A2]],Tabel1[[#This Row],[Do - A3]],Tabel1[[#This Row],[Do - A4]]),"")</f>
        <v>4.666666666666667</v>
      </c>
      <c r="FU15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2.9972222222222218</v>
      </c>
      <c r="FV151" s="16" t="s">
        <v>911</v>
      </c>
      <c r="FW151" t="b">
        <v>1</v>
      </c>
    </row>
    <row r="152" spans="1:179" x14ac:dyDescent="0.3">
      <c r="A152" s="13">
        <v>45069.659861111111</v>
      </c>
      <c r="B152" t="b">
        <v>0</v>
      </c>
      <c r="C152" s="14" t="s">
        <v>912</v>
      </c>
      <c r="D152" s="14" t="s">
        <v>913</v>
      </c>
      <c r="E152" s="14" t="s">
        <v>914</v>
      </c>
      <c r="F152" s="14" t="s">
        <v>898</v>
      </c>
      <c r="G152" s="14"/>
      <c r="H152" s="14" t="s">
        <v>194</v>
      </c>
      <c r="I152" s="14" t="s">
        <v>195</v>
      </c>
      <c r="J152" s="14" t="s">
        <v>915</v>
      </c>
      <c r="K152" s="14" t="s">
        <v>203</v>
      </c>
      <c r="L152" s="14" t="s">
        <v>197</v>
      </c>
      <c r="M152" s="14" t="s">
        <v>188</v>
      </c>
      <c r="N152" s="14" t="s">
        <v>262</v>
      </c>
      <c r="O152" s="14" t="s">
        <v>200</v>
      </c>
      <c r="P152" s="17" t="s">
        <v>304</v>
      </c>
      <c r="Q152" s="17" t="s">
        <v>304</v>
      </c>
      <c r="R152" s="17" t="s">
        <v>304</v>
      </c>
      <c r="S152" s="17" t="s">
        <v>304</v>
      </c>
      <c r="T152" s="14" t="s">
        <v>348</v>
      </c>
      <c r="U152" s="14"/>
      <c r="V152" s="14" t="s">
        <v>224</v>
      </c>
      <c r="W152" s="14" t="s">
        <v>306</v>
      </c>
      <c r="X152" s="14" t="s">
        <v>306</v>
      </c>
      <c r="Y152" s="14">
        <v>4</v>
      </c>
      <c r="Z152" s="14">
        <v>4</v>
      </c>
      <c r="AA152" s="14">
        <v>3</v>
      </c>
      <c r="AB152" s="15">
        <f>IFERROR(AVERAGE(Tabel1[[#This Row],[Up - R1a]:[Up - R1c]]),"")</f>
        <v>3.6666666666666665</v>
      </c>
      <c r="AC152" s="14">
        <v>3</v>
      </c>
      <c r="AD152" s="14">
        <v>4</v>
      </c>
      <c r="AE152" s="14" t="s">
        <v>189</v>
      </c>
      <c r="AF152" s="14" t="s">
        <v>189</v>
      </c>
      <c r="AG152" s="14">
        <f>IFERROR(AVERAGE(Tabel1[[#This Row],[Up - R1]:[Up - R5]]),"")</f>
        <v>3.5555555555555554</v>
      </c>
      <c r="AH152" s="14">
        <v>4</v>
      </c>
      <c r="AI152" s="14">
        <v>4</v>
      </c>
      <c r="AJ152" s="14">
        <v>4</v>
      </c>
      <c r="AK152" s="14">
        <f>IFERROR(AVERAGE(Tabel1[[#This Row],[Up - C1a]:[Up - C1c]]),"")</f>
        <v>4</v>
      </c>
      <c r="AL152" s="14">
        <v>4</v>
      </c>
      <c r="AM152" s="14">
        <v>3</v>
      </c>
      <c r="AN152" s="14" t="s">
        <v>189</v>
      </c>
      <c r="AO152" s="14">
        <f>IFERROR(AVERAGE(Tabel1[[#This Row],[Up - C1]:[Up - C4]]),"")</f>
        <v>3.6666666666666665</v>
      </c>
      <c r="AP152" s="14" t="s">
        <v>189</v>
      </c>
      <c r="AQ152" s="14" t="str">
        <f>IFERROR(AVERAGE(Tabel1[[#This Row],[Up - F1a]:[Up - F1a]]),"")</f>
        <v/>
      </c>
      <c r="AR152" s="14">
        <v>4</v>
      </c>
      <c r="AS152" s="14">
        <v>4</v>
      </c>
      <c r="AT152" s="14">
        <f>IFERROR(AVERAGE(Tabel1[[#This Row],[Up - F2a]:[Up - F2b]]),"")</f>
        <v>4</v>
      </c>
      <c r="AU152" s="14">
        <v>4</v>
      </c>
      <c r="AV152" s="14">
        <v>3</v>
      </c>
      <c r="AW152" s="14">
        <f>IFERROR(AVERAGE(Tabel1[[#This Row],[Up - F3a]:[Up - F3b]]),"")</f>
        <v>3.5</v>
      </c>
      <c r="AX152" s="14" t="s">
        <v>189</v>
      </c>
      <c r="AY152" s="14">
        <f>IFERROR(AVERAGE(Tabel1[[#This Row],[Up - F1]],Tabel1[[#This Row],[Up - F2]],Tabel1[[#This Row],[Up - F3]],Tabel1[[#This Row],[Up - F4]]),"")</f>
        <v>3.75</v>
      </c>
      <c r="AZ152" s="14">
        <v>4</v>
      </c>
      <c r="BA152" s="14" t="s">
        <v>189</v>
      </c>
      <c r="BB152" s="14">
        <f>IFERROR(AVERAGE(Tabel1[[#This Row],[Up - V1a]:[Up - V1b]]),"")</f>
        <v>4</v>
      </c>
      <c r="BC152" s="14">
        <v>4</v>
      </c>
      <c r="BD152" s="14">
        <v>4</v>
      </c>
      <c r="BE152" s="14" t="s">
        <v>189</v>
      </c>
      <c r="BF152" s="14">
        <f>IFERROR(AVERAGE(Tabel1[[#This Row],[Up - V2a]:[Up - V2c]]),"")</f>
        <v>4</v>
      </c>
      <c r="BG152" s="14">
        <v>3</v>
      </c>
      <c r="BH152" s="14" t="s">
        <v>189</v>
      </c>
      <c r="BI152" s="14">
        <f>IFERROR(AVERAGE(Tabel1[[#This Row],[Up - V3a]:[Up - V3b]]),"")</f>
        <v>3</v>
      </c>
      <c r="BJ152" s="14" t="s">
        <v>189</v>
      </c>
      <c r="BK152" s="14">
        <f>IFERROR(AVERAGE(Tabel1[[#This Row],[Up - V1]],Tabel1[[#This Row],[Up - V2]],Tabel1[[#This Row],[Up - V3]],Tabel1[[#This Row],[Up - V4]]),"")</f>
        <v>3.6666666666666665</v>
      </c>
      <c r="BL152" s="14">
        <v>4</v>
      </c>
      <c r="BM152" s="14">
        <v>4</v>
      </c>
      <c r="BN152" s="14">
        <v>4</v>
      </c>
      <c r="BO152" s="14" t="s">
        <v>189</v>
      </c>
      <c r="BP152" s="14">
        <f>IFERROR(AVERAGE(Tabel1[[#This Row],[Up - A1a]:[Up - A1d]]),"")</f>
        <v>4</v>
      </c>
      <c r="BQ152" s="14" t="s">
        <v>189</v>
      </c>
      <c r="BR152" s="14" t="s">
        <v>189</v>
      </c>
      <c r="BS152" s="14" t="str">
        <f>IFERROR(AVERAGE(Tabel1[[#This Row],[Up - A2a]:[Up - A2b]]),"")</f>
        <v/>
      </c>
      <c r="BT152" s="14" t="s">
        <v>189</v>
      </c>
      <c r="BU152" s="14" t="str">
        <f>IFERROR(AVERAGE(Tabel1[[#This Row],[Up - A3a]:[Up - A3a]]),"")</f>
        <v/>
      </c>
      <c r="BV152" s="14" t="s">
        <v>189</v>
      </c>
      <c r="BW152" s="14">
        <f>IFERROR(AVERAGE(Tabel1[[#This Row],[Up - A1]],Tabel1[[#This Row],[Up - A2]],Tabel1[[#This Row],[Up - A3]]),"")</f>
        <v>4</v>
      </c>
      <c r="BX152" s="14">
        <v>4</v>
      </c>
      <c r="BY152" s="14">
        <v>3</v>
      </c>
      <c r="BZ152" s="14">
        <f>IFERROR(AVERAGE(Tabel1[[#This Row],[In - R1a]:[In - R1b]]),"")</f>
        <v>3.5</v>
      </c>
      <c r="CA152" s="14">
        <v>4</v>
      </c>
      <c r="CB152" s="14">
        <v>3</v>
      </c>
      <c r="CC152" s="14">
        <v>3</v>
      </c>
      <c r="CD152" s="14" t="s">
        <v>189</v>
      </c>
      <c r="CE152" s="14">
        <f>IFERROR(AVERAGE(Tabel1[[#This Row],[In - R1]:[In - R5]]),"")</f>
        <v>3.375</v>
      </c>
      <c r="CF152" s="14">
        <v>4</v>
      </c>
      <c r="CG152" s="14">
        <v>4</v>
      </c>
      <c r="CH152" s="14">
        <v>4</v>
      </c>
      <c r="CI152" s="14">
        <f>IFERROR(AVERAGE(Tabel1[[#This Row],[In - C1a]:[In - C1c]]),"")</f>
        <v>4</v>
      </c>
      <c r="CJ152" s="14">
        <v>4</v>
      </c>
      <c r="CK152" s="14">
        <v>3</v>
      </c>
      <c r="CL152" s="14">
        <v>4</v>
      </c>
      <c r="CM152" s="14">
        <f>IFERROR(AVERAGE(Tabel1[[#This Row],[In - C1]:[In - C4]]),"")</f>
        <v>3.75</v>
      </c>
      <c r="CN152" s="14">
        <v>4</v>
      </c>
      <c r="CO152" s="14">
        <v>3</v>
      </c>
      <c r="CP152" s="14">
        <v>3</v>
      </c>
      <c r="CQ152" s="14">
        <f>IFERROR(AVERAGE(Tabel1[[#This Row],[In - F1a]:[In - F1c]]),"")</f>
        <v>3.3333333333333335</v>
      </c>
      <c r="CR152" s="14">
        <v>3</v>
      </c>
      <c r="CS152" s="14">
        <v>3</v>
      </c>
      <c r="CT152" s="14">
        <f>IFERROR(AVERAGE(Tabel1[[#This Row],[In - F2a]:[In - F2b]]),"")</f>
        <v>3</v>
      </c>
      <c r="CU152" s="14">
        <v>3</v>
      </c>
      <c r="CV152" s="14">
        <f>IFERROR(AVERAGE(Tabel1[[#This Row],[In - F3a]:[In - F3a]]),"")</f>
        <v>3</v>
      </c>
      <c r="CW152" s="14" t="s">
        <v>189</v>
      </c>
      <c r="CX152" s="14">
        <f>IFERROR(AVERAGE(Tabel1[[#This Row],[In - F1]],Tabel1[[#This Row],[In - F2]],Tabel1[[#This Row],[In - F3]],Tabel1[[#This Row],[In - F4]]),"")</f>
        <v>3.1111111111111112</v>
      </c>
      <c r="CY152" s="14">
        <v>4</v>
      </c>
      <c r="CZ152" s="14">
        <v>4</v>
      </c>
      <c r="DA152" s="14">
        <v>4</v>
      </c>
      <c r="DB152" s="14">
        <f>IFERROR(AVERAGE(Tabel1[[#This Row],[In - V1a]:[In - V1c]]),"")</f>
        <v>4</v>
      </c>
      <c r="DC152" s="14">
        <v>4</v>
      </c>
      <c r="DD152" s="14">
        <v>4</v>
      </c>
      <c r="DE152" s="14">
        <v>4</v>
      </c>
      <c r="DF152" s="14">
        <f>IFERROR(AVERAGE(Tabel1[[#This Row],[In - V2a]:[In - V2c]]),"")</f>
        <v>4</v>
      </c>
      <c r="DG152" s="14">
        <v>3</v>
      </c>
      <c r="DH152" s="14">
        <v>3</v>
      </c>
      <c r="DI152" s="14">
        <f>IFERROR(AVERAGE(Tabel1[[#This Row],[In - V3a]:[In - V3b]]),"")</f>
        <v>3</v>
      </c>
      <c r="DJ152" s="14" t="s">
        <v>189</v>
      </c>
      <c r="DK152" s="14">
        <f>IFERROR(AVERAGE(Tabel1[[#This Row],[In - V1]],Tabel1[[#This Row],[In - V2]],Tabel1[[#This Row],[In - V3]],Tabel1[[#This Row],[In - V4]]),"")</f>
        <v>3.6666666666666665</v>
      </c>
      <c r="DL152" s="14">
        <v>4</v>
      </c>
      <c r="DM152" s="14">
        <v>4</v>
      </c>
      <c r="DN152" s="14">
        <f>IFERROR(AVERAGE(Tabel1[[#This Row],[In - A1a]:[In - A1b]]),"")</f>
        <v>4</v>
      </c>
      <c r="DO152" s="14">
        <v>4</v>
      </c>
      <c r="DP152" s="14">
        <v>4</v>
      </c>
      <c r="DQ152" s="14">
        <f>IFERROR(AVERAGE(Tabel1[[#This Row],[In - A2a]:[In - A2b]]),"")</f>
        <v>4</v>
      </c>
      <c r="DR152" s="14">
        <v>4</v>
      </c>
      <c r="DS152" s="14">
        <v>4</v>
      </c>
      <c r="DT152" s="14">
        <f>IFERROR(AVERAGE(Tabel1[[#This Row],[In - A3a]:[In - A3a]]),"")</f>
        <v>4</v>
      </c>
      <c r="DU152" s="14">
        <v>4</v>
      </c>
      <c r="DV152" s="14">
        <f>IFERROR(AVERAGE(Tabel1[[#This Row],[In - A1]],Tabel1[[#This Row],[In - A2]],Tabel1[[#This Row],[In - A3]],Tabel1[[#This Row],[In - A4]]),"")</f>
        <v>4</v>
      </c>
      <c r="DW152" s="14">
        <v>4</v>
      </c>
      <c r="DX152" s="14">
        <v>4</v>
      </c>
      <c r="DY152" s="14">
        <v>3</v>
      </c>
      <c r="DZ152" s="14">
        <f>IFERROR(AVERAGE(Tabel1[[#This Row],[Do - R1a]:[Do - R1c]]),"")</f>
        <v>3.6666666666666665</v>
      </c>
      <c r="EA152" s="14">
        <v>3</v>
      </c>
      <c r="EB152" s="14">
        <v>4</v>
      </c>
      <c r="EC152" s="14" t="s">
        <v>189</v>
      </c>
      <c r="ED152" s="14" t="s">
        <v>189</v>
      </c>
      <c r="EE152" s="14">
        <f>IFERROR(AVERAGE(Tabel1[[#This Row],[Do - R1]:[Do - R5]]),"")</f>
        <v>3.5555555555555554</v>
      </c>
      <c r="EF152" s="14">
        <v>4</v>
      </c>
      <c r="EG152" s="14">
        <v>4</v>
      </c>
      <c r="EH152" s="14">
        <v>4</v>
      </c>
      <c r="EI152" s="14">
        <f>IFERROR(AVERAGE(Tabel1[[#This Row],[Do - C1a]:[Do - C1c]]),"")</f>
        <v>4</v>
      </c>
      <c r="EJ152" s="14">
        <v>3</v>
      </c>
      <c r="EK152" s="14">
        <v>2</v>
      </c>
      <c r="EL152" s="14">
        <v>5</v>
      </c>
      <c r="EM152" s="14">
        <f>IFERROR(AVERAGE(Tabel1[[#This Row],[Do - C1]:[Do - C4]]),"")</f>
        <v>3.5</v>
      </c>
      <c r="EN152" s="14" t="s">
        <v>189</v>
      </c>
      <c r="EO152" s="14" t="s">
        <v>189</v>
      </c>
      <c r="EP152" s="14" t="s">
        <v>189</v>
      </c>
      <c r="EQ152" s="14" t="str">
        <f>IFERROR(AVERAGE(Tabel1[[#This Row],[Do - F1a]:[Do - F1c]]),"")</f>
        <v/>
      </c>
      <c r="ER152" s="14" t="s">
        <v>189</v>
      </c>
      <c r="ES152" s="14" t="str">
        <f>IFERROR(AVERAGE(Tabel1[[#This Row],[Do - F2a]:[Do - F2a]]),"")</f>
        <v/>
      </c>
      <c r="ET152" s="14">
        <v>4</v>
      </c>
      <c r="EU152" s="14" t="s">
        <v>189</v>
      </c>
      <c r="EV152" s="14">
        <f>IFERROR(AVERAGE(Tabel1[[#This Row],[Do - F3a]:[Do - F3b]]),"")</f>
        <v>4</v>
      </c>
      <c r="EW152" s="14" t="s">
        <v>189</v>
      </c>
      <c r="EX152" s="14">
        <f>IFERROR(AVERAGE(Tabel1[[#This Row],[Do - F1]],Tabel1[[#This Row],[Do - F2]],Tabel1[[#This Row],[Do - F3]],Tabel1[[#This Row],[Do - F4]]),"")</f>
        <v>4</v>
      </c>
      <c r="EY152" s="14">
        <v>4</v>
      </c>
      <c r="EZ152" s="14">
        <v>4</v>
      </c>
      <c r="FA152" s="14">
        <v>3</v>
      </c>
      <c r="FB152" s="14">
        <f>IFERROR(AVERAGE(Tabel1[[#This Row],[Do - V1a]:[Do - V1c]]),"")</f>
        <v>3.6666666666666665</v>
      </c>
      <c r="FC152" s="14">
        <v>4</v>
      </c>
      <c r="FD152" s="14">
        <v>4</v>
      </c>
      <c r="FE152" s="14">
        <f>IFERROR(AVERAGE(Tabel1[[#This Row],[Do - V2a]:[Do - V2b]]),"")</f>
        <v>4</v>
      </c>
      <c r="FF152" s="14" t="s">
        <v>189</v>
      </c>
      <c r="FG152" s="14" t="str">
        <f>IFERROR(AVERAGE(Tabel1[[#This Row],[Do - V3a]:[Do - V3a]]),"")</f>
        <v/>
      </c>
      <c r="FH152" s="14" t="s">
        <v>189</v>
      </c>
      <c r="FI152" s="14">
        <f>IFERROR(AVERAGE(Tabel1[[#This Row],[Do - V1]],Tabel1[[#This Row],[Do - V2]],Tabel1[[#This Row],[Do - V3]],Tabel1[[#This Row],[Do - V4]]),"")</f>
        <v>3.833333333333333</v>
      </c>
      <c r="FJ152" s="14">
        <v>4</v>
      </c>
      <c r="FK152" s="14">
        <v>3</v>
      </c>
      <c r="FL152" s="14">
        <v>3</v>
      </c>
      <c r="FM152" s="14">
        <f>IFERROR(AVERAGE(Tabel1[[#This Row],[Do - A1a]:[Do - A1c]]),"")</f>
        <v>3.3333333333333335</v>
      </c>
      <c r="FN152" s="14">
        <v>4</v>
      </c>
      <c r="FO152" s="14">
        <v>4</v>
      </c>
      <c r="FP152" s="14">
        <f>IFERROR(AVERAGE(Tabel1[[#This Row],[Do - A2a]:[Do - A2b]]),"")</f>
        <v>4</v>
      </c>
      <c r="FQ152" s="14" t="s">
        <v>189</v>
      </c>
      <c r="FR152" s="14" t="str">
        <f>IFERROR(AVERAGE(Tabel1[[#This Row],[Do - A3a]:[Do - A3a]]),"")</f>
        <v/>
      </c>
      <c r="FS152" s="14" t="s">
        <v>189</v>
      </c>
      <c r="FT152" s="14">
        <f>IFERROR(AVERAGE(Tabel1[[#This Row],[Do - A1]],Tabel1[[#This Row],[Do - A2]],Tabel1[[#This Row],[Do - A3]],Tabel1[[#This Row],[Do - A4]]),"")</f>
        <v>3.666666666666667</v>
      </c>
      <c r="FU15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3.6731481481481483</v>
      </c>
      <c r="FV152" s="16" t="s">
        <v>916</v>
      </c>
      <c r="FW152" t="b">
        <v>1</v>
      </c>
    </row>
    <row r="153" spans="1:179" x14ac:dyDescent="0.3">
      <c r="A153" s="13">
        <v>45070.491840277777</v>
      </c>
      <c r="B153" t="b">
        <v>0</v>
      </c>
      <c r="C153" s="14" t="s">
        <v>917</v>
      </c>
      <c r="D153" s="14" t="s">
        <v>913</v>
      </c>
      <c r="E153" s="14" t="s">
        <v>664</v>
      </c>
      <c r="F153" s="14"/>
      <c r="G153" s="14"/>
      <c r="H153" s="14" t="s">
        <v>194</v>
      </c>
      <c r="I153" s="14" t="s">
        <v>195</v>
      </c>
      <c r="J153" s="14" t="s">
        <v>273</v>
      </c>
      <c r="K153" s="14" t="s">
        <v>187</v>
      </c>
      <c r="L153" s="14" t="s">
        <v>249</v>
      </c>
      <c r="M153" s="14"/>
      <c r="N153" s="14"/>
      <c r="O153" s="14" t="s">
        <v>200</v>
      </c>
      <c r="P153" s="17" t="s">
        <v>304</v>
      </c>
      <c r="Q153" s="14" t="s">
        <v>203</v>
      </c>
      <c r="R153" s="14" t="s">
        <v>187</v>
      </c>
      <c r="S153" s="14" t="s">
        <v>201</v>
      </c>
      <c r="T153" s="14"/>
      <c r="U153" s="14" t="s">
        <v>205</v>
      </c>
      <c r="V153" s="14" t="s">
        <v>206</v>
      </c>
      <c r="W153" s="14" t="s">
        <v>207</v>
      </c>
      <c r="X153" s="14" t="s">
        <v>207</v>
      </c>
      <c r="Y153" s="14">
        <v>5</v>
      </c>
      <c r="Z153" s="14">
        <v>4</v>
      </c>
      <c r="AA153" s="14">
        <v>5</v>
      </c>
      <c r="AB153" s="15">
        <f>IFERROR(AVERAGE(Tabel1[[#This Row],[Up - R1a]:[Up - R1c]]),"")</f>
        <v>4.666666666666667</v>
      </c>
      <c r="AC153" s="14">
        <v>5</v>
      </c>
      <c r="AD153" s="14">
        <v>5</v>
      </c>
      <c r="AE153" s="14" t="s">
        <v>189</v>
      </c>
      <c r="AF153" s="14">
        <v>4</v>
      </c>
      <c r="AG153" s="14">
        <f>IFERROR(AVERAGE(Tabel1[[#This Row],[Up - R1]:[Up - R5]]),"")</f>
        <v>4.666666666666667</v>
      </c>
      <c r="AH153" s="14">
        <v>5</v>
      </c>
      <c r="AI153" s="14">
        <v>5</v>
      </c>
      <c r="AJ153" s="14">
        <v>5</v>
      </c>
      <c r="AK153" s="14">
        <f>IFERROR(AVERAGE(Tabel1[[#This Row],[Up - C1a]:[Up - C1c]]),"")</f>
        <v>5</v>
      </c>
      <c r="AL153" s="14">
        <v>5</v>
      </c>
      <c r="AM153" s="14">
        <v>5</v>
      </c>
      <c r="AN153" s="14">
        <v>5</v>
      </c>
      <c r="AO153" s="14">
        <f>IFERROR(AVERAGE(Tabel1[[#This Row],[Up - C1]:[Up - C4]]),"")</f>
        <v>5</v>
      </c>
      <c r="AP153" s="14" t="s">
        <v>189</v>
      </c>
      <c r="AQ153" s="14" t="str">
        <f>IFERROR(AVERAGE(Tabel1[[#This Row],[Up - F1a]:[Up - F1a]]),"")</f>
        <v/>
      </c>
      <c r="AR153" s="14">
        <v>4</v>
      </c>
      <c r="AS153" s="14">
        <v>5</v>
      </c>
      <c r="AT153" s="14">
        <f>IFERROR(AVERAGE(Tabel1[[#This Row],[Up - F2a]:[Up - F2b]]),"")</f>
        <v>4.5</v>
      </c>
      <c r="AU153" s="14">
        <v>5</v>
      </c>
      <c r="AV153" s="14">
        <v>5</v>
      </c>
      <c r="AW153" s="14">
        <f>IFERROR(AVERAGE(Tabel1[[#This Row],[Up - F3a]:[Up - F3b]]),"")</f>
        <v>5</v>
      </c>
      <c r="AX153" s="14">
        <v>4</v>
      </c>
      <c r="AY153" s="14">
        <f>IFERROR(AVERAGE(Tabel1[[#This Row],[Up - F1]],Tabel1[[#This Row],[Up - F2]],Tabel1[[#This Row],[Up - F3]],Tabel1[[#This Row],[Up - F4]]),"")</f>
        <v>4.5</v>
      </c>
      <c r="AZ153" s="14">
        <v>5</v>
      </c>
      <c r="BA153" s="14">
        <v>3</v>
      </c>
      <c r="BB153" s="14">
        <f>IFERROR(AVERAGE(Tabel1[[#This Row],[Up - V1a]:[Up - V1b]]),"")</f>
        <v>4</v>
      </c>
      <c r="BC153" s="14">
        <v>5</v>
      </c>
      <c r="BD153" s="14">
        <v>5</v>
      </c>
      <c r="BE153" s="14">
        <v>5</v>
      </c>
      <c r="BF153" s="14">
        <f>IFERROR(AVERAGE(Tabel1[[#This Row],[Up - V2a]:[Up - V2c]]),"")</f>
        <v>5</v>
      </c>
      <c r="BG153" s="14">
        <v>5</v>
      </c>
      <c r="BH153" s="14">
        <v>5</v>
      </c>
      <c r="BI153" s="14">
        <f>IFERROR(AVERAGE(Tabel1[[#This Row],[Up - V3a]:[Up - V3b]]),"")</f>
        <v>5</v>
      </c>
      <c r="BJ153" s="14">
        <v>5</v>
      </c>
      <c r="BK153" s="14">
        <f>IFERROR(AVERAGE(Tabel1[[#This Row],[Up - V1]],Tabel1[[#This Row],[Up - V2]],Tabel1[[#This Row],[Up - V3]],Tabel1[[#This Row],[Up - V4]]),"")</f>
        <v>4.75</v>
      </c>
      <c r="BL153" s="14">
        <v>5</v>
      </c>
      <c r="BM153" s="14">
        <v>4</v>
      </c>
      <c r="BN153" s="14">
        <v>5</v>
      </c>
      <c r="BO153" s="14" t="s">
        <v>189</v>
      </c>
      <c r="BP153" s="14">
        <f>IFERROR(AVERAGE(Tabel1[[#This Row],[Up - A1a]:[Up - A1d]]),"")</f>
        <v>4.666666666666667</v>
      </c>
      <c r="BQ153" s="14" t="s">
        <v>189</v>
      </c>
      <c r="BR153" s="14">
        <v>4</v>
      </c>
      <c r="BS153" s="14">
        <f>IFERROR(AVERAGE(Tabel1[[#This Row],[Up - A2a]:[Up - A2b]]),"")</f>
        <v>4</v>
      </c>
      <c r="BT153" s="14">
        <v>4</v>
      </c>
      <c r="BU153" s="14">
        <f>IFERROR(AVERAGE(Tabel1[[#This Row],[Up - A3a]:[Up - A3a]]),"")</f>
        <v>4</v>
      </c>
      <c r="BV153" s="14" t="s">
        <v>189</v>
      </c>
      <c r="BW153" s="14">
        <f>IFERROR(AVERAGE(Tabel1[[#This Row],[Up - A1]],Tabel1[[#This Row],[Up - A2]],Tabel1[[#This Row],[Up - A3]]),"")</f>
        <v>4.2222222222222223</v>
      </c>
      <c r="BX153" s="14">
        <v>5</v>
      </c>
      <c r="BY153" s="14">
        <v>5</v>
      </c>
      <c r="BZ153" s="14">
        <f>IFERROR(AVERAGE(Tabel1[[#This Row],[In - R1a]:[In - R1b]]),"")</f>
        <v>5</v>
      </c>
      <c r="CA153" s="14">
        <v>5</v>
      </c>
      <c r="CB153" s="14">
        <v>5</v>
      </c>
      <c r="CC153" s="14" t="s">
        <v>189</v>
      </c>
      <c r="CD153" s="14">
        <v>5</v>
      </c>
      <c r="CE153" s="14">
        <f>IFERROR(AVERAGE(Tabel1[[#This Row],[In - R1]:[In - R5]]),"")</f>
        <v>5</v>
      </c>
      <c r="CF153" s="14">
        <v>5</v>
      </c>
      <c r="CG153" s="14">
        <v>5</v>
      </c>
      <c r="CH153" s="14">
        <v>5</v>
      </c>
      <c r="CI153" s="14">
        <f>IFERROR(AVERAGE(Tabel1[[#This Row],[In - C1a]:[In - C1c]]),"")</f>
        <v>5</v>
      </c>
      <c r="CJ153" s="14">
        <v>5</v>
      </c>
      <c r="CK153" s="14">
        <v>5</v>
      </c>
      <c r="CL153" s="14" t="s">
        <v>189</v>
      </c>
      <c r="CM153" s="14">
        <f>IFERROR(AVERAGE(Tabel1[[#This Row],[In - C1]:[In - C4]]),"")</f>
        <v>5</v>
      </c>
      <c r="CN153" s="14">
        <v>4</v>
      </c>
      <c r="CO153" s="14">
        <v>4</v>
      </c>
      <c r="CP153" s="14">
        <v>3</v>
      </c>
      <c r="CQ153" s="14">
        <f>IFERROR(AVERAGE(Tabel1[[#This Row],[In - F1a]:[In - F1c]]),"")</f>
        <v>3.6666666666666665</v>
      </c>
      <c r="CR153" s="14">
        <v>5</v>
      </c>
      <c r="CS153" s="14" t="s">
        <v>189</v>
      </c>
      <c r="CT153" s="14">
        <f>IFERROR(AVERAGE(Tabel1[[#This Row],[In - F2a]:[In - F2b]]),"")</f>
        <v>5</v>
      </c>
      <c r="CU153" s="14">
        <v>3</v>
      </c>
      <c r="CV153" s="14">
        <f>IFERROR(AVERAGE(Tabel1[[#This Row],[In - F3a]:[In - F3a]]),"")</f>
        <v>3</v>
      </c>
      <c r="CW153" s="14">
        <v>5</v>
      </c>
      <c r="CX153" s="14">
        <f>IFERROR(AVERAGE(Tabel1[[#This Row],[In - F1]],Tabel1[[#This Row],[In - F2]],Tabel1[[#This Row],[In - F3]],Tabel1[[#This Row],[In - F4]]),"")</f>
        <v>4.1666666666666661</v>
      </c>
      <c r="CY153" s="14">
        <v>5</v>
      </c>
      <c r="CZ153" s="14">
        <v>5</v>
      </c>
      <c r="DA153" s="14">
        <v>5</v>
      </c>
      <c r="DB153" s="14">
        <f>IFERROR(AVERAGE(Tabel1[[#This Row],[In - V1a]:[In - V1c]]),"")</f>
        <v>5</v>
      </c>
      <c r="DC153" s="14">
        <v>5</v>
      </c>
      <c r="DD153" s="14">
        <v>5</v>
      </c>
      <c r="DE153" s="14">
        <v>5</v>
      </c>
      <c r="DF153" s="14">
        <f>IFERROR(AVERAGE(Tabel1[[#This Row],[In - V2a]:[In - V2c]]),"")</f>
        <v>5</v>
      </c>
      <c r="DG153" s="14">
        <v>5</v>
      </c>
      <c r="DH153" s="14">
        <v>5</v>
      </c>
      <c r="DI153" s="14">
        <f>IFERROR(AVERAGE(Tabel1[[#This Row],[In - V3a]:[In - V3b]]),"")</f>
        <v>5</v>
      </c>
      <c r="DJ153" s="14">
        <v>5</v>
      </c>
      <c r="DK153" s="14">
        <f>IFERROR(AVERAGE(Tabel1[[#This Row],[In - V1]],Tabel1[[#This Row],[In - V2]],Tabel1[[#This Row],[In - V3]],Tabel1[[#This Row],[In - V4]]),"")</f>
        <v>5</v>
      </c>
      <c r="DL153" s="14">
        <v>5</v>
      </c>
      <c r="DM153" s="14">
        <v>5</v>
      </c>
      <c r="DN153" s="14">
        <f>IFERROR(AVERAGE(Tabel1[[#This Row],[In - A1a]:[In - A1b]]),"")</f>
        <v>5</v>
      </c>
      <c r="DO153" s="14">
        <v>4</v>
      </c>
      <c r="DP153" s="14">
        <v>4</v>
      </c>
      <c r="DQ153" s="14">
        <f>IFERROR(AVERAGE(Tabel1[[#This Row],[In - A2a]:[In - A2b]]),"")</f>
        <v>4</v>
      </c>
      <c r="DR153" s="14">
        <v>4</v>
      </c>
      <c r="DS153" s="14">
        <v>5</v>
      </c>
      <c r="DT153" s="14">
        <f>IFERROR(AVERAGE(Tabel1[[#This Row],[In - A3a]:[In - A3a]]),"")</f>
        <v>4</v>
      </c>
      <c r="DU153" s="14">
        <v>5</v>
      </c>
      <c r="DV153" s="14">
        <f>IFERROR(AVERAGE(Tabel1[[#This Row],[In - A1]],Tabel1[[#This Row],[In - A2]],Tabel1[[#This Row],[In - A3]],Tabel1[[#This Row],[In - A4]]),"")</f>
        <v>4.5</v>
      </c>
      <c r="DW153" s="14">
        <v>5</v>
      </c>
      <c r="DX153" s="14">
        <v>5</v>
      </c>
      <c r="DY153" s="14">
        <v>5</v>
      </c>
      <c r="DZ153" s="14">
        <f>IFERROR(AVERAGE(Tabel1[[#This Row],[Do - R1a]:[Do - R1c]]),"")</f>
        <v>5</v>
      </c>
      <c r="EA153" s="14">
        <v>5</v>
      </c>
      <c r="EB153" s="14">
        <v>5</v>
      </c>
      <c r="EC153" s="14" t="s">
        <v>189</v>
      </c>
      <c r="ED153" s="14">
        <v>4</v>
      </c>
      <c r="EE153" s="14">
        <f>IFERROR(AVERAGE(Tabel1[[#This Row],[Do - R1]:[Do - R5]]),"")</f>
        <v>4.75</v>
      </c>
      <c r="EF153" s="14">
        <v>5</v>
      </c>
      <c r="EG153" s="14">
        <v>5</v>
      </c>
      <c r="EH153" s="14">
        <v>5</v>
      </c>
      <c r="EI153" s="14">
        <f>IFERROR(AVERAGE(Tabel1[[#This Row],[Do - C1a]:[Do - C1c]]),"")</f>
        <v>5</v>
      </c>
      <c r="EJ153" s="14">
        <v>5</v>
      </c>
      <c r="EK153" s="14">
        <v>5</v>
      </c>
      <c r="EL153" s="14">
        <v>5</v>
      </c>
      <c r="EM153" s="14">
        <f>IFERROR(AVERAGE(Tabel1[[#This Row],[Do - C1]:[Do - C4]]),"")</f>
        <v>5</v>
      </c>
      <c r="EN153" s="14" t="s">
        <v>189</v>
      </c>
      <c r="EO153" s="14" t="s">
        <v>189</v>
      </c>
      <c r="EP153" s="14">
        <v>5</v>
      </c>
      <c r="EQ153" s="14">
        <f>IFERROR(AVERAGE(Tabel1[[#This Row],[Do - F1a]:[Do - F1c]]),"")</f>
        <v>5</v>
      </c>
      <c r="ER153" s="14">
        <v>4</v>
      </c>
      <c r="ES153" s="14">
        <f>IFERROR(AVERAGE(Tabel1[[#This Row],[Do - F2a]:[Do - F2a]]),"")</f>
        <v>4</v>
      </c>
      <c r="ET153" s="14">
        <v>4</v>
      </c>
      <c r="EU153" s="14">
        <v>4</v>
      </c>
      <c r="EV153" s="14">
        <f>IFERROR(AVERAGE(Tabel1[[#This Row],[Do - F3a]:[Do - F3b]]),"")</f>
        <v>4</v>
      </c>
      <c r="EW153" s="14" t="s">
        <v>189</v>
      </c>
      <c r="EX153" s="14">
        <f>IFERROR(AVERAGE(Tabel1[[#This Row],[Do - F1]],Tabel1[[#This Row],[Do - F2]],Tabel1[[#This Row],[Do - F3]],Tabel1[[#This Row],[Do - F4]]),"")</f>
        <v>4.333333333333333</v>
      </c>
      <c r="EY153" s="14">
        <v>4</v>
      </c>
      <c r="EZ153" s="14">
        <v>4</v>
      </c>
      <c r="FA153" s="14">
        <v>5</v>
      </c>
      <c r="FB153" s="14">
        <f>IFERROR(AVERAGE(Tabel1[[#This Row],[Do - V1a]:[Do - V1c]]),"")</f>
        <v>4.333333333333333</v>
      </c>
      <c r="FC153" s="14">
        <v>5</v>
      </c>
      <c r="FD153" s="14">
        <v>5</v>
      </c>
      <c r="FE153" s="14">
        <f>IFERROR(AVERAGE(Tabel1[[#This Row],[Do - V2a]:[Do - V2b]]),"")</f>
        <v>5</v>
      </c>
      <c r="FF153" s="14">
        <v>5</v>
      </c>
      <c r="FG153" s="14">
        <f>IFERROR(AVERAGE(Tabel1[[#This Row],[Do - V3a]:[Do - V3a]]),"")</f>
        <v>5</v>
      </c>
      <c r="FH153" s="14">
        <v>5</v>
      </c>
      <c r="FI153" s="14">
        <f>IFERROR(AVERAGE(Tabel1[[#This Row],[Do - V1]],Tabel1[[#This Row],[Do - V2]],Tabel1[[#This Row],[Do - V3]],Tabel1[[#This Row],[Do - V4]]),"")</f>
        <v>4.833333333333333</v>
      </c>
      <c r="FJ153" s="14">
        <v>5</v>
      </c>
      <c r="FK153" s="14">
        <v>4</v>
      </c>
      <c r="FL153" s="14">
        <v>5</v>
      </c>
      <c r="FM153" s="14">
        <f>IFERROR(AVERAGE(Tabel1[[#This Row],[Do - A1a]:[Do - A1c]]),"")</f>
        <v>4.666666666666667</v>
      </c>
      <c r="FN153" s="14">
        <v>5</v>
      </c>
      <c r="FO153" s="14">
        <v>5</v>
      </c>
      <c r="FP153" s="14">
        <f>IFERROR(AVERAGE(Tabel1[[#This Row],[Do - A2a]:[Do - A2b]]),"")</f>
        <v>5</v>
      </c>
      <c r="FQ153" s="14">
        <v>4</v>
      </c>
      <c r="FR153" s="14">
        <f>IFERROR(AVERAGE(Tabel1[[#This Row],[Do - A3a]:[Do - A3a]]),"")</f>
        <v>4</v>
      </c>
      <c r="FS153" s="14" t="s">
        <v>189</v>
      </c>
      <c r="FT153" s="14">
        <f>IFERROR(AVERAGE(Tabel1[[#This Row],[Do - A1]],Tabel1[[#This Row],[Do - A2]],Tabel1[[#This Row],[Do - A3]],Tabel1[[#This Row],[Do - A4]]),"")</f>
        <v>4.5555555555555562</v>
      </c>
      <c r="FU15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4.6851851851851851</v>
      </c>
      <c r="FV153" s="16" t="s">
        <v>918</v>
      </c>
      <c r="FW153" t="b">
        <v>1</v>
      </c>
    </row>
    <row r="154" spans="1:179" x14ac:dyDescent="0.3">
      <c r="A154" s="13">
        <v>45072.309467592597</v>
      </c>
      <c r="B154" t="b">
        <v>0</v>
      </c>
      <c r="C154" t="s">
        <v>919</v>
      </c>
      <c r="D154" t="s">
        <v>288</v>
      </c>
      <c r="E154" t="s">
        <v>920</v>
      </c>
      <c r="F154" s="14" t="s">
        <v>184</v>
      </c>
      <c r="G154" t="s">
        <v>921</v>
      </c>
      <c r="H154" s="14" t="s">
        <v>222</v>
      </c>
      <c r="I154" t="s">
        <v>542</v>
      </c>
      <c r="J154" t="s">
        <v>922</v>
      </c>
      <c r="K154" t="s">
        <v>203</v>
      </c>
      <c r="L154" t="s">
        <v>218</v>
      </c>
      <c r="M154" t="s">
        <v>188</v>
      </c>
      <c r="N154" t="s">
        <v>262</v>
      </c>
      <c r="O154" t="s">
        <v>200</v>
      </c>
      <c r="P154" s="22" t="s">
        <v>304</v>
      </c>
      <c r="Q154" s="22" t="s">
        <v>255</v>
      </c>
      <c r="R154" s="20" t="s">
        <v>304</v>
      </c>
      <c r="S154" t="s">
        <v>201</v>
      </c>
      <c r="T154" t="s">
        <v>236</v>
      </c>
      <c r="U154" t="s">
        <v>285</v>
      </c>
      <c r="V154" t="s">
        <v>359</v>
      </c>
      <c r="W154" t="s">
        <v>306</v>
      </c>
      <c r="X154" t="s">
        <v>306</v>
      </c>
      <c r="Y154">
        <v>5</v>
      </c>
      <c r="Z154">
        <v>4</v>
      </c>
      <c r="AA154">
        <v>4</v>
      </c>
      <c r="AB154">
        <f>IFERROR(AVERAGE(Tabel1[[#This Row],[Up - R1a]:[Up - R1c]]),"")</f>
        <v>4.333333333333333</v>
      </c>
      <c r="AC154">
        <v>4</v>
      </c>
      <c r="AD154">
        <v>4</v>
      </c>
      <c r="AE154">
        <v>5</v>
      </c>
      <c r="AF154">
        <v>5</v>
      </c>
      <c r="AG154">
        <f>IFERROR(AVERAGE(Tabel1[[#This Row],[Up - R1]:[Up - R5]]),"")</f>
        <v>4.4666666666666668</v>
      </c>
      <c r="AH154">
        <v>3</v>
      </c>
      <c r="AI154">
        <v>4</v>
      </c>
      <c r="AJ154">
        <v>5</v>
      </c>
      <c r="AK154">
        <f>IFERROR(AVERAGE(Tabel1[[#This Row],[Up - C1a]:[Up - C1c]]),"")</f>
        <v>4</v>
      </c>
      <c r="AL154" t="s">
        <v>189</v>
      </c>
      <c r="AM154">
        <v>3</v>
      </c>
      <c r="AN154">
        <v>4</v>
      </c>
      <c r="AO154">
        <f>IFERROR(AVERAGE(Tabel1[[#This Row],[Up - C1]:[Up - C4]]),"")</f>
        <v>3.6666666666666665</v>
      </c>
      <c r="AP154">
        <v>5</v>
      </c>
      <c r="AQ154">
        <f>IFERROR(AVERAGE(Tabel1[[#This Row],[Up - F1a]:[Up - F1a]]),"")</f>
        <v>5</v>
      </c>
      <c r="AR154">
        <v>4</v>
      </c>
      <c r="AS154">
        <v>3</v>
      </c>
      <c r="AT154">
        <f>IFERROR(AVERAGE(Tabel1[[#This Row],[Up - F2a]:[Up - F2b]]),"")</f>
        <v>3.5</v>
      </c>
      <c r="AU154">
        <v>3</v>
      </c>
      <c r="AV154">
        <v>4</v>
      </c>
      <c r="AW154">
        <f>IFERROR(AVERAGE(Tabel1[[#This Row],[Up - F3a]:[Up - F3b]]),"")</f>
        <v>3.5</v>
      </c>
      <c r="AX154">
        <v>4</v>
      </c>
      <c r="AY154">
        <f>IFERROR(AVERAGE(Tabel1[[#This Row],[Up - F1]],Tabel1[[#This Row],[Up - F2]],Tabel1[[#This Row],[Up - F3]],Tabel1[[#This Row],[Up - F4]]),"")</f>
        <v>4</v>
      </c>
      <c r="AZ154">
        <v>3</v>
      </c>
      <c r="BA154">
        <v>4</v>
      </c>
      <c r="BB154">
        <f>IFERROR(AVERAGE(Tabel1[[#This Row],[Up - V1a]:[Up - V1b]]),"")</f>
        <v>3.5</v>
      </c>
      <c r="BC154">
        <v>3</v>
      </c>
      <c r="BD154">
        <v>4</v>
      </c>
      <c r="BE154">
        <v>4</v>
      </c>
      <c r="BF154">
        <f>IFERROR(AVERAGE(Tabel1[[#This Row],[Up - V2a]:[Up - V2c]]),"")</f>
        <v>3.6666666666666665</v>
      </c>
      <c r="BG154">
        <v>4</v>
      </c>
      <c r="BH154">
        <v>4</v>
      </c>
      <c r="BI154">
        <f>IFERROR(AVERAGE(Tabel1[[#This Row],[Up - V3a]:[Up - V3b]]),"")</f>
        <v>4</v>
      </c>
      <c r="BJ154">
        <v>4</v>
      </c>
      <c r="BK154">
        <f>IFERROR(AVERAGE(Tabel1[[#This Row],[Up - V1]],Tabel1[[#This Row],[Up - V2]],Tabel1[[#This Row],[Up - V3]],Tabel1[[#This Row],[Up - V4]]),"")</f>
        <v>3.7916666666666665</v>
      </c>
      <c r="BL154">
        <v>5</v>
      </c>
      <c r="BM154">
        <v>4</v>
      </c>
      <c r="BN154">
        <v>4</v>
      </c>
      <c r="BO154">
        <v>5</v>
      </c>
      <c r="BP154">
        <f>IFERROR(AVERAGE(Tabel1[[#This Row],[Up - A1a]:[Up - A1d]]),"")</f>
        <v>4.5</v>
      </c>
      <c r="BQ154">
        <v>3</v>
      </c>
      <c r="BR154">
        <v>4</v>
      </c>
      <c r="BS154">
        <f>IFERROR(AVERAGE(Tabel1[[#This Row],[Up - A2a]:[Up - A2b]]),"")</f>
        <v>3.5</v>
      </c>
      <c r="BT154">
        <v>4</v>
      </c>
      <c r="BU154">
        <f>IFERROR(AVERAGE(Tabel1[[#This Row],[Up - A3a]:[Up - A3a]]),"")</f>
        <v>4</v>
      </c>
      <c r="BV154">
        <v>3</v>
      </c>
      <c r="BW154">
        <f>IFERROR(AVERAGE(Tabel1[[#This Row],[Up - A1]],Tabel1[[#This Row],[Up - A2]],Tabel1[[#This Row],[Up - A3]]),"")</f>
        <v>4</v>
      </c>
      <c r="BX154">
        <v>5</v>
      </c>
      <c r="BY154">
        <v>5</v>
      </c>
      <c r="BZ154">
        <f>IFERROR(AVERAGE(Tabel1[[#This Row],[In - R1a]:[In - R1b]]),"")</f>
        <v>5</v>
      </c>
      <c r="CA154">
        <v>5</v>
      </c>
      <c r="CB154">
        <v>4</v>
      </c>
      <c r="CC154">
        <v>4</v>
      </c>
      <c r="CD154">
        <v>5</v>
      </c>
      <c r="CE154">
        <f>IFERROR(AVERAGE(Tabel1[[#This Row],[In - R1]:[In - R5]]),"")</f>
        <v>4.5999999999999996</v>
      </c>
      <c r="CF154">
        <v>4</v>
      </c>
      <c r="CG154">
        <v>4</v>
      </c>
      <c r="CH154">
        <v>3</v>
      </c>
      <c r="CI154">
        <f>IFERROR(AVERAGE(Tabel1[[#This Row],[In - C1a]:[In - C1c]]),"")</f>
        <v>3.6666666666666665</v>
      </c>
      <c r="CJ154">
        <v>3</v>
      </c>
      <c r="CK154">
        <v>2</v>
      </c>
      <c r="CL154">
        <v>4</v>
      </c>
      <c r="CM154">
        <f>IFERROR(AVERAGE(Tabel1[[#This Row],[In - C1]:[In - C4]]),"")</f>
        <v>3.1666666666666665</v>
      </c>
      <c r="CN154">
        <v>5</v>
      </c>
      <c r="CO154">
        <v>2</v>
      </c>
      <c r="CP154">
        <v>4</v>
      </c>
      <c r="CQ154">
        <f>IFERROR(AVERAGE(Tabel1[[#This Row],[In - F1a]:[In - F1c]]),"")</f>
        <v>3.6666666666666665</v>
      </c>
      <c r="CR154">
        <v>4</v>
      </c>
      <c r="CS154">
        <v>5</v>
      </c>
      <c r="CT154">
        <f>IFERROR(AVERAGE(Tabel1[[#This Row],[In - F2a]:[In - F2b]]),"")</f>
        <v>4.5</v>
      </c>
      <c r="CU154">
        <v>2</v>
      </c>
      <c r="CV154">
        <f>IFERROR(AVERAGE(Tabel1[[#This Row],[In - F3a]:[In - F3a]]),"")</f>
        <v>2</v>
      </c>
      <c r="CW154">
        <v>4</v>
      </c>
      <c r="CX154">
        <f>IFERROR(AVERAGE(Tabel1[[#This Row],[In - F1]],Tabel1[[#This Row],[In - F2]],Tabel1[[#This Row],[In - F3]],Tabel1[[#This Row],[In - F4]]),"")</f>
        <v>3.5416666666666665</v>
      </c>
      <c r="CY154">
        <v>2</v>
      </c>
      <c r="CZ154">
        <v>3</v>
      </c>
      <c r="DA154">
        <v>3</v>
      </c>
      <c r="DB154">
        <f>IFERROR(AVERAGE(Tabel1[[#This Row],[In - V1a]:[In - V1c]]),"")</f>
        <v>2.6666666666666665</v>
      </c>
      <c r="DC154">
        <v>5</v>
      </c>
      <c r="DD154">
        <v>3</v>
      </c>
      <c r="DE154">
        <v>4</v>
      </c>
      <c r="DF154">
        <f>IFERROR(AVERAGE(Tabel1[[#This Row],[In - V2a]:[In - V2c]]),"")</f>
        <v>4</v>
      </c>
      <c r="DG154">
        <v>3</v>
      </c>
      <c r="DH154">
        <v>4</v>
      </c>
      <c r="DI154">
        <f>IFERROR(AVERAGE(Tabel1[[#This Row],[In - V3a]:[In - V3b]]),"")</f>
        <v>3.5</v>
      </c>
      <c r="DJ154">
        <v>4</v>
      </c>
      <c r="DK154">
        <f>IFERROR(AVERAGE(Tabel1[[#This Row],[In - V1]],Tabel1[[#This Row],[In - V2]],Tabel1[[#This Row],[In - V3]],Tabel1[[#This Row],[In - V4]]),"")</f>
        <v>3.5416666666666665</v>
      </c>
      <c r="DL154">
        <v>4</v>
      </c>
      <c r="DM154">
        <v>4</v>
      </c>
      <c r="DN154">
        <f>IFERROR(AVERAGE(Tabel1[[#This Row],[In - A1a]:[In - A1b]]),"")</f>
        <v>4</v>
      </c>
      <c r="DO154">
        <v>5</v>
      </c>
      <c r="DP154">
        <v>3</v>
      </c>
      <c r="DQ154">
        <f>IFERROR(AVERAGE(Tabel1[[#This Row],[In - A2a]:[In - A2b]]),"")</f>
        <v>4</v>
      </c>
      <c r="DR154">
        <v>4</v>
      </c>
      <c r="DS154">
        <v>3</v>
      </c>
      <c r="DT154">
        <f>IFERROR(AVERAGE(Tabel1[[#This Row],[In - A3a]:[In - A3a]]),"")</f>
        <v>4</v>
      </c>
      <c r="DU154">
        <v>4</v>
      </c>
      <c r="DV154">
        <f>IFERROR(AVERAGE(Tabel1[[#This Row],[In - A1]],Tabel1[[#This Row],[In - A2]],Tabel1[[#This Row],[In - A3]],Tabel1[[#This Row],[In - A4]]),"")</f>
        <v>4</v>
      </c>
      <c r="DW154">
        <v>3</v>
      </c>
      <c r="DX154">
        <v>3</v>
      </c>
      <c r="DY154">
        <v>5</v>
      </c>
      <c r="DZ154">
        <f>IFERROR(AVERAGE(Tabel1[[#This Row],[Do - R1a]:[Do - R1c]]),"")</f>
        <v>3.6666666666666665</v>
      </c>
      <c r="EA154">
        <v>4</v>
      </c>
      <c r="EB154">
        <v>3</v>
      </c>
      <c r="EC154">
        <v>4</v>
      </c>
      <c r="ED154">
        <v>4</v>
      </c>
      <c r="EE154">
        <f>IFERROR(AVERAGE(Tabel1[[#This Row],[Do - R1]:[Do - R5]]),"")</f>
        <v>3.7333333333333329</v>
      </c>
      <c r="EF154">
        <v>3</v>
      </c>
      <c r="EG154">
        <v>4</v>
      </c>
      <c r="EH154">
        <v>5</v>
      </c>
      <c r="EI154">
        <f>IFERROR(AVERAGE(Tabel1[[#This Row],[Do - C1a]:[Do - C1c]]),"")</f>
        <v>4</v>
      </c>
      <c r="EJ154">
        <v>4</v>
      </c>
      <c r="EK154">
        <v>4</v>
      </c>
      <c r="EL154">
        <v>5</v>
      </c>
      <c r="EM154">
        <f>IFERROR(AVERAGE(Tabel1[[#This Row],[Do - C1]:[Do - C4]]),"")</f>
        <v>4.25</v>
      </c>
      <c r="EN154">
        <v>5</v>
      </c>
      <c r="EO154">
        <v>3</v>
      </c>
      <c r="EP154">
        <v>2</v>
      </c>
      <c r="EQ154">
        <f>IFERROR(AVERAGE(Tabel1[[#This Row],[Do - F1a]:[Do - F1c]]),"")</f>
        <v>3.3333333333333335</v>
      </c>
      <c r="ER154">
        <v>4</v>
      </c>
      <c r="ES154" s="14">
        <f>IFERROR(AVERAGE(Tabel1[[#This Row],[Do - F2a]:[Do - F2a]]),"")</f>
        <v>4</v>
      </c>
      <c r="ET154">
        <v>5</v>
      </c>
      <c r="EU154">
        <v>3</v>
      </c>
      <c r="EV154" s="14">
        <f>IFERROR(AVERAGE(Tabel1[[#This Row],[Do - F3a]:[Do - F3b]]),"")</f>
        <v>4</v>
      </c>
      <c r="EW154">
        <v>4</v>
      </c>
      <c r="EX154" s="14">
        <f>IFERROR(AVERAGE(Tabel1[[#This Row],[Do - F1]],Tabel1[[#This Row],[Do - F2]],Tabel1[[#This Row],[Do - F3]],Tabel1[[#This Row],[Do - F4]]),"")</f>
        <v>3.8333333333333335</v>
      </c>
      <c r="EY154">
        <v>3</v>
      </c>
      <c r="EZ154">
        <v>3</v>
      </c>
      <c r="FA154">
        <v>5</v>
      </c>
      <c r="FB154">
        <f>IFERROR(AVERAGE(Tabel1[[#This Row],[Do - V1a]:[Do - V1c]]),"")</f>
        <v>3.6666666666666665</v>
      </c>
      <c r="FC154">
        <v>4</v>
      </c>
      <c r="FD154">
        <v>4</v>
      </c>
      <c r="FE154">
        <f>IFERROR(AVERAGE(Tabel1[[#This Row],[Do - V2a]:[Do - V2b]]),"")</f>
        <v>4</v>
      </c>
      <c r="FF154">
        <v>5</v>
      </c>
      <c r="FG154">
        <f>IFERROR(AVERAGE(Tabel1[[#This Row],[Do - V3a]:[Do - V3a]]),"")</f>
        <v>5</v>
      </c>
      <c r="FH154">
        <v>5</v>
      </c>
      <c r="FI154">
        <f>IFERROR(AVERAGE(Tabel1[[#This Row],[Do - V1]],Tabel1[[#This Row],[Do - V2]],Tabel1[[#This Row],[Do - V3]],Tabel1[[#This Row],[Do - V4]]),"")</f>
        <v>4.4166666666666661</v>
      </c>
      <c r="FJ154">
        <v>5</v>
      </c>
      <c r="FK154">
        <v>4</v>
      </c>
      <c r="FL154">
        <v>4</v>
      </c>
      <c r="FM154">
        <f>IFERROR(AVERAGE(Tabel1[[#This Row],[Do - A1a]:[Do - A1c]]),"")</f>
        <v>4.333333333333333</v>
      </c>
      <c r="FN154">
        <v>4</v>
      </c>
      <c r="FO154">
        <v>4</v>
      </c>
      <c r="FP154">
        <f>IFERROR(AVERAGE(Tabel1[[#This Row],[Do - A2a]:[Do - A2b]]),"")</f>
        <v>4</v>
      </c>
      <c r="FQ154">
        <v>3</v>
      </c>
      <c r="FR154">
        <f>IFERROR(AVERAGE(Tabel1[[#This Row],[Do - A3a]:[Do - A3a]]),"")</f>
        <v>3</v>
      </c>
      <c r="FS154">
        <v>4</v>
      </c>
      <c r="FT154">
        <f>IFERROR(AVERAGE(Tabel1[[#This Row],[Do - A1]],Tabel1[[#This Row],[Do - A2]],Tabel1[[#This Row],[Do - A3]],Tabel1[[#This Row],[Do - A4]]),"")</f>
        <v>3.833333333333333</v>
      </c>
      <c r="FU15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3.9227777777777777</v>
      </c>
      <c r="FV154" t="s">
        <v>923</v>
      </c>
      <c r="FW154" t="b">
        <v>1</v>
      </c>
    </row>
    <row r="155" spans="1:179" x14ac:dyDescent="0.3">
      <c r="A155" s="13">
        <v>45072.40729166667</v>
      </c>
      <c r="B155" t="b">
        <v>0</v>
      </c>
      <c r="C155" s="14" t="s">
        <v>924</v>
      </c>
      <c r="D155" s="14" t="s">
        <v>215</v>
      </c>
      <c r="E155" s="14" t="s">
        <v>925</v>
      </c>
      <c r="F155" s="14" t="s">
        <v>184</v>
      </c>
      <c r="G155" s="14" t="s">
        <v>926</v>
      </c>
      <c r="H155" s="14" t="s">
        <v>222</v>
      </c>
      <c r="I155" s="14" t="s">
        <v>195</v>
      </c>
      <c r="J155" s="14" t="s">
        <v>533</v>
      </c>
      <c r="K155" s="14" t="s">
        <v>201</v>
      </c>
      <c r="L155" s="14" t="s">
        <v>218</v>
      </c>
      <c r="M155" s="14" t="s">
        <v>198</v>
      </c>
      <c r="N155" s="14" t="s">
        <v>199</v>
      </c>
      <c r="O155" s="14" t="s">
        <v>200</v>
      </c>
      <c r="P155" s="17" t="s">
        <v>304</v>
      </c>
      <c r="Q155" s="14" t="s">
        <v>201</v>
      </c>
      <c r="R155" s="14" t="s">
        <v>201</v>
      </c>
      <c r="S155" s="14" t="s">
        <v>235</v>
      </c>
      <c r="T155" s="14" t="s">
        <v>204</v>
      </c>
      <c r="U155" s="14" t="s">
        <v>285</v>
      </c>
      <c r="V155" s="14" t="s">
        <v>224</v>
      </c>
      <c r="W155" s="14" t="s">
        <v>207</v>
      </c>
      <c r="X155" s="14" t="s">
        <v>207</v>
      </c>
      <c r="Y155" s="14">
        <v>2</v>
      </c>
      <c r="Z155" s="14">
        <v>3</v>
      </c>
      <c r="AA155" s="14" t="s">
        <v>189</v>
      </c>
      <c r="AB155" s="15">
        <f>IFERROR(AVERAGE(Tabel1[[#This Row],[Up - R1a]:[Up - R1c]]),"")</f>
        <v>2.5</v>
      </c>
      <c r="AC155" s="14">
        <v>2</v>
      </c>
      <c r="AD155" s="14">
        <v>1</v>
      </c>
      <c r="AE155" s="14">
        <v>2</v>
      </c>
      <c r="AF155" s="14">
        <v>3</v>
      </c>
      <c r="AG155" s="14">
        <f>IFERROR(AVERAGE(Tabel1[[#This Row],[Up - R1]:[Up - R5]]),"")</f>
        <v>2.1</v>
      </c>
      <c r="AH155" s="14">
        <v>4</v>
      </c>
      <c r="AI155" s="14">
        <v>4</v>
      </c>
      <c r="AJ155" s="14">
        <v>4</v>
      </c>
      <c r="AK155" s="14">
        <f>IFERROR(AVERAGE(Tabel1[[#This Row],[Up - C1a]:[Up - C1c]]),"")</f>
        <v>4</v>
      </c>
      <c r="AL155" s="14">
        <v>3</v>
      </c>
      <c r="AM155" s="14">
        <v>2</v>
      </c>
      <c r="AN155" s="14">
        <v>2</v>
      </c>
      <c r="AO155" s="14">
        <f>IFERROR(AVERAGE(Tabel1[[#This Row],[Up - C1]:[Up - C4]]),"")</f>
        <v>2.75</v>
      </c>
      <c r="AP155" s="14">
        <v>4</v>
      </c>
      <c r="AQ155" s="14">
        <f>IFERROR(AVERAGE(Tabel1[[#This Row],[Up - F1a]:[Up - F1a]]),"")</f>
        <v>4</v>
      </c>
      <c r="AR155" s="14">
        <v>2</v>
      </c>
      <c r="AS155" s="14">
        <v>2</v>
      </c>
      <c r="AT155" s="14">
        <f>IFERROR(AVERAGE(Tabel1[[#This Row],[Up - F2a]:[Up - F2b]]),"")</f>
        <v>2</v>
      </c>
      <c r="AU155" s="14">
        <v>2</v>
      </c>
      <c r="AV155" s="14">
        <v>1</v>
      </c>
      <c r="AW155" s="14">
        <f>IFERROR(AVERAGE(Tabel1[[#This Row],[Up - F3a]:[Up - F3b]]),"")</f>
        <v>1.5</v>
      </c>
      <c r="AX155" s="14">
        <v>3</v>
      </c>
      <c r="AY155" s="14">
        <f>IFERROR(AVERAGE(Tabel1[[#This Row],[Up - F1]],Tabel1[[#This Row],[Up - F2]],Tabel1[[#This Row],[Up - F3]],Tabel1[[#This Row],[Up - F4]]),"")</f>
        <v>2.625</v>
      </c>
      <c r="AZ155" s="14">
        <v>2</v>
      </c>
      <c r="BA155" s="14">
        <v>3</v>
      </c>
      <c r="BB155" s="14">
        <f>IFERROR(AVERAGE(Tabel1[[#This Row],[Up - V1a]:[Up - V1b]]),"")</f>
        <v>2.5</v>
      </c>
      <c r="BC155" s="14">
        <v>3</v>
      </c>
      <c r="BD155" s="14">
        <v>2</v>
      </c>
      <c r="BE155" s="14">
        <v>4</v>
      </c>
      <c r="BF155" s="14">
        <f>IFERROR(AVERAGE(Tabel1[[#This Row],[Up - V2a]:[Up - V2c]]),"")</f>
        <v>3</v>
      </c>
      <c r="BG155" s="14">
        <v>2</v>
      </c>
      <c r="BH155" s="14">
        <v>1</v>
      </c>
      <c r="BI155" s="14">
        <f>IFERROR(AVERAGE(Tabel1[[#This Row],[Up - V3a]:[Up - V3b]]),"")</f>
        <v>1.5</v>
      </c>
      <c r="BJ155" s="14">
        <v>2</v>
      </c>
      <c r="BK155" s="14">
        <f>IFERROR(AVERAGE(Tabel1[[#This Row],[Up - V1]],Tabel1[[#This Row],[Up - V2]],Tabel1[[#This Row],[Up - V3]],Tabel1[[#This Row],[Up - V4]]),"")</f>
        <v>2.25</v>
      </c>
      <c r="BL155" s="14">
        <v>1</v>
      </c>
      <c r="BM155" s="14">
        <v>4</v>
      </c>
      <c r="BN155" s="14">
        <v>2</v>
      </c>
      <c r="BO155" s="14">
        <v>4</v>
      </c>
      <c r="BP155" s="14">
        <f>IFERROR(AVERAGE(Tabel1[[#This Row],[Up - A1a]:[Up - A1d]]),"")</f>
        <v>2.75</v>
      </c>
      <c r="BQ155" s="14">
        <v>4</v>
      </c>
      <c r="BR155" s="14">
        <v>4</v>
      </c>
      <c r="BS155" s="14">
        <f>IFERROR(AVERAGE(Tabel1[[#This Row],[Up - A2a]:[Up - A2b]]),"")</f>
        <v>4</v>
      </c>
      <c r="BT155" s="14">
        <v>3</v>
      </c>
      <c r="BU155" s="14">
        <f>IFERROR(AVERAGE(Tabel1[[#This Row],[Up - A3a]:[Up - A3a]]),"")</f>
        <v>3</v>
      </c>
      <c r="BV155" s="14">
        <v>2</v>
      </c>
      <c r="BW155" s="14">
        <f>IFERROR(AVERAGE(Tabel1[[#This Row],[Up - A1]],Tabel1[[#This Row],[Up - A2]],Tabel1[[#This Row],[Up - A3]]),"")</f>
        <v>3.25</v>
      </c>
      <c r="BX155" s="14">
        <v>2</v>
      </c>
      <c r="BY155" s="14">
        <v>2</v>
      </c>
      <c r="BZ155" s="14">
        <f>IFERROR(AVERAGE(Tabel1[[#This Row],[In - R1a]:[In - R1b]]),"")</f>
        <v>2</v>
      </c>
      <c r="CA155" s="14">
        <v>5</v>
      </c>
      <c r="CB155" s="14">
        <v>3</v>
      </c>
      <c r="CC155" s="14">
        <v>4</v>
      </c>
      <c r="CD155" s="14">
        <v>4</v>
      </c>
      <c r="CE155" s="14">
        <f>IFERROR(AVERAGE(Tabel1[[#This Row],[In - R1]:[In - R5]]),"")</f>
        <v>3.6</v>
      </c>
      <c r="CF155" s="14">
        <v>4</v>
      </c>
      <c r="CG155" s="14">
        <v>4</v>
      </c>
      <c r="CH155" s="14">
        <v>4</v>
      </c>
      <c r="CI155" s="14">
        <f>IFERROR(AVERAGE(Tabel1[[#This Row],[In - C1a]:[In - C1c]]),"")</f>
        <v>4</v>
      </c>
      <c r="CJ155" s="14">
        <v>4</v>
      </c>
      <c r="CK155" s="14">
        <v>4</v>
      </c>
      <c r="CL155" s="14">
        <v>4</v>
      </c>
      <c r="CM155" s="14">
        <f>IFERROR(AVERAGE(Tabel1[[#This Row],[In - C1]:[In - C4]]),"")</f>
        <v>4</v>
      </c>
      <c r="CN155" s="14">
        <v>4</v>
      </c>
      <c r="CO155" s="14">
        <v>4</v>
      </c>
      <c r="CP155" s="14">
        <v>2</v>
      </c>
      <c r="CQ155" s="14">
        <f>IFERROR(AVERAGE(Tabel1[[#This Row],[In - F1a]:[In - F1c]]),"")</f>
        <v>3.3333333333333335</v>
      </c>
      <c r="CR155" s="14">
        <v>3</v>
      </c>
      <c r="CS155" s="14">
        <v>2</v>
      </c>
      <c r="CT155" s="14">
        <f>IFERROR(AVERAGE(Tabel1[[#This Row],[In - F2a]:[In - F2b]]),"")</f>
        <v>2.5</v>
      </c>
      <c r="CU155" s="14">
        <v>1</v>
      </c>
      <c r="CV155" s="14">
        <f>IFERROR(AVERAGE(Tabel1[[#This Row],[In - F3a]:[In - F3a]]),"")</f>
        <v>1</v>
      </c>
      <c r="CW155" s="14">
        <v>2</v>
      </c>
      <c r="CX155" s="14">
        <f>IFERROR(AVERAGE(Tabel1[[#This Row],[In - F1]],Tabel1[[#This Row],[In - F2]],Tabel1[[#This Row],[In - F3]],Tabel1[[#This Row],[In - F4]]),"")</f>
        <v>2.2083333333333335</v>
      </c>
      <c r="CY155" s="14">
        <v>4</v>
      </c>
      <c r="CZ155" s="14">
        <v>4</v>
      </c>
      <c r="DA155" s="14">
        <v>2</v>
      </c>
      <c r="DB155" s="14">
        <f>IFERROR(AVERAGE(Tabel1[[#This Row],[In - V1a]:[In - V1c]]),"")</f>
        <v>3.3333333333333335</v>
      </c>
      <c r="DC155" s="14">
        <v>4</v>
      </c>
      <c r="DD155" s="14">
        <v>3</v>
      </c>
      <c r="DE155" s="14">
        <v>4</v>
      </c>
      <c r="DF155" s="14">
        <f>IFERROR(AVERAGE(Tabel1[[#This Row],[In - V2a]:[In - V2c]]),"")</f>
        <v>3.6666666666666665</v>
      </c>
      <c r="DG155" s="14">
        <v>3</v>
      </c>
      <c r="DH155" s="14">
        <v>3</v>
      </c>
      <c r="DI155" s="14">
        <f>IFERROR(AVERAGE(Tabel1[[#This Row],[In - V3a]:[In - V3b]]),"")</f>
        <v>3</v>
      </c>
      <c r="DJ155" s="14">
        <v>2</v>
      </c>
      <c r="DK155" s="14">
        <f>IFERROR(AVERAGE(Tabel1[[#This Row],[In - V1]],Tabel1[[#This Row],[In - V2]],Tabel1[[#This Row],[In - V3]],Tabel1[[#This Row],[In - V4]]),"")</f>
        <v>3</v>
      </c>
      <c r="DL155" s="14">
        <v>2</v>
      </c>
      <c r="DM155" s="14">
        <v>1</v>
      </c>
      <c r="DN155" s="14">
        <f>IFERROR(AVERAGE(Tabel1[[#This Row],[In - A1a]:[In - A1b]]),"")</f>
        <v>1.5</v>
      </c>
      <c r="DO155" s="14">
        <v>2</v>
      </c>
      <c r="DP155" s="14">
        <v>3</v>
      </c>
      <c r="DQ155" s="14">
        <f>IFERROR(AVERAGE(Tabel1[[#This Row],[In - A2a]:[In - A2b]]),"")</f>
        <v>2.5</v>
      </c>
      <c r="DR155" s="14">
        <v>3</v>
      </c>
      <c r="DS155" s="14">
        <v>3</v>
      </c>
      <c r="DT155" s="14">
        <f>IFERROR(AVERAGE(Tabel1[[#This Row],[In - A3a]:[In - A3a]]),"")</f>
        <v>3</v>
      </c>
      <c r="DU155" s="14">
        <v>2</v>
      </c>
      <c r="DV155" s="14">
        <f>IFERROR(AVERAGE(Tabel1[[#This Row],[In - A1]],Tabel1[[#This Row],[In - A2]],Tabel1[[#This Row],[In - A3]],Tabel1[[#This Row],[In - A4]]),"")</f>
        <v>2.25</v>
      </c>
      <c r="DW155" s="14">
        <v>1</v>
      </c>
      <c r="DX155" s="14">
        <v>5</v>
      </c>
      <c r="DY155" s="14">
        <v>1</v>
      </c>
      <c r="DZ155" s="14">
        <f>IFERROR(AVERAGE(Tabel1[[#This Row],[Do - R1a]:[Do - R1c]]),"")</f>
        <v>2.3333333333333335</v>
      </c>
      <c r="EA155" s="14">
        <v>2</v>
      </c>
      <c r="EB155" s="14">
        <v>2</v>
      </c>
      <c r="EC155" s="14">
        <v>4</v>
      </c>
      <c r="ED155" s="14">
        <v>5</v>
      </c>
      <c r="EE155" s="14">
        <f>IFERROR(AVERAGE(Tabel1[[#This Row],[Do - R1]:[Do - R5]]),"")</f>
        <v>3.0666666666666669</v>
      </c>
      <c r="EF155" s="14">
        <v>4</v>
      </c>
      <c r="EG155" s="14">
        <v>3</v>
      </c>
      <c r="EH155" s="14">
        <v>4</v>
      </c>
      <c r="EI155" s="14">
        <f>IFERROR(AVERAGE(Tabel1[[#This Row],[Do - C1a]:[Do - C1c]]),"")</f>
        <v>3.6666666666666665</v>
      </c>
      <c r="EJ155" s="14">
        <v>5</v>
      </c>
      <c r="EK155" s="14">
        <v>2</v>
      </c>
      <c r="EL155" s="14">
        <v>3</v>
      </c>
      <c r="EM155" s="14">
        <f>IFERROR(AVERAGE(Tabel1[[#This Row],[Do - C1]:[Do - C4]]),"")</f>
        <v>3.4166666666666665</v>
      </c>
      <c r="EN155" s="14">
        <v>4</v>
      </c>
      <c r="EO155" s="14">
        <v>3</v>
      </c>
      <c r="EP155" s="14">
        <v>3</v>
      </c>
      <c r="EQ155" s="14">
        <f>IFERROR(AVERAGE(Tabel1[[#This Row],[Do - F1a]:[Do - F1c]]),"")</f>
        <v>3.3333333333333335</v>
      </c>
      <c r="ER155" s="14">
        <v>4</v>
      </c>
      <c r="ES155" s="14">
        <f>IFERROR(AVERAGE(Tabel1[[#This Row],[Do - F2a]:[Do - F2a]]),"")</f>
        <v>4</v>
      </c>
      <c r="ET155" s="14">
        <v>2</v>
      </c>
      <c r="EU155" s="14">
        <v>2</v>
      </c>
      <c r="EV155" s="14">
        <f>IFERROR(AVERAGE(Tabel1[[#This Row],[Do - F3a]:[Do - F3b]]),"")</f>
        <v>2</v>
      </c>
      <c r="EW155" s="14">
        <v>3</v>
      </c>
      <c r="EX155" s="14">
        <f>IFERROR(AVERAGE(Tabel1[[#This Row],[Do - F1]],Tabel1[[#This Row],[Do - F2]],Tabel1[[#This Row],[Do - F3]],Tabel1[[#This Row],[Do - F4]]),"")</f>
        <v>3.0833333333333335</v>
      </c>
      <c r="EY155" s="14">
        <v>5</v>
      </c>
      <c r="EZ155" s="14">
        <v>3</v>
      </c>
      <c r="FA155" s="14">
        <v>2</v>
      </c>
      <c r="FB155" s="14">
        <f>IFERROR(AVERAGE(Tabel1[[#This Row],[Do - V1a]:[Do - V1c]]),"")</f>
        <v>3.3333333333333335</v>
      </c>
      <c r="FC155" s="14">
        <v>2</v>
      </c>
      <c r="FD155" s="14">
        <v>4</v>
      </c>
      <c r="FE155" s="14">
        <f>IFERROR(AVERAGE(Tabel1[[#This Row],[Do - V2a]:[Do - V2b]]),"")</f>
        <v>3</v>
      </c>
      <c r="FF155" s="14">
        <v>3</v>
      </c>
      <c r="FG155" s="14">
        <f>IFERROR(AVERAGE(Tabel1[[#This Row],[Do - V3a]:[Do - V3a]]),"")</f>
        <v>3</v>
      </c>
      <c r="FH155" s="14">
        <v>3</v>
      </c>
      <c r="FI155" s="14">
        <f>IFERROR(AVERAGE(Tabel1[[#This Row],[Do - V1]],Tabel1[[#This Row],[Do - V2]],Tabel1[[#This Row],[Do - V3]],Tabel1[[#This Row],[Do - V4]]),"")</f>
        <v>3.0833333333333335</v>
      </c>
      <c r="FJ155" s="14">
        <v>4</v>
      </c>
      <c r="FK155" s="14">
        <v>1</v>
      </c>
      <c r="FL155" s="14">
        <v>3</v>
      </c>
      <c r="FM155" s="14">
        <f>IFERROR(AVERAGE(Tabel1[[#This Row],[Do - A1a]:[Do - A1c]]),"")</f>
        <v>2.6666666666666665</v>
      </c>
      <c r="FN155" s="14">
        <v>5</v>
      </c>
      <c r="FO155" s="14">
        <v>4</v>
      </c>
      <c r="FP155" s="14">
        <f>IFERROR(AVERAGE(Tabel1[[#This Row],[Do - A2a]:[Do - A2b]]),"")</f>
        <v>4.5</v>
      </c>
      <c r="FQ155" s="14">
        <v>4</v>
      </c>
      <c r="FR155" s="14">
        <f>IFERROR(AVERAGE(Tabel1[[#This Row],[Do - A3a]:[Do - A3a]]),"")</f>
        <v>4</v>
      </c>
      <c r="FS155" s="14">
        <v>4</v>
      </c>
      <c r="FT155" s="14">
        <f>IFERROR(AVERAGE(Tabel1[[#This Row],[Do - A1]],Tabel1[[#This Row],[Do - A2]],Tabel1[[#This Row],[Do - A3]],Tabel1[[#This Row],[Do - A4]]),"")</f>
        <v>3.7916666666666665</v>
      </c>
      <c r="FU15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2.9650000000000003</v>
      </c>
      <c r="FV155" s="16" t="s">
        <v>927</v>
      </c>
      <c r="FW155" t="b">
        <v>1</v>
      </c>
    </row>
    <row r="156" spans="1:179" x14ac:dyDescent="0.3">
      <c r="A156" s="13">
        <v>45072.448055555556</v>
      </c>
      <c r="B156" t="b">
        <v>0</v>
      </c>
      <c r="C156" s="14" t="s">
        <v>928</v>
      </c>
      <c r="D156" s="14" t="s">
        <v>929</v>
      </c>
      <c r="E156" s="14" t="s">
        <v>930</v>
      </c>
      <c r="F156" s="14" t="s">
        <v>184</v>
      </c>
      <c r="G156" s="14" t="s">
        <v>931</v>
      </c>
      <c r="H156" s="14" t="s">
        <v>222</v>
      </c>
      <c r="I156" s="14" t="s">
        <v>417</v>
      </c>
      <c r="J156" s="14" t="s">
        <v>734</v>
      </c>
      <c r="K156" s="14" t="s">
        <v>201</v>
      </c>
      <c r="L156" s="14" t="s">
        <v>249</v>
      </c>
      <c r="M156" s="14" t="s">
        <v>233</v>
      </c>
      <c r="N156" s="14" t="s">
        <v>199</v>
      </c>
      <c r="O156" s="14" t="s">
        <v>200</v>
      </c>
      <c r="P156" s="17" t="s">
        <v>255</v>
      </c>
      <c r="Q156" s="14" t="s">
        <v>203</v>
      </c>
      <c r="R156" s="14" t="s">
        <v>202</v>
      </c>
      <c r="S156" s="17" t="s">
        <v>255</v>
      </c>
      <c r="T156" s="14" t="s">
        <v>380</v>
      </c>
      <c r="U156" s="14" t="s">
        <v>349</v>
      </c>
      <c r="V156" s="14" t="s">
        <v>224</v>
      </c>
      <c r="W156" s="14" t="s">
        <v>207</v>
      </c>
      <c r="X156" s="14" t="s">
        <v>395</v>
      </c>
      <c r="Y156" s="14">
        <v>4</v>
      </c>
      <c r="Z156" s="14">
        <v>4</v>
      </c>
      <c r="AA156" s="14">
        <v>4</v>
      </c>
      <c r="AB156" s="15">
        <f>IFERROR(AVERAGE(Tabel1[[#This Row],[Up - R1a]:[Up - R1c]]),"")</f>
        <v>4</v>
      </c>
      <c r="AC156" s="14">
        <v>5</v>
      </c>
      <c r="AD156" s="14">
        <v>2</v>
      </c>
      <c r="AE156" s="14">
        <v>4</v>
      </c>
      <c r="AF156" s="14">
        <v>3</v>
      </c>
      <c r="AG156" s="14">
        <f>IFERROR(AVERAGE(Tabel1[[#This Row],[Up - R1]:[Up - R5]]),"")</f>
        <v>3.6</v>
      </c>
      <c r="AH156" s="14">
        <v>4</v>
      </c>
      <c r="AI156" s="14">
        <v>4</v>
      </c>
      <c r="AJ156" s="14">
        <v>3</v>
      </c>
      <c r="AK156" s="14">
        <f>IFERROR(AVERAGE(Tabel1[[#This Row],[Up - C1a]:[Up - C1c]]),"")</f>
        <v>3.6666666666666665</v>
      </c>
      <c r="AL156" s="14">
        <v>3</v>
      </c>
      <c r="AM156" s="14">
        <v>3</v>
      </c>
      <c r="AN156" s="14">
        <v>4</v>
      </c>
      <c r="AO156" s="14">
        <f>IFERROR(AVERAGE(Tabel1[[#This Row],[Up - C1]:[Up - C4]]),"")</f>
        <v>3.4166666666666665</v>
      </c>
      <c r="AP156" s="14">
        <v>3</v>
      </c>
      <c r="AQ156" s="14">
        <f>IFERROR(AVERAGE(Tabel1[[#This Row],[Up - F1a]:[Up - F1a]]),"")</f>
        <v>3</v>
      </c>
      <c r="AR156" s="14">
        <v>3</v>
      </c>
      <c r="AS156" s="14" t="s">
        <v>189</v>
      </c>
      <c r="AT156" s="14">
        <f>IFERROR(AVERAGE(Tabel1[[#This Row],[Up - F2a]:[Up - F2b]]),"")</f>
        <v>3</v>
      </c>
      <c r="AU156" s="14">
        <v>5</v>
      </c>
      <c r="AV156" s="14">
        <v>4</v>
      </c>
      <c r="AW156" s="14">
        <f>IFERROR(AVERAGE(Tabel1[[#This Row],[Up - F3a]:[Up - F3b]]),"")</f>
        <v>4.5</v>
      </c>
      <c r="AX156" s="14">
        <v>4</v>
      </c>
      <c r="AY156" s="14">
        <f>IFERROR(AVERAGE(Tabel1[[#This Row],[Up - F1]],Tabel1[[#This Row],[Up - F2]],Tabel1[[#This Row],[Up - F3]],Tabel1[[#This Row],[Up - F4]]),"")</f>
        <v>3.625</v>
      </c>
      <c r="AZ156" s="14">
        <v>5</v>
      </c>
      <c r="BA156" s="14">
        <v>4</v>
      </c>
      <c r="BB156" s="14">
        <f>IFERROR(AVERAGE(Tabel1[[#This Row],[Up - V1a]:[Up - V1b]]),"")</f>
        <v>4.5</v>
      </c>
      <c r="BC156" s="14">
        <v>4</v>
      </c>
      <c r="BD156" s="14">
        <v>4</v>
      </c>
      <c r="BE156" s="14">
        <v>3</v>
      </c>
      <c r="BF156" s="14">
        <f>IFERROR(AVERAGE(Tabel1[[#This Row],[Up - V2a]:[Up - V2c]]),"")</f>
        <v>3.6666666666666665</v>
      </c>
      <c r="BG156" s="14">
        <v>3</v>
      </c>
      <c r="BH156" s="14">
        <v>4</v>
      </c>
      <c r="BI156" s="14">
        <f>IFERROR(AVERAGE(Tabel1[[#This Row],[Up - V3a]:[Up - V3b]]),"")</f>
        <v>3.5</v>
      </c>
      <c r="BJ156" s="14">
        <v>5</v>
      </c>
      <c r="BK156" s="14">
        <f>IFERROR(AVERAGE(Tabel1[[#This Row],[Up - V1]],Tabel1[[#This Row],[Up - V2]],Tabel1[[#This Row],[Up - V3]],Tabel1[[#This Row],[Up - V4]]),"")</f>
        <v>4.1666666666666661</v>
      </c>
      <c r="BL156" s="14">
        <v>5</v>
      </c>
      <c r="BM156" s="14">
        <v>5</v>
      </c>
      <c r="BN156" s="14">
        <v>5</v>
      </c>
      <c r="BO156" s="14">
        <v>2</v>
      </c>
      <c r="BP156" s="14">
        <f>IFERROR(AVERAGE(Tabel1[[#This Row],[Up - A1a]:[Up - A1d]]),"")</f>
        <v>4.25</v>
      </c>
      <c r="BQ156" s="14">
        <v>4</v>
      </c>
      <c r="BR156" s="14">
        <v>3</v>
      </c>
      <c r="BS156" s="14">
        <f>IFERROR(AVERAGE(Tabel1[[#This Row],[Up - A2a]:[Up - A2b]]),"")</f>
        <v>3.5</v>
      </c>
      <c r="BT156" s="14">
        <v>5</v>
      </c>
      <c r="BU156" s="14">
        <f>IFERROR(AVERAGE(Tabel1[[#This Row],[Up - A3a]:[Up - A3a]]),"")</f>
        <v>5</v>
      </c>
      <c r="BV156" s="14">
        <v>4</v>
      </c>
      <c r="BW156" s="14">
        <f>IFERROR(AVERAGE(Tabel1[[#This Row],[Up - A1]],Tabel1[[#This Row],[Up - A2]],Tabel1[[#This Row],[Up - A3]]),"")</f>
        <v>4.25</v>
      </c>
      <c r="BX156" s="14">
        <v>5</v>
      </c>
      <c r="BY156" s="14">
        <v>4</v>
      </c>
      <c r="BZ156" s="14">
        <f>IFERROR(AVERAGE(Tabel1[[#This Row],[In - R1a]:[In - R1b]]),"")</f>
        <v>4.5</v>
      </c>
      <c r="CA156" s="14">
        <v>4</v>
      </c>
      <c r="CB156" s="14">
        <v>5</v>
      </c>
      <c r="CC156" s="14">
        <v>4</v>
      </c>
      <c r="CD156" s="14">
        <v>5</v>
      </c>
      <c r="CE156" s="14">
        <f>IFERROR(AVERAGE(Tabel1[[#This Row],[In - R1]:[In - R5]]),"")</f>
        <v>4.5</v>
      </c>
      <c r="CF156" s="14">
        <v>5</v>
      </c>
      <c r="CG156" s="14">
        <v>5</v>
      </c>
      <c r="CH156" s="14">
        <v>4</v>
      </c>
      <c r="CI156" s="14">
        <f>IFERROR(AVERAGE(Tabel1[[#This Row],[In - C1a]:[In - C1c]]),"")</f>
        <v>4.666666666666667</v>
      </c>
      <c r="CJ156" s="14">
        <v>4</v>
      </c>
      <c r="CK156" s="14">
        <v>4</v>
      </c>
      <c r="CL156" s="14">
        <v>3</v>
      </c>
      <c r="CM156" s="14">
        <f>IFERROR(AVERAGE(Tabel1[[#This Row],[In - C1]:[In - C4]]),"")</f>
        <v>3.916666666666667</v>
      </c>
      <c r="CN156" s="14">
        <v>4</v>
      </c>
      <c r="CO156" s="14">
        <v>4</v>
      </c>
      <c r="CP156" s="14">
        <v>5</v>
      </c>
      <c r="CQ156" s="14">
        <f>IFERROR(AVERAGE(Tabel1[[#This Row],[In - F1a]:[In - F1c]]),"")</f>
        <v>4.333333333333333</v>
      </c>
      <c r="CR156" s="14">
        <v>4</v>
      </c>
      <c r="CS156" s="14">
        <v>2</v>
      </c>
      <c r="CT156" s="14">
        <f>IFERROR(AVERAGE(Tabel1[[#This Row],[In - F2a]:[In - F2b]]),"")</f>
        <v>3</v>
      </c>
      <c r="CU156" s="14">
        <v>3</v>
      </c>
      <c r="CV156" s="14">
        <f>IFERROR(AVERAGE(Tabel1[[#This Row],[In - F3a]:[In - F3a]]),"")</f>
        <v>3</v>
      </c>
      <c r="CW156" s="14">
        <v>5</v>
      </c>
      <c r="CX156" s="14">
        <f>IFERROR(AVERAGE(Tabel1[[#This Row],[In - F1]],Tabel1[[#This Row],[In - F2]],Tabel1[[#This Row],[In - F3]],Tabel1[[#This Row],[In - F4]]),"")</f>
        <v>3.833333333333333</v>
      </c>
      <c r="CY156" s="14">
        <v>5</v>
      </c>
      <c r="CZ156" s="14">
        <v>4</v>
      </c>
      <c r="DA156" s="14">
        <v>4</v>
      </c>
      <c r="DB156" s="14">
        <f>IFERROR(AVERAGE(Tabel1[[#This Row],[In - V1a]:[In - V1c]]),"")</f>
        <v>4.333333333333333</v>
      </c>
      <c r="DC156" s="14">
        <v>4</v>
      </c>
      <c r="DD156" s="14">
        <v>4</v>
      </c>
      <c r="DE156" s="14">
        <v>4</v>
      </c>
      <c r="DF156" s="14">
        <f>IFERROR(AVERAGE(Tabel1[[#This Row],[In - V2a]:[In - V2c]]),"")</f>
        <v>4</v>
      </c>
      <c r="DG156" s="14">
        <v>3</v>
      </c>
      <c r="DH156" s="14">
        <v>5</v>
      </c>
      <c r="DI156" s="14">
        <f>IFERROR(AVERAGE(Tabel1[[#This Row],[In - V3a]:[In - V3b]]),"")</f>
        <v>4</v>
      </c>
      <c r="DJ156" s="14">
        <v>5</v>
      </c>
      <c r="DK156" s="14">
        <f>IFERROR(AVERAGE(Tabel1[[#This Row],[In - V1]],Tabel1[[#This Row],[In - V2]],Tabel1[[#This Row],[In - V3]],Tabel1[[#This Row],[In - V4]]),"")</f>
        <v>4.333333333333333</v>
      </c>
      <c r="DL156" s="14">
        <v>5</v>
      </c>
      <c r="DM156" s="14">
        <v>4</v>
      </c>
      <c r="DN156" s="14">
        <f>IFERROR(AVERAGE(Tabel1[[#This Row],[In - A1a]:[In - A1b]]),"")</f>
        <v>4.5</v>
      </c>
      <c r="DO156" s="14">
        <v>5</v>
      </c>
      <c r="DP156" s="14">
        <v>4</v>
      </c>
      <c r="DQ156" s="14">
        <f>IFERROR(AVERAGE(Tabel1[[#This Row],[In - A2a]:[In - A2b]]),"")</f>
        <v>4.5</v>
      </c>
      <c r="DR156" s="14">
        <v>5</v>
      </c>
      <c r="DS156" s="14">
        <v>5</v>
      </c>
      <c r="DT156" s="14">
        <f>IFERROR(AVERAGE(Tabel1[[#This Row],[In - A3a]:[In - A3a]]),"")</f>
        <v>5</v>
      </c>
      <c r="DU156" s="14">
        <v>3</v>
      </c>
      <c r="DV156" s="14">
        <f>IFERROR(AVERAGE(Tabel1[[#This Row],[In - A1]],Tabel1[[#This Row],[In - A2]],Tabel1[[#This Row],[In - A3]],Tabel1[[#This Row],[In - A4]]),"")</f>
        <v>4.25</v>
      </c>
      <c r="DW156" s="14">
        <v>4</v>
      </c>
      <c r="DX156" s="14">
        <v>5</v>
      </c>
      <c r="DY156" s="14">
        <v>4</v>
      </c>
      <c r="DZ156" s="14">
        <f>IFERROR(AVERAGE(Tabel1[[#This Row],[Do - R1a]:[Do - R1c]]),"")</f>
        <v>4.333333333333333</v>
      </c>
      <c r="EA156" s="14" t="s">
        <v>189</v>
      </c>
      <c r="EB156" s="14">
        <v>2</v>
      </c>
      <c r="EC156" s="14" t="s">
        <v>189</v>
      </c>
      <c r="ED156" s="14">
        <v>5</v>
      </c>
      <c r="EE156" s="14">
        <f>IFERROR(AVERAGE(Tabel1[[#This Row],[Do - R1]:[Do - R5]]),"")</f>
        <v>3.7777777777777772</v>
      </c>
      <c r="EF156" s="14">
        <v>4</v>
      </c>
      <c r="EG156" s="14">
        <v>4</v>
      </c>
      <c r="EH156" s="14">
        <v>3</v>
      </c>
      <c r="EI156" s="14">
        <f>IFERROR(AVERAGE(Tabel1[[#This Row],[Do - C1a]:[Do - C1c]]),"")</f>
        <v>3.6666666666666665</v>
      </c>
      <c r="EJ156" s="14">
        <v>4</v>
      </c>
      <c r="EK156" s="14">
        <v>3</v>
      </c>
      <c r="EL156" s="14">
        <v>4</v>
      </c>
      <c r="EM156" s="14">
        <f>IFERROR(AVERAGE(Tabel1[[#This Row],[Do - C1]:[Do - C4]]),"")</f>
        <v>3.6666666666666665</v>
      </c>
      <c r="EN156" s="14" t="s">
        <v>189</v>
      </c>
      <c r="EO156" s="14">
        <v>3</v>
      </c>
      <c r="EP156" s="14">
        <v>3</v>
      </c>
      <c r="EQ156" s="14">
        <f>IFERROR(AVERAGE(Tabel1[[#This Row],[Do - F1a]:[Do - F1c]]),"")</f>
        <v>3</v>
      </c>
      <c r="ER156" s="14">
        <v>3</v>
      </c>
      <c r="ES156" s="14">
        <f>IFERROR(AVERAGE(Tabel1[[#This Row],[Do - F2a]:[Do - F2a]]),"")</f>
        <v>3</v>
      </c>
      <c r="ET156" s="14">
        <v>3</v>
      </c>
      <c r="EU156" s="14">
        <v>4</v>
      </c>
      <c r="EV156" s="14">
        <f>IFERROR(AVERAGE(Tabel1[[#This Row],[Do - F3a]:[Do - F3b]]),"")</f>
        <v>3.5</v>
      </c>
      <c r="EW156" s="14">
        <v>3</v>
      </c>
      <c r="EX156" s="14">
        <f>IFERROR(AVERAGE(Tabel1[[#This Row],[Do - F1]],Tabel1[[#This Row],[Do - F2]],Tabel1[[#This Row],[Do - F3]],Tabel1[[#This Row],[Do - F4]]),"")</f>
        <v>3.125</v>
      </c>
      <c r="EY156" s="14">
        <v>2</v>
      </c>
      <c r="EZ156" s="14" t="s">
        <v>189</v>
      </c>
      <c r="FA156" s="14">
        <v>3</v>
      </c>
      <c r="FB156" s="14">
        <f>IFERROR(AVERAGE(Tabel1[[#This Row],[Do - V1a]:[Do - V1c]]),"")</f>
        <v>2.5</v>
      </c>
      <c r="FC156" s="14">
        <v>3</v>
      </c>
      <c r="FD156" s="14">
        <v>5</v>
      </c>
      <c r="FE156" s="14">
        <f>IFERROR(AVERAGE(Tabel1[[#This Row],[Do - V2a]:[Do - V2b]]),"")</f>
        <v>4</v>
      </c>
      <c r="FF156" s="14">
        <v>3</v>
      </c>
      <c r="FG156" s="14">
        <f>IFERROR(AVERAGE(Tabel1[[#This Row],[Do - V3a]:[Do - V3a]]),"")</f>
        <v>3</v>
      </c>
      <c r="FH156" s="14">
        <v>5</v>
      </c>
      <c r="FI156" s="14">
        <f>IFERROR(AVERAGE(Tabel1[[#This Row],[Do - V1]],Tabel1[[#This Row],[Do - V2]],Tabel1[[#This Row],[Do - V3]],Tabel1[[#This Row],[Do - V4]]),"")</f>
        <v>3.625</v>
      </c>
      <c r="FJ156" s="14">
        <v>5</v>
      </c>
      <c r="FK156" s="14">
        <v>5</v>
      </c>
      <c r="FL156" s="14">
        <v>5</v>
      </c>
      <c r="FM156" s="14">
        <f>IFERROR(AVERAGE(Tabel1[[#This Row],[Do - A1a]:[Do - A1c]]),"")</f>
        <v>5</v>
      </c>
      <c r="FN156" s="14">
        <v>5</v>
      </c>
      <c r="FO156" s="14">
        <v>3</v>
      </c>
      <c r="FP156" s="14">
        <f>IFERROR(AVERAGE(Tabel1[[#This Row],[Do - A2a]:[Do - A2b]]),"")</f>
        <v>4</v>
      </c>
      <c r="FQ156" s="14">
        <v>4</v>
      </c>
      <c r="FR156" s="14">
        <f>IFERROR(AVERAGE(Tabel1[[#This Row],[Do - A3a]:[Do - A3a]]),"")</f>
        <v>4</v>
      </c>
      <c r="FS156" s="14">
        <v>3</v>
      </c>
      <c r="FT156" s="14">
        <f>IFERROR(AVERAGE(Tabel1[[#This Row],[Do - A1]],Tabel1[[#This Row],[Do - A2]],Tabel1[[#This Row],[Do - A3]],Tabel1[[#This Row],[Do - A4]]),"")</f>
        <v>4</v>
      </c>
      <c r="FU15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3.8724074074074073</v>
      </c>
      <c r="FV156" s="16" t="s">
        <v>932</v>
      </c>
      <c r="FW156" t="b">
        <v>1</v>
      </c>
    </row>
    <row r="157" spans="1:179" x14ac:dyDescent="0.3">
      <c r="A157" s="13">
        <v>45072.59957175926</v>
      </c>
      <c r="B157" t="b">
        <v>0</v>
      </c>
      <c r="C157" s="14" t="s">
        <v>933</v>
      </c>
      <c r="D157" s="14" t="s">
        <v>934</v>
      </c>
      <c r="E157" s="14" t="s">
        <v>935</v>
      </c>
      <c r="F157" s="14" t="s">
        <v>184</v>
      </c>
      <c r="G157" s="14" t="s">
        <v>936</v>
      </c>
      <c r="H157" s="14" t="s">
        <v>222</v>
      </c>
      <c r="I157" s="14" t="s">
        <v>243</v>
      </c>
      <c r="J157" s="14" t="s">
        <v>248</v>
      </c>
      <c r="K157" s="17" t="s">
        <v>304</v>
      </c>
      <c r="L157" s="14" t="s">
        <v>218</v>
      </c>
      <c r="M157" s="14" t="s">
        <v>281</v>
      </c>
      <c r="N157" s="14" t="s">
        <v>316</v>
      </c>
      <c r="O157" s="14" t="s">
        <v>200</v>
      </c>
      <c r="P157" s="14" t="s">
        <v>203</v>
      </c>
      <c r="Q157" s="14" t="s">
        <v>201</v>
      </c>
      <c r="R157" s="14" t="s">
        <v>202</v>
      </c>
      <c r="S157" s="14" t="s">
        <v>202</v>
      </c>
      <c r="T157" s="14" t="s">
        <v>284</v>
      </c>
      <c r="U157" s="14" t="s">
        <v>285</v>
      </c>
      <c r="V157" s="14" t="s">
        <v>359</v>
      </c>
      <c r="W157" s="14" t="s">
        <v>207</v>
      </c>
      <c r="X157" s="14" t="s">
        <v>395</v>
      </c>
      <c r="Y157" s="14">
        <v>1</v>
      </c>
      <c r="Z157" s="14">
        <v>1</v>
      </c>
      <c r="AA157" s="14">
        <v>4</v>
      </c>
      <c r="AB157" s="15">
        <f>IFERROR(AVERAGE(Tabel1[[#This Row],[Up - R1a]:[Up - R1c]]),"")</f>
        <v>2</v>
      </c>
      <c r="AC157" s="14">
        <v>1</v>
      </c>
      <c r="AD157" s="14">
        <v>3</v>
      </c>
      <c r="AE157" s="14">
        <v>1</v>
      </c>
      <c r="AF157" s="14">
        <v>2</v>
      </c>
      <c r="AG157" s="14">
        <f>IFERROR(AVERAGE(Tabel1[[#This Row],[Up - R1]:[Up - R5]]),"")</f>
        <v>1.8</v>
      </c>
      <c r="AH157" s="14">
        <v>4</v>
      </c>
      <c r="AI157" s="14">
        <v>4</v>
      </c>
      <c r="AJ157" s="14">
        <v>3</v>
      </c>
      <c r="AK157" s="14">
        <f>IFERROR(AVERAGE(Tabel1[[#This Row],[Up - C1a]:[Up - C1c]]),"")</f>
        <v>3.6666666666666665</v>
      </c>
      <c r="AL157" s="14">
        <v>2</v>
      </c>
      <c r="AM157" s="14">
        <v>1</v>
      </c>
      <c r="AN157" s="14">
        <v>1</v>
      </c>
      <c r="AO157" s="14">
        <f>IFERROR(AVERAGE(Tabel1[[#This Row],[Up - C1]:[Up - C4]]),"")</f>
        <v>1.9166666666666665</v>
      </c>
      <c r="AP157" s="14" t="s">
        <v>189</v>
      </c>
      <c r="AQ157" s="14" t="str">
        <f>IFERROR(AVERAGE(Tabel1[[#This Row],[Up - F1a]:[Up - F1a]]),"")</f>
        <v/>
      </c>
      <c r="AR157" s="14">
        <v>2</v>
      </c>
      <c r="AS157" s="14">
        <v>1</v>
      </c>
      <c r="AT157" s="14">
        <f>IFERROR(AVERAGE(Tabel1[[#This Row],[Up - F2a]:[Up - F2b]]),"")</f>
        <v>1.5</v>
      </c>
      <c r="AU157" s="14">
        <v>2</v>
      </c>
      <c r="AV157" s="14">
        <v>1</v>
      </c>
      <c r="AW157" s="14">
        <f>IFERROR(AVERAGE(Tabel1[[#This Row],[Up - F3a]:[Up - F3b]]),"")</f>
        <v>1.5</v>
      </c>
      <c r="AX157" s="14">
        <v>1</v>
      </c>
      <c r="AY157" s="14">
        <f>IFERROR(AVERAGE(Tabel1[[#This Row],[Up - F1]],Tabel1[[#This Row],[Up - F2]],Tabel1[[#This Row],[Up - F3]],Tabel1[[#This Row],[Up - F4]]),"")</f>
        <v>1.3333333333333333</v>
      </c>
      <c r="AZ157" s="14">
        <v>2</v>
      </c>
      <c r="BA157" s="14">
        <v>4</v>
      </c>
      <c r="BB157" s="14">
        <f>IFERROR(AVERAGE(Tabel1[[#This Row],[Up - V1a]:[Up - V1b]]),"")</f>
        <v>3</v>
      </c>
      <c r="BC157" s="14">
        <v>1</v>
      </c>
      <c r="BD157" s="14">
        <v>2</v>
      </c>
      <c r="BE157" s="14">
        <v>2</v>
      </c>
      <c r="BF157" s="14">
        <f>IFERROR(AVERAGE(Tabel1[[#This Row],[Up - V2a]:[Up - V2c]]),"")</f>
        <v>1.6666666666666667</v>
      </c>
      <c r="BG157" s="14" t="s">
        <v>189</v>
      </c>
      <c r="BH157" s="14">
        <v>1</v>
      </c>
      <c r="BI157" s="14">
        <f>IFERROR(AVERAGE(Tabel1[[#This Row],[Up - V3a]:[Up - V3b]]),"")</f>
        <v>1</v>
      </c>
      <c r="BJ157" s="14">
        <v>2</v>
      </c>
      <c r="BK157" s="14">
        <f>IFERROR(AVERAGE(Tabel1[[#This Row],[Up - V1]],Tabel1[[#This Row],[Up - V2]],Tabel1[[#This Row],[Up - V3]],Tabel1[[#This Row],[Up - V4]]),"")</f>
        <v>1.9166666666666667</v>
      </c>
      <c r="BL157" s="14">
        <v>2</v>
      </c>
      <c r="BM157" s="14">
        <v>3</v>
      </c>
      <c r="BN157" s="14">
        <v>3</v>
      </c>
      <c r="BO157" s="14">
        <v>1</v>
      </c>
      <c r="BP157" s="14">
        <f>IFERROR(AVERAGE(Tabel1[[#This Row],[Up - A1a]:[Up - A1d]]),"")</f>
        <v>2.25</v>
      </c>
      <c r="BQ157" s="14">
        <v>2</v>
      </c>
      <c r="BR157" s="14">
        <v>3</v>
      </c>
      <c r="BS157" s="14">
        <f>IFERROR(AVERAGE(Tabel1[[#This Row],[Up - A2a]:[Up - A2b]]),"")</f>
        <v>2.5</v>
      </c>
      <c r="BT157" s="14">
        <v>3</v>
      </c>
      <c r="BU157" s="14">
        <f>IFERROR(AVERAGE(Tabel1[[#This Row],[Up - A3a]:[Up - A3a]]),"")</f>
        <v>3</v>
      </c>
      <c r="BV157" s="14">
        <v>1</v>
      </c>
      <c r="BW157" s="14">
        <f>IFERROR(AVERAGE(Tabel1[[#This Row],[Up - A1]],Tabel1[[#This Row],[Up - A2]],Tabel1[[#This Row],[Up - A3]]),"")</f>
        <v>2.5833333333333335</v>
      </c>
      <c r="BX157" s="14" t="s">
        <v>189</v>
      </c>
      <c r="BY157" s="14" t="s">
        <v>189</v>
      </c>
      <c r="BZ157" s="14" t="str">
        <f>IFERROR(AVERAGE(Tabel1[[#This Row],[In - R1a]:[In - R1b]]),"")</f>
        <v/>
      </c>
      <c r="CA157" s="14">
        <v>3</v>
      </c>
      <c r="CB157" s="14">
        <v>1</v>
      </c>
      <c r="CC157" s="14" t="s">
        <v>189</v>
      </c>
      <c r="CD157" s="14">
        <v>3</v>
      </c>
      <c r="CE157" s="14">
        <f>IFERROR(AVERAGE(Tabel1[[#This Row],[In - R1]:[In - R5]]),"")</f>
        <v>2.3333333333333335</v>
      </c>
      <c r="CF157" s="14">
        <v>3</v>
      </c>
      <c r="CG157" s="14">
        <v>3</v>
      </c>
      <c r="CH157" s="14">
        <v>3</v>
      </c>
      <c r="CI157" s="14">
        <f>IFERROR(AVERAGE(Tabel1[[#This Row],[In - C1a]:[In - C1c]]),"")</f>
        <v>3</v>
      </c>
      <c r="CJ157" s="14" t="s">
        <v>189</v>
      </c>
      <c r="CK157" s="14">
        <v>2</v>
      </c>
      <c r="CL157" s="14" t="s">
        <v>189</v>
      </c>
      <c r="CM157" s="14">
        <f>IFERROR(AVERAGE(Tabel1[[#This Row],[In - C1]:[In - C4]]),"")</f>
        <v>2.5</v>
      </c>
      <c r="CN157" s="14" t="s">
        <v>189</v>
      </c>
      <c r="CO157" s="14" t="s">
        <v>189</v>
      </c>
      <c r="CP157" s="14" t="s">
        <v>189</v>
      </c>
      <c r="CQ157" s="14" t="str">
        <f>IFERROR(AVERAGE(Tabel1[[#This Row],[In - F1a]:[In - F1c]]),"")</f>
        <v/>
      </c>
      <c r="CR157" s="14" t="s">
        <v>189</v>
      </c>
      <c r="CS157" s="14" t="s">
        <v>189</v>
      </c>
      <c r="CT157" s="14" t="str">
        <f>IFERROR(AVERAGE(Tabel1[[#This Row],[In - F2a]:[In - F2b]]),"")</f>
        <v/>
      </c>
      <c r="CU157" s="14" t="s">
        <v>189</v>
      </c>
      <c r="CV157" s="14" t="str">
        <f>IFERROR(AVERAGE(Tabel1[[#This Row],[In - F3a]:[In - F3a]]),"")</f>
        <v/>
      </c>
      <c r="CW157" s="14">
        <v>3</v>
      </c>
      <c r="CX157" s="14">
        <f>IFERROR(AVERAGE(Tabel1[[#This Row],[In - F1]],Tabel1[[#This Row],[In - F2]],Tabel1[[#This Row],[In - F3]],Tabel1[[#This Row],[In - F4]]),"")</f>
        <v>3</v>
      </c>
      <c r="CY157" s="14" t="s">
        <v>189</v>
      </c>
      <c r="CZ157" s="14" t="s">
        <v>189</v>
      </c>
      <c r="DA157" s="14" t="s">
        <v>189</v>
      </c>
      <c r="DB157" s="14" t="str">
        <f>IFERROR(AVERAGE(Tabel1[[#This Row],[In - V1a]:[In - V1c]]),"")</f>
        <v/>
      </c>
      <c r="DC157" s="14">
        <v>2</v>
      </c>
      <c r="DD157" s="14" t="s">
        <v>189</v>
      </c>
      <c r="DE157" s="14">
        <v>1</v>
      </c>
      <c r="DF157" s="14">
        <f>IFERROR(AVERAGE(Tabel1[[#This Row],[In - V2a]:[In - V2c]]),"")</f>
        <v>1.5</v>
      </c>
      <c r="DG157" s="14">
        <v>3</v>
      </c>
      <c r="DH157" s="14">
        <v>4</v>
      </c>
      <c r="DI157" s="14">
        <f>IFERROR(AVERAGE(Tabel1[[#This Row],[In - V3a]:[In - V3b]]),"")</f>
        <v>3.5</v>
      </c>
      <c r="DJ157" s="14" t="s">
        <v>189</v>
      </c>
      <c r="DK157" s="14">
        <f>IFERROR(AVERAGE(Tabel1[[#This Row],[In - V1]],Tabel1[[#This Row],[In - V2]],Tabel1[[#This Row],[In - V3]],Tabel1[[#This Row],[In - V4]]),"")</f>
        <v>2.5</v>
      </c>
      <c r="DL157" s="14">
        <v>4</v>
      </c>
      <c r="DM157" s="14" t="s">
        <v>189</v>
      </c>
      <c r="DN157" s="14">
        <f>IFERROR(AVERAGE(Tabel1[[#This Row],[In - A1a]:[In - A1b]]),"")</f>
        <v>4</v>
      </c>
      <c r="DO157" s="14" t="s">
        <v>189</v>
      </c>
      <c r="DP157" s="14">
        <v>3</v>
      </c>
      <c r="DQ157" s="14">
        <f>IFERROR(AVERAGE(Tabel1[[#This Row],[In - A2a]:[In - A2b]]),"")</f>
        <v>3</v>
      </c>
      <c r="DR157" s="14">
        <v>3</v>
      </c>
      <c r="DS157" s="14" t="s">
        <v>189</v>
      </c>
      <c r="DT157" s="14">
        <f>IFERROR(AVERAGE(Tabel1[[#This Row],[In - A3a]:[In - A3a]]),"")</f>
        <v>3</v>
      </c>
      <c r="DU157" s="14">
        <v>1</v>
      </c>
      <c r="DV157" s="14">
        <f>IFERROR(AVERAGE(Tabel1[[#This Row],[In - A1]],Tabel1[[#This Row],[In - A2]],Tabel1[[#This Row],[In - A3]],Tabel1[[#This Row],[In - A4]]),"")</f>
        <v>2.75</v>
      </c>
      <c r="DW157" s="14">
        <v>1</v>
      </c>
      <c r="DX157" s="14">
        <v>4</v>
      </c>
      <c r="DY157" s="14">
        <v>1</v>
      </c>
      <c r="DZ157" s="14">
        <f>IFERROR(AVERAGE(Tabel1[[#This Row],[Do - R1a]:[Do - R1c]]),"")</f>
        <v>2</v>
      </c>
      <c r="EA157" s="14" t="s">
        <v>189</v>
      </c>
      <c r="EB157" s="14">
        <v>1</v>
      </c>
      <c r="EC157" s="14">
        <v>1</v>
      </c>
      <c r="ED157" s="14">
        <v>3</v>
      </c>
      <c r="EE157" s="14">
        <f>IFERROR(AVERAGE(Tabel1[[#This Row],[Do - R1]:[Do - R5]]),"")</f>
        <v>1.75</v>
      </c>
      <c r="EF157" s="14">
        <v>5</v>
      </c>
      <c r="EG157" s="14">
        <v>4</v>
      </c>
      <c r="EH157" s="14">
        <v>4</v>
      </c>
      <c r="EI157" s="14">
        <f>IFERROR(AVERAGE(Tabel1[[#This Row],[Do - C1a]:[Do - C1c]]),"")</f>
        <v>4.333333333333333</v>
      </c>
      <c r="EJ157" s="14">
        <v>3</v>
      </c>
      <c r="EK157" s="14">
        <v>1</v>
      </c>
      <c r="EL157" s="14">
        <v>1</v>
      </c>
      <c r="EM157" s="14">
        <f>IFERROR(AVERAGE(Tabel1[[#This Row],[Do - C1]:[Do - C4]]),"")</f>
        <v>2.333333333333333</v>
      </c>
      <c r="EN157" s="14" t="s">
        <v>189</v>
      </c>
      <c r="EO157" s="14" t="s">
        <v>189</v>
      </c>
      <c r="EP157" s="14" t="s">
        <v>189</v>
      </c>
      <c r="EQ157" s="14" t="str">
        <f>IFERROR(AVERAGE(Tabel1[[#This Row],[Do - F1a]:[Do - F1c]]),"")</f>
        <v/>
      </c>
      <c r="ER157" s="14">
        <v>3</v>
      </c>
      <c r="ES157" s="14">
        <f>IFERROR(AVERAGE(Tabel1[[#This Row],[Do - F2a]:[Do - F2a]]),"")</f>
        <v>3</v>
      </c>
      <c r="ET157" s="14">
        <v>4</v>
      </c>
      <c r="EU157" s="14">
        <v>1</v>
      </c>
      <c r="EV157" s="14">
        <f>IFERROR(AVERAGE(Tabel1[[#This Row],[Do - F3a]:[Do - F3b]]),"")</f>
        <v>2.5</v>
      </c>
      <c r="EW157" s="14">
        <v>2</v>
      </c>
      <c r="EX157" s="14">
        <f>IFERROR(AVERAGE(Tabel1[[#This Row],[Do - F1]],Tabel1[[#This Row],[Do - F2]],Tabel1[[#This Row],[Do - F3]],Tabel1[[#This Row],[Do - F4]]),"")</f>
        <v>2.5</v>
      </c>
      <c r="EY157" s="14">
        <v>3</v>
      </c>
      <c r="EZ157" s="14" t="s">
        <v>189</v>
      </c>
      <c r="FA157" s="14">
        <v>4</v>
      </c>
      <c r="FB157" s="14">
        <f>IFERROR(AVERAGE(Tabel1[[#This Row],[Do - V1a]:[Do - V1c]]),"")</f>
        <v>3.5</v>
      </c>
      <c r="FC157" s="14">
        <v>2</v>
      </c>
      <c r="FD157" s="14">
        <v>1</v>
      </c>
      <c r="FE157" s="14">
        <f>IFERROR(AVERAGE(Tabel1[[#This Row],[Do - V2a]:[Do - V2b]]),"")</f>
        <v>1.5</v>
      </c>
      <c r="FF157" s="14">
        <v>2</v>
      </c>
      <c r="FG157" s="14">
        <f>IFERROR(AVERAGE(Tabel1[[#This Row],[Do - V3a]:[Do - V3a]]),"")</f>
        <v>2</v>
      </c>
      <c r="FH157" s="14">
        <v>3</v>
      </c>
      <c r="FI157" s="14">
        <f>IFERROR(AVERAGE(Tabel1[[#This Row],[Do - V1]],Tabel1[[#This Row],[Do - V2]],Tabel1[[#This Row],[Do - V3]],Tabel1[[#This Row],[Do - V4]]),"")</f>
        <v>2.5</v>
      </c>
      <c r="FJ157" s="14">
        <v>4</v>
      </c>
      <c r="FK157" s="14">
        <v>3</v>
      </c>
      <c r="FL157" s="14">
        <v>4</v>
      </c>
      <c r="FM157" s="14">
        <f>IFERROR(AVERAGE(Tabel1[[#This Row],[Do - A1a]:[Do - A1c]]),"")</f>
        <v>3.6666666666666665</v>
      </c>
      <c r="FN157" s="14">
        <v>2</v>
      </c>
      <c r="FO157" s="14">
        <v>3</v>
      </c>
      <c r="FP157" s="14">
        <f>IFERROR(AVERAGE(Tabel1[[#This Row],[Do - A2a]:[Do - A2b]]),"")</f>
        <v>2.5</v>
      </c>
      <c r="FQ157" s="14">
        <v>3</v>
      </c>
      <c r="FR157" s="14">
        <f>IFERROR(AVERAGE(Tabel1[[#This Row],[Do - A3a]:[Do - A3a]]),"")</f>
        <v>3</v>
      </c>
      <c r="FS157" s="14">
        <v>2</v>
      </c>
      <c r="FT157" s="14">
        <f>IFERROR(AVERAGE(Tabel1[[#This Row],[Do - A1]],Tabel1[[#This Row],[Do - A2]],Tabel1[[#This Row],[Do - A3]],Tabel1[[#This Row],[Do - A4]]),"")</f>
        <v>2.7916666666666665</v>
      </c>
      <c r="FU15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2.3005555555555555</v>
      </c>
      <c r="FV157" s="16" t="s">
        <v>937</v>
      </c>
      <c r="FW157" t="b">
        <v>1</v>
      </c>
    </row>
    <row r="158" spans="1:179" x14ac:dyDescent="0.3">
      <c r="A158" s="13">
        <v>45077.389490740738</v>
      </c>
      <c r="B158" t="b">
        <v>0</v>
      </c>
      <c r="C158" s="14" t="s">
        <v>938</v>
      </c>
      <c r="D158" s="14" t="s">
        <v>939</v>
      </c>
      <c r="E158" s="14" t="s">
        <v>940</v>
      </c>
      <c r="F158" s="14" t="s">
        <v>184</v>
      </c>
      <c r="G158" s="14" t="s">
        <v>941</v>
      </c>
      <c r="H158" s="14" t="s">
        <v>222</v>
      </c>
      <c r="I158" s="14" t="s">
        <v>195</v>
      </c>
      <c r="J158" s="14" t="s">
        <v>261</v>
      </c>
      <c r="K158" s="14" t="s">
        <v>187</v>
      </c>
      <c r="L158" s="14" t="s">
        <v>249</v>
      </c>
      <c r="M158" s="14" t="s">
        <v>188</v>
      </c>
      <c r="N158" s="14" t="s">
        <v>262</v>
      </c>
      <c r="O158" s="14" t="s">
        <v>200</v>
      </c>
      <c r="P158" s="17" t="s">
        <v>304</v>
      </c>
      <c r="Q158" s="14" t="s">
        <v>235</v>
      </c>
      <c r="R158" s="14" t="s">
        <v>235</v>
      </c>
      <c r="S158" s="14" t="s">
        <v>187</v>
      </c>
      <c r="T158" s="14" t="s">
        <v>204</v>
      </c>
      <c r="U158" s="14" t="s">
        <v>205</v>
      </c>
      <c r="V158" s="14" t="s">
        <v>484</v>
      </c>
      <c r="W158" s="14" t="s">
        <v>207</v>
      </c>
      <c r="X158" s="14" t="s">
        <v>207</v>
      </c>
      <c r="Y158" s="14">
        <v>4</v>
      </c>
      <c r="Z158" s="14">
        <v>3</v>
      </c>
      <c r="AA158" s="14" t="s">
        <v>189</v>
      </c>
      <c r="AB158" s="15">
        <f>IFERROR(AVERAGE(Tabel1[[#This Row],[Up - R1a]:[Up - R1c]]),"")</f>
        <v>3.5</v>
      </c>
      <c r="AC158" s="14">
        <v>2</v>
      </c>
      <c r="AD158" s="14">
        <v>4</v>
      </c>
      <c r="AE158" s="14">
        <v>1</v>
      </c>
      <c r="AF158" s="14" t="s">
        <v>189</v>
      </c>
      <c r="AG158" s="14">
        <f>IFERROR(AVERAGE(Tabel1[[#This Row],[Up - R1]:[Up - R5]]),"")</f>
        <v>2.625</v>
      </c>
      <c r="AH158" s="14">
        <v>4</v>
      </c>
      <c r="AI158" s="14">
        <v>3</v>
      </c>
      <c r="AJ158" s="14">
        <v>1</v>
      </c>
      <c r="AK158" s="14">
        <f>IFERROR(AVERAGE(Tabel1[[#This Row],[Up - C1a]:[Up - C1c]]),"")</f>
        <v>2.6666666666666665</v>
      </c>
      <c r="AL158" s="14">
        <v>3</v>
      </c>
      <c r="AM158" s="14">
        <v>1</v>
      </c>
      <c r="AN158" s="14">
        <v>1</v>
      </c>
      <c r="AO158" s="14">
        <f>IFERROR(AVERAGE(Tabel1[[#This Row],[Up - C1]:[Up - C4]]),"")</f>
        <v>1.9166666666666665</v>
      </c>
      <c r="AP158" s="14">
        <v>3</v>
      </c>
      <c r="AQ158" s="14">
        <f>IFERROR(AVERAGE(Tabel1[[#This Row],[Up - F1a]:[Up - F1a]]),"")</f>
        <v>3</v>
      </c>
      <c r="AR158" s="14">
        <v>1</v>
      </c>
      <c r="AS158" s="14">
        <v>1</v>
      </c>
      <c r="AT158" s="14">
        <f>IFERROR(AVERAGE(Tabel1[[#This Row],[Up - F2a]:[Up - F2b]]),"")</f>
        <v>1</v>
      </c>
      <c r="AU158" s="14">
        <v>3</v>
      </c>
      <c r="AV158" s="14">
        <v>4</v>
      </c>
      <c r="AW158" s="14">
        <f>IFERROR(AVERAGE(Tabel1[[#This Row],[Up - F3a]:[Up - F3b]]),"")</f>
        <v>3.5</v>
      </c>
      <c r="AX158" s="14">
        <v>1</v>
      </c>
      <c r="AY158" s="14">
        <f>IFERROR(AVERAGE(Tabel1[[#This Row],[Up - F1]],Tabel1[[#This Row],[Up - F2]],Tabel1[[#This Row],[Up - F3]],Tabel1[[#This Row],[Up - F4]]),"")</f>
        <v>2.125</v>
      </c>
      <c r="AZ158" s="14">
        <v>1</v>
      </c>
      <c r="BA158" s="14">
        <v>4</v>
      </c>
      <c r="BB158" s="14">
        <f>IFERROR(AVERAGE(Tabel1[[#This Row],[Up - V1a]:[Up - V1b]]),"")</f>
        <v>2.5</v>
      </c>
      <c r="BC158" s="14">
        <v>4</v>
      </c>
      <c r="BD158" s="14">
        <v>3</v>
      </c>
      <c r="BE158" s="14">
        <v>3</v>
      </c>
      <c r="BF158" s="14">
        <f>IFERROR(AVERAGE(Tabel1[[#This Row],[Up - V2a]:[Up - V2c]]),"")</f>
        <v>3.3333333333333335</v>
      </c>
      <c r="BG158" s="14">
        <v>1</v>
      </c>
      <c r="BH158" s="14">
        <v>3</v>
      </c>
      <c r="BI158" s="14">
        <f>IFERROR(AVERAGE(Tabel1[[#This Row],[Up - V3a]:[Up - V3b]]),"")</f>
        <v>2</v>
      </c>
      <c r="BJ158" s="14">
        <v>4</v>
      </c>
      <c r="BK158" s="14">
        <f>IFERROR(AVERAGE(Tabel1[[#This Row],[Up - V1]],Tabel1[[#This Row],[Up - V2]],Tabel1[[#This Row],[Up - V3]],Tabel1[[#This Row],[Up - V4]]),"")</f>
        <v>2.9583333333333335</v>
      </c>
      <c r="BL158" s="14">
        <v>3</v>
      </c>
      <c r="BM158" s="14">
        <v>5</v>
      </c>
      <c r="BN158" s="14">
        <v>2</v>
      </c>
      <c r="BO158" s="14">
        <v>3</v>
      </c>
      <c r="BP158" s="14">
        <f>IFERROR(AVERAGE(Tabel1[[#This Row],[Up - A1a]:[Up - A1d]]),"")</f>
        <v>3.25</v>
      </c>
      <c r="BQ158" s="14">
        <v>3</v>
      </c>
      <c r="BR158" s="14">
        <v>4</v>
      </c>
      <c r="BS158" s="14">
        <f>IFERROR(AVERAGE(Tabel1[[#This Row],[Up - A2a]:[Up - A2b]]),"")</f>
        <v>3.5</v>
      </c>
      <c r="BT158" s="14">
        <v>4</v>
      </c>
      <c r="BU158" s="14">
        <f>IFERROR(AVERAGE(Tabel1[[#This Row],[Up - A3a]:[Up - A3a]]),"")</f>
        <v>4</v>
      </c>
      <c r="BV158" s="14">
        <v>2</v>
      </c>
      <c r="BW158" s="14">
        <f>IFERROR(AVERAGE(Tabel1[[#This Row],[Up - A1]],Tabel1[[#This Row],[Up - A2]],Tabel1[[#This Row],[Up - A3]]),"")</f>
        <v>3.5833333333333335</v>
      </c>
      <c r="BX158" s="14">
        <v>1</v>
      </c>
      <c r="BY158" s="14">
        <v>4</v>
      </c>
      <c r="BZ158" s="14">
        <f>IFERROR(AVERAGE(Tabel1[[#This Row],[In - R1a]:[In - R1b]]),"")</f>
        <v>2.5</v>
      </c>
      <c r="CA158" s="14">
        <v>2</v>
      </c>
      <c r="CB158" s="14">
        <v>5</v>
      </c>
      <c r="CC158" s="14">
        <v>1</v>
      </c>
      <c r="CD158" s="14">
        <v>4</v>
      </c>
      <c r="CE158" s="14">
        <f>IFERROR(AVERAGE(Tabel1[[#This Row],[In - R1]:[In - R5]]),"")</f>
        <v>2.9</v>
      </c>
      <c r="CF158" s="14">
        <v>4</v>
      </c>
      <c r="CG158" s="14">
        <v>4</v>
      </c>
      <c r="CH158" s="14">
        <v>4</v>
      </c>
      <c r="CI158" s="14">
        <f>IFERROR(AVERAGE(Tabel1[[#This Row],[In - C1a]:[In - C1c]]),"")</f>
        <v>4</v>
      </c>
      <c r="CJ158" s="14">
        <v>1</v>
      </c>
      <c r="CK158" s="14">
        <v>2</v>
      </c>
      <c r="CL158" s="14">
        <v>3</v>
      </c>
      <c r="CM158" s="14">
        <f>IFERROR(AVERAGE(Tabel1[[#This Row],[In - C1]:[In - C4]]),"")</f>
        <v>2.5</v>
      </c>
      <c r="CN158" s="14">
        <v>1</v>
      </c>
      <c r="CO158" s="14">
        <v>1</v>
      </c>
      <c r="CP158" s="14">
        <v>1</v>
      </c>
      <c r="CQ158" s="14">
        <f>IFERROR(AVERAGE(Tabel1[[#This Row],[In - F1a]:[In - F1c]]),"")</f>
        <v>1</v>
      </c>
      <c r="CR158" s="14">
        <v>3</v>
      </c>
      <c r="CS158" s="14">
        <v>2</v>
      </c>
      <c r="CT158" s="14">
        <f>IFERROR(AVERAGE(Tabel1[[#This Row],[In - F2a]:[In - F2b]]),"")</f>
        <v>2.5</v>
      </c>
      <c r="CU158" s="14">
        <v>1</v>
      </c>
      <c r="CV158" s="14">
        <f>IFERROR(AVERAGE(Tabel1[[#This Row],[In - F3a]:[In - F3a]]),"")</f>
        <v>1</v>
      </c>
      <c r="CW158" s="14">
        <v>4</v>
      </c>
      <c r="CX158" s="14">
        <f>IFERROR(AVERAGE(Tabel1[[#This Row],[In - F1]],Tabel1[[#This Row],[In - F2]],Tabel1[[#This Row],[In - F3]],Tabel1[[#This Row],[In - F4]]),"")</f>
        <v>2.125</v>
      </c>
      <c r="CY158" s="14">
        <v>5</v>
      </c>
      <c r="CZ158" s="14">
        <v>1</v>
      </c>
      <c r="DA158" s="14">
        <v>1</v>
      </c>
      <c r="DB158" s="14">
        <f>IFERROR(AVERAGE(Tabel1[[#This Row],[In - V1a]:[In - V1c]]),"")</f>
        <v>2.3333333333333335</v>
      </c>
      <c r="DC158" s="14">
        <v>4</v>
      </c>
      <c r="DD158" s="14">
        <v>3</v>
      </c>
      <c r="DE158" s="14">
        <v>4</v>
      </c>
      <c r="DF158" s="14">
        <f>IFERROR(AVERAGE(Tabel1[[#This Row],[In - V2a]:[In - V2c]]),"")</f>
        <v>3.6666666666666665</v>
      </c>
      <c r="DG158" s="14">
        <v>2</v>
      </c>
      <c r="DH158" s="14">
        <v>4</v>
      </c>
      <c r="DI158" s="14">
        <f>IFERROR(AVERAGE(Tabel1[[#This Row],[In - V3a]:[In - V3b]]),"")</f>
        <v>3</v>
      </c>
      <c r="DJ158" s="14">
        <v>4</v>
      </c>
      <c r="DK158" s="14">
        <f>IFERROR(AVERAGE(Tabel1[[#This Row],[In - V1]],Tabel1[[#This Row],[In - V2]],Tabel1[[#This Row],[In - V3]],Tabel1[[#This Row],[In - V4]]),"")</f>
        <v>3.25</v>
      </c>
      <c r="DL158" s="14">
        <v>1</v>
      </c>
      <c r="DM158" s="14">
        <v>5</v>
      </c>
      <c r="DN158" s="14">
        <f>IFERROR(AVERAGE(Tabel1[[#This Row],[In - A1a]:[In - A1b]]),"")</f>
        <v>3</v>
      </c>
      <c r="DO158" s="14">
        <v>1</v>
      </c>
      <c r="DP158" s="14">
        <v>3</v>
      </c>
      <c r="DQ158" s="14">
        <f>IFERROR(AVERAGE(Tabel1[[#This Row],[In - A2a]:[In - A2b]]),"")</f>
        <v>2</v>
      </c>
      <c r="DR158" s="14">
        <v>3</v>
      </c>
      <c r="DS158" s="14">
        <v>2</v>
      </c>
      <c r="DT158" s="14">
        <f>IFERROR(AVERAGE(Tabel1[[#This Row],[In - A3a]:[In - A3a]]),"")</f>
        <v>3</v>
      </c>
      <c r="DU158" s="14">
        <v>2</v>
      </c>
      <c r="DV158" s="14">
        <f>IFERROR(AVERAGE(Tabel1[[#This Row],[In - A1]],Tabel1[[#This Row],[In - A2]],Tabel1[[#This Row],[In - A3]],Tabel1[[#This Row],[In - A4]]),"")</f>
        <v>2.5</v>
      </c>
      <c r="DW158" s="14" t="s">
        <v>189</v>
      </c>
      <c r="DX158" s="14">
        <v>5</v>
      </c>
      <c r="DY158" s="14" t="s">
        <v>189</v>
      </c>
      <c r="DZ158" s="14">
        <f>IFERROR(AVERAGE(Tabel1[[#This Row],[Do - R1a]:[Do - R1c]]),"")</f>
        <v>5</v>
      </c>
      <c r="EA158" s="14" t="s">
        <v>189</v>
      </c>
      <c r="EB158" s="14">
        <v>4</v>
      </c>
      <c r="EC158" s="14">
        <v>3</v>
      </c>
      <c r="ED158" s="14">
        <v>3</v>
      </c>
      <c r="EE158" s="14">
        <f>IFERROR(AVERAGE(Tabel1[[#This Row],[Do - R1]:[Do - R5]]),"")</f>
        <v>3.75</v>
      </c>
      <c r="EF158" s="14">
        <v>4</v>
      </c>
      <c r="EG158" s="14">
        <v>4</v>
      </c>
      <c r="EH158" s="14">
        <v>3</v>
      </c>
      <c r="EI158" s="14">
        <f>IFERROR(AVERAGE(Tabel1[[#This Row],[Do - C1a]:[Do - C1c]]),"")</f>
        <v>3.6666666666666665</v>
      </c>
      <c r="EJ158" s="14">
        <v>3</v>
      </c>
      <c r="EK158" s="14">
        <v>1</v>
      </c>
      <c r="EL158" s="14">
        <v>3</v>
      </c>
      <c r="EM158" s="14">
        <f>IFERROR(AVERAGE(Tabel1[[#This Row],[Do - C1]:[Do - C4]]),"")</f>
        <v>2.6666666666666665</v>
      </c>
      <c r="EN158" s="14">
        <v>3</v>
      </c>
      <c r="EO158" s="14">
        <v>1</v>
      </c>
      <c r="EP158" s="14">
        <v>1</v>
      </c>
      <c r="EQ158" s="14">
        <f>IFERROR(AVERAGE(Tabel1[[#This Row],[Do - F1a]:[Do - F1c]]),"")</f>
        <v>1.6666666666666667</v>
      </c>
      <c r="ER158" s="14">
        <v>1</v>
      </c>
      <c r="ES158" s="14">
        <f>IFERROR(AVERAGE(Tabel1[[#This Row],[Do - F2a]:[Do - F2a]]),"")</f>
        <v>1</v>
      </c>
      <c r="ET158" s="14">
        <v>4</v>
      </c>
      <c r="EU158" s="14">
        <v>2</v>
      </c>
      <c r="EV158" s="14">
        <f>IFERROR(AVERAGE(Tabel1[[#This Row],[Do - F3a]:[Do - F3b]]),"")</f>
        <v>3</v>
      </c>
      <c r="EW158" s="14">
        <v>3</v>
      </c>
      <c r="EX158" s="14">
        <f>IFERROR(AVERAGE(Tabel1[[#This Row],[Do - F1]],Tabel1[[#This Row],[Do - F2]],Tabel1[[#This Row],[Do - F3]],Tabel1[[#This Row],[Do - F4]]),"")</f>
        <v>2.166666666666667</v>
      </c>
      <c r="EY158" s="14">
        <v>4</v>
      </c>
      <c r="EZ158" s="14">
        <v>1</v>
      </c>
      <c r="FA158" s="14">
        <v>3</v>
      </c>
      <c r="FB158" s="14">
        <f>IFERROR(AVERAGE(Tabel1[[#This Row],[Do - V1a]:[Do - V1c]]),"")</f>
        <v>2.6666666666666665</v>
      </c>
      <c r="FC158" s="14">
        <v>4</v>
      </c>
      <c r="FD158" s="14">
        <v>4</v>
      </c>
      <c r="FE158" s="14">
        <f>IFERROR(AVERAGE(Tabel1[[#This Row],[Do - V2a]:[Do - V2b]]),"")</f>
        <v>4</v>
      </c>
      <c r="FF158" s="14">
        <v>3</v>
      </c>
      <c r="FG158" s="14">
        <f>IFERROR(AVERAGE(Tabel1[[#This Row],[Do - V3a]:[Do - V3a]]),"")</f>
        <v>3</v>
      </c>
      <c r="FH158" s="14">
        <v>4</v>
      </c>
      <c r="FI158" s="14">
        <f>IFERROR(AVERAGE(Tabel1[[#This Row],[Do - V1]],Tabel1[[#This Row],[Do - V2]],Tabel1[[#This Row],[Do - V3]],Tabel1[[#This Row],[Do - V4]]),"")</f>
        <v>3.4166666666666665</v>
      </c>
      <c r="FJ158" s="14">
        <v>1</v>
      </c>
      <c r="FK158" s="14">
        <v>4</v>
      </c>
      <c r="FL158" s="14">
        <v>3</v>
      </c>
      <c r="FM158" s="14">
        <f>IFERROR(AVERAGE(Tabel1[[#This Row],[Do - A1a]:[Do - A1c]]),"")</f>
        <v>2.6666666666666665</v>
      </c>
      <c r="FN158" s="14">
        <v>1</v>
      </c>
      <c r="FO158" s="14">
        <v>4</v>
      </c>
      <c r="FP158" s="14">
        <f>IFERROR(AVERAGE(Tabel1[[#This Row],[Do - A2a]:[Do - A2b]]),"")</f>
        <v>2.5</v>
      </c>
      <c r="FQ158" s="14">
        <v>2</v>
      </c>
      <c r="FR158" s="14">
        <f>IFERROR(AVERAGE(Tabel1[[#This Row],[Do - A3a]:[Do - A3a]]),"")</f>
        <v>2</v>
      </c>
      <c r="FS158" s="14">
        <v>2</v>
      </c>
      <c r="FT158" s="14">
        <f>IFERROR(AVERAGE(Tabel1[[#This Row],[Do - A1]],Tabel1[[#This Row],[Do - A2]],Tabel1[[#This Row],[Do - A3]],Tabel1[[#This Row],[Do - A4]]),"")</f>
        <v>2.2916666666666665</v>
      </c>
      <c r="FU15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2.7183333333333328</v>
      </c>
      <c r="FV158" s="16" t="s">
        <v>942</v>
      </c>
      <c r="FW158" t="b">
        <v>1</v>
      </c>
    </row>
    <row r="159" spans="1:179" x14ac:dyDescent="0.3">
      <c r="A159" s="13">
        <v>45077.887314814812</v>
      </c>
      <c r="B159" t="b">
        <v>0</v>
      </c>
      <c r="C159" s="14" t="s">
        <v>943</v>
      </c>
      <c r="D159" s="14" t="s">
        <v>944</v>
      </c>
      <c r="E159" s="14" t="s">
        <v>945</v>
      </c>
      <c r="F159" s="14" t="s">
        <v>898</v>
      </c>
      <c r="G159" s="33" t="s">
        <v>946</v>
      </c>
      <c r="H159" s="14" t="s">
        <v>194</v>
      </c>
      <c r="I159" s="14" t="s">
        <v>322</v>
      </c>
      <c r="J159" s="14" t="s">
        <v>323</v>
      </c>
      <c r="K159" s="14" t="s">
        <v>202</v>
      </c>
      <c r="L159" s="14" t="s">
        <v>249</v>
      </c>
      <c r="M159" s="14" t="s">
        <v>198</v>
      </c>
      <c r="N159" s="14" t="s">
        <v>262</v>
      </c>
      <c r="O159" s="14" t="s">
        <v>200</v>
      </c>
      <c r="P159" s="14" t="s">
        <v>203</v>
      </c>
      <c r="Q159" s="14" t="s">
        <v>203</v>
      </c>
      <c r="R159" s="14" t="s">
        <v>201</v>
      </c>
      <c r="S159" s="14" t="s">
        <v>201</v>
      </c>
      <c r="T159" s="14" t="s">
        <v>204</v>
      </c>
      <c r="U159" s="14" t="s">
        <v>349</v>
      </c>
      <c r="V159" s="14" t="s">
        <v>484</v>
      </c>
      <c r="W159" s="14" t="s">
        <v>306</v>
      </c>
      <c r="X159" s="14" t="s">
        <v>306</v>
      </c>
      <c r="Y159" s="14">
        <v>4</v>
      </c>
      <c r="Z159" s="14">
        <v>4</v>
      </c>
      <c r="AA159" s="14">
        <v>3</v>
      </c>
      <c r="AB159" s="15">
        <f>IFERROR(AVERAGE(Tabel1[[#This Row],[Up - R1a]:[Up - R1c]]),"")</f>
        <v>3.6666666666666665</v>
      </c>
      <c r="AC159" s="14">
        <v>4</v>
      </c>
      <c r="AD159" s="14">
        <v>4</v>
      </c>
      <c r="AE159" s="14">
        <v>5</v>
      </c>
      <c r="AF159" s="14">
        <v>3</v>
      </c>
      <c r="AG159" s="14">
        <f>IFERROR(AVERAGE(Tabel1[[#This Row],[Up - R1]:[Up - R5]]),"")</f>
        <v>3.9333333333333327</v>
      </c>
      <c r="AH159" s="14">
        <v>4</v>
      </c>
      <c r="AI159" s="14">
        <v>4</v>
      </c>
      <c r="AJ159" s="14">
        <v>5</v>
      </c>
      <c r="AK159" s="14">
        <f>IFERROR(AVERAGE(Tabel1[[#This Row],[Up - C1a]:[Up - C1c]]),"")</f>
        <v>4.333333333333333</v>
      </c>
      <c r="AL159" s="14">
        <v>4</v>
      </c>
      <c r="AM159" s="14">
        <v>4</v>
      </c>
      <c r="AN159" s="14">
        <v>5</v>
      </c>
      <c r="AO159" s="14">
        <f>IFERROR(AVERAGE(Tabel1[[#This Row],[Up - C1]:[Up - C4]]),"")</f>
        <v>4.333333333333333</v>
      </c>
      <c r="AP159" s="14">
        <v>4</v>
      </c>
      <c r="AQ159" s="14">
        <f>IFERROR(AVERAGE(Tabel1[[#This Row],[Up - F1a]:[Up - F1a]]),"")</f>
        <v>4</v>
      </c>
      <c r="AR159" s="14">
        <v>4</v>
      </c>
      <c r="AS159" s="14">
        <v>5</v>
      </c>
      <c r="AT159" s="14">
        <f>IFERROR(AVERAGE(Tabel1[[#This Row],[Up - F2a]:[Up - F2b]]),"")</f>
        <v>4.5</v>
      </c>
      <c r="AU159" s="14">
        <v>4</v>
      </c>
      <c r="AV159" s="14">
        <v>5</v>
      </c>
      <c r="AW159" s="14">
        <f>IFERROR(AVERAGE(Tabel1[[#This Row],[Up - F3a]:[Up - F3b]]),"")</f>
        <v>4.5</v>
      </c>
      <c r="AX159" s="14">
        <v>4</v>
      </c>
      <c r="AY159" s="14">
        <f>IFERROR(AVERAGE(Tabel1[[#This Row],[Up - F1]],Tabel1[[#This Row],[Up - F2]],Tabel1[[#This Row],[Up - F3]],Tabel1[[#This Row],[Up - F4]]),"")</f>
        <v>4.25</v>
      </c>
      <c r="AZ159" s="14">
        <v>4</v>
      </c>
      <c r="BA159" s="14">
        <v>5</v>
      </c>
      <c r="BB159" s="14">
        <f>IFERROR(AVERAGE(Tabel1[[#This Row],[Up - V1a]:[Up - V1b]]),"")</f>
        <v>4.5</v>
      </c>
      <c r="BC159" s="14">
        <v>4</v>
      </c>
      <c r="BD159" s="14">
        <v>5</v>
      </c>
      <c r="BE159" s="14">
        <v>4</v>
      </c>
      <c r="BF159" s="14">
        <f>IFERROR(AVERAGE(Tabel1[[#This Row],[Up - V2a]:[Up - V2c]]),"")</f>
        <v>4.333333333333333</v>
      </c>
      <c r="BG159" s="14">
        <v>4</v>
      </c>
      <c r="BH159" s="14">
        <v>4</v>
      </c>
      <c r="BI159" s="14">
        <f>IFERROR(AVERAGE(Tabel1[[#This Row],[Up - V3a]:[Up - V3b]]),"")</f>
        <v>4</v>
      </c>
      <c r="BJ159" s="14">
        <v>5</v>
      </c>
      <c r="BK159" s="14">
        <f>IFERROR(AVERAGE(Tabel1[[#This Row],[Up - V1]],Tabel1[[#This Row],[Up - V2]],Tabel1[[#This Row],[Up - V3]],Tabel1[[#This Row],[Up - V4]]),"")</f>
        <v>4.458333333333333</v>
      </c>
      <c r="BL159" s="14">
        <v>4</v>
      </c>
      <c r="BM159" s="14">
        <v>5</v>
      </c>
      <c r="BN159" s="14">
        <v>4</v>
      </c>
      <c r="BO159" s="14">
        <v>4</v>
      </c>
      <c r="BP159" s="14">
        <f>IFERROR(AVERAGE(Tabel1[[#This Row],[Up - A1a]:[Up - A1d]]),"")</f>
        <v>4.25</v>
      </c>
      <c r="BQ159" s="14">
        <v>5</v>
      </c>
      <c r="BR159" s="14">
        <v>5</v>
      </c>
      <c r="BS159" s="14">
        <f>IFERROR(AVERAGE(Tabel1[[#This Row],[Up - A2a]:[Up - A2b]]),"")</f>
        <v>5</v>
      </c>
      <c r="BT159" s="14">
        <v>4</v>
      </c>
      <c r="BU159" s="14">
        <f>IFERROR(AVERAGE(Tabel1[[#This Row],[Up - A3a]:[Up - A3a]]),"")</f>
        <v>4</v>
      </c>
      <c r="BV159" s="14">
        <v>4</v>
      </c>
      <c r="BW159" s="14">
        <f>IFERROR(AVERAGE(Tabel1[[#This Row],[Up - A1]],Tabel1[[#This Row],[Up - A2]],Tabel1[[#This Row],[Up - A3]]),"")</f>
        <v>4.416666666666667</v>
      </c>
      <c r="BX159" s="14">
        <v>4</v>
      </c>
      <c r="BY159" s="14">
        <v>4</v>
      </c>
      <c r="BZ159" s="14">
        <f>IFERROR(AVERAGE(Tabel1[[#This Row],[In - R1a]:[In - R1b]]),"")</f>
        <v>4</v>
      </c>
      <c r="CA159" s="14">
        <v>4</v>
      </c>
      <c r="CB159" s="14">
        <v>4</v>
      </c>
      <c r="CC159" s="14">
        <v>5</v>
      </c>
      <c r="CD159" s="14">
        <v>4</v>
      </c>
      <c r="CE159" s="14">
        <f>IFERROR(AVERAGE(Tabel1[[#This Row],[In - R1]:[In - R5]]),"")</f>
        <v>4.2</v>
      </c>
      <c r="CF159" s="14">
        <v>5</v>
      </c>
      <c r="CG159" s="14">
        <v>5</v>
      </c>
      <c r="CH159" s="14">
        <v>5</v>
      </c>
      <c r="CI159" s="14">
        <f>IFERROR(AVERAGE(Tabel1[[#This Row],[In - C1a]:[In - C1c]]),"")</f>
        <v>5</v>
      </c>
      <c r="CJ159" s="14">
        <v>4</v>
      </c>
      <c r="CK159" s="14">
        <v>5</v>
      </c>
      <c r="CL159" s="14">
        <v>5</v>
      </c>
      <c r="CM159" s="14">
        <f>IFERROR(AVERAGE(Tabel1[[#This Row],[In - C1]:[In - C4]]),"")</f>
        <v>4.75</v>
      </c>
      <c r="CN159" s="14">
        <v>5</v>
      </c>
      <c r="CO159" s="14">
        <v>4</v>
      </c>
      <c r="CP159" s="14">
        <v>4</v>
      </c>
      <c r="CQ159" s="14">
        <f>IFERROR(AVERAGE(Tabel1[[#This Row],[In - F1a]:[In - F1c]]),"")</f>
        <v>4.333333333333333</v>
      </c>
      <c r="CR159" s="14">
        <v>5</v>
      </c>
      <c r="CS159" s="14">
        <v>5</v>
      </c>
      <c r="CT159" s="14">
        <f>IFERROR(AVERAGE(Tabel1[[#This Row],[In - F2a]:[In - F2b]]),"")</f>
        <v>5</v>
      </c>
      <c r="CU159" s="14">
        <v>4</v>
      </c>
      <c r="CV159" s="14">
        <f>IFERROR(AVERAGE(Tabel1[[#This Row],[In - F3a]:[In - F3a]]),"")</f>
        <v>4</v>
      </c>
      <c r="CW159" s="14">
        <v>5</v>
      </c>
      <c r="CX159" s="14">
        <f>IFERROR(AVERAGE(Tabel1[[#This Row],[In - F1]],Tabel1[[#This Row],[In - F2]],Tabel1[[#This Row],[In - F3]],Tabel1[[#This Row],[In - F4]]),"")</f>
        <v>4.583333333333333</v>
      </c>
      <c r="CY159" s="14">
        <v>4</v>
      </c>
      <c r="CZ159" s="14">
        <v>4</v>
      </c>
      <c r="DA159" s="14">
        <v>5</v>
      </c>
      <c r="DB159" s="14">
        <f>IFERROR(AVERAGE(Tabel1[[#This Row],[In - V1a]:[In - V1c]]),"")</f>
        <v>4.333333333333333</v>
      </c>
      <c r="DC159" s="14">
        <v>4</v>
      </c>
      <c r="DD159" s="14">
        <v>4</v>
      </c>
      <c r="DE159" s="14">
        <v>5</v>
      </c>
      <c r="DF159" s="14">
        <f>IFERROR(AVERAGE(Tabel1[[#This Row],[In - V2a]:[In - V2c]]),"")</f>
        <v>4.333333333333333</v>
      </c>
      <c r="DG159" s="14">
        <v>4</v>
      </c>
      <c r="DH159" s="14">
        <v>4</v>
      </c>
      <c r="DI159" s="14">
        <f>IFERROR(AVERAGE(Tabel1[[#This Row],[In - V3a]:[In - V3b]]),"")</f>
        <v>4</v>
      </c>
      <c r="DJ159" s="14">
        <v>5</v>
      </c>
      <c r="DK159" s="14">
        <f>IFERROR(AVERAGE(Tabel1[[#This Row],[In - V1]],Tabel1[[#This Row],[In - V2]],Tabel1[[#This Row],[In - V3]],Tabel1[[#This Row],[In - V4]]),"")</f>
        <v>4.4166666666666661</v>
      </c>
      <c r="DL159" s="14">
        <v>4</v>
      </c>
      <c r="DM159" s="14">
        <v>5</v>
      </c>
      <c r="DN159" s="14">
        <f>IFERROR(AVERAGE(Tabel1[[#This Row],[In - A1a]:[In - A1b]]),"")</f>
        <v>4.5</v>
      </c>
      <c r="DO159" s="14">
        <v>4</v>
      </c>
      <c r="DP159" s="14">
        <v>4</v>
      </c>
      <c r="DQ159" s="14">
        <f>IFERROR(AVERAGE(Tabel1[[#This Row],[In - A2a]:[In - A2b]]),"")</f>
        <v>4</v>
      </c>
      <c r="DR159" s="14">
        <v>4</v>
      </c>
      <c r="DS159" s="14">
        <v>4</v>
      </c>
      <c r="DT159" s="14">
        <f>IFERROR(AVERAGE(Tabel1[[#This Row],[In - A3a]:[In - A3a]]),"")</f>
        <v>4</v>
      </c>
      <c r="DU159" s="14">
        <v>4</v>
      </c>
      <c r="DV159" s="14">
        <f>IFERROR(AVERAGE(Tabel1[[#This Row],[In - A1]],Tabel1[[#This Row],[In - A2]],Tabel1[[#This Row],[In - A3]],Tabel1[[#This Row],[In - A4]]),"")</f>
        <v>4.125</v>
      </c>
      <c r="DW159" s="14">
        <v>4</v>
      </c>
      <c r="DX159" s="14">
        <v>5</v>
      </c>
      <c r="DY159" s="14">
        <v>4</v>
      </c>
      <c r="DZ159" s="14">
        <f>IFERROR(AVERAGE(Tabel1[[#This Row],[Do - R1a]:[Do - R1c]]),"")</f>
        <v>4.333333333333333</v>
      </c>
      <c r="EA159" s="14">
        <v>4</v>
      </c>
      <c r="EB159" s="14">
        <v>5</v>
      </c>
      <c r="EC159" s="14">
        <v>4</v>
      </c>
      <c r="ED159" s="14">
        <v>4</v>
      </c>
      <c r="EE159" s="14">
        <f>IFERROR(AVERAGE(Tabel1[[#This Row],[Do - R1]:[Do - R5]]),"")</f>
        <v>4.2666666666666666</v>
      </c>
      <c r="EF159" s="14">
        <v>4</v>
      </c>
      <c r="EG159" s="14">
        <v>4</v>
      </c>
      <c r="EH159" s="14">
        <v>4</v>
      </c>
      <c r="EI159" s="14">
        <f>IFERROR(AVERAGE(Tabel1[[#This Row],[Do - C1a]:[Do - C1c]]),"")</f>
        <v>4</v>
      </c>
      <c r="EJ159" s="14">
        <v>5</v>
      </c>
      <c r="EK159" s="14">
        <v>4</v>
      </c>
      <c r="EL159" s="14">
        <v>4</v>
      </c>
      <c r="EM159" s="14">
        <f>IFERROR(AVERAGE(Tabel1[[#This Row],[Do - C1]:[Do - C4]]),"")</f>
        <v>4.25</v>
      </c>
      <c r="EN159" s="14">
        <v>4</v>
      </c>
      <c r="EO159" s="14">
        <v>4</v>
      </c>
      <c r="EP159" s="14">
        <v>5</v>
      </c>
      <c r="EQ159" s="14">
        <f>IFERROR(AVERAGE(Tabel1[[#This Row],[Do - F1a]:[Do - F1c]]),"")</f>
        <v>4.333333333333333</v>
      </c>
      <c r="ER159" s="14">
        <v>4</v>
      </c>
      <c r="ES159" s="14">
        <f>IFERROR(AVERAGE(Tabel1[[#This Row],[Do - F2a]:[Do - F2a]]),"")</f>
        <v>4</v>
      </c>
      <c r="ET159" s="14">
        <v>4</v>
      </c>
      <c r="EU159" s="14">
        <v>5</v>
      </c>
      <c r="EV159" s="14">
        <f>IFERROR(AVERAGE(Tabel1[[#This Row],[Do - F3a]:[Do - F3b]]),"")</f>
        <v>4.5</v>
      </c>
      <c r="EW159" s="14">
        <v>4</v>
      </c>
      <c r="EX159" s="14">
        <f>IFERROR(AVERAGE(Tabel1[[#This Row],[Do - F1]],Tabel1[[#This Row],[Do - F2]],Tabel1[[#This Row],[Do - F3]],Tabel1[[#This Row],[Do - F4]]),"")</f>
        <v>4.208333333333333</v>
      </c>
      <c r="EY159" s="14">
        <v>4</v>
      </c>
      <c r="EZ159" s="14">
        <v>4</v>
      </c>
      <c r="FA159" s="14">
        <v>4</v>
      </c>
      <c r="FB159" s="14">
        <f>IFERROR(AVERAGE(Tabel1[[#This Row],[Do - V1a]:[Do - V1c]]),"")</f>
        <v>4</v>
      </c>
      <c r="FC159" s="14">
        <v>5</v>
      </c>
      <c r="FD159" s="14">
        <v>5</v>
      </c>
      <c r="FE159" s="14">
        <f>IFERROR(AVERAGE(Tabel1[[#This Row],[Do - V2a]:[Do - V2b]]),"")</f>
        <v>5</v>
      </c>
      <c r="FF159" s="14">
        <v>4</v>
      </c>
      <c r="FG159" s="14">
        <f>IFERROR(AVERAGE(Tabel1[[#This Row],[Do - V3a]:[Do - V3a]]),"")</f>
        <v>4</v>
      </c>
      <c r="FH159" s="14">
        <v>4</v>
      </c>
      <c r="FI159" s="14">
        <f>IFERROR(AVERAGE(Tabel1[[#This Row],[Do - V1]],Tabel1[[#This Row],[Do - V2]],Tabel1[[#This Row],[Do - V3]],Tabel1[[#This Row],[Do - V4]]),"")</f>
        <v>4.25</v>
      </c>
      <c r="FJ159" s="14">
        <v>5</v>
      </c>
      <c r="FK159" s="14">
        <v>5</v>
      </c>
      <c r="FL159" s="14">
        <v>4</v>
      </c>
      <c r="FM159" s="14">
        <f>IFERROR(AVERAGE(Tabel1[[#This Row],[Do - A1a]:[Do - A1c]]),"")</f>
        <v>4.666666666666667</v>
      </c>
      <c r="FN159" s="14">
        <v>5</v>
      </c>
      <c r="FO159" s="14">
        <v>4</v>
      </c>
      <c r="FP159" s="14">
        <f>IFERROR(AVERAGE(Tabel1[[#This Row],[Do - A2a]:[Do - A2b]]),"")</f>
        <v>4.5</v>
      </c>
      <c r="FQ159" s="14">
        <v>4</v>
      </c>
      <c r="FR159" s="14">
        <f>IFERROR(AVERAGE(Tabel1[[#This Row],[Do - A3a]:[Do - A3a]]),"")</f>
        <v>4</v>
      </c>
      <c r="FS159" s="14">
        <v>5</v>
      </c>
      <c r="FT159" s="14">
        <f>IFERROR(AVERAGE(Tabel1[[#This Row],[Do - A1]],Tabel1[[#This Row],[Do - A2]],Tabel1[[#This Row],[Do - A3]],Tabel1[[#This Row],[Do - A4]]),"")</f>
        <v>4.541666666666667</v>
      </c>
      <c r="FU15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4.3322222222222226</v>
      </c>
      <c r="FV159" s="16" t="s">
        <v>947</v>
      </c>
      <c r="FW159" t="b">
        <v>1</v>
      </c>
    </row>
    <row r="160" spans="1:179" x14ac:dyDescent="0.3">
      <c r="A160" s="13">
        <v>45077.966874999998</v>
      </c>
      <c r="B160" t="b">
        <v>0</v>
      </c>
      <c r="C160" s="14" t="s">
        <v>948</v>
      </c>
      <c r="D160" s="14" t="s">
        <v>944</v>
      </c>
      <c r="E160" s="14" t="s">
        <v>949</v>
      </c>
      <c r="F160" s="14" t="s">
        <v>898</v>
      </c>
      <c r="G160" s="14" t="s">
        <v>950</v>
      </c>
      <c r="H160" s="14" t="s">
        <v>194</v>
      </c>
      <c r="I160" s="14" t="s">
        <v>322</v>
      </c>
      <c r="J160" s="14" t="s">
        <v>323</v>
      </c>
      <c r="K160" s="14" t="s">
        <v>187</v>
      </c>
      <c r="L160" s="14" t="s">
        <v>197</v>
      </c>
      <c r="M160" s="14" t="s">
        <v>198</v>
      </c>
      <c r="N160" s="14" t="s">
        <v>199</v>
      </c>
      <c r="O160" s="14" t="s">
        <v>200</v>
      </c>
      <c r="P160" s="14" t="s">
        <v>235</v>
      </c>
      <c r="Q160" s="14" t="s">
        <v>235</v>
      </c>
      <c r="R160" s="14" t="s">
        <v>235</v>
      </c>
      <c r="S160" s="14" t="s">
        <v>235</v>
      </c>
      <c r="T160" s="14" t="s">
        <v>236</v>
      </c>
      <c r="U160" s="14" t="s">
        <v>285</v>
      </c>
      <c r="V160" s="14" t="s">
        <v>206</v>
      </c>
      <c r="W160" s="14" t="s">
        <v>207</v>
      </c>
      <c r="X160" s="14" t="s">
        <v>207</v>
      </c>
      <c r="Y160" s="14">
        <v>4</v>
      </c>
      <c r="Z160" s="14">
        <v>5</v>
      </c>
      <c r="AA160" s="14">
        <v>4</v>
      </c>
      <c r="AB160" s="15">
        <f>IFERROR(AVERAGE(Tabel1[[#This Row],[Up - R1a]:[Up - R1c]]),"")</f>
        <v>4.333333333333333</v>
      </c>
      <c r="AC160" s="14">
        <v>5</v>
      </c>
      <c r="AD160" s="14">
        <v>5</v>
      </c>
      <c r="AE160" s="14">
        <v>5</v>
      </c>
      <c r="AF160" s="14">
        <v>5</v>
      </c>
      <c r="AG160" s="14">
        <f>IFERROR(AVERAGE(Tabel1[[#This Row],[Up - R1]:[Up - R5]]),"")</f>
        <v>4.8666666666666663</v>
      </c>
      <c r="AH160" s="14">
        <v>4</v>
      </c>
      <c r="AI160" s="14">
        <v>4</v>
      </c>
      <c r="AJ160" s="14">
        <v>5</v>
      </c>
      <c r="AK160" s="14">
        <f>IFERROR(AVERAGE(Tabel1[[#This Row],[Up - C1a]:[Up - C1c]]),"")</f>
        <v>4.333333333333333</v>
      </c>
      <c r="AL160" s="14">
        <v>4</v>
      </c>
      <c r="AM160" s="14">
        <v>5</v>
      </c>
      <c r="AN160" s="14">
        <v>4</v>
      </c>
      <c r="AO160" s="14">
        <f>IFERROR(AVERAGE(Tabel1[[#This Row],[Up - C1]:[Up - C4]]),"")</f>
        <v>4.333333333333333</v>
      </c>
      <c r="AP160" s="14">
        <v>5</v>
      </c>
      <c r="AQ160" s="14">
        <f>IFERROR(AVERAGE(Tabel1[[#This Row],[Up - F1a]:[Up - F1a]]),"")</f>
        <v>5</v>
      </c>
      <c r="AR160" s="14">
        <v>5</v>
      </c>
      <c r="AS160" s="14">
        <v>5</v>
      </c>
      <c r="AT160" s="14">
        <f>IFERROR(AVERAGE(Tabel1[[#This Row],[Up - F2a]:[Up - F2b]]),"")</f>
        <v>5</v>
      </c>
      <c r="AU160" s="14">
        <v>4</v>
      </c>
      <c r="AV160" s="14">
        <v>5</v>
      </c>
      <c r="AW160" s="14">
        <f>IFERROR(AVERAGE(Tabel1[[#This Row],[Up - F3a]:[Up - F3b]]),"")</f>
        <v>4.5</v>
      </c>
      <c r="AX160" s="14">
        <v>4</v>
      </c>
      <c r="AY160" s="14">
        <f>IFERROR(AVERAGE(Tabel1[[#This Row],[Up - F1]],Tabel1[[#This Row],[Up - F2]],Tabel1[[#This Row],[Up - F3]],Tabel1[[#This Row],[Up - F4]]),"")</f>
        <v>4.625</v>
      </c>
      <c r="AZ160" s="14">
        <v>5</v>
      </c>
      <c r="BA160" s="14">
        <v>4</v>
      </c>
      <c r="BB160" s="14">
        <f>IFERROR(AVERAGE(Tabel1[[#This Row],[Up - V1a]:[Up - V1b]]),"")</f>
        <v>4.5</v>
      </c>
      <c r="BC160" s="14">
        <v>5</v>
      </c>
      <c r="BD160" s="14">
        <v>4</v>
      </c>
      <c r="BE160" s="14">
        <v>4</v>
      </c>
      <c r="BF160" s="14">
        <f>IFERROR(AVERAGE(Tabel1[[#This Row],[Up - V2a]:[Up - V2c]]),"")</f>
        <v>4.333333333333333</v>
      </c>
      <c r="BG160" s="14">
        <v>5</v>
      </c>
      <c r="BH160" s="14">
        <v>5</v>
      </c>
      <c r="BI160" s="14">
        <f>IFERROR(AVERAGE(Tabel1[[#This Row],[Up - V3a]:[Up - V3b]]),"")</f>
        <v>5</v>
      </c>
      <c r="BJ160" s="14">
        <v>5</v>
      </c>
      <c r="BK160" s="14">
        <f>IFERROR(AVERAGE(Tabel1[[#This Row],[Up - V1]],Tabel1[[#This Row],[Up - V2]],Tabel1[[#This Row],[Up - V3]],Tabel1[[#This Row],[Up - V4]]),"")</f>
        <v>4.708333333333333</v>
      </c>
      <c r="BL160" s="14">
        <v>5</v>
      </c>
      <c r="BM160" s="14">
        <v>4</v>
      </c>
      <c r="BN160" s="14">
        <v>4</v>
      </c>
      <c r="BO160" s="14">
        <v>5</v>
      </c>
      <c r="BP160" s="14">
        <f>IFERROR(AVERAGE(Tabel1[[#This Row],[Up - A1a]:[Up - A1d]]),"")</f>
        <v>4.5</v>
      </c>
      <c r="BQ160" s="14">
        <v>5</v>
      </c>
      <c r="BR160" s="14">
        <v>5</v>
      </c>
      <c r="BS160" s="14">
        <f>IFERROR(AVERAGE(Tabel1[[#This Row],[Up - A2a]:[Up - A2b]]),"")</f>
        <v>5</v>
      </c>
      <c r="BT160" s="14">
        <v>5</v>
      </c>
      <c r="BU160" s="14">
        <f>IFERROR(AVERAGE(Tabel1[[#This Row],[Up - A3a]:[Up - A3a]]),"")</f>
        <v>5</v>
      </c>
      <c r="BV160" s="14">
        <v>4</v>
      </c>
      <c r="BW160" s="14">
        <f>IFERROR(AVERAGE(Tabel1[[#This Row],[Up - A1]],Tabel1[[#This Row],[Up - A2]],Tabel1[[#This Row],[Up - A3]]),"")</f>
        <v>4.833333333333333</v>
      </c>
      <c r="BX160" s="14">
        <v>4</v>
      </c>
      <c r="BY160" s="14">
        <v>5</v>
      </c>
      <c r="BZ160" s="14">
        <f>IFERROR(AVERAGE(Tabel1[[#This Row],[In - R1a]:[In - R1b]]),"")</f>
        <v>4.5</v>
      </c>
      <c r="CA160" s="14">
        <v>4</v>
      </c>
      <c r="CB160" s="14">
        <v>4</v>
      </c>
      <c r="CC160" s="14">
        <v>5</v>
      </c>
      <c r="CD160" s="14">
        <v>5</v>
      </c>
      <c r="CE160" s="14">
        <f>IFERROR(AVERAGE(Tabel1[[#This Row],[In - R1]:[In - R5]]),"")</f>
        <v>4.5</v>
      </c>
      <c r="CF160" s="14">
        <v>5</v>
      </c>
      <c r="CG160" s="14">
        <v>4</v>
      </c>
      <c r="CH160" s="14">
        <v>4</v>
      </c>
      <c r="CI160" s="14">
        <f>IFERROR(AVERAGE(Tabel1[[#This Row],[In - C1a]:[In - C1c]]),"")</f>
        <v>4.333333333333333</v>
      </c>
      <c r="CJ160" s="14">
        <v>5</v>
      </c>
      <c r="CK160" s="14">
        <v>4</v>
      </c>
      <c r="CL160" s="14">
        <v>5</v>
      </c>
      <c r="CM160" s="14">
        <f>IFERROR(AVERAGE(Tabel1[[#This Row],[In - C1]:[In - C4]]),"")</f>
        <v>4.583333333333333</v>
      </c>
      <c r="CN160" s="14">
        <v>5</v>
      </c>
      <c r="CO160" s="14">
        <v>4</v>
      </c>
      <c r="CP160" s="14">
        <v>5</v>
      </c>
      <c r="CQ160" s="14">
        <f>IFERROR(AVERAGE(Tabel1[[#This Row],[In - F1a]:[In - F1c]]),"")</f>
        <v>4.666666666666667</v>
      </c>
      <c r="CR160" s="14">
        <v>5</v>
      </c>
      <c r="CS160" s="14">
        <v>4</v>
      </c>
      <c r="CT160" s="14">
        <f>IFERROR(AVERAGE(Tabel1[[#This Row],[In - F2a]:[In - F2b]]),"")</f>
        <v>4.5</v>
      </c>
      <c r="CU160" s="14">
        <v>4</v>
      </c>
      <c r="CV160" s="14">
        <f>IFERROR(AVERAGE(Tabel1[[#This Row],[In - F3a]:[In - F3a]]),"")</f>
        <v>4</v>
      </c>
      <c r="CW160" s="14">
        <v>5</v>
      </c>
      <c r="CX160" s="14">
        <f>IFERROR(AVERAGE(Tabel1[[#This Row],[In - F1]],Tabel1[[#This Row],[In - F2]],Tabel1[[#This Row],[In - F3]],Tabel1[[#This Row],[In - F4]]),"")</f>
        <v>4.541666666666667</v>
      </c>
      <c r="CY160" s="14">
        <v>4</v>
      </c>
      <c r="CZ160" s="14">
        <v>5</v>
      </c>
      <c r="DA160" s="14">
        <v>4</v>
      </c>
      <c r="DB160" s="14">
        <f>IFERROR(AVERAGE(Tabel1[[#This Row],[In - V1a]:[In - V1c]]),"")</f>
        <v>4.333333333333333</v>
      </c>
      <c r="DC160" s="14">
        <v>5</v>
      </c>
      <c r="DD160" s="14">
        <v>4</v>
      </c>
      <c r="DE160" s="14">
        <v>5</v>
      </c>
      <c r="DF160" s="14">
        <f>IFERROR(AVERAGE(Tabel1[[#This Row],[In - V2a]:[In - V2c]]),"")</f>
        <v>4.666666666666667</v>
      </c>
      <c r="DG160" s="14">
        <v>5</v>
      </c>
      <c r="DH160" s="14">
        <v>4</v>
      </c>
      <c r="DI160" s="14">
        <f>IFERROR(AVERAGE(Tabel1[[#This Row],[In - V3a]:[In - V3b]]),"")</f>
        <v>4.5</v>
      </c>
      <c r="DJ160" s="14">
        <v>4</v>
      </c>
      <c r="DK160" s="14">
        <f>IFERROR(AVERAGE(Tabel1[[#This Row],[In - V1]],Tabel1[[#This Row],[In - V2]],Tabel1[[#This Row],[In - V3]],Tabel1[[#This Row],[In - V4]]),"")</f>
        <v>4.375</v>
      </c>
      <c r="DL160" s="14">
        <v>4</v>
      </c>
      <c r="DM160" s="14">
        <v>4</v>
      </c>
      <c r="DN160" s="14">
        <f>IFERROR(AVERAGE(Tabel1[[#This Row],[In - A1a]:[In - A1b]]),"")</f>
        <v>4</v>
      </c>
      <c r="DO160" s="14">
        <v>5</v>
      </c>
      <c r="DP160" s="14">
        <v>5</v>
      </c>
      <c r="DQ160" s="14">
        <f>IFERROR(AVERAGE(Tabel1[[#This Row],[In - A2a]:[In - A2b]]),"")</f>
        <v>5</v>
      </c>
      <c r="DR160" s="14">
        <v>5</v>
      </c>
      <c r="DS160" s="14">
        <v>4</v>
      </c>
      <c r="DT160" s="14">
        <f>IFERROR(AVERAGE(Tabel1[[#This Row],[In - A3a]:[In - A3a]]),"")</f>
        <v>5</v>
      </c>
      <c r="DU160" s="14">
        <v>5</v>
      </c>
      <c r="DV160" s="14">
        <f>IFERROR(AVERAGE(Tabel1[[#This Row],[In - A1]],Tabel1[[#This Row],[In - A2]],Tabel1[[#This Row],[In - A3]],Tabel1[[#This Row],[In - A4]]),"")</f>
        <v>4.75</v>
      </c>
      <c r="DW160" s="14">
        <v>5</v>
      </c>
      <c r="DX160" s="14">
        <v>4</v>
      </c>
      <c r="DY160" s="14">
        <v>5</v>
      </c>
      <c r="DZ160" s="14">
        <f>IFERROR(AVERAGE(Tabel1[[#This Row],[Do - R1a]:[Do - R1c]]),"")</f>
        <v>4.666666666666667</v>
      </c>
      <c r="EA160" s="14">
        <v>4</v>
      </c>
      <c r="EB160" s="14">
        <v>5</v>
      </c>
      <c r="EC160" s="14">
        <v>4</v>
      </c>
      <c r="ED160" s="14">
        <v>5</v>
      </c>
      <c r="EE160" s="14">
        <f>IFERROR(AVERAGE(Tabel1[[#This Row],[Do - R1]:[Do - R5]]),"")</f>
        <v>4.5333333333333332</v>
      </c>
      <c r="EF160" s="14">
        <v>4</v>
      </c>
      <c r="EG160" s="14">
        <v>4</v>
      </c>
      <c r="EH160" s="14">
        <v>5</v>
      </c>
      <c r="EI160" s="14">
        <f>IFERROR(AVERAGE(Tabel1[[#This Row],[Do - C1a]:[Do - C1c]]),"")</f>
        <v>4.333333333333333</v>
      </c>
      <c r="EJ160" s="14">
        <v>5</v>
      </c>
      <c r="EK160" s="14">
        <v>5</v>
      </c>
      <c r="EL160" s="14">
        <v>4</v>
      </c>
      <c r="EM160" s="14">
        <f>IFERROR(AVERAGE(Tabel1[[#This Row],[Do - C1]:[Do - C4]]),"")</f>
        <v>4.583333333333333</v>
      </c>
      <c r="EN160" s="14">
        <v>5</v>
      </c>
      <c r="EO160" s="14">
        <v>5</v>
      </c>
      <c r="EP160" s="14">
        <v>5</v>
      </c>
      <c r="EQ160" s="14">
        <f>IFERROR(AVERAGE(Tabel1[[#This Row],[Do - F1a]:[Do - F1c]]),"")</f>
        <v>5</v>
      </c>
      <c r="ER160" s="14">
        <v>5</v>
      </c>
      <c r="ES160" s="14">
        <f>IFERROR(AVERAGE(Tabel1[[#This Row],[Do - F2a]:[Do - F2a]]),"")</f>
        <v>5</v>
      </c>
      <c r="ET160" s="14">
        <v>5</v>
      </c>
      <c r="EU160" s="14">
        <v>5</v>
      </c>
      <c r="EV160" s="14">
        <f>IFERROR(AVERAGE(Tabel1[[#This Row],[Do - F3a]:[Do - F3b]]),"")</f>
        <v>5</v>
      </c>
      <c r="EW160" s="14">
        <v>4</v>
      </c>
      <c r="EX160" s="14">
        <f>IFERROR(AVERAGE(Tabel1[[#This Row],[Do - F1]],Tabel1[[#This Row],[Do - F2]],Tabel1[[#This Row],[Do - F3]],Tabel1[[#This Row],[Do - F4]]),"")</f>
        <v>4.75</v>
      </c>
      <c r="EY160" s="14">
        <v>4</v>
      </c>
      <c r="EZ160" s="14">
        <v>5</v>
      </c>
      <c r="FA160" s="14">
        <v>5</v>
      </c>
      <c r="FB160" s="14">
        <f>IFERROR(AVERAGE(Tabel1[[#This Row],[Do - V1a]:[Do - V1c]]),"")</f>
        <v>4.666666666666667</v>
      </c>
      <c r="FC160" s="14">
        <v>5</v>
      </c>
      <c r="FD160" s="14">
        <v>5</v>
      </c>
      <c r="FE160" s="14">
        <f>IFERROR(AVERAGE(Tabel1[[#This Row],[Do - V2a]:[Do - V2b]]),"")</f>
        <v>5</v>
      </c>
      <c r="FF160" s="14">
        <v>5</v>
      </c>
      <c r="FG160" s="14">
        <f>IFERROR(AVERAGE(Tabel1[[#This Row],[Do - V3a]:[Do - V3a]]),"")</f>
        <v>5</v>
      </c>
      <c r="FH160" s="14">
        <v>5</v>
      </c>
      <c r="FI160" s="14">
        <f>IFERROR(AVERAGE(Tabel1[[#This Row],[Do - V1]],Tabel1[[#This Row],[Do - V2]],Tabel1[[#This Row],[Do - V3]],Tabel1[[#This Row],[Do - V4]]),"")</f>
        <v>4.916666666666667</v>
      </c>
      <c r="FJ160" s="14">
        <v>5</v>
      </c>
      <c r="FK160" s="14">
        <v>4</v>
      </c>
      <c r="FL160" s="14">
        <v>5</v>
      </c>
      <c r="FM160" s="14">
        <f>IFERROR(AVERAGE(Tabel1[[#This Row],[Do - A1a]:[Do - A1c]]),"")</f>
        <v>4.666666666666667</v>
      </c>
      <c r="FN160" s="14">
        <v>5</v>
      </c>
      <c r="FO160" s="14">
        <v>4</v>
      </c>
      <c r="FP160" s="14">
        <f>IFERROR(AVERAGE(Tabel1[[#This Row],[Do - A2a]:[Do - A2b]]),"")</f>
        <v>4.5</v>
      </c>
      <c r="FQ160" s="14">
        <v>5</v>
      </c>
      <c r="FR160" s="14">
        <f>IFERROR(AVERAGE(Tabel1[[#This Row],[Do - A3a]:[Do - A3a]]),"")</f>
        <v>5</v>
      </c>
      <c r="FS160" s="14">
        <v>5</v>
      </c>
      <c r="FT160" s="14">
        <f>IFERROR(AVERAGE(Tabel1[[#This Row],[Do - A1]],Tabel1[[#This Row],[Do - A2]],Tabel1[[#This Row],[Do - A3]],Tabel1[[#This Row],[Do - A4]]),"")</f>
        <v>4.791666666666667</v>
      </c>
      <c r="FU16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4.6461111111111109</v>
      </c>
      <c r="FV160" s="16" t="s">
        <v>951</v>
      </c>
      <c r="FW160" t="b">
        <v>1</v>
      </c>
    </row>
    <row r="161" spans="1:179" x14ac:dyDescent="0.3">
      <c r="A161" s="13">
        <v>45079.552152777775</v>
      </c>
      <c r="B161" t="b">
        <v>0</v>
      </c>
      <c r="C161" s="14" t="s">
        <v>952</v>
      </c>
      <c r="D161" s="14" t="s">
        <v>953</v>
      </c>
      <c r="E161" s="14" t="s">
        <v>954</v>
      </c>
      <c r="F161" s="14" t="s">
        <v>184</v>
      </c>
      <c r="G161" s="21" t="s">
        <v>955</v>
      </c>
      <c r="H161" s="14" t="s">
        <v>222</v>
      </c>
      <c r="I161" s="14" t="s">
        <v>195</v>
      </c>
      <c r="J161" s="14" t="s">
        <v>347</v>
      </c>
      <c r="K161" s="17" t="s">
        <v>304</v>
      </c>
      <c r="L161" s="14" t="s">
        <v>197</v>
      </c>
      <c r="M161" s="14" t="s">
        <v>198</v>
      </c>
      <c r="N161" s="14" t="s">
        <v>331</v>
      </c>
      <c r="O161" s="14" t="s">
        <v>256</v>
      </c>
      <c r="P161" s="17" t="s">
        <v>304</v>
      </c>
      <c r="Q161" s="17" t="s">
        <v>255</v>
      </c>
      <c r="R161" s="17" t="s">
        <v>304</v>
      </c>
      <c r="S161" s="14" t="s">
        <v>203</v>
      </c>
      <c r="T161" s="14" t="s">
        <v>348</v>
      </c>
      <c r="U161" s="14" t="s">
        <v>285</v>
      </c>
      <c r="V161" s="14" t="s">
        <v>359</v>
      </c>
      <c r="W161" s="14" t="s">
        <v>306</v>
      </c>
      <c r="X161" s="14" t="s">
        <v>306</v>
      </c>
      <c r="Y161" s="14">
        <v>5</v>
      </c>
      <c r="Z161" s="14">
        <v>3</v>
      </c>
      <c r="AA161" s="14">
        <v>3</v>
      </c>
      <c r="AB161" s="15">
        <f>IFERROR(AVERAGE(Tabel1[[#This Row],[Up - R1a]:[Up - R1c]]),"")</f>
        <v>3.6666666666666665</v>
      </c>
      <c r="AC161" s="14">
        <v>5</v>
      </c>
      <c r="AD161" s="14">
        <v>5</v>
      </c>
      <c r="AE161" s="14">
        <v>3</v>
      </c>
      <c r="AF161" s="14">
        <v>5</v>
      </c>
      <c r="AG161" s="14">
        <f>IFERROR(AVERAGE(Tabel1[[#This Row],[Up - R1]:[Up - R5]]),"")</f>
        <v>4.333333333333333</v>
      </c>
      <c r="AH161" s="14">
        <v>5</v>
      </c>
      <c r="AI161" s="14">
        <v>3</v>
      </c>
      <c r="AJ161" s="14">
        <v>5</v>
      </c>
      <c r="AK161" s="14">
        <f>IFERROR(AVERAGE(Tabel1[[#This Row],[Up - C1a]:[Up - C1c]]),"")</f>
        <v>4.333333333333333</v>
      </c>
      <c r="AL161" s="14">
        <v>4</v>
      </c>
      <c r="AM161" s="14">
        <v>4</v>
      </c>
      <c r="AN161" s="14">
        <v>3</v>
      </c>
      <c r="AO161" s="14">
        <f>IFERROR(AVERAGE(Tabel1[[#This Row],[Up - C1]:[Up - C4]]),"")</f>
        <v>3.833333333333333</v>
      </c>
      <c r="AP161" s="14">
        <v>3</v>
      </c>
      <c r="AQ161" s="14">
        <f>IFERROR(AVERAGE(Tabel1[[#This Row],[Up - F1a]:[Up - F1a]]),"")</f>
        <v>3</v>
      </c>
      <c r="AR161" s="14">
        <v>4</v>
      </c>
      <c r="AS161" s="14">
        <v>3</v>
      </c>
      <c r="AT161" s="14">
        <f>IFERROR(AVERAGE(Tabel1[[#This Row],[Up - F2a]:[Up - F2b]]),"")</f>
        <v>3.5</v>
      </c>
      <c r="AU161" s="14">
        <v>3</v>
      </c>
      <c r="AV161" s="14">
        <v>3</v>
      </c>
      <c r="AW161" s="14">
        <f>IFERROR(AVERAGE(Tabel1[[#This Row],[Up - F3a]:[Up - F3b]]),"")</f>
        <v>3</v>
      </c>
      <c r="AX161" s="14">
        <v>2</v>
      </c>
      <c r="AY161" s="14">
        <f>IFERROR(AVERAGE(Tabel1[[#This Row],[Up - F1]],Tabel1[[#This Row],[Up - F2]],Tabel1[[#This Row],[Up - F3]],Tabel1[[#This Row],[Up - F4]]),"")</f>
        <v>2.875</v>
      </c>
      <c r="AZ161" s="14">
        <v>3</v>
      </c>
      <c r="BA161" s="14">
        <v>3</v>
      </c>
      <c r="BB161" s="14">
        <f>IFERROR(AVERAGE(Tabel1[[#This Row],[Up - V1a]:[Up - V1b]]),"")</f>
        <v>3</v>
      </c>
      <c r="BC161" s="14">
        <v>2</v>
      </c>
      <c r="BD161" s="14">
        <v>3</v>
      </c>
      <c r="BE161" s="14">
        <v>2</v>
      </c>
      <c r="BF161" s="14">
        <f>IFERROR(AVERAGE(Tabel1[[#This Row],[Up - V2a]:[Up - V2c]]),"")</f>
        <v>2.3333333333333335</v>
      </c>
      <c r="BG161" s="14">
        <v>4</v>
      </c>
      <c r="BH161" s="14">
        <v>4</v>
      </c>
      <c r="BI161" s="14">
        <f>IFERROR(AVERAGE(Tabel1[[#This Row],[Up - V3a]:[Up - V3b]]),"")</f>
        <v>4</v>
      </c>
      <c r="BJ161" s="14">
        <v>5</v>
      </c>
      <c r="BK161" s="14">
        <f>IFERROR(AVERAGE(Tabel1[[#This Row],[Up - V1]],Tabel1[[#This Row],[Up - V2]],Tabel1[[#This Row],[Up - V3]],Tabel1[[#This Row],[Up - V4]]),"")</f>
        <v>3.5833333333333335</v>
      </c>
      <c r="BL161" s="14">
        <v>3</v>
      </c>
      <c r="BM161" s="14">
        <v>3</v>
      </c>
      <c r="BN161" s="14">
        <v>4</v>
      </c>
      <c r="BO161" s="14">
        <v>5</v>
      </c>
      <c r="BP161" s="14">
        <f>IFERROR(AVERAGE(Tabel1[[#This Row],[Up - A1a]:[Up - A1d]]),"")</f>
        <v>3.75</v>
      </c>
      <c r="BQ161" s="14">
        <v>5</v>
      </c>
      <c r="BR161" s="14">
        <v>4</v>
      </c>
      <c r="BS161" s="14">
        <f>IFERROR(AVERAGE(Tabel1[[#This Row],[Up - A2a]:[Up - A2b]]),"")</f>
        <v>4.5</v>
      </c>
      <c r="BT161" s="14">
        <v>3</v>
      </c>
      <c r="BU161" s="14">
        <f>IFERROR(AVERAGE(Tabel1[[#This Row],[Up - A3a]:[Up - A3a]]),"")</f>
        <v>3</v>
      </c>
      <c r="BV161" s="14">
        <v>3</v>
      </c>
      <c r="BW161" s="14">
        <f>IFERROR(AVERAGE(Tabel1[[#This Row],[Up - A1]],Tabel1[[#This Row],[Up - A2]],Tabel1[[#This Row],[Up - A3]]),"")</f>
        <v>3.75</v>
      </c>
      <c r="BX161" s="14">
        <v>5</v>
      </c>
      <c r="BY161" s="14">
        <v>3</v>
      </c>
      <c r="BZ161" s="14">
        <f>IFERROR(AVERAGE(Tabel1[[#This Row],[In - R1a]:[In - R1b]]),"")</f>
        <v>4</v>
      </c>
      <c r="CA161" s="14">
        <v>5</v>
      </c>
      <c r="CB161" s="14">
        <v>3</v>
      </c>
      <c r="CC161" s="14">
        <v>3</v>
      </c>
      <c r="CD161" s="14">
        <v>5</v>
      </c>
      <c r="CE161" s="14">
        <f>IFERROR(AVERAGE(Tabel1[[#This Row],[In - R1]:[In - R5]]),"")</f>
        <v>4</v>
      </c>
      <c r="CF161" s="14">
        <v>5</v>
      </c>
      <c r="CG161" s="14">
        <v>5</v>
      </c>
      <c r="CH161" s="14">
        <v>5</v>
      </c>
      <c r="CI161" s="14">
        <f>IFERROR(AVERAGE(Tabel1[[#This Row],[In - C1a]:[In - C1c]]),"")</f>
        <v>5</v>
      </c>
      <c r="CJ161" s="14">
        <v>3</v>
      </c>
      <c r="CK161" s="14">
        <v>4</v>
      </c>
      <c r="CL161" s="14">
        <v>3</v>
      </c>
      <c r="CM161" s="14">
        <f>IFERROR(AVERAGE(Tabel1[[#This Row],[In - C1]:[In - C4]]),"")</f>
        <v>3.75</v>
      </c>
      <c r="CN161" s="14">
        <v>4</v>
      </c>
      <c r="CO161" s="14">
        <v>5</v>
      </c>
      <c r="CP161" s="14">
        <v>3</v>
      </c>
      <c r="CQ161" s="14">
        <f>IFERROR(AVERAGE(Tabel1[[#This Row],[In - F1a]:[In - F1c]]),"")</f>
        <v>4</v>
      </c>
      <c r="CR161" s="14">
        <v>4</v>
      </c>
      <c r="CS161" s="14">
        <v>3</v>
      </c>
      <c r="CT161" s="14">
        <f>IFERROR(AVERAGE(Tabel1[[#This Row],[In - F2a]:[In - F2b]]),"")</f>
        <v>3.5</v>
      </c>
      <c r="CU161" s="14">
        <v>3</v>
      </c>
      <c r="CV161" s="14">
        <f>IFERROR(AVERAGE(Tabel1[[#This Row],[In - F3a]:[In - F3a]]),"")</f>
        <v>3</v>
      </c>
      <c r="CW161" s="14">
        <v>4</v>
      </c>
      <c r="CX161" s="14">
        <f>IFERROR(AVERAGE(Tabel1[[#This Row],[In - F1]],Tabel1[[#This Row],[In - F2]],Tabel1[[#This Row],[In - F3]],Tabel1[[#This Row],[In - F4]]),"")</f>
        <v>3.625</v>
      </c>
      <c r="CY161" s="14">
        <v>3</v>
      </c>
      <c r="CZ161" s="14">
        <v>3</v>
      </c>
      <c r="DA161" s="14">
        <v>3</v>
      </c>
      <c r="DB161" s="14">
        <f>IFERROR(AVERAGE(Tabel1[[#This Row],[In - V1a]:[In - V1c]]),"")</f>
        <v>3</v>
      </c>
      <c r="DC161" s="14">
        <v>2</v>
      </c>
      <c r="DD161" s="14">
        <v>3</v>
      </c>
      <c r="DE161" s="14">
        <v>2</v>
      </c>
      <c r="DF161" s="14">
        <f>IFERROR(AVERAGE(Tabel1[[#This Row],[In - V2a]:[In - V2c]]),"")</f>
        <v>2.3333333333333335</v>
      </c>
      <c r="DG161" s="14">
        <v>3</v>
      </c>
      <c r="DH161" s="14">
        <v>5</v>
      </c>
      <c r="DI161" s="14">
        <f>IFERROR(AVERAGE(Tabel1[[#This Row],[In - V3a]:[In - V3b]]),"")</f>
        <v>4</v>
      </c>
      <c r="DJ161" s="14">
        <v>5</v>
      </c>
      <c r="DK161" s="14">
        <f>IFERROR(AVERAGE(Tabel1[[#This Row],[In - V1]],Tabel1[[#This Row],[In - V2]],Tabel1[[#This Row],[In - V3]],Tabel1[[#This Row],[In - V4]]),"")</f>
        <v>3.5833333333333335</v>
      </c>
      <c r="DL161" s="14">
        <v>5</v>
      </c>
      <c r="DM161" s="14">
        <v>3</v>
      </c>
      <c r="DN161" s="14">
        <f>IFERROR(AVERAGE(Tabel1[[#This Row],[In - A1a]:[In - A1b]]),"")</f>
        <v>4</v>
      </c>
      <c r="DO161" s="14">
        <v>3</v>
      </c>
      <c r="DP161" s="14">
        <v>4</v>
      </c>
      <c r="DQ161" s="14">
        <f>IFERROR(AVERAGE(Tabel1[[#This Row],[In - A2a]:[In - A2b]]),"")</f>
        <v>3.5</v>
      </c>
      <c r="DR161" s="14">
        <v>3</v>
      </c>
      <c r="DS161" s="14">
        <v>5</v>
      </c>
      <c r="DT161" s="14">
        <f>IFERROR(AVERAGE(Tabel1[[#This Row],[In - A3a]:[In - A3a]]),"")</f>
        <v>3</v>
      </c>
      <c r="DU161" s="14">
        <v>3</v>
      </c>
      <c r="DV161" s="14">
        <f>IFERROR(AVERAGE(Tabel1[[#This Row],[In - A1]],Tabel1[[#This Row],[In - A2]],Tabel1[[#This Row],[In - A3]],Tabel1[[#This Row],[In - A4]]),"")</f>
        <v>3.375</v>
      </c>
      <c r="DW161" s="14">
        <v>3</v>
      </c>
      <c r="DX161" s="14">
        <v>3</v>
      </c>
      <c r="DY161" s="14">
        <v>3</v>
      </c>
      <c r="DZ161" s="14">
        <f>IFERROR(AVERAGE(Tabel1[[#This Row],[Do - R1a]:[Do - R1c]]),"")</f>
        <v>3</v>
      </c>
      <c r="EA161" s="14">
        <v>5</v>
      </c>
      <c r="EB161" s="14">
        <v>5</v>
      </c>
      <c r="EC161" s="14">
        <v>3</v>
      </c>
      <c r="ED161" s="14">
        <v>5</v>
      </c>
      <c r="EE161" s="14">
        <f>IFERROR(AVERAGE(Tabel1[[#This Row],[Do - R1]:[Do - R5]]),"")</f>
        <v>4.2</v>
      </c>
      <c r="EF161" s="14">
        <v>5</v>
      </c>
      <c r="EG161" s="14">
        <v>3</v>
      </c>
      <c r="EH161" s="14">
        <v>5</v>
      </c>
      <c r="EI161" s="14">
        <f>IFERROR(AVERAGE(Tabel1[[#This Row],[Do - C1a]:[Do - C1c]]),"")</f>
        <v>4.333333333333333</v>
      </c>
      <c r="EJ161" s="14">
        <v>3</v>
      </c>
      <c r="EK161" s="14">
        <v>4</v>
      </c>
      <c r="EL161" s="14">
        <v>3</v>
      </c>
      <c r="EM161" s="14">
        <f>IFERROR(AVERAGE(Tabel1[[#This Row],[Do - C1]:[Do - C4]]),"")</f>
        <v>3.583333333333333</v>
      </c>
      <c r="EN161" s="14">
        <v>4</v>
      </c>
      <c r="EO161" s="14">
        <v>3</v>
      </c>
      <c r="EP161" s="14">
        <v>3</v>
      </c>
      <c r="EQ161" s="14">
        <f>IFERROR(AVERAGE(Tabel1[[#This Row],[Do - F1a]:[Do - F1c]]),"")</f>
        <v>3.3333333333333335</v>
      </c>
      <c r="ER161" s="14">
        <v>5</v>
      </c>
      <c r="ES161" s="14">
        <f>IFERROR(AVERAGE(Tabel1[[#This Row],[Do - F2a]:[Do - F2a]]),"")</f>
        <v>5</v>
      </c>
      <c r="ET161" s="14">
        <v>3</v>
      </c>
      <c r="EU161" s="14">
        <v>3</v>
      </c>
      <c r="EV161" s="14">
        <f>IFERROR(AVERAGE(Tabel1[[#This Row],[Do - F3a]:[Do - F3b]]),"")</f>
        <v>3</v>
      </c>
      <c r="EW161" s="14">
        <v>3</v>
      </c>
      <c r="EX161" s="14">
        <f>IFERROR(AVERAGE(Tabel1[[#This Row],[Do - F1]],Tabel1[[#This Row],[Do - F2]],Tabel1[[#This Row],[Do - F3]],Tabel1[[#This Row],[Do - F4]]),"")</f>
        <v>3.5833333333333335</v>
      </c>
      <c r="EY161" s="14">
        <v>3</v>
      </c>
      <c r="EZ161" s="14">
        <v>3</v>
      </c>
      <c r="FA161" s="14">
        <v>4</v>
      </c>
      <c r="FB161" s="14">
        <f>IFERROR(AVERAGE(Tabel1[[#This Row],[Do - V1a]:[Do - V1c]]),"")</f>
        <v>3.3333333333333335</v>
      </c>
      <c r="FC161" s="14">
        <v>2</v>
      </c>
      <c r="FD161" s="14">
        <v>3</v>
      </c>
      <c r="FE161" s="14">
        <f>IFERROR(AVERAGE(Tabel1[[#This Row],[Do - V2a]:[Do - V2b]]),"")</f>
        <v>2.5</v>
      </c>
      <c r="FF161" s="14">
        <v>3</v>
      </c>
      <c r="FG161" s="14">
        <f>IFERROR(AVERAGE(Tabel1[[#This Row],[Do - V3a]:[Do - V3a]]),"")</f>
        <v>3</v>
      </c>
      <c r="FH161" s="14">
        <v>5</v>
      </c>
      <c r="FI161" s="14">
        <f>IFERROR(AVERAGE(Tabel1[[#This Row],[Do - V1]],Tabel1[[#This Row],[Do - V2]],Tabel1[[#This Row],[Do - V3]],Tabel1[[#This Row],[Do - V4]]),"")</f>
        <v>3.4583333333333335</v>
      </c>
      <c r="FJ161" s="14">
        <v>3</v>
      </c>
      <c r="FK161" s="14">
        <v>3</v>
      </c>
      <c r="FL161" s="14">
        <v>4</v>
      </c>
      <c r="FM161" s="14">
        <f>IFERROR(AVERAGE(Tabel1[[#This Row],[Do - A1a]:[Do - A1c]]),"")</f>
        <v>3.3333333333333335</v>
      </c>
      <c r="FN161" s="14">
        <v>4</v>
      </c>
      <c r="FO161" s="14">
        <v>4</v>
      </c>
      <c r="FP161" s="14">
        <f>IFERROR(AVERAGE(Tabel1[[#This Row],[Do - A2a]:[Do - A2b]]),"")</f>
        <v>4</v>
      </c>
      <c r="FQ161" s="14">
        <v>3</v>
      </c>
      <c r="FR161" s="14">
        <f>IFERROR(AVERAGE(Tabel1[[#This Row],[Do - A3a]:[Do - A3a]]),"")</f>
        <v>3</v>
      </c>
      <c r="FS161" s="14">
        <v>3</v>
      </c>
      <c r="FT161" s="14">
        <f>IFERROR(AVERAGE(Tabel1[[#This Row],[Do - A1]],Tabel1[[#This Row],[Do - A2]],Tabel1[[#This Row],[Do - A3]],Tabel1[[#This Row],[Do - A4]]),"")</f>
        <v>3.3333333333333335</v>
      </c>
      <c r="FU16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3.6577777777777789</v>
      </c>
      <c r="FV161" s="16" t="s">
        <v>956</v>
      </c>
      <c r="FW161" t="b">
        <v>1</v>
      </c>
    </row>
    <row r="162" spans="1:179" x14ac:dyDescent="0.3">
      <c r="A162" s="13">
        <v>45086.786307870374</v>
      </c>
      <c r="B162" t="b">
        <v>0</v>
      </c>
      <c r="C162" s="14" t="s">
        <v>957</v>
      </c>
      <c r="D162" s="14" t="s">
        <v>958</v>
      </c>
      <c r="E162" s="14" t="s">
        <v>959</v>
      </c>
      <c r="F162" s="14" t="s">
        <v>184</v>
      </c>
      <c r="G162" s="14" t="s">
        <v>960</v>
      </c>
      <c r="H162" s="14" t="s">
        <v>222</v>
      </c>
      <c r="I162" s="14" t="s">
        <v>322</v>
      </c>
      <c r="J162" s="14" t="s">
        <v>838</v>
      </c>
      <c r="K162" s="14" t="s">
        <v>201</v>
      </c>
      <c r="L162" s="14" t="s">
        <v>197</v>
      </c>
      <c r="M162" s="14" t="s">
        <v>198</v>
      </c>
      <c r="N162" s="14" t="s">
        <v>316</v>
      </c>
      <c r="O162" s="14" t="s">
        <v>200</v>
      </c>
      <c r="P162" s="17" t="s">
        <v>304</v>
      </c>
      <c r="Q162" s="14" t="s">
        <v>203</v>
      </c>
      <c r="R162" s="17" t="s">
        <v>304</v>
      </c>
      <c r="S162" s="14" t="s">
        <v>235</v>
      </c>
      <c r="T162" s="14" t="s">
        <v>204</v>
      </c>
      <c r="U162" s="14" t="s">
        <v>285</v>
      </c>
      <c r="V162" s="14" t="s">
        <v>359</v>
      </c>
      <c r="W162" s="14" t="s">
        <v>207</v>
      </c>
      <c r="X162" s="14" t="s">
        <v>306</v>
      </c>
      <c r="Y162" s="14">
        <v>5</v>
      </c>
      <c r="Z162" s="14">
        <v>3</v>
      </c>
      <c r="AA162" s="14">
        <v>1</v>
      </c>
      <c r="AB162" s="15">
        <f>IFERROR(AVERAGE(Tabel1[[#This Row],[Up - R1a]:[Up - R1c]]),"")</f>
        <v>3</v>
      </c>
      <c r="AC162" s="14">
        <v>5</v>
      </c>
      <c r="AD162" s="14">
        <v>2</v>
      </c>
      <c r="AE162" s="14">
        <v>5</v>
      </c>
      <c r="AF162" s="14">
        <v>4</v>
      </c>
      <c r="AG162" s="14">
        <f>IFERROR(AVERAGE(Tabel1[[#This Row],[Up - R1]:[Up - R5]]),"")</f>
        <v>3.8</v>
      </c>
      <c r="AH162" s="14">
        <v>4</v>
      </c>
      <c r="AI162" s="14">
        <v>4</v>
      </c>
      <c r="AJ162" s="14">
        <v>5</v>
      </c>
      <c r="AK162" s="14">
        <f>IFERROR(AVERAGE(Tabel1[[#This Row],[Up - C1a]:[Up - C1c]]),"")</f>
        <v>4.333333333333333</v>
      </c>
      <c r="AL162" s="14">
        <v>3</v>
      </c>
      <c r="AM162" s="14">
        <v>3</v>
      </c>
      <c r="AN162" s="14">
        <v>4</v>
      </c>
      <c r="AO162" s="14">
        <f>IFERROR(AVERAGE(Tabel1[[#This Row],[Up - C1]:[Up - C4]]),"")</f>
        <v>3.583333333333333</v>
      </c>
      <c r="AP162" s="14">
        <v>3</v>
      </c>
      <c r="AQ162" s="14">
        <f>IFERROR(AVERAGE(Tabel1[[#This Row],[Up - F1a]:[Up - F1a]]),"")</f>
        <v>3</v>
      </c>
      <c r="AR162" s="14">
        <v>3</v>
      </c>
      <c r="AS162" s="14">
        <v>3</v>
      </c>
      <c r="AT162" s="14">
        <f>IFERROR(AVERAGE(Tabel1[[#This Row],[Up - F2a]:[Up - F2b]]),"")</f>
        <v>3</v>
      </c>
      <c r="AU162" s="14">
        <v>2</v>
      </c>
      <c r="AV162" s="14">
        <v>2</v>
      </c>
      <c r="AW162" s="14">
        <f>IFERROR(AVERAGE(Tabel1[[#This Row],[Up - F3a]:[Up - F3b]]),"")</f>
        <v>2</v>
      </c>
      <c r="AX162" s="14">
        <v>4</v>
      </c>
      <c r="AY162" s="14">
        <f>IFERROR(AVERAGE(Tabel1[[#This Row],[Up - F1]],Tabel1[[#This Row],[Up - F2]],Tabel1[[#This Row],[Up - F3]],Tabel1[[#This Row],[Up - F4]]),"")</f>
        <v>3</v>
      </c>
      <c r="AZ162" s="14">
        <v>1</v>
      </c>
      <c r="BA162" s="14">
        <v>3</v>
      </c>
      <c r="BB162" s="14">
        <f>IFERROR(AVERAGE(Tabel1[[#This Row],[Up - V1a]:[Up - V1b]]),"")</f>
        <v>2</v>
      </c>
      <c r="BC162" s="14">
        <v>2</v>
      </c>
      <c r="BD162" s="14">
        <v>2</v>
      </c>
      <c r="BE162" s="14">
        <v>2</v>
      </c>
      <c r="BF162" s="14">
        <f>IFERROR(AVERAGE(Tabel1[[#This Row],[Up - V2a]:[Up - V2c]]),"")</f>
        <v>2</v>
      </c>
      <c r="BG162" s="14">
        <v>1</v>
      </c>
      <c r="BH162" s="14">
        <v>1</v>
      </c>
      <c r="BI162" s="14">
        <f>IFERROR(AVERAGE(Tabel1[[#This Row],[Up - V3a]:[Up - V3b]]),"")</f>
        <v>1</v>
      </c>
      <c r="BJ162" s="14">
        <v>3</v>
      </c>
      <c r="BK162" s="14">
        <f>IFERROR(AVERAGE(Tabel1[[#This Row],[Up - V1]],Tabel1[[#This Row],[Up - V2]],Tabel1[[#This Row],[Up - V3]],Tabel1[[#This Row],[Up - V4]]),"")</f>
        <v>2</v>
      </c>
      <c r="BL162" s="14">
        <v>3</v>
      </c>
      <c r="BM162" s="14">
        <v>2</v>
      </c>
      <c r="BN162" s="14">
        <v>4</v>
      </c>
      <c r="BO162" s="14">
        <v>2</v>
      </c>
      <c r="BP162" s="14">
        <f>IFERROR(AVERAGE(Tabel1[[#This Row],[Up - A1a]:[Up - A1d]]),"")</f>
        <v>2.75</v>
      </c>
      <c r="BQ162" s="14">
        <v>3</v>
      </c>
      <c r="BR162" s="14">
        <v>2</v>
      </c>
      <c r="BS162" s="14">
        <f>IFERROR(AVERAGE(Tabel1[[#This Row],[Up - A2a]:[Up - A2b]]),"")</f>
        <v>2.5</v>
      </c>
      <c r="BT162" s="14">
        <v>3</v>
      </c>
      <c r="BU162" s="14">
        <f>IFERROR(AVERAGE(Tabel1[[#This Row],[Up - A3a]:[Up - A3a]]),"")</f>
        <v>3</v>
      </c>
      <c r="BV162" s="14">
        <v>3</v>
      </c>
      <c r="BW162" s="14">
        <f>IFERROR(AVERAGE(Tabel1[[#This Row],[Up - A1]],Tabel1[[#This Row],[Up - A2]],Tabel1[[#This Row],[Up - A3]]),"")</f>
        <v>2.75</v>
      </c>
      <c r="BX162" s="14">
        <v>3</v>
      </c>
      <c r="BY162" s="14">
        <v>3</v>
      </c>
      <c r="BZ162" s="14">
        <f>IFERROR(AVERAGE(Tabel1[[#This Row],[In - R1a]:[In - R1b]]),"")</f>
        <v>3</v>
      </c>
      <c r="CA162" s="14">
        <v>5</v>
      </c>
      <c r="CB162" s="14">
        <v>1</v>
      </c>
      <c r="CC162" s="14">
        <v>3</v>
      </c>
      <c r="CD162" s="14">
        <v>4</v>
      </c>
      <c r="CE162" s="14">
        <f>IFERROR(AVERAGE(Tabel1[[#This Row],[In - R1]:[In - R5]]),"")</f>
        <v>3.2</v>
      </c>
      <c r="CF162" s="14">
        <v>4</v>
      </c>
      <c r="CG162" s="14">
        <v>4</v>
      </c>
      <c r="CH162" s="14">
        <v>3</v>
      </c>
      <c r="CI162" s="14">
        <f>IFERROR(AVERAGE(Tabel1[[#This Row],[In - C1a]:[In - C1c]]),"")</f>
        <v>3.6666666666666665</v>
      </c>
      <c r="CJ162" s="14">
        <v>4</v>
      </c>
      <c r="CK162" s="14">
        <v>2</v>
      </c>
      <c r="CL162" s="14">
        <v>2</v>
      </c>
      <c r="CM162" s="14">
        <f>IFERROR(AVERAGE(Tabel1[[#This Row],[In - C1]:[In - C4]]),"")</f>
        <v>2.9166666666666665</v>
      </c>
      <c r="CN162" s="14">
        <v>2</v>
      </c>
      <c r="CO162" s="14">
        <v>3</v>
      </c>
      <c r="CP162" s="14">
        <v>1</v>
      </c>
      <c r="CQ162" s="14">
        <f>IFERROR(AVERAGE(Tabel1[[#This Row],[In - F1a]:[In - F1c]]),"")</f>
        <v>2</v>
      </c>
      <c r="CR162" s="14">
        <v>2</v>
      </c>
      <c r="CS162" s="14">
        <v>4</v>
      </c>
      <c r="CT162" s="14">
        <f>IFERROR(AVERAGE(Tabel1[[#This Row],[In - F2a]:[In - F2b]]),"")</f>
        <v>3</v>
      </c>
      <c r="CU162" s="14">
        <v>3</v>
      </c>
      <c r="CV162" s="14">
        <f>IFERROR(AVERAGE(Tabel1[[#This Row],[In - F3a]:[In - F3a]]),"")</f>
        <v>3</v>
      </c>
      <c r="CW162" s="14">
        <v>2</v>
      </c>
      <c r="CX162" s="14">
        <f>IFERROR(AVERAGE(Tabel1[[#This Row],[In - F1]],Tabel1[[#This Row],[In - F2]],Tabel1[[#This Row],[In - F3]],Tabel1[[#This Row],[In - F4]]),"")</f>
        <v>2.5</v>
      </c>
      <c r="CY162" s="14">
        <v>3</v>
      </c>
      <c r="CZ162" s="14">
        <v>4</v>
      </c>
      <c r="DA162" s="14">
        <v>4</v>
      </c>
      <c r="DB162" s="14">
        <f>IFERROR(AVERAGE(Tabel1[[#This Row],[In - V1a]:[In - V1c]]),"")</f>
        <v>3.6666666666666665</v>
      </c>
      <c r="DC162" s="14">
        <v>2</v>
      </c>
      <c r="DD162" s="14">
        <v>3</v>
      </c>
      <c r="DE162" s="14">
        <v>1</v>
      </c>
      <c r="DF162" s="14">
        <f>IFERROR(AVERAGE(Tabel1[[#This Row],[In - V2a]:[In - V2c]]),"")</f>
        <v>2</v>
      </c>
      <c r="DG162" s="14">
        <v>2</v>
      </c>
      <c r="DH162" s="14">
        <v>2</v>
      </c>
      <c r="DI162" s="14">
        <f>IFERROR(AVERAGE(Tabel1[[#This Row],[In - V3a]:[In - V3b]]),"")</f>
        <v>2</v>
      </c>
      <c r="DJ162" s="14">
        <v>3</v>
      </c>
      <c r="DK162" s="14">
        <f>IFERROR(AVERAGE(Tabel1[[#This Row],[In - V1]],Tabel1[[#This Row],[In - V2]],Tabel1[[#This Row],[In - V3]],Tabel1[[#This Row],[In - V4]]),"")</f>
        <v>2.6666666666666665</v>
      </c>
      <c r="DL162" s="14">
        <v>5</v>
      </c>
      <c r="DM162" s="14">
        <v>4</v>
      </c>
      <c r="DN162" s="14">
        <f>IFERROR(AVERAGE(Tabel1[[#This Row],[In - A1a]:[In - A1b]]),"")</f>
        <v>4.5</v>
      </c>
      <c r="DO162" s="14">
        <v>5</v>
      </c>
      <c r="DP162" s="14">
        <v>2</v>
      </c>
      <c r="DQ162" s="14">
        <f>IFERROR(AVERAGE(Tabel1[[#This Row],[In - A2a]:[In - A2b]]),"")</f>
        <v>3.5</v>
      </c>
      <c r="DR162" s="14">
        <v>3</v>
      </c>
      <c r="DS162" s="14">
        <v>2</v>
      </c>
      <c r="DT162" s="14">
        <f>IFERROR(AVERAGE(Tabel1[[#This Row],[In - A3a]:[In - A3a]]),"")</f>
        <v>3</v>
      </c>
      <c r="DU162" s="14">
        <v>2</v>
      </c>
      <c r="DV162" s="14">
        <f>IFERROR(AVERAGE(Tabel1[[#This Row],[In - A1]],Tabel1[[#This Row],[In - A2]],Tabel1[[#This Row],[In - A3]],Tabel1[[#This Row],[In - A4]]),"")</f>
        <v>3.25</v>
      </c>
      <c r="DW162" s="14">
        <v>1</v>
      </c>
      <c r="DX162" s="14">
        <v>3</v>
      </c>
      <c r="DY162" s="14">
        <v>2</v>
      </c>
      <c r="DZ162" s="14">
        <f>IFERROR(AVERAGE(Tabel1[[#This Row],[Do - R1a]:[Do - R1c]]),"")</f>
        <v>2</v>
      </c>
      <c r="EA162" s="14">
        <v>5</v>
      </c>
      <c r="EB162" s="14">
        <v>2</v>
      </c>
      <c r="EC162" s="14">
        <v>4</v>
      </c>
      <c r="ED162" s="14">
        <v>5</v>
      </c>
      <c r="EE162" s="14">
        <f>IFERROR(AVERAGE(Tabel1[[#This Row],[Do - R1]:[Do - R5]]),"")</f>
        <v>3.6</v>
      </c>
      <c r="EF162" s="14">
        <v>3</v>
      </c>
      <c r="EG162" s="14">
        <v>4</v>
      </c>
      <c r="EH162" s="14">
        <v>3</v>
      </c>
      <c r="EI162" s="14">
        <f>IFERROR(AVERAGE(Tabel1[[#This Row],[Do - C1a]:[Do - C1c]]),"")</f>
        <v>3.3333333333333335</v>
      </c>
      <c r="EJ162" s="14">
        <v>3</v>
      </c>
      <c r="EK162" s="14">
        <v>2</v>
      </c>
      <c r="EL162" s="14">
        <v>5</v>
      </c>
      <c r="EM162" s="14">
        <f>IFERROR(AVERAGE(Tabel1[[#This Row],[Do - C1]:[Do - C4]]),"")</f>
        <v>3.3333333333333335</v>
      </c>
      <c r="EN162" s="14">
        <v>2</v>
      </c>
      <c r="EO162" s="14">
        <v>2</v>
      </c>
      <c r="EP162" s="14">
        <v>2</v>
      </c>
      <c r="EQ162" s="14">
        <f>IFERROR(AVERAGE(Tabel1[[#This Row],[Do - F1a]:[Do - F1c]]),"")</f>
        <v>2</v>
      </c>
      <c r="ER162" s="14">
        <v>4</v>
      </c>
      <c r="ES162" s="14">
        <f>IFERROR(AVERAGE(Tabel1[[#This Row],[Do - F2a]:[Do - F2a]]),"")</f>
        <v>4</v>
      </c>
      <c r="ET162" s="14">
        <v>3</v>
      </c>
      <c r="EU162" s="14">
        <v>3</v>
      </c>
      <c r="EV162" s="14">
        <f>IFERROR(AVERAGE(Tabel1[[#This Row],[Do - F3a]:[Do - F3b]]),"")</f>
        <v>3</v>
      </c>
      <c r="EW162" s="14">
        <v>2</v>
      </c>
      <c r="EX162" s="14">
        <f>IFERROR(AVERAGE(Tabel1[[#This Row],[Do - F1]],Tabel1[[#This Row],[Do - F2]],Tabel1[[#This Row],[Do - F3]],Tabel1[[#This Row],[Do - F4]]),"")</f>
        <v>2.75</v>
      </c>
      <c r="EY162" s="14">
        <v>1</v>
      </c>
      <c r="EZ162" s="14">
        <v>3</v>
      </c>
      <c r="FA162" s="14">
        <v>3</v>
      </c>
      <c r="FB162" s="14">
        <f>IFERROR(AVERAGE(Tabel1[[#This Row],[Do - V1a]:[Do - V1c]]),"")</f>
        <v>2.3333333333333335</v>
      </c>
      <c r="FC162" s="14">
        <v>3</v>
      </c>
      <c r="FD162" s="14">
        <v>5</v>
      </c>
      <c r="FE162" s="14">
        <f>IFERROR(AVERAGE(Tabel1[[#This Row],[Do - V2a]:[Do - V2b]]),"")</f>
        <v>4</v>
      </c>
      <c r="FF162" s="14">
        <v>2</v>
      </c>
      <c r="FG162" s="14">
        <f>IFERROR(AVERAGE(Tabel1[[#This Row],[Do - V3a]:[Do - V3a]]),"")</f>
        <v>2</v>
      </c>
      <c r="FH162" s="14">
        <v>4</v>
      </c>
      <c r="FI162" s="14">
        <f>IFERROR(AVERAGE(Tabel1[[#This Row],[Do - V1]],Tabel1[[#This Row],[Do - V2]],Tabel1[[#This Row],[Do - V3]],Tabel1[[#This Row],[Do - V4]]),"")</f>
        <v>3.0833333333333335</v>
      </c>
      <c r="FJ162" s="14">
        <v>5</v>
      </c>
      <c r="FK162" s="14">
        <v>3</v>
      </c>
      <c r="FL162" s="14">
        <v>4</v>
      </c>
      <c r="FM162" s="14">
        <f>IFERROR(AVERAGE(Tabel1[[#This Row],[Do - A1a]:[Do - A1c]]),"")</f>
        <v>4</v>
      </c>
      <c r="FN162" s="14">
        <v>2</v>
      </c>
      <c r="FO162" s="14">
        <v>1</v>
      </c>
      <c r="FP162" s="14">
        <f>IFERROR(AVERAGE(Tabel1[[#This Row],[Do - A2a]:[Do - A2b]]),"")</f>
        <v>1.5</v>
      </c>
      <c r="FQ162" s="14">
        <v>2</v>
      </c>
      <c r="FR162" s="14">
        <f>IFERROR(AVERAGE(Tabel1[[#This Row],[Do - A3a]:[Do - A3a]]),"")</f>
        <v>2</v>
      </c>
      <c r="FS162" s="14">
        <v>2</v>
      </c>
      <c r="FT162" s="14">
        <f>IFERROR(AVERAGE(Tabel1[[#This Row],[Do - A1]],Tabel1[[#This Row],[Do - A2]],Tabel1[[#This Row],[Do - A3]],Tabel1[[#This Row],[Do - A4]]),"")</f>
        <v>2.375</v>
      </c>
      <c r="FU16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2.9872222222222224</v>
      </c>
      <c r="FV162" s="16" t="s">
        <v>961</v>
      </c>
      <c r="FW162" t="b">
        <v>1</v>
      </c>
    </row>
    <row r="163" spans="1:179" x14ac:dyDescent="0.3">
      <c r="A163" s="13">
        <v>45089.471736111111</v>
      </c>
      <c r="B163" t="b">
        <v>0</v>
      </c>
      <c r="C163" s="14" t="s">
        <v>962</v>
      </c>
      <c r="D163" s="14" t="s">
        <v>963</v>
      </c>
      <c r="E163" s="14" t="s">
        <v>598</v>
      </c>
      <c r="F163" s="14" t="s">
        <v>184</v>
      </c>
      <c r="G163" s="14" t="s">
        <v>964</v>
      </c>
      <c r="H163" s="14" t="s">
        <v>222</v>
      </c>
      <c r="I163" s="14" t="s">
        <v>195</v>
      </c>
      <c r="J163" s="14" t="s">
        <v>347</v>
      </c>
      <c r="K163" s="14" t="s">
        <v>201</v>
      </c>
      <c r="L163" s="14" t="s">
        <v>249</v>
      </c>
      <c r="M163" s="14" t="s">
        <v>233</v>
      </c>
      <c r="N163" s="14" t="s">
        <v>199</v>
      </c>
      <c r="O163" s="14" t="s">
        <v>200</v>
      </c>
      <c r="P163" s="17" t="s">
        <v>255</v>
      </c>
      <c r="Q163" s="14" t="s">
        <v>201</v>
      </c>
      <c r="R163" s="14" t="s">
        <v>235</v>
      </c>
      <c r="S163" s="17" t="s">
        <v>255</v>
      </c>
      <c r="T163" s="14" t="s">
        <v>236</v>
      </c>
      <c r="U163" s="14" t="s">
        <v>349</v>
      </c>
      <c r="V163" s="14" t="s">
        <v>224</v>
      </c>
      <c r="W163" s="14" t="s">
        <v>395</v>
      </c>
      <c r="X163" s="14" t="s">
        <v>207</v>
      </c>
      <c r="Y163" s="14">
        <v>3</v>
      </c>
      <c r="Z163" s="14">
        <v>3</v>
      </c>
      <c r="AA163" s="14">
        <v>2</v>
      </c>
      <c r="AB163" s="15">
        <f>IFERROR(AVERAGE(Tabel1[[#This Row],[Up - R1a]:[Up - R1c]]),"")</f>
        <v>2.6666666666666665</v>
      </c>
      <c r="AC163" s="14">
        <v>3</v>
      </c>
      <c r="AD163" s="14">
        <v>4</v>
      </c>
      <c r="AE163" s="14">
        <v>2</v>
      </c>
      <c r="AF163" s="14">
        <v>2</v>
      </c>
      <c r="AG163" s="14">
        <f>IFERROR(AVERAGE(Tabel1[[#This Row],[Up - R1]:[Up - R5]]),"")</f>
        <v>2.7333333333333334</v>
      </c>
      <c r="AH163" s="14">
        <v>3</v>
      </c>
      <c r="AI163" s="14">
        <v>3</v>
      </c>
      <c r="AJ163" s="14">
        <v>2</v>
      </c>
      <c r="AK163" s="14">
        <f>IFERROR(AVERAGE(Tabel1[[#This Row],[Up - C1a]:[Up - C1c]]),"")</f>
        <v>2.6666666666666665</v>
      </c>
      <c r="AL163" s="14">
        <v>2</v>
      </c>
      <c r="AM163" s="14">
        <v>2</v>
      </c>
      <c r="AN163" s="14">
        <v>3</v>
      </c>
      <c r="AO163" s="14">
        <f>IFERROR(AVERAGE(Tabel1[[#This Row],[Up - C1]:[Up - C4]]),"")</f>
        <v>2.4166666666666665</v>
      </c>
      <c r="AP163" s="14">
        <v>4</v>
      </c>
      <c r="AQ163" s="14">
        <f>IFERROR(AVERAGE(Tabel1[[#This Row],[Up - F1a]:[Up - F1a]]),"")</f>
        <v>4</v>
      </c>
      <c r="AR163" s="14">
        <v>2</v>
      </c>
      <c r="AS163" s="14">
        <v>5</v>
      </c>
      <c r="AT163" s="14">
        <f>IFERROR(AVERAGE(Tabel1[[#This Row],[Up - F2a]:[Up - F2b]]),"")</f>
        <v>3.5</v>
      </c>
      <c r="AU163" s="14">
        <v>4</v>
      </c>
      <c r="AV163" s="14">
        <v>2</v>
      </c>
      <c r="AW163" s="14">
        <f>IFERROR(AVERAGE(Tabel1[[#This Row],[Up - F3a]:[Up - F3b]]),"")</f>
        <v>3</v>
      </c>
      <c r="AX163" s="14">
        <v>3</v>
      </c>
      <c r="AY163" s="14">
        <f>IFERROR(AVERAGE(Tabel1[[#This Row],[Up - F1]],Tabel1[[#This Row],[Up - F2]],Tabel1[[#This Row],[Up - F3]],Tabel1[[#This Row],[Up - F4]]),"")</f>
        <v>3.375</v>
      </c>
      <c r="AZ163" s="14">
        <v>3</v>
      </c>
      <c r="BA163" s="14">
        <v>2</v>
      </c>
      <c r="BB163" s="14">
        <f>IFERROR(AVERAGE(Tabel1[[#This Row],[Up - V1a]:[Up - V1b]]),"")</f>
        <v>2.5</v>
      </c>
      <c r="BC163" s="14">
        <v>3</v>
      </c>
      <c r="BD163" s="14">
        <v>3</v>
      </c>
      <c r="BE163" s="14">
        <v>3</v>
      </c>
      <c r="BF163" s="14">
        <f>IFERROR(AVERAGE(Tabel1[[#This Row],[Up - V2a]:[Up - V2c]]),"")</f>
        <v>3</v>
      </c>
      <c r="BG163" s="14">
        <v>2</v>
      </c>
      <c r="BH163" s="14">
        <v>2</v>
      </c>
      <c r="BI163" s="14">
        <f>IFERROR(AVERAGE(Tabel1[[#This Row],[Up - V3a]:[Up - V3b]]),"")</f>
        <v>2</v>
      </c>
      <c r="BJ163" s="14">
        <v>3</v>
      </c>
      <c r="BK163" s="14">
        <f>IFERROR(AVERAGE(Tabel1[[#This Row],[Up - V1]],Tabel1[[#This Row],[Up - V2]],Tabel1[[#This Row],[Up - V3]],Tabel1[[#This Row],[Up - V4]]),"")</f>
        <v>2.625</v>
      </c>
      <c r="BL163" s="14">
        <v>2</v>
      </c>
      <c r="BM163" s="14">
        <v>3</v>
      </c>
      <c r="BN163" s="14">
        <v>2</v>
      </c>
      <c r="BO163" s="14">
        <v>2</v>
      </c>
      <c r="BP163" s="14">
        <f>IFERROR(AVERAGE(Tabel1[[#This Row],[Up - A1a]:[Up - A1d]]),"")</f>
        <v>2.25</v>
      </c>
      <c r="BQ163" s="14">
        <v>4</v>
      </c>
      <c r="BR163" s="14">
        <v>4</v>
      </c>
      <c r="BS163" s="14">
        <f>IFERROR(AVERAGE(Tabel1[[#This Row],[Up - A2a]:[Up - A2b]]),"")</f>
        <v>4</v>
      </c>
      <c r="BT163" s="14">
        <v>3</v>
      </c>
      <c r="BU163" s="14">
        <f>IFERROR(AVERAGE(Tabel1[[#This Row],[Up - A3a]:[Up - A3a]]),"")</f>
        <v>3</v>
      </c>
      <c r="BV163" s="14">
        <v>2</v>
      </c>
      <c r="BW163" s="14">
        <f>IFERROR(AVERAGE(Tabel1[[#This Row],[Up - A1]],Tabel1[[#This Row],[Up - A2]],Tabel1[[#This Row],[Up - A3]]),"")</f>
        <v>3.0833333333333335</v>
      </c>
      <c r="BX163" s="14">
        <v>1</v>
      </c>
      <c r="BY163" s="14" t="s">
        <v>189</v>
      </c>
      <c r="BZ163" s="14">
        <f>IFERROR(AVERAGE(Tabel1[[#This Row],[In - R1a]:[In - R1b]]),"")</f>
        <v>1</v>
      </c>
      <c r="CA163" s="14">
        <v>1</v>
      </c>
      <c r="CB163" s="14">
        <v>1</v>
      </c>
      <c r="CC163" s="14">
        <v>1</v>
      </c>
      <c r="CD163" s="14">
        <v>3</v>
      </c>
      <c r="CE163" s="14">
        <f>IFERROR(AVERAGE(Tabel1[[#This Row],[In - R1]:[In - R5]]),"")</f>
        <v>1.4</v>
      </c>
      <c r="CF163" s="14">
        <v>2</v>
      </c>
      <c r="CG163" s="14">
        <v>3</v>
      </c>
      <c r="CH163" s="14">
        <v>4</v>
      </c>
      <c r="CI163" s="14">
        <f>IFERROR(AVERAGE(Tabel1[[#This Row],[In - C1a]:[In - C1c]]),"")</f>
        <v>3</v>
      </c>
      <c r="CJ163" s="14">
        <v>2</v>
      </c>
      <c r="CK163" s="14">
        <v>2</v>
      </c>
      <c r="CL163" s="14">
        <v>2</v>
      </c>
      <c r="CM163" s="14">
        <f>IFERROR(AVERAGE(Tabel1[[#This Row],[In - C1]:[In - C4]]),"")</f>
        <v>2.25</v>
      </c>
      <c r="CN163" s="14">
        <v>2</v>
      </c>
      <c r="CO163" s="14">
        <v>3</v>
      </c>
      <c r="CP163" s="14">
        <v>1</v>
      </c>
      <c r="CQ163" s="14">
        <f>IFERROR(AVERAGE(Tabel1[[#This Row],[In - F1a]:[In - F1c]]),"")</f>
        <v>2</v>
      </c>
      <c r="CR163" s="14">
        <v>2</v>
      </c>
      <c r="CS163" s="14">
        <v>2</v>
      </c>
      <c r="CT163" s="14">
        <f>IFERROR(AVERAGE(Tabel1[[#This Row],[In - F2a]:[In - F2b]]),"")</f>
        <v>2</v>
      </c>
      <c r="CU163" s="14">
        <v>2</v>
      </c>
      <c r="CV163" s="14">
        <f>IFERROR(AVERAGE(Tabel1[[#This Row],[In - F3a]:[In - F3a]]),"")</f>
        <v>2</v>
      </c>
      <c r="CW163" s="14">
        <v>2</v>
      </c>
      <c r="CX163" s="14">
        <f>IFERROR(AVERAGE(Tabel1[[#This Row],[In - F1]],Tabel1[[#This Row],[In - F2]],Tabel1[[#This Row],[In - F3]],Tabel1[[#This Row],[In - F4]]),"")</f>
        <v>2</v>
      </c>
      <c r="CY163" s="14">
        <v>2</v>
      </c>
      <c r="CZ163" s="14">
        <v>3</v>
      </c>
      <c r="DA163" s="14">
        <v>3</v>
      </c>
      <c r="DB163" s="14">
        <f>IFERROR(AVERAGE(Tabel1[[#This Row],[In - V1a]:[In - V1c]]),"")</f>
        <v>2.6666666666666665</v>
      </c>
      <c r="DC163" s="14">
        <v>2</v>
      </c>
      <c r="DD163" s="14">
        <v>3</v>
      </c>
      <c r="DE163" s="14">
        <v>2</v>
      </c>
      <c r="DF163" s="14">
        <f>IFERROR(AVERAGE(Tabel1[[#This Row],[In - V2a]:[In - V2c]]),"")</f>
        <v>2.3333333333333335</v>
      </c>
      <c r="DG163" s="14">
        <v>3</v>
      </c>
      <c r="DH163" s="14">
        <v>3</v>
      </c>
      <c r="DI163" s="14">
        <f>IFERROR(AVERAGE(Tabel1[[#This Row],[In - V3a]:[In - V3b]]),"")</f>
        <v>3</v>
      </c>
      <c r="DJ163" s="14">
        <v>2</v>
      </c>
      <c r="DK163" s="14">
        <f>IFERROR(AVERAGE(Tabel1[[#This Row],[In - V1]],Tabel1[[#This Row],[In - V2]],Tabel1[[#This Row],[In - V3]],Tabel1[[#This Row],[In - V4]]),"")</f>
        <v>2.5</v>
      </c>
      <c r="DL163" s="14">
        <v>3</v>
      </c>
      <c r="DM163" s="14">
        <v>3</v>
      </c>
      <c r="DN163" s="14">
        <f>IFERROR(AVERAGE(Tabel1[[#This Row],[In - A1a]:[In - A1b]]),"")</f>
        <v>3</v>
      </c>
      <c r="DO163" s="14">
        <v>2</v>
      </c>
      <c r="DP163" s="14">
        <v>3</v>
      </c>
      <c r="DQ163" s="14">
        <f>IFERROR(AVERAGE(Tabel1[[#This Row],[In - A2a]:[In - A2b]]),"")</f>
        <v>2.5</v>
      </c>
      <c r="DR163" s="14">
        <v>4</v>
      </c>
      <c r="DS163" s="14">
        <v>3</v>
      </c>
      <c r="DT163" s="14">
        <f>IFERROR(AVERAGE(Tabel1[[#This Row],[In - A3a]:[In - A3a]]),"")</f>
        <v>4</v>
      </c>
      <c r="DU163" s="14">
        <v>2</v>
      </c>
      <c r="DV163" s="14">
        <f>IFERROR(AVERAGE(Tabel1[[#This Row],[In - A1]],Tabel1[[#This Row],[In - A2]],Tabel1[[#This Row],[In - A3]],Tabel1[[#This Row],[In - A4]]),"")</f>
        <v>2.875</v>
      </c>
      <c r="DW163" s="14">
        <v>1</v>
      </c>
      <c r="DX163" s="14">
        <v>4</v>
      </c>
      <c r="DY163" s="14">
        <v>2</v>
      </c>
      <c r="DZ163" s="14">
        <f>IFERROR(AVERAGE(Tabel1[[#This Row],[Do - R1a]:[Do - R1c]]),"")</f>
        <v>2.3333333333333335</v>
      </c>
      <c r="EA163" s="14" t="s">
        <v>189</v>
      </c>
      <c r="EB163" s="14">
        <v>4</v>
      </c>
      <c r="EC163" s="14" t="s">
        <v>189</v>
      </c>
      <c r="ED163" s="14" t="s">
        <v>189</v>
      </c>
      <c r="EE163" s="14">
        <f>IFERROR(AVERAGE(Tabel1[[#This Row],[Do - R1]:[Do - R5]]),"")</f>
        <v>3.166666666666667</v>
      </c>
      <c r="EF163" s="14">
        <v>2</v>
      </c>
      <c r="EG163" s="14" t="s">
        <v>189</v>
      </c>
      <c r="EH163" s="14">
        <v>3</v>
      </c>
      <c r="EI163" s="14">
        <f>IFERROR(AVERAGE(Tabel1[[#This Row],[Do - C1a]:[Do - C1c]]),"")</f>
        <v>2.5</v>
      </c>
      <c r="EJ163" s="14" t="s">
        <v>189</v>
      </c>
      <c r="EK163" s="14" t="s">
        <v>189</v>
      </c>
      <c r="EL163" s="14">
        <v>3</v>
      </c>
      <c r="EM163" s="14">
        <f>IFERROR(AVERAGE(Tabel1[[#This Row],[Do - C1]:[Do - C4]]),"")</f>
        <v>2.75</v>
      </c>
      <c r="EN163" s="14" t="s">
        <v>189</v>
      </c>
      <c r="EO163" s="14" t="s">
        <v>189</v>
      </c>
      <c r="EP163" s="14">
        <v>3</v>
      </c>
      <c r="EQ163" s="14">
        <f>IFERROR(AVERAGE(Tabel1[[#This Row],[Do - F1a]:[Do - F1c]]),"")</f>
        <v>3</v>
      </c>
      <c r="ER163" s="14">
        <v>3</v>
      </c>
      <c r="ES163" s="14">
        <f>IFERROR(AVERAGE(Tabel1[[#This Row],[Do - F2a]:[Do - F2a]]),"")</f>
        <v>3</v>
      </c>
      <c r="ET163" s="14">
        <v>2</v>
      </c>
      <c r="EU163" s="14">
        <v>3</v>
      </c>
      <c r="EV163" s="14">
        <f>IFERROR(AVERAGE(Tabel1[[#This Row],[Do - F3a]:[Do - F3b]]),"")</f>
        <v>2.5</v>
      </c>
      <c r="EW163" s="14">
        <v>2</v>
      </c>
      <c r="EX163" s="14">
        <f>IFERROR(AVERAGE(Tabel1[[#This Row],[Do - F1]],Tabel1[[#This Row],[Do - F2]],Tabel1[[#This Row],[Do - F3]],Tabel1[[#This Row],[Do - F4]]),"")</f>
        <v>2.625</v>
      </c>
      <c r="EY163" s="14">
        <v>3</v>
      </c>
      <c r="EZ163" s="14" t="s">
        <v>189</v>
      </c>
      <c r="FA163" s="14">
        <v>4</v>
      </c>
      <c r="FB163" s="14">
        <f>IFERROR(AVERAGE(Tabel1[[#This Row],[Do - V1a]:[Do - V1c]]),"")</f>
        <v>3.5</v>
      </c>
      <c r="FC163" s="14">
        <v>3</v>
      </c>
      <c r="FD163" s="14">
        <v>5</v>
      </c>
      <c r="FE163" s="14">
        <f>IFERROR(AVERAGE(Tabel1[[#This Row],[Do - V2a]:[Do - V2b]]),"")</f>
        <v>4</v>
      </c>
      <c r="FF163" s="14">
        <v>3</v>
      </c>
      <c r="FG163" s="14">
        <f>IFERROR(AVERAGE(Tabel1[[#This Row],[Do - V3a]:[Do - V3a]]),"")</f>
        <v>3</v>
      </c>
      <c r="FH163" s="14" t="s">
        <v>189</v>
      </c>
      <c r="FI163" s="14">
        <f>IFERROR(AVERAGE(Tabel1[[#This Row],[Do - V1]],Tabel1[[#This Row],[Do - V2]],Tabel1[[#This Row],[Do - V3]],Tabel1[[#This Row],[Do - V4]]),"")</f>
        <v>3.5</v>
      </c>
      <c r="FJ163" s="14">
        <v>3</v>
      </c>
      <c r="FK163" s="14">
        <v>2</v>
      </c>
      <c r="FL163" s="14">
        <v>3</v>
      </c>
      <c r="FM163" s="14">
        <f>IFERROR(AVERAGE(Tabel1[[#This Row],[Do - A1a]:[Do - A1c]]),"")</f>
        <v>2.6666666666666665</v>
      </c>
      <c r="FN163" s="14" t="s">
        <v>189</v>
      </c>
      <c r="FO163" s="14">
        <v>2</v>
      </c>
      <c r="FP163" s="14">
        <f>IFERROR(AVERAGE(Tabel1[[#This Row],[Do - A2a]:[Do - A2b]]),"")</f>
        <v>2</v>
      </c>
      <c r="FQ163" s="14" t="s">
        <v>189</v>
      </c>
      <c r="FR163" s="14" t="str">
        <f>IFERROR(AVERAGE(Tabel1[[#This Row],[Do - A3a]:[Do - A3a]]),"")</f>
        <v/>
      </c>
      <c r="FS163" s="14">
        <v>3</v>
      </c>
      <c r="FT163" s="14">
        <f>IFERROR(AVERAGE(Tabel1[[#This Row],[Do - A1]],Tabel1[[#This Row],[Do - A2]],Tabel1[[#This Row],[Do - A3]],Tabel1[[#This Row],[Do - A4]]),"")</f>
        <v>2.5555555555555554</v>
      </c>
      <c r="FU16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2.6570370370370369</v>
      </c>
      <c r="FV163" s="16" t="s">
        <v>965</v>
      </c>
      <c r="FW163" t="b">
        <v>1</v>
      </c>
    </row>
    <row r="164" spans="1:179" x14ac:dyDescent="0.3">
      <c r="A164" s="13">
        <v>45091.589062500003</v>
      </c>
      <c r="B164" t="b">
        <v>0</v>
      </c>
      <c r="C164" s="14" t="s">
        <v>966</v>
      </c>
      <c r="D164" s="14" t="s">
        <v>613</v>
      </c>
      <c r="E164" s="14" t="s">
        <v>614</v>
      </c>
      <c r="F164" s="14" t="s">
        <v>184</v>
      </c>
      <c r="G164" s="14" t="s">
        <v>615</v>
      </c>
      <c r="H164" s="14" t="s">
        <v>222</v>
      </c>
      <c r="I164" s="14" t="s">
        <v>195</v>
      </c>
      <c r="J164" s="14" t="s">
        <v>406</v>
      </c>
      <c r="K164" s="14" t="s">
        <v>201</v>
      </c>
      <c r="L164" s="14" t="s">
        <v>197</v>
      </c>
      <c r="M164" s="14" t="s">
        <v>188</v>
      </c>
      <c r="N164" s="14" t="s">
        <v>262</v>
      </c>
      <c r="O164" s="14" t="s">
        <v>200</v>
      </c>
      <c r="P164" s="14" t="s">
        <v>203</v>
      </c>
      <c r="Q164" s="17" t="s">
        <v>255</v>
      </c>
      <c r="R164" s="17" t="s">
        <v>304</v>
      </c>
      <c r="S164" s="17" t="s">
        <v>304</v>
      </c>
      <c r="T164" s="14" t="s">
        <v>204</v>
      </c>
      <c r="U164" s="14"/>
      <c r="V164" s="14" t="s">
        <v>224</v>
      </c>
      <c r="W164" s="14" t="s">
        <v>207</v>
      </c>
      <c r="X164" s="14" t="s">
        <v>395</v>
      </c>
      <c r="Y164" s="14">
        <v>4</v>
      </c>
      <c r="Z164" s="14">
        <v>1</v>
      </c>
      <c r="AA164" s="14" t="s">
        <v>189</v>
      </c>
      <c r="AB164" s="15">
        <f>IFERROR(AVERAGE(Tabel1[[#This Row],[Up - R1a]:[Up - R1c]]),"")</f>
        <v>2.5</v>
      </c>
      <c r="AC164" s="14" t="s">
        <v>189</v>
      </c>
      <c r="AD164" s="14" t="s">
        <v>189</v>
      </c>
      <c r="AE164" s="14" t="s">
        <v>189</v>
      </c>
      <c r="AF164" s="14" t="s">
        <v>189</v>
      </c>
      <c r="AG164" s="14">
        <f>IFERROR(AVERAGE(Tabel1[[#This Row],[Up - R1]:[Up - R5]]),"")</f>
        <v>2.5</v>
      </c>
      <c r="AH164" s="14" t="s">
        <v>189</v>
      </c>
      <c r="AI164" s="14" t="s">
        <v>189</v>
      </c>
      <c r="AJ164" s="14">
        <v>3</v>
      </c>
      <c r="AK164" s="14">
        <f>IFERROR(AVERAGE(Tabel1[[#This Row],[Up - C1a]:[Up - C1c]]),"")</f>
        <v>3</v>
      </c>
      <c r="AL164" s="14">
        <v>4</v>
      </c>
      <c r="AM164" s="14" t="s">
        <v>189</v>
      </c>
      <c r="AN164" s="14" t="s">
        <v>189</v>
      </c>
      <c r="AO164" s="14">
        <f>IFERROR(AVERAGE(Tabel1[[#This Row],[Up - C1]:[Up - C4]]),"")</f>
        <v>3.5</v>
      </c>
      <c r="AP164" s="14">
        <v>2</v>
      </c>
      <c r="AQ164" s="14">
        <f>IFERROR(AVERAGE(Tabel1[[#This Row],[Up - F1a]:[Up - F1a]]),"")</f>
        <v>2</v>
      </c>
      <c r="AR164" s="14">
        <v>3</v>
      </c>
      <c r="AS164" s="14">
        <v>2</v>
      </c>
      <c r="AT164" s="14">
        <f>IFERROR(AVERAGE(Tabel1[[#This Row],[Up - F2a]:[Up - F2b]]),"")</f>
        <v>2.5</v>
      </c>
      <c r="AU164" s="14">
        <v>3</v>
      </c>
      <c r="AV164" s="14">
        <v>1</v>
      </c>
      <c r="AW164" s="14">
        <f>IFERROR(AVERAGE(Tabel1[[#This Row],[Up - F3a]:[Up - F3b]]),"")</f>
        <v>2</v>
      </c>
      <c r="AX164" s="14">
        <v>3</v>
      </c>
      <c r="AY164" s="14">
        <f>IFERROR(AVERAGE(Tabel1[[#This Row],[Up - F1]],Tabel1[[#This Row],[Up - F2]],Tabel1[[#This Row],[Up - F3]],Tabel1[[#This Row],[Up - F4]]),"")</f>
        <v>2.375</v>
      </c>
      <c r="AZ164" s="14" t="s">
        <v>189</v>
      </c>
      <c r="BA164" s="14" t="s">
        <v>189</v>
      </c>
      <c r="BB164" s="14" t="str">
        <f>IFERROR(AVERAGE(Tabel1[[#This Row],[Up - V1a]:[Up - V1b]]),"")</f>
        <v/>
      </c>
      <c r="BC164" s="14" t="s">
        <v>189</v>
      </c>
      <c r="BD164" s="14" t="s">
        <v>189</v>
      </c>
      <c r="BE164" s="14">
        <v>5</v>
      </c>
      <c r="BF164" s="14">
        <f>IFERROR(AVERAGE(Tabel1[[#This Row],[Up - V2a]:[Up - V2c]]),"")</f>
        <v>5</v>
      </c>
      <c r="BG164" s="14">
        <v>4</v>
      </c>
      <c r="BH164" s="14" t="s">
        <v>189</v>
      </c>
      <c r="BI164" s="14">
        <f>IFERROR(AVERAGE(Tabel1[[#This Row],[Up - V3a]:[Up - V3b]]),"")</f>
        <v>4</v>
      </c>
      <c r="BJ164" s="14">
        <v>4</v>
      </c>
      <c r="BK164" s="14">
        <f>IFERROR(AVERAGE(Tabel1[[#This Row],[Up - V1]],Tabel1[[#This Row],[Up - V2]],Tabel1[[#This Row],[Up - V3]],Tabel1[[#This Row],[Up - V4]]),"")</f>
        <v>4.333333333333333</v>
      </c>
      <c r="BL164" s="14">
        <v>1</v>
      </c>
      <c r="BM164" s="14">
        <v>3</v>
      </c>
      <c r="BN164" s="14">
        <v>4</v>
      </c>
      <c r="BO164" s="14">
        <v>2</v>
      </c>
      <c r="BP164" s="14">
        <f>IFERROR(AVERAGE(Tabel1[[#This Row],[Up - A1a]:[Up - A1d]]),"")</f>
        <v>2.5</v>
      </c>
      <c r="BQ164" s="14">
        <v>2</v>
      </c>
      <c r="BR164" s="14">
        <v>1</v>
      </c>
      <c r="BS164" s="14">
        <f>IFERROR(AVERAGE(Tabel1[[#This Row],[Up - A2a]:[Up - A2b]]),"")</f>
        <v>1.5</v>
      </c>
      <c r="BT164" s="14">
        <v>4</v>
      </c>
      <c r="BU164" s="14">
        <f>IFERROR(AVERAGE(Tabel1[[#This Row],[Up - A3a]:[Up - A3a]]),"")</f>
        <v>4</v>
      </c>
      <c r="BV164" s="14">
        <v>3</v>
      </c>
      <c r="BW164" s="14">
        <f>IFERROR(AVERAGE(Tabel1[[#This Row],[Up - A1]],Tabel1[[#This Row],[Up - A2]],Tabel1[[#This Row],[Up - A3]]),"")</f>
        <v>2.6666666666666665</v>
      </c>
      <c r="BX164" s="14">
        <v>4</v>
      </c>
      <c r="BY164" s="14">
        <v>3</v>
      </c>
      <c r="BZ164" s="14">
        <f>IFERROR(AVERAGE(Tabel1[[#This Row],[In - R1a]:[In - R1b]]),"")</f>
        <v>3.5</v>
      </c>
      <c r="CA164" s="14">
        <v>4</v>
      </c>
      <c r="CB164" s="14">
        <v>3</v>
      </c>
      <c r="CC164" s="14">
        <v>2</v>
      </c>
      <c r="CD164" s="14">
        <v>5</v>
      </c>
      <c r="CE164" s="14">
        <f>IFERROR(AVERAGE(Tabel1[[#This Row],[In - R1]:[In - R5]]),"")</f>
        <v>3.5</v>
      </c>
      <c r="CF164" s="14">
        <v>5</v>
      </c>
      <c r="CG164" s="14">
        <v>4</v>
      </c>
      <c r="CH164" s="14">
        <v>4</v>
      </c>
      <c r="CI164" s="14">
        <f>IFERROR(AVERAGE(Tabel1[[#This Row],[In - C1a]:[In - C1c]]),"")</f>
        <v>4.333333333333333</v>
      </c>
      <c r="CJ164" s="14">
        <v>2</v>
      </c>
      <c r="CK164" s="14">
        <v>3</v>
      </c>
      <c r="CL164" s="14">
        <v>4</v>
      </c>
      <c r="CM164" s="14">
        <f>IFERROR(AVERAGE(Tabel1[[#This Row],[In - C1]:[In - C4]]),"")</f>
        <v>3.333333333333333</v>
      </c>
      <c r="CN164" s="14">
        <v>4</v>
      </c>
      <c r="CO164" s="14">
        <v>3</v>
      </c>
      <c r="CP164" s="14">
        <v>1</v>
      </c>
      <c r="CQ164" s="14">
        <f>IFERROR(AVERAGE(Tabel1[[#This Row],[In - F1a]:[In - F1c]]),"")</f>
        <v>2.6666666666666665</v>
      </c>
      <c r="CR164" s="14" t="s">
        <v>189</v>
      </c>
      <c r="CS164" s="14">
        <v>1</v>
      </c>
      <c r="CT164" s="14">
        <f>IFERROR(AVERAGE(Tabel1[[#This Row],[In - F2a]:[In - F2b]]),"")</f>
        <v>1</v>
      </c>
      <c r="CU164" s="14">
        <v>2</v>
      </c>
      <c r="CV164" s="14">
        <f>IFERROR(AVERAGE(Tabel1[[#This Row],[In - F3a]:[In - F3a]]),"")</f>
        <v>2</v>
      </c>
      <c r="CW164" s="14">
        <v>5</v>
      </c>
      <c r="CX164" s="14">
        <f>IFERROR(AVERAGE(Tabel1[[#This Row],[In - F1]],Tabel1[[#This Row],[In - F2]],Tabel1[[#This Row],[In - F3]],Tabel1[[#This Row],[In - F4]]),"")</f>
        <v>2.6666666666666665</v>
      </c>
      <c r="CY164" s="14">
        <v>4</v>
      </c>
      <c r="CZ164" s="14">
        <v>1</v>
      </c>
      <c r="DA164" s="14">
        <v>3</v>
      </c>
      <c r="DB164" s="14">
        <f>IFERROR(AVERAGE(Tabel1[[#This Row],[In - V1a]:[In - V1c]]),"")</f>
        <v>2.6666666666666665</v>
      </c>
      <c r="DC164" s="14">
        <v>3</v>
      </c>
      <c r="DD164" s="14">
        <v>3</v>
      </c>
      <c r="DE164" s="14">
        <v>4</v>
      </c>
      <c r="DF164" s="14">
        <f>IFERROR(AVERAGE(Tabel1[[#This Row],[In - V2a]:[In - V2c]]),"")</f>
        <v>3.3333333333333335</v>
      </c>
      <c r="DG164" s="14">
        <v>4</v>
      </c>
      <c r="DH164" s="14">
        <v>4</v>
      </c>
      <c r="DI164" s="14">
        <f>IFERROR(AVERAGE(Tabel1[[#This Row],[In - V3a]:[In - V3b]]),"")</f>
        <v>4</v>
      </c>
      <c r="DJ164" s="14">
        <v>5</v>
      </c>
      <c r="DK164" s="14">
        <f>IFERROR(AVERAGE(Tabel1[[#This Row],[In - V1]],Tabel1[[#This Row],[In - V2]],Tabel1[[#This Row],[In - V3]],Tabel1[[#This Row],[In - V4]]),"")</f>
        <v>3.75</v>
      </c>
      <c r="DL164" s="14">
        <v>2</v>
      </c>
      <c r="DM164" s="14" t="s">
        <v>189</v>
      </c>
      <c r="DN164" s="14">
        <f>IFERROR(AVERAGE(Tabel1[[#This Row],[In - A1a]:[In - A1b]]),"")</f>
        <v>2</v>
      </c>
      <c r="DO164" s="14">
        <v>3</v>
      </c>
      <c r="DP164" s="14">
        <v>4</v>
      </c>
      <c r="DQ164" s="14">
        <f>IFERROR(AVERAGE(Tabel1[[#This Row],[In - A2a]:[In - A2b]]),"")</f>
        <v>3.5</v>
      </c>
      <c r="DR164" s="14">
        <v>4</v>
      </c>
      <c r="DS164" s="14">
        <v>4</v>
      </c>
      <c r="DT164" s="14">
        <f>IFERROR(AVERAGE(Tabel1[[#This Row],[In - A3a]:[In - A3a]]),"")</f>
        <v>4</v>
      </c>
      <c r="DU164" s="14">
        <v>2</v>
      </c>
      <c r="DV164" s="14">
        <f>IFERROR(AVERAGE(Tabel1[[#This Row],[In - A1]],Tabel1[[#This Row],[In - A2]],Tabel1[[#This Row],[In - A3]],Tabel1[[#This Row],[In - A4]]),"")</f>
        <v>2.875</v>
      </c>
      <c r="DW164" s="14">
        <v>1</v>
      </c>
      <c r="DX164" s="14">
        <v>4</v>
      </c>
      <c r="DY164" s="14">
        <v>2</v>
      </c>
      <c r="DZ164" s="14">
        <f>IFERROR(AVERAGE(Tabel1[[#This Row],[Do - R1a]:[Do - R1c]]),"")</f>
        <v>2.3333333333333335</v>
      </c>
      <c r="EA164" s="14">
        <v>3</v>
      </c>
      <c r="EB164" s="14">
        <v>4</v>
      </c>
      <c r="EC164" s="14">
        <v>2</v>
      </c>
      <c r="ED164" s="14">
        <v>4</v>
      </c>
      <c r="EE164" s="14">
        <f>IFERROR(AVERAGE(Tabel1[[#This Row],[Do - R1]:[Do - R5]]),"")</f>
        <v>3.0666666666666669</v>
      </c>
      <c r="EF164" s="14">
        <v>2</v>
      </c>
      <c r="EG164" s="14">
        <v>1</v>
      </c>
      <c r="EH164" s="14">
        <v>1</v>
      </c>
      <c r="EI164" s="14">
        <f>IFERROR(AVERAGE(Tabel1[[#This Row],[Do - C1a]:[Do - C1c]]),"")</f>
        <v>1.3333333333333333</v>
      </c>
      <c r="EJ164" s="14">
        <v>3</v>
      </c>
      <c r="EK164" s="14">
        <v>1</v>
      </c>
      <c r="EL164" s="14">
        <v>4</v>
      </c>
      <c r="EM164" s="14">
        <f>IFERROR(AVERAGE(Tabel1[[#This Row],[Do - C1]:[Do - C4]]),"")</f>
        <v>2.333333333333333</v>
      </c>
      <c r="EN164" s="14">
        <v>4</v>
      </c>
      <c r="EO164" s="14">
        <v>1</v>
      </c>
      <c r="EP164" s="14" t="s">
        <v>189</v>
      </c>
      <c r="EQ164" s="14">
        <f>IFERROR(AVERAGE(Tabel1[[#This Row],[Do - F1a]:[Do - F1c]]),"")</f>
        <v>2.5</v>
      </c>
      <c r="ER164" s="14">
        <v>3</v>
      </c>
      <c r="ES164" s="14">
        <f>IFERROR(AVERAGE(Tabel1[[#This Row],[Do - F2a]:[Do - F2a]]),"")</f>
        <v>3</v>
      </c>
      <c r="ET164" s="14">
        <v>4</v>
      </c>
      <c r="EU164" s="14">
        <v>3</v>
      </c>
      <c r="EV164" s="14">
        <f>IFERROR(AVERAGE(Tabel1[[#This Row],[Do - F3a]:[Do - F3b]]),"")</f>
        <v>3.5</v>
      </c>
      <c r="EW164" s="14">
        <v>2</v>
      </c>
      <c r="EX164" s="14">
        <f>IFERROR(AVERAGE(Tabel1[[#This Row],[Do - F1]],Tabel1[[#This Row],[Do - F2]],Tabel1[[#This Row],[Do - F3]],Tabel1[[#This Row],[Do - F4]]),"")</f>
        <v>2.75</v>
      </c>
      <c r="EY164" s="14">
        <v>1</v>
      </c>
      <c r="EZ164" s="14">
        <v>1</v>
      </c>
      <c r="FA164" s="14">
        <v>3</v>
      </c>
      <c r="FB164" s="14">
        <f>IFERROR(AVERAGE(Tabel1[[#This Row],[Do - V1a]:[Do - V1c]]),"")</f>
        <v>1.6666666666666667</v>
      </c>
      <c r="FC164" s="14">
        <v>5</v>
      </c>
      <c r="FD164" s="14">
        <v>3</v>
      </c>
      <c r="FE164" s="14">
        <f>IFERROR(AVERAGE(Tabel1[[#This Row],[Do - V2a]:[Do - V2b]]),"")</f>
        <v>4</v>
      </c>
      <c r="FF164" s="14">
        <v>2</v>
      </c>
      <c r="FG164" s="14">
        <f>IFERROR(AVERAGE(Tabel1[[#This Row],[Do - V3a]:[Do - V3a]]),"")</f>
        <v>2</v>
      </c>
      <c r="FH164" s="14">
        <v>5</v>
      </c>
      <c r="FI164" s="14">
        <f>IFERROR(AVERAGE(Tabel1[[#This Row],[Do - V1]],Tabel1[[#This Row],[Do - V2]],Tabel1[[#This Row],[Do - V3]],Tabel1[[#This Row],[Do - V4]]),"")</f>
        <v>3.166666666666667</v>
      </c>
      <c r="FJ164" s="14">
        <v>3</v>
      </c>
      <c r="FK164" s="14">
        <v>4</v>
      </c>
      <c r="FL164" s="14">
        <v>5</v>
      </c>
      <c r="FM164" s="14">
        <f>IFERROR(AVERAGE(Tabel1[[#This Row],[Do - A1a]:[Do - A1c]]),"")</f>
        <v>4</v>
      </c>
      <c r="FN164" s="14">
        <v>5</v>
      </c>
      <c r="FO164" s="14">
        <v>5</v>
      </c>
      <c r="FP164" s="14">
        <f>IFERROR(AVERAGE(Tabel1[[#This Row],[Do - A2a]:[Do - A2b]]),"")</f>
        <v>5</v>
      </c>
      <c r="FQ164" s="14">
        <v>3</v>
      </c>
      <c r="FR164" s="14">
        <f>IFERROR(AVERAGE(Tabel1[[#This Row],[Do - A3a]:[Do - A3a]]),"")</f>
        <v>3</v>
      </c>
      <c r="FS164" s="14">
        <v>3</v>
      </c>
      <c r="FT164" s="14">
        <f>IFERROR(AVERAGE(Tabel1[[#This Row],[Do - A1]],Tabel1[[#This Row],[Do - A2]],Tabel1[[#This Row],[Do - A3]],Tabel1[[#This Row],[Do - A4]]),"")</f>
        <v>3.75</v>
      </c>
      <c r="FU16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3.1044444444444448</v>
      </c>
      <c r="FV164" s="16" t="s">
        <v>967</v>
      </c>
      <c r="FW164" t="b">
        <v>1</v>
      </c>
    </row>
    <row r="165" spans="1:179" x14ac:dyDescent="0.3">
      <c r="A165" s="13">
        <v>45097.489791666667</v>
      </c>
      <c r="B165" t="b">
        <v>0</v>
      </c>
      <c r="C165" s="14" t="s">
        <v>968</v>
      </c>
      <c r="D165" s="14" t="s">
        <v>969</v>
      </c>
      <c r="E165" s="14" t="s">
        <v>598</v>
      </c>
      <c r="F165" s="14" t="s">
        <v>184</v>
      </c>
      <c r="G165" s="14" t="s">
        <v>970</v>
      </c>
      <c r="H165" s="14" t="s">
        <v>222</v>
      </c>
      <c r="I165" s="14" t="s">
        <v>385</v>
      </c>
      <c r="J165" s="14"/>
      <c r="K165" s="14" t="s">
        <v>201</v>
      </c>
      <c r="L165" s="14" t="s">
        <v>197</v>
      </c>
      <c r="M165" s="14" t="s">
        <v>281</v>
      </c>
      <c r="N165" s="14" t="s">
        <v>262</v>
      </c>
      <c r="O165" s="14" t="s">
        <v>200</v>
      </c>
      <c r="P165" s="14" t="s">
        <v>235</v>
      </c>
      <c r="Q165" s="14" t="s">
        <v>203</v>
      </c>
      <c r="R165" s="14" t="s">
        <v>201</v>
      </c>
      <c r="S165" s="14" t="s">
        <v>203</v>
      </c>
      <c r="T165" s="14" t="s">
        <v>380</v>
      </c>
      <c r="U165" s="14" t="s">
        <v>205</v>
      </c>
      <c r="V165" s="14" t="s">
        <v>224</v>
      </c>
      <c r="W165" s="14" t="s">
        <v>395</v>
      </c>
      <c r="X165" s="14" t="s">
        <v>207</v>
      </c>
      <c r="Y165" s="14">
        <v>2</v>
      </c>
      <c r="Z165" s="14">
        <v>4</v>
      </c>
      <c r="AA165" s="14" t="s">
        <v>189</v>
      </c>
      <c r="AB165" s="15">
        <f>IFERROR(AVERAGE(Tabel1[[#This Row],[Up - R1a]:[Up - R1c]]),"")</f>
        <v>3</v>
      </c>
      <c r="AC165" s="14">
        <v>3</v>
      </c>
      <c r="AD165" s="14">
        <v>3</v>
      </c>
      <c r="AE165" s="14">
        <v>2</v>
      </c>
      <c r="AF165" s="14">
        <v>2</v>
      </c>
      <c r="AG165" s="14">
        <f>IFERROR(AVERAGE(Tabel1[[#This Row],[Up - R1]:[Up - R5]]),"")</f>
        <v>2.6</v>
      </c>
      <c r="AH165" s="14">
        <v>4</v>
      </c>
      <c r="AI165" s="14">
        <v>2</v>
      </c>
      <c r="AJ165" s="14">
        <v>2</v>
      </c>
      <c r="AK165" s="14">
        <f>IFERROR(AVERAGE(Tabel1[[#This Row],[Up - C1a]:[Up - C1c]]),"")</f>
        <v>2.6666666666666665</v>
      </c>
      <c r="AL165" s="14">
        <v>3</v>
      </c>
      <c r="AM165" s="14">
        <v>2</v>
      </c>
      <c r="AN165" s="14">
        <v>2</v>
      </c>
      <c r="AO165" s="14">
        <f>IFERROR(AVERAGE(Tabel1[[#This Row],[Up - C1]:[Up - C4]]),"")</f>
        <v>2.4166666666666665</v>
      </c>
      <c r="AP165" s="14">
        <v>2</v>
      </c>
      <c r="AQ165" s="14">
        <f>IFERROR(AVERAGE(Tabel1[[#This Row],[Up - F1a]:[Up - F1a]]),"")</f>
        <v>2</v>
      </c>
      <c r="AR165" s="14">
        <v>1</v>
      </c>
      <c r="AS165" s="14">
        <v>2</v>
      </c>
      <c r="AT165" s="14">
        <f>IFERROR(AVERAGE(Tabel1[[#This Row],[Up - F2a]:[Up - F2b]]),"")</f>
        <v>1.5</v>
      </c>
      <c r="AU165" s="14">
        <v>2</v>
      </c>
      <c r="AV165" s="14">
        <v>2</v>
      </c>
      <c r="AW165" s="14">
        <f>IFERROR(AVERAGE(Tabel1[[#This Row],[Up - F3a]:[Up - F3b]]),"")</f>
        <v>2</v>
      </c>
      <c r="AX165" s="14" t="s">
        <v>189</v>
      </c>
      <c r="AY165" s="14">
        <f>IFERROR(AVERAGE(Tabel1[[#This Row],[Up - F1]],Tabel1[[#This Row],[Up - F2]],Tabel1[[#This Row],[Up - F3]],Tabel1[[#This Row],[Up - F4]]),"")</f>
        <v>1.8333333333333333</v>
      </c>
      <c r="AZ165" s="14">
        <v>3</v>
      </c>
      <c r="BA165" s="14">
        <v>2</v>
      </c>
      <c r="BB165" s="14">
        <f>IFERROR(AVERAGE(Tabel1[[#This Row],[Up - V1a]:[Up - V1b]]),"")</f>
        <v>2.5</v>
      </c>
      <c r="BC165" s="14" t="s">
        <v>189</v>
      </c>
      <c r="BD165" s="14">
        <v>2</v>
      </c>
      <c r="BE165" s="14">
        <v>3</v>
      </c>
      <c r="BF165" s="14">
        <f>IFERROR(AVERAGE(Tabel1[[#This Row],[Up - V2a]:[Up - V2c]]),"")</f>
        <v>2.5</v>
      </c>
      <c r="BG165" s="14">
        <v>3</v>
      </c>
      <c r="BH165" s="14">
        <v>1</v>
      </c>
      <c r="BI165" s="14">
        <f>IFERROR(AVERAGE(Tabel1[[#This Row],[Up - V3a]:[Up - V3b]]),"")</f>
        <v>2</v>
      </c>
      <c r="BJ165" s="14">
        <v>1</v>
      </c>
      <c r="BK165" s="14">
        <f>IFERROR(AVERAGE(Tabel1[[#This Row],[Up - V1]],Tabel1[[#This Row],[Up - V2]],Tabel1[[#This Row],[Up - V3]],Tabel1[[#This Row],[Up - V4]]),"")</f>
        <v>2</v>
      </c>
      <c r="BL165" s="14">
        <v>2</v>
      </c>
      <c r="BM165" s="14">
        <v>2</v>
      </c>
      <c r="BN165" s="14">
        <v>1</v>
      </c>
      <c r="BO165" s="14" t="s">
        <v>189</v>
      </c>
      <c r="BP165" s="14">
        <f>IFERROR(AVERAGE(Tabel1[[#This Row],[Up - A1a]:[Up - A1d]]),"")</f>
        <v>1.6666666666666667</v>
      </c>
      <c r="BQ165" s="14">
        <v>2</v>
      </c>
      <c r="BR165" s="14">
        <v>2</v>
      </c>
      <c r="BS165" s="14">
        <f>IFERROR(AVERAGE(Tabel1[[#This Row],[Up - A2a]:[Up - A2b]]),"")</f>
        <v>2</v>
      </c>
      <c r="BT165" s="14">
        <v>2</v>
      </c>
      <c r="BU165" s="14">
        <f>IFERROR(AVERAGE(Tabel1[[#This Row],[Up - A3a]:[Up - A3a]]),"")</f>
        <v>2</v>
      </c>
      <c r="BV165" s="14">
        <v>1</v>
      </c>
      <c r="BW165" s="14">
        <f>IFERROR(AVERAGE(Tabel1[[#This Row],[Up - A1]],Tabel1[[#This Row],[Up - A2]],Tabel1[[#This Row],[Up - A3]]),"")</f>
        <v>1.8888888888888891</v>
      </c>
      <c r="BX165" s="14">
        <v>1</v>
      </c>
      <c r="BY165" s="14">
        <v>3</v>
      </c>
      <c r="BZ165" s="14">
        <f>IFERROR(AVERAGE(Tabel1[[#This Row],[In - R1a]:[In - R1b]]),"")</f>
        <v>2</v>
      </c>
      <c r="CA165" s="14">
        <v>1</v>
      </c>
      <c r="CB165" s="14">
        <v>2</v>
      </c>
      <c r="CC165" s="14">
        <v>1</v>
      </c>
      <c r="CD165" s="14">
        <v>1</v>
      </c>
      <c r="CE165" s="14">
        <f>IFERROR(AVERAGE(Tabel1[[#This Row],[In - R1]:[In - R5]]),"")</f>
        <v>1.4</v>
      </c>
      <c r="CF165" s="14">
        <v>2</v>
      </c>
      <c r="CG165" s="14">
        <v>1</v>
      </c>
      <c r="CH165" s="14">
        <v>3</v>
      </c>
      <c r="CI165" s="14">
        <f>IFERROR(AVERAGE(Tabel1[[#This Row],[In - C1a]:[In - C1c]]),"")</f>
        <v>2</v>
      </c>
      <c r="CJ165" s="14">
        <v>3</v>
      </c>
      <c r="CK165" s="14">
        <v>2</v>
      </c>
      <c r="CL165" s="14">
        <v>3</v>
      </c>
      <c r="CM165" s="14">
        <f>IFERROR(AVERAGE(Tabel1[[#This Row],[In - C1]:[In - C4]]),"")</f>
        <v>2.5</v>
      </c>
      <c r="CN165" s="14">
        <v>2</v>
      </c>
      <c r="CO165" s="14">
        <v>2</v>
      </c>
      <c r="CP165" s="14">
        <v>1</v>
      </c>
      <c r="CQ165" s="14">
        <f>IFERROR(AVERAGE(Tabel1[[#This Row],[In - F1a]:[In - F1c]]),"")</f>
        <v>1.6666666666666667</v>
      </c>
      <c r="CR165" s="14">
        <v>1</v>
      </c>
      <c r="CS165" s="14">
        <v>2</v>
      </c>
      <c r="CT165" s="14">
        <f>IFERROR(AVERAGE(Tabel1[[#This Row],[In - F2a]:[In - F2b]]),"")</f>
        <v>1.5</v>
      </c>
      <c r="CU165" s="14">
        <v>2</v>
      </c>
      <c r="CV165" s="14">
        <f>IFERROR(AVERAGE(Tabel1[[#This Row],[In - F3a]:[In - F3a]]),"")</f>
        <v>2</v>
      </c>
      <c r="CW165" s="14" t="s">
        <v>189</v>
      </c>
      <c r="CX165" s="14">
        <f>IFERROR(AVERAGE(Tabel1[[#This Row],[In - F1]],Tabel1[[#This Row],[In - F2]],Tabel1[[#This Row],[In - F3]],Tabel1[[#This Row],[In - F4]]),"")</f>
        <v>1.7222222222222223</v>
      </c>
      <c r="CY165" s="14">
        <v>2</v>
      </c>
      <c r="CZ165" s="14">
        <v>1</v>
      </c>
      <c r="DA165" s="14">
        <v>3</v>
      </c>
      <c r="DB165" s="14">
        <f>IFERROR(AVERAGE(Tabel1[[#This Row],[In - V1a]:[In - V1c]]),"")</f>
        <v>2</v>
      </c>
      <c r="DC165" s="14">
        <v>1</v>
      </c>
      <c r="DD165" s="14">
        <v>3</v>
      </c>
      <c r="DE165" s="14">
        <v>3</v>
      </c>
      <c r="DF165" s="14">
        <f>IFERROR(AVERAGE(Tabel1[[#This Row],[In - V2a]:[In - V2c]]),"")</f>
        <v>2.3333333333333335</v>
      </c>
      <c r="DG165" s="14">
        <v>1</v>
      </c>
      <c r="DH165" s="14">
        <v>2</v>
      </c>
      <c r="DI165" s="14">
        <f>IFERROR(AVERAGE(Tabel1[[#This Row],[In - V3a]:[In - V3b]]),"")</f>
        <v>1.5</v>
      </c>
      <c r="DJ165" s="14">
        <v>1</v>
      </c>
      <c r="DK165" s="14">
        <f>IFERROR(AVERAGE(Tabel1[[#This Row],[In - V1]],Tabel1[[#This Row],[In - V2]],Tabel1[[#This Row],[In - V3]],Tabel1[[#This Row],[In - V4]]),"")</f>
        <v>1.7083333333333335</v>
      </c>
      <c r="DL165" s="14">
        <v>3</v>
      </c>
      <c r="DM165" s="14">
        <v>1</v>
      </c>
      <c r="DN165" s="14">
        <f>IFERROR(AVERAGE(Tabel1[[#This Row],[In - A1a]:[In - A1b]]),"")</f>
        <v>2</v>
      </c>
      <c r="DO165" s="14">
        <v>3</v>
      </c>
      <c r="DP165" s="14">
        <v>2</v>
      </c>
      <c r="DQ165" s="14">
        <f>IFERROR(AVERAGE(Tabel1[[#This Row],[In - A2a]:[In - A2b]]),"")</f>
        <v>2.5</v>
      </c>
      <c r="DR165" s="14">
        <v>2</v>
      </c>
      <c r="DS165" s="14">
        <v>2</v>
      </c>
      <c r="DT165" s="14">
        <f>IFERROR(AVERAGE(Tabel1[[#This Row],[In - A3a]:[In - A3a]]),"")</f>
        <v>2</v>
      </c>
      <c r="DU165" s="14">
        <v>1</v>
      </c>
      <c r="DV165" s="14">
        <f>IFERROR(AVERAGE(Tabel1[[#This Row],[In - A1]],Tabel1[[#This Row],[In - A2]],Tabel1[[#This Row],[In - A3]],Tabel1[[#This Row],[In - A4]]),"")</f>
        <v>1.875</v>
      </c>
      <c r="DW165" s="14">
        <v>2</v>
      </c>
      <c r="DX165" s="14">
        <v>5</v>
      </c>
      <c r="DY165" s="14" t="s">
        <v>189</v>
      </c>
      <c r="DZ165" s="14">
        <f>IFERROR(AVERAGE(Tabel1[[#This Row],[Do - R1a]:[Do - R1c]]),"")</f>
        <v>3.5</v>
      </c>
      <c r="EA165" s="14" t="s">
        <v>189</v>
      </c>
      <c r="EB165" s="14">
        <v>2</v>
      </c>
      <c r="EC165" s="14">
        <v>1</v>
      </c>
      <c r="ED165" s="14">
        <v>1</v>
      </c>
      <c r="EE165" s="14">
        <f>IFERROR(AVERAGE(Tabel1[[#This Row],[Do - R1]:[Do - R5]]),"")</f>
        <v>1.875</v>
      </c>
      <c r="EF165" s="14">
        <v>3</v>
      </c>
      <c r="EG165" s="14">
        <v>3</v>
      </c>
      <c r="EH165" s="14">
        <v>3</v>
      </c>
      <c r="EI165" s="14">
        <f>IFERROR(AVERAGE(Tabel1[[#This Row],[Do - C1a]:[Do - C1c]]),"")</f>
        <v>3</v>
      </c>
      <c r="EJ165" s="14">
        <v>2</v>
      </c>
      <c r="EK165" s="14">
        <v>2</v>
      </c>
      <c r="EL165" s="14">
        <v>1</v>
      </c>
      <c r="EM165" s="14">
        <f>IFERROR(AVERAGE(Tabel1[[#This Row],[Do - C1]:[Do - C4]]),"")</f>
        <v>2</v>
      </c>
      <c r="EN165" s="14" t="s">
        <v>189</v>
      </c>
      <c r="EO165" s="14" t="s">
        <v>189</v>
      </c>
      <c r="EP165" s="14">
        <v>1</v>
      </c>
      <c r="EQ165" s="14">
        <f>IFERROR(AVERAGE(Tabel1[[#This Row],[Do - F1a]:[Do - F1c]]),"")</f>
        <v>1</v>
      </c>
      <c r="ER165" s="14">
        <v>1</v>
      </c>
      <c r="ES165" s="14">
        <f>IFERROR(AVERAGE(Tabel1[[#This Row],[Do - F2a]:[Do - F2a]]),"")</f>
        <v>1</v>
      </c>
      <c r="ET165" s="14">
        <v>1</v>
      </c>
      <c r="EU165" s="14">
        <v>2</v>
      </c>
      <c r="EV165" s="14">
        <f>IFERROR(AVERAGE(Tabel1[[#This Row],[Do - F3a]:[Do - F3b]]),"")</f>
        <v>1.5</v>
      </c>
      <c r="EW165" s="14" t="s">
        <v>189</v>
      </c>
      <c r="EX165" s="14">
        <f>IFERROR(AVERAGE(Tabel1[[#This Row],[Do - F1]],Tabel1[[#This Row],[Do - F2]],Tabel1[[#This Row],[Do - F3]],Tabel1[[#This Row],[Do - F4]]),"")</f>
        <v>1.1666666666666667</v>
      </c>
      <c r="EY165" s="14">
        <v>2</v>
      </c>
      <c r="EZ165" s="14">
        <v>1</v>
      </c>
      <c r="FA165" s="14">
        <v>3</v>
      </c>
      <c r="FB165" s="14">
        <f>IFERROR(AVERAGE(Tabel1[[#This Row],[Do - V1a]:[Do - V1c]]),"")</f>
        <v>2</v>
      </c>
      <c r="FC165" s="14">
        <v>1</v>
      </c>
      <c r="FD165" s="14">
        <v>2</v>
      </c>
      <c r="FE165" s="14">
        <f>IFERROR(AVERAGE(Tabel1[[#This Row],[Do - V2a]:[Do - V2b]]),"")</f>
        <v>1.5</v>
      </c>
      <c r="FF165" s="14">
        <v>2</v>
      </c>
      <c r="FG165" s="14">
        <f>IFERROR(AVERAGE(Tabel1[[#This Row],[Do - V3a]:[Do - V3a]]),"")</f>
        <v>2</v>
      </c>
      <c r="FH165" s="14">
        <v>1</v>
      </c>
      <c r="FI165" s="14">
        <f>IFERROR(AVERAGE(Tabel1[[#This Row],[Do - V1]],Tabel1[[#This Row],[Do - V2]],Tabel1[[#This Row],[Do - V3]],Tabel1[[#This Row],[Do - V4]]),"")</f>
        <v>1.625</v>
      </c>
      <c r="FJ165" s="14">
        <v>4</v>
      </c>
      <c r="FK165" s="14">
        <v>1</v>
      </c>
      <c r="FL165" s="14">
        <v>2</v>
      </c>
      <c r="FM165" s="14">
        <f>IFERROR(AVERAGE(Tabel1[[#This Row],[Do - A1a]:[Do - A1c]]),"")</f>
        <v>2.3333333333333335</v>
      </c>
      <c r="FN165" s="14">
        <v>1</v>
      </c>
      <c r="FO165" s="14">
        <v>2</v>
      </c>
      <c r="FP165" s="14">
        <f>IFERROR(AVERAGE(Tabel1[[#This Row],[Do - A2a]:[Do - A2b]]),"")</f>
        <v>1.5</v>
      </c>
      <c r="FQ165" s="14">
        <v>2</v>
      </c>
      <c r="FR165" s="14">
        <f>IFERROR(AVERAGE(Tabel1[[#This Row],[Do - A3a]:[Do - A3a]]),"")</f>
        <v>2</v>
      </c>
      <c r="FS165" s="14">
        <v>1</v>
      </c>
      <c r="FT165" s="14">
        <f>IFERROR(AVERAGE(Tabel1[[#This Row],[Do - A1]],Tabel1[[#This Row],[Do - A2]],Tabel1[[#This Row],[Do - A3]],Tabel1[[#This Row],[Do - A4]]),"")</f>
        <v>1.7083333333333335</v>
      </c>
      <c r="FU16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1.8879629629629628</v>
      </c>
      <c r="FV165" s="16" t="s">
        <v>971</v>
      </c>
      <c r="FW165" t="b">
        <v>1</v>
      </c>
    </row>
    <row r="166" spans="1:179" x14ac:dyDescent="0.3">
      <c r="A166" s="13">
        <v>45097.624618055554</v>
      </c>
      <c r="B166" t="b">
        <v>0</v>
      </c>
      <c r="C166" s="14" t="s">
        <v>972</v>
      </c>
      <c r="D166" s="14" t="s">
        <v>973</v>
      </c>
      <c r="E166" s="14" t="s">
        <v>598</v>
      </c>
      <c r="F166" s="14" t="s">
        <v>184</v>
      </c>
      <c r="G166" s="14" t="s">
        <v>974</v>
      </c>
      <c r="H166" s="14" t="s">
        <v>222</v>
      </c>
      <c r="I166" s="14" t="s">
        <v>542</v>
      </c>
      <c r="J166" s="14" t="s">
        <v>543</v>
      </c>
      <c r="K166" s="14" t="s">
        <v>201</v>
      </c>
      <c r="L166" s="14" t="s">
        <v>249</v>
      </c>
      <c r="M166" s="14"/>
      <c r="N166" s="14" t="s">
        <v>262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>
        <v>3</v>
      </c>
      <c r="Z166" s="14">
        <v>2</v>
      </c>
      <c r="AA166" s="14">
        <v>4</v>
      </c>
      <c r="AB166" s="15">
        <f>IFERROR(AVERAGE(Tabel1[[#This Row],[Up - R1a]:[Up - R1c]]),"")</f>
        <v>3</v>
      </c>
      <c r="AC166" s="14">
        <v>4</v>
      </c>
      <c r="AD166" s="14">
        <v>4</v>
      </c>
      <c r="AE166" s="14">
        <v>4</v>
      </c>
      <c r="AF166" s="14">
        <v>4</v>
      </c>
      <c r="AG166" s="14">
        <f>IFERROR(AVERAGE(Tabel1[[#This Row],[Up - R1]:[Up - R5]]),"")</f>
        <v>3.8</v>
      </c>
      <c r="AH166" s="14">
        <v>5</v>
      </c>
      <c r="AI166" s="14">
        <v>4</v>
      </c>
      <c r="AJ166" s="14">
        <v>3</v>
      </c>
      <c r="AK166" s="14">
        <f>IFERROR(AVERAGE(Tabel1[[#This Row],[Up - C1a]:[Up - C1c]]),"")</f>
        <v>4</v>
      </c>
      <c r="AL166" s="14">
        <v>2</v>
      </c>
      <c r="AM166" s="14">
        <v>4</v>
      </c>
      <c r="AN166" s="14">
        <v>3</v>
      </c>
      <c r="AO166" s="14">
        <f>IFERROR(AVERAGE(Tabel1[[#This Row],[Up - C1]:[Up - C4]]),"")</f>
        <v>3.25</v>
      </c>
      <c r="AP166" s="14">
        <v>1</v>
      </c>
      <c r="AQ166" s="14">
        <f>IFERROR(AVERAGE(Tabel1[[#This Row],[Up - F1a]:[Up - F1a]]),"")</f>
        <v>1</v>
      </c>
      <c r="AR166" s="14">
        <v>2</v>
      </c>
      <c r="AS166" s="14">
        <v>3</v>
      </c>
      <c r="AT166" s="14">
        <f>IFERROR(AVERAGE(Tabel1[[#This Row],[Up - F2a]:[Up - F2b]]),"")</f>
        <v>2.5</v>
      </c>
      <c r="AU166" s="14">
        <v>2</v>
      </c>
      <c r="AV166" s="14">
        <v>1</v>
      </c>
      <c r="AW166" s="14">
        <f>IFERROR(AVERAGE(Tabel1[[#This Row],[Up - F3a]:[Up - F3b]]),"")</f>
        <v>1.5</v>
      </c>
      <c r="AX166" s="14">
        <v>4</v>
      </c>
      <c r="AY166" s="14">
        <f>IFERROR(AVERAGE(Tabel1[[#This Row],[Up - F1]],Tabel1[[#This Row],[Up - F2]],Tabel1[[#This Row],[Up - F3]],Tabel1[[#This Row],[Up - F4]]),"")</f>
        <v>2.25</v>
      </c>
      <c r="AZ166" s="14">
        <v>4</v>
      </c>
      <c r="BA166" s="14">
        <v>3</v>
      </c>
      <c r="BB166" s="14">
        <f>IFERROR(AVERAGE(Tabel1[[#This Row],[Up - V1a]:[Up - V1b]]),"")</f>
        <v>3.5</v>
      </c>
      <c r="BC166" s="14">
        <v>4</v>
      </c>
      <c r="BD166" s="14">
        <v>4</v>
      </c>
      <c r="BE166" s="14">
        <v>2</v>
      </c>
      <c r="BF166" s="14">
        <f>IFERROR(AVERAGE(Tabel1[[#This Row],[Up - V2a]:[Up - V2c]]),"")</f>
        <v>3.3333333333333335</v>
      </c>
      <c r="BG166" s="14">
        <v>2</v>
      </c>
      <c r="BH166" s="14">
        <v>1</v>
      </c>
      <c r="BI166" s="14">
        <f>IFERROR(AVERAGE(Tabel1[[#This Row],[Up - V3a]:[Up - V3b]]),"")</f>
        <v>1.5</v>
      </c>
      <c r="BJ166" s="14">
        <v>2</v>
      </c>
      <c r="BK166" s="14">
        <f>IFERROR(AVERAGE(Tabel1[[#This Row],[Up - V1]],Tabel1[[#This Row],[Up - V2]],Tabel1[[#This Row],[Up - V3]],Tabel1[[#This Row],[Up - V4]]),"")</f>
        <v>2.5833333333333335</v>
      </c>
      <c r="BL166" s="14">
        <v>2</v>
      </c>
      <c r="BM166" s="14">
        <v>4</v>
      </c>
      <c r="BN166" s="14">
        <v>3</v>
      </c>
      <c r="BO166" s="14" t="s">
        <v>189</v>
      </c>
      <c r="BP166" s="14">
        <f>IFERROR(AVERAGE(Tabel1[[#This Row],[Up - A1a]:[Up - A1d]]),"")</f>
        <v>3</v>
      </c>
      <c r="BQ166" s="14">
        <v>3</v>
      </c>
      <c r="BR166" s="14">
        <v>3</v>
      </c>
      <c r="BS166" s="14">
        <f>IFERROR(AVERAGE(Tabel1[[#This Row],[Up - A2a]:[Up - A2b]]),"")</f>
        <v>3</v>
      </c>
      <c r="BT166" s="14">
        <v>3</v>
      </c>
      <c r="BU166" s="14">
        <f>IFERROR(AVERAGE(Tabel1[[#This Row],[Up - A3a]:[Up - A3a]]),"")</f>
        <v>3</v>
      </c>
      <c r="BV166" s="14">
        <v>3</v>
      </c>
      <c r="BW166" s="14">
        <f>IFERROR(AVERAGE(Tabel1[[#This Row],[Up - A1]],Tabel1[[#This Row],[Up - A2]],Tabel1[[#This Row],[Up - A3]]),"")</f>
        <v>3</v>
      </c>
      <c r="BX166" s="14">
        <v>4</v>
      </c>
      <c r="BY166" s="14">
        <v>4</v>
      </c>
      <c r="BZ166" s="14">
        <f>IFERROR(AVERAGE(Tabel1[[#This Row],[In - R1a]:[In - R1b]]),"")</f>
        <v>4</v>
      </c>
      <c r="CA166" s="14">
        <v>1</v>
      </c>
      <c r="CB166" s="14">
        <v>3</v>
      </c>
      <c r="CC166" s="14">
        <v>2</v>
      </c>
      <c r="CD166" s="14">
        <v>5</v>
      </c>
      <c r="CE166" s="14">
        <f>IFERROR(AVERAGE(Tabel1[[#This Row],[In - R1]:[In - R5]]),"")</f>
        <v>3</v>
      </c>
      <c r="CF166" s="14">
        <v>3</v>
      </c>
      <c r="CG166" s="14">
        <v>2</v>
      </c>
      <c r="CH166" s="14">
        <v>4</v>
      </c>
      <c r="CI166" s="14">
        <f>IFERROR(AVERAGE(Tabel1[[#This Row],[In - C1a]:[In - C1c]]),"")</f>
        <v>3</v>
      </c>
      <c r="CJ166" s="14">
        <v>3</v>
      </c>
      <c r="CK166" s="14">
        <v>4</v>
      </c>
      <c r="CL166" s="14">
        <v>3</v>
      </c>
      <c r="CM166" s="14">
        <f>IFERROR(AVERAGE(Tabel1[[#This Row],[In - C1]:[In - C4]]),"")</f>
        <v>3.25</v>
      </c>
      <c r="CN166" s="14">
        <v>2</v>
      </c>
      <c r="CO166" s="14">
        <v>3</v>
      </c>
      <c r="CP166" s="14">
        <v>2</v>
      </c>
      <c r="CQ166" s="14">
        <f>IFERROR(AVERAGE(Tabel1[[#This Row],[In - F1a]:[In - F1c]]),"")</f>
        <v>2.3333333333333335</v>
      </c>
      <c r="CR166" s="14">
        <v>1</v>
      </c>
      <c r="CS166" s="14">
        <v>3</v>
      </c>
      <c r="CT166" s="14">
        <f>IFERROR(AVERAGE(Tabel1[[#This Row],[In - F2a]:[In - F2b]]),"")</f>
        <v>2</v>
      </c>
      <c r="CU166" s="14">
        <v>1</v>
      </c>
      <c r="CV166" s="14">
        <f>IFERROR(AVERAGE(Tabel1[[#This Row],[In - F3a]:[In - F3a]]),"")</f>
        <v>1</v>
      </c>
      <c r="CW166" s="14">
        <v>2</v>
      </c>
      <c r="CX166" s="14">
        <f>IFERROR(AVERAGE(Tabel1[[#This Row],[In - F1]],Tabel1[[#This Row],[In - F2]],Tabel1[[#This Row],[In - F3]],Tabel1[[#This Row],[In - F4]]),"")</f>
        <v>1.8333333333333335</v>
      </c>
      <c r="CY166" s="14">
        <v>4</v>
      </c>
      <c r="CZ166" s="14">
        <v>4</v>
      </c>
      <c r="DA166" s="14">
        <v>2</v>
      </c>
      <c r="DB166" s="14">
        <f>IFERROR(AVERAGE(Tabel1[[#This Row],[In - V1a]:[In - V1c]]),"")</f>
        <v>3.3333333333333335</v>
      </c>
      <c r="DC166" s="14">
        <v>3</v>
      </c>
      <c r="DD166" s="14">
        <v>3</v>
      </c>
      <c r="DE166" s="14">
        <v>3</v>
      </c>
      <c r="DF166" s="14">
        <f>IFERROR(AVERAGE(Tabel1[[#This Row],[In - V2a]:[In - V2c]]),"")</f>
        <v>3</v>
      </c>
      <c r="DG166" s="14">
        <v>1</v>
      </c>
      <c r="DH166" s="14">
        <v>3</v>
      </c>
      <c r="DI166" s="14">
        <f>IFERROR(AVERAGE(Tabel1[[#This Row],[In - V3a]:[In - V3b]]),"")</f>
        <v>2</v>
      </c>
      <c r="DJ166" s="14">
        <v>2</v>
      </c>
      <c r="DK166" s="14">
        <f>IFERROR(AVERAGE(Tabel1[[#This Row],[In - V1]],Tabel1[[#This Row],[In - V2]],Tabel1[[#This Row],[In - V3]],Tabel1[[#This Row],[In - V4]]),"")</f>
        <v>2.5833333333333335</v>
      </c>
      <c r="DL166" s="14">
        <v>3</v>
      </c>
      <c r="DM166" s="14">
        <v>4</v>
      </c>
      <c r="DN166" s="14">
        <f>IFERROR(AVERAGE(Tabel1[[#This Row],[In - A1a]:[In - A1b]]),"")</f>
        <v>3.5</v>
      </c>
      <c r="DO166" s="14">
        <v>3</v>
      </c>
      <c r="DP166" s="14">
        <v>3</v>
      </c>
      <c r="DQ166" s="14">
        <f>IFERROR(AVERAGE(Tabel1[[#This Row],[In - A2a]:[In - A2b]]),"")</f>
        <v>3</v>
      </c>
      <c r="DR166" s="14">
        <v>3</v>
      </c>
      <c r="DS166" s="14">
        <v>3</v>
      </c>
      <c r="DT166" s="14">
        <f>IFERROR(AVERAGE(Tabel1[[#This Row],[In - A3a]:[In - A3a]]),"")</f>
        <v>3</v>
      </c>
      <c r="DU166" s="14">
        <v>3</v>
      </c>
      <c r="DV166" s="14">
        <f>IFERROR(AVERAGE(Tabel1[[#This Row],[In - A1]],Tabel1[[#This Row],[In - A2]],Tabel1[[#This Row],[In - A3]],Tabel1[[#This Row],[In - A4]]),"")</f>
        <v>3.125</v>
      </c>
      <c r="DW166" s="14">
        <v>1</v>
      </c>
      <c r="DX166" s="14">
        <v>5</v>
      </c>
      <c r="DY166" s="14">
        <v>2</v>
      </c>
      <c r="DZ166" s="14">
        <f>IFERROR(AVERAGE(Tabel1[[#This Row],[Do - R1a]:[Do - R1c]]),"")</f>
        <v>2.6666666666666665</v>
      </c>
      <c r="EA166" s="14">
        <v>1</v>
      </c>
      <c r="EB166" s="14">
        <v>1</v>
      </c>
      <c r="EC166" s="14">
        <v>1</v>
      </c>
      <c r="ED166" s="14">
        <v>2</v>
      </c>
      <c r="EE166" s="14">
        <f>IFERROR(AVERAGE(Tabel1[[#This Row],[Do - R1]:[Do - R5]]),"")</f>
        <v>1.5333333333333332</v>
      </c>
      <c r="EF166" s="14">
        <v>3</v>
      </c>
      <c r="EG166" s="14">
        <v>3</v>
      </c>
      <c r="EH166" s="14">
        <v>4</v>
      </c>
      <c r="EI166" s="14">
        <f>IFERROR(AVERAGE(Tabel1[[#This Row],[Do - C1a]:[Do - C1c]]),"")</f>
        <v>3.3333333333333335</v>
      </c>
      <c r="EJ166" s="14">
        <v>4</v>
      </c>
      <c r="EK166" s="14">
        <v>4</v>
      </c>
      <c r="EL166" s="14">
        <v>3</v>
      </c>
      <c r="EM166" s="14">
        <f>IFERROR(AVERAGE(Tabel1[[#This Row],[Do - C1]:[Do - C4]]),"")</f>
        <v>3.5833333333333335</v>
      </c>
      <c r="EN166" s="14">
        <v>3</v>
      </c>
      <c r="EO166" s="14">
        <v>1</v>
      </c>
      <c r="EP166" s="14">
        <v>2</v>
      </c>
      <c r="EQ166" s="14">
        <f>IFERROR(AVERAGE(Tabel1[[#This Row],[Do - F1a]:[Do - F1c]]),"")</f>
        <v>2</v>
      </c>
      <c r="ER166" s="14">
        <v>4</v>
      </c>
      <c r="ES166" s="14">
        <f>IFERROR(AVERAGE(Tabel1[[#This Row],[Do - F2a]:[Do - F2a]]),"")</f>
        <v>4</v>
      </c>
      <c r="ET166" s="14">
        <v>2</v>
      </c>
      <c r="EU166" s="14">
        <v>2</v>
      </c>
      <c r="EV166" s="14">
        <f>IFERROR(AVERAGE(Tabel1[[#This Row],[Do - F3a]:[Do - F3b]]),"")</f>
        <v>2</v>
      </c>
      <c r="EW166" s="14">
        <v>2</v>
      </c>
      <c r="EX166" s="14">
        <f>IFERROR(AVERAGE(Tabel1[[#This Row],[Do - F1]],Tabel1[[#This Row],[Do - F2]],Tabel1[[#This Row],[Do - F3]],Tabel1[[#This Row],[Do - F4]]),"")</f>
        <v>2.5</v>
      </c>
      <c r="EY166" s="14">
        <v>3</v>
      </c>
      <c r="EZ166" s="14">
        <v>3</v>
      </c>
      <c r="FA166" s="14">
        <v>3</v>
      </c>
      <c r="FB166" s="14">
        <f>IFERROR(AVERAGE(Tabel1[[#This Row],[Do - V1a]:[Do - V1c]]),"")</f>
        <v>3</v>
      </c>
      <c r="FC166" s="14">
        <v>4</v>
      </c>
      <c r="FD166" s="14">
        <v>3</v>
      </c>
      <c r="FE166" s="14">
        <f>IFERROR(AVERAGE(Tabel1[[#This Row],[Do - V2a]:[Do - V2b]]),"")</f>
        <v>3.5</v>
      </c>
      <c r="FF166" s="14">
        <v>3</v>
      </c>
      <c r="FG166" s="14">
        <f>IFERROR(AVERAGE(Tabel1[[#This Row],[Do - V3a]:[Do - V3a]]),"")</f>
        <v>3</v>
      </c>
      <c r="FH166" s="14">
        <v>2</v>
      </c>
      <c r="FI166" s="14">
        <f>IFERROR(AVERAGE(Tabel1[[#This Row],[Do - V1]],Tabel1[[#This Row],[Do - V2]],Tabel1[[#This Row],[Do - V3]],Tabel1[[#This Row],[Do - V4]]),"")</f>
        <v>2.875</v>
      </c>
      <c r="FJ166" s="14">
        <v>3</v>
      </c>
      <c r="FK166" s="14">
        <v>1</v>
      </c>
      <c r="FL166" s="14">
        <v>3</v>
      </c>
      <c r="FM166" s="14">
        <f>IFERROR(AVERAGE(Tabel1[[#This Row],[Do - A1a]:[Do - A1c]]),"")</f>
        <v>2.3333333333333335</v>
      </c>
      <c r="FN166" s="14">
        <v>3</v>
      </c>
      <c r="FO166" s="14">
        <v>3</v>
      </c>
      <c r="FP166" s="14">
        <f>IFERROR(AVERAGE(Tabel1[[#This Row],[Do - A2a]:[Do - A2b]]),"")</f>
        <v>3</v>
      </c>
      <c r="FQ166" s="14">
        <v>3</v>
      </c>
      <c r="FR166" s="14">
        <f>IFERROR(AVERAGE(Tabel1[[#This Row],[Do - A3a]:[Do - A3a]]),"")</f>
        <v>3</v>
      </c>
      <c r="FS166" s="14">
        <v>3</v>
      </c>
      <c r="FT166" s="14">
        <f>IFERROR(AVERAGE(Tabel1[[#This Row],[Do - A1]],Tabel1[[#This Row],[Do - A2]],Tabel1[[#This Row],[Do - A3]],Tabel1[[#This Row],[Do - A4]]),"")</f>
        <v>2.8333333333333335</v>
      </c>
      <c r="FU16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</v>
      </c>
      <c r="FV166" s="16" t="s">
        <v>975</v>
      </c>
      <c r="FW166" t="b">
        <v>1</v>
      </c>
    </row>
    <row r="167" spans="1:179" x14ac:dyDescent="0.3">
      <c r="A167" s="13">
        <v>45100.639814814815</v>
      </c>
      <c r="B167" t="b">
        <v>0</v>
      </c>
      <c r="C167" s="14" t="s">
        <v>976</v>
      </c>
      <c r="D167" s="14" t="s">
        <v>597</v>
      </c>
      <c r="E167" s="14" t="s">
        <v>598</v>
      </c>
      <c r="F167" s="14" t="s">
        <v>184</v>
      </c>
      <c r="G167" s="14" t="s">
        <v>977</v>
      </c>
      <c r="H167" s="14" t="s">
        <v>194</v>
      </c>
      <c r="I167" s="14" t="s">
        <v>542</v>
      </c>
      <c r="J167" s="14" t="s">
        <v>543</v>
      </c>
      <c r="K167" s="14" t="s">
        <v>201</v>
      </c>
      <c r="L167" s="14" t="s">
        <v>249</v>
      </c>
      <c r="M167" s="14" t="s">
        <v>188</v>
      </c>
      <c r="N167" s="14" t="s">
        <v>199</v>
      </c>
      <c r="O167" s="14" t="s">
        <v>200</v>
      </c>
      <c r="P167" s="14" t="s">
        <v>317</v>
      </c>
      <c r="Q167" s="14" t="s">
        <v>201</v>
      </c>
      <c r="R167" s="17" t="s">
        <v>304</v>
      </c>
      <c r="S167" s="14" t="s">
        <v>201</v>
      </c>
      <c r="T167" s="14" t="s">
        <v>236</v>
      </c>
      <c r="U167" s="14" t="s">
        <v>285</v>
      </c>
      <c r="V167" s="14" t="s">
        <v>206</v>
      </c>
      <c r="W167" s="14" t="s">
        <v>395</v>
      </c>
      <c r="X167" s="14" t="s">
        <v>207</v>
      </c>
      <c r="Y167" s="14">
        <v>4</v>
      </c>
      <c r="Z167" s="14">
        <v>4</v>
      </c>
      <c r="AA167" s="14">
        <v>4</v>
      </c>
      <c r="AB167" s="15">
        <f>IFERROR(AVERAGE(Tabel1[[#This Row],[Up - R1a]:[Up - R1c]]),"")</f>
        <v>4</v>
      </c>
      <c r="AC167" s="14">
        <v>2</v>
      </c>
      <c r="AD167" s="14">
        <v>2</v>
      </c>
      <c r="AE167" s="14">
        <v>3</v>
      </c>
      <c r="AF167" s="14" t="s">
        <v>189</v>
      </c>
      <c r="AG167" s="14">
        <f>IFERROR(AVERAGE(Tabel1[[#This Row],[Up - R1]:[Up - R5]]),"")</f>
        <v>2.75</v>
      </c>
      <c r="AH167" s="14">
        <v>2</v>
      </c>
      <c r="AI167" s="14">
        <v>2</v>
      </c>
      <c r="AJ167" s="14">
        <v>2</v>
      </c>
      <c r="AK167" s="14">
        <f>IFERROR(AVERAGE(Tabel1[[#This Row],[Up - C1a]:[Up - C1c]]),"")</f>
        <v>2</v>
      </c>
      <c r="AL167" s="14">
        <v>3</v>
      </c>
      <c r="AM167" s="14">
        <v>1</v>
      </c>
      <c r="AN167" s="14">
        <v>2</v>
      </c>
      <c r="AO167" s="14">
        <f>IFERROR(AVERAGE(Tabel1[[#This Row],[Up - C1]:[Up - C4]]),"")</f>
        <v>2</v>
      </c>
      <c r="AP167" s="14">
        <v>3</v>
      </c>
      <c r="AQ167" s="14">
        <f>IFERROR(AVERAGE(Tabel1[[#This Row],[Up - F1a]:[Up - F1a]]),"")</f>
        <v>3</v>
      </c>
      <c r="AR167" s="14">
        <v>4</v>
      </c>
      <c r="AS167" s="14">
        <v>4</v>
      </c>
      <c r="AT167" s="14">
        <f>IFERROR(AVERAGE(Tabel1[[#This Row],[Up - F2a]:[Up - F2b]]),"")</f>
        <v>4</v>
      </c>
      <c r="AU167" s="14">
        <v>3</v>
      </c>
      <c r="AV167" s="14">
        <v>2</v>
      </c>
      <c r="AW167" s="14">
        <f>IFERROR(AVERAGE(Tabel1[[#This Row],[Up - F3a]:[Up - F3b]]),"")</f>
        <v>2.5</v>
      </c>
      <c r="AX167" s="14">
        <v>1</v>
      </c>
      <c r="AY167" s="14">
        <f>IFERROR(AVERAGE(Tabel1[[#This Row],[Up - F1]],Tabel1[[#This Row],[Up - F2]],Tabel1[[#This Row],[Up - F3]],Tabel1[[#This Row],[Up - F4]]),"")</f>
        <v>2.625</v>
      </c>
      <c r="AZ167" s="14">
        <v>1</v>
      </c>
      <c r="BA167" s="14">
        <v>4</v>
      </c>
      <c r="BB167" s="14">
        <f>IFERROR(AVERAGE(Tabel1[[#This Row],[Up - V1a]:[Up - V1b]]),"")</f>
        <v>2.5</v>
      </c>
      <c r="BC167" s="14">
        <v>4</v>
      </c>
      <c r="BD167" s="14">
        <v>2</v>
      </c>
      <c r="BE167" s="14">
        <v>2</v>
      </c>
      <c r="BF167" s="14">
        <f>IFERROR(AVERAGE(Tabel1[[#This Row],[Up - V2a]:[Up - V2c]]),"")</f>
        <v>2.6666666666666665</v>
      </c>
      <c r="BG167" s="14">
        <v>1</v>
      </c>
      <c r="BH167" s="14">
        <v>1</v>
      </c>
      <c r="BI167" s="14">
        <f>IFERROR(AVERAGE(Tabel1[[#This Row],[Up - V3a]:[Up - V3b]]),"")</f>
        <v>1</v>
      </c>
      <c r="BJ167" s="14">
        <v>1</v>
      </c>
      <c r="BK167" s="14">
        <f>IFERROR(AVERAGE(Tabel1[[#This Row],[Up - V1]],Tabel1[[#This Row],[Up - V2]],Tabel1[[#This Row],[Up - V3]],Tabel1[[#This Row],[Up - V4]]),"")</f>
        <v>1.7916666666666665</v>
      </c>
      <c r="BL167" s="14">
        <v>3</v>
      </c>
      <c r="BM167" s="14">
        <v>4</v>
      </c>
      <c r="BN167" s="14">
        <v>3</v>
      </c>
      <c r="BO167" s="14">
        <v>3</v>
      </c>
      <c r="BP167" s="14">
        <f>IFERROR(AVERAGE(Tabel1[[#This Row],[Up - A1a]:[Up - A1d]]),"")</f>
        <v>3.25</v>
      </c>
      <c r="BQ167" s="14">
        <v>3</v>
      </c>
      <c r="BR167" s="14">
        <v>2</v>
      </c>
      <c r="BS167" s="14">
        <f>IFERROR(AVERAGE(Tabel1[[#This Row],[Up - A2a]:[Up - A2b]]),"")</f>
        <v>2.5</v>
      </c>
      <c r="BT167" s="14">
        <v>5</v>
      </c>
      <c r="BU167" s="14">
        <f>IFERROR(AVERAGE(Tabel1[[#This Row],[Up - A3a]:[Up - A3a]]),"")</f>
        <v>5</v>
      </c>
      <c r="BV167" s="14" t="s">
        <v>189</v>
      </c>
      <c r="BW167" s="14">
        <f>IFERROR(AVERAGE(Tabel1[[#This Row],[Up - A1]],Tabel1[[#This Row],[Up - A2]],Tabel1[[#This Row],[Up - A3]]),"")</f>
        <v>3.5833333333333335</v>
      </c>
      <c r="BX167" s="14">
        <v>1</v>
      </c>
      <c r="BY167" s="14">
        <v>1</v>
      </c>
      <c r="BZ167" s="14">
        <f>IFERROR(AVERAGE(Tabel1[[#This Row],[In - R1a]:[In - R1b]]),"")</f>
        <v>1</v>
      </c>
      <c r="CA167" s="14">
        <v>2</v>
      </c>
      <c r="CB167" s="14">
        <v>1</v>
      </c>
      <c r="CC167" s="14">
        <v>1</v>
      </c>
      <c r="CD167" s="14">
        <v>3</v>
      </c>
      <c r="CE167" s="14">
        <f>IFERROR(AVERAGE(Tabel1[[#This Row],[In - R1]:[In - R5]]),"")</f>
        <v>1.6</v>
      </c>
      <c r="CF167" s="14">
        <v>4</v>
      </c>
      <c r="CG167" s="14">
        <v>2</v>
      </c>
      <c r="CH167" s="14">
        <v>3</v>
      </c>
      <c r="CI167" s="14">
        <f>IFERROR(AVERAGE(Tabel1[[#This Row],[In - C1a]:[In - C1c]]),"")</f>
        <v>3</v>
      </c>
      <c r="CJ167" s="14">
        <v>4</v>
      </c>
      <c r="CK167" s="14">
        <v>3</v>
      </c>
      <c r="CL167" s="14">
        <v>3</v>
      </c>
      <c r="CM167" s="14">
        <f>IFERROR(AVERAGE(Tabel1[[#This Row],[In - C1]:[In - C4]]),"")</f>
        <v>3.25</v>
      </c>
      <c r="CN167" s="14">
        <v>1</v>
      </c>
      <c r="CO167" s="14">
        <v>1</v>
      </c>
      <c r="CP167" s="14">
        <v>1</v>
      </c>
      <c r="CQ167" s="14">
        <f>IFERROR(AVERAGE(Tabel1[[#This Row],[In - F1a]:[In - F1c]]),"")</f>
        <v>1</v>
      </c>
      <c r="CR167" s="14">
        <v>3</v>
      </c>
      <c r="CS167" s="14">
        <v>1</v>
      </c>
      <c r="CT167" s="14">
        <f>IFERROR(AVERAGE(Tabel1[[#This Row],[In - F2a]:[In - F2b]]),"")</f>
        <v>2</v>
      </c>
      <c r="CU167" s="14">
        <v>2</v>
      </c>
      <c r="CV167" s="14">
        <f>IFERROR(AVERAGE(Tabel1[[#This Row],[In - F3a]:[In - F3a]]),"")</f>
        <v>2</v>
      </c>
      <c r="CW167" s="14">
        <v>2</v>
      </c>
      <c r="CX167" s="14">
        <f>IFERROR(AVERAGE(Tabel1[[#This Row],[In - F1]],Tabel1[[#This Row],[In - F2]],Tabel1[[#This Row],[In - F3]],Tabel1[[#This Row],[In - F4]]),"")</f>
        <v>1.75</v>
      </c>
      <c r="CY167" s="14">
        <v>2</v>
      </c>
      <c r="CZ167" s="14">
        <v>2</v>
      </c>
      <c r="DA167" s="14">
        <v>2</v>
      </c>
      <c r="DB167" s="14">
        <f>IFERROR(AVERAGE(Tabel1[[#This Row],[In - V1a]:[In - V1c]]),"")</f>
        <v>2</v>
      </c>
      <c r="DC167" s="14">
        <v>4</v>
      </c>
      <c r="DD167" s="14">
        <v>2</v>
      </c>
      <c r="DE167" s="14">
        <v>1</v>
      </c>
      <c r="DF167" s="14">
        <f>IFERROR(AVERAGE(Tabel1[[#This Row],[In - V2a]:[In - V2c]]),"")</f>
        <v>2.3333333333333335</v>
      </c>
      <c r="DG167" s="14" t="s">
        <v>189</v>
      </c>
      <c r="DH167" s="14">
        <v>5</v>
      </c>
      <c r="DI167" s="14">
        <f>IFERROR(AVERAGE(Tabel1[[#This Row],[In - V3a]:[In - V3b]]),"")</f>
        <v>5</v>
      </c>
      <c r="DJ167" s="14">
        <v>5</v>
      </c>
      <c r="DK167" s="14">
        <f>IFERROR(AVERAGE(Tabel1[[#This Row],[In - V1]],Tabel1[[#This Row],[In - V2]],Tabel1[[#This Row],[In - V3]],Tabel1[[#This Row],[In - V4]]),"")</f>
        <v>3.5833333333333335</v>
      </c>
      <c r="DL167" s="14">
        <v>2</v>
      </c>
      <c r="DM167" s="14">
        <v>3</v>
      </c>
      <c r="DN167" s="14">
        <f>IFERROR(AVERAGE(Tabel1[[#This Row],[In - A1a]:[In - A1b]]),"")</f>
        <v>2.5</v>
      </c>
      <c r="DO167" s="14">
        <v>2</v>
      </c>
      <c r="DP167" s="14">
        <v>3</v>
      </c>
      <c r="DQ167" s="14">
        <f>IFERROR(AVERAGE(Tabel1[[#This Row],[In - A2a]:[In - A2b]]),"")</f>
        <v>2.5</v>
      </c>
      <c r="DR167" s="14">
        <v>5</v>
      </c>
      <c r="DS167" s="14">
        <v>1</v>
      </c>
      <c r="DT167" s="14">
        <f>IFERROR(AVERAGE(Tabel1[[#This Row],[In - A3a]:[In - A3a]]),"")</f>
        <v>5</v>
      </c>
      <c r="DU167" s="14" t="s">
        <v>189</v>
      </c>
      <c r="DV167" s="14">
        <f>IFERROR(AVERAGE(Tabel1[[#This Row],[In - A1]],Tabel1[[#This Row],[In - A2]],Tabel1[[#This Row],[In - A3]],Tabel1[[#This Row],[In - A4]]),"")</f>
        <v>3.3333333333333335</v>
      </c>
      <c r="DW167" s="14">
        <v>4</v>
      </c>
      <c r="DX167" s="14">
        <v>5</v>
      </c>
      <c r="DY167" s="14">
        <v>3</v>
      </c>
      <c r="DZ167" s="14">
        <f>IFERROR(AVERAGE(Tabel1[[#This Row],[Do - R1a]:[Do - R1c]]),"")</f>
        <v>4</v>
      </c>
      <c r="EA167" s="14">
        <v>2</v>
      </c>
      <c r="EB167" s="14">
        <v>2</v>
      </c>
      <c r="EC167" s="14">
        <v>1</v>
      </c>
      <c r="ED167" s="14">
        <v>2</v>
      </c>
      <c r="EE167" s="14">
        <f>IFERROR(AVERAGE(Tabel1[[#This Row],[Do - R1]:[Do - R5]]),"")</f>
        <v>2.2000000000000002</v>
      </c>
      <c r="EF167" s="14">
        <v>2</v>
      </c>
      <c r="EG167" s="14">
        <v>3</v>
      </c>
      <c r="EH167" s="14">
        <v>3</v>
      </c>
      <c r="EI167" s="14">
        <f>IFERROR(AVERAGE(Tabel1[[#This Row],[Do - C1a]:[Do - C1c]]),"")</f>
        <v>2.6666666666666665</v>
      </c>
      <c r="EJ167" s="14">
        <v>3</v>
      </c>
      <c r="EK167" s="14">
        <v>1</v>
      </c>
      <c r="EL167" s="14">
        <v>2</v>
      </c>
      <c r="EM167" s="14">
        <f>IFERROR(AVERAGE(Tabel1[[#This Row],[Do - C1]:[Do - C4]]),"")</f>
        <v>2.1666666666666665</v>
      </c>
      <c r="EN167" s="14">
        <v>1</v>
      </c>
      <c r="EO167" s="14">
        <v>1</v>
      </c>
      <c r="EP167" s="14">
        <v>4</v>
      </c>
      <c r="EQ167" s="14">
        <f>IFERROR(AVERAGE(Tabel1[[#This Row],[Do - F1a]:[Do - F1c]]),"")</f>
        <v>2</v>
      </c>
      <c r="ER167" s="14">
        <v>3</v>
      </c>
      <c r="ES167" s="14">
        <f>IFERROR(AVERAGE(Tabel1[[#This Row],[Do - F2a]:[Do - F2a]]),"")</f>
        <v>3</v>
      </c>
      <c r="ET167" s="14">
        <v>2</v>
      </c>
      <c r="EU167" s="14">
        <v>1</v>
      </c>
      <c r="EV167" s="14">
        <f>IFERROR(AVERAGE(Tabel1[[#This Row],[Do - F3a]:[Do - F3b]]),"")</f>
        <v>1.5</v>
      </c>
      <c r="EW167" s="14">
        <v>1</v>
      </c>
      <c r="EX167" s="14">
        <f>IFERROR(AVERAGE(Tabel1[[#This Row],[Do - F1]],Tabel1[[#This Row],[Do - F2]],Tabel1[[#This Row],[Do - F3]],Tabel1[[#This Row],[Do - F4]]),"")</f>
        <v>1.875</v>
      </c>
      <c r="EY167" s="14">
        <v>4</v>
      </c>
      <c r="EZ167" s="14">
        <v>3</v>
      </c>
      <c r="FA167" s="14">
        <v>4</v>
      </c>
      <c r="FB167" s="14">
        <f>IFERROR(AVERAGE(Tabel1[[#This Row],[Do - V1a]:[Do - V1c]]),"")</f>
        <v>3.6666666666666665</v>
      </c>
      <c r="FC167" s="14">
        <v>5</v>
      </c>
      <c r="FD167" s="14">
        <v>2</v>
      </c>
      <c r="FE167" s="14">
        <f>IFERROR(AVERAGE(Tabel1[[#This Row],[Do - V2a]:[Do - V2b]]),"")</f>
        <v>3.5</v>
      </c>
      <c r="FF167" s="14">
        <v>4</v>
      </c>
      <c r="FG167" s="14">
        <f>IFERROR(AVERAGE(Tabel1[[#This Row],[Do - V3a]:[Do - V3a]]),"")</f>
        <v>4</v>
      </c>
      <c r="FH167" s="14">
        <v>4</v>
      </c>
      <c r="FI167" s="14">
        <f>IFERROR(AVERAGE(Tabel1[[#This Row],[Do - V1]],Tabel1[[#This Row],[Do - V2]],Tabel1[[#This Row],[Do - V3]],Tabel1[[#This Row],[Do - V4]]),"")</f>
        <v>3.7916666666666665</v>
      </c>
      <c r="FJ167" s="14">
        <v>3</v>
      </c>
      <c r="FK167" s="14">
        <v>1</v>
      </c>
      <c r="FL167" s="14">
        <v>2</v>
      </c>
      <c r="FM167" s="14">
        <f>IFERROR(AVERAGE(Tabel1[[#This Row],[Do - A1a]:[Do - A1c]]),"")</f>
        <v>2</v>
      </c>
      <c r="FN167" s="14">
        <v>2</v>
      </c>
      <c r="FO167" s="14">
        <v>1</v>
      </c>
      <c r="FP167" s="14">
        <f>IFERROR(AVERAGE(Tabel1[[#This Row],[Do - A2a]:[Do - A2b]]),"")</f>
        <v>1.5</v>
      </c>
      <c r="FQ167" s="14">
        <v>2</v>
      </c>
      <c r="FR167" s="14">
        <f>IFERROR(AVERAGE(Tabel1[[#This Row],[Do - A3a]:[Do - A3a]]),"")</f>
        <v>2</v>
      </c>
      <c r="FS167" s="14" t="s">
        <v>189</v>
      </c>
      <c r="FT167" s="14">
        <f>IFERROR(AVERAGE(Tabel1[[#This Row],[Do - A1]],Tabel1[[#This Row],[Do - A2]],Tabel1[[#This Row],[Do - A3]],Tabel1[[#This Row],[Do - A4]]),"")</f>
        <v>1.8333333333333333</v>
      </c>
      <c r="FU16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2.5422222222222222</v>
      </c>
      <c r="FV167" s="16" t="s">
        <v>978</v>
      </c>
      <c r="FW167" t="b">
        <v>1</v>
      </c>
    </row>
    <row r="168" spans="1:179" x14ac:dyDescent="0.3">
      <c r="A168" s="13">
        <v>45103.776006944441</v>
      </c>
      <c r="B168" t="b">
        <v>0</v>
      </c>
      <c r="C168" s="14" t="s">
        <v>979</v>
      </c>
      <c r="D168" s="14" t="s">
        <v>980</v>
      </c>
      <c r="E168" s="14" t="s">
        <v>598</v>
      </c>
      <c r="F168" s="14" t="s">
        <v>184</v>
      </c>
      <c r="G168" s="21" t="s">
        <v>981</v>
      </c>
      <c r="H168" s="14" t="s">
        <v>222</v>
      </c>
      <c r="I168" s="14" t="s">
        <v>195</v>
      </c>
      <c r="J168" s="14" t="s">
        <v>347</v>
      </c>
      <c r="K168" s="14" t="s">
        <v>201</v>
      </c>
      <c r="L168" s="14" t="s">
        <v>249</v>
      </c>
      <c r="M168" s="14" t="s">
        <v>233</v>
      </c>
      <c r="N168" s="14" t="s">
        <v>331</v>
      </c>
      <c r="O168" s="14" t="s">
        <v>256</v>
      </c>
      <c r="P168" s="17" t="s">
        <v>255</v>
      </c>
      <c r="Q168" s="14" t="s">
        <v>201</v>
      </c>
      <c r="R168" s="14" t="s">
        <v>201</v>
      </c>
      <c r="S168" s="17" t="s">
        <v>255</v>
      </c>
      <c r="T168" s="14" t="s">
        <v>380</v>
      </c>
      <c r="U168" s="14" t="s">
        <v>285</v>
      </c>
      <c r="V168" s="14" t="s">
        <v>224</v>
      </c>
      <c r="W168" s="14" t="s">
        <v>395</v>
      </c>
      <c r="X168" s="14" t="s">
        <v>207</v>
      </c>
      <c r="Y168" s="14">
        <v>4</v>
      </c>
      <c r="Z168" s="14">
        <v>3</v>
      </c>
      <c r="AA168" s="14" t="s">
        <v>189</v>
      </c>
      <c r="AB168" s="15">
        <f>IFERROR(AVERAGE(Tabel1[[#This Row],[Up - R1a]:[Up - R1c]]),"")</f>
        <v>3.5</v>
      </c>
      <c r="AC168" s="14">
        <v>2</v>
      </c>
      <c r="AD168" s="14">
        <v>3</v>
      </c>
      <c r="AE168" s="14" t="s">
        <v>189</v>
      </c>
      <c r="AF168" s="14">
        <v>4</v>
      </c>
      <c r="AG168" s="14">
        <f>IFERROR(AVERAGE(Tabel1[[#This Row],[Up - R1]:[Up - R5]]),"")</f>
        <v>3.125</v>
      </c>
      <c r="AH168" s="14">
        <v>3</v>
      </c>
      <c r="AI168" s="14">
        <v>4</v>
      </c>
      <c r="AJ168" s="14">
        <v>3</v>
      </c>
      <c r="AK168" s="14">
        <f>IFERROR(AVERAGE(Tabel1[[#This Row],[Up - C1a]:[Up - C1c]]),"")</f>
        <v>3.3333333333333335</v>
      </c>
      <c r="AL168" s="14">
        <v>3</v>
      </c>
      <c r="AM168" s="14" t="s">
        <v>189</v>
      </c>
      <c r="AN168" s="14" t="s">
        <v>189</v>
      </c>
      <c r="AO168" s="14">
        <f>IFERROR(AVERAGE(Tabel1[[#This Row],[Up - C1]:[Up - C4]]),"")</f>
        <v>3.166666666666667</v>
      </c>
      <c r="AP168" s="14">
        <v>1</v>
      </c>
      <c r="AQ168" s="14">
        <f>IFERROR(AVERAGE(Tabel1[[#This Row],[Up - F1a]:[Up - F1a]]),"")</f>
        <v>1</v>
      </c>
      <c r="AR168" s="14">
        <v>3</v>
      </c>
      <c r="AS168" s="14">
        <v>3</v>
      </c>
      <c r="AT168" s="14">
        <f>IFERROR(AVERAGE(Tabel1[[#This Row],[Up - F2a]:[Up - F2b]]),"")</f>
        <v>3</v>
      </c>
      <c r="AU168" s="14">
        <v>3</v>
      </c>
      <c r="AV168" s="14">
        <v>3</v>
      </c>
      <c r="AW168" s="14">
        <f>IFERROR(AVERAGE(Tabel1[[#This Row],[Up - F3a]:[Up - F3b]]),"")</f>
        <v>3</v>
      </c>
      <c r="AX168" s="14">
        <v>1</v>
      </c>
      <c r="AY168" s="14">
        <f>IFERROR(AVERAGE(Tabel1[[#This Row],[Up - F1]],Tabel1[[#This Row],[Up - F2]],Tabel1[[#This Row],[Up - F3]],Tabel1[[#This Row],[Up - F4]]),"")</f>
        <v>2</v>
      </c>
      <c r="AZ168" s="14">
        <v>3</v>
      </c>
      <c r="BA168" s="14">
        <v>3</v>
      </c>
      <c r="BB168" s="14">
        <f>IFERROR(AVERAGE(Tabel1[[#This Row],[Up - V1a]:[Up - V1b]]),"")</f>
        <v>3</v>
      </c>
      <c r="BC168" s="14">
        <v>3</v>
      </c>
      <c r="BD168" s="14">
        <v>3</v>
      </c>
      <c r="BE168" s="14">
        <v>3</v>
      </c>
      <c r="BF168" s="14">
        <f>IFERROR(AVERAGE(Tabel1[[#This Row],[Up - V2a]:[Up - V2c]]),"")</f>
        <v>3</v>
      </c>
      <c r="BG168" s="14" t="s">
        <v>189</v>
      </c>
      <c r="BH168" s="14" t="s">
        <v>189</v>
      </c>
      <c r="BI168" s="14" t="str">
        <f>IFERROR(AVERAGE(Tabel1[[#This Row],[Up - V3a]:[Up - V3b]]),"")</f>
        <v/>
      </c>
      <c r="BJ168" s="14" t="s">
        <v>189</v>
      </c>
      <c r="BK168" s="14">
        <f>IFERROR(AVERAGE(Tabel1[[#This Row],[Up - V1]],Tabel1[[#This Row],[Up - V2]],Tabel1[[#This Row],[Up - V3]],Tabel1[[#This Row],[Up - V4]]),"")</f>
        <v>3</v>
      </c>
      <c r="BL168" s="14">
        <v>3</v>
      </c>
      <c r="BM168" s="14">
        <v>3</v>
      </c>
      <c r="BN168" s="14">
        <v>3</v>
      </c>
      <c r="BO168" s="14" t="s">
        <v>189</v>
      </c>
      <c r="BP168" s="14">
        <f>IFERROR(AVERAGE(Tabel1[[#This Row],[Up - A1a]:[Up - A1d]]),"")</f>
        <v>3</v>
      </c>
      <c r="BQ168" s="14" t="s">
        <v>189</v>
      </c>
      <c r="BR168" s="14">
        <v>3</v>
      </c>
      <c r="BS168" s="14">
        <f>IFERROR(AVERAGE(Tabel1[[#This Row],[Up - A2a]:[Up - A2b]]),"")</f>
        <v>3</v>
      </c>
      <c r="BT168" s="14">
        <v>3</v>
      </c>
      <c r="BU168" s="14">
        <f>IFERROR(AVERAGE(Tabel1[[#This Row],[Up - A3a]:[Up - A3a]]),"")</f>
        <v>3</v>
      </c>
      <c r="BV168" s="14" t="s">
        <v>189</v>
      </c>
      <c r="BW168" s="14">
        <f>IFERROR(AVERAGE(Tabel1[[#This Row],[Up - A1]],Tabel1[[#This Row],[Up - A2]],Tabel1[[#This Row],[Up - A3]]),"")</f>
        <v>3</v>
      </c>
      <c r="BX168" s="14">
        <v>1</v>
      </c>
      <c r="BY168" s="14">
        <v>1</v>
      </c>
      <c r="BZ168" s="14">
        <f>IFERROR(AVERAGE(Tabel1[[#This Row],[In - R1a]:[In - R1b]]),"")</f>
        <v>1</v>
      </c>
      <c r="CA168" s="14">
        <v>4</v>
      </c>
      <c r="CB168" s="14">
        <v>1</v>
      </c>
      <c r="CC168" s="14">
        <v>1</v>
      </c>
      <c r="CD168" s="14" t="s">
        <v>189</v>
      </c>
      <c r="CE168" s="14">
        <f>IFERROR(AVERAGE(Tabel1[[#This Row],[In - R1]:[In - R5]]),"")</f>
        <v>1.75</v>
      </c>
      <c r="CF168" s="14">
        <v>4</v>
      </c>
      <c r="CG168" s="14">
        <v>4</v>
      </c>
      <c r="CH168" s="14">
        <v>4</v>
      </c>
      <c r="CI168" s="14">
        <f>IFERROR(AVERAGE(Tabel1[[#This Row],[In - C1a]:[In - C1c]]),"")</f>
        <v>4</v>
      </c>
      <c r="CJ168" s="14">
        <v>4</v>
      </c>
      <c r="CK168" s="14">
        <v>3</v>
      </c>
      <c r="CL168" s="14">
        <v>3</v>
      </c>
      <c r="CM168" s="14">
        <f>IFERROR(AVERAGE(Tabel1[[#This Row],[In - C1]:[In - C4]]),"")</f>
        <v>3.5</v>
      </c>
      <c r="CN168" s="14">
        <v>3</v>
      </c>
      <c r="CO168" s="14">
        <v>2</v>
      </c>
      <c r="CP168" s="14">
        <v>1</v>
      </c>
      <c r="CQ168" s="14">
        <f>IFERROR(AVERAGE(Tabel1[[#This Row],[In - F1a]:[In - F1c]]),"")</f>
        <v>2</v>
      </c>
      <c r="CR168" s="14">
        <v>3</v>
      </c>
      <c r="CS168" s="14">
        <v>3</v>
      </c>
      <c r="CT168" s="14">
        <f>IFERROR(AVERAGE(Tabel1[[#This Row],[In - F2a]:[In - F2b]]),"")</f>
        <v>3</v>
      </c>
      <c r="CU168" s="14">
        <v>3</v>
      </c>
      <c r="CV168" s="14">
        <f>IFERROR(AVERAGE(Tabel1[[#This Row],[In - F3a]:[In - F3a]]),"")</f>
        <v>3</v>
      </c>
      <c r="CW168" s="14" t="s">
        <v>189</v>
      </c>
      <c r="CX168" s="14">
        <f>IFERROR(AVERAGE(Tabel1[[#This Row],[In - F1]],Tabel1[[#This Row],[In - F2]],Tabel1[[#This Row],[In - F3]],Tabel1[[#This Row],[In - F4]]),"")</f>
        <v>2.6666666666666665</v>
      </c>
      <c r="CY168" s="14">
        <v>3</v>
      </c>
      <c r="CZ168" s="14">
        <v>3</v>
      </c>
      <c r="DA168" s="14">
        <v>2</v>
      </c>
      <c r="DB168" s="14">
        <f>IFERROR(AVERAGE(Tabel1[[#This Row],[In - V1a]:[In - V1c]]),"")</f>
        <v>2.6666666666666665</v>
      </c>
      <c r="DC168" s="14" t="s">
        <v>189</v>
      </c>
      <c r="DD168" s="14" t="s">
        <v>189</v>
      </c>
      <c r="DE168" s="14" t="s">
        <v>189</v>
      </c>
      <c r="DF168" s="14" t="str">
        <f>IFERROR(AVERAGE(Tabel1[[#This Row],[In - V2a]:[In - V2c]]),"")</f>
        <v/>
      </c>
      <c r="DG168" s="14" t="s">
        <v>189</v>
      </c>
      <c r="DH168" s="14">
        <v>4</v>
      </c>
      <c r="DI168" s="14">
        <f>IFERROR(AVERAGE(Tabel1[[#This Row],[In - V3a]:[In - V3b]]),"")</f>
        <v>4</v>
      </c>
      <c r="DJ168" s="14" t="s">
        <v>189</v>
      </c>
      <c r="DK168" s="14">
        <f>IFERROR(AVERAGE(Tabel1[[#This Row],[In - V1]],Tabel1[[#This Row],[In - V2]],Tabel1[[#This Row],[In - V3]],Tabel1[[#This Row],[In - V4]]),"")</f>
        <v>3.333333333333333</v>
      </c>
      <c r="DL168" s="14">
        <v>3</v>
      </c>
      <c r="DM168" s="14">
        <v>1</v>
      </c>
      <c r="DN168" s="14">
        <f>IFERROR(AVERAGE(Tabel1[[#This Row],[In - A1a]:[In - A1b]]),"")</f>
        <v>2</v>
      </c>
      <c r="DO168" s="14">
        <v>3</v>
      </c>
      <c r="DP168" s="14">
        <v>3</v>
      </c>
      <c r="DQ168" s="14">
        <f>IFERROR(AVERAGE(Tabel1[[#This Row],[In - A2a]:[In - A2b]]),"")</f>
        <v>3</v>
      </c>
      <c r="DR168" s="14">
        <v>3</v>
      </c>
      <c r="DS168" s="14">
        <v>3</v>
      </c>
      <c r="DT168" s="14">
        <f>IFERROR(AVERAGE(Tabel1[[#This Row],[In - A3a]:[In - A3a]]),"")</f>
        <v>3</v>
      </c>
      <c r="DU168" s="14" t="s">
        <v>189</v>
      </c>
      <c r="DV168" s="14">
        <f>IFERROR(AVERAGE(Tabel1[[#This Row],[In - A1]],Tabel1[[#This Row],[In - A2]],Tabel1[[#This Row],[In - A3]],Tabel1[[#This Row],[In - A4]]),"")</f>
        <v>2.6666666666666665</v>
      </c>
      <c r="DW168" s="14" t="s">
        <v>189</v>
      </c>
      <c r="DX168" s="14">
        <v>4</v>
      </c>
      <c r="DY168" s="14" t="s">
        <v>189</v>
      </c>
      <c r="DZ168" s="14">
        <f>IFERROR(AVERAGE(Tabel1[[#This Row],[Do - R1a]:[Do - R1c]]),"")</f>
        <v>4</v>
      </c>
      <c r="EA168" s="14" t="s">
        <v>189</v>
      </c>
      <c r="EB168" s="14">
        <v>3</v>
      </c>
      <c r="EC168" s="14" t="s">
        <v>189</v>
      </c>
      <c r="ED168" s="14" t="s">
        <v>189</v>
      </c>
      <c r="EE168" s="14">
        <f>IFERROR(AVERAGE(Tabel1[[#This Row],[Do - R1]:[Do - R5]]),"")</f>
        <v>3.5</v>
      </c>
      <c r="EF168" s="14">
        <v>3</v>
      </c>
      <c r="EG168" s="14">
        <v>3</v>
      </c>
      <c r="EH168" s="14">
        <v>3</v>
      </c>
      <c r="EI168" s="14">
        <f>IFERROR(AVERAGE(Tabel1[[#This Row],[Do - C1a]:[Do - C1c]]),"")</f>
        <v>3</v>
      </c>
      <c r="EJ168" s="14">
        <v>3</v>
      </c>
      <c r="EK168" s="14" t="s">
        <v>189</v>
      </c>
      <c r="EL168" s="14" t="s">
        <v>189</v>
      </c>
      <c r="EM168" s="14">
        <f>IFERROR(AVERAGE(Tabel1[[#This Row],[Do - C1]:[Do - C4]]),"")</f>
        <v>3</v>
      </c>
      <c r="EN168" s="14" t="s">
        <v>189</v>
      </c>
      <c r="EO168" s="14" t="s">
        <v>189</v>
      </c>
      <c r="EP168" s="14" t="s">
        <v>189</v>
      </c>
      <c r="EQ168" s="14" t="str">
        <f>IFERROR(AVERAGE(Tabel1[[#This Row],[Do - F1a]:[Do - F1c]]),"")</f>
        <v/>
      </c>
      <c r="ER168" s="14" t="s">
        <v>189</v>
      </c>
      <c r="ES168" s="14" t="str">
        <f>IFERROR(AVERAGE(Tabel1[[#This Row],[Do - F2a]:[Do - F2a]]),"")</f>
        <v/>
      </c>
      <c r="ET168" s="14" t="s">
        <v>189</v>
      </c>
      <c r="EU168" s="14" t="s">
        <v>189</v>
      </c>
      <c r="EV168" s="14" t="str">
        <f>IFERROR(AVERAGE(Tabel1[[#This Row],[Do - F3a]:[Do - F3b]]),"")</f>
        <v/>
      </c>
      <c r="EW168" s="14" t="s">
        <v>189</v>
      </c>
      <c r="EX168" s="14" t="str">
        <f>IFERROR(AVERAGE(Tabel1[[#This Row],[Do - F1]],Tabel1[[#This Row],[Do - F2]],Tabel1[[#This Row],[Do - F3]],Tabel1[[#This Row],[Do - F4]]),"")</f>
        <v/>
      </c>
      <c r="EY168" s="14">
        <v>3</v>
      </c>
      <c r="EZ168" s="14" t="s">
        <v>189</v>
      </c>
      <c r="FA168" s="14">
        <v>3</v>
      </c>
      <c r="FB168" s="14">
        <f>IFERROR(AVERAGE(Tabel1[[#This Row],[Do - V1a]:[Do - V1c]]),"")</f>
        <v>3</v>
      </c>
      <c r="FC168" s="14">
        <v>3</v>
      </c>
      <c r="FD168" s="14" t="s">
        <v>189</v>
      </c>
      <c r="FE168" s="14">
        <f>IFERROR(AVERAGE(Tabel1[[#This Row],[Do - V2a]:[Do - V2b]]),"")</f>
        <v>3</v>
      </c>
      <c r="FF168" s="14" t="s">
        <v>189</v>
      </c>
      <c r="FG168" s="14" t="str">
        <f>IFERROR(AVERAGE(Tabel1[[#This Row],[Do - V3a]:[Do - V3a]]),"")</f>
        <v/>
      </c>
      <c r="FH168" s="14" t="s">
        <v>189</v>
      </c>
      <c r="FI168" s="14">
        <f>IFERROR(AVERAGE(Tabel1[[#This Row],[Do - V1]],Tabel1[[#This Row],[Do - V2]],Tabel1[[#This Row],[Do - V3]],Tabel1[[#This Row],[Do - V4]]),"")</f>
        <v>3</v>
      </c>
      <c r="FJ168" s="14" t="s">
        <v>189</v>
      </c>
      <c r="FK168" s="14" t="s">
        <v>189</v>
      </c>
      <c r="FL168" s="14" t="s">
        <v>189</v>
      </c>
      <c r="FM168" s="14" t="str">
        <f>IFERROR(AVERAGE(Tabel1[[#This Row],[Do - A1a]:[Do - A1c]]),"")</f>
        <v/>
      </c>
      <c r="FN168" s="14">
        <v>1</v>
      </c>
      <c r="FO168" s="14">
        <v>3</v>
      </c>
      <c r="FP168" s="14">
        <f>IFERROR(AVERAGE(Tabel1[[#This Row],[Do - A2a]:[Do - A2b]]),"")</f>
        <v>2</v>
      </c>
      <c r="FQ168" s="14">
        <v>3</v>
      </c>
      <c r="FR168" s="14">
        <f>IFERROR(AVERAGE(Tabel1[[#This Row],[Do - A3a]:[Do - A3a]]),"")</f>
        <v>3</v>
      </c>
      <c r="FS168" s="14" t="s">
        <v>189</v>
      </c>
      <c r="FT168" s="14">
        <f>IFERROR(AVERAGE(Tabel1[[#This Row],[Do - A1]],Tabel1[[#This Row],[Do - A2]],Tabel1[[#This Row],[Do - A3]],Tabel1[[#This Row],[Do - A4]]),"")</f>
        <v>2.5</v>
      </c>
      <c r="FU16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2.8720238095238098</v>
      </c>
      <c r="FV168" s="16" t="s">
        <v>982</v>
      </c>
      <c r="FW168" t="b">
        <v>1</v>
      </c>
    </row>
    <row r="169" spans="1:179" x14ac:dyDescent="0.3">
      <c r="A169" s="13">
        <v>45107.310995370368</v>
      </c>
      <c r="B169" t="b">
        <v>0</v>
      </c>
      <c r="C169" s="14" t="s">
        <v>983</v>
      </c>
      <c r="D169" s="14" t="s">
        <v>984</v>
      </c>
      <c r="E169" s="14" t="s">
        <v>598</v>
      </c>
      <c r="F169" s="14" t="s">
        <v>184</v>
      </c>
      <c r="G169" s="14" t="s">
        <v>985</v>
      </c>
      <c r="H169" s="14" t="s">
        <v>222</v>
      </c>
      <c r="I169" s="14" t="s">
        <v>195</v>
      </c>
      <c r="J169" s="14" t="s">
        <v>347</v>
      </c>
      <c r="K169" s="14" t="s">
        <v>201</v>
      </c>
      <c r="L169" s="14" t="s">
        <v>249</v>
      </c>
      <c r="M169" s="14" t="s">
        <v>233</v>
      </c>
      <c r="N169" s="14" t="s">
        <v>262</v>
      </c>
      <c r="O169" s="14" t="s">
        <v>200</v>
      </c>
      <c r="P169" s="17" t="s">
        <v>255</v>
      </c>
      <c r="Q169" s="14" t="s">
        <v>201</v>
      </c>
      <c r="R169" s="14" t="s">
        <v>201</v>
      </c>
      <c r="S169" s="14" t="s">
        <v>203</v>
      </c>
      <c r="T169" s="14" t="s">
        <v>380</v>
      </c>
      <c r="U169" s="14" t="s">
        <v>349</v>
      </c>
      <c r="V169" s="14" t="s">
        <v>224</v>
      </c>
      <c r="W169" s="14" t="s">
        <v>306</v>
      </c>
      <c r="X169" s="14" t="s">
        <v>207</v>
      </c>
      <c r="Y169" s="14">
        <v>3</v>
      </c>
      <c r="Z169" s="14">
        <v>2</v>
      </c>
      <c r="AA169" s="14">
        <v>2</v>
      </c>
      <c r="AB169" s="15">
        <f>IFERROR(AVERAGE(Tabel1[[#This Row],[Up - R1a]:[Up - R1c]]),"")</f>
        <v>2.3333333333333335</v>
      </c>
      <c r="AC169" s="14">
        <v>2</v>
      </c>
      <c r="AD169" s="14">
        <v>4</v>
      </c>
      <c r="AE169" s="14">
        <v>1</v>
      </c>
      <c r="AF169" s="14">
        <v>4</v>
      </c>
      <c r="AG169" s="14">
        <f>IFERROR(AVERAGE(Tabel1[[#This Row],[Up - R1]:[Up - R5]]),"")</f>
        <v>2.666666666666667</v>
      </c>
      <c r="AH169" s="14">
        <v>4</v>
      </c>
      <c r="AI169" s="14">
        <v>1</v>
      </c>
      <c r="AJ169" s="14">
        <v>2</v>
      </c>
      <c r="AK169" s="14">
        <f>IFERROR(AVERAGE(Tabel1[[#This Row],[Up - C1a]:[Up - C1c]]),"")</f>
        <v>2.3333333333333335</v>
      </c>
      <c r="AL169" s="14">
        <v>4</v>
      </c>
      <c r="AM169" s="14">
        <v>1</v>
      </c>
      <c r="AN169" s="14">
        <v>1</v>
      </c>
      <c r="AO169" s="14">
        <f>IFERROR(AVERAGE(Tabel1[[#This Row],[Up - C1]:[Up - C4]]),"")</f>
        <v>2.0833333333333335</v>
      </c>
      <c r="AP169" s="14">
        <v>3</v>
      </c>
      <c r="AQ169" s="14">
        <f>IFERROR(AVERAGE(Tabel1[[#This Row],[Up - F1a]:[Up - F1a]]),"")</f>
        <v>3</v>
      </c>
      <c r="AR169" s="14">
        <v>4</v>
      </c>
      <c r="AS169" s="14">
        <v>3</v>
      </c>
      <c r="AT169" s="14">
        <f>IFERROR(AVERAGE(Tabel1[[#This Row],[Up - F2a]:[Up - F2b]]),"")</f>
        <v>3.5</v>
      </c>
      <c r="AU169" s="14">
        <v>3</v>
      </c>
      <c r="AV169" s="14">
        <v>1</v>
      </c>
      <c r="AW169" s="14">
        <f>IFERROR(AVERAGE(Tabel1[[#This Row],[Up - F3a]:[Up - F3b]]),"")</f>
        <v>2</v>
      </c>
      <c r="AX169" s="14">
        <v>3</v>
      </c>
      <c r="AY169" s="14">
        <f>IFERROR(AVERAGE(Tabel1[[#This Row],[Up - F1]],Tabel1[[#This Row],[Up - F2]],Tabel1[[#This Row],[Up - F3]],Tabel1[[#This Row],[Up - F4]]),"")</f>
        <v>2.875</v>
      </c>
      <c r="AZ169" s="14">
        <v>1</v>
      </c>
      <c r="BA169" s="14">
        <v>4</v>
      </c>
      <c r="BB169" s="14">
        <f>IFERROR(AVERAGE(Tabel1[[#This Row],[Up - V1a]:[Up - V1b]]),"")</f>
        <v>2.5</v>
      </c>
      <c r="BC169" s="14">
        <v>2</v>
      </c>
      <c r="BD169" s="14">
        <v>1</v>
      </c>
      <c r="BE169" s="14">
        <v>1</v>
      </c>
      <c r="BF169" s="14">
        <f>IFERROR(AVERAGE(Tabel1[[#This Row],[Up - V2a]:[Up - V2c]]),"")</f>
        <v>1.3333333333333333</v>
      </c>
      <c r="BG169" s="14">
        <v>4</v>
      </c>
      <c r="BH169" s="14">
        <v>2</v>
      </c>
      <c r="BI169" s="14">
        <f>IFERROR(AVERAGE(Tabel1[[#This Row],[Up - V3a]:[Up - V3b]]),"")</f>
        <v>3</v>
      </c>
      <c r="BJ169" s="14">
        <v>3</v>
      </c>
      <c r="BK169" s="14">
        <f>IFERROR(AVERAGE(Tabel1[[#This Row],[Up - V1]],Tabel1[[#This Row],[Up - V2]],Tabel1[[#This Row],[Up - V3]],Tabel1[[#This Row],[Up - V4]]),"")</f>
        <v>2.458333333333333</v>
      </c>
      <c r="BL169" s="14">
        <v>3</v>
      </c>
      <c r="BM169" s="14">
        <v>4</v>
      </c>
      <c r="BN169" s="14">
        <v>5</v>
      </c>
      <c r="BO169" s="14">
        <v>3</v>
      </c>
      <c r="BP169" s="14">
        <f>IFERROR(AVERAGE(Tabel1[[#This Row],[Up - A1a]:[Up - A1d]]),"")</f>
        <v>3.75</v>
      </c>
      <c r="BQ169" s="14">
        <v>2</v>
      </c>
      <c r="BR169" s="14">
        <v>4</v>
      </c>
      <c r="BS169" s="14">
        <f>IFERROR(AVERAGE(Tabel1[[#This Row],[Up - A2a]:[Up - A2b]]),"")</f>
        <v>3</v>
      </c>
      <c r="BT169" s="14">
        <v>4</v>
      </c>
      <c r="BU169" s="14">
        <f>IFERROR(AVERAGE(Tabel1[[#This Row],[Up - A3a]:[Up - A3a]]),"")</f>
        <v>4</v>
      </c>
      <c r="BV169" s="14">
        <v>1</v>
      </c>
      <c r="BW169" s="14">
        <f>IFERROR(AVERAGE(Tabel1[[#This Row],[Up - A1]],Tabel1[[#This Row],[Up - A2]],Tabel1[[#This Row],[Up - A3]]),"")</f>
        <v>3.5833333333333335</v>
      </c>
      <c r="BX169" s="14">
        <v>1</v>
      </c>
      <c r="BY169" s="14">
        <v>1</v>
      </c>
      <c r="BZ169" s="14">
        <f>IFERROR(AVERAGE(Tabel1[[#This Row],[In - R1a]:[In - R1b]]),"")</f>
        <v>1</v>
      </c>
      <c r="CA169" s="14">
        <v>4</v>
      </c>
      <c r="CB169" s="14">
        <v>1</v>
      </c>
      <c r="CC169" s="14">
        <v>1</v>
      </c>
      <c r="CD169" s="14">
        <v>5</v>
      </c>
      <c r="CE169" s="14">
        <f>IFERROR(AVERAGE(Tabel1[[#This Row],[In - R1]:[In - R5]]),"")</f>
        <v>2.4</v>
      </c>
      <c r="CF169" s="14">
        <v>2</v>
      </c>
      <c r="CG169" s="14">
        <v>2</v>
      </c>
      <c r="CH169" s="14">
        <v>3</v>
      </c>
      <c r="CI169" s="14">
        <f>IFERROR(AVERAGE(Tabel1[[#This Row],[In - C1a]:[In - C1c]]),"")</f>
        <v>2.3333333333333335</v>
      </c>
      <c r="CJ169" s="14">
        <v>2</v>
      </c>
      <c r="CK169" s="14">
        <v>3</v>
      </c>
      <c r="CL169" s="14">
        <v>3</v>
      </c>
      <c r="CM169" s="14">
        <f>IFERROR(AVERAGE(Tabel1[[#This Row],[In - C1]:[In - C4]]),"")</f>
        <v>2.5833333333333335</v>
      </c>
      <c r="CN169" s="14">
        <v>3</v>
      </c>
      <c r="CO169" s="14">
        <v>3</v>
      </c>
      <c r="CP169" s="14">
        <v>3</v>
      </c>
      <c r="CQ169" s="14">
        <f>IFERROR(AVERAGE(Tabel1[[#This Row],[In - F1a]:[In - F1c]]),"")</f>
        <v>3</v>
      </c>
      <c r="CR169" s="14">
        <v>3</v>
      </c>
      <c r="CS169" s="14">
        <v>4</v>
      </c>
      <c r="CT169" s="14">
        <f>IFERROR(AVERAGE(Tabel1[[#This Row],[In - F2a]:[In - F2b]]),"")</f>
        <v>3.5</v>
      </c>
      <c r="CU169" s="14">
        <v>4</v>
      </c>
      <c r="CV169" s="14">
        <f>IFERROR(AVERAGE(Tabel1[[#This Row],[In - F3a]:[In - F3a]]),"")</f>
        <v>4</v>
      </c>
      <c r="CW169" s="14">
        <v>1</v>
      </c>
      <c r="CX169" s="14">
        <f>IFERROR(AVERAGE(Tabel1[[#This Row],[In - F1]],Tabel1[[#This Row],[In - F2]],Tabel1[[#This Row],[In - F3]],Tabel1[[#This Row],[In - F4]]),"")</f>
        <v>2.875</v>
      </c>
      <c r="CY169" s="14">
        <v>3</v>
      </c>
      <c r="CZ169" s="14">
        <v>2</v>
      </c>
      <c r="DA169" s="14">
        <v>1</v>
      </c>
      <c r="DB169" s="14">
        <f>IFERROR(AVERAGE(Tabel1[[#This Row],[In - V1a]:[In - V1c]]),"")</f>
        <v>2</v>
      </c>
      <c r="DC169" s="14">
        <v>4</v>
      </c>
      <c r="DD169" s="14">
        <v>2</v>
      </c>
      <c r="DE169" s="14">
        <v>4</v>
      </c>
      <c r="DF169" s="14">
        <f>IFERROR(AVERAGE(Tabel1[[#This Row],[In - V2a]:[In - V2c]]),"")</f>
        <v>3.3333333333333335</v>
      </c>
      <c r="DG169" s="14">
        <v>3</v>
      </c>
      <c r="DH169" s="14">
        <v>3</v>
      </c>
      <c r="DI169" s="14">
        <f>IFERROR(AVERAGE(Tabel1[[#This Row],[In - V3a]:[In - V3b]]),"")</f>
        <v>3</v>
      </c>
      <c r="DJ169" s="14">
        <v>2</v>
      </c>
      <c r="DK169" s="14">
        <f>IFERROR(AVERAGE(Tabel1[[#This Row],[In - V1]],Tabel1[[#This Row],[In - V2]],Tabel1[[#This Row],[In - V3]],Tabel1[[#This Row],[In - V4]]),"")</f>
        <v>2.5833333333333335</v>
      </c>
      <c r="DL169" s="14">
        <v>3</v>
      </c>
      <c r="DM169" s="14">
        <v>4</v>
      </c>
      <c r="DN169" s="14">
        <f>IFERROR(AVERAGE(Tabel1[[#This Row],[In - A1a]:[In - A1b]]),"")</f>
        <v>3.5</v>
      </c>
      <c r="DO169" s="14">
        <v>2</v>
      </c>
      <c r="DP169" s="14">
        <v>4</v>
      </c>
      <c r="DQ169" s="14">
        <f>IFERROR(AVERAGE(Tabel1[[#This Row],[In - A2a]:[In - A2b]]),"")</f>
        <v>3</v>
      </c>
      <c r="DR169" s="14">
        <v>5</v>
      </c>
      <c r="DS169" s="14">
        <v>3</v>
      </c>
      <c r="DT169" s="14">
        <f>IFERROR(AVERAGE(Tabel1[[#This Row],[In - A3a]:[In - A3a]]),"")</f>
        <v>5</v>
      </c>
      <c r="DU169" s="14">
        <v>1</v>
      </c>
      <c r="DV169" s="14">
        <f>IFERROR(AVERAGE(Tabel1[[#This Row],[In - A1]],Tabel1[[#This Row],[In - A2]],Tabel1[[#This Row],[In - A3]],Tabel1[[#This Row],[In - A4]]),"")</f>
        <v>3.125</v>
      </c>
      <c r="DW169" s="14">
        <v>3</v>
      </c>
      <c r="DX169" s="14">
        <v>5</v>
      </c>
      <c r="DY169" s="14">
        <v>4</v>
      </c>
      <c r="DZ169" s="14">
        <f>IFERROR(AVERAGE(Tabel1[[#This Row],[Do - R1a]:[Do - R1c]]),"")</f>
        <v>4</v>
      </c>
      <c r="EA169" s="14">
        <v>2</v>
      </c>
      <c r="EB169" s="14">
        <v>2</v>
      </c>
      <c r="EC169" s="14">
        <v>1</v>
      </c>
      <c r="ED169" s="14">
        <v>4</v>
      </c>
      <c r="EE169" s="14">
        <f>IFERROR(AVERAGE(Tabel1[[#This Row],[Do - R1]:[Do - R5]]),"")</f>
        <v>2.6</v>
      </c>
      <c r="EF169" s="14">
        <v>4</v>
      </c>
      <c r="EG169" s="14">
        <v>1</v>
      </c>
      <c r="EH169" s="14">
        <v>2</v>
      </c>
      <c r="EI169" s="14">
        <f>IFERROR(AVERAGE(Tabel1[[#This Row],[Do - C1a]:[Do - C1c]]),"")</f>
        <v>2.3333333333333335</v>
      </c>
      <c r="EJ169" s="14">
        <v>2</v>
      </c>
      <c r="EK169" s="14">
        <v>1</v>
      </c>
      <c r="EL169" s="14">
        <v>1</v>
      </c>
      <c r="EM169" s="14">
        <f>IFERROR(AVERAGE(Tabel1[[#This Row],[Do - C1]:[Do - C4]]),"")</f>
        <v>1.5833333333333335</v>
      </c>
      <c r="EN169" s="14">
        <v>3</v>
      </c>
      <c r="EO169" s="14">
        <v>1</v>
      </c>
      <c r="EP169" s="14">
        <v>4</v>
      </c>
      <c r="EQ169" s="14">
        <f>IFERROR(AVERAGE(Tabel1[[#This Row],[Do - F1a]:[Do - F1c]]),"")</f>
        <v>2.6666666666666665</v>
      </c>
      <c r="ER169" s="14">
        <v>4</v>
      </c>
      <c r="ES169" s="14">
        <f>IFERROR(AVERAGE(Tabel1[[#This Row],[Do - F2a]:[Do - F2a]]),"")</f>
        <v>4</v>
      </c>
      <c r="ET169" s="14">
        <v>4</v>
      </c>
      <c r="EU169" s="14">
        <v>1</v>
      </c>
      <c r="EV169" s="14">
        <f>IFERROR(AVERAGE(Tabel1[[#This Row],[Do - F3a]:[Do - F3b]]),"")</f>
        <v>2.5</v>
      </c>
      <c r="EW169" s="14">
        <v>1</v>
      </c>
      <c r="EX169" s="14">
        <f>IFERROR(AVERAGE(Tabel1[[#This Row],[Do - F1]],Tabel1[[#This Row],[Do - F2]],Tabel1[[#This Row],[Do - F3]],Tabel1[[#This Row],[Do - F4]]),"")</f>
        <v>2.5416666666666665</v>
      </c>
      <c r="EY169" s="14">
        <v>3</v>
      </c>
      <c r="EZ169" s="14">
        <v>1</v>
      </c>
      <c r="FA169" s="14">
        <v>5</v>
      </c>
      <c r="FB169" s="14">
        <f>IFERROR(AVERAGE(Tabel1[[#This Row],[Do - V1a]:[Do - V1c]]),"")</f>
        <v>3</v>
      </c>
      <c r="FC169" s="14">
        <v>2</v>
      </c>
      <c r="FD169" s="14">
        <v>3</v>
      </c>
      <c r="FE169" s="14">
        <f>IFERROR(AVERAGE(Tabel1[[#This Row],[Do - V2a]:[Do - V2b]]),"")</f>
        <v>2.5</v>
      </c>
      <c r="FF169" s="14">
        <v>2</v>
      </c>
      <c r="FG169" s="14">
        <f>IFERROR(AVERAGE(Tabel1[[#This Row],[Do - V3a]:[Do - V3a]]),"")</f>
        <v>2</v>
      </c>
      <c r="FH169" s="14">
        <v>1</v>
      </c>
      <c r="FI169" s="14">
        <f>IFERROR(AVERAGE(Tabel1[[#This Row],[Do - V1]],Tabel1[[#This Row],[Do - V2]],Tabel1[[#This Row],[Do - V3]],Tabel1[[#This Row],[Do - V4]]),"")</f>
        <v>2.125</v>
      </c>
      <c r="FJ169" s="14">
        <v>3</v>
      </c>
      <c r="FK169" s="14">
        <v>2</v>
      </c>
      <c r="FL169" s="14">
        <v>5</v>
      </c>
      <c r="FM169" s="14">
        <f>IFERROR(AVERAGE(Tabel1[[#This Row],[Do - A1a]:[Do - A1c]]),"")</f>
        <v>3.3333333333333335</v>
      </c>
      <c r="FN169" s="14">
        <v>2</v>
      </c>
      <c r="FO169" s="14">
        <v>2</v>
      </c>
      <c r="FP169" s="14">
        <f>IFERROR(AVERAGE(Tabel1[[#This Row],[Do - A2a]:[Do - A2b]]),"")</f>
        <v>2</v>
      </c>
      <c r="FQ169" s="14">
        <v>2</v>
      </c>
      <c r="FR169" s="14">
        <f>IFERROR(AVERAGE(Tabel1[[#This Row],[Do - A3a]:[Do - A3a]]),"")</f>
        <v>2</v>
      </c>
      <c r="FS169" s="14">
        <v>1</v>
      </c>
      <c r="FT169" s="14">
        <f>IFERROR(AVERAGE(Tabel1[[#This Row],[Do - A1]],Tabel1[[#This Row],[Do - A2]],Tabel1[[#This Row],[Do - A3]],Tabel1[[#This Row],[Do - A4]]),"")</f>
        <v>2.0833333333333335</v>
      </c>
      <c r="FU16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2.5444444444444443</v>
      </c>
      <c r="FV169" s="16" t="s">
        <v>986</v>
      </c>
      <c r="FW169" t="b">
        <v>1</v>
      </c>
    </row>
    <row r="170" spans="1:179" x14ac:dyDescent="0.3">
      <c r="A170" s="13">
        <v>45112.437662037039</v>
      </c>
      <c r="B170" t="b">
        <v>0</v>
      </c>
      <c r="C170" s="14" t="s">
        <v>987</v>
      </c>
      <c r="D170" s="14" t="s">
        <v>988</v>
      </c>
      <c r="E170" s="14" t="s">
        <v>989</v>
      </c>
      <c r="F170" s="14" t="s">
        <v>184</v>
      </c>
      <c r="G170" s="14" t="s">
        <v>990</v>
      </c>
      <c r="H170" s="14" t="s">
        <v>222</v>
      </c>
      <c r="I170" s="14" t="s">
        <v>195</v>
      </c>
      <c r="J170" s="14" t="s">
        <v>991</v>
      </c>
      <c r="K170" s="14" t="s">
        <v>187</v>
      </c>
      <c r="L170" s="14" t="s">
        <v>249</v>
      </c>
      <c r="M170" s="14" t="s">
        <v>188</v>
      </c>
      <c r="N170" s="14"/>
      <c r="O170" s="14" t="s">
        <v>200</v>
      </c>
      <c r="P170" s="17" t="s">
        <v>304</v>
      </c>
      <c r="Q170" s="14" t="s">
        <v>201</v>
      </c>
      <c r="R170" s="14" t="s">
        <v>235</v>
      </c>
      <c r="S170" s="14" t="s">
        <v>187</v>
      </c>
      <c r="T170" s="14" t="s">
        <v>236</v>
      </c>
      <c r="U170" s="14" t="s">
        <v>237</v>
      </c>
      <c r="V170" s="14" t="s">
        <v>484</v>
      </c>
      <c r="W170" s="14" t="s">
        <v>207</v>
      </c>
      <c r="X170" s="14" t="s">
        <v>207</v>
      </c>
      <c r="Y170" s="14">
        <v>4</v>
      </c>
      <c r="Z170" s="14">
        <v>3</v>
      </c>
      <c r="AA170" s="14">
        <v>3</v>
      </c>
      <c r="AB170" s="15">
        <f>IFERROR(AVERAGE(Tabel1[[#This Row],[Up - R1a]:[Up - R1c]]),"")</f>
        <v>3.3333333333333335</v>
      </c>
      <c r="AC170" s="14">
        <v>2</v>
      </c>
      <c r="AD170" s="14">
        <v>3</v>
      </c>
      <c r="AE170" s="14">
        <v>2</v>
      </c>
      <c r="AF170" s="14">
        <v>4</v>
      </c>
      <c r="AG170" s="14">
        <f>IFERROR(AVERAGE(Tabel1[[#This Row],[Up - R1]:[Up - R5]]),"")</f>
        <v>2.8666666666666667</v>
      </c>
      <c r="AH170" s="14">
        <v>4</v>
      </c>
      <c r="AI170" s="14">
        <v>3</v>
      </c>
      <c r="AJ170" s="14">
        <v>2</v>
      </c>
      <c r="AK170" s="14">
        <f>IFERROR(AVERAGE(Tabel1[[#This Row],[Up - C1a]:[Up - C1c]]),"")</f>
        <v>3</v>
      </c>
      <c r="AL170" s="14">
        <v>2</v>
      </c>
      <c r="AM170" s="14">
        <v>3</v>
      </c>
      <c r="AN170" s="14">
        <v>3</v>
      </c>
      <c r="AO170" s="14">
        <f>IFERROR(AVERAGE(Tabel1[[#This Row],[Up - C1]:[Up - C4]]),"")</f>
        <v>2.75</v>
      </c>
      <c r="AP170" s="14">
        <v>2</v>
      </c>
      <c r="AQ170" s="14">
        <f>IFERROR(AVERAGE(Tabel1[[#This Row],[Up - F1a]:[Up - F1a]]),"")</f>
        <v>2</v>
      </c>
      <c r="AR170" s="14">
        <v>1</v>
      </c>
      <c r="AS170" s="14">
        <v>1</v>
      </c>
      <c r="AT170" s="14">
        <f>IFERROR(AVERAGE(Tabel1[[#This Row],[Up - F2a]:[Up - F2b]]),"")</f>
        <v>1</v>
      </c>
      <c r="AU170" s="14">
        <v>3</v>
      </c>
      <c r="AV170" s="14">
        <v>3</v>
      </c>
      <c r="AW170" s="14">
        <f>IFERROR(AVERAGE(Tabel1[[#This Row],[Up - F3a]:[Up - F3b]]),"")</f>
        <v>3</v>
      </c>
      <c r="AX170" s="14">
        <v>2</v>
      </c>
      <c r="AY170" s="14">
        <f>IFERROR(AVERAGE(Tabel1[[#This Row],[Up - F1]],Tabel1[[#This Row],[Up - F2]],Tabel1[[#This Row],[Up - F3]],Tabel1[[#This Row],[Up - F4]]),"")</f>
        <v>2</v>
      </c>
      <c r="AZ170" s="14">
        <v>2</v>
      </c>
      <c r="BA170" s="14">
        <v>4</v>
      </c>
      <c r="BB170" s="14">
        <f>IFERROR(AVERAGE(Tabel1[[#This Row],[Up - V1a]:[Up - V1b]]),"")</f>
        <v>3</v>
      </c>
      <c r="BC170" s="14">
        <v>3</v>
      </c>
      <c r="BD170" s="14">
        <v>2</v>
      </c>
      <c r="BE170" s="14">
        <v>4</v>
      </c>
      <c r="BF170" s="14">
        <f>IFERROR(AVERAGE(Tabel1[[#This Row],[Up - V2a]:[Up - V2c]]),"")</f>
        <v>3</v>
      </c>
      <c r="BG170" s="14">
        <v>3</v>
      </c>
      <c r="BH170" s="14">
        <v>2</v>
      </c>
      <c r="BI170" s="14">
        <f>IFERROR(AVERAGE(Tabel1[[#This Row],[Up - V3a]:[Up - V3b]]),"")</f>
        <v>2.5</v>
      </c>
      <c r="BJ170" s="14">
        <v>4</v>
      </c>
      <c r="BK170" s="14">
        <f>IFERROR(AVERAGE(Tabel1[[#This Row],[Up - V1]],Tabel1[[#This Row],[Up - V2]],Tabel1[[#This Row],[Up - V3]],Tabel1[[#This Row],[Up - V4]]),"")</f>
        <v>3.125</v>
      </c>
      <c r="BL170" s="14">
        <v>3</v>
      </c>
      <c r="BM170" s="14">
        <v>2</v>
      </c>
      <c r="BN170" s="14">
        <v>3</v>
      </c>
      <c r="BO170" s="14">
        <v>3</v>
      </c>
      <c r="BP170" s="14">
        <f>IFERROR(AVERAGE(Tabel1[[#This Row],[Up - A1a]:[Up - A1d]]),"")</f>
        <v>2.75</v>
      </c>
      <c r="BQ170" s="14">
        <v>2</v>
      </c>
      <c r="BR170" s="14">
        <v>2</v>
      </c>
      <c r="BS170" s="14">
        <f>IFERROR(AVERAGE(Tabel1[[#This Row],[Up - A2a]:[Up - A2b]]),"")</f>
        <v>2</v>
      </c>
      <c r="BT170" s="14">
        <v>3</v>
      </c>
      <c r="BU170" s="14">
        <f>IFERROR(AVERAGE(Tabel1[[#This Row],[Up - A3a]:[Up - A3a]]),"")</f>
        <v>3</v>
      </c>
      <c r="BV170" s="14">
        <v>2</v>
      </c>
      <c r="BW170" s="14">
        <f>IFERROR(AVERAGE(Tabel1[[#This Row],[Up - A1]],Tabel1[[#This Row],[Up - A2]],Tabel1[[#This Row],[Up - A3]]),"")</f>
        <v>2.5833333333333335</v>
      </c>
      <c r="BX170" s="14">
        <v>4</v>
      </c>
      <c r="BY170" s="14">
        <v>5</v>
      </c>
      <c r="BZ170" s="14">
        <f>IFERROR(AVERAGE(Tabel1[[#This Row],[In - R1a]:[In - R1b]]),"")</f>
        <v>4.5</v>
      </c>
      <c r="CA170" s="14">
        <v>4</v>
      </c>
      <c r="CB170" s="14">
        <v>3</v>
      </c>
      <c r="CC170" s="14">
        <v>2</v>
      </c>
      <c r="CD170" s="14">
        <v>4</v>
      </c>
      <c r="CE170" s="14">
        <f>IFERROR(AVERAGE(Tabel1[[#This Row],[In - R1]:[In - R5]]),"")</f>
        <v>3.5</v>
      </c>
      <c r="CF170" s="14">
        <v>4</v>
      </c>
      <c r="CG170" s="14">
        <v>4</v>
      </c>
      <c r="CH170" s="14">
        <v>2</v>
      </c>
      <c r="CI170" s="14">
        <f>IFERROR(AVERAGE(Tabel1[[#This Row],[In - C1a]:[In - C1c]]),"")</f>
        <v>3.3333333333333335</v>
      </c>
      <c r="CJ170" s="14">
        <v>4</v>
      </c>
      <c r="CK170" s="14">
        <v>3</v>
      </c>
      <c r="CL170" s="14">
        <v>5</v>
      </c>
      <c r="CM170" s="14">
        <f>IFERROR(AVERAGE(Tabel1[[#This Row],[In - C1]:[In - C4]]),"")</f>
        <v>3.8333333333333335</v>
      </c>
      <c r="CN170" s="14">
        <v>3</v>
      </c>
      <c r="CO170" s="14">
        <v>3</v>
      </c>
      <c r="CP170" s="14">
        <v>3</v>
      </c>
      <c r="CQ170" s="14">
        <f>IFERROR(AVERAGE(Tabel1[[#This Row],[In - F1a]:[In - F1c]]),"")</f>
        <v>3</v>
      </c>
      <c r="CR170" s="14">
        <v>3</v>
      </c>
      <c r="CS170" s="14">
        <v>2</v>
      </c>
      <c r="CT170" s="14">
        <f>IFERROR(AVERAGE(Tabel1[[#This Row],[In - F2a]:[In - F2b]]),"")</f>
        <v>2.5</v>
      </c>
      <c r="CU170" s="14">
        <v>1</v>
      </c>
      <c r="CV170" s="14">
        <f>IFERROR(AVERAGE(Tabel1[[#This Row],[In - F3a]:[In - F3a]]),"")</f>
        <v>1</v>
      </c>
      <c r="CW170" s="14">
        <v>4</v>
      </c>
      <c r="CX170" s="14">
        <f>IFERROR(AVERAGE(Tabel1[[#This Row],[In - F1]],Tabel1[[#This Row],[In - F2]],Tabel1[[#This Row],[In - F3]],Tabel1[[#This Row],[In - F4]]),"")</f>
        <v>2.625</v>
      </c>
      <c r="CY170" s="14">
        <v>2</v>
      </c>
      <c r="CZ170" s="14">
        <v>3</v>
      </c>
      <c r="DA170" s="14">
        <v>2</v>
      </c>
      <c r="DB170" s="14">
        <f>IFERROR(AVERAGE(Tabel1[[#This Row],[In - V1a]:[In - V1c]]),"")</f>
        <v>2.3333333333333335</v>
      </c>
      <c r="DC170" s="14">
        <v>4</v>
      </c>
      <c r="DD170" s="14">
        <v>3</v>
      </c>
      <c r="DE170" s="14">
        <v>3</v>
      </c>
      <c r="DF170" s="14">
        <f>IFERROR(AVERAGE(Tabel1[[#This Row],[In - V2a]:[In - V2c]]),"")</f>
        <v>3.3333333333333335</v>
      </c>
      <c r="DG170" s="14">
        <v>2</v>
      </c>
      <c r="DH170" s="14">
        <v>4</v>
      </c>
      <c r="DI170" s="14">
        <f>IFERROR(AVERAGE(Tabel1[[#This Row],[In - V3a]:[In - V3b]]),"")</f>
        <v>3</v>
      </c>
      <c r="DJ170" s="14">
        <v>3</v>
      </c>
      <c r="DK170" s="14">
        <f>IFERROR(AVERAGE(Tabel1[[#This Row],[In - V1]],Tabel1[[#This Row],[In - V2]],Tabel1[[#This Row],[In - V3]],Tabel1[[#This Row],[In - V4]]),"")</f>
        <v>2.916666666666667</v>
      </c>
      <c r="DL170" s="14">
        <v>2</v>
      </c>
      <c r="DM170" s="14">
        <v>2</v>
      </c>
      <c r="DN170" s="14">
        <f>IFERROR(AVERAGE(Tabel1[[#This Row],[In - A1a]:[In - A1b]]),"")</f>
        <v>2</v>
      </c>
      <c r="DO170" s="14">
        <v>4</v>
      </c>
      <c r="DP170" s="14">
        <v>2</v>
      </c>
      <c r="DQ170" s="14">
        <f>IFERROR(AVERAGE(Tabel1[[#This Row],[In - A2a]:[In - A2b]]),"")</f>
        <v>3</v>
      </c>
      <c r="DR170" s="14">
        <v>3</v>
      </c>
      <c r="DS170" s="14" t="s">
        <v>189</v>
      </c>
      <c r="DT170" s="14">
        <f>IFERROR(AVERAGE(Tabel1[[#This Row],[In - A3a]:[In - A3a]]),"")</f>
        <v>3</v>
      </c>
      <c r="DU170" s="14">
        <v>2</v>
      </c>
      <c r="DV170" s="14">
        <f>IFERROR(AVERAGE(Tabel1[[#This Row],[In - A1]],Tabel1[[#This Row],[In - A2]],Tabel1[[#This Row],[In - A3]],Tabel1[[#This Row],[In - A4]]),"")</f>
        <v>2.5</v>
      </c>
      <c r="DW170" s="14">
        <v>2</v>
      </c>
      <c r="DX170" s="14">
        <v>4</v>
      </c>
      <c r="DY170" s="14">
        <v>1</v>
      </c>
      <c r="DZ170" s="14">
        <f>IFERROR(AVERAGE(Tabel1[[#This Row],[Do - R1a]:[Do - R1c]]),"")</f>
        <v>2.3333333333333335</v>
      </c>
      <c r="EA170" s="14">
        <v>2</v>
      </c>
      <c r="EB170" s="14">
        <v>2</v>
      </c>
      <c r="EC170" s="14">
        <v>2</v>
      </c>
      <c r="ED170" s="14">
        <v>2</v>
      </c>
      <c r="EE170" s="14">
        <f>IFERROR(AVERAGE(Tabel1[[#This Row],[Do - R1]:[Do - R5]]),"")</f>
        <v>2.0666666666666669</v>
      </c>
      <c r="EF170" s="14">
        <v>4</v>
      </c>
      <c r="EG170" s="14">
        <v>3</v>
      </c>
      <c r="EH170" s="14">
        <v>3</v>
      </c>
      <c r="EI170" s="14">
        <f>IFERROR(AVERAGE(Tabel1[[#This Row],[Do - C1a]:[Do - C1c]]),"")</f>
        <v>3.3333333333333335</v>
      </c>
      <c r="EJ170" s="14">
        <v>2</v>
      </c>
      <c r="EK170" s="14">
        <v>2</v>
      </c>
      <c r="EL170" s="14">
        <v>2</v>
      </c>
      <c r="EM170" s="14">
        <f>IFERROR(AVERAGE(Tabel1[[#This Row],[Do - C1]:[Do - C4]]),"")</f>
        <v>2.3333333333333335</v>
      </c>
      <c r="EN170" s="14">
        <v>3</v>
      </c>
      <c r="EO170" s="14">
        <v>2</v>
      </c>
      <c r="EP170" s="14">
        <v>1</v>
      </c>
      <c r="EQ170" s="14">
        <f>IFERROR(AVERAGE(Tabel1[[#This Row],[Do - F1a]:[Do - F1c]]),"")</f>
        <v>2</v>
      </c>
      <c r="ER170" s="14">
        <v>3</v>
      </c>
      <c r="ES170" s="14">
        <f>IFERROR(AVERAGE(Tabel1[[#This Row],[Do - F2a]:[Do - F2a]]),"")</f>
        <v>3</v>
      </c>
      <c r="ET170" s="14">
        <v>3</v>
      </c>
      <c r="EU170" s="14">
        <v>3</v>
      </c>
      <c r="EV170" s="14">
        <f>IFERROR(AVERAGE(Tabel1[[#This Row],[Do - F3a]:[Do - F3b]]),"")</f>
        <v>3</v>
      </c>
      <c r="EW170" s="14">
        <v>3</v>
      </c>
      <c r="EX170" s="14">
        <f>IFERROR(AVERAGE(Tabel1[[#This Row],[Do - F1]],Tabel1[[#This Row],[Do - F2]],Tabel1[[#This Row],[Do - F3]],Tabel1[[#This Row],[Do - F4]]),"")</f>
        <v>2.75</v>
      </c>
      <c r="EY170" s="14">
        <v>2</v>
      </c>
      <c r="EZ170" s="14">
        <v>2</v>
      </c>
      <c r="FA170" s="14">
        <v>2</v>
      </c>
      <c r="FB170" s="14">
        <f>IFERROR(AVERAGE(Tabel1[[#This Row],[Do - V1a]:[Do - V1c]]),"")</f>
        <v>2</v>
      </c>
      <c r="FC170" s="14">
        <v>3</v>
      </c>
      <c r="FD170" s="14">
        <v>2</v>
      </c>
      <c r="FE170" s="14">
        <f>IFERROR(AVERAGE(Tabel1[[#This Row],[Do - V2a]:[Do - V2b]]),"")</f>
        <v>2.5</v>
      </c>
      <c r="FF170" s="14">
        <v>3</v>
      </c>
      <c r="FG170" s="14">
        <f>IFERROR(AVERAGE(Tabel1[[#This Row],[Do - V3a]:[Do - V3a]]),"")</f>
        <v>3</v>
      </c>
      <c r="FH170" s="14">
        <v>3</v>
      </c>
      <c r="FI170" s="14">
        <f>IFERROR(AVERAGE(Tabel1[[#This Row],[Do - V1]],Tabel1[[#This Row],[Do - V2]],Tabel1[[#This Row],[Do - V3]],Tabel1[[#This Row],[Do - V4]]),"")</f>
        <v>2.625</v>
      </c>
      <c r="FJ170" s="14">
        <v>2</v>
      </c>
      <c r="FK170" s="14">
        <v>2</v>
      </c>
      <c r="FL170" s="14">
        <v>2</v>
      </c>
      <c r="FM170" s="14">
        <f>IFERROR(AVERAGE(Tabel1[[#This Row],[Do - A1a]:[Do - A1c]]),"")</f>
        <v>2</v>
      </c>
      <c r="FN170" s="14">
        <v>3</v>
      </c>
      <c r="FO170" s="14">
        <v>3</v>
      </c>
      <c r="FP170" s="14">
        <f>IFERROR(AVERAGE(Tabel1[[#This Row],[Do - A2a]:[Do - A2b]]),"")</f>
        <v>3</v>
      </c>
      <c r="FQ170" s="14">
        <v>3</v>
      </c>
      <c r="FR170" s="14">
        <f>IFERROR(AVERAGE(Tabel1[[#This Row],[Do - A3a]:[Do - A3a]]),"")</f>
        <v>3</v>
      </c>
      <c r="FS170" s="14">
        <v>3</v>
      </c>
      <c r="FT170" s="14">
        <f>IFERROR(AVERAGE(Tabel1[[#This Row],[Do - A1]],Tabel1[[#This Row],[Do - A2]],Tabel1[[#This Row],[Do - A3]],Tabel1[[#This Row],[Do - A4]]),"")</f>
        <v>2.75</v>
      </c>
      <c r="FU17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2.7483333333333335</v>
      </c>
      <c r="FV170" s="16" t="s">
        <v>992</v>
      </c>
      <c r="FW170" t="b">
        <v>1</v>
      </c>
    </row>
    <row r="171" spans="1:179" x14ac:dyDescent="0.3">
      <c r="A171" s="13">
        <v>45132.423668981479</v>
      </c>
      <c r="B171" t="b">
        <v>0</v>
      </c>
      <c r="C171" s="14" t="s">
        <v>993</v>
      </c>
      <c r="D171" s="14" t="s">
        <v>994</v>
      </c>
      <c r="E171" s="14" t="s">
        <v>995</v>
      </c>
      <c r="F171" s="14" t="s">
        <v>893</v>
      </c>
      <c r="G171" s="14" t="s">
        <v>996</v>
      </c>
      <c r="H171" s="14" t="s">
        <v>194</v>
      </c>
      <c r="I171" s="14" t="s">
        <v>195</v>
      </c>
      <c r="J171" s="14" t="s">
        <v>273</v>
      </c>
      <c r="K171" s="14" t="s">
        <v>187</v>
      </c>
      <c r="L171" s="14" t="s">
        <v>218</v>
      </c>
      <c r="M171" s="14" t="s">
        <v>188</v>
      </c>
      <c r="N171" s="14" t="s">
        <v>262</v>
      </c>
      <c r="O171" s="14" t="s">
        <v>200</v>
      </c>
      <c r="P171" s="17" t="s">
        <v>304</v>
      </c>
      <c r="Q171" s="17" t="s">
        <v>304</v>
      </c>
      <c r="R171" s="14" t="s">
        <v>201</v>
      </c>
      <c r="S171" s="14" t="s">
        <v>187</v>
      </c>
      <c r="T171" s="14" t="s">
        <v>204</v>
      </c>
      <c r="U171" s="14" t="s">
        <v>237</v>
      </c>
      <c r="V171" s="14" t="s">
        <v>610</v>
      </c>
      <c r="W171" s="14" t="s">
        <v>207</v>
      </c>
      <c r="X171" s="14" t="s">
        <v>207</v>
      </c>
      <c r="Y171" s="14">
        <v>2</v>
      </c>
      <c r="Z171" s="14">
        <v>4</v>
      </c>
      <c r="AA171" s="14" t="s">
        <v>189</v>
      </c>
      <c r="AB171" s="15">
        <f>IFERROR(AVERAGE(Tabel1[[#This Row],[Up - R1a]:[Up - R1c]]),"")</f>
        <v>3</v>
      </c>
      <c r="AC171" s="14">
        <v>5</v>
      </c>
      <c r="AD171" s="14">
        <v>5</v>
      </c>
      <c r="AE171" s="14" t="s">
        <v>189</v>
      </c>
      <c r="AF171" s="14" t="s">
        <v>189</v>
      </c>
      <c r="AG171" s="14">
        <f>IFERROR(AVERAGE(Tabel1[[#This Row],[Up - R1]:[Up - R5]]),"")</f>
        <v>4.333333333333333</v>
      </c>
      <c r="AH171" s="14">
        <v>3</v>
      </c>
      <c r="AI171" s="14">
        <v>3</v>
      </c>
      <c r="AJ171" s="14">
        <v>4</v>
      </c>
      <c r="AK171" s="14">
        <f>IFERROR(AVERAGE(Tabel1[[#This Row],[Up - C1a]:[Up - C1c]]),"")</f>
        <v>3.3333333333333335</v>
      </c>
      <c r="AL171" s="14">
        <v>4</v>
      </c>
      <c r="AM171" s="14">
        <v>3</v>
      </c>
      <c r="AN171" s="14" t="s">
        <v>189</v>
      </c>
      <c r="AO171" s="14">
        <f>IFERROR(AVERAGE(Tabel1[[#This Row],[Up - C1]:[Up - C4]]),"")</f>
        <v>3.4444444444444446</v>
      </c>
      <c r="AP171" s="14">
        <v>4</v>
      </c>
      <c r="AQ171" s="14">
        <f>IFERROR(AVERAGE(Tabel1[[#This Row],[Up - F1a]:[Up - F1a]]),"")</f>
        <v>4</v>
      </c>
      <c r="AR171" s="14">
        <v>3</v>
      </c>
      <c r="AS171" s="14" t="s">
        <v>189</v>
      </c>
      <c r="AT171" s="14">
        <f>IFERROR(AVERAGE(Tabel1[[#This Row],[Up - F2a]:[Up - F2b]]),"")</f>
        <v>3</v>
      </c>
      <c r="AU171" s="14">
        <v>4</v>
      </c>
      <c r="AV171" s="14" t="s">
        <v>189</v>
      </c>
      <c r="AW171" s="14">
        <f>IFERROR(AVERAGE(Tabel1[[#This Row],[Up - F3a]:[Up - F3b]]),"")</f>
        <v>4</v>
      </c>
      <c r="AX171" s="14" t="s">
        <v>189</v>
      </c>
      <c r="AY171" s="14">
        <f>IFERROR(AVERAGE(Tabel1[[#This Row],[Up - F1]],Tabel1[[#This Row],[Up - F2]],Tabel1[[#This Row],[Up - F3]],Tabel1[[#This Row],[Up - F4]]),"")</f>
        <v>3.6666666666666665</v>
      </c>
      <c r="AZ171" s="14">
        <v>4</v>
      </c>
      <c r="BA171" s="14">
        <v>4</v>
      </c>
      <c r="BB171" s="14">
        <f>IFERROR(AVERAGE(Tabel1[[#This Row],[Up - V1a]:[Up - V1b]]),"")</f>
        <v>4</v>
      </c>
      <c r="BC171" s="14" t="s">
        <v>189</v>
      </c>
      <c r="BD171" s="14" t="s">
        <v>189</v>
      </c>
      <c r="BE171" s="14" t="s">
        <v>189</v>
      </c>
      <c r="BF171" s="14" t="str">
        <f>IFERROR(AVERAGE(Tabel1[[#This Row],[Up - V2a]:[Up - V2c]]),"")</f>
        <v/>
      </c>
      <c r="BG171" s="14">
        <v>4</v>
      </c>
      <c r="BH171" s="14" t="s">
        <v>189</v>
      </c>
      <c r="BI171" s="14">
        <f>IFERROR(AVERAGE(Tabel1[[#This Row],[Up - V3a]:[Up - V3b]]),"")</f>
        <v>4</v>
      </c>
      <c r="BJ171" s="14">
        <v>3</v>
      </c>
      <c r="BK171" s="14">
        <f>IFERROR(AVERAGE(Tabel1[[#This Row],[Up - V1]],Tabel1[[#This Row],[Up - V2]],Tabel1[[#This Row],[Up - V3]],Tabel1[[#This Row],[Up - V4]]),"")</f>
        <v>3.6666666666666665</v>
      </c>
      <c r="BL171" s="14">
        <v>3</v>
      </c>
      <c r="BM171" s="14" t="s">
        <v>189</v>
      </c>
      <c r="BN171" s="14">
        <v>3</v>
      </c>
      <c r="BO171" s="14">
        <v>3</v>
      </c>
      <c r="BP171" s="14">
        <f>IFERROR(AVERAGE(Tabel1[[#This Row],[Up - A1a]:[Up - A1d]]),"")</f>
        <v>3</v>
      </c>
      <c r="BQ171" s="14">
        <v>4</v>
      </c>
      <c r="BR171" s="14">
        <v>5</v>
      </c>
      <c r="BS171" s="14">
        <f>IFERROR(AVERAGE(Tabel1[[#This Row],[Up - A2a]:[Up - A2b]]),"")</f>
        <v>4.5</v>
      </c>
      <c r="BT171" s="14">
        <v>4</v>
      </c>
      <c r="BU171" s="14">
        <f>IFERROR(AVERAGE(Tabel1[[#This Row],[Up - A3a]:[Up - A3a]]),"")</f>
        <v>4</v>
      </c>
      <c r="BV171" s="14" t="s">
        <v>189</v>
      </c>
      <c r="BW171" s="14">
        <f>IFERROR(AVERAGE(Tabel1[[#This Row],[Up - A1]],Tabel1[[#This Row],[Up - A2]],Tabel1[[#This Row],[Up - A3]]),"")</f>
        <v>3.8333333333333335</v>
      </c>
      <c r="BX171" s="14">
        <v>4</v>
      </c>
      <c r="BY171" s="14">
        <v>2</v>
      </c>
      <c r="BZ171" s="14">
        <f>IFERROR(AVERAGE(Tabel1[[#This Row],[In - R1a]:[In - R1b]]),"")</f>
        <v>3</v>
      </c>
      <c r="CA171" s="14">
        <v>5</v>
      </c>
      <c r="CB171" s="14">
        <v>5</v>
      </c>
      <c r="CC171" s="14">
        <v>3</v>
      </c>
      <c r="CD171" s="14">
        <v>2</v>
      </c>
      <c r="CE171" s="14">
        <f>IFERROR(AVERAGE(Tabel1[[#This Row],[In - R1]:[In - R5]]),"")</f>
        <v>3.6</v>
      </c>
      <c r="CF171" s="14">
        <v>4</v>
      </c>
      <c r="CG171" s="14">
        <v>3</v>
      </c>
      <c r="CH171" s="14">
        <v>4</v>
      </c>
      <c r="CI171" s="14">
        <f>IFERROR(AVERAGE(Tabel1[[#This Row],[In - C1a]:[In - C1c]]),"")</f>
        <v>3.6666666666666665</v>
      </c>
      <c r="CJ171" s="14">
        <v>3</v>
      </c>
      <c r="CK171" s="14">
        <v>3</v>
      </c>
      <c r="CL171" s="14">
        <v>4</v>
      </c>
      <c r="CM171" s="14">
        <f>IFERROR(AVERAGE(Tabel1[[#This Row],[In - C1]:[In - C4]]),"")</f>
        <v>3.4166666666666665</v>
      </c>
      <c r="CN171" s="14">
        <v>5</v>
      </c>
      <c r="CO171" s="14">
        <v>3</v>
      </c>
      <c r="CP171" s="14">
        <v>3</v>
      </c>
      <c r="CQ171" s="14">
        <f>IFERROR(AVERAGE(Tabel1[[#This Row],[In - F1a]:[In - F1c]]),"")</f>
        <v>3.6666666666666665</v>
      </c>
      <c r="CR171" s="14">
        <v>5</v>
      </c>
      <c r="CS171" s="14">
        <v>4</v>
      </c>
      <c r="CT171" s="14">
        <f>IFERROR(AVERAGE(Tabel1[[#This Row],[In - F2a]:[In - F2b]]),"")</f>
        <v>4.5</v>
      </c>
      <c r="CU171" s="14">
        <v>3</v>
      </c>
      <c r="CV171" s="14">
        <f>IFERROR(AVERAGE(Tabel1[[#This Row],[In - F3a]:[In - F3a]]),"")</f>
        <v>3</v>
      </c>
      <c r="CW171" s="14">
        <v>3</v>
      </c>
      <c r="CX171" s="14">
        <f>IFERROR(AVERAGE(Tabel1[[#This Row],[In - F1]],Tabel1[[#This Row],[In - F2]],Tabel1[[#This Row],[In - F3]],Tabel1[[#This Row],[In - F4]]),"")</f>
        <v>3.5416666666666665</v>
      </c>
      <c r="CY171" s="14">
        <v>5</v>
      </c>
      <c r="CZ171" s="14">
        <v>3</v>
      </c>
      <c r="DA171" s="14">
        <v>4</v>
      </c>
      <c r="DB171" s="14">
        <f>IFERROR(AVERAGE(Tabel1[[#This Row],[In - V1a]:[In - V1c]]),"")</f>
        <v>4</v>
      </c>
      <c r="DC171" s="14">
        <v>4</v>
      </c>
      <c r="DD171" s="14">
        <v>5</v>
      </c>
      <c r="DE171" s="14">
        <v>4</v>
      </c>
      <c r="DF171" s="14">
        <f>IFERROR(AVERAGE(Tabel1[[#This Row],[In - V2a]:[In - V2c]]),"")</f>
        <v>4.333333333333333</v>
      </c>
      <c r="DG171" s="14">
        <v>3</v>
      </c>
      <c r="DH171" s="14">
        <v>5</v>
      </c>
      <c r="DI171" s="14">
        <f>IFERROR(AVERAGE(Tabel1[[#This Row],[In - V3a]:[In - V3b]]),"")</f>
        <v>4</v>
      </c>
      <c r="DJ171" s="14">
        <v>5</v>
      </c>
      <c r="DK171" s="14">
        <f>IFERROR(AVERAGE(Tabel1[[#This Row],[In - V1]],Tabel1[[#This Row],[In - V2]],Tabel1[[#This Row],[In - V3]],Tabel1[[#This Row],[In - V4]]),"")</f>
        <v>4.333333333333333</v>
      </c>
      <c r="DL171" s="14">
        <v>5</v>
      </c>
      <c r="DM171" s="14">
        <v>5</v>
      </c>
      <c r="DN171" s="14">
        <f>IFERROR(AVERAGE(Tabel1[[#This Row],[In - A1a]:[In - A1b]]),"")</f>
        <v>5</v>
      </c>
      <c r="DO171" s="14">
        <v>5</v>
      </c>
      <c r="DP171" s="14">
        <v>5</v>
      </c>
      <c r="DQ171" s="14">
        <f>IFERROR(AVERAGE(Tabel1[[#This Row],[In - A2a]:[In - A2b]]),"")</f>
        <v>5</v>
      </c>
      <c r="DR171" s="14">
        <v>5</v>
      </c>
      <c r="DS171" s="14">
        <v>4</v>
      </c>
      <c r="DT171" s="14">
        <f>IFERROR(AVERAGE(Tabel1[[#This Row],[In - A3a]:[In - A3a]]),"")</f>
        <v>5</v>
      </c>
      <c r="DU171" s="14">
        <v>5</v>
      </c>
      <c r="DV171" s="14">
        <f>IFERROR(AVERAGE(Tabel1[[#This Row],[In - A1]],Tabel1[[#This Row],[In - A2]],Tabel1[[#This Row],[In - A3]],Tabel1[[#This Row],[In - A4]]),"")</f>
        <v>5</v>
      </c>
      <c r="DW171" s="14">
        <v>2</v>
      </c>
      <c r="DX171" s="14">
        <v>4</v>
      </c>
      <c r="DY171" s="14">
        <v>2</v>
      </c>
      <c r="DZ171" s="14">
        <f>IFERROR(AVERAGE(Tabel1[[#This Row],[Do - R1a]:[Do - R1c]]),"")</f>
        <v>2.6666666666666665</v>
      </c>
      <c r="EA171" s="14">
        <v>3</v>
      </c>
      <c r="EB171" s="14">
        <v>5</v>
      </c>
      <c r="EC171" s="14">
        <v>2</v>
      </c>
      <c r="ED171" s="14" t="s">
        <v>189</v>
      </c>
      <c r="EE171" s="14">
        <f>IFERROR(AVERAGE(Tabel1[[#This Row],[Do - R1]:[Do - R5]]),"")</f>
        <v>3.1666666666666665</v>
      </c>
      <c r="EF171" s="14">
        <v>3</v>
      </c>
      <c r="EG171" s="14">
        <v>3</v>
      </c>
      <c r="EH171" s="14">
        <v>4</v>
      </c>
      <c r="EI171" s="14">
        <f>IFERROR(AVERAGE(Tabel1[[#This Row],[Do - C1a]:[Do - C1c]]),"")</f>
        <v>3.3333333333333335</v>
      </c>
      <c r="EJ171" s="14">
        <v>4</v>
      </c>
      <c r="EK171" s="14">
        <v>3</v>
      </c>
      <c r="EL171" s="14" t="s">
        <v>189</v>
      </c>
      <c r="EM171" s="14">
        <f>IFERROR(AVERAGE(Tabel1[[#This Row],[Do - C1]:[Do - C4]]),"")</f>
        <v>3.4444444444444446</v>
      </c>
      <c r="EN171" s="14">
        <v>5</v>
      </c>
      <c r="EO171" s="14">
        <v>5</v>
      </c>
      <c r="EP171" s="14">
        <v>4</v>
      </c>
      <c r="EQ171" s="14">
        <f>IFERROR(AVERAGE(Tabel1[[#This Row],[Do - F1a]:[Do - F1c]]),"")</f>
        <v>4.666666666666667</v>
      </c>
      <c r="ER171" s="14">
        <v>4</v>
      </c>
      <c r="ES171" s="14">
        <f>IFERROR(AVERAGE(Tabel1[[#This Row],[Do - F2a]:[Do - F2a]]),"")</f>
        <v>4</v>
      </c>
      <c r="ET171" s="14">
        <v>5</v>
      </c>
      <c r="EU171" s="14">
        <v>4</v>
      </c>
      <c r="EV171" s="14">
        <f>IFERROR(AVERAGE(Tabel1[[#This Row],[Do - F3a]:[Do - F3b]]),"")</f>
        <v>4.5</v>
      </c>
      <c r="EW171" s="14" t="s">
        <v>189</v>
      </c>
      <c r="EX171" s="14">
        <f>IFERROR(AVERAGE(Tabel1[[#This Row],[Do - F1]],Tabel1[[#This Row],[Do - F2]],Tabel1[[#This Row],[Do - F3]],Tabel1[[#This Row],[Do - F4]]),"")</f>
        <v>4.3888888888888893</v>
      </c>
      <c r="EY171" s="14">
        <v>2</v>
      </c>
      <c r="EZ171" s="14">
        <v>4</v>
      </c>
      <c r="FA171" s="14">
        <v>4</v>
      </c>
      <c r="FB171" s="14">
        <f>IFERROR(AVERAGE(Tabel1[[#This Row],[Do - V1a]:[Do - V1c]]),"")</f>
        <v>3.3333333333333335</v>
      </c>
      <c r="FC171" s="14" t="s">
        <v>189</v>
      </c>
      <c r="FD171" s="14">
        <v>5</v>
      </c>
      <c r="FE171" s="14">
        <f>IFERROR(AVERAGE(Tabel1[[#This Row],[Do - V2a]:[Do - V2b]]),"")</f>
        <v>5</v>
      </c>
      <c r="FF171" s="14">
        <v>4</v>
      </c>
      <c r="FG171" s="14">
        <f>IFERROR(AVERAGE(Tabel1[[#This Row],[Do - V3a]:[Do - V3a]]),"")</f>
        <v>4</v>
      </c>
      <c r="FH171" s="14">
        <v>3</v>
      </c>
      <c r="FI171" s="14">
        <f>IFERROR(AVERAGE(Tabel1[[#This Row],[Do - V1]],Tabel1[[#This Row],[Do - V2]],Tabel1[[#This Row],[Do - V3]],Tabel1[[#This Row],[Do - V4]]),"")</f>
        <v>3.8333333333333335</v>
      </c>
      <c r="FJ171" s="14">
        <v>4</v>
      </c>
      <c r="FK171" s="14">
        <v>3</v>
      </c>
      <c r="FL171" s="14">
        <v>4</v>
      </c>
      <c r="FM171" s="14">
        <f>IFERROR(AVERAGE(Tabel1[[#This Row],[Do - A1a]:[Do - A1c]]),"")</f>
        <v>3.6666666666666665</v>
      </c>
      <c r="FN171" s="14">
        <v>4</v>
      </c>
      <c r="FO171" s="14">
        <v>5</v>
      </c>
      <c r="FP171" s="14">
        <f>IFERROR(AVERAGE(Tabel1[[#This Row],[Do - A2a]:[Do - A2b]]),"")</f>
        <v>4.5</v>
      </c>
      <c r="FQ171" s="14">
        <v>4</v>
      </c>
      <c r="FR171" s="14">
        <f>IFERROR(AVERAGE(Tabel1[[#This Row],[Do - A3a]:[Do - A3a]]),"")</f>
        <v>4</v>
      </c>
      <c r="FS171" s="14">
        <v>4</v>
      </c>
      <c r="FT171" s="14">
        <f>IFERROR(AVERAGE(Tabel1[[#This Row],[Do - A1]],Tabel1[[#This Row],[Do - A2]],Tabel1[[#This Row],[Do - A3]],Tabel1[[#This Row],[Do - A4]]),"")</f>
        <v>4.0416666666666661</v>
      </c>
      <c r="FU17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3.8474074074074074</v>
      </c>
      <c r="FV171" s="16" t="s">
        <v>997</v>
      </c>
      <c r="FW171" t="b">
        <v>1</v>
      </c>
    </row>
    <row r="172" spans="1:179" x14ac:dyDescent="0.3">
      <c r="A172" s="13">
        <v>45148.382824074077</v>
      </c>
      <c r="B172" t="b">
        <v>0</v>
      </c>
      <c r="C172" s="14" t="s">
        <v>998</v>
      </c>
      <c r="D172" s="14" t="s">
        <v>999</v>
      </c>
      <c r="E172" s="14" t="s">
        <v>556</v>
      </c>
      <c r="F172" s="14" t="s">
        <v>184</v>
      </c>
      <c r="G172" s="14" t="s">
        <v>1000</v>
      </c>
      <c r="H172" s="14" t="s">
        <v>222</v>
      </c>
      <c r="I172" s="14" t="s">
        <v>385</v>
      </c>
      <c r="J172" s="14"/>
      <c r="K172" s="14" t="s">
        <v>201</v>
      </c>
      <c r="L172" s="14" t="s">
        <v>249</v>
      </c>
      <c r="M172" s="14" t="s">
        <v>233</v>
      </c>
      <c r="N172" s="14" t="s">
        <v>262</v>
      </c>
      <c r="O172" s="14" t="s">
        <v>200</v>
      </c>
      <c r="P172" s="17" t="s">
        <v>255</v>
      </c>
      <c r="Q172" s="14" t="s">
        <v>201</v>
      </c>
      <c r="R172" s="14" t="s">
        <v>201</v>
      </c>
      <c r="S172" s="14" t="s">
        <v>235</v>
      </c>
      <c r="T172" s="14" t="s">
        <v>236</v>
      </c>
      <c r="U172" s="14" t="s">
        <v>285</v>
      </c>
      <c r="V172" s="14" t="s">
        <v>359</v>
      </c>
      <c r="W172" s="14" t="s">
        <v>395</v>
      </c>
      <c r="X172" s="14" t="s">
        <v>207</v>
      </c>
      <c r="Y172" s="14">
        <v>4</v>
      </c>
      <c r="Z172" s="14">
        <v>2</v>
      </c>
      <c r="AA172" s="14">
        <v>4</v>
      </c>
      <c r="AB172" s="15">
        <f>IFERROR(AVERAGE(Tabel1[[#This Row],[Up - R1a]:[Up - R1c]]),"")</f>
        <v>3.3333333333333335</v>
      </c>
      <c r="AC172" s="14">
        <v>2</v>
      </c>
      <c r="AD172" s="14">
        <v>1</v>
      </c>
      <c r="AE172" s="14">
        <v>1</v>
      </c>
      <c r="AF172" s="14">
        <v>3</v>
      </c>
      <c r="AG172" s="14">
        <f>IFERROR(AVERAGE(Tabel1[[#This Row],[Up - R1]:[Up - R5]]),"")</f>
        <v>2.0666666666666669</v>
      </c>
      <c r="AH172" s="14">
        <v>4</v>
      </c>
      <c r="AI172" s="14">
        <v>3</v>
      </c>
      <c r="AJ172" s="14">
        <v>4</v>
      </c>
      <c r="AK172" s="14">
        <f>IFERROR(AVERAGE(Tabel1[[#This Row],[Up - C1a]:[Up - C1c]]),"")</f>
        <v>3.6666666666666665</v>
      </c>
      <c r="AL172" s="14">
        <v>2</v>
      </c>
      <c r="AM172" s="14">
        <v>1</v>
      </c>
      <c r="AN172" s="14">
        <v>2</v>
      </c>
      <c r="AO172" s="14">
        <f>IFERROR(AVERAGE(Tabel1[[#This Row],[Up - C1]:[Up - C4]]),"")</f>
        <v>2.1666666666666665</v>
      </c>
      <c r="AP172" s="14">
        <v>4</v>
      </c>
      <c r="AQ172" s="14">
        <f>IFERROR(AVERAGE(Tabel1[[#This Row],[Up - F1a]:[Up - F1a]]),"")</f>
        <v>4</v>
      </c>
      <c r="AR172" s="14">
        <v>3</v>
      </c>
      <c r="AS172" s="14">
        <v>1</v>
      </c>
      <c r="AT172" s="14">
        <f>IFERROR(AVERAGE(Tabel1[[#This Row],[Up - F2a]:[Up - F2b]]),"")</f>
        <v>2</v>
      </c>
      <c r="AU172" s="14">
        <v>3</v>
      </c>
      <c r="AV172" s="14">
        <v>2</v>
      </c>
      <c r="AW172" s="14">
        <f>IFERROR(AVERAGE(Tabel1[[#This Row],[Up - F3a]:[Up - F3b]]),"")</f>
        <v>2.5</v>
      </c>
      <c r="AX172" s="14">
        <v>3</v>
      </c>
      <c r="AY172" s="14">
        <f>IFERROR(AVERAGE(Tabel1[[#This Row],[Up - F1]],Tabel1[[#This Row],[Up - F2]],Tabel1[[#This Row],[Up - F3]],Tabel1[[#This Row],[Up - F4]]),"")</f>
        <v>2.875</v>
      </c>
      <c r="AZ172" s="14">
        <v>2</v>
      </c>
      <c r="BA172" s="14">
        <v>4</v>
      </c>
      <c r="BB172" s="14">
        <f>IFERROR(AVERAGE(Tabel1[[#This Row],[Up - V1a]:[Up - V1b]]),"")</f>
        <v>3</v>
      </c>
      <c r="BC172" s="14">
        <v>2</v>
      </c>
      <c r="BD172" s="14">
        <v>2</v>
      </c>
      <c r="BE172" s="14">
        <v>2</v>
      </c>
      <c r="BF172" s="14">
        <f>IFERROR(AVERAGE(Tabel1[[#This Row],[Up - V2a]:[Up - V2c]]),"")</f>
        <v>2</v>
      </c>
      <c r="BG172" s="14">
        <v>3</v>
      </c>
      <c r="BH172" s="14">
        <v>3</v>
      </c>
      <c r="BI172" s="14">
        <f>IFERROR(AVERAGE(Tabel1[[#This Row],[Up - V3a]:[Up - V3b]]),"")</f>
        <v>3</v>
      </c>
      <c r="BJ172" s="14">
        <v>2</v>
      </c>
      <c r="BK172" s="14">
        <f>IFERROR(AVERAGE(Tabel1[[#This Row],[Up - V1]],Tabel1[[#This Row],[Up - V2]],Tabel1[[#This Row],[Up - V3]],Tabel1[[#This Row],[Up - V4]]),"")</f>
        <v>2.5</v>
      </c>
      <c r="BL172" s="14">
        <v>5</v>
      </c>
      <c r="BM172" s="14">
        <v>4</v>
      </c>
      <c r="BN172" s="14">
        <v>4</v>
      </c>
      <c r="BO172" s="14">
        <v>5</v>
      </c>
      <c r="BP172" s="14">
        <f>IFERROR(AVERAGE(Tabel1[[#This Row],[Up - A1a]:[Up - A1d]]),"")</f>
        <v>4.5</v>
      </c>
      <c r="BQ172" s="14">
        <v>5</v>
      </c>
      <c r="BR172" s="14">
        <v>1</v>
      </c>
      <c r="BS172" s="14">
        <f>IFERROR(AVERAGE(Tabel1[[#This Row],[Up - A2a]:[Up - A2b]]),"")</f>
        <v>3</v>
      </c>
      <c r="BT172" s="14">
        <v>5</v>
      </c>
      <c r="BU172" s="14">
        <f>IFERROR(AVERAGE(Tabel1[[#This Row],[Up - A3a]:[Up - A3a]]),"")</f>
        <v>5</v>
      </c>
      <c r="BV172" s="14" t="s">
        <v>189</v>
      </c>
      <c r="BW172" s="14">
        <f>IFERROR(AVERAGE(Tabel1[[#This Row],[Up - A1]],Tabel1[[#This Row],[Up - A2]],Tabel1[[#This Row],[Up - A3]]),"")</f>
        <v>4.166666666666667</v>
      </c>
      <c r="BX172" s="14">
        <v>3</v>
      </c>
      <c r="BY172" s="14">
        <v>4</v>
      </c>
      <c r="BZ172" s="14">
        <f>IFERROR(AVERAGE(Tabel1[[#This Row],[In - R1a]:[In - R1b]]),"")</f>
        <v>3.5</v>
      </c>
      <c r="CA172" s="14">
        <v>1</v>
      </c>
      <c r="CB172" s="14">
        <v>4</v>
      </c>
      <c r="CC172" s="14">
        <v>2</v>
      </c>
      <c r="CD172" s="14">
        <v>4</v>
      </c>
      <c r="CE172" s="14">
        <f>IFERROR(AVERAGE(Tabel1[[#This Row],[In - R1]:[In - R5]]),"")</f>
        <v>2.9</v>
      </c>
      <c r="CF172" s="14">
        <v>4</v>
      </c>
      <c r="CG172" s="14">
        <v>3</v>
      </c>
      <c r="CH172" s="14">
        <v>4</v>
      </c>
      <c r="CI172" s="14">
        <f>IFERROR(AVERAGE(Tabel1[[#This Row],[In - C1a]:[In - C1c]]),"")</f>
        <v>3.6666666666666665</v>
      </c>
      <c r="CJ172" s="14">
        <v>3</v>
      </c>
      <c r="CK172" s="14">
        <v>3</v>
      </c>
      <c r="CL172" s="14">
        <v>3</v>
      </c>
      <c r="CM172" s="14">
        <f>IFERROR(AVERAGE(Tabel1[[#This Row],[In - C1]:[In - C4]]),"")</f>
        <v>3.1666666666666665</v>
      </c>
      <c r="CN172" s="14">
        <v>2</v>
      </c>
      <c r="CO172" s="14">
        <v>3</v>
      </c>
      <c r="CP172" s="14">
        <v>3</v>
      </c>
      <c r="CQ172" s="14">
        <f>IFERROR(AVERAGE(Tabel1[[#This Row],[In - F1a]:[In - F1c]]),"")</f>
        <v>2.6666666666666665</v>
      </c>
      <c r="CR172" s="14">
        <v>4</v>
      </c>
      <c r="CS172" s="14">
        <v>3</v>
      </c>
      <c r="CT172" s="14">
        <f>IFERROR(AVERAGE(Tabel1[[#This Row],[In - F2a]:[In - F2b]]),"")</f>
        <v>3.5</v>
      </c>
      <c r="CU172" s="14">
        <v>2</v>
      </c>
      <c r="CV172" s="14">
        <f>IFERROR(AVERAGE(Tabel1[[#This Row],[In - F3a]:[In - F3a]]),"")</f>
        <v>2</v>
      </c>
      <c r="CW172" s="14">
        <v>3</v>
      </c>
      <c r="CX172" s="14">
        <f>IFERROR(AVERAGE(Tabel1[[#This Row],[In - F1]],Tabel1[[#This Row],[In - F2]],Tabel1[[#This Row],[In - F3]],Tabel1[[#This Row],[In - F4]]),"")</f>
        <v>2.7916666666666665</v>
      </c>
      <c r="CY172" s="14">
        <v>5</v>
      </c>
      <c r="CZ172" s="14">
        <v>2</v>
      </c>
      <c r="DA172" s="14">
        <v>3</v>
      </c>
      <c r="DB172" s="14">
        <f>IFERROR(AVERAGE(Tabel1[[#This Row],[In - V1a]:[In - V1c]]),"")</f>
        <v>3.3333333333333335</v>
      </c>
      <c r="DC172" s="14">
        <v>3</v>
      </c>
      <c r="DD172" s="14">
        <v>4</v>
      </c>
      <c r="DE172" s="14">
        <v>2</v>
      </c>
      <c r="DF172" s="14">
        <f>IFERROR(AVERAGE(Tabel1[[#This Row],[In - V2a]:[In - V2c]]),"")</f>
        <v>3</v>
      </c>
      <c r="DG172" s="14">
        <v>3</v>
      </c>
      <c r="DH172" s="14">
        <v>3</v>
      </c>
      <c r="DI172" s="14">
        <f>IFERROR(AVERAGE(Tabel1[[#This Row],[In - V3a]:[In - V3b]]),"")</f>
        <v>3</v>
      </c>
      <c r="DJ172" s="14">
        <v>3</v>
      </c>
      <c r="DK172" s="14">
        <f>IFERROR(AVERAGE(Tabel1[[#This Row],[In - V1]],Tabel1[[#This Row],[In - V2]],Tabel1[[#This Row],[In - V3]],Tabel1[[#This Row],[In - V4]]),"")</f>
        <v>3.0833333333333335</v>
      </c>
      <c r="DL172" s="14">
        <v>4</v>
      </c>
      <c r="DM172" s="14">
        <v>4</v>
      </c>
      <c r="DN172" s="14">
        <f>IFERROR(AVERAGE(Tabel1[[#This Row],[In - A1a]:[In - A1b]]),"")</f>
        <v>4</v>
      </c>
      <c r="DO172" s="14" t="s">
        <v>189</v>
      </c>
      <c r="DP172" s="14">
        <v>4</v>
      </c>
      <c r="DQ172" s="14">
        <f>IFERROR(AVERAGE(Tabel1[[#This Row],[In - A2a]:[In - A2b]]),"")</f>
        <v>4</v>
      </c>
      <c r="DR172" s="14">
        <v>4</v>
      </c>
      <c r="DS172" s="14">
        <v>3</v>
      </c>
      <c r="DT172" s="14">
        <f>IFERROR(AVERAGE(Tabel1[[#This Row],[In - A3a]:[In - A3a]]),"")</f>
        <v>4</v>
      </c>
      <c r="DU172" s="14">
        <v>4</v>
      </c>
      <c r="DV172" s="14">
        <f>IFERROR(AVERAGE(Tabel1[[#This Row],[In - A1]],Tabel1[[#This Row],[In - A2]],Tabel1[[#This Row],[In - A3]],Tabel1[[#This Row],[In - A4]]),"")</f>
        <v>4</v>
      </c>
      <c r="DW172" s="14">
        <v>2</v>
      </c>
      <c r="DX172" s="14">
        <v>3</v>
      </c>
      <c r="DY172" s="14">
        <v>2</v>
      </c>
      <c r="DZ172" s="14">
        <f>IFERROR(AVERAGE(Tabel1[[#This Row],[Do - R1a]:[Do - R1c]]),"")</f>
        <v>2.3333333333333335</v>
      </c>
      <c r="EA172" s="14">
        <v>3</v>
      </c>
      <c r="EB172" s="14">
        <v>3</v>
      </c>
      <c r="EC172" s="14">
        <v>3</v>
      </c>
      <c r="ED172" s="14">
        <v>4</v>
      </c>
      <c r="EE172" s="14">
        <f>IFERROR(AVERAGE(Tabel1[[#This Row],[Do - R1]:[Do - R5]]),"")</f>
        <v>3.0666666666666669</v>
      </c>
      <c r="EF172" s="14">
        <v>4</v>
      </c>
      <c r="EG172" s="14">
        <v>3</v>
      </c>
      <c r="EH172" s="14">
        <v>3</v>
      </c>
      <c r="EI172" s="14">
        <f>IFERROR(AVERAGE(Tabel1[[#This Row],[Do - C1a]:[Do - C1c]]),"")</f>
        <v>3.3333333333333335</v>
      </c>
      <c r="EJ172" s="14" t="s">
        <v>189</v>
      </c>
      <c r="EK172" s="14" t="s">
        <v>189</v>
      </c>
      <c r="EL172" s="14" t="s">
        <v>189</v>
      </c>
      <c r="EM172" s="14">
        <f>IFERROR(AVERAGE(Tabel1[[#This Row],[Do - C1]:[Do - C4]]),"")</f>
        <v>3.3333333333333335</v>
      </c>
      <c r="EN172" s="14">
        <v>3</v>
      </c>
      <c r="EO172" s="14">
        <v>2</v>
      </c>
      <c r="EP172" s="14">
        <v>3</v>
      </c>
      <c r="EQ172" s="14">
        <f>IFERROR(AVERAGE(Tabel1[[#This Row],[Do - F1a]:[Do - F1c]]),"")</f>
        <v>2.6666666666666665</v>
      </c>
      <c r="ER172" s="14">
        <v>3</v>
      </c>
      <c r="ES172" s="14">
        <f>IFERROR(AVERAGE(Tabel1[[#This Row],[Do - F2a]:[Do - F2a]]),"")</f>
        <v>3</v>
      </c>
      <c r="ET172" s="14">
        <v>3</v>
      </c>
      <c r="EU172" s="14">
        <v>3</v>
      </c>
      <c r="EV172" s="14">
        <f>IFERROR(AVERAGE(Tabel1[[#This Row],[Do - F3a]:[Do - F3b]]),"")</f>
        <v>3</v>
      </c>
      <c r="EW172" s="14">
        <v>3</v>
      </c>
      <c r="EX172" s="14">
        <f>IFERROR(AVERAGE(Tabel1[[#This Row],[Do - F1]],Tabel1[[#This Row],[Do - F2]],Tabel1[[#This Row],[Do - F3]],Tabel1[[#This Row],[Do - F4]]),"")</f>
        <v>2.9166666666666665</v>
      </c>
      <c r="EY172" s="14">
        <v>3</v>
      </c>
      <c r="EZ172" s="14" t="s">
        <v>189</v>
      </c>
      <c r="FA172" s="14">
        <v>3</v>
      </c>
      <c r="FB172" s="14">
        <f>IFERROR(AVERAGE(Tabel1[[#This Row],[Do - V1a]:[Do - V1c]]),"")</f>
        <v>3</v>
      </c>
      <c r="FC172" s="14" t="s">
        <v>189</v>
      </c>
      <c r="FD172" s="14" t="s">
        <v>189</v>
      </c>
      <c r="FE172" s="14" t="str">
        <f>IFERROR(AVERAGE(Tabel1[[#This Row],[Do - V2a]:[Do - V2b]]),"")</f>
        <v/>
      </c>
      <c r="FF172" s="14">
        <v>4</v>
      </c>
      <c r="FG172" s="14">
        <f>IFERROR(AVERAGE(Tabel1[[#This Row],[Do - V3a]:[Do - V3a]]),"")</f>
        <v>4</v>
      </c>
      <c r="FH172" s="14">
        <v>4</v>
      </c>
      <c r="FI172" s="14">
        <f>IFERROR(AVERAGE(Tabel1[[#This Row],[Do - V1]],Tabel1[[#This Row],[Do - V2]],Tabel1[[#This Row],[Do - V3]],Tabel1[[#This Row],[Do - V4]]),"")</f>
        <v>3.6666666666666665</v>
      </c>
      <c r="FJ172" s="14">
        <v>4</v>
      </c>
      <c r="FK172" s="14">
        <v>3</v>
      </c>
      <c r="FL172" s="14" t="s">
        <v>189</v>
      </c>
      <c r="FM172" s="14">
        <f>IFERROR(AVERAGE(Tabel1[[#This Row],[Do - A1a]:[Do - A1c]]),"")</f>
        <v>3.5</v>
      </c>
      <c r="FN172" s="14">
        <v>4</v>
      </c>
      <c r="FO172" s="14" t="s">
        <v>189</v>
      </c>
      <c r="FP172" s="14">
        <f>IFERROR(AVERAGE(Tabel1[[#This Row],[Do - A2a]:[Do - A2b]]),"")</f>
        <v>4</v>
      </c>
      <c r="FQ172" s="14">
        <v>4</v>
      </c>
      <c r="FR172" s="14">
        <f>IFERROR(AVERAGE(Tabel1[[#This Row],[Do - A3a]:[Do - A3a]]),"")</f>
        <v>4</v>
      </c>
      <c r="FS172" s="14" t="s">
        <v>189</v>
      </c>
      <c r="FT172" s="14">
        <f>IFERROR(AVERAGE(Tabel1[[#This Row],[Do - A1]],Tabel1[[#This Row],[Do - A2]],Tabel1[[#This Row],[Do - A3]],Tabel1[[#This Row],[Do - A4]]),"")</f>
        <v>3.8333333333333335</v>
      </c>
      <c r="FU17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3.1022222222222227</v>
      </c>
      <c r="FV172" s="16" t="s">
        <v>1001</v>
      </c>
      <c r="FW172" t="b">
        <v>1</v>
      </c>
    </row>
    <row r="173" spans="1:179" x14ac:dyDescent="0.3">
      <c r="A173" s="13">
        <v>45168.648298611108</v>
      </c>
      <c r="B173" t="b">
        <v>0</v>
      </c>
      <c r="C173" s="14" t="s">
        <v>1002</v>
      </c>
      <c r="D173" s="14" t="s">
        <v>1003</v>
      </c>
      <c r="E173" s="14" t="s">
        <v>556</v>
      </c>
      <c r="F173" s="14" t="s">
        <v>184</v>
      </c>
      <c r="G173" s="3" t="s">
        <v>557</v>
      </c>
      <c r="H173" s="14" t="s">
        <v>222</v>
      </c>
      <c r="I173" s="14" t="s">
        <v>542</v>
      </c>
      <c r="J173" s="14" t="s">
        <v>543</v>
      </c>
      <c r="K173" s="14" t="s">
        <v>202</v>
      </c>
      <c r="L173" s="14" t="s">
        <v>249</v>
      </c>
      <c r="M173" s="14" t="s">
        <v>233</v>
      </c>
      <c r="N173" s="14" t="s">
        <v>199</v>
      </c>
      <c r="O173" s="14" t="s">
        <v>200</v>
      </c>
      <c r="P173" s="17" t="s">
        <v>255</v>
      </c>
      <c r="Q173" s="17" t="s">
        <v>304</v>
      </c>
      <c r="R173" s="14" t="s">
        <v>201</v>
      </c>
      <c r="S173" s="14" t="s">
        <v>235</v>
      </c>
      <c r="T173" s="14" t="s">
        <v>236</v>
      </c>
      <c r="U173" s="14" t="s">
        <v>285</v>
      </c>
      <c r="V173" s="14" t="s">
        <v>359</v>
      </c>
      <c r="W173" s="14" t="s">
        <v>305</v>
      </c>
      <c r="X173" s="14" t="s">
        <v>207</v>
      </c>
      <c r="Y173" s="14">
        <v>4</v>
      </c>
      <c r="Z173" s="14">
        <v>3</v>
      </c>
      <c r="AA173" s="14" t="s">
        <v>189</v>
      </c>
      <c r="AB173" s="15">
        <f>IFERROR(AVERAGE(Tabel1[[#This Row],[Up - R1a]:[Up - R1c]]),"")</f>
        <v>3.5</v>
      </c>
      <c r="AC173" s="14">
        <v>2</v>
      </c>
      <c r="AD173" s="14">
        <v>4</v>
      </c>
      <c r="AE173" s="14">
        <v>1</v>
      </c>
      <c r="AF173" s="14">
        <v>3</v>
      </c>
      <c r="AG173" s="14">
        <f>IFERROR(AVERAGE(Tabel1[[#This Row],[Up - R1]:[Up - R5]]),"")</f>
        <v>2.7</v>
      </c>
      <c r="AH173" s="14">
        <v>4</v>
      </c>
      <c r="AI173" s="14">
        <v>4</v>
      </c>
      <c r="AJ173" s="14">
        <v>3</v>
      </c>
      <c r="AK173" s="14">
        <f>IFERROR(AVERAGE(Tabel1[[#This Row],[Up - C1a]:[Up - C1c]]),"")</f>
        <v>3.6666666666666665</v>
      </c>
      <c r="AL173" s="14">
        <v>4</v>
      </c>
      <c r="AM173" s="14">
        <v>1</v>
      </c>
      <c r="AN173" s="14">
        <v>1</v>
      </c>
      <c r="AO173" s="14">
        <f>IFERROR(AVERAGE(Tabel1[[#This Row],[Up - C1]:[Up - C4]]),"")</f>
        <v>2.4166666666666665</v>
      </c>
      <c r="AP173" s="14">
        <v>2</v>
      </c>
      <c r="AQ173" s="14">
        <f>IFERROR(AVERAGE(Tabel1[[#This Row],[Up - F1a]:[Up - F1a]]),"")</f>
        <v>2</v>
      </c>
      <c r="AR173" s="14">
        <v>3</v>
      </c>
      <c r="AS173" s="14">
        <v>2</v>
      </c>
      <c r="AT173" s="14">
        <f>IFERROR(AVERAGE(Tabel1[[#This Row],[Up - F2a]:[Up - F2b]]),"")</f>
        <v>2.5</v>
      </c>
      <c r="AU173" s="14">
        <v>2</v>
      </c>
      <c r="AV173" s="14">
        <v>2</v>
      </c>
      <c r="AW173" s="14">
        <f>IFERROR(AVERAGE(Tabel1[[#This Row],[Up - F3a]:[Up - F3b]]),"")</f>
        <v>2</v>
      </c>
      <c r="AX173" s="14">
        <v>2</v>
      </c>
      <c r="AY173" s="14">
        <f>IFERROR(AVERAGE(Tabel1[[#This Row],[Up - F1]],Tabel1[[#This Row],[Up - F2]],Tabel1[[#This Row],[Up - F3]],Tabel1[[#This Row],[Up - F4]]),"")</f>
        <v>2.125</v>
      </c>
      <c r="AZ173" s="14">
        <v>4</v>
      </c>
      <c r="BA173" s="14">
        <v>4</v>
      </c>
      <c r="BB173" s="14">
        <f>IFERROR(AVERAGE(Tabel1[[#This Row],[Up - V1a]:[Up - V1b]]),"")</f>
        <v>4</v>
      </c>
      <c r="BC173" s="14">
        <v>4</v>
      </c>
      <c r="BD173" s="14">
        <v>2</v>
      </c>
      <c r="BE173" s="14">
        <v>2</v>
      </c>
      <c r="BF173" s="14">
        <f>IFERROR(AVERAGE(Tabel1[[#This Row],[Up - V2a]:[Up - V2c]]),"")</f>
        <v>2.6666666666666665</v>
      </c>
      <c r="BG173" s="14">
        <v>2</v>
      </c>
      <c r="BH173" s="14">
        <v>2</v>
      </c>
      <c r="BI173" s="14">
        <f>IFERROR(AVERAGE(Tabel1[[#This Row],[Up - V3a]:[Up - V3b]]),"")</f>
        <v>2</v>
      </c>
      <c r="BJ173" s="14">
        <v>2</v>
      </c>
      <c r="BK173" s="14">
        <f>IFERROR(AVERAGE(Tabel1[[#This Row],[Up - V1]],Tabel1[[#This Row],[Up - V2]],Tabel1[[#This Row],[Up - V3]],Tabel1[[#This Row],[Up - V4]]),"")</f>
        <v>2.6666666666666665</v>
      </c>
      <c r="BL173" s="14">
        <v>4</v>
      </c>
      <c r="BM173" s="14">
        <v>4</v>
      </c>
      <c r="BN173" s="14">
        <v>3</v>
      </c>
      <c r="BO173" s="14">
        <v>4</v>
      </c>
      <c r="BP173" s="14">
        <f>IFERROR(AVERAGE(Tabel1[[#This Row],[Up - A1a]:[Up - A1d]]),"")</f>
        <v>3.75</v>
      </c>
      <c r="BQ173" s="14">
        <v>3</v>
      </c>
      <c r="BR173" s="14">
        <v>2</v>
      </c>
      <c r="BS173" s="14">
        <f>IFERROR(AVERAGE(Tabel1[[#This Row],[Up - A2a]:[Up - A2b]]),"")</f>
        <v>2.5</v>
      </c>
      <c r="BT173" s="14">
        <v>4</v>
      </c>
      <c r="BU173" s="14">
        <f>IFERROR(AVERAGE(Tabel1[[#This Row],[Up - A3a]:[Up - A3a]]),"")</f>
        <v>4</v>
      </c>
      <c r="BV173" s="14">
        <v>2</v>
      </c>
      <c r="BW173" s="14">
        <f>IFERROR(AVERAGE(Tabel1[[#This Row],[Up - A1]],Tabel1[[#This Row],[Up - A2]],Tabel1[[#This Row],[Up - A3]]),"")</f>
        <v>3.4166666666666665</v>
      </c>
      <c r="BX173" s="14">
        <v>3</v>
      </c>
      <c r="BY173" s="14">
        <v>3</v>
      </c>
      <c r="BZ173" s="14">
        <f>IFERROR(AVERAGE(Tabel1[[#This Row],[In - R1a]:[In - R1b]]),"")</f>
        <v>3</v>
      </c>
      <c r="CA173" s="14">
        <v>4</v>
      </c>
      <c r="CB173" s="14">
        <v>2</v>
      </c>
      <c r="CC173" s="14">
        <v>1</v>
      </c>
      <c r="CD173" s="14">
        <v>5</v>
      </c>
      <c r="CE173" s="14">
        <f>IFERROR(AVERAGE(Tabel1[[#This Row],[In - R1]:[In - R5]]),"")</f>
        <v>3</v>
      </c>
      <c r="CF173" s="14">
        <v>5</v>
      </c>
      <c r="CG173" s="14">
        <v>4</v>
      </c>
      <c r="CH173" s="14">
        <v>4</v>
      </c>
      <c r="CI173" s="14">
        <f>IFERROR(AVERAGE(Tabel1[[#This Row],[In - C1a]:[In - C1c]]),"")</f>
        <v>4.333333333333333</v>
      </c>
      <c r="CJ173" s="14">
        <v>4</v>
      </c>
      <c r="CK173" s="14">
        <v>2</v>
      </c>
      <c r="CL173" s="14">
        <v>1</v>
      </c>
      <c r="CM173" s="14">
        <f>IFERROR(AVERAGE(Tabel1[[#This Row],[In - C1]:[In - C4]]),"")</f>
        <v>2.833333333333333</v>
      </c>
      <c r="CN173" s="14">
        <v>2</v>
      </c>
      <c r="CO173" s="14">
        <v>4</v>
      </c>
      <c r="CP173" s="14">
        <v>2</v>
      </c>
      <c r="CQ173" s="14">
        <f>IFERROR(AVERAGE(Tabel1[[#This Row],[In - F1a]:[In - F1c]]),"")</f>
        <v>2.6666666666666665</v>
      </c>
      <c r="CR173" s="14">
        <v>3</v>
      </c>
      <c r="CS173" s="14">
        <v>3</v>
      </c>
      <c r="CT173" s="14">
        <f>IFERROR(AVERAGE(Tabel1[[#This Row],[In - F2a]:[In - F2b]]),"")</f>
        <v>3</v>
      </c>
      <c r="CU173" s="14">
        <v>1</v>
      </c>
      <c r="CV173" s="14">
        <f>IFERROR(AVERAGE(Tabel1[[#This Row],[In - F3a]:[In - F3a]]),"")</f>
        <v>1</v>
      </c>
      <c r="CW173" s="14">
        <v>4</v>
      </c>
      <c r="CX173" s="14">
        <f>IFERROR(AVERAGE(Tabel1[[#This Row],[In - F1]],Tabel1[[#This Row],[In - F2]],Tabel1[[#This Row],[In - F3]],Tabel1[[#This Row],[In - F4]]),"")</f>
        <v>2.6666666666666665</v>
      </c>
      <c r="CY173" s="14">
        <v>4</v>
      </c>
      <c r="CZ173" s="14">
        <v>3</v>
      </c>
      <c r="DA173" s="14">
        <v>1</v>
      </c>
      <c r="DB173" s="14">
        <f>IFERROR(AVERAGE(Tabel1[[#This Row],[In - V1a]:[In - V1c]]),"")</f>
        <v>2.6666666666666665</v>
      </c>
      <c r="DC173" s="14">
        <v>3</v>
      </c>
      <c r="DD173" s="14">
        <v>3</v>
      </c>
      <c r="DE173" s="14">
        <v>3</v>
      </c>
      <c r="DF173" s="14">
        <f>IFERROR(AVERAGE(Tabel1[[#This Row],[In - V2a]:[In - V2c]]),"")</f>
        <v>3</v>
      </c>
      <c r="DG173" s="14">
        <v>2</v>
      </c>
      <c r="DH173" s="14">
        <v>4</v>
      </c>
      <c r="DI173" s="14">
        <f>IFERROR(AVERAGE(Tabel1[[#This Row],[In - V3a]:[In - V3b]]),"")</f>
        <v>3</v>
      </c>
      <c r="DJ173" s="14">
        <v>2</v>
      </c>
      <c r="DK173" s="14">
        <f>IFERROR(AVERAGE(Tabel1[[#This Row],[In - V1]],Tabel1[[#This Row],[In - V2]],Tabel1[[#This Row],[In - V3]],Tabel1[[#This Row],[In - V4]]),"")</f>
        <v>2.6666666666666665</v>
      </c>
      <c r="DL173" s="14">
        <v>4</v>
      </c>
      <c r="DM173" s="14">
        <v>3</v>
      </c>
      <c r="DN173" s="14">
        <f>IFERROR(AVERAGE(Tabel1[[#This Row],[In - A1a]:[In - A1b]]),"")</f>
        <v>3.5</v>
      </c>
      <c r="DO173" s="14">
        <v>4</v>
      </c>
      <c r="DP173" s="14">
        <v>3</v>
      </c>
      <c r="DQ173" s="14">
        <f>IFERROR(AVERAGE(Tabel1[[#This Row],[In - A2a]:[In - A2b]]),"")</f>
        <v>3.5</v>
      </c>
      <c r="DR173" s="14">
        <v>4</v>
      </c>
      <c r="DS173" s="14">
        <v>3</v>
      </c>
      <c r="DT173" s="14">
        <f>IFERROR(AVERAGE(Tabel1[[#This Row],[In - A3a]:[In - A3a]]),"")</f>
        <v>4</v>
      </c>
      <c r="DU173" s="14">
        <v>3</v>
      </c>
      <c r="DV173" s="14">
        <f>IFERROR(AVERAGE(Tabel1[[#This Row],[In - A1]],Tabel1[[#This Row],[In - A2]],Tabel1[[#This Row],[In - A3]],Tabel1[[#This Row],[In - A4]]),"")</f>
        <v>3.5</v>
      </c>
      <c r="DW173" s="14">
        <v>2</v>
      </c>
      <c r="DX173" s="14">
        <v>5</v>
      </c>
      <c r="DY173" s="14">
        <v>3</v>
      </c>
      <c r="DZ173" s="14">
        <f>IFERROR(AVERAGE(Tabel1[[#This Row],[Do - R1a]:[Do - R1c]]),"")</f>
        <v>3.3333333333333335</v>
      </c>
      <c r="EA173" s="14">
        <v>4</v>
      </c>
      <c r="EB173" s="14">
        <v>2</v>
      </c>
      <c r="EC173" s="14">
        <v>1</v>
      </c>
      <c r="ED173" s="14">
        <v>4</v>
      </c>
      <c r="EE173" s="14">
        <f>IFERROR(AVERAGE(Tabel1[[#This Row],[Do - R1]:[Do - R5]]),"")</f>
        <v>2.8666666666666667</v>
      </c>
      <c r="EF173" s="14">
        <v>5</v>
      </c>
      <c r="EG173" s="14">
        <v>4</v>
      </c>
      <c r="EH173" s="14">
        <v>3</v>
      </c>
      <c r="EI173" s="14">
        <f>IFERROR(AVERAGE(Tabel1[[#This Row],[Do - C1a]:[Do - C1c]]),"")</f>
        <v>4</v>
      </c>
      <c r="EJ173" s="14">
        <v>4</v>
      </c>
      <c r="EK173" s="14">
        <v>1</v>
      </c>
      <c r="EL173" s="14">
        <v>1</v>
      </c>
      <c r="EM173" s="14">
        <f>IFERROR(AVERAGE(Tabel1[[#This Row],[Do - C1]:[Do - C4]]),"")</f>
        <v>2.5</v>
      </c>
      <c r="EN173" s="14">
        <v>2</v>
      </c>
      <c r="EO173" s="14">
        <v>2</v>
      </c>
      <c r="EP173" s="14">
        <v>2</v>
      </c>
      <c r="EQ173" s="14">
        <f>IFERROR(AVERAGE(Tabel1[[#This Row],[Do - F1a]:[Do - F1c]]),"")</f>
        <v>2</v>
      </c>
      <c r="ER173" s="14">
        <v>3</v>
      </c>
      <c r="ES173" s="14">
        <f>IFERROR(AVERAGE(Tabel1[[#This Row],[Do - F2a]:[Do - F2a]]),"")</f>
        <v>3</v>
      </c>
      <c r="ET173" s="14">
        <v>2</v>
      </c>
      <c r="EU173" s="14">
        <v>2</v>
      </c>
      <c r="EV173" s="14">
        <f>IFERROR(AVERAGE(Tabel1[[#This Row],[Do - F3a]:[Do - F3b]]),"")</f>
        <v>2</v>
      </c>
      <c r="EW173" s="14">
        <v>2</v>
      </c>
      <c r="EX173" s="14">
        <f>IFERROR(AVERAGE(Tabel1[[#This Row],[Do - F1]],Tabel1[[#This Row],[Do - F2]],Tabel1[[#This Row],[Do - F3]],Tabel1[[#This Row],[Do - F4]]),"")</f>
        <v>2.25</v>
      </c>
      <c r="EY173" s="14">
        <v>4</v>
      </c>
      <c r="EZ173" s="14">
        <v>2</v>
      </c>
      <c r="FA173" s="14">
        <v>2</v>
      </c>
      <c r="FB173" s="14">
        <f>IFERROR(AVERAGE(Tabel1[[#This Row],[Do - V1a]:[Do - V1c]]),"")</f>
        <v>2.6666666666666665</v>
      </c>
      <c r="FC173" s="14">
        <v>4</v>
      </c>
      <c r="FD173" s="14">
        <v>4</v>
      </c>
      <c r="FE173" s="14">
        <f>IFERROR(AVERAGE(Tabel1[[#This Row],[Do - V2a]:[Do - V2b]]),"")</f>
        <v>4</v>
      </c>
      <c r="FF173" s="14">
        <v>2</v>
      </c>
      <c r="FG173" s="14">
        <f>IFERROR(AVERAGE(Tabel1[[#This Row],[Do - V3a]:[Do - V3a]]),"")</f>
        <v>2</v>
      </c>
      <c r="FH173" s="14">
        <v>2</v>
      </c>
      <c r="FI173" s="14">
        <f>IFERROR(AVERAGE(Tabel1[[#This Row],[Do - V1]],Tabel1[[#This Row],[Do - V2]],Tabel1[[#This Row],[Do - V3]],Tabel1[[#This Row],[Do - V4]]),"")</f>
        <v>2.6666666666666665</v>
      </c>
      <c r="FJ173" s="14">
        <v>4</v>
      </c>
      <c r="FK173" s="14">
        <v>3</v>
      </c>
      <c r="FL173" s="14">
        <v>4</v>
      </c>
      <c r="FM173" s="14">
        <f>IFERROR(AVERAGE(Tabel1[[#This Row],[Do - A1a]:[Do - A1c]]),"")</f>
        <v>3.6666666666666665</v>
      </c>
      <c r="FN173" s="14">
        <v>3</v>
      </c>
      <c r="FO173" s="14">
        <v>2</v>
      </c>
      <c r="FP173" s="14">
        <f>IFERROR(AVERAGE(Tabel1[[#This Row],[Do - A2a]:[Do - A2b]]),"")</f>
        <v>2.5</v>
      </c>
      <c r="FQ173" s="14">
        <v>3</v>
      </c>
      <c r="FR173" s="14">
        <f>IFERROR(AVERAGE(Tabel1[[#This Row],[Do - A3a]:[Do - A3a]]),"")</f>
        <v>3</v>
      </c>
      <c r="FS173" s="14">
        <v>3</v>
      </c>
      <c r="FT173" s="14">
        <f>IFERROR(AVERAGE(Tabel1[[#This Row],[Do - A1]],Tabel1[[#This Row],[Do - A2]],Tabel1[[#This Row],[Do - A3]],Tabel1[[#This Row],[Do - A4]]),"")</f>
        <v>3.0416666666666665</v>
      </c>
      <c r="FU17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2.7544444444444443</v>
      </c>
      <c r="FV173" s="16" t="s">
        <v>1004</v>
      </c>
      <c r="FW173" t="b">
        <v>1</v>
      </c>
    </row>
    <row r="174" spans="1:179" x14ac:dyDescent="0.3">
      <c r="A174" s="13">
        <v>45203.523310185185</v>
      </c>
      <c r="B174" t="b">
        <v>0</v>
      </c>
      <c r="C174" s="14" t="s">
        <v>1005</v>
      </c>
      <c r="D174" s="14" t="s">
        <v>1006</v>
      </c>
      <c r="E174" s="14" t="s">
        <v>1007</v>
      </c>
      <c r="F174" s="14" t="s">
        <v>184</v>
      </c>
      <c r="G174" s="14" t="s">
        <v>1008</v>
      </c>
      <c r="H174" s="14" t="s">
        <v>222</v>
      </c>
      <c r="I174" s="14" t="s">
        <v>385</v>
      </c>
      <c r="J174" s="14"/>
      <c r="K174" s="17" t="s">
        <v>304</v>
      </c>
      <c r="L174" s="14" t="s">
        <v>197</v>
      </c>
      <c r="M174" s="14" t="s">
        <v>188</v>
      </c>
      <c r="N174" s="14" t="s">
        <v>199</v>
      </c>
      <c r="O174" s="14" t="s">
        <v>200</v>
      </c>
      <c r="P174" s="14" t="s">
        <v>203</v>
      </c>
      <c r="Q174" s="17" t="s">
        <v>255</v>
      </c>
      <c r="R174" s="17" t="s">
        <v>255</v>
      </c>
      <c r="S174" s="17" t="s">
        <v>255</v>
      </c>
      <c r="T174" s="14" t="s">
        <v>204</v>
      </c>
      <c r="U174" s="14" t="s">
        <v>237</v>
      </c>
      <c r="V174" s="14" t="s">
        <v>484</v>
      </c>
      <c r="W174" s="14" t="s">
        <v>207</v>
      </c>
      <c r="X174" s="14" t="s">
        <v>306</v>
      </c>
      <c r="Y174" s="14">
        <v>5</v>
      </c>
      <c r="Z174" s="14">
        <v>2</v>
      </c>
      <c r="AA174" s="14">
        <v>5</v>
      </c>
      <c r="AB174" s="15">
        <f>IFERROR(AVERAGE(Tabel1[[#This Row],[Up - R1a]:[Up - R1c]]),"")</f>
        <v>4</v>
      </c>
      <c r="AC174" s="14" t="s">
        <v>189</v>
      </c>
      <c r="AD174" s="14">
        <v>2</v>
      </c>
      <c r="AE174" s="14" t="s">
        <v>189</v>
      </c>
      <c r="AF174" s="14" t="s">
        <v>189</v>
      </c>
      <c r="AG174" s="14">
        <f>IFERROR(AVERAGE(Tabel1[[#This Row],[Up - R1]:[Up - R5]]),"")</f>
        <v>3</v>
      </c>
      <c r="AH174" s="14">
        <v>5</v>
      </c>
      <c r="AI174" s="14">
        <v>3</v>
      </c>
      <c r="AJ174" s="14">
        <v>5</v>
      </c>
      <c r="AK174" s="14">
        <f>IFERROR(AVERAGE(Tabel1[[#This Row],[Up - C1a]:[Up - C1c]]),"")</f>
        <v>4.333333333333333</v>
      </c>
      <c r="AL174" s="14">
        <v>1</v>
      </c>
      <c r="AM174" s="14">
        <v>4</v>
      </c>
      <c r="AN174" s="14">
        <v>5</v>
      </c>
      <c r="AO174" s="14">
        <f>IFERROR(AVERAGE(Tabel1[[#This Row],[Up - C1]:[Up - C4]]),"")</f>
        <v>3.583333333333333</v>
      </c>
      <c r="AP174" s="14">
        <v>3</v>
      </c>
      <c r="AQ174" s="14">
        <f>IFERROR(AVERAGE(Tabel1[[#This Row],[Up - F1a]:[Up - F1a]]),"")</f>
        <v>3</v>
      </c>
      <c r="AR174" s="14">
        <v>4</v>
      </c>
      <c r="AS174" s="14">
        <v>5</v>
      </c>
      <c r="AT174" s="14">
        <f>IFERROR(AVERAGE(Tabel1[[#This Row],[Up - F2a]:[Up - F2b]]),"")</f>
        <v>4.5</v>
      </c>
      <c r="AU174" s="14">
        <v>4</v>
      </c>
      <c r="AV174" s="14">
        <v>5</v>
      </c>
      <c r="AW174" s="14">
        <f>IFERROR(AVERAGE(Tabel1[[#This Row],[Up - F3a]:[Up - F3b]]),"")</f>
        <v>4.5</v>
      </c>
      <c r="AX174" s="14">
        <v>5</v>
      </c>
      <c r="AY174" s="14">
        <f>IFERROR(AVERAGE(Tabel1[[#This Row],[Up - F1]],Tabel1[[#This Row],[Up - F2]],Tabel1[[#This Row],[Up - F3]],Tabel1[[#This Row],[Up - F4]]),"")</f>
        <v>4.25</v>
      </c>
      <c r="AZ174" s="14">
        <v>5</v>
      </c>
      <c r="BA174" s="14">
        <v>5</v>
      </c>
      <c r="BB174" s="14">
        <f>IFERROR(AVERAGE(Tabel1[[#This Row],[Up - V1a]:[Up - V1b]]),"")</f>
        <v>5</v>
      </c>
      <c r="BC174" s="14">
        <v>5</v>
      </c>
      <c r="BD174" s="14">
        <v>5</v>
      </c>
      <c r="BE174" s="14">
        <v>5</v>
      </c>
      <c r="BF174" s="14">
        <f>IFERROR(AVERAGE(Tabel1[[#This Row],[Up - V2a]:[Up - V2c]]),"")</f>
        <v>5</v>
      </c>
      <c r="BG174" s="14">
        <v>3</v>
      </c>
      <c r="BH174" s="14" t="s">
        <v>189</v>
      </c>
      <c r="BI174" s="14">
        <f>IFERROR(AVERAGE(Tabel1[[#This Row],[Up - V3a]:[Up - V3b]]),"")</f>
        <v>3</v>
      </c>
      <c r="BJ174" s="14">
        <v>3</v>
      </c>
      <c r="BK174" s="14">
        <f>IFERROR(AVERAGE(Tabel1[[#This Row],[Up - V1]],Tabel1[[#This Row],[Up - V2]],Tabel1[[#This Row],[Up - V3]],Tabel1[[#This Row],[Up - V4]]),"")</f>
        <v>4</v>
      </c>
      <c r="BL174" s="14">
        <v>4</v>
      </c>
      <c r="BM174" s="14">
        <v>5</v>
      </c>
      <c r="BN174" s="14">
        <v>5</v>
      </c>
      <c r="BO174" s="14">
        <v>3</v>
      </c>
      <c r="BP174" s="14">
        <f>IFERROR(AVERAGE(Tabel1[[#This Row],[Up - A1a]:[Up - A1d]]),"")</f>
        <v>4.25</v>
      </c>
      <c r="BQ174" s="14">
        <v>5</v>
      </c>
      <c r="BR174" s="14">
        <v>2</v>
      </c>
      <c r="BS174" s="14">
        <f>IFERROR(AVERAGE(Tabel1[[#This Row],[Up - A2a]:[Up - A2b]]),"")</f>
        <v>3.5</v>
      </c>
      <c r="BT174" s="14">
        <v>3</v>
      </c>
      <c r="BU174" s="14">
        <f>IFERROR(AVERAGE(Tabel1[[#This Row],[Up - A3a]:[Up - A3a]]),"")</f>
        <v>3</v>
      </c>
      <c r="BV174" s="14">
        <v>3</v>
      </c>
      <c r="BW174" s="14">
        <f>IFERROR(AVERAGE(Tabel1[[#This Row],[Up - A1]],Tabel1[[#This Row],[Up - A2]],Tabel1[[#This Row],[Up - A3]]),"")</f>
        <v>3.5833333333333335</v>
      </c>
      <c r="BX174" s="14">
        <v>3</v>
      </c>
      <c r="BY174" s="14">
        <v>1</v>
      </c>
      <c r="BZ174" s="14">
        <f>IFERROR(AVERAGE(Tabel1[[#This Row],[In - R1a]:[In - R1b]]),"")</f>
        <v>2</v>
      </c>
      <c r="CA174" s="14">
        <v>4</v>
      </c>
      <c r="CB174" s="14">
        <v>5</v>
      </c>
      <c r="CC174" s="14">
        <v>1</v>
      </c>
      <c r="CD174" s="14">
        <v>1</v>
      </c>
      <c r="CE174" s="14">
        <f>IFERROR(AVERAGE(Tabel1[[#This Row],[In - R1]:[In - R5]]),"")</f>
        <v>2.6</v>
      </c>
      <c r="CF174" s="14">
        <v>5</v>
      </c>
      <c r="CG174" s="14">
        <v>5</v>
      </c>
      <c r="CH174" s="14">
        <v>5</v>
      </c>
      <c r="CI174" s="14">
        <f>IFERROR(AVERAGE(Tabel1[[#This Row],[In - C1a]:[In - C1c]]),"")</f>
        <v>5</v>
      </c>
      <c r="CJ174" s="14">
        <v>5</v>
      </c>
      <c r="CK174" s="14">
        <v>5</v>
      </c>
      <c r="CL174" s="14">
        <v>4</v>
      </c>
      <c r="CM174" s="14">
        <f>IFERROR(AVERAGE(Tabel1[[#This Row],[In - C1]:[In - C4]]),"")</f>
        <v>4.75</v>
      </c>
      <c r="CN174" s="14" t="s">
        <v>189</v>
      </c>
      <c r="CO174" s="14">
        <v>5</v>
      </c>
      <c r="CP174" s="14">
        <v>5</v>
      </c>
      <c r="CQ174" s="14">
        <f>IFERROR(AVERAGE(Tabel1[[#This Row],[In - F1a]:[In - F1c]]),"")</f>
        <v>5</v>
      </c>
      <c r="CR174" s="14">
        <v>5</v>
      </c>
      <c r="CS174" s="14">
        <v>5</v>
      </c>
      <c r="CT174" s="14">
        <f>IFERROR(AVERAGE(Tabel1[[#This Row],[In - F2a]:[In - F2b]]),"")</f>
        <v>5</v>
      </c>
      <c r="CU174" s="14">
        <v>5</v>
      </c>
      <c r="CV174" s="14">
        <f>IFERROR(AVERAGE(Tabel1[[#This Row],[In - F3a]:[In - F3a]]),"")</f>
        <v>5</v>
      </c>
      <c r="CW174" s="14">
        <v>2</v>
      </c>
      <c r="CX174" s="14">
        <f>IFERROR(AVERAGE(Tabel1[[#This Row],[In - F1]],Tabel1[[#This Row],[In - F2]],Tabel1[[#This Row],[In - F3]],Tabel1[[#This Row],[In - F4]]),"")</f>
        <v>4.25</v>
      </c>
      <c r="CY174" s="14">
        <v>5</v>
      </c>
      <c r="CZ174" s="14">
        <v>5</v>
      </c>
      <c r="DA174" s="14">
        <v>5</v>
      </c>
      <c r="DB174" s="14">
        <f>IFERROR(AVERAGE(Tabel1[[#This Row],[In - V1a]:[In - V1c]]),"")</f>
        <v>5</v>
      </c>
      <c r="DC174" s="14">
        <v>5</v>
      </c>
      <c r="DD174" s="14">
        <v>5</v>
      </c>
      <c r="DE174" s="14">
        <v>5</v>
      </c>
      <c r="DF174" s="14">
        <f>IFERROR(AVERAGE(Tabel1[[#This Row],[In - V2a]:[In - V2c]]),"")</f>
        <v>5</v>
      </c>
      <c r="DG174" s="14">
        <v>5</v>
      </c>
      <c r="DH174" s="14">
        <v>3</v>
      </c>
      <c r="DI174" s="14">
        <f>IFERROR(AVERAGE(Tabel1[[#This Row],[In - V3a]:[In - V3b]]),"")</f>
        <v>4</v>
      </c>
      <c r="DJ174" s="14">
        <v>3</v>
      </c>
      <c r="DK174" s="14">
        <f>IFERROR(AVERAGE(Tabel1[[#This Row],[In - V1]],Tabel1[[#This Row],[In - V2]],Tabel1[[#This Row],[In - V3]],Tabel1[[#This Row],[In - V4]]),"")</f>
        <v>4.25</v>
      </c>
      <c r="DL174" s="14">
        <v>4</v>
      </c>
      <c r="DM174" s="14">
        <v>4</v>
      </c>
      <c r="DN174" s="14">
        <f>IFERROR(AVERAGE(Tabel1[[#This Row],[In - A1a]:[In - A1b]]),"")</f>
        <v>4</v>
      </c>
      <c r="DO174" s="14">
        <v>5</v>
      </c>
      <c r="DP174" s="14">
        <v>5</v>
      </c>
      <c r="DQ174" s="14">
        <f>IFERROR(AVERAGE(Tabel1[[#This Row],[In - A2a]:[In - A2b]]),"")</f>
        <v>5</v>
      </c>
      <c r="DR174" s="14">
        <v>4</v>
      </c>
      <c r="DS174" s="14">
        <v>5</v>
      </c>
      <c r="DT174" s="14">
        <f>IFERROR(AVERAGE(Tabel1[[#This Row],[In - A3a]:[In - A3a]]),"")</f>
        <v>4</v>
      </c>
      <c r="DU174" s="14">
        <v>3</v>
      </c>
      <c r="DV174" s="14">
        <f>IFERROR(AVERAGE(Tabel1[[#This Row],[In - A1]],Tabel1[[#This Row],[In - A2]],Tabel1[[#This Row],[In - A3]],Tabel1[[#This Row],[In - A4]]),"")</f>
        <v>4</v>
      </c>
      <c r="DW174" s="14">
        <v>5</v>
      </c>
      <c r="DX174" s="14">
        <v>5</v>
      </c>
      <c r="DY174" s="14">
        <v>5</v>
      </c>
      <c r="DZ174" s="14">
        <f>IFERROR(AVERAGE(Tabel1[[#This Row],[Do - R1a]:[Do - R1c]]),"")</f>
        <v>5</v>
      </c>
      <c r="EA174" s="14">
        <v>5</v>
      </c>
      <c r="EB174" s="14">
        <v>2</v>
      </c>
      <c r="EC174" s="14" t="s">
        <v>189</v>
      </c>
      <c r="ED174" s="14">
        <v>5</v>
      </c>
      <c r="EE174" s="14">
        <f>IFERROR(AVERAGE(Tabel1[[#This Row],[Do - R1]:[Do - R5]]),"")</f>
        <v>4.25</v>
      </c>
      <c r="EF174" s="14">
        <v>5</v>
      </c>
      <c r="EG174" s="14">
        <v>3</v>
      </c>
      <c r="EH174" s="14">
        <v>5</v>
      </c>
      <c r="EI174" s="14">
        <f>IFERROR(AVERAGE(Tabel1[[#This Row],[Do - C1a]:[Do - C1c]]),"")</f>
        <v>4.333333333333333</v>
      </c>
      <c r="EJ174" s="14">
        <v>5</v>
      </c>
      <c r="EK174" s="14">
        <v>3</v>
      </c>
      <c r="EL174" s="14">
        <v>3</v>
      </c>
      <c r="EM174" s="14">
        <f>IFERROR(AVERAGE(Tabel1[[#This Row],[Do - C1]:[Do - C4]]),"")</f>
        <v>3.833333333333333</v>
      </c>
      <c r="EN174" s="14">
        <v>4</v>
      </c>
      <c r="EO174" s="14">
        <v>5</v>
      </c>
      <c r="EP174" s="14">
        <v>5</v>
      </c>
      <c r="EQ174" s="14">
        <f>IFERROR(AVERAGE(Tabel1[[#This Row],[Do - F1a]:[Do - F1c]]),"")</f>
        <v>4.666666666666667</v>
      </c>
      <c r="ER174" s="14">
        <v>2</v>
      </c>
      <c r="ES174" s="14">
        <f>IFERROR(AVERAGE(Tabel1[[#This Row],[Do - F2a]:[Do - F2a]]),"")</f>
        <v>2</v>
      </c>
      <c r="ET174" s="14">
        <v>5</v>
      </c>
      <c r="EU174" s="14">
        <v>3</v>
      </c>
      <c r="EV174" s="14">
        <f>IFERROR(AVERAGE(Tabel1[[#This Row],[Do - F3a]:[Do - F3b]]),"")</f>
        <v>4</v>
      </c>
      <c r="EW174" s="14">
        <v>4</v>
      </c>
      <c r="EX174" s="14">
        <f>IFERROR(AVERAGE(Tabel1[[#This Row],[Do - F1]],Tabel1[[#This Row],[Do - F2]],Tabel1[[#This Row],[Do - F3]],Tabel1[[#This Row],[Do - F4]]),"")</f>
        <v>3.666666666666667</v>
      </c>
      <c r="EY174" s="14">
        <v>5</v>
      </c>
      <c r="EZ174" s="14">
        <v>5</v>
      </c>
      <c r="FA174" s="14">
        <v>5</v>
      </c>
      <c r="FB174" s="14">
        <f>IFERROR(AVERAGE(Tabel1[[#This Row],[Do - V1a]:[Do - V1c]]),"")</f>
        <v>5</v>
      </c>
      <c r="FC174" s="14">
        <v>5</v>
      </c>
      <c r="FD174" s="14">
        <v>5</v>
      </c>
      <c r="FE174" s="14">
        <f>IFERROR(AVERAGE(Tabel1[[#This Row],[Do - V2a]:[Do - V2b]]),"")</f>
        <v>5</v>
      </c>
      <c r="FF174" s="14">
        <v>3</v>
      </c>
      <c r="FG174" s="14">
        <f>IFERROR(AVERAGE(Tabel1[[#This Row],[Do - V3a]:[Do - V3a]]),"")</f>
        <v>3</v>
      </c>
      <c r="FH174" s="14">
        <v>2</v>
      </c>
      <c r="FI174" s="14">
        <f>IFERROR(AVERAGE(Tabel1[[#This Row],[Do - V1]],Tabel1[[#This Row],[Do - V2]],Tabel1[[#This Row],[Do - V3]],Tabel1[[#This Row],[Do - V4]]),"")</f>
        <v>3.75</v>
      </c>
      <c r="FJ174" s="14">
        <v>5</v>
      </c>
      <c r="FK174" s="14">
        <v>5</v>
      </c>
      <c r="FL174" s="14">
        <v>5</v>
      </c>
      <c r="FM174" s="14">
        <f>IFERROR(AVERAGE(Tabel1[[#This Row],[Do - A1a]:[Do - A1c]]),"")</f>
        <v>5</v>
      </c>
      <c r="FN174" s="14">
        <v>5</v>
      </c>
      <c r="FO174" s="14">
        <v>2</v>
      </c>
      <c r="FP174" s="14">
        <f>IFERROR(AVERAGE(Tabel1[[#This Row],[Do - A2a]:[Do - A2b]]),"")</f>
        <v>3.5</v>
      </c>
      <c r="FQ174" s="14">
        <v>3</v>
      </c>
      <c r="FR174" s="14">
        <f>IFERROR(AVERAGE(Tabel1[[#This Row],[Do - A3a]:[Do - A3a]]),"")</f>
        <v>3</v>
      </c>
      <c r="FS174" s="14">
        <v>3</v>
      </c>
      <c r="FT174" s="14">
        <f>IFERROR(AVERAGE(Tabel1[[#This Row],[Do - A1]],Tabel1[[#This Row],[Do - A2]],Tabel1[[#This Row],[Do - A3]],Tabel1[[#This Row],[Do - A4]]),"")</f>
        <v>3.625</v>
      </c>
      <c r="FU17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3.826111111111111</v>
      </c>
      <c r="FV174" s="16" t="s">
        <v>1009</v>
      </c>
      <c r="FW174" t="b">
        <v>1</v>
      </c>
    </row>
    <row r="175" spans="1:179" x14ac:dyDescent="0.3">
      <c r="A175" s="13">
        <v>45203.523321759261</v>
      </c>
      <c r="B175" t="b">
        <v>0</v>
      </c>
      <c r="C175" s="14" t="s">
        <v>1010</v>
      </c>
      <c r="D175" s="14" t="s">
        <v>192</v>
      </c>
      <c r="E175" s="14" t="s">
        <v>1007</v>
      </c>
      <c r="F175" s="14" t="s">
        <v>184</v>
      </c>
      <c r="G175" s="14" t="s">
        <v>1011</v>
      </c>
      <c r="H175" s="14" t="s">
        <v>222</v>
      </c>
      <c r="I175" s="14" t="s">
        <v>385</v>
      </c>
      <c r="J175" s="14"/>
      <c r="K175" s="17" t="s">
        <v>304</v>
      </c>
      <c r="L175" s="14" t="s">
        <v>197</v>
      </c>
      <c r="M175" s="14" t="s">
        <v>188</v>
      </c>
      <c r="N175" s="14" t="s">
        <v>199</v>
      </c>
      <c r="O175" s="14" t="s">
        <v>200</v>
      </c>
      <c r="P175" s="14" t="s">
        <v>203</v>
      </c>
      <c r="Q175" s="17" t="s">
        <v>255</v>
      </c>
      <c r="R175" s="17" t="s">
        <v>255</v>
      </c>
      <c r="S175" s="17" t="s">
        <v>255</v>
      </c>
      <c r="T175" s="14" t="s">
        <v>204</v>
      </c>
      <c r="U175" s="14" t="s">
        <v>237</v>
      </c>
      <c r="V175" s="14" t="s">
        <v>224</v>
      </c>
      <c r="W175" s="14" t="s">
        <v>207</v>
      </c>
      <c r="X175" s="14" t="s">
        <v>305</v>
      </c>
      <c r="Y175" s="14">
        <v>5</v>
      </c>
      <c r="Z175" s="14">
        <v>2</v>
      </c>
      <c r="AA175" s="14">
        <v>5</v>
      </c>
      <c r="AB175" s="15">
        <f>IFERROR(AVERAGE(Tabel1[[#This Row],[Up - R1a]:[Up - R1c]]),"")</f>
        <v>4</v>
      </c>
      <c r="AC175" s="14" t="s">
        <v>189</v>
      </c>
      <c r="AD175" s="14">
        <v>2</v>
      </c>
      <c r="AE175" s="14" t="s">
        <v>189</v>
      </c>
      <c r="AF175" s="14" t="s">
        <v>189</v>
      </c>
      <c r="AG175" s="14">
        <f>IFERROR(AVERAGE(Tabel1[[#This Row],[Up - R1]:[Up - R5]]),"")</f>
        <v>3</v>
      </c>
      <c r="AH175" s="14">
        <v>5</v>
      </c>
      <c r="AI175" s="14">
        <v>3</v>
      </c>
      <c r="AJ175" s="14">
        <v>5</v>
      </c>
      <c r="AK175" s="14">
        <f>IFERROR(AVERAGE(Tabel1[[#This Row],[Up - C1a]:[Up - C1c]]),"")</f>
        <v>4.333333333333333</v>
      </c>
      <c r="AL175" s="14">
        <v>1</v>
      </c>
      <c r="AM175" s="14">
        <v>4</v>
      </c>
      <c r="AN175" s="14">
        <v>5</v>
      </c>
      <c r="AO175" s="14">
        <f>IFERROR(AVERAGE(Tabel1[[#This Row],[Up - C1]:[Up - C4]]),"")</f>
        <v>3.583333333333333</v>
      </c>
      <c r="AP175" s="14">
        <v>3</v>
      </c>
      <c r="AQ175" s="14">
        <f>IFERROR(AVERAGE(Tabel1[[#This Row],[Up - F1a]:[Up - F1a]]),"")</f>
        <v>3</v>
      </c>
      <c r="AR175" s="14">
        <v>4</v>
      </c>
      <c r="AS175" s="14">
        <v>5</v>
      </c>
      <c r="AT175" s="14">
        <f>IFERROR(AVERAGE(Tabel1[[#This Row],[Up - F2a]:[Up - F2b]]),"")</f>
        <v>4.5</v>
      </c>
      <c r="AU175" s="14">
        <v>4</v>
      </c>
      <c r="AV175" s="14">
        <v>5</v>
      </c>
      <c r="AW175" s="14">
        <f>IFERROR(AVERAGE(Tabel1[[#This Row],[Up - F3a]:[Up - F3b]]),"")</f>
        <v>4.5</v>
      </c>
      <c r="AX175" s="14">
        <v>5</v>
      </c>
      <c r="AY175" s="14">
        <f>IFERROR(AVERAGE(Tabel1[[#This Row],[Up - F1]],Tabel1[[#This Row],[Up - F2]],Tabel1[[#This Row],[Up - F3]],Tabel1[[#This Row],[Up - F4]]),"")</f>
        <v>4.25</v>
      </c>
      <c r="AZ175" s="14">
        <v>5</v>
      </c>
      <c r="BA175" s="14">
        <v>5</v>
      </c>
      <c r="BB175" s="14">
        <f>IFERROR(AVERAGE(Tabel1[[#This Row],[Up - V1a]:[Up - V1b]]),"")</f>
        <v>5</v>
      </c>
      <c r="BC175" s="14">
        <v>5</v>
      </c>
      <c r="BD175" s="14">
        <v>5</v>
      </c>
      <c r="BE175" s="14">
        <v>5</v>
      </c>
      <c r="BF175" s="14">
        <f>IFERROR(AVERAGE(Tabel1[[#This Row],[Up - V2a]:[Up - V2c]]),"")</f>
        <v>5</v>
      </c>
      <c r="BG175" s="14">
        <v>3</v>
      </c>
      <c r="BH175" s="14" t="s">
        <v>189</v>
      </c>
      <c r="BI175" s="14">
        <f>IFERROR(AVERAGE(Tabel1[[#This Row],[Up - V3a]:[Up - V3b]]),"")</f>
        <v>3</v>
      </c>
      <c r="BJ175" s="14">
        <v>3</v>
      </c>
      <c r="BK175" s="14">
        <f>IFERROR(AVERAGE(Tabel1[[#This Row],[Up - V1]],Tabel1[[#This Row],[Up - V2]],Tabel1[[#This Row],[Up - V3]],Tabel1[[#This Row],[Up - V4]]),"")</f>
        <v>4</v>
      </c>
      <c r="BL175" s="14">
        <v>4</v>
      </c>
      <c r="BM175" s="14">
        <v>5</v>
      </c>
      <c r="BN175" s="14">
        <v>5</v>
      </c>
      <c r="BO175" s="14">
        <v>3</v>
      </c>
      <c r="BP175" s="14">
        <f>IFERROR(AVERAGE(Tabel1[[#This Row],[Up - A1a]:[Up - A1d]]),"")</f>
        <v>4.25</v>
      </c>
      <c r="BQ175" s="14">
        <v>5</v>
      </c>
      <c r="BR175" s="14">
        <v>2</v>
      </c>
      <c r="BS175" s="14">
        <f>IFERROR(AVERAGE(Tabel1[[#This Row],[Up - A2a]:[Up - A2b]]),"")</f>
        <v>3.5</v>
      </c>
      <c r="BT175" s="14">
        <v>3</v>
      </c>
      <c r="BU175" s="14">
        <f>IFERROR(AVERAGE(Tabel1[[#This Row],[Up - A3a]:[Up - A3a]]),"")</f>
        <v>3</v>
      </c>
      <c r="BV175" s="14">
        <v>3</v>
      </c>
      <c r="BW175" s="14">
        <f>IFERROR(AVERAGE(Tabel1[[#This Row],[Up - A1]],Tabel1[[#This Row],[Up - A2]],Tabel1[[#This Row],[Up - A3]]),"")</f>
        <v>3.5833333333333335</v>
      </c>
      <c r="BX175" s="14">
        <v>3</v>
      </c>
      <c r="BY175" s="14">
        <v>1</v>
      </c>
      <c r="BZ175" s="14">
        <f>IFERROR(AVERAGE(Tabel1[[#This Row],[In - R1a]:[In - R1b]]),"")</f>
        <v>2</v>
      </c>
      <c r="CA175" s="14">
        <v>4</v>
      </c>
      <c r="CB175" s="14">
        <v>5</v>
      </c>
      <c r="CC175" s="14">
        <v>1</v>
      </c>
      <c r="CD175" s="14">
        <v>1</v>
      </c>
      <c r="CE175" s="14">
        <f>IFERROR(AVERAGE(Tabel1[[#This Row],[In - R1]:[In - R5]]),"")</f>
        <v>2.6</v>
      </c>
      <c r="CF175" s="14">
        <v>5</v>
      </c>
      <c r="CG175" s="14">
        <v>5</v>
      </c>
      <c r="CH175" s="14">
        <v>5</v>
      </c>
      <c r="CI175" s="14">
        <f>IFERROR(AVERAGE(Tabel1[[#This Row],[In - C1a]:[In - C1c]]),"")</f>
        <v>5</v>
      </c>
      <c r="CJ175" s="14">
        <v>5</v>
      </c>
      <c r="CK175" s="14">
        <v>5</v>
      </c>
      <c r="CL175" s="14">
        <v>4</v>
      </c>
      <c r="CM175" s="14">
        <f>IFERROR(AVERAGE(Tabel1[[#This Row],[In - C1]:[In - C4]]),"")</f>
        <v>4.75</v>
      </c>
      <c r="CN175" s="14" t="s">
        <v>189</v>
      </c>
      <c r="CO175" s="14">
        <v>5</v>
      </c>
      <c r="CP175" s="14">
        <v>5</v>
      </c>
      <c r="CQ175" s="14">
        <f>IFERROR(AVERAGE(Tabel1[[#This Row],[In - F1a]:[In - F1c]]),"")</f>
        <v>5</v>
      </c>
      <c r="CR175" s="14">
        <v>5</v>
      </c>
      <c r="CS175" s="14">
        <v>5</v>
      </c>
      <c r="CT175" s="14">
        <f>IFERROR(AVERAGE(Tabel1[[#This Row],[In - F2a]:[In - F2b]]),"")</f>
        <v>5</v>
      </c>
      <c r="CU175" s="14">
        <v>5</v>
      </c>
      <c r="CV175" s="14">
        <f>IFERROR(AVERAGE(Tabel1[[#This Row],[In - F3a]:[In - F3a]]),"")</f>
        <v>5</v>
      </c>
      <c r="CW175" s="14">
        <v>2</v>
      </c>
      <c r="CX175" s="14">
        <f>IFERROR(AVERAGE(Tabel1[[#This Row],[In - F1]],Tabel1[[#This Row],[In - F2]],Tabel1[[#This Row],[In - F3]],Tabel1[[#This Row],[In - F4]]),"")</f>
        <v>4.25</v>
      </c>
      <c r="CY175" s="14">
        <v>5</v>
      </c>
      <c r="CZ175" s="14">
        <v>5</v>
      </c>
      <c r="DA175" s="14">
        <v>5</v>
      </c>
      <c r="DB175" s="14">
        <f>IFERROR(AVERAGE(Tabel1[[#This Row],[In - V1a]:[In - V1c]]),"")</f>
        <v>5</v>
      </c>
      <c r="DC175" s="14">
        <v>5</v>
      </c>
      <c r="DD175" s="14">
        <v>5</v>
      </c>
      <c r="DE175" s="14">
        <v>5</v>
      </c>
      <c r="DF175" s="14">
        <f>IFERROR(AVERAGE(Tabel1[[#This Row],[In - V2a]:[In - V2c]]),"")</f>
        <v>5</v>
      </c>
      <c r="DG175" s="14">
        <v>5</v>
      </c>
      <c r="DH175" s="14">
        <v>3</v>
      </c>
      <c r="DI175" s="14">
        <f>IFERROR(AVERAGE(Tabel1[[#This Row],[In - V3a]:[In - V3b]]),"")</f>
        <v>4</v>
      </c>
      <c r="DJ175" s="14">
        <v>3</v>
      </c>
      <c r="DK175" s="14">
        <f>IFERROR(AVERAGE(Tabel1[[#This Row],[In - V1]],Tabel1[[#This Row],[In - V2]],Tabel1[[#This Row],[In - V3]],Tabel1[[#This Row],[In - V4]]),"")</f>
        <v>4.25</v>
      </c>
      <c r="DL175" s="14">
        <v>4</v>
      </c>
      <c r="DM175" s="14">
        <v>4</v>
      </c>
      <c r="DN175" s="14">
        <f>IFERROR(AVERAGE(Tabel1[[#This Row],[In - A1a]:[In - A1b]]),"")</f>
        <v>4</v>
      </c>
      <c r="DO175" s="14">
        <v>5</v>
      </c>
      <c r="DP175" s="14">
        <v>5</v>
      </c>
      <c r="DQ175" s="14">
        <f>IFERROR(AVERAGE(Tabel1[[#This Row],[In - A2a]:[In - A2b]]),"")</f>
        <v>5</v>
      </c>
      <c r="DR175" s="14">
        <v>4</v>
      </c>
      <c r="DS175" s="14">
        <v>5</v>
      </c>
      <c r="DT175" s="14">
        <f>IFERROR(AVERAGE(Tabel1[[#This Row],[In - A3a]:[In - A3a]]),"")</f>
        <v>4</v>
      </c>
      <c r="DU175" s="14">
        <v>3</v>
      </c>
      <c r="DV175" s="14">
        <f>IFERROR(AVERAGE(Tabel1[[#This Row],[In - A1]],Tabel1[[#This Row],[In - A2]],Tabel1[[#This Row],[In - A3]],Tabel1[[#This Row],[In - A4]]),"")</f>
        <v>4</v>
      </c>
      <c r="DW175" s="14">
        <v>5</v>
      </c>
      <c r="DX175" s="14">
        <v>5</v>
      </c>
      <c r="DY175" s="14">
        <v>5</v>
      </c>
      <c r="DZ175" s="14">
        <f>IFERROR(AVERAGE(Tabel1[[#This Row],[Do - R1a]:[Do - R1c]]),"")</f>
        <v>5</v>
      </c>
      <c r="EA175" s="14">
        <v>5</v>
      </c>
      <c r="EB175" s="14">
        <v>2</v>
      </c>
      <c r="EC175" s="14" t="s">
        <v>189</v>
      </c>
      <c r="ED175" s="14">
        <v>5</v>
      </c>
      <c r="EE175" s="14">
        <f>IFERROR(AVERAGE(Tabel1[[#This Row],[Do - R1]:[Do - R5]]),"")</f>
        <v>4.25</v>
      </c>
      <c r="EF175" s="14">
        <v>5</v>
      </c>
      <c r="EG175" s="14">
        <v>3</v>
      </c>
      <c r="EH175" s="14">
        <v>5</v>
      </c>
      <c r="EI175" s="14">
        <f>IFERROR(AVERAGE(Tabel1[[#This Row],[Do - C1a]:[Do - C1c]]),"")</f>
        <v>4.333333333333333</v>
      </c>
      <c r="EJ175" s="14">
        <v>5</v>
      </c>
      <c r="EK175" s="14">
        <v>3</v>
      </c>
      <c r="EL175" s="14">
        <v>3</v>
      </c>
      <c r="EM175" s="14">
        <f>IFERROR(AVERAGE(Tabel1[[#This Row],[Do - C1]:[Do - C4]]),"")</f>
        <v>3.833333333333333</v>
      </c>
      <c r="EN175" s="14">
        <v>4</v>
      </c>
      <c r="EO175" s="14">
        <v>5</v>
      </c>
      <c r="EP175" s="14">
        <v>5</v>
      </c>
      <c r="EQ175" s="14">
        <f>IFERROR(AVERAGE(Tabel1[[#This Row],[Do - F1a]:[Do - F1c]]),"")</f>
        <v>4.666666666666667</v>
      </c>
      <c r="ER175" s="14">
        <v>2</v>
      </c>
      <c r="ES175" s="14">
        <f>IFERROR(AVERAGE(Tabel1[[#This Row],[Do - F2a]:[Do - F2a]]),"")</f>
        <v>2</v>
      </c>
      <c r="ET175" s="14">
        <v>5</v>
      </c>
      <c r="EU175" s="14">
        <v>3</v>
      </c>
      <c r="EV175" s="14">
        <f>IFERROR(AVERAGE(Tabel1[[#This Row],[Do - F3a]:[Do - F3b]]),"")</f>
        <v>4</v>
      </c>
      <c r="EW175" s="14">
        <v>4</v>
      </c>
      <c r="EX175" s="14">
        <f>IFERROR(AVERAGE(Tabel1[[#This Row],[Do - F1]],Tabel1[[#This Row],[Do - F2]],Tabel1[[#This Row],[Do - F3]],Tabel1[[#This Row],[Do - F4]]),"")</f>
        <v>3.666666666666667</v>
      </c>
      <c r="EY175" s="14">
        <v>5</v>
      </c>
      <c r="EZ175" s="14">
        <v>5</v>
      </c>
      <c r="FA175" s="14">
        <v>5</v>
      </c>
      <c r="FB175" s="14">
        <f>IFERROR(AVERAGE(Tabel1[[#This Row],[Do - V1a]:[Do - V1c]]),"")</f>
        <v>5</v>
      </c>
      <c r="FC175" s="14">
        <v>5</v>
      </c>
      <c r="FD175" s="14">
        <v>5</v>
      </c>
      <c r="FE175" s="14">
        <f>IFERROR(AVERAGE(Tabel1[[#This Row],[Do - V2a]:[Do - V2b]]),"")</f>
        <v>5</v>
      </c>
      <c r="FF175" s="14">
        <v>3</v>
      </c>
      <c r="FG175" s="14">
        <f>IFERROR(AVERAGE(Tabel1[[#This Row],[Do - V3a]:[Do - V3a]]),"")</f>
        <v>3</v>
      </c>
      <c r="FH175" s="14">
        <v>2</v>
      </c>
      <c r="FI175" s="14">
        <f>IFERROR(AVERAGE(Tabel1[[#This Row],[Do - V1]],Tabel1[[#This Row],[Do - V2]],Tabel1[[#This Row],[Do - V3]],Tabel1[[#This Row],[Do - V4]]),"")</f>
        <v>3.75</v>
      </c>
      <c r="FJ175" s="14">
        <v>5</v>
      </c>
      <c r="FK175" s="14">
        <v>5</v>
      </c>
      <c r="FL175" s="14">
        <v>5</v>
      </c>
      <c r="FM175" s="14">
        <f>IFERROR(AVERAGE(Tabel1[[#This Row],[Do - A1a]:[Do - A1c]]),"")</f>
        <v>5</v>
      </c>
      <c r="FN175" s="14">
        <v>5</v>
      </c>
      <c r="FO175" s="14">
        <v>2</v>
      </c>
      <c r="FP175" s="14">
        <f>IFERROR(AVERAGE(Tabel1[[#This Row],[Do - A2a]:[Do - A2b]]),"")</f>
        <v>3.5</v>
      </c>
      <c r="FQ175" s="14">
        <v>3</v>
      </c>
      <c r="FR175" s="14">
        <f>IFERROR(AVERAGE(Tabel1[[#This Row],[Do - A3a]:[Do - A3a]]),"")</f>
        <v>3</v>
      </c>
      <c r="FS175" s="14">
        <v>3</v>
      </c>
      <c r="FT175" s="14">
        <f>IFERROR(AVERAGE(Tabel1[[#This Row],[Do - A1]],Tabel1[[#This Row],[Do - A2]],Tabel1[[#This Row],[Do - A3]],Tabel1[[#This Row],[Do - A4]]),"")</f>
        <v>3.625</v>
      </c>
      <c r="FU17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3.826111111111111</v>
      </c>
      <c r="FV175" s="16" t="s">
        <v>1012</v>
      </c>
      <c r="FW175" t="b">
        <v>1</v>
      </c>
    </row>
    <row r="176" spans="1:179" x14ac:dyDescent="0.3">
      <c r="A176" s="13">
        <v>45216.424305555556</v>
      </c>
      <c r="B176" t="b">
        <v>0</v>
      </c>
      <c r="C176" s="14" t="s">
        <v>848</v>
      </c>
      <c r="D176" s="14" t="s">
        <v>1013</v>
      </c>
      <c r="E176" s="14" t="s">
        <v>241</v>
      </c>
      <c r="F176" s="14" t="s">
        <v>184</v>
      </c>
      <c r="G176" s="14" t="s">
        <v>1014</v>
      </c>
      <c r="H176" s="14" t="s">
        <v>222</v>
      </c>
      <c r="I176" s="14" t="s">
        <v>385</v>
      </c>
      <c r="J176" s="14"/>
      <c r="K176" s="14" t="s">
        <v>187</v>
      </c>
      <c r="L176" s="14" t="s">
        <v>249</v>
      </c>
      <c r="M176" s="14" t="s">
        <v>198</v>
      </c>
      <c r="N176" s="14" t="s">
        <v>199</v>
      </c>
      <c r="O176" s="14" t="s">
        <v>200</v>
      </c>
      <c r="P176" s="17" t="s">
        <v>255</v>
      </c>
      <c r="Q176" s="14" t="s">
        <v>203</v>
      </c>
      <c r="R176" s="14" t="s">
        <v>187</v>
      </c>
      <c r="S176" s="14" t="s">
        <v>235</v>
      </c>
      <c r="T176" s="14" t="s">
        <v>204</v>
      </c>
      <c r="U176" s="14" t="s">
        <v>349</v>
      </c>
      <c r="V176" s="14" t="s">
        <v>224</v>
      </c>
      <c r="W176" s="14" t="s">
        <v>395</v>
      </c>
      <c r="X176" s="14" t="s">
        <v>207</v>
      </c>
      <c r="Y176" s="14">
        <v>4</v>
      </c>
      <c r="Z176" s="14">
        <v>5</v>
      </c>
      <c r="AA176" s="14">
        <v>2</v>
      </c>
      <c r="AB176" s="15">
        <f>IFERROR(AVERAGE(Tabel1[[#This Row],[Up - R1a]:[Up - R1c]]),"")</f>
        <v>3.6666666666666665</v>
      </c>
      <c r="AC176" s="14">
        <v>2</v>
      </c>
      <c r="AD176" s="14">
        <v>1</v>
      </c>
      <c r="AE176" s="14">
        <v>2</v>
      </c>
      <c r="AF176" s="14">
        <v>3</v>
      </c>
      <c r="AG176" s="14">
        <f>IFERROR(AVERAGE(Tabel1[[#This Row],[Up - R1]:[Up - R5]]),"")</f>
        <v>2.333333333333333</v>
      </c>
      <c r="AH176" s="14">
        <v>3</v>
      </c>
      <c r="AI176" s="14" t="s">
        <v>189</v>
      </c>
      <c r="AJ176" s="14">
        <v>3</v>
      </c>
      <c r="AK176" s="14">
        <f>IFERROR(AVERAGE(Tabel1[[#This Row],[Up - C1a]:[Up - C1c]]),"")</f>
        <v>3</v>
      </c>
      <c r="AL176" s="14">
        <v>4</v>
      </c>
      <c r="AM176" s="14">
        <v>1</v>
      </c>
      <c r="AN176" s="14">
        <v>3</v>
      </c>
      <c r="AO176" s="14">
        <f>IFERROR(AVERAGE(Tabel1[[#This Row],[Up - C1]:[Up - C4]]),"")</f>
        <v>2.75</v>
      </c>
      <c r="AP176" s="14">
        <v>1</v>
      </c>
      <c r="AQ176" s="14">
        <f>IFERROR(AVERAGE(Tabel1[[#This Row],[Up - F1a]:[Up - F1a]]),"")</f>
        <v>1</v>
      </c>
      <c r="AR176" s="14">
        <v>2</v>
      </c>
      <c r="AS176" s="14">
        <v>2</v>
      </c>
      <c r="AT176" s="14">
        <f>IFERROR(AVERAGE(Tabel1[[#This Row],[Up - F2a]:[Up - F2b]]),"")</f>
        <v>2</v>
      </c>
      <c r="AU176" s="14">
        <v>3</v>
      </c>
      <c r="AV176" s="14">
        <v>3</v>
      </c>
      <c r="AW176" s="14">
        <f>IFERROR(AVERAGE(Tabel1[[#This Row],[Up - F3a]:[Up - F3b]]),"")</f>
        <v>3</v>
      </c>
      <c r="AX176" s="14">
        <v>3</v>
      </c>
      <c r="AY176" s="14">
        <f>IFERROR(AVERAGE(Tabel1[[#This Row],[Up - F1]],Tabel1[[#This Row],[Up - F2]],Tabel1[[#This Row],[Up - F3]],Tabel1[[#This Row],[Up - F4]]),"")</f>
        <v>2.25</v>
      </c>
      <c r="AZ176" s="14">
        <v>4</v>
      </c>
      <c r="BA176" s="14">
        <v>2</v>
      </c>
      <c r="BB176" s="14">
        <f>IFERROR(AVERAGE(Tabel1[[#This Row],[Up - V1a]:[Up - V1b]]),"")</f>
        <v>3</v>
      </c>
      <c r="BC176" s="14">
        <v>2</v>
      </c>
      <c r="BD176" s="14">
        <v>1</v>
      </c>
      <c r="BE176" s="14">
        <v>4</v>
      </c>
      <c r="BF176" s="14">
        <f>IFERROR(AVERAGE(Tabel1[[#This Row],[Up - V2a]:[Up - V2c]]),"")</f>
        <v>2.3333333333333335</v>
      </c>
      <c r="BG176" s="14">
        <v>1</v>
      </c>
      <c r="BH176" s="14">
        <v>1</v>
      </c>
      <c r="BI176" s="14">
        <f>IFERROR(AVERAGE(Tabel1[[#This Row],[Up - V3a]:[Up - V3b]]),"")</f>
        <v>1</v>
      </c>
      <c r="BJ176" s="14">
        <v>2</v>
      </c>
      <c r="BK176" s="14">
        <f>IFERROR(AVERAGE(Tabel1[[#This Row],[Up - V1]],Tabel1[[#This Row],[Up - V2]],Tabel1[[#This Row],[Up - V3]],Tabel1[[#This Row],[Up - V4]]),"")</f>
        <v>2.0833333333333335</v>
      </c>
      <c r="BL176" s="14">
        <v>3</v>
      </c>
      <c r="BM176" s="14">
        <v>4</v>
      </c>
      <c r="BN176" s="14">
        <v>1</v>
      </c>
      <c r="BO176" s="14">
        <v>2</v>
      </c>
      <c r="BP176" s="14">
        <f>IFERROR(AVERAGE(Tabel1[[#This Row],[Up - A1a]:[Up - A1d]]),"")</f>
        <v>2.5</v>
      </c>
      <c r="BQ176" s="14">
        <v>2</v>
      </c>
      <c r="BR176" s="14">
        <v>3</v>
      </c>
      <c r="BS176" s="14">
        <f>IFERROR(AVERAGE(Tabel1[[#This Row],[Up - A2a]:[Up - A2b]]),"")</f>
        <v>2.5</v>
      </c>
      <c r="BT176" s="14">
        <v>4</v>
      </c>
      <c r="BU176" s="14">
        <f>IFERROR(AVERAGE(Tabel1[[#This Row],[Up - A3a]:[Up - A3a]]),"")</f>
        <v>4</v>
      </c>
      <c r="BV176" s="14">
        <v>3</v>
      </c>
      <c r="BW176" s="14">
        <f>IFERROR(AVERAGE(Tabel1[[#This Row],[Up - A1]],Tabel1[[#This Row],[Up - A2]],Tabel1[[#This Row],[Up - A3]]),"")</f>
        <v>3</v>
      </c>
      <c r="BX176" s="14" t="s">
        <v>189</v>
      </c>
      <c r="BY176" s="14" t="s">
        <v>189</v>
      </c>
      <c r="BZ176" s="14" t="str">
        <f>IFERROR(AVERAGE(Tabel1[[#This Row],[In - R1a]:[In - R1b]]),"")</f>
        <v/>
      </c>
      <c r="CA176" s="14">
        <v>4</v>
      </c>
      <c r="CB176" s="14">
        <v>4</v>
      </c>
      <c r="CC176" s="14" t="s">
        <v>189</v>
      </c>
      <c r="CD176" s="14">
        <v>5</v>
      </c>
      <c r="CE176" s="14">
        <f>IFERROR(AVERAGE(Tabel1[[#This Row],[In - R1]:[In - R5]]),"")</f>
        <v>4.333333333333333</v>
      </c>
      <c r="CF176" s="14">
        <v>4</v>
      </c>
      <c r="CG176" s="14">
        <v>3</v>
      </c>
      <c r="CH176" s="14">
        <v>3</v>
      </c>
      <c r="CI176" s="14">
        <f>IFERROR(AVERAGE(Tabel1[[#This Row],[In - C1a]:[In - C1c]]),"")</f>
        <v>3.3333333333333335</v>
      </c>
      <c r="CJ176" s="14">
        <v>3</v>
      </c>
      <c r="CK176" s="14">
        <v>2</v>
      </c>
      <c r="CL176" s="14">
        <v>5</v>
      </c>
      <c r="CM176" s="14">
        <f>IFERROR(AVERAGE(Tabel1[[#This Row],[In - C1]:[In - C4]]),"")</f>
        <v>3.3333333333333335</v>
      </c>
      <c r="CN176" s="14">
        <v>3</v>
      </c>
      <c r="CO176" s="14">
        <v>3</v>
      </c>
      <c r="CP176" s="14">
        <v>3</v>
      </c>
      <c r="CQ176" s="14">
        <f>IFERROR(AVERAGE(Tabel1[[#This Row],[In - F1a]:[In - F1c]]),"")</f>
        <v>3</v>
      </c>
      <c r="CR176" s="14">
        <v>4</v>
      </c>
      <c r="CS176" s="14">
        <v>3</v>
      </c>
      <c r="CT176" s="14">
        <f>IFERROR(AVERAGE(Tabel1[[#This Row],[In - F2a]:[In - F2b]]),"")</f>
        <v>3.5</v>
      </c>
      <c r="CU176" s="14">
        <v>1</v>
      </c>
      <c r="CV176" s="14">
        <f>IFERROR(AVERAGE(Tabel1[[#This Row],[In - F3a]:[In - F3a]]),"")</f>
        <v>1</v>
      </c>
      <c r="CW176" s="14">
        <v>4</v>
      </c>
      <c r="CX176" s="14">
        <f>IFERROR(AVERAGE(Tabel1[[#This Row],[In - F1]],Tabel1[[#This Row],[In - F2]],Tabel1[[#This Row],[In - F3]],Tabel1[[#This Row],[In - F4]]),"")</f>
        <v>2.875</v>
      </c>
      <c r="CY176" s="14">
        <v>3</v>
      </c>
      <c r="CZ176" s="14">
        <v>3</v>
      </c>
      <c r="DA176" s="14">
        <v>3</v>
      </c>
      <c r="DB176" s="14">
        <f>IFERROR(AVERAGE(Tabel1[[#This Row],[In - V1a]:[In - V1c]]),"")</f>
        <v>3</v>
      </c>
      <c r="DC176" s="14">
        <v>2</v>
      </c>
      <c r="DD176" s="14">
        <v>3</v>
      </c>
      <c r="DE176" s="14">
        <v>2</v>
      </c>
      <c r="DF176" s="14">
        <f>IFERROR(AVERAGE(Tabel1[[#This Row],[In - V2a]:[In - V2c]]),"")</f>
        <v>2.3333333333333335</v>
      </c>
      <c r="DG176" s="14">
        <v>2</v>
      </c>
      <c r="DH176" s="14">
        <v>4</v>
      </c>
      <c r="DI176" s="14">
        <f>IFERROR(AVERAGE(Tabel1[[#This Row],[In - V3a]:[In - V3b]]),"")</f>
        <v>3</v>
      </c>
      <c r="DJ176" s="14">
        <v>4</v>
      </c>
      <c r="DK176" s="14">
        <f>IFERROR(AVERAGE(Tabel1[[#This Row],[In - V1]],Tabel1[[#This Row],[In - V2]],Tabel1[[#This Row],[In - V3]],Tabel1[[#This Row],[In - V4]]),"")</f>
        <v>3.0833333333333335</v>
      </c>
      <c r="DL176" s="14">
        <v>3</v>
      </c>
      <c r="DM176" s="14">
        <v>2</v>
      </c>
      <c r="DN176" s="14">
        <f>IFERROR(AVERAGE(Tabel1[[#This Row],[In - A1a]:[In - A1b]]),"")</f>
        <v>2.5</v>
      </c>
      <c r="DO176" s="14">
        <v>1</v>
      </c>
      <c r="DP176" s="14">
        <v>3</v>
      </c>
      <c r="DQ176" s="14">
        <f>IFERROR(AVERAGE(Tabel1[[#This Row],[In - A2a]:[In - A2b]]),"")</f>
        <v>2</v>
      </c>
      <c r="DR176" s="14">
        <v>5</v>
      </c>
      <c r="DS176" s="14">
        <v>5</v>
      </c>
      <c r="DT176" s="14">
        <f>IFERROR(AVERAGE(Tabel1[[#This Row],[In - A3a]:[In - A3a]]),"")</f>
        <v>5</v>
      </c>
      <c r="DU176" s="14">
        <v>2</v>
      </c>
      <c r="DV176" s="14">
        <f>IFERROR(AVERAGE(Tabel1[[#This Row],[In - A1]],Tabel1[[#This Row],[In - A2]],Tabel1[[#This Row],[In - A3]],Tabel1[[#This Row],[In - A4]]),"")</f>
        <v>2.875</v>
      </c>
      <c r="DW176" s="14">
        <v>3</v>
      </c>
      <c r="DX176" s="14">
        <v>5</v>
      </c>
      <c r="DY176" s="14">
        <v>3</v>
      </c>
      <c r="DZ176" s="14">
        <f>IFERROR(AVERAGE(Tabel1[[#This Row],[Do - R1a]:[Do - R1c]]),"")</f>
        <v>3.6666666666666665</v>
      </c>
      <c r="EA176" s="14">
        <v>4</v>
      </c>
      <c r="EB176" s="14">
        <v>3</v>
      </c>
      <c r="EC176" s="14">
        <v>3</v>
      </c>
      <c r="ED176" s="14">
        <v>4</v>
      </c>
      <c r="EE176" s="14">
        <f>IFERROR(AVERAGE(Tabel1[[#This Row],[Do - R1]:[Do - R5]]),"")</f>
        <v>3.5333333333333328</v>
      </c>
      <c r="EF176" s="14">
        <v>3</v>
      </c>
      <c r="EG176" s="14" t="s">
        <v>189</v>
      </c>
      <c r="EH176" s="14">
        <v>4</v>
      </c>
      <c r="EI176" s="14">
        <f>IFERROR(AVERAGE(Tabel1[[#This Row],[Do - C1a]:[Do - C1c]]),"")</f>
        <v>3.5</v>
      </c>
      <c r="EJ176" s="14">
        <v>4</v>
      </c>
      <c r="EK176" s="14">
        <v>2</v>
      </c>
      <c r="EL176" s="14" t="s">
        <v>189</v>
      </c>
      <c r="EM176" s="14">
        <f>IFERROR(AVERAGE(Tabel1[[#This Row],[Do - C1]:[Do - C4]]),"")</f>
        <v>3.1666666666666665</v>
      </c>
      <c r="EN176" s="14">
        <v>3</v>
      </c>
      <c r="EO176" s="14">
        <v>4</v>
      </c>
      <c r="EP176" s="14">
        <v>4</v>
      </c>
      <c r="EQ176" s="14">
        <f>IFERROR(AVERAGE(Tabel1[[#This Row],[Do - F1a]:[Do - F1c]]),"")</f>
        <v>3.6666666666666665</v>
      </c>
      <c r="ER176" s="14">
        <v>4</v>
      </c>
      <c r="ES176" s="14">
        <f>IFERROR(AVERAGE(Tabel1[[#This Row],[Do - F2a]:[Do - F2a]]),"")</f>
        <v>4</v>
      </c>
      <c r="ET176" s="14">
        <v>3</v>
      </c>
      <c r="EU176" s="14">
        <v>4</v>
      </c>
      <c r="EV176" s="14">
        <f>IFERROR(AVERAGE(Tabel1[[#This Row],[Do - F3a]:[Do - F3b]]),"")</f>
        <v>3.5</v>
      </c>
      <c r="EW176" s="14" t="s">
        <v>189</v>
      </c>
      <c r="EX176" s="14">
        <f>IFERROR(AVERAGE(Tabel1[[#This Row],[Do - F1]],Tabel1[[#This Row],[Do - F2]],Tabel1[[#This Row],[Do - F3]],Tabel1[[#This Row],[Do - F4]]),"")</f>
        <v>3.7222222222222219</v>
      </c>
      <c r="EY176" s="14">
        <v>3</v>
      </c>
      <c r="EZ176" s="14">
        <v>4</v>
      </c>
      <c r="FA176" s="14">
        <v>4</v>
      </c>
      <c r="FB176" s="14">
        <f>IFERROR(AVERAGE(Tabel1[[#This Row],[Do - V1a]:[Do - V1c]]),"")</f>
        <v>3.6666666666666665</v>
      </c>
      <c r="FC176" s="14">
        <v>4</v>
      </c>
      <c r="FD176" s="14">
        <v>3</v>
      </c>
      <c r="FE176" s="14">
        <f>IFERROR(AVERAGE(Tabel1[[#This Row],[Do - V2a]:[Do - V2b]]),"")</f>
        <v>3.5</v>
      </c>
      <c r="FF176" s="14">
        <v>3</v>
      </c>
      <c r="FG176" s="14">
        <f>IFERROR(AVERAGE(Tabel1[[#This Row],[Do - V3a]:[Do - V3a]]),"")</f>
        <v>3</v>
      </c>
      <c r="FH176" s="14">
        <v>3</v>
      </c>
      <c r="FI176" s="14">
        <f>IFERROR(AVERAGE(Tabel1[[#This Row],[Do - V1]],Tabel1[[#This Row],[Do - V2]],Tabel1[[#This Row],[Do - V3]],Tabel1[[#This Row],[Do - V4]]),"")</f>
        <v>3.2916666666666665</v>
      </c>
      <c r="FJ176" s="14">
        <v>5</v>
      </c>
      <c r="FK176" s="14">
        <v>2</v>
      </c>
      <c r="FL176" s="14">
        <v>3</v>
      </c>
      <c r="FM176" s="14">
        <f>IFERROR(AVERAGE(Tabel1[[#This Row],[Do - A1a]:[Do - A1c]]),"")</f>
        <v>3.3333333333333335</v>
      </c>
      <c r="FN176" s="14">
        <v>4</v>
      </c>
      <c r="FO176" s="14">
        <v>3</v>
      </c>
      <c r="FP176" s="14">
        <f>IFERROR(AVERAGE(Tabel1[[#This Row],[Do - A2a]:[Do - A2b]]),"")</f>
        <v>3.5</v>
      </c>
      <c r="FQ176" s="14">
        <v>4</v>
      </c>
      <c r="FR176" s="14">
        <f>IFERROR(AVERAGE(Tabel1[[#This Row],[Do - A3a]:[Do - A3a]]),"")</f>
        <v>4</v>
      </c>
      <c r="FS176" s="14">
        <v>3</v>
      </c>
      <c r="FT176" s="14">
        <f>IFERROR(AVERAGE(Tabel1[[#This Row],[Do - A1]],Tabel1[[#This Row],[Do - A2]],Tabel1[[#This Row],[Do - A3]],Tabel1[[#This Row],[Do - A4]]),"")</f>
        <v>3.4583333333333335</v>
      </c>
      <c r="FU17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3.0725925925925921</v>
      </c>
      <c r="FV176" s="16" t="s">
        <v>1015</v>
      </c>
      <c r="FW176" t="b">
        <v>1</v>
      </c>
    </row>
    <row r="177" spans="1:179" x14ac:dyDescent="0.3">
      <c r="A177" s="13">
        <v>45222.404027777775</v>
      </c>
      <c r="B177" t="b">
        <v>0</v>
      </c>
      <c r="C177" s="14" t="s">
        <v>1016</v>
      </c>
      <c r="D177" s="14" t="s">
        <v>698</v>
      </c>
      <c r="E177" s="14" t="s">
        <v>241</v>
      </c>
      <c r="F177" s="14" t="s">
        <v>184</v>
      </c>
      <c r="G177" s="14" t="s">
        <v>1017</v>
      </c>
      <c r="H177" s="14" t="s">
        <v>222</v>
      </c>
      <c r="I177" s="14" t="s">
        <v>385</v>
      </c>
      <c r="J177" s="14"/>
      <c r="K177" s="14" t="s">
        <v>235</v>
      </c>
      <c r="L177" s="14" t="s">
        <v>218</v>
      </c>
      <c r="M177" s="14" t="s">
        <v>198</v>
      </c>
      <c r="N177" s="14" t="s">
        <v>199</v>
      </c>
      <c r="O177" s="14" t="s">
        <v>256</v>
      </c>
      <c r="P177" s="17" t="s">
        <v>304</v>
      </c>
      <c r="Q177" s="14" t="s">
        <v>203</v>
      </c>
      <c r="R177" s="14" t="s">
        <v>187</v>
      </c>
      <c r="S177" s="14" t="s">
        <v>235</v>
      </c>
      <c r="T177" s="14" t="s">
        <v>204</v>
      </c>
      <c r="U177" s="14" t="s">
        <v>205</v>
      </c>
      <c r="V177" s="14" t="s">
        <v>610</v>
      </c>
      <c r="W177" s="14" t="s">
        <v>207</v>
      </c>
      <c r="X177" s="14" t="s">
        <v>207</v>
      </c>
      <c r="Y177" s="14">
        <v>3</v>
      </c>
      <c r="Z177" s="14">
        <v>2</v>
      </c>
      <c r="AA177" s="14">
        <v>2</v>
      </c>
      <c r="AB177" s="15">
        <f>IFERROR(AVERAGE(Tabel1[[#This Row],[Up - R1a]:[Up - R1c]]),"")</f>
        <v>2.3333333333333335</v>
      </c>
      <c r="AC177" s="14">
        <v>2</v>
      </c>
      <c r="AD177" s="14">
        <v>4</v>
      </c>
      <c r="AE177" s="14">
        <v>1</v>
      </c>
      <c r="AF177" s="14">
        <v>2</v>
      </c>
      <c r="AG177" s="14">
        <f>IFERROR(AVERAGE(Tabel1[[#This Row],[Up - R1]:[Up - R5]]),"")</f>
        <v>2.2666666666666666</v>
      </c>
      <c r="AH177" s="14">
        <v>5</v>
      </c>
      <c r="AI177" s="14">
        <v>3</v>
      </c>
      <c r="AJ177" s="14">
        <v>2</v>
      </c>
      <c r="AK177" s="14">
        <f>IFERROR(AVERAGE(Tabel1[[#This Row],[Up - C1a]:[Up - C1c]]),"")</f>
        <v>3.3333333333333335</v>
      </c>
      <c r="AL177" s="14">
        <v>3</v>
      </c>
      <c r="AM177" s="14">
        <v>4</v>
      </c>
      <c r="AN177" s="14" t="s">
        <v>189</v>
      </c>
      <c r="AO177" s="14">
        <f>IFERROR(AVERAGE(Tabel1[[#This Row],[Up - C1]:[Up - C4]]),"")</f>
        <v>3.4444444444444446</v>
      </c>
      <c r="AP177" s="14" t="s">
        <v>189</v>
      </c>
      <c r="AQ177" s="14" t="str">
        <f>IFERROR(AVERAGE(Tabel1[[#This Row],[Up - F1a]:[Up - F1a]]),"")</f>
        <v/>
      </c>
      <c r="AR177" s="14">
        <v>1</v>
      </c>
      <c r="AS177" s="14">
        <v>2</v>
      </c>
      <c r="AT177" s="14">
        <f>IFERROR(AVERAGE(Tabel1[[#This Row],[Up - F2a]:[Up - F2b]]),"")</f>
        <v>1.5</v>
      </c>
      <c r="AU177" s="14" t="s">
        <v>189</v>
      </c>
      <c r="AV177" s="14">
        <v>1</v>
      </c>
      <c r="AW177" s="14">
        <f>IFERROR(AVERAGE(Tabel1[[#This Row],[Up - F3a]:[Up - F3b]]),"")</f>
        <v>1</v>
      </c>
      <c r="AX177" s="14" t="s">
        <v>189</v>
      </c>
      <c r="AY177" s="14">
        <f>IFERROR(AVERAGE(Tabel1[[#This Row],[Up - F1]],Tabel1[[#This Row],[Up - F2]],Tabel1[[#This Row],[Up - F3]],Tabel1[[#This Row],[Up - F4]]),"")</f>
        <v>1.25</v>
      </c>
      <c r="AZ177" s="14">
        <v>5</v>
      </c>
      <c r="BA177" s="14" t="s">
        <v>189</v>
      </c>
      <c r="BB177" s="14">
        <f>IFERROR(AVERAGE(Tabel1[[#This Row],[Up - V1a]:[Up - V1b]]),"")</f>
        <v>5</v>
      </c>
      <c r="BC177" s="14">
        <v>5</v>
      </c>
      <c r="BD177" s="14" t="s">
        <v>189</v>
      </c>
      <c r="BE177" s="14">
        <v>5</v>
      </c>
      <c r="BF177" s="14">
        <f>IFERROR(AVERAGE(Tabel1[[#This Row],[Up - V2a]:[Up - V2c]]),"")</f>
        <v>5</v>
      </c>
      <c r="BG177" s="14">
        <v>3</v>
      </c>
      <c r="BH177" s="14">
        <v>1</v>
      </c>
      <c r="BI177" s="14">
        <f>IFERROR(AVERAGE(Tabel1[[#This Row],[Up - V3a]:[Up - V3b]]),"")</f>
        <v>2</v>
      </c>
      <c r="BJ177" s="14" t="s">
        <v>189</v>
      </c>
      <c r="BK177" s="14">
        <f>IFERROR(AVERAGE(Tabel1[[#This Row],[Up - V1]],Tabel1[[#This Row],[Up - V2]],Tabel1[[#This Row],[Up - V3]],Tabel1[[#This Row],[Up - V4]]),"")</f>
        <v>4</v>
      </c>
      <c r="BL177" s="14">
        <v>5</v>
      </c>
      <c r="BM177" s="14">
        <v>2</v>
      </c>
      <c r="BN177" s="14">
        <v>2</v>
      </c>
      <c r="BO177" s="14">
        <v>2</v>
      </c>
      <c r="BP177" s="14">
        <f>IFERROR(AVERAGE(Tabel1[[#This Row],[Up - A1a]:[Up - A1d]]),"")</f>
        <v>2.75</v>
      </c>
      <c r="BQ177" s="14">
        <v>3</v>
      </c>
      <c r="BR177" s="14">
        <v>4</v>
      </c>
      <c r="BS177" s="14">
        <f>IFERROR(AVERAGE(Tabel1[[#This Row],[Up - A2a]:[Up - A2b]]),"")</f>
        <v>3.5</v>
      </c>
      <c r="BT177" s="14">
        <v>5</v>
      </c>
      <c r="BU177" s="14">
        <f>IFERROR(AVERAGE(Tabel1[[#This Row],[Up - A3a]:[Up - A3a]]),"")</f>
        <v>5</v>
      </c>
      <c r="BV177" s="14">
        <v>4</v>
      </c>
      <c r="BW177" s="14">
        <f>IFERROR(AVERAGE(Tabel1[[#This Row],[Up - A1]],Tabel1[[#This Row],[Up - A2]],Tabel1[[#This Row],[Up - A3]]),"")</f>
        <v>3.75</v>
      </c>
      <c r="BX177" s="14">
        <v>2</v>
      </c>
      <c r="BY177" s="14">
        <v>2</v>
      </c>
      <c r="BZ177" s="14">
        <f>IFERROR(AVERAGE(Tabel1[[#This Row],[In - R1a]:[In - R1b]]),"")</f>
        <v>2</v>
      </c>
      <c r="CA177" s="14">
        <v>2</v>
      </c>
      <c r="CB177" s="14">
        <v>2</v>
      </c>
      <c r="CC177" s="14">
        <v>1</v>
      </c>
      <c r="CD177" s="14">
        <v>5</v>
      </c>
      <c r="CE177" s="14">
        <f>IFERROR(AVERAGE(Tabel1[[#This Row],[In - R1]:[In - R5]]),"")</f>
        <v>2.4</v>
      </c>
      <c r="CF177" s="14">
        <v>2</v>
      </c>
      <c r="CG177" s="14">
        <v>3</v>
      </c>
      <c r="CH177" s="14">
        <v>2</v>
      </c>
      <c r="CI177" s="14">
        <f>IFERROR(AVERAGE(Tabel1[[#This Row],[In - C1a]:[In - C1c]]),"")</f>
        <v>2.3333333333333335</v>
      </c>
      <c r="CJ177" s="14">
        <v>3</v>
      </c>
      <c r="CK177" s="14">
        <v>1</v>
      </c>
      <c r="CL177" s="14">
        <v>4</v>
      </c>
      <c r="CM177" s="14">
        <f>IFERROR(AVERAGE(Tabel1[[#This Row],[In - C1]:[In - C4]]),"")</f>
        <v>2.5833333333333335</v>
      </c>
      <c r="CN177" s="14">
        <v>5</v>
      </c>
      <c r="CO177" s="14">
        <v>3</v>
      </c>
      <c r="CP177" s="14">
        <v>2</v>
      </c>
      <c r="CQ177" s="14">
        <f>IFERROR(AVERAGE(Tabel1[[#This Row],[In - F1a]:[In - F1c]]),"")</f>
        <v>3.3333333333333335</v>
      </c>
      <c r="CR177" s="14">
        <v>4</v>
      </c>
      <c r="CS177" s="14">
        <v>1</v>
      </c>
      <c r="CT177" s="14">
        <f>IFERROR(AVERAGE(Tabel1[[#This Row],[In - F2a]:[In - F2b]]),"")</f>
        <v>2.5</v>
      </c>
      <c r="CU177" s="14">
        <v>2</v>
      </c>
      <c r="CV177" s="14">
        <f>IFERROR(AVERAGE(Tabel1[[#This Row],[In - F3a]:[In - F3a]]),"")</f>
        <v>2</v>
      </c>
      <c r="CW177" s="14" t="s">
        <v>189</v>
      </c>
      <c r="CX177" s="14">
        <f>IFERROR(AVERAGE(Tabel1[[#This Row],[In - F1]],Tabel1[[#This Row],[In - F2]],Tabel1[[#This Row],[In - F3]],Tabel1[[#This Row],[In - F4]]),"")</f>
        <v>2.6111111111111112</v>
      </c>
      <c r="CY177" s="14">
        <v>3</v>
      </c>
      <c r="CZ177" s="14">
        <v>3</v>
      </c>
      <c r="DA177" s="14">
        <v>1</v>
      </c>
      <c r="DB177" s="14">
        <f>IFERROR(AVERAGE(Tabel1[[#This Row],[In - V1a]:[In - V1c]]),"")</f>
        <v>2.3333333333333335</v>
      </c>
      <c r="DC177" s="14" t="s">
        <v>189</v>
      </c>
      <c r="DD177" s="14">
        <v>3</v>
      </c>
      <c r="DE177" s="14">
        <v>2</v>
      </c>
      <c r="DF177" s="14">
        <f>IFERROR(AVERAGE(Tabel1[[#This Row],[In - V2a]:[In - V2c]]),"")</f>
        <v>2.5</v>
      </c>
      <c r="DG177" s="14">
        <v>3</v>
      </c>
      <c r="DH177" s="14">
        <v>3</v>
      </c>
      <c r="DI177" s="14">
        <f>IFERROR(AVERAGE(Tabel1[[#This Row],[In - V3a]:[In - V3b]]),"")</f>
        <v>3</v>
      </c>
      <c r="DJ177" s="14" t="s">
        <v>189</v>
      </c>
      <c r="DK177" s="14">
        <f>IFERROR(AVERAGE(Tabel1[[#This Row],[In - V1]],Tabel1[[#This Row],[In - V2]],Tabel1[[#This Row],[In - V3]],Tabel1[[#This Row],[In - V4]]),"")</f>
        <v>2.6111111111111112</v>
      </c>
      <c r="DL177" s="14">
        <v>3</v>
      </c>
      <c r="DM177" s="14">
        <v>1</v>
      </c>
      <c r="DN177" s="14">
        <f>IFERROR(AVERAGE(Tabel1[[#This Row],[In - A1a]:[In - A1b]]),"")</f>
        <v>2</v>
      </c>
      <c r="DO177" s="14">
        <v>1</v>
      </c>
      <c r="DP177" s="14">
        <v>3</v>
      </c>
      <c r="DQ177" s="14">
        <f>IFERROR(AVERAGE(Tabel1[[#This Row],[In - A2a]:[In - A2b]]),"")</f>
        <v>2</v>
      </c>
      <c r="DR177" s="14">
        <v>5</v>
      </c>
      <c r="DS177" s="14">
        <v>1</v>
      </c>
      <c r="DT177" s="14">
        <f>IFERROR(AVERAGE(Tabel1[[#This Row],[In - A3a]:[In - A3a]]),"")</f>
        <v>5</v>
      </c>
      <c r="DU177" s="14">
        <v>3</v>
      </c>
      <c r="DV177" s="14">
        <f>IFERROR(AVERAGE(Tabel1[[#This Row],[In - A1]],Tabel1[[#This Row],[In - A2]],Tabel1[[#This Row],[In - A3]],Tabel1[[#This Row],[In - A4]]),"")</f>
        <v>3</v>
      </c>
      <c r="DW177" s="14">
        <v>3</v>
      </c>
      <c r="DX177" s="14">
        <v>4</v>
      </c>
      <c r="DY177" s="14" t="s">
        <v>189</v>
      </c>
      <c r="DZ177" s="14">
        <f>IFERROR(AVERAGE(Tabel1[[#This Row],[Do - R1a]:[Do - R1c]]),"")</f>
        <v>3.5</v>
      </c>
      <c r="EA177" s="14" t="s">
        <v>189</v>
      </c>
      <c r="EB177" s="14">
        <v>2</v>
      </c>
      <c r="EC177" s="14">
        <v>2</v>
      </c>
      <c r="ED177" s="14" t="s">
        <v>189</v>
      </c>
      <c r="EE177" s="14">
        <f>IFERROR(AVERAGE(Tabel1[[#This Row],[Do - R1]:[Do - R5]]),"")</f>
        <v>2.5</v>
      </c>
      <c r="EF177" s="14">
        <v>4</v>
      </c>
      <c r="EG177" s="14">
        <v>3</v>
      </c>
      <c r="EH177" s="14">
        <v>2</v>
      </c>
      <c r="EI177" s="14">
        <f>IFERROR(AVERAGE(Tabel1[[#This Row],[Do - C1a]:[Do - C1c]]),"")</f>
        <v>3</v>
      </c>
      <c r="EJ177" s="14">
        <v>4</v>
      </c>
      <c r="EK177" s="14">
        <v>2</v>
      </c>
      <c r="EL177" s="14" t="s">
        <v>189</v>
      </c>
      <c r="EM177" s="14">
        <f>IFERROR(AVERAGE(Tabel1[[#This Row],[Do - C1]:[Do - C4]]),"")</f>
        <v>3</v>
      </c>
      <c r="EN177" s="14">
        <v>1</v>
      </c>
      <c r="EO177" s="14">
        <v>4</v>
      </c>
      <c r="EP177" s="14">
        <v>5</v>
      </c>
      <c r="EQ177" s="14">
        <f>IFERROR(AVERAGE(Tabel1[[#This Row],[Do - F1a]:[Do - F1c]]),"")</f>
        <v>3.3333333333333335</v>
      </c>
      <c r="ER177" s="14" t="s">
        <v>189</v>
      </c>
      <c r="ES177" s="14" t="str">
        <f>IFERROR(AVERAGE(Tabel1[[#This Row],[Do - F2a]:[Do - F2a]]),"")</f>
        <v/>
      </c>
      <c r="ET177" s="14">
        <v>2</v>
      </c>
      <c r="EU177" s="14">
        <v>3</v>
      </c>
      <c r="EV177" s="14">
        <f>IFERROR(AVERAGE(Tabel1[[#This Row],[Do - F3a]:[Do - F3b]]),"")</f>
        <v>2.5</v>
      </c>
      <c r="EW177" s="14" t="s">
        <v>189</v>
      </c>
      <c r="EX177" s="14">
        <f>IFERROR(AVERAGE(Tabel1[[#This Row],[Do - F1]],Tabel1[[#This Row],[Do - F2]],Tabel1[[#This Row],[Do - F3]],Tabel1[[#This Row],[Do - F4]]),"")</f>
        <v>2.916666666666667</v>
      </c>
      <c r="EY177" s="14">
        <v>3</v>
      </c>
      <c r="EZ177" s="14">
        <v>2</v>
      </c>
      <c r="FA177" s="14">
        <v>4</v>
      </c>
      <c r="FB177" s="14">
        <f>IFERROR(AVERAGE(Tabel1[[#This Row],[Do - V1a]:[Do - V1c]]),"")</f>
        <v>3</v>
      </c>
      <c r="FC177" s="14">
        <v>5</v>
      </c>
      <c r="FD177" s="14" t="s">
        <v>189</v>
      </c>
      <c r="FE177" s="14">
        <f>IFERROR(AVERAGE(Tabel1[[#This Row],[Do - V2a]:[Do - V2b]]),"")</f>
        <v>5</v>
      </c>
      <c r="FF177" s="14">
        <v>1</v>
      </c>
      <c r="FG177" s="14">
        <f>IFERROR(AVERAGE(Tabel1[[#This Row],[Do - V3a]:[Do - V3a]]),"")</f>
        <v>1</v>
      </c>
      <c r="FH177" s="14" t="s">
        <v>189</v>
      </c>
      <c r="FI177" s="14">
        <f>IFERROR(AVERAGE(Tabel1[[#This Row],[Do - V1]],Tabel1[[#This Row],[Do - V2]],Tabel1[[#This Row],[Do - V3]],Tabel1[[#This Row],[Do - V4]]),"")</f>
        <v>3</v>
      </c>
      <c r="FJ177" s="14">
        <v>3</v>
      </c>
      <c r="FK177" s="14">
        <v>4</v>
      </c>
      <c r="FL177" s="14" t="s">
        <v>189</v>
      </c>
      <c r="FM177" s="14">
        <f>IFERROR(AVERAGE(Tabel1[[#This Row],[Do - A1a]:[Do - A1c]]),"")</f>
        <v>3.5</v>
      </c>
      <c r="FN177" s="14">
        <v>3</v>
      </c>
      <c r="FO177" s="14">
        <v>2</v>
      </c>
      <c r="FP177" s="14">
        <f>IFERROR(AVERAGE(Tabel1[[#This Row],[Do - A2a]:[Do - A2b]]),"")</f>
        <v>2.5</v>
      </c>
      <c r="FQ177" s="14" t="s">
        <v>189</v>
      </c>
      <c r="FR177" s="14" t="str">
        <f>IFERROR(AVERAGE(Tabel1[[#This Row],[Do - A3a]:[Do - A3a]]),"")</f>
        <v/>
      </c>
      <c r="FS177" s="14" t="s">
        <v>189</v>
      </c>
      <c r="FT177" s="14">
        <f>IFERROR(AVERAGE(Tabel1[[#This Row],[Do - A1]],Tabel1[[#This Row],[Do - A2]],Tabel1[[#This Row],[Do - A3]],Tabel1[[#This Row],[Do - A4]]),"")</f>
        <v>3</v>
      </c>
      <c r="FU17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2.822222222222222</v>
      </c>
      <c r="FV177" s="16" t="s">
        <v>1018</v>
      </c>
      <c r="FW177" t="b">
        <v>1</v>
      </c>
    </row>
    <row r="178" spans="1:179" x14ac:dyDescent="0.3">
      <c r="A178" s="13">
        <v>45222.447627314818</v>
      </c>
      <c r="B178" t="b">
        <v>0</v>
      </c>
      <c r="C178" s="14" t="s">
        <v>1019</v>
      </c>
      <c r="D178" s="14" t="s">
        <v>1020</v>
      </c>
      <c r="E178" s="14" t="s">
        <v>1021</v>
      </c>
      <c r="F178" s="14" t="s">
        <v>184</v>
      </c>
      <c r="G178" s="14" t="s">
        <v>1022</v>
      </c>
      <c r="H178" s="14" t="s">
        <v>222</v>
      </c>
      <c r="I178" s="14" t="s">
        <v>195</v>
      </c>
      <c r="J178" s="14" t="s">
        <v>212</v>
      </c>
      <c r="K178" s="14" t="s">
        <v>187</v>
      </c>
      <c r="L178" s="14" t="s">
        <v>218</v>
      </c>
      <c r="M178" s="14" t="s">
        <v>198</v>
      </c>
      <c r="N178" s="14" t="s">
        <v>262</v>
      </c>
      <c r="O178" s="14" t="s">
        <v>200</v>
      </c>
      <c r="P178" s="17" t="s">
        <v>304</v>
      </c>
      <c r="Q178" s="14" t="s">
        <v>202</v>
      </c>
      <c r="R178" s="14" t="s">
        <v>235</v>
      </c>
      <c r="S178" s="14" t="s">
        <v>187</v>
      </c>
      <c r="T178" s="14" t="s">
        <v>380</v>
      </c>
      <c r="U178" s="14" t="s">
        <v>205</v>
      </c>
      <c r="V178" s="14" t="s">
        <v>610</v>
      </c>
      <c r="W178" s="14" t="s">
        <v>207</v>
      </c>
      <c r="X178" s="14" t="s">
        <v>395</v>
      </c>
      <c r="Y178" s="14">
        <v>2</v>
      </c>
      <c r="Z178" s="14">
        <v>3</v>
      </c>
      <c r="AA178" s="14">
        <v>1</v>
      </c>
      <c r="AB178" s="15">
        <f>IFERROR(AVERAGE(Tabel1[[#This Row],[Up - R1a]:[Up - R1c]]),"")</f>
        <v>2</v>
      </c>
      <c r="AC178" s="14">
        <v>1</v>
      </c>
      <c r="AD178" s="14">
        <v>4</v>
      </c>
      <c r="AE178" s="14">
        <v>2</v>
      </c>
      <c r="AF178" s="14">
        <v>3</v>
      </c>
      <c r="AG178" s="14">
        <f>IFERROR(AVERAGE(Tabel1[[#This Row],[Up - R1]:[Up - R5]]),"")</f>
        <v>2.4</v>
      </c>
      <c r="AH178" s="14">
        <v>4</v>
      </c>
      <c r="AI178" s="14">
        <v>3</v>
      </c>
      <c r="AJ178" s="14">
        <v>3</v>
      </c>
      <c r="AK178" s="14">
        <f>IFERROR(AVERAGE(Tabel1[[#This Row],[Up - C1a]:[Up - C1c]]),"")</f>
        <v>3.3333333333333335</v>
      </c>
      <c r="AL178" s="14">
        <v>2</v>
      </c>
      <c r="AM178" s="14">
        <v>2</v>
      </c>
      <c r="AN178" s="14">
        <v>3</v>
      </c>
      <c r="AO178" s="14">
        <f>IFERROR(AVERAGE(Tabel1[[#This Row],[Up - C1]:[Up - C4]]),"")</f>
        <v>2.5833333333333335</v>
      </c>
      <c r="AP178" s="14">
        <v>3</v>
      </c>
      <c r="AQ178" s="14">
        <f>IFERROR(AVERAGE(Tabel1[[#This Row],[Up - F1a]:[Up - F1a]]),"")</f>
        <v>3</v>
      </c>
      <c r="AR178" s="14">
        <v>1</v>
      </c>
      <c r="AS178" s="14">
        <v>3</v>
      </c>
      <c r="AT178" s="14">
        <f>IFERROR(AVERAGE(Tabel1[[#This Row],[Up - F2a]:[Up - F2b]]),"")</f>
        <v>2</v>
      </c>
      <c r="AU178" s="14" t="s">
        <v>189</v>
      </c>
      <c r="AV178" s="14">
        <v>1</v>
      </c>
      <c r="AW178" s="14">
        <f>IFERROR(AVERAGE(Tabel1[[#This Row],[Up - F3a]:[Up - F3b]]),"")</f>
        <v>1</v>
      </c>
      <c r="AX178" s="14">
        <v>3</v>
      </c>
      <c r="AY178" s="14">
        <f>IFERROR(AVERAGE(Tabel1[[#This Row],[Up - F1]],Tabel1[[#This Row],[Up - F2]],Tabel1[[#This Row],[Up - F3]],Tabel1[[#This Row],[Up - F4]]),"")</f>
        <v>2.25</v>
      </c>
      <c r="AZ178" s="14">
        <v>2</v>
      </c>
      <c r="BA178" s="14">
        <v>3</v>
      </c>
      <c r="BB178" s="14">
        <f>IFERROR(AVERAGE(Tabel1[[#This Row],[Up - V1a]:[Up - V1b]]),"")</f>
        <v>2.5</v>
      </c>
      <c r="BC178" s="14">
        <v>3</v>
      </c>
      <c r="BD178" s="14">
        <v>3</v>
      </c>
      <c r="BE178" s="14">
        <v>3</v>
      </c>
      <c r="BF178" s="14">
        <f>IFERROR(AVERAGE(Tabel1[[#This Row],[Up - V2a]:[Up - V2c]]),"")</f>
        <v>3</v>
      </c>
      <c r="BG178" s="14">
        <v>3</v>
      </c>
      <c r="BH178" s="14">
        <v>3</v>
      </c>
      <c r="BI178" s="14">
        <f>IFERROR(AVERAGE(Tabel1[[#This Row],[Up - V3a]:[Up - V3b]]),"")</f>
        <v>3</v>
      </c>
      <c r="BJ178" s="14">
        <v>3</v>
      </c>
      <c r="BK178" s="14">
        <f>IFERROR(AVERAGE(Tabel1[[#This Row],[Up - V1]],Tabel1[[#This Row],[Up - V2]],Tabel1[[#This Row],[Up - V3]],Tabel1[[#This Row],[Up - V4]]),"")</f>
        <v>2.875</v>
      </c>
      <c r="BL178" s="14">
        <v>2</v>
      </c>
      <c r="BM178" s="14">
        <v>2</v>
      </c>
      <c r="BN178" s="14">
        <v>2</v>
      </c>
      <c r="BO178" s="14">
        <v>2</v>
      </c>
      <c r="BP178" s="14">
        <f>IFERROR(AVERAGE(Tabel1[[#This Row],[Up - A1a]:[Up - A1d]]),"")</f>
        <v>2</v>
      </c>
      <c r="BQ178" s="14">
        <v>2</v>
      </c>
      <c r="BR178" s="14">
        <v>4</v>
      </c>
      <c r="BS178" s="14">
        <f>IFERROR(AVERAGE(Tabel1[[#This Row],[Up - A2a]:[Up - A2b]]),"")</f>
        <v>3</v>
      </c>
      <c r="BT178" s="14">
        <v>3</v>
      </c>
      <c r="BU178" s="14">
        <f>IFERROR(AVERAGE(Tabel1[[#This Row],[Up - A3a]:[Up - A3a]]),"")</f>
        <v>3</v>
      </c>
      <c r="BV178" s="14">
        <v>3</v>
      </c>
      <c r="BW178" s="14">
        <f>IFERROR(AVERAGE(Tabel1[[#This Row],[Up - A1]],Tabel1[[#This Row],[Up - A2]],Tabel1[[#This Row],[Up - A3]]),"")</f>
        <v>2.6666666666666665</v>
      </c>
      <c r="BX178" s="14">
        <v>3</v>
      </c>
      <c r="BY178" s="14">
        <v>4</v>
      </c>
      <c r="BZ178" s="14">
        <f>IFERROR(AVERAGE(Tabel1[[#This Row],[In - R1a]:[In - R1b]]),"")</f>
        <v>3.5</v>
      </c>
      <c r="CA178" s="14">
        <v>4</v>
      </c>
      <c r="CB178" s="14">
        <v>4</v>
      </c>
      <c r="CC178" s="14">
        <v>3</v>
      </c>
      <c r="CD178" s="14">
        <v>5</v>
      </c>
      <c r="CE178" s="14">
        <f>IFERROR(AVERAGE(Tabel1[[#This Row],[In - R1]:[In - R5]]),"")</f>
        <v>3.9</v>
      </c>
      <c r="CF178" s="14">
        <v>5</v>
      </c>
      <c r="CG178" s="14">
        <v>3</v>
      </c>
      <c r="CH178" s="14">
        <v>4</v>
      </c>
      <c r="CI178" s="14">
        <f>IFERROR(AVERAGE(Tabel1[[#This Row],[In - C1a]:[In - C1c]]),"")</f>
        <v>4</v>
      </c>
      <c r="CJ178" s="14">
        <v>2</v>
      </c>
      <c r="CK178" s="14">
        <v>3</v>
      </c>
      <c r="CL178" s="14">
        <v>2</v>
      </c>
      <c r="CM178" s="14">
        <f>IFERROR(AVERAGE(Tabel1[[#This Row],[In - C1]:[In - C4]]),"")</f>
        <v>2.75</v>
      </c>
      <c r="CN178" s="14">
        <v>2</v>
      </c>
      <c r="CO178" s="14">
        <v>3</v>
      </c>
      <c r="CP178" s="14">
        <v>4</v>
      </c>
      <c r="CQ178" s="14">
        <f>IFERROR(AVERAGE(Tabel1[[#This Row],[In - F1a]:[In - F1c]]),"")</f>
        <v>3</v>
      </c>
      <c r="CR178" s="14">
        <v>2</v>
      </c>
      <c r="CS178" s="14">
        <v>1</v>
      </c>
      <c r="CT178" s="14">
        <f>IFERROR(AVERAGE(Tabel1[[#This Row],[In - F2a]:[In - F2b]]),"")</f>
        <v>1.5</v>
      </c>
      <c r="CU178" s="14">
        <v>1</v>
      </c>
      <c r="CV178" s="14">
        <f>IFERROR(AVERAGE(Tabel1[[#This Row],[In - F3a]:[In - F3a]]),"")</f>
        <v>1</v>
      </c>
      <c r="CW178" s="14">
        <v>3</v>
      </c>
      <c r="CX178" s="14">
        <f>IFERROR(AVERAGE(Tabel1[[#This Row],[In - F1]],Tabel1[[#This Row],[In - F2]],Tabel1[[#This Row],[In - F3]],Tabel1[[#This Row],[In - F4]]),"")</f>
        <v>2.125</v>
      </c>
      <c r="CY178" s="14">
        <v>2</v>
      </c>
      <c r="CZ178" s="14">
        <v>3</v>
      </c>
      <c r="DA178" s="14">
        <v>2</v>
      </c>
      <c r="DB178" s="14">
        <f>IFERROR(AVERAGE(Tabel1[[#This Row],[In - V1a]:[In - V1c]]),"")</f>
        <v>2.3333333333333335</v>
      </c>
      <c r="DC178" s="14">
        <v>2</v>
      </c>
      <c r="DD178" s="14">
        <v>3</v>
      </c>
      <c r="DE178" s="14">
        <v>3</v>
      </c>
      <c r="DF178" s="14">
        <f>IFERROR(AVERAGE(Tabel1[[#This Row],[In - V2a]:[In - V2c]]),"")</f>
        <v>2.6666666666666665</v>
      </c>
      <c r="DG178" s="14">
        <v>2</v>
      </c>
      <c r="DH178" s="14">
        <v>4</v>
      </c>
      <c r="DI178" s="14">
        <f>IFERROR(AVERAGE(Tabel1[[#This Row],[In - V3a]:[In - V3b]]),"")</f>
        <v>3</v>
      </c>
      <c r="DJ178" s="14">
        <v>3</v>
      </c>
      <c r="DK178" s="14">
        <f>IFERROR(AVERAGE(Tabel1[[#This Row],[In - V1]],Tabel1[[#This Row],[In - V2]],Tabel1[[#This Row],[In - V3]],Tabel1[[#This Row],[In - V4]]),"")</f>
        <v>2.75</v>
      </c>
      <c r="DL178" s="14">
        <v>3</v>
      </c>
      <c r="DM178" s="14">
        <v>3</v>
      </c>
      <c r="DN178" s="14">
        <f>IFERROR(AVERAGE(Tabel1[[#This Row],[In - A1a]:[In - A1b]]),"")</f>
        <v>3</v>
      </c>
      <c r="DO178" s="14">
        <v>3</v>
      </c>
      <c r="DP178" s="14">
        <v>3</v>
      </c>
      <c r="DQ178" s="14">
        <f>IFERROR(AVERAGE(Tabel1[[#This Row],[In - A2a]:[In - A2b]]),"")</f>
        <v>3</v>
      </c>
      <c r="DR178" s="14">
        <v>3</v>
      </c>
      <c r="DS178" s="14">
        <v>2</v>
      </c>
      <c r="DT178" s="14">
        <f>IFERROR(AVERAGE(Tabel1[[#This Row],[In - A3a]:[In - A3a]]),"")</f>
        <v>3</v>
      </c>
      <c r="DU178" s="14">
        <v>3</v>
      </c>
      <c r="DV178" s="14">
        <f>IFERROR(AVERAGE(Tabel1[[#This Row],[In - A1]],Tabel1[[#This Row],[In - A2]],Tabel1[[#This Row],[In - A3]],Tabel1[[#This Row],[In - A4]]),"")</f>
        <v>3</v>
      </c>
      <c r="DW178" s="14">
        <v>2</v>
      </c>
      <c r="DX178" s="14">
        <v>4</v>
      </c>
      <c r="DY178" s="14">
        <v>2</v>
      </c>
      <c r="DZ178" s="14">
        <f>IFERROR(AVERAGE(Tabel1[[#This Row],[Do - R1a]:[Do - R1c]]),"")</f>
        <v>2.6666666666666665</v>
      </c>
      <c r="EA178" s="14">
        <v>3</v>
      </c>
      <c r="EB178" s="14">
        <v>2</v>
      </c>
      <c r="EC178" s="14">
        <v>2</v>
      </c>
      <c r="ED178" s="14">
        <v>3</v>
      </c>
      <c r="EE178" s="14">
        <f>IFERROR(AVERAGE(Tabel1[[#This Row],[Do - R1]:[Do - R5]]),"")</f>
        <v>2.5333333333333332</v>
      </c>
      <c r="EF178" s="14">
        <v>3</v>
      </c>
      <c r="EG178" s="14">
        <v>3</v>
      </c>
      <c r="EH178" s="14">
        <v>3</v>
      </c>
      <c r="EI178" s="14">
        <f>IFERROR(AVERAGE(Tabel1[[#This Row],[Do - C1a]:[Do - C1c]]),"")</f>
        <v>3</v>
      </c>
      <c r="EJ178" s="14">
        <v>3</v>
      </c>
      <c r="EK178" s="14">
        <v>2</v>
      </c>
      <c r="EL178" s="14">
        <v>3</v>
      </c>
      <c r="EM178" s="14">
        <f>IFERROR(AVERAGE(Tabel1[[#This Row],[Do - C1]:[Do - C4]]),"")</f>
        <v>2.75</v>
      </c>
      <c r="EN178" s="14">
        <v>3</v>
      </c>
      <c r="EO178" s="14">
        <v>2</v>
      </c>
      <c r="EP178" s="14">
        <v>2</v>
      </c>
      <c r="EQ178" s="14">
        <f>IFERROR(AVERAGE(Tabel1[[#This Row],[Do - F1a]:[Do - F1c]]),"")</f>
        <v>2.3333333333333335</v>
      </c>
      <c r="ER178" s="14">
        <v>1</v>
      </c>
      <c r="ES178" s="14">
        <f>IFERROR(AVERAGE(Tabel1[[#This Row],[Do - F2a]:[Do - F2a]]),"")</f>
        <v>1</v>
      </c>
      <c r="ET178" s="14">
        <v>3</v>
      </c>
      <c r="EU178" s="14">
        <v>2</v>
      </c>
      <c r="EV178" s="14">
        <f>IFERROR(AVERAGE(Tabel1[[#This Row],[Do - F3a]:[Do - F3b]]),"")</f>
        <v>2.5</v>
      </c>
      <c r="EW178" s="14">
        <v>2</v>
      </c>
      <c r="EX178" s="14">
        <f>IFERROR(AVERAGE(Tabel1[[#This Row],[Do - F1]],Tabel1[[#This Row],[Do - F2]],Tabel1[[#This Row],[Do - F3]],Tabel1[[#This Row],[Do - F4]]),"")</f>
        <v>1.9583333333333335</v>
      </c>
      <c r="EY178" s="14">
        <v>2</v>
      </c>
      <c r="EZ178" s="14">
        <v>1</v>
      </c>
      <c r="FA178" s="14">
        <v>2</v>
      </c>
      <c r="FB178" s="14">
        <f>IFERROR(AVERAGE(Tabel1[[#This Row],[Do - V1a]:[Do - V1c]]),"")</f>
        <v>1.6666666666666667</v>
      </c>
      <c r="FC178" s="14">
        <v>3</v>
      </c>
      <c r="FD178" s="14">
        <v>3</v>
      </c>
      <c r="FE178" s="14">
        <f>IFERROR(AVERAGE(Tabel1[[#This Row],[Do - V2a]:[Do - V2b]]),"")</f>
        <v>3</v>
      </c>
      <c r="FF178" s="14">
        <v>2</v>
      </c>
      <c r="FG178" s="14">
        <f>IFERROR(AVERAGE(Tabel1[[#This Row],[Do - V3a]:[Do - V3a]]),"")</f>
        <v>2</v>
      </c>
      <c r="FH178" s="14">
        <v>3</v>
      </c>
      <c r="FI178" s="14">
        <f>IFERROR(AVERAGE(Tabel1[[#This Row],[Do - V1]],Tabel1[[#This Row],[Do - V2]],Tabel1[[#This Row],[Do - V3]],Tabel1[[#This Row],[Do - V4]]),"")</f>
        <v>2.416666666666667</v>
      </c>
      <c r="FJ178" s="14">
        <v>4</v>
      </c>
      <c r="FK178" s="14">
        <v>2</v>
      </c>
      <c r="FL178" s="14">
        <v>3</v>
      </c>
      <c r="FM178" s="14">
        <f>IFERROR(AVERAGE(Tabel1[[#This Row],[Do - A1a]:[Do - A1c]]),"")</f>
        <v>3</v>
      </c>
      <c r="FN178" s="14">
        <v>3</v>
      </c>
      <c r="FO178" s="14">
        <v>4</v>
      </c>
      <c r="FP178" s="14">
        <f>IFERROR(AVERAGE(Tabel1[[#This Row],[Do - A2a]:[Do - A2b]]),"")</f>
        <v>3.5</v>
      </c>
      <c r="FQ178" s="14">
        <v>2</v>
      </c>
      <c r="FR178" s="14">
        <f>IFERROR(AVERAGE(Tabel1[[#This Row],[Do - A3a]:[Do - A3a]]),"")</f>
        <v>2</v>
      </c>
      <c r="FS178" s="14">
        <v>3</v>
      </c>
      <c r="FT178" s="14">
        <f>IFERROR(AVERAGE(Tabel1[[#This Row],[Do - A1]],Tabel1[[#This Row],[Do - A2]],Tabel1[[#This Row],[Do - A3]],Tabel1[[#This Row],[Do - A4]]),"")</f>
        <v>2.875</v>
      </c>
      <c r="FU17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2.6555555555555559</v>
      </c>
      <c r="FV178" s="16" t="s">
        <v>1023</v>
      </c>
      <c r="FW178" t="b">
        <v>1</v>
      </c>
    </row>
    <row r="179" spans="1:179" x14ac:dyDescent="0.3">
      <c r="A179" s="13">
        <v>45222.580011574071</v>
      </c>
      <c r="B179" t="b">
        <v>0</v>
      </c>
      <c r="C179" s="14" t="s">
        <v>1024</v>
      </c>
      <c r="D179" s="14" t="s">
        <v>1025</v>
      </c>
      <c r="E179" s="14" t="s">
        <v>241</v>
      </c>
      <c r="F179" s="14" t="s">
        <v>184</v>
      </c>
      <c r="G179" s="14" t="s">
        <v>1026</v>
      </c>
      <c r="H179" s="14" t="s">
        <v>222</v>
      </c>
      <c r="I179" s="14" t="s">
        <v>385</v>
      </c>
      <c r="J179" s="14" t="s">
        <v>248</v>
      </c>
      <c r="K179" s="14" t="s">
        <v>187</v>
      </c>
      <c r="L179" s="14" t="s">
        <v>218</v>
      </c>
      <c r="M179" s="14" t="s">
        <v>198</v>
      </c>
      <c r="N179" s="14" t="s">
        <v>331</v>
      </c>
      <c r="O179" s="14" t="s">
        <v>256</v>
      </c>
      <c r="P179" s="17" t="s">
        <v>304</v>
      </c>
      <c r="Q179" s="14" t="s">
        <v>201</v>
      </c>
      <c r="R179" s="14" t="s">
        <v>201</v>
      </c>
      <c r="S179" s="14" t="s">
        <v>187</v>
      </c>
      <c r="T179" s="14" t="s">
        <v>284</v>
      </c>
      <c r="U179" s="14" t="s">
        <v>285</v>
      </c>
      <c r="V179" s="14"/>
      <c r="W179" s="14"/>
      <c r="X179" s="14"/>
      <c r="Y179" s="14">
        <v>1</v>
      </c>
      <c r="Z179" s="14">
        <v>3</v>
      </c>
      <c r="AA179" s="14" t="s">
        <v>189</v>
      </c>
      <c r="AB179" s="15">
        <f>IFERROR(AVERAGE(Tabel1[[#This Row],[Up - R1a]:[Up - R1c]]),"")</f>
        <v>2</v>
      </c>
      <c r="AC179" s="14">
        <v>3</v>
      </c>
      <c r="AD179" s="14">
        <v>4</v>
      </c>
      <c r="AE179" s="14">
        <v>2</v>
      </c>
      <c r="AF179" s="14">
        <v>3</v>
      </c>
      <c r="AG179" s="14">
        <f>IFERROR(AVERAGE(Tabel1[[#This Row],[Up - R1]:[Up - R5]]),"")</f>
        <v>2.8</v>
      </c>
      <c r="AH179" s="14">
        <v>3</v>
      </c>
      <c r="AI179" s="14">
        <v>4</v>
      </c>
      <c r="AJ179" s="14">
        <v>2</v>
      </c>
      <c r="AK179" s="14">
        <f>IFERROR(AVERAGE(Tabel1[[#This Row],[Up - C1a]:[Up - C1c]]),"")</f>
        <v>3</v>
      </c>
      <c r="AL179" s="14">
        <v>4</v>
      </c>
      <c r="AM179" s="14">
        <v>3</v>
      </c>
      <c r="AN179" s="14" t="s">
        <v>189</v>
      </c>
      <c r="AO179" s="14">
        <f>IFERROR(AVERAGE(Tabel1[[#This Row],[Up - C1]:[Up - C4]]),"")</f>
        <v>3.3333333333333335</v>
      </c>
      <c r="AP179" s="14">
        <v>4</v>
      </c>
      <c r="AQ179" s="14">
        <f>IFERROR(AVERAGE(Tabel1[[#This Row],[Up - F1a]:[Up - F1a]]),"")</f>
        <v>4</v>
      </c>
      <c r="AR179" s="14" t="s">
        <v>189</v>
      </c>
      <c r="AS179" s="14">
        <v>2</v>
      </c>
      <c r="AT179" s="14">
        <f>IFERROR(AVERAGE(Tabel1[[#This Row],[Up - F2a]:[Up - F2b]]),"")</f>
        <v>2</v>
      </c>
      <c r="AU179" s="14">
        <v>3</v>
      </c>
      <c r="AV179" s="14">
        <v>4</v>
      </c>
      <c r="AW179" s="14">
        <f>IFERROR(AVERAGE(Tabel1[[#This Row],[Up - F3a]:[Up - F3b]]),"")</f>
        <v>3.5</v>
      </c>
      <c r="AX179" s="14" t="s">
        <v>189</v>
      </c>
      <c r="AY179" s="14">
        <f>IFERROR(AVERAGE(Tabel1[[#This Row],[Up - F1]],Tabel1[[#This Row],[Up - F2]],Tabel1[[#This Row],[Up - F3]],Tabel1[[#This Row],[Up - F4]]),"")</f>
        <v>3.1666666666666665</v>
      </c>
      <c r="AZ179" s="14">
        <v>4</v>
      </c>
      <c r="BA179" s="14">
        <v>2</v>
      </c>
      <c r="BB179" s="14">
        <f>IFERROR(AVERAGE(Tabel1[[#This Row],[Up - V1a]:[Up - V1b]]),"")</f>
        <v>3</v>
      </c>
      <c r="BC179" s="14">
        <v>3</v>
      </c>
      <c r="BD179" s="14" t="s">
        <v>189</v>
      </c>
      <c r="BE179" s="14">
        <v>4</v>
      </c>
      <c r="BF179" s="14">
        <f>IFERROR(AVERAGE(Tabel1[[#This Row],[Up - V2a]:[Up - V2c]]),"")</f>
        <v>3.5</v>
      </c>
      <c r="BG179" s="14">
        <v>1</v>
      </c>
      <c r="BH179" s="14" t="s">
        <v>189</v>
      </c>
      <c r="BI179" s="14">
        <f>IFERROR(AVERAGE(Tabel1[[#This Row],[Up - V3a]:[Up - V3b]]),"")</f>
        <v>1</v>
      </c>
      <c r="BJ179" s="14">
        <v>2</v>
      </c>
      <c r="BK179" s="14">
        <f>IFERROR(AVERAGE(Tabel1[[#This Row],[Up - V1]],Tabel1[[#This Row],[Up - V2]],Tabel1[[#This Row],[Up - V3]],Tabel1[[#This Row],[Up - V4]]),"")</f>
        <v>2.375</v>
      </c>
      <c r="BL179" s="14">
        <v>4</v>
      </c>
      <c r="BM179" s="14">
        <v>4</v>
      </c>
      <c r="BN179" s="14">
        <v>2</v>
      </c>
      <c r="BO179" s="14" t="s">
        <v>189</v>
      </c>
      <c r="BP179" s="14">
        <f>IFERROR(AVERAGE(Tabel1[[#This Row],[Up - A1a]:[Up - A1d]]),"")</f>
        <v>3.3333333333333335</v>
      </c>
      <c r="BQ179" s="14" t="s">
        <v>189</v>
      </c>
      <c r="BR179" s="14">
        <v>3</v>
      </c>
      <c r="BS179" s="14">
        <f>IFERROR(AVERAGE(Tabel1[[#This Row],[Up - A2a]:[Up - A2b]]),"")</f>
        <v>3</v>
      </c>
      <c r="BT179" s="14">
        <v>4</v>
      </c>
      <c r="BU179" s="14">
        <f>IFERROR(AVERAGE(Tabel1[[#This Row],[Up - A3a]:[Up - A3a]]),"")</f>
        <v>4</v>
      </c>
      <c r="BV179" s="14" t="s">
        <v>189</v>
      </c>
      <c r="BW179" s="14">
        <f>IFERROR(AVERAGE(Tabel1[[#This Row],[Up - A1]],Tabel1[[#This Row],[Up - A2]],Tabel1[[#This Row],[Up - A3]]),"")</f>
        <v>3.4444444444444446</v>
      </c>
      <c r="BX179" s="14">
        <v>2</v>
      </c>
      <c r="BY179" s="14" t="s">
        <v>189</v>
      </c>
      <c r="BZ179" s="14">
        <f>IFERROR(AVERAGE(Tabel1[[#This Row],[In - R1a]:[In - R1b]]),"")</f>
        <v>2</v>
      </c>
      <c r="CA179" s="14">
        <v>4</v>
      </c>
      <c r="CB179" s="14">
        <v>4</v>
      </c>
      <c r="CC179" s="14">
        <v>2</v>
      </c>
      <c r="CD179" s="14">
        <v>4</v>
      </c>
      <c r="CE179" s="14">
        <f>IFERROR(AVERAGE(Tabel1[[#This Row],[In - R1]:[In - R5]]),"")</f>
        <v>3.2</v>
      </c>
      <c r="CF179" s="14">
        <v>4</v>
      </c>
      <c r="CG179" s="14">
        <v>2</v>
      </c>
      <c r="CH179" s="14">
        <v>4</v>
      </c>
      <c r="CI179" s="14">
        <f>IFERROR(AVERAGE(Tabel1[[#This Row],[In - C1a]:[In - C1c]]),"")</f>
        <v>3.3333333333333335</v>
      </c>
      <c r="CJ179" s="14">
        <v>3</v>
      </c>
      <c r="CK179" s="14">
        <v>4</v>
      </c>
      <c r="CL179" s="14">
        <v>4</v>
      </c>
      <c r="CM179" s="14">
        <f>IFERROR(AVERAGE(Tabel1[[#This Row],[In - C1]:[In - C4]]),"")</f>
        <v>3.5833333333333335</v>
      </c>
      <c r="CN179" s="14">
        <v>3</v>
      </c>
      <c r="CO179" s="14">
        <v>4</v>
      </c>
      <c r="CP179" s="14">
        <v>4</v>
      </c>
      <c r="CQ179" s="14">
        <f>IFERROR(AVERAGE(Tabel1[[#This Row],[In - F1a]:[In - F1c]]),"")</f>
        <v>3.6666666666666665</v>
      </c>
      <c r="CR179" s="14">
        <v>4</v>
      </c>
      <c r="CS179" s="14">
        <v>4</v>
      </c>
      <c r="CT179" s="14">
        <f>IFERROR(AVERAGE(Tabel1[[#This Row],[In - F2a]:[In - F2b]]),"")</f>
        <v>4</v>
      </c>
      <c r="CU179" s="14" t="s">
        <v>189</v>
      </c>
      <c r="CV179" s="14" t="str">
        <f>IFERROR(AVERAGE(Tabel1[[#This Row],[In - F3a]:[In - F3a]]),"")</f>
        <v/>
      </c>
      <c r="CW179" s="14" t="s">
        <v>189</v>
      </c>
      <c r="CX179" s="14">
        <f>IFERROR(AVERAGE(Tabel1[[#This Row],[In - F1]],Tabel1[[#This Row],[In - F2]],Tabel1[[#This Row],[In - F3]],Tabel1[[#This Row],[In - F4]]),"")</f>
        <v>3.833333333333333</v>
      </c>
      <c r="CY179" s="14">
        <v>1</v>
      </c>
      <c r="CZ179" s="14">
        <v>2</v>
      </c>
      <c r="DA179" s="14">
        <v>3</v>
      </c>
      <c r="DB179" s="14">
        <f>IFERROR(AVERAGE(Tabel1[[#This Row],[In - V1a]:[In - V1c]]),"")</f>
        <v>2</v>
      </c>
      <c r="DC179" s="14">
        <v>3</v>
      </c>
      <c r="DD179" s="14">
        <v>2</v>
      </c>
      <c r="DE179" s="14">
        <v>3</v>
      </c>
      <c r="DF179" s="14">
        <f>IFERROR(AVERAGE(Tabel1[[#This Row],[In - V2a]:[In - V2c]]),"")</f>
        <v>2.6666666666666665</v>
      </c>
      <c r="DG179" s="14">
        <v>1</v>
      </c>
      <c r="DH179" s="14" t="s">
        <v>189</v>
      </c>
      <c r="DI179" s="14">
        <f>IFERROR(AVERAGE(Tabel1[[#This Row],[In - V3a]:[In - V3b]]),"")</f>
        <v>1</v>
      </c>
      <c r="DJ179" s="14">
        <v>1</v>
      </c>
      <c r="DK179" s="14">
        <f>IFERROR(AVERAGE(Tabel1[[#This Row],[In - V1]],Tabel1[[#This Row],[In - V2]],Tabel1[[#This Row],[In - V3]],Tabel1[[#This Row],[In - V4]]),"")</f>
        <v>1.6666666666666665</v>
      </c>
      <c r="DL179" s="14">
        <v>4</v>
      </c>
      <c r="DM179" s="14" t="s">
        <v>189</v>
      </c>
      <c r="DN179" s="14">
        <f>IFERROR(AVERAGE(Tabel1[[#This Row],[In - A1a]:[In - A1b]]),"")</f>
        <v>4</v>
      </c>
      <c r="DO179" s="14">
        <v>2</v>
      </c>
      <c r="DP179" s="14">
        <v>3</v>
      </c>
      <c r="DQ179" s="14">
        <f>IFERROR(AVERAGE(Tabel1[[#This Row],[In - A2a]:[In - A2b]]),"")</f>
        <v>2.5</v>
      </c>
      <c r="DR179" s="14">
        <v>5</v>
      </c>
      <c r="DS179" s="14">
        <v>4</v>
      </c>
      <c r="DT179" s="14">
        <f>IFERROR(AVERAGE(Tabel1[[#This Row],[In - A3a]:[In - A3a]]),"")</f>
        <v>5</v>
      </c>
      <c r="DU179" s="14">
        <v>2</v>
      </c>
      <c r="DV179" s="14">
        <f>IFERROR(AVERAGE(Tabel1[[#This Row],[In - A1]],Tabel1[[#This Row],[In - A2]],Tabel1[[#This Row],[In - A3]],Tabel1[[#This Row],[In - A4]]),"")</f>
        <v>3.375</v>
      </c>
      <c r="DW179" s="14">
        <v>4</v>
      </c>
      <c r="DX179" s="14">
        <v>4</v>
      </c>
      <c r="DY179" s="14" t="s">
        <v>189</v>
      </c>
      <c r="DZ179" s="14">
        <f>IFERROR(AVERAGE(Tabel1[[#This Row],[Do - R1a]:[Do - R1c]]),"")</f>
        <v>4</v>
      </c>
      <c r="EA179" s="14">
        <v>4</v>
      </c>
      <c r="EB179" s="14">
        <v>4</v>
      </c>
      <c r="EC179" s="14">
        <v>2</v>
      </c>
      <c r="ED179" s="14">
        <v>4</v>
      </c>
      <c r="EE179" s="14">
        <f>IFERROR(AVERAGE(Tabel1[[#This Row],[Do - R1]:[Do - R5]]),"")</f>
        <v>3.6</v>
      </c>
      <c r="EF179" s="14">
        <v>3</v>
      </c>
      <c r="EG179" s="14">
        <v>3</v>
      </c>
      <c r="EH179" s="14">
        <v>3</v>
      </c>
      <c r="EI179" s="14">
        <f>IFERROR(AVERAGE(Tabel1[[#This Row],[Do - C1a]:[Do - C1c]]),"")</f>
        <v>3</v>
      </c>
      <c r="EJ179" s="14">
        <v>4</v>
      </c>
      <c r="EK179" s="14">
        <v>4</v>
      </c>
      <c r="EL179" s="14">
        <v>4</v>
      </c>
      <c r="EM179" s="14">
        <f>IFERROR(AVERAGE(Tabel1[[#This Row],[Do - C1]:[Do - C4]]),"")</f>
        <v>3.75</v>
      </c>
      <c r="EN179" s="14" t="s">
        <v>189</v>
      </c>
      <c r="EO179" s="14">
        <v>3</v>
      </c>
      <c r="EP179" s="14" t="s">
        <v>189</v>
      </c>
      <c r="EQ179" s="14">
        <f>IFERROR(AVERAGE(Tabel1[[#This Row],[Do - F1a]:[Do - F1c]]),"")</f>
        <v>3</v>
      </c>
      <c r="ER179" s="14">
        <v>4</v>
      </c>
      <c r="ES179" s="14">
        <f>IFERROR(AVERAGE(Tabel1[[#This Row],[Do - F2a]:[Do - F2a]]),"")</f>
        <v>4</v>
      </c>
      <c r="ET179" s="14">
        <v>4</v>
      </c>
      <c r="EU179" s="14">
        <v>3</v>
      </c>
      <c r="EV179" s="14">
        <f>IFERROR(AVERAGE(Tabel1[[#This Row],[Do - F3a]:[Do - F3b]]),"")</f>
        <v>3.5</v>
      </c>
      <c r="EW179" s="14">
        <v>4</v>
      </c>
      <c r="EX179" s="14">
        <f>IFERROR(AVERAGE(Tabel1[[#This Row],[Do - F1]],Tabel1[[#This Row],[Do - F2]],Tabel1[[#This Row],[Do - F3]],Tabel1[[#This Row],[Do - F4]]),"")</f>
        <v>3.625</v>
      </c>
      <c r="EY179" s="14">
        <v>2</v>
      </c>
      <c r="EZ179" s="14">
        <v>1</v>
      </c>
      <c r="FA179" s="14" t="s">
        <v>189</v>
      </c>
      <c r="FB179" s="14">
        <f>IFERROR(AVERAGE(Tabel1[[#This Row],[Do - V1a]:[Do - V1c]]),"")</f>
        <v>1.5</v>
      </c>
      <c r="FC179" s="14">
        <v>4</v>
      </c>
      <c r="FD179" s="14">
        <v>3</v>
      </c>
      <c r="FE179" s="14">
        <f>IFERROR(AVERAGE(Tabel1[[#This Row],[Do - V2a]:[Do - V2b]]),"")</f>
        <v>3.5</v>
      </c>
      <c r="FF179" s="14">
        <v>2</v>
      </c>
      <c r="FG179" s="14">
        <f>IFERROR(AVERAGE(Tabel1[[#This Row],[Do - V3a]:[Do - V3a]]),"")</f>
        <v>2</v>
      </c>
      <c r="FH179" s="14" t="s">
        <v>189</v>
      </c>
      <c r="FI179" s="14">
        <f>IFERROR(AVERAGE(Tabel1[[#This Row],[Do - V1]],Tabel1[[#This Row],[Do - V2]],Tabel1[[#This Row],[Do - V3]],Tabel1[[#This Row],[Do - V4]]),"")</f>
        <v>2.3333333333333335</v>
      </c>
      <c r="FJ179" s="14">
        <v>5</v>
      </c>
      <c r="FK179" s="14">
        <v>4</v>
      </c>
      <c r="FL179" s="14" t="s">
        <v>189</v>
      </c>
      <c r="FM179" s="14">
        <f>IFERROR(AVERAGE(Tabel1[[#This Row],[Do - A1a]:[Do - A1c]]),"")</f>
        <v>4.5</v>
      </c>
      <c r="FN179" s="14">
        <v>3</v>
      </c>
      <c r="FO179" s="14">
        <v>3</v>
      </c>
      <c r="FP179" s="14">
        <f>IFERROR(AVERAGE(Tabel1[[#This Row],[Do - A2a]:[Do - A2b]]),"")</f>
        <v>3</v>
      </c>
      <c r="FQ179" s="14">
        <v>5</v>
      </c>
      <c r="FR179" s="14">
        <f>IFERROR(AVERAGE(Tabel1[[#This Row],[Do - A3a]:[Do - A3a]]),"")</f>
        <v>5</v>
      </c>
      <c r="FS179" s="14">
        <v>3</v>
      </c>
      <c r="FT179" s="14">
        <f>IFERROR(AVERAGE(Tabel1[[#This Row],[Do - A1]],Tabel1[[#This Row],[Do - A2]],Tabel1[[#This Row],[Do - A3]],Tabel1[[#This Row],[Do - A4]]),"")</f>
        <v>3.875</v>
      </c>
      <c r="FU17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3.197407407407407</v>
      </c>
      <c r="FV179" s="16" t="s">
        <v>1027</v>
      </c>
      <c r="FW179" t="b">
        <v>1</v>
      </c>
    </row>
    <row r="180" spans="1:179" x14ac:dyDescent="0.3">
      <c r="A180" s="13">
        <v>45222.940625000003</v>
      </c>
      <c r="B180" t="b">
        <v>0</v>
      </c>
      <c r="C180" s="14" t="s">
        <v>1028</v>
      </c>
      <c r="D180" s="14" t="s">
        <v>1029</v>
      </c>
      <c r="E180" s="14" t="s">
        <v>241</v>
      </c>
      <c r="F180" s="14" t="s">
        <v>184</v>
      </c>
      <c r="G180" s="14" t="s">
        <v>1030</v>
      </c>
      <c r="H180" s="14" t="s">
        <v>222</v>
      </c>
      <c r="I180" s="14" t="s">
        <v>243</v>
      </c>
      <c r="J180" s="14" t="s">
        <v>244</v>
      </c>
      <c r="K180" s="14" t="s">
        <v>187</v>
      </c>
      <c r="L180" s="14" t="s">
        <v>249</v>
      </c>
      <c r="M180" s="14" t="s">
        <v>198</v>
      </c>
      <c r="N180" s="14" t="s">
        <v>331</v>
      </c>
      <c r="O180" s="14" t="s">
        <v>256</v>
      </c>
      <c r="P180" s="17" t="s">
        <v>255</v>
      </c>
      <c r="Q180" s="14" t="s">
        <v>203</v>
      </c>
      <c r="R180" s="14" t="s">
        <v>201</v>
      </c>
      <c r="S180" s="14" t="s">
        <v>235</v>
      </c>
      <c r="T180" s="14" t="s">
        <v>204</v>
      </c>
      <c r="U180" s="14" t="s">
        <v>349</v>
      </c>
      <c r="V180" s="14" t="s">
        <v>224</v>
      </c>
      <c r="W180" s="14" t="s">
        <v>207</v>
      </c>
      <c r="X180" s="14" t="s">
        <v>207</v>
      </c>
      <c r="Y180" s="14">
        <v>1</v>
      </c>
      <c r="Z180" s="14">
        <v>3</v>
      </c>
      <c r="AA180" s="14" t="s">
        <v>189</v>
      </c>
      <c r="AB180" s="15">
        <f>IFERROR(AVERAGE(Tabel1[[#This Row],[Up - R1a]:[Up - R1c]]),"")</f>
        <v>2</v>
      </c>
      <c r="AC180" s="14">
        <v>3</v>
      </c>
      <c r="AD180" s="14">
        <v>3</v>
      </c>
      <c r="AE180" s="14">
        <v>2</v>
      </c>
      <c r="AF180" s="14">
        <v>4</v>
      </c>
      <c r="AG180" s="14">
        <f>IFERROR(AVERAGE(Tabel1[[#This Row],[Up - R1]:[Up - R5]]),"")</f>
        <v>2.8</v>
      </c>
      <c r="AH180" s="14">
        <v>5</v>
      </c>
      <c r="AI180" s="14">
        <v>4</v>
      </c>
      <c r="AJ180" s="14">
        <v>3</v>
      </c>
      <c r="AK180" s="14">
        <f>IFERROR(AVERAGE(Tabel1[[#This Row],[Up - C1a]:[Up - C1c]]),"")</f>
        <v>4</v>
      </c>
      <c r="AL180" s="14">
        <v>5</v>
      </c>
      <c r="AM180" s="14">
        <v>2</v>
      </c>
      <c r="AN180" s="14">
        <v>1</v>
      </c>
      <c r="AO180" s="14">
        <f>IFERROR(AVERAGE(Tabel1[[#This Row],[Up - C1]:[Up - C4]]),"")</f>
        <v>3</v>
      </c>
      <c r="AP180" s="14">
        <v>3</v>
      </c>
      <c r="AQ180" s="14">
        <f>IFERROR(AVERAGE(Tabel1[[#This Row],[Up - F1a]:[Up - F1a]]),"")</f>
        <v>3</v>
      </c>
      <c r="AR180" s="14">
        <v>3</v>
      </c>
      <c r="AS180" s="14">
        <v>4</v>
      </c>
      <c r="AT180" s="14">
        <f>IFERROR(AVERAGE(Tabel1[[#This Row],[Up - F2a]:[Up - F2b]]),"")</f>
        <v>3.5</v>
      </c>
      <c r="AU180" s="14">
        <v>4</v>
      </c>
      <c r="AV180" s="14">
        <v>3</v>
      </c>
      <c r="AW180" s="14">
        <f>IFERROR(AVERAGE(Tabel1[[#This Row],[Up - F3a]:[Up - F3b]]),"")</f>
        <v>3.5</v>
      </c>
      <c r="AX180" s="14">
        <v>2</v>
      </c>
      <c r="AY180" s="14">
        <f>IFERROR(AVERAGE(Tabel1[[#This Row],[Up - F1]],Tabel1[[#This Row],[Up - F2]],Tabel1[[#This Row],[Up - F3]],Tabel1[[#This Row],[Up - F4]]),"")</f>
        <v>3</v>
      </c>
      <c r="AZ180" s="14">
        <v>4</v>
      </c>
      <c r="BA180" s="14">
        <v>2</v>
      </c>
      <c r="BB180" s="14">
        <f>IFERROR(AVERAGE(Tabel1[[#This Row],[Up - V1a]:[Up - V1b]]),"")</f>
        <v>3</v>
      </c>
      <c r="BC180" s="14">
        <v>2</v>
      </c>
      <c r="BD180" s="14">
        <v>1</v>
      </c>
      <c r="BE180" s="14">
        <v>3</v>
      </c>
      <c r="BF180" s="14">
        <f>IFERROR(AVERAGE(Tabel1[[#This Row],[Up - V2a]:[Up - V2c]]),"")</f>
        <v>2</v>
      </c>
      <c r="BG180" s="14">
        <v>2</v>
      </c>
      <c r="BH180" s="14">
        <v>3</v>
      </c>
      <c r="BI180" s="14">
        <f>IFERROR(AVERAGE(Tabel1[[#This Row],[Up - V3a]:[Up - V3b]]),"")</f>
        <v>2.5</v>
      </c>
      <c r="BJ180" s="14">
        <v>2</v>
      </c>
      <c r="BK180" s="14">
        <f>IFERROR(AVERAGE(Tabel1[[#This Row],[Up - V1]],Tabel1[[#This Row],[Up - V2]],Tabel1[[#This Row],[Up - V3]],Tabel1[[#This Row],[Up - V4]]),"")</f>
        <v>2.375</v>
      </c>
      <c r="BL180" s="14">
        <v>4</v>
      </c>
      <c r="BM180" s="14">
        <v>4</v>
      </c>
      <c r="BN180" s="14">
        <v>2</v>
      </c>
      <c r="BO180" s="14">
        <v>3</v>
      </c>
      <c r="BP180" s="14">
        <f>IFERROR(AVERAGE(Tabel1[[#This Row],[Up - A1a]:[Up - A1d]]),"")</f>
        <v>3.25</v>
      </c>
      <c r="BQ180" s="14">
        <v>4</v>
      </c>
      <c r="BR180" s="14">
        <v>4</v>
      </c>
      <c r="BS180" s="14">
        <f>IFERROR(AVERAGE(Tabel1[[#This Row],[Up - A2a]:[Up - A2b]]),"")</f>
        <v>4</v>
      </c>
      <c r="BT180" s="14">
        <v>4</v>
      </c>
      <c r="BU180" s="14">
        <f>IFERROR(AVERAGE(Tabel1[[#This Row],[Up - A3a]:[Up - A3a]]),"")</f>
        <v>4</v>
      </c>
      <c r="BV180" s="14">
        <v>2</v>
      </c>
      <c r="BW180" s="14">
        <f>IFERROR(AVERAGE(Tabel1[[#This Row],[Up - A1]],Tabel1[[#This Row],[Up - A2]],Tabel1[[#This Row],[Up - A3]]),"")</f>
        <v>3.75</v>
      </c>
      <c r="BX180" s="14">
        <v>2</v>
      </c>
      <c r="BY180" s="14">
        <v>3</v>
      </c>
      <c r="BZ180" s="14">
        <f>IFERROR(AVERAGE(Tabel1[[#This Row],[In - R1a]:[In - R1b]]),"")</f>
        <v>2.5</v>
      </c>
      <c r="CA180" s="14">
        <v>4</v>
      </c>
      <c r="CB180" s="14">
        <v>3</v>
      </c>
      <c r="CC180" s="14">
        <v>2</v>
      </c>
      <c r="CD180" s="14">
        <v>5</v>
      </c>
      <c r="CE180" s="14">
        <f>IFERROR(AVERAGE(Tabel1[[#This Row],[In - R1]:[In - R5]]),"")</f>
        <v>3.3</v>
      </c>
      <c r="CF180" s="14">
        <v>4</v>
      </c>
      <c r="CG180" s="14">
        <v>3</v>
      </c>
      <c r="CH180" s="14">
        <v>4</v>
      </c>
      <c r="CI180" s="14">
        <f>IFERROR(AVERAGE(Tabel1[[#This Row],[In - C1a]:[In - C1c]]),"")</f>
        <v>3.6666666666666665</v>
      </c>
      <c r="CJ180" s="14">
        <v>3</v>
      </c>
      <c r="CK180" s="14">
        <v>2</v>
      </c>
      <c r="CL180" s="14">
        <v>4</v>
      </c>
      <c r="CM180" s="14">
        <f>IFERROR(AVERAGE(Tabel1[[#This Row],[In - C1]:[In - C4]]),"")</f>
        <v>3.1666666666666665</v>
      </c>
      <c r="CN180" s="14">
        <v>2</v>
      </c>
      <c r="CO180" s="14">
        <v>4</v>
      </c>
      <c r="CP180" s="14">
        <v>1</v>
      </c>
      <c r="CQ180" s="14">
        <f>IFERROR(AVERAGE(Tabel1[[#This Row],[In - F1a]:[In - F1c]]),"")</f>
        <v>2.3333333333333335</v>
      </c>
      <c r="CR180" s="14">
        <v>4</v>
      </c>
      <c r="CS180" s="14">
        <v>2</v>
      </c>
      <c r="CT180" s="14">
        <f>IFERROR(AVERAGE(Tabel1[[#This Row],[In - F2a]:[In - F2b]]),"")</f>
        <v>3</v>
      </c>
      <c r="CU180" s="14">
        <v>3</v>
      </c>
      <c r="CV180" s="14">
        <f>IFERROR(AVERAGE(Tabel1[[#This Row],[In - F3a]:[In - F3a]]),"")</f>
        <v>3</v>
      </c>
      <c r="CW180" s="14">
        <v>3</v>
      </c>
      <c r="CX180" s="14">
        <f>IFERROR(AVERAGE(Tabel1[[#This Row],[In - F1]],Tabel1[[#This Row],[In - F2]],Tabel1[[#This Row],[In - F3]],Tabel1[[#This Row],[In - F4]]),"")</f>
        <v>2.8333333333333335</v>
      </c>
      <c r="CY180" s="14">
        <v>4</v>
      </c>
      <c r="CZ180" s="14">
        <v>4</v>
      </c>
      <c r="DA180" s="14">
        <v>3</v>
      </c>
      <c r="DB180" s="14">
        <f>IFERROR(AVERAGE(Tabel1[[#This Row],[In - V1a]:[In - V1c]]),"")</f>
        <v>3.6666666666666665</v>
      </c>
      <c r="DC180" s="14">
        <v>1</v>
      </c>
      <c r="DD180" s="14">
        <v>2</v>
      </c>
      <c r="DE180" s="14">
        <v>3</v>
      </c>
      <c r="DF180" s="14">
        <f>IFERROR(AVERAGE(Tabel1[[#This Row],[In - V2a]:[In - V2c]]),"")</f>
        <v>2</v>
      </c>
      <c r="DG180" s="14">
        <v>2</v>
      </c>
      <c r="DH180" s="14">
        <v>2</v>
      </c>
      <c r="DI180" s="14">
        <f>IFERROR(AVERAGE(Tabel1[[#This Row],[In - V3a]:[In - V3b]]),"")</f>
        <v>2</v>
      </c>
      <c r="DJ180" s="14">
        <v>2</v>
      </c>
      <c r="DK180" s="14">
        <f>IFERROR(AVERAGE(Tabel1[[#This Row],[In - V1]],Tabel1[[#This Row],[In - V2]],Tabel1[[#This Row],[In - V3]],Tabel1[[#This Row],[In - V4]]),"")</f>
        <v>2.4166666666666665</v>
      </c>
      <c r="DL180" s="14">
        <v>3</v>
      </c>
      <c r="DM180" s="14">
        <v>3</v>
      </c>
      <c r="DN180" s="14">
        <f>IFERROR(AVERAGE(Tabel1[[#This Row],[In - A1a]:[In - A1b]]),"")</f>
        <v>3</v>
      </c>
      <c r="DO180" s="14">
        <v>3</v>
      </c>
      <c r="DP180" s="14">
        <v>4</v>
      </c>
      <c r="DQ180" s="14">
        <f>IFERROR(AVERAGE(Tabel1[[#This Row],[In - A2a]:[In - A2b]]),"")</f>
        <v>3.5</v>
      </c>
      <c r="DR180" s="14">
        <v>3</v>
      </c>
      <c r="DS180" s="14">
        <v>4</v>
      </c>
      <c r="DT180" s="14">
        <f>IFERROR(AVERAGE(Tabel1[[#This Row],[In - A3a]:[In - A3a]]),"")</f>
        <v>3</v>
      </c>
      <c r="DU180" s="14">
        <v>2</v>
      </c>
      <c r="DV180" s="14">
        <f>IFERROR(AVERAGE(Tabel1[[#This Row],[In - A1]],Tabel1[[#This Row],[In - A2]],Tabel1[[#This Row],[In - A3]],Tabel1[[#This Row],[In - A4]]),"")</f>
        <v>2.875</v>
      </c>
      <c r="DW180" s="14">
        <v>2</v>
      </c>
      <c r="DX180" s="14">
        <v>4</v>
      </c>
      <c r="DY180" s="14">
        <v>3</v>
      </c>
      <c r="DZ180" s="14">
        <f>IFERROR(AVERAGE(Tabel1[[#This Row],[Do - R1a]:[Do - R1c]]),"")</f>
        <v>3</v>
      </c>
      <c r="EA180" s="14">
        <v>4</v>
      </c>
      <c r="EB180" s="14">
        <v>4</v>
      </c>
      <c r="EC180" s="14">
        <v>2</v>
      </c>
      <c r="ED180" s="14">
        <v>4</v>
      </c>
      <c r="EE180" s="14">
        <f>IFERROR(AVERAGE(Tabel1[[#This Row],[Do - R1]:[Do - R5]]),"")</f>
        <v>3.4</v>
      </c>
      <c r="EF180" s="14">
        <v>4</v>
      </c>
      <c r="EG180" s="14">
        <v>3</v>
      </c>
      <c r="EH180" s="14">
        <v>3</v>
      </c>
      <c r="EI180" s="14">
        <f>IFERROR(AVERAGE(Tabel1[[#This Row],[Do - C1a]:[Do - C1c]]),"")</f>
        <v>3.3333333333333335</v>
      </c>
      <c r="EJ180" s="14">
        <v>4</v>
      </c>
      <c r="EK180" s="14">
        <v>4</v>
      </c>
      <c r="EL180" s="14">
        <v>2</v>
      </c>
      <c r="EM180" s="14">
        <f>IFERROR(AVERAGE(Tabel1[[#This Row],[Do - C1]:[Do - C4]]),"")</f>
        <v>3.3333333333333335</v>
      </c>
      <c r="EN180" s="14">
        <v>4</v>
      </c>
      <c r="EO180" s="14">
        <v>3</v>
      </c>
      <c r="EP180" s="14">
        <v>5</v>
      </c>
      <c r="EQ180" s="14">
        <f>IFERROR(AVERAGE(Tabel1[[#This Row],[Do - F1a]:[Do - F1c]]),"")</f>
        <v>4</v>
      </c>
      <c r="ER180" s="14">
        <v>4</v>
      </c>
      <c r="ES180" s="14">
        <f>IFERROR(AVERAGE(Tabel1[[#This Row],[Do - F2a]:[Do - F2a]]),"")</f>
        <v>4</v>
      </c>
      <c r="ET180" s="14">
        <v>3</v>
      </c>
      <c r="EU180" s="14">
        <v>3</v>
      </c>
      <c r="EV180" s="14">
        <f>IFERROR(AVERAGE(Tabel1[[#This Row],[Do - F3a]:[Do - F3b]]),"")</f>
        <v>3</v>
      </c>
      <c r="EW180" s="14">
        <v>2</v>
      </c>
      <c r="EX180" s="14">
        <f>IFERROR(AVERAGE(Tabel1[[#This Row],[Do - F1]],Tabel1[[#This Row],[Do - F2]],Tabel1[[#This Row],[Do - F3]],Tabel1[[#This Row],[Do - F4]]),"")</f>
        <v>3.25</v>
      </c>
      <c r="EY180" s="14">
        <v>4</v>
      </c>
      <c r="EZ180" s="14">
        <v>3</v>
      </c>
      <c r="FA180" s="14">
        <v>2</v>
      </c>
      <c r="FB180" s="14">
        <f>IFERROR(AVERAGE(Tabel1[[#This Row],[Do - V1a]:[Do - V1c]]),"")</f>
        <v>3</v>
      </c>
      <c r="FC180" s="14">
        <v>4</v>
      </c>
      <c r="FD180" s="14">
        <v>2</v>
      </c>
      <c r="FE180" s="14">
        <f>IFERROR(AVERAGE(Tabel1[[#This Row],[Do - V2a]:[Do - V2b]]),"")</f>
        <v>3</v>
      </c>
      <c r="FF180" s="14">
        <v>3</v>
      </c>
      <c r="FG180" s="14">
        <f>IFERROR(AVERAGE(Tabel1[[#This Row],[Do - V3a]:[Do - V3a]]),"")</f>
        <v>3</v>
      </c>
      <c r="FH180" s="14">
        <v>3</v>
      </c>
      <c r="FI180" s="14">
        <f>IFERROR(AVERAGE(Tabel1[[#This Row],[Do - V1]],Tabel1[[#This Row],[Do - V2]],Tabel1[[#This Row],[Do - V3]],Tabel1[[#This Row],[Do - V4]]),"")</f>
        <v>3</v>
      </c>
      <c r="FJ180" s="14">
        <v>4</v>
      </c>
      <c r="FK180" s="14">
        <v>2</v>
      </c>
      <c r="FL180" s="14">
        <v>2</v>
      </c>
      <c r="FM180" s="14">
        <f>IFERROR(AVERAGE(Tabel1[[#This Row],[Do - A1a]:[Do - A1c]]),"")</f>
        <v>2.6666666666666665</v>
      </c>
      <c r="FN180" s="14">
        <v>2</v>
      </c>
      <c r="FO180" s="14">
        <v>2</v>
      </c>
      <c r="FP180" s="14">
        <f>IFERROR(AVERAGE(Tabel1[[#This Row],[Do - A2a]:[Do - A2b]]),"")</f>
        <v>2</v>
      </c>
      <c r="FQ180" s="14">
        <v>3</v>
      </c>
      <c r="FR180" s="14">
        <f>IFERROR(AVERAGE(Tabel1[[#This Row],[Do - A3a]:[Do - A3a]]),"")</f>
        <v>3</v>
      </c>
      <c r="FS180" s="14">
        <v>2</v>
      </c>
      <c r="FT180" s="14">
        <f>IFERROR(AVERAGE(Tabel1[[#This Row],[Do - A1]],Tabel1[[#This Row],[Do - A2]],Tabel1[[#This Row],[Do - A3]],Tabel1[[#This Row],[Do - A4]]),"")</f>
        <v>2.4166666666666665</v>
      </c>
      <c r="FU18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2.9944444444444449</v>
      </c>
      <c r="FV180" s="16" t="s">
        <v>1031</v>
      </c>
      <c r="FW180" t="b">
        <v>1</v>
      </c>
    </row>
    <row r="181" spans="1:179" x14ac:dyDescent="0.3">
      <c r="A181" s="13">
        <v>45223.364386574074</v>
      </c>
      <c r="B181" t="b">
        <v>0</v>
      </c>
      <c r="C181" s="14" t="s">
        <v>1032</v>
      </c>
      <c r="D181" s="14" t="s">
        <v>1033</v>
      </c>
      <c r="E181" s="14" t="s">
        <v>241</v>
      </c>
      <c r="F181" s="14" t="s">
        <v>184</v>
      </c>
      <c r="G181" s="14" t="s">
        <v>1034</v>
      </c>
      <c r="H181" s="14" t="s">
        <v>222</v>
      </c>
      <c r="I181" s="14" t="s">
        <v>385</v>
      </c>
      <c r="J181" s="14"/>
      <c r="K181" s="14" t="s">
        <v>235</v>
      </c>
      <c r="L181" s="14" t="s">
        <v>197</v>
      </c>
      <c r="M181" s="14" t="s">
        <v>233</v>
      </c>
      <c r="N181" s="14" t="s">
        <v>199</v>
      </c>
      <c r="O181" s="14" t="s">
        <v>256</v>
      </c>
      <c r="P181" s="17" t="s">
        <v>255</v>
      </c>
      <c r="Q181" s="17" t="s">
        <v>304</v>
      </c>
      <c r="R181" s="14" t="s">
        <v>187</v>
      </c>
      <c r="S181" s="14" t="s">
        <v>235</v>
      </c>
      <c r="T181" s="14" t="s">
        <v>204</v>
      </c>
      <c r="U181" s="14" t="s">
        <v>285</v>
      </c>
      <c r="V181" s="14" t="s">
        <v>359</v>
      </c>
      <c r="W181" s="14" t="s">
        <v>207</v>
      </c>
      <c r="X181" s="14" t="s">
        <v>207</v>
      </c>
      <c r="Y181" s="14">
        <v>3</v>
      </c>
      <c r="Z181" s="14">
        <v>3</v>
      </c>
      <c r="AA181" s="14">
        <v>3</v>
      </c>
      <c r="AB181" s="15">
        <f>IFERROR(AVERAGE(Tabel1[[#This Row],[Up - R1a]:[Up - R1c]]),"")</f>
        <v>3</v>
      </c>
      <c r="AC181" s="14">
        <v>4</v>
      </c>
      <c r="AD181" s="14">
        <v>4</v>
      </c>
      <c r="AE181" s="14">
        <v>3</v>
      </c>
      <c r="AF181" s="14">
        <v>3</v>
      </c>
      <c r="AG181" s="14">
        <f>IFERROR(AVERAGE(Tabel1[[#This Row],[Up - R1]:[Up - R5]]),"")</f>
        <v>3.4</v>
      </c>
      <c r="AH181" s="14">
        <v>4</v>
      </c>
      <c r="AI181" s="14">
        <v>4</v>
      </c>
      <c r="AJ181" s="14">
        <v>4</v>
      </c>
      <c r="AK181" s="14">
        <f>IFERROR(AVERAGE(Tabel1[[#This Row],[Up - C1a]:[Up - C1c]]),"")</f>
        <v>4</v>
      </c>
      <c r="AL181" s="14">
        <v>3</v>
      </c>
      <c r="AM181" s="14">
        <v>4</v>
      </c>
      <c r="AN181" s="14">
        <v>3</v>
      </c>
      <c r="AO181" s="14">
        <f>IFERROR(AVERAGE(Tabel1[[#This Row],[Up - C1]:[Up - C4]]),"")</f>
        <v>3.5</v>
      </c>
      <c r="AP181" s="14">
        <v>3</v>
      </c>
      <c r="AQ181" s="14">
        <f>IFERROR(AVERAGE(Tabel1[[#This Row],[Up - F1a]:[Up - F1a]]),"")</f>
        <v>3</v>
      </c>
      <c r="AR181" s="14">
        <v>3</v>
      </c>
      <c r="AS181" s="14">
        <v>3</v>
      </c>
      <c r="AT181" s="14">
        <f>IFERROR(AVERAGE(Tabel1[[#This Row],[Up - F2a]:[Up - F2b]]),"")</f>
        <v>3</v>
      </c>
      <c r="AU181" s="14">
        <v>3</v>
      </c>
      <c r="AV181" s="14">
        <v>3</v>
      </c>
      <c r="AW181" s="14">
        <f>IFERROR(AVERAGE(Tabel1[[#This Row],[Up - F3a]:[Up - F3b]]),"")</f>
        <v>3</v>
      </c>
      <c r="AX181" s="14">
        <v>3</v>
      </c>
      <c r="AY181" s="14">
        <f>IFERROR(AVERAGE(Tabel1[[#This Row],[Up - F1]],Tabel1[[#This Row],[Up - F2]],Tabel1[[#This Row],[Up - F3]],Tabel1[[#This Row],[Up - F4]]),"")</f>
        <v>3</v>
      </c>
      <c r="AZ181" s="14">
        <v>5</v>
      </c>
      <c r="BA181" s="14">
        <v>3</v>
      </c>
      <c r="BB181" s="14">
        <f>IFERROR(AVERAGE(Tabel1[[#This Row],[Up - V1a]:[Up - V1b]]),"")</f>
        <v>4</v>
      </c>
      <c r="BC181" s="14">
        <v>2</v>
      </c>
      <c r="BD181" s="14">
        <v>3</v>
      </c>
      <c r="BE181" s="14">
        <v>4</v>
      </c>
      <c r="BF181" s="14">
        <f>IFERROR(AVERAGE(Tabel1[[#This Row],[Up - V2a]:[Up - V2c]]),"")</f>
        <v>3</v>
      </c>
      <c r="BG181" s="14">
        <v>4</v>
      </c>
      <c r="BH181" s="14">
        <v>4</v>
      </c>
      <c r="BI181" s="14">
        <f>IFERROR(AVERAGE(Tabel1[[#This Row],[Up - V3a]:[Up - V3b]]),"")</f>
        <v>4</v>
      </c>
      <c r="BJ181" s="14">
        <v>4</v>
      </c>
      <c r="BK181" s="14">
        <f>IFERROR(AVERAGE(Tabel1[[#This Row],[Up - V1]],Tabel1[[#This Row],[Up - V2]],Tabel1[[#This Row],[Up - V3]],Tabel1[[#This Row],[Up - V4]]),"")</f>
        <v>3.75</v>
      </c>
      <c r="BL181" s="14">
        <v>4</v>
      </c>
      <c r="BM181" s="14">
        <v>4</v>
      </c>
      <c r="BN181" s="14">
        <v>2</v>
      </c>
      <c r="BO181" s="14">
        <v>2</v>
      </c>
      <c r="BP181" s="14">
        <f>IFERROR(AVERAGE(Tabel1[[#This Row],[Up - A1a]:[Up - A1d]]),"")</f>
        <v>3</v>
      </c>
      <c r="BQ181" s="14">
        <v>2</v>
      </c>
      <c r="BR181" s="14">
        <v>3</v>
      </c>
      <c r="BS181" s="14">
        <f>IFERROR(AVERAGE(Tabel1[[#This Row],[Up - A2a]:[Up - A2b]]),"")</f>
        <v>2.5</v>
      </c>
      <c r="BT181" s="14">
        <v>4</v>
      </c>
      <c r="BU181" s="14">
        <f>IFERROR(AVERAGE(Tabel1[[#This Row],[Up - A3a]:[Up - A3a]]),"")</f>
        <v>4</v>
      </c>
      <c r="BV181" s="14">
        <v>2</v>
      </c>
      <c r="BW181" s="14">
        <f>IFERROR(AVERAGE(Tabel1[[#This Row],[Up - A1]],Tabel1[[#This Row],[Up - A2]],Tabel1[[#This Row],[Up - A3]]),"")</f>
        <v>3.1666666666666665</v>
      </c>
      <c r="BX181" s="14" t="s">
        <v>189</v>
      </c>
      <c r="BY181" s="14" t="s">
        <v>189</v>
      </c>
      <c r="BZ181" s="14" t="str">
        <f>IFERROR(AVERAGE(Tabel1[[#This Row],[In - R1a]:[In - R1b]]),"")</f>
        <v/>
      </c>
      <c r="CA181" s="14">
        <v>3</v>
      </c>
      <c r="CB181" s="14">
        <v>3</v>
      </c>
      <c r="CC181" s="14">
        <v>2</v>
      </c>
      <c r="CD181" s="14">
        <v>3</v>
      </c>
      <c r="CE181" s="14">
        <f>IFERROR(AVERAGE(Tabel1[[#This Row],[In - R1]:[In - R5]]),"")</f>
        <v>2.75</v>
      </c>
      <c r="CF181" s="14">
        <v>4</v>
      </c>
      <c r="CG181" s="14">
        <v>3</v>
      </c>
      <c r="CH181" s="14">
        <v>4</v>
      </c>
      <c r="CI181" s="14">
        <f>IFERROR(AVERAGE(Tabel1[[#This Row],[In - C1a]:[In - C1c]]),"")</f>
        <v>3.6666666666666665</v>
      </c>
      <c r="CJ181" s="14">
        <v>4</v>
      </c>
      <c r="CK181" s="14">
        <v>3</v>
      </c>
      <c r="CL181" s="14">
        <v>4</v>
      </c>
      <c r="CM181" s="14">
        <f>IFERROR(AVERAGE(Tabel1[[#This Row],[In - C1]:[In - C4]]),"")</f>
        <v>3.6666666666666665</v>
      </c>
      <c r="CN181" s="14">
        <v>3</v>
      </c>
      <c r="CO181" s="14">
        <v>4</v>
      </c>
      <c r="CP181" s="14">
        <v>2</v>
      </c>
      <c r="CQ181" s="14">
        <f>IFERROR(AVERAGE(Tabel1[[#This Row],[In - F1a]:[In - F1c]]),"")</f>
        <v>3</v>
      </c>
      <c r="CR181" s="14">
        <v>4</v>
      </c>
      <c r="CS181" s="14">
        <v>3</v>
      </c>
      <c r="CT181" s="14">
        <f>IFERROR(AVERAGE(Tabel1[[#This Row],[In - F2a]:[In - F2b]]),"")</f>
        <v>3.5</v>
      </c>
      <c r="CU181" s="14">
        <v>2</v>
      </c>
      <c r="CV181" s="14">
        <f>IFERROR(AVERAGE(Tabel1[[#This Row],[In - F3a]:[In - F3a]]),"")</f>
        <v>2</v>
      </c>
      <c r="CW181" s="14">
        <v>2</v>
      </c>
      <c r="CX181" s="14">
        <f>IFERROR(AVERAGE(Tabel1[[#This Row],[In - F1]],Tabel1[[#This Row],[In - F2]],Tabel1[[#This Row],[In - F3]],Tabel1[[#This Row],[In - F4]]),"")</f>
        <v>2.625</v>
      </c>
      <c r="CY181" s="14">
        <v>3</v>
      </c>
      <c r="CZ181" s="14">
        <v>4</v>
      </c>
      <c r="DA181" s="14">
        <v>3</v>
      </c>
      <c r="DB181" s="14">
        <f>IFERROR(AVERAGE(Tabel1[[#This Row],[In - V1a]:[In - V1c]]),"")</f>
        <v>3.3333333333333335</v>
      </c>
      <c r="DC181" s="14">
        <v>3</v>
      </c>
      <c r="DD181" s="14">
        <v>3</v>
      </c>
      <c r="DE181" s="14">
        <v>4</v>
      </c>
      <c r="DF181" s="14">
        <f>IFERROR(AVERAGE(Tabel1[[#This Row],[In - V2a]:[In - V2c]]),"")</f>
        <v>3.3333333333333335</v>
      </c>
      <c r="DG181" s="14">
        <v>4</v>
      </c>
      <c r="DH181" s="14">
        <v>4</v>
      </c>
      <c r="DI181" s="14">
        <f>IFERROR(AVERAGE(Tabel1[[#This Row],[In - V3a]:[In - V3b]]),"")</f>
        <v>4</v>
      </c>
      <c r="DJ181" s="14">
        <v>3</v>
      </c>
      <c r="DK181" s="14">
        <f>IFERROR(AVERAGE(Tabel1[[#This Row],[In - V1]],Tabel1[[#This Row],[In - V2]],Tabel1[[#This Row],[In - V3]],Tabel1[[#This Row],[In - V4]]),"")</f>
        <v>3.416666666666667</v>
      </c>
      <c r="DL181" s="14">
        <v>3</v>
      </c>
      <c r="DM181" s="14" t="s">
        <v>189</v>
      </c>
      <c r="DN181" s="14">
        <f>IFERROR(AVERAGE(Tabel1[[#This Row],[In - A1a]:[In - A1b]]),"")</f>
        <v>3</v>
      </c>
      <c r="DO181" s="14">
        <v>3</v>
      </c>
      <c r="DP181" s="14">
        <v>3</v>
      </c>
      <c r="DQ181" s="14">
        <f>IFERROR(AVERAGE(Tabel1[[#This Row],[In - A2a]:[In - A2b]]),"")</f>
        <v>3</v>
      </c>
      <c r="DR181" s="14">
        <v>3</v>
      </c>
      <c r="DS181" s="14">
        <v>3</v>
      </c>
      <c r="DT181" s="14">
        <f>IFERROR(AVERAGE(Tabel1[[#This Row],[In - A3a]:[In - A3a]]),"")</f>
        <v>3</v>
      </c>
      <c r="DU181" s="14" t="s">
        <v>189</v>
      </c>
      <c r="DV181" s="14">
        <f>IFERROR(AVERAGE(Tabel1[[#This Row],[In - A1]],Tabel1[[#This Row],[In - A2]],Tabel1[[#This Row],[In - A3]],Tabel1[[#This Row],[In - A4]]),"")</f>
        <v>3</v>
      </c>
      <c r="DW181" s="14">
        <v>3</v>
      </c>
      <c r="DX181" s="14">
        <v>5</v>
      </c>
      <c r="DY181" s="14">
        <v>2</v>
      </c>
      <c r="DZ181" s="14">
        <f>IFERROR(AVERAGE(Tabel1[[#This Row],[Do - R1a]:[Do - R1c]]),"")</f>
        <v>3.3333333333333335</v>
      </c>
      <c r="EA181" s="14">
        <v>2</v>
      </c>
      <c r="EB181" s="14">
        <v>4</v>
      </c>
      <c r="EC181" s="14">
        <v>2</v>
      </c>
      <c r="ED181" s="14">
        <v>2</v>
      </c>
      <c r="EE181" s="14">
        <f>IFERROR(AVERAGE(Tabel1[[#This Row],[Do - R1]:[Do - R5]]),"")</f>
        <v>2.666666666666667</v>
      </c>
      <c r="EF181" s="14">
        <v>4</v>
      </c>
      <c r="EG181" s="14">
        <v>4</v>
      </c>
      <c r="EH181" s="14">
        <v>4</v>
      </c>
      <c r="EI181" s="14">
        <f>IFERROR(AVERAGE(Tabel1[[#This Row],[Do - C1a]:[Do - C1c]]),"")</f>
        <v>4</v>
      </c>
      <c r="EJ181" s="14">
        <v>4</v>
      </c>
      <c r="EK181" s="14">
        <v>4</v>
      </c>
      <c r="EL181" s="14">
        <v>3</v>
      </c>
      <c r="EM181" s="14">
        <f>IFERROR(AVERAGE(Tabel1[[#This Row],[Do - C1]:[Do - C4]]),"")</f>
        <v>3.75</v>
      </c>
      <c r="EN181" s="14">
        <v>2</v>
      </c>
      <c r="EO181" s="14">
        <v>4</v>
      </c>
      <c r="EP181" s="14">
        <v>5</v>
      </c>
      <c r="EQ181" s="14">
        <f>IFERROR(AVERAGE(Tabel1[[#This Row],[Do - F1a]:[Do - F1c]]),"")</f>
        <v>3.6666666666666665</v>
      </c>
      <c r="ER181" s="14">
        <v>4</v>
      </c>
      <c r="ES181" s="14">
        <f>IFERROR(AVERAGE(Tabel1[[#This Row],[Do - F2a]:[Do - F2a]]),"")</f>
        <v>4</v>
      </c>
      <c r="ET181" s="14">
        <v>4</v>
      </c>
      <c r="EU181" s="14">
        <v>4</v>
      </c>
      <c r="EV181" s="14">
        <f>IFERROR(AVERAGE(Tabel1[[#This Row],[Do - F3a]:[Do - F3b]]),"")</f>
        <v>4</v>
      </c>
      <c r="EW181" s="14" t="s">
        <v>189</v>
      </c>
      <c r="EX181" s="14">
        <f>IFERROR(AVERAGE(Tabel1[[#This Row],[Do - F1]],Tabel1[[#This Row],[Do - F2]],Tabel1[[#This Row],[Do - F3]],Tabel1[[#This Row],[Do - F4]]),"")</f>
        <v>3.8888888888888888</v>
      </c>
      <c r="EY181" s="14">
        <v>3</v>
      </c>
      <c r="EZ181" s="14">
        <v>4</v>
      </c>
      <c r="FA181" s="14">
        <v>4</v>
      </c>
      <c r="FB181" s="14">
        <f>IFERROR(AVERAGE(Tabel1[[#This Row],[Do - V1a]:[Do - V1c]]),"")</f>
        <v>3.6666666666666665</v>
      </c>
      <c r="FC181" s="14">
        <v>4</v>
      </c>
      <c r="FD181" s="14">
        <v>2</v>
      </c>
      <c r="FE181" s="14">
        <f>IFERROR(AVERAGE(Tabel1[[#This Row],[Do - V2a]:[Do - V2b]]),"")</f>
        <v>3</v>
      </c>
      <c r="FF181" s="14">
        <v>3</v>
      </c>
      <c r="FG181" s="14">
        <f>IFERROR(AVERAGE(Tabel1[[#This Row],[Do - V3a]:[Do - V3a]]),"")</f>
        <v>3</v>
      </c>
      <c r="FH181" s="14">
        <v>3</v>
      </c>
      <c r="FI181" s="14">
        <f>IFERROR(AVERAGE(Tabel1[[#This Row],[Do - V1]],Tabel1[[#This Row],[Do - V2]],Tabel1[[#This Row],[Do - V3]],Tabel1[[#This Row],[Do - V4]]),"")</f>
        <v>3.1666666666666665</v>
      </c>
      <c r="FJ181" s="14">
        <v>4</v>
      </c>
      <c r="FK181" s="14">
        <v>4</v>
      </c>
      <c r="FL181" s="14">
        <v>4</v>
      </c>
      <c r="FM181" s="14">
        <f>IFERROR(AVERAGE(Tabel1[[#This Row],[Do - A1a]:[Do - A1c]]),"")</f>
        <v>4</v>
      </c>
      <c r="FN181" s="14">
        <v>4</v>
      </c>
      <c r="FO181" s="14">
        <v>3</v>
      </c>
      <c r="FP181" s="14">
        <f>IFERROR(AVERAGE(Tabel1[[#This Row],[Do - A2a]:[Do - A2b]]),"")</f>
        <v>3.5</v>
      </c>
      <c r="FQ181" s="14">
        <v>3</v>
      </c>
      <c r="FR181" s="14">
        <f>IFERROR(AVERAGE(Tabel1[[#This Row],[Do - A3a]:[Do - A3a]]),"")</f>
        <v>3</v>
      </c>
      <c r="FS181" s="14" t="s">
        <v>189</v>
      </c>
      <c r="FT181" s="14">
        <f>IFERROR(AVERAGE(Tabel1[[#This Row],[Do - A1]],Tabel1[[#This Row],[Do - A2]],Tabel1[[#This Row],[Do - A3]],Tabel1[[#This Row],[Do - A4]]),"")</f>
        <v>3.5</v>
      </c>
      <c r="FU18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3.2831481481481481</v>
      </c>
      <c r="FV181" s="16" t="s">
        <v>1035</v>
      </c>
      <c r="FW181" t="b">
        <v>1</v>
      </c>
    </row>
    <row r="182" spans="1:179" x14ac:dyDescent="0.3">
      <c r="A182" s="13">
        <v>45223.384016203701</v>
      </c>
      <c r="B182" t="b">
        <v>0</v>
      </c>
      <c r="C182" s="14" t="s">
        <v>1036</v>
      </c>
      <c r="D182" s="14" t="s">
        <v>698</v>
      </c>
      <c r="E182" s="14" t="s">
        <v>241</v>
      </c>
      <c r="F182" s="14" t="s">
        <v>184</v>
      </c>
      <c r="G182" s="14" t="s">
        <v>1037</v>
      </c>
      <c r="H182" s="14" t="s">
        <v>222</v>
      </c>
      <c r="I182" s="14" t="s">
        <v>385</v>
      </c>
      <c r="J182" s="14"/>
      <c r="K182" s="14" t="s">
        <v>202</v>
      </c>
      <c r="L182" s="14" t="s">
        <v>218</v>
      </c>
      <c r="M182" s="14" t="s">
        <v>281</v>
      </c>
      <c r="N182" s="14" t="s">
        <v>199</v>
      </c>
      <c r="O182" s="14" t="s">
        <v>256</v>
      </c>
      <c r="P182" s="17" t="s">
        <v>304</v>
      </c>
      <c r="Q182" s="14" t="s">
        <v>201</v>
      </c>
      <c r="R182" s="14" t="s">
        <v>187</v>
      </c>
      <c r="S182" s="14" t="s">
        <v>235</v>
      </c>
      <c r="T182" s="14" t="s">
        <v>236</v>
      </c>
      <c r="U182" s="14" t="s">
        <v>349</v>
      </c>
      <c r="V182" s="14" t="s">
        <v>484</v>
      </c>
      <c r="W182" s="14" t="s">
        <v>207</v>
      </c>
      <c r="X182" s="14" t="s">
        <v>207</v>
      </c>
      <c r="Y182" s="14">
        <v>3</v>
      </c>
      <c r="Z182" s="14">
        <v>3</v>
      </c>
      <c r="AA182" s="14">
        <v>4</v>
      </c>
      <c r="AB182" s="15">
        <f>IFERROR(AVERAGE(Tabel1[[#This Row],[Up - R1a]:[Up - R1c]]),"")</f>
        <v>3.3333333333333335</v>
      </c>
      <c r="AC182" s="14">
        <v>3</v>
      </c>
      <c r="AD182" s="14">
        <v>3</v>
      </c>
      <c r="AE182" s="14">
        <v>3</v>
      </c>
      <c r="AF182" s="14" t="s">
        <v>189</v>
      </c>
      <c r="AG182" s="14">
        <f>IFERROR(AVERAGE(Tabel1[[#This Row],[Up - R1]:[Up - R5]]),"")</f>
        <v>3.0833333333333335</v>
      </c>
      <c r="AH182" s="14">
        <v>4</v>
      </c>
      <c r="AI182" s="14">
        <v>4</v>
      </c>
      <c r="AJ182" s="14">
        <v>3</v>
      </c>
      <c r="AK182" s="14">
        <f>IFERROR(AVERAGE(Tabel1[[#This Row],[Up - C1a]:[Up - C1c]]),"")</f>
        <v>3.6666666666666665</v>
      </c>
      <c r="AL182" s="14">
        <v>5</v>
      </c>
      <c r="AM182" s="14">
        <v>5</v>
      </c>
      <c r="AN182" s="14">
        <v>3</v>
      </c>
      <c r="AO182" s="14">
        <f>IFERROR(AVERAGE(Tabel1[[#This Row],[Up - C1]:[Up - C4]]),"")</f>
        <v>4.1666666666666661</v>
      </c>
      <c r="AP182" s="14">
        <v>2</v>
      </c>
      <c r="AQ182" s="14">
        <f>IFERROR(AVERAGE(Tabel1[[#This Row],[Up - F1a]:[Up - F1a]]),"")</f>
        <v>2</v>
      </c>
      <c r="AR182" s="14">
        <v>3</v>
      </c>
      <c r="AS182" s="14">
        <v>3</v>
      </c>
      <c r="AT182" s="14">
        <f>IFERROR(AVERAGE(Tabel1[[#This Row],[Up - F2a]:[Up - F2b]]),"")</f>
        <v>3</v>
      </c>
      <c r="AU182" s="14">
        <v>3</v>
      </c>
      <c r="AV182" s="14">
        <v>3</v>
      </c>
      <c r="AW182" s="14">
        <f>IFERROR(AVERAGE(Tabel1[[#This Row],[Up - F3a]:[Up - F3b]]),"")</f>
        <v>3</v>
      </c>
      <c r="AX182" s="14">
        <v>3</v>
      </c>
      <c r="AY182" s="14">
        <f>IFERROR(AVERAGE(Tabel1[[#This Row],[Up - F1]],Tabel1[[#This Row],[Up - F2]],Tabel1[[#This Row],[Up - F3]],Tabel1[[#This Row],[Up - F4]]),"")</f>
        <v>2.75</v>
      </c>
      <c r="AZ182" s="14">
        <v>5</v>
      </c>
      <c r="BA182" s="14">
        <v>2</v>
      </c>
      <c r="BB182" s="14">
        <f>IFERROR(AVERAGE(Tabel1[[#This Row],[Up - V1a]:[Up - V1b]]),"")</f>
        <v>3.5</v>
      </c>
      <c r="BC182" s="14">
        <v>4</v>
      </c>
      <c r="BD182" s="14">
        <v>1</v>
      </c>
      <c r="BE182" s="14">
        <v>4</v>
      </c>
      <c r="BF182" s="14">
        <f>IFERROR(AVERAGE(Tabel1[[#This Row],[Up - V2a]:[Up - V2c]]),"")</f>
        <v>3</v>
      </c>
      <c r="BG182" s="14">
        <v>2</v>
      </c>
      <c r="BH182" s="14" t="s">
        <v>189</v>
      </c>
      <c r="BI182" s="14">
        <f>IFERROR(AVERAGE(Tabel1[[#This Row],[Up - V3a]:[Up - V3b]]),"")</f>
        <v>2</v>
      </c>
      <c r="BJ182" s="14" t="s">
        <v>189</v>
      </c>
      <c r="BK182" s="14">
        <f>IFERROR(AVERAGE(Tabel1[[#This Row],[Up - V1]],Tabel1[[#This Row],[Up - V2]],Tabel1[[#This Row],[Up - V3]],Tabel1[[#This Row],[Up - V4]]),"")</f>
        <v>2.8333333333333335</v>
      </c>
      <c r="BL182" s="14">
        <v>4</v>
      </c>
      <c r="BM182" s="14">
        <v>4</v>
      </c>
      <c r="BN182" s="14">
        <v>4</v>
      </c>
      <c r="BO182" s="14">
        <v>4</v>
      </c>
      <c r="BP182" s="14">
        <f>IFERROR(AVERAGE(Tabel1[[#This Row],[Up - A1a]:[Up - A1d]]),"")</f>
        <v>4</v>
      </c>
      <c r="BQ182" s="14">
        <v>4</v>
      </c>
      <c r="BR182" s="14">
        <v>3</v>
      </c>
      <c r="BS182" s="14">
        <f>IFERROR(AVERAGE(Tabel1[[#This Row],[Up - A2a]:[Up - A2b]]),"")</f>
        <v>3.5</v>
      </c>
      <c r="BT182" s="14">
        <v>4</v>
      </c>
      <c r="BU182" s="14">
        <f>IFERROR(AVERAGE(Tabel1[[#This Row],[Up - A3a]:[Up - A3a]]),"")</f>
        <v>4</v>
      </c>
      <c r="BV182" s="14">
        <v>4</v>
      </c>
      <c r="BW182" s="14">
        <f>IFERROR(AVERAGE(Tabel1[[#This Row],[Up - A1]],Tabel1[[#This Row],[Up - A2]],Tabel1[[#This Row],[Up - A3]]),"")</f>
        <v>3.8333333333333335</v>
      </c>
      <c r="BX182" s="14">
        <v>2</v>
      </c>
      <c r="BY182" s="14">
        <v>1</v>
      </c>
      <c r="BZ182" s="14">
        <f>IFERROR(AVERAGE(Tabel1[[#This Row],[In - R1a]:[In - R1b]]),"")</f>
        <v>1.5</v>
      </c>
      <c r="CA182" s="14">
        <v>3</v>
      </c>
      <c r="CB182" s="14">
        <v>1</v>
      </c>
      <c r="CC182" s="14">
        <v>1</v>
      </c>
      <c r="CD182" s="14">
        <v>3</v>
      </c>
      <c r="CE182" s="14">
        <f>IFERROR(AVERAGE(Tabel1[[#This Row],[In - R1]:[In - R5]]),"")</f>
        <v>1.9</v>
      </c>
      <c r="CF182" s="14">
        <v>4</v>
      </c>
      <c r="CG182" s="14">
        <v>4</v>
      </c>
      <c r="CH182" s="14">
        <v>4</v>
      </c>
      <c r="CI182" s="14">
        <f>IFERROR(AVERAGE(Tabel1[[#This Row],[In - C1a]:[In - C1c]]),"")</f>
        <v>4</v>
      </c>
      <c r="CJ182" s="14">
        <v>3</v>
      </c>
      <c r="CK182" s="14">
        <v>3</v>
      </c>
      <c r="CL182" s="14">
        <v>3</v>
      </c>
      <c r="CM182" s="14">
        <f>IFERROR(AVERAGE(Tabel1[[#This Row],[In - C1]:[In - C4]]),"")</f>
        <v>3.25</v>
      </c>
      <c r="CN182" s="14">
        <v>2</v>
      </c>
      <c r="CO182" s="14">
        <v>4</v>
      </c>
      <c r="CP182" s="14">
        <v>5</v>
      </c>
      <c r="CQ182" s="14">
        <f>IFERROR(AVERAGE(Tabel1[[#This Row],[In - F1a]:[In - F1c]]),"")</f>
        <v>3.6666666666666665</v>
      </c>
      <c r="CR182" s="14">
        <v>4</v>
      </c>
      <c r="CS182" s="14">
        <v>3</v>
      </c>
      <c r="CT182" s="14">
        <f>IFERROR(AVERAGE(Tabel1[[#This Row],[In - F2a]:[In - F2b]]),"")</f>
        <v>3.5</v>
      </c>
      <c r="CU182" s="14">
        <v>3</v>
      </c>
      <c r="CV182" s="14">
        <f>IFERROR(AVERAGE(Tabel1[[#This Row],[In - F3a]:[In - F3a]]),"")</f>
        <v>3</v>
      </c>
      <c r="CW182" s="14">
        <v>3</v>
      </c>
      <c r="CX182" s="14">
        <f>IFERROR(AVERAGE(Tabel1[[#This Row],[In - F1]],Tabel1[[#This Row],[In - F2]],Tabel1[[#This Row],[In - F3]],Tabel1[[#This Row],[In - F4]]),"")</f>
        <v>3.2916666666666665</v>
      </c>
      <c r="CY182" s="14">
        <v>3</v>
      </c>
      <c r="CZ182" s="14">
        <v>4</v>
      </c>
      <c r="DA182" s="14">
        <v>2</v>
      </c>
      <c r="DB182" s="14">
        <f>IFERROR(AVERAGE(Tabel1[[#This Row],[In - V1a]:[In - V1c]]),"")</f>
        <v>3</v>
      </c>
      <c r="DC182" s="14">
        <v>4</v>
      </c>
      <c r="DD182" s="14">
        <v>3</v>
      </c>
      <c r="DE182" s="14">
        <v>4</v>
      </c>
      <c r="DF182" s="14">
        <f>IFERROR(AVERAGE(Tabel1[[#This Row],[In - V2a]:[In - V2c]]),"")</f>
        <v>3.6666666666666665</v>
      </c>
      <c r="DG182" s="14">
        <v>3</v>
      </c>
      <c r="DH182" s="14">
        <v>4</v>
      </c>
      <c r="DI182" s="14">
        <f>IFERROR(AVERAGE(Tabel1[[#This Row],[In - V3a]:[In - V3b]]),"")</f>
        <v>3.5</v>
      </c>
      <c r="DJ182" s="14" t="s">
        <v>189</v>
      </c>
      <c r="DK182" s="14">
        <f>IFERROR(AVERAGE(Tabel1[[#This Row],[In - V1]],Tabel1[[#This Row],[In - V2]],Tabel1[[#This Row],[In - V3]],Tabel1[[#This Row],[In - V4]]),"")</f>
        <v>3.3888888888888888</v>
      </c>
      <c r="DL182" s="14">
        <v>4</v>
      </c>
      <c r="DM182" s="14">
        <v>4</v>
      </c>
      <c r="DN182" s="14">
        <f>IFERROR(AVERAGE(Tabel1[[#This Row],[In - A1a]:[In - A1b]]),"")</f>
        <v>4</v>
      </c>
      <c r="DO182" s="14">
        <v>3</v>
      </c>
      <c r="DP182" s="14">
        <v>2</v>
      </c>
      <c r="DQ182" s="14">
        <f>IFERROR(AVERAGE(Tabel1[[#This Row],[In - A2a]:[In - A2b]]),"")</f>
        <v>2.5</v>
      </c>
      <c r="DR182" s="14">
        <v>4</v>
      </c>
      <c r="DS182" s="14">
        <v>3</v>
      </c>
      <c r="DT182" s="14">
        <f>IFERROR(AVERAGE(Tabel1[[#This Row],[In - A3a]:[In - A3a]]),"")</f>
        <v>4</v>
      </c>
      <c r="DU182" s="14" t="s">
        <v>189</v>
      </c>
      <c r="DV182" s="14">
        <f>IFERROR(AVERAGE(Tabel1[[#This Row],[In - A1]],Tabel1[[#This Row],[In - A2]],Tabel1[[#This Row],[In - A3]],Tabel1[[#This Row],[In - A4]]),"")</f>
        <v>3.5</v>
      </c>
      <c r="DW182" s="14">
        <v>2</v>
      </c>
      <c r="DX182" s="14">
        <v>3</v>
      </c>
      <c r="DY182" s="14">
        <v>2</v>
      </c>
      <c r="DZ182" s="14">
        <f>IFERROR(AVERAGE(Tabel1[[#This Row],[Do - R1a]:[Do - R1c]]),"")</f>
        <v>2.3333333333333335</v>
      </c>
      <c r="EA182" s="14">
        <v>1</v>
      </c>
      <c r="EB182" s="14">
        <v>2</v>
      </c>
      <c r="EC182" s="14">
        <v>3</v>
      </c>
      <c r="ED182" s="14" t="s">
        <v>189</v>
      </c>
      <c r="EE182" s="14">
        <f>IFERROR(AVERAGE(Tabel1[[#This Row],[Do - R1]:[Do - R5]]),"")</f>
        <v>2.0833333333333335</v>
      </c>
      <c r="EF182" s="14">
        <v>4</v>
      </c>
      <c r="EG182" s="14">
        <v>4</v>
      </c>
      <c r="EH182" s="14">
        <v>3</v>
      </c>
      <c r="EI182" s="14">
        <f>IFERROR(AVERAGE(Tabel1[[#This Row],[Do - C1a]:[Do - C1c]]),"")</f>
        <v>3.6666666666666665</v>
      </c>
      <c r="EJ182" s="14">
        <v>4</v>
      </c>
      <c r="EK182" s="14">
        <v>3</v>
      </c>
      <c r="EL182" s="14">
        <v>3</v>
      </c>
      <c r="EM182" s="14">
        <f>IFERROR(AVERAGE(Tabel1[[#This Row],[Do - C1]:[Do - C4]]),"")</f>
        <v>3.4166666666666665</v>
      </c>
      <c r="EN182" s="14">
        <v>3</v>
      </c>
      <c r="EO182" s="14">
        <v>4</v>
      </c>
      <c r="EP182" s="14">
        <v>4</v>
      </c>
      <c r="EQ182" s="14">
        <f>IFERROR(AVERAGE(Tabel1[[#This Row],[Do - F1a]:[Do - F1c]]),"")</f>
        <v>3.6666666666666665</v>
      </c>
      <c r="ER182" s="14">
        <v>2</v>
      </c>
      <c r="ES182" s="14">
        <f>IFERROR(AVERAGE(Tabel1[[#This Row],[Do - F2a]:[Do - F2a]]),"")</f>
        <v>2</v>
      </c>
      <c r="ET182" s="14">
        <v>3</v>
      </c>
      <c r="EU182" s="14">
        <v>2</v>
      </c>
      <c r="EV182" s="14">
        <f>IFERROR(AVERAGE(Tabel1[[#This Row],[Do - F3a]:[Do - F3b]]),"")</f>
        <v>2.5</v>
      </c>
      <c r="EW182" s="14">
        <v>3</v>
      </c>
      <c r="EX182" s="14">
        <f>IFERROR(AVERAGE(Tabel1[[#This Row],[Do - F1]],Tabel1[[#This Row],[Do - F2]],Tabel1[[#This Row],[Do - F3]],Tabel1[[#This Row],[Do - F4]]),"")</f>
        <v>2.7916666666666665</v>
      </c>
      <c r="EY182" s="14">
        <v>3</v>
      </c>
      <c r="EZ182" s="14">
        <v>4</v>
      </c>
      <c r="FA182" s="14">
        <v>2</v>
      </c>
      <c r="FB182" s="14">
        <f>IFERROR(AVERAGE(Tabel1[[#This Row],[Do - V1a]:[Do - V1c]]),"")</f>
        <v>3</v>
      </c>
      <c r="FC182" s="14" t="s">
        <v>189</v>
      </c>
      <c r="FD182" s="14">
        <v>1</v>
      </c>
      <c r="FE182" s="14">
        <f>IFERROR(AVERAGE(Tabel1[[#This Row],[Do - V2a]:[Do - V2b]]),"")</f>
        <v>1</v>
      </c>
      <c r="FF182" s="14">
        <v>3</v>
      </c>
      <c r="FG182" s="14">
        <f>IFERROR(AVERAGE(Tabel1[[#This Row],[Do - V3a]:[Do - V3a]]),"")</f>
        <v>3</v>
      </c>
      <c r="FH182" s="14" t="s">
        <v>189</v>
      </c>
      <c r="FI182" s="14">
        <f>IFERROR(AVERAGE(Tabel1[[#This Row],[Do - V1]],Tabel1[[#This Row],[Do - V2]],Tabel1[[#This Row],[Do - V3]],Tabel1[[#This Row],[Do - V4]]),"")</f>
        <v>2.3333333333333335</v>
      </c>
      <c r="FJ182" s="14">
        <v>4</v>
      </c>
      <c r="FK182" s="14">
        <v>4</v>
      </c>
      <c r="FL182" s="14">
        <v>4</v>
      </c>
      <c r="FM182" s="14">
        <f>IFERROR(AVERAGE(Tabel1[[#This Row],[Do - A1a]:[Do - A1c]]),"")</f>
        <v>4</v>
      </c>
      <c r="FN182" s="14">
        <v>3</v>
      </c>
      <c r="FO182" s="14" t="s">
        <v>189</v>
      </c>
      <c r="FP182" s="14">
        <f>IFERROR(AVERAGE(Tabel1[[#This Row],[Do - A2a]:[Do - A2b]]),"")</f>
        <v>3</v>
      </c>
      <c r="FQ182" s="14" t="s">
        <v>189</v>
      </c>
      <c r="FR182" s="14" t="str">
        <f>IFERROR(AVERAGE(Tabel1[[#This Row],[Do - A3a]:[Do - A3a]]),"")</f>
        <v/>
      </c>
      <c r="FS182" s="14" t="s">
        <v>189</v>
      </c>
      <c r="FT182" s="14">
        <f>IFERROR(AVERAGE(Tabel1[[#This Row],[Do - A1]],Tabel1[[#This Row],[Do - A2]],Tabel1[[#This Row],[Do - A3]],Tabel1[[#This Row],[Do - A4]]),"")</f>
        <v>3.5</v>
      </c>
      <c r="FU18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3.0748148148148147</v>
      </c>
      <c r="FV182" s="16" t="s">
        <v>1038</v>
      </c>
      <c r="FW182" t="b">
        <v>1</v>
      </c>
    </row>
    <row r="183" spans="1:179" x14ac:dyDescent="0.3">
      <c r="A183" s="13">
        <v>45223.412060185183</v>
      </c>
      <c r="B183" t="b">
        <v>0</v>
      </c>
      <c r="C183" s="14" t="s">
        <v>1039</v>
      </c>
      <c r="D183" s="14" t="s">
        <v>698</v>
      </c>
      <c r="E183" s="14" t="s">
        <v>241</v>
      </c>
      <c r="F183" s="14" t="s">
        <v>184</v>
      </c>
      <c r="G183" s="14" t="s">
        <v>1040</v>
      </c>
      <c r="H183" s="14" t="s">
        <v>222</v>
      </c>
      <c r="I183" s="14" t="s">
        <v>385</v>
      </c>
      <c r="J183" s="14"/>
      <c r="K183" s="14" t="s">
        <v>187</v>
      </c>
      <c r="L183" s="14" t="s">
        <v>218</v>
      </c>
      <c r="M183" s="14" t="s">
        <v>233</v>
      </c>
      <c r="N183" s="14" t="s">
        <v>199</v>
      </c>
      <c r="O183" s="14" t="s">
        <v>200</v>
      </c>
      <c r="P183" s="17" t="s">
        <v>304</v>
      </c>
      <c r="Q183" s="14" t="s">
        <v>201</v>
      </c>
      <c r="R183" s="14" t="s">
        <v>187</v>
      </c>
      <c r="S183" s="14" t="s">
        <v>187</v>
      </c>
      <c r="T183" s="14" t="s">
        <v>236</v>
      </c>
      <c r="U183" s="14" t="s">
        <v>285</v>
      </c>
      <c r="V183" s="14" t="s">
        <v>224</v>
      </c>
      <c r="W183" s="14" t="s">
        <v>207</v>
      </c>
      <c r="X183" s="14" t="s">
        <v>207</v>
      </c>
      <c r="Y183" s="14">
        <v>3</v>
      </c>
      <c r="Z183" s="14">
        <v>4</v>
      </c>
      <c r="AA183" s="14" t="s">
        <v>189</v>
      </c>
      <c r="AB183" s="15">
        <f>IFERROR(AVERAGE(Tabel1[[#This Row],[Up - R1a]:[Up - R1c]]),"")</f>
        <v>3.5</v>
      </c>
      <c r="AC183" s="14">
        <v>3</v>
      </c>
      <c r="AD183" s="14">
        <v>4</v>
      </c>
      <c r="AE183" s="14">
        <v>3</v>
      </c>
      <c r="AF183" s="14">
        <v>3</v>
      </c>
      <c r="AG183" s="14">
        <f>IFERROR(AVERAGE(Tabel1[[#This Row],[Up - R1]:[Up - R5]]),"")</f>
        <v>3.3</v>
      </c>
      <c r="AH183" s="14">
        <v>4</v>
      </c>
      <c r="AI183" s="14">
        <v>4</v>
      </c>
      <c r="AJ183" s="14">
        <v>3</v>
      </c>
      <c r="AK183" s="14">
        <f>IFERROR(AVERAGE(Tabel1[[#This Row],[Up - C1a]:[Up - C1c]]),"")</f>
        <v>3.6666666666666665</v>
      </c>
      <c r="AL183" s="14">
        <v>4</v>
      </c>
      <c r="AM183" s="14">
        <v>3</v>
      </c>
      <c r="AN183" s="14" t="s">
        <v>189</v>
      </c>
      <c r="AO183" s="14">
        <f>IFERROR(AVERAGE(Tabel1[[#This Row],[Up - C1]:[Up - C4]]),"")</f>
        <v>3.5555555555555554</v>
      </c>
      <c r="AP183" s="14">
        <v>3</v>
      </c>
      <c r="AQ183" s="14">
        <f>IFERROR(AVERAGE(Tabel1[[#This Row],[Up - F1a]:[Up - F1a]]),"")</f>
        <v>3</v>
      </c>
      <c r="AR183" s="14" t="s">
        <v>189</v>
      </c>
      <c r="AS183" s="14">
        <v>3</v>
      </c>
      <c r="AT183" s="14">
        <f>IFERROR(AVERAGE(Tabel1[[#This Row],[Up - F2a]:[Up - F2b]]),"")</f>
        <v>3</v>
      </c>
      <c r="AU183" s="14">
        <v>3</v>
      </c>
      <c r="AV183" s="14" t="s">
        <v>189</v>
      </c>
      <c r="AW183" s="14">
        <f>IFERROR(AVERAGE(Tabel1[[#This Row],[Up - F3a]:[Up - F3b]]),"")</f>
        <v>3</v>
      </c>
      <c r="AX183" s="14" t="s">
        <v>189</v>
      </c>
      <c r="AY183" s="14">
        <f>IFERROR(AVERAGE(Tabel1[[#This Row],[Up - F1]],Tabel1[[#This Row],[Up - F2]],Tabel1[[#This Row],[Up - F3]],Tabel1[[#This Row],[Up - F4]]),"")</f>
        <v>3</v>
      </c>
      <c r="AZ183" s="14">
        <v>3</v>
      </c>
      <c r="BA183" s="14">
        <v>3</v>
      </c>
      <c r="BB183" s="14">
        <f>IFERROR(AVERAGE(Tabel1[[#This Row],[Up - V1a]:[Up - V1b]]),"")</f>
        <v>3</v>
      </c>
      <c r="BC183" s="14">
        <v>2</v>
      </c>
      <c r="BD183" s="14">
        <v>3</v>
      </c>
      <c r="BE183" s="14">
        <v>3</v>
      </c>
      <c r="BF183" s="14">
        <f>IFERROR(AVERAGE(Tabel1[[#This Row],[Up - V2a]:[Up - V2c]]),"")</f>
        <v>2.6666666666666665</v>
      </c>
      <c r="BG183" s="14" t="s">
        <v>189</v>
      </c>
      <c r="BH183" s="14" t="s">
        <v>189</v>
      </c>
      <c r="BI183" s="14" t="str">
        <f>IFERROR(AVERAGE(Tabel1[[#This Row],[Up - V3a]:[Up - V3b]]),"")</f>
        <v/>
      </c>
      <c r="BJ183" s="14" t="s">
        <v>189</v>
      </c>
      <c r="BK183" s="14">
        <f>IFERROR(AVERAGE(Tabel1[[#This Row],[Up - V1]],Tabel1[[#This Row],[Up - V2]],Tabel1[[#This Row],[Up - V3]],Tabel1[[#This Row],[Up - V4]]),"")</f>
        <v>2.833333333333333</v>
      </c>
      <c r="BL183" s="14">
        <v>3</v>
      </c>
      <c r="BM183" s="14">
        <v>3</v>
      </c>
      <c r="BN183" s="14">
        <v>2</v>
      </c>
      <c r="BO183" s="14" t="s">
        <v>189</v>
      </c>
      <c r="BP183" s="14">
        <f>IFERROR(AVERAGE(Tabel1[[#This Row],[Up - A1a]:[Up - A1d]]),"")</f>
        <v>2.6666666666666665</v>
      </c>
      <c r="BQ183" s="14" t="s">
        <v>189</v>
      </c>
      <c r="BR183" s="14">
        <v>3</v>
      </c>
      <c r="BS183" s="14">
        <f>IFERROR(AVERAGE(Tabel1[[#This Row],[Up - A2a]:[Up - A2b]]),"")</f>
        <v>3</v>
      </c>
      <c r="BT183" s="14">
        <v>3</v>
      </c>
      <c r="BU183" s="14">
        <f>IFERROR(AVERAGE(Tabel1[[#This Row],[Up - A3a]:[Up - A3a]]),"")</f>
        <v>3</v>
      </c>
      <c r="BV183" s="14" t="s">
        <v>189</v>
      </c>
      <c r="BW183" s="14">
        <f>IFERROR(AVERAGE(Tabel1[[#This Row],[Up - A1]],Tabel1[[#This Row],[Up - A2]],Tabel1[[#This Row],[Up - A3]]),"")</f>
        <v>2.8888888888888888</v>
      </c>
      <c r="BX183" s="14" t="s">
        <v>189</v>
      </c>
      <c r="BY183" s="14">
        <v>3</v>
      </c>
      <c r="BZ183" s="14">
        <f>IFERROR(AVERAGE(Tabel1[[#This Row],[In - R1a]:[In - R1b]]),"")</f>
        <v>3</v>
      </c>
      <c r="CA183" s="14">
        <v>4</v>
      </c>
      <c r="CB183" s="14">
        <v>4</v>
      </c>
      <c r="CC183" s="14" t="s">
        <v>189</v>
      </c>
      <c r="CD183" s="14">
        <v>4</v>
      </c>
      <c r="CE183" s="14">
        <f>IFERROR(AVERAGE(Tabel1[[#This Row],[In - R1]:[In - R5]]),"")</f>
        <v>3.75</v>
      </c>
      <c r="CF183" s="14">
        <v>3</v>
      </c>
      <c r="CG183" s="14">
        <v>3</v>
      </c>
      <c r="CH183" s="14">
        <v>5</v>
      </c>
      <c r="CI183" s="14">
        <f>IFERROR(AVERAGE(Tabel1[[#This Row],[In - C1a]:[In - C1c]]),"")</f>
        <v>3.6666666666666665</v>
      </c>
      <c r="CJ183" s="14">
        <v>4</v>
      </c>
      <c r="CK183" s="14">
        <v>3</v>
      </c>
      <c r="CL183" s="14">
        <v>4</v>
      </c>
      <c r="CM183" s="14">
        <f>IFERROR(AVERAGE(Tabel1[[#This Row],[In - C1]:[In - C4]]),"")</f>
        <v>3.6666666666666665</v>
      </c>
      <c r="CN183" s="14">
        <v>3</v>
      </c>
      <c r="CO183" s="14">
        <v>2</v>
      </c>
      <c r="CP183" s="14" t="s">
        <v>189</v>
      </c>
      <c r="CQ183" s="14">
        <f>IFERROR(AVERAGE(Tabel1[[#This Row],[In - F1a]:[In - F1c]]),"")</f>
        <v>2.5</v>
      </c>
      <c r="CR183" s="14" t="s">
        <v>189</v>
      </c>
      <c r="CS183" s="14">
        <v>3</v>
      </c>
      <c r="CT183" s="14">
        <f>IFERROR(AVERAGE(Tabel1[[#This Row],[In - F2a]:[In - F2b]]),"")</f>
        <v>3</v>
      </c>
      <c r="CU183" s="14">
        <v>2</v>
      </c>
      <c r="CV183" s="14">
        <f>IFERROR(AVERAGE(Tabel1[[#This Row],[In - F3a]:[In - F3a]]),"")</f>
        <v>2</v>
      </c>
      <c r="CW183" s="14" t="s">
        <v>189</v>
      </c>
      <c r="CX183" s="14">
        <f>IFERROR(AVERAGE(Tabel1[[#This Row],[In - F1]],Tabel1[[#This Row],[In - F2]],Tabel1[[#This Row],[In - F3]],Tabel1[[#This Row],[In - F4]]),"")</f>
        <v>2.5</v>
      </c>
      <c r="CY183" s="14">
        <v>2</v>
      </c>
      <c r="CZ183" s="14">
        <v>3</v>
      </c>
      <c r="DA183" s="14">
        <v>2</v>
      </c>
      <c r="DB183" s="14">
        <f>IFERROR(AVERAGE(Tabel1[[#This Row],[In - V1a]:[In - V1c]]),"")</f>
        <v>2.3333333333333335</v>
      </c>
      <c r="DC183" s="14">
        <v>2</v>
      </c>
      <c r="DD183" s="14">
        <v>3</v>
      </c>
      <c r="DE183" s="14" t="s">
        <v>189</v>
      </c>
      <c r="DF183" s="14">
        <f>IFERROR(AVERAGE(Tabel1[[#This Row],[In - V2a]:[In - V2c]]),"")</f>
        <v>2.5</v>
      </c>
      <c r="DG183" s="14" t="s">
        <v>189</v>
      </c>
      <c r="DH183" s="14">
        <v>3</v>
      </c>
      <c r="DI183" s="14">
        <f>IFERROR(AVERAGE(Tabel1[[#This Row],[In - V3a]:[In - V3b]]),"")</f>
        <v>3</v>
      </c>
      <c r="DJ183" s="14" t="s">
        <v>189</v>
      </c>
      <c r="DK183" s="14">
        <f>IFERROR(AVERAGE(Tabel1[[#This Row],[In - V1]],Tabel1[[#This Row],[In - V2]],Tabel1[[#This Row],[In - V3]],Tabel1[[#This Row],[In - V4]]),"")</f>
        <v>2.6111111111111112</v>
      </c>
      <c r="DL183" s="14">
        <v>3</v>
      </c>
      <c r="DM183" s="14">
        <v>3</v>
      </c>
      <c r="DN183" s="14">
        <f>IFERROR(AVERAGE(Tabel1[[#This Row],[In - A1a]:[In - A1b]]),"")</f>
        <v>3</v>
      </c>
      <c r="DO183" s="14" t="s">
        <v>189</v>
      </c>
      <c r="DP183" s="14">
        <v>3</v>
      </c>
      <c r="DQ183" s="14">
        <f>IFERROR(AVERAGE(Tabel1[[#This Row],[In - A2a]:[In - A2b]]),"")</f>
        <v>3</v>
      </c>
      <c r="DR183" s="14">
        <v>3</v>
      </c>
      <c r="DS183" s="14">
        <v>2</v>
      </c>
      <c r="DT183" s="14">
        <f>IFERROR(AVERAGE(Tabel1[[#This Row],[In - A3a]:[In - A3a]]),"")</f>
        <v>3</v>
      </c>
      <c r="DU183" s="14">
        <v>3</v>
      </c>
      <c r="DV183" s="14">
        <f>IFERROR(AVERAGE(Tabel1[[#This Row],[In - A1]],Tabel1[[#This Row],[In - A2]],Tabel1[[#This Row],[In - A3]],Tabel1[[#This Row],[In - A4]]),"")</f>
        <v>3</v>
      </c>
      <c r="DW183" s="14">
        <v>3</v>
      </c>
      <c r="DX183" s="14">
        <v>4</v>
      </c>
      <c r="DY183" s="14">
        <v>3</v>
      </c>
      <c r="DZ183" s="14">
        <f>IFERROR(AVERAGE(Tabel1[[#This Row],[Do - R1a]:[Do - R1c]]),"")</f>
        <v>3.3333333333333335</v>
      </c>
      <c r="EA183" s="14" t="s">
        <v>189</v>
      </c>
      <c r="EB183" s="14">
        <v>4</v>
      </c>
      <c r="EC183" s="14" t="s">
        <v>189</v>
      </c>
      <c r="ED183" s="14" t="s">
        <v>189</v>
      </c>
      <c r="EE183" s="14">
        <f>IFERROR(AVERAGE(Tabel1[[#This Row],[Do - R1]:[Do - R5]]),"")</f>
        <v>3.666666666666667</v>
      </c>
      <c r="EF183" s="14">
        <v>4</v>
      </c>
      <c r="EG183" s="14">
        <v>3</v>
      </c>
      <c r="EH183" s="14">
        <v>3</v>
      </c>
      <c r="EI183" s="14">
        <f>IFERROR(AVERAGE(Tabel1[[#This Row],[Do - C1a]:[Do - C1c]]),"")</f>
        <v>3.3333333333333335</v>
      </c>
      <c r="EJ183" s="14">
        <v>3</v>
      </c>
      <c r="EK183" s="14">
        <v>3</v>
      </c>
      <c r="EL183" s="14" t="s">
        <v>189</v>
      </c>
      <c r="EM183" s="14">
        <f>IFERROR(AVERAGE(Tabel1[[#This Row],[Do - C1]:[Do - C4]]),"")</f>
        <v>3.1111111111111112</v>
      </c>
      <c r="EN183" s="14">
        <v>4</v>
      </c>
      <c r="EO183" s="14">
        <v>3</v>
      </c>
      <c r="EP183" s="14">
        <v>3</v>
      </c>
      <c r="EQ183" s="14">
        <f>IFERROR(AVERAGE(Tabel1[[#This Row],[Do - F1a]:[Do - F1c]]),"")</f>
        <v>3.3333333333333335</v>
      </c>
      <c r="ER183" s="14">
        <v>4</v>
      </c>
      <c r="ES183" s="14">
        <f>IFERROR(AVERAGE(Tabel1[[#This Row],[Do - F2a]:[Do - F2a]]),"")</f>
        <v>4</v>
      </c>
      <c r="ET183" s="14">
        <v>2</v>
      </c>
      <c r="EU183" s="14" t="s">
        <v>189</v>
      </c>
      <c r="EV183" s="14">
        <f>IFERROR(AVERAGE(Tabel1[[#This Row],[Do - F3a]:[Do - F3b]]),"")</f>
        <v>2</v>
      </c>
      <c r="EW183" s="14" t="s">
        <v>189</v>
      </c>
      <c r="EX183" s="14">
        <f>IFERROR(AVERAGE(Tabel1[[#This Row],[Do - F1]],Tabel1[[#This Row],[Do - F2]],Tabel1[[#This Row],[Do - F3]],Tabel1[[#This Row],[Do - F4]]),"")</f>
        <v>3.1111111111111112</v>
      </c>
      <c r="EY183" s="14">
        <v>3</v>
      </c>
      <c r="EZ183" s="14">
        <v>3</v>
      </c>
      <c r="FA183" s="14">
        <v>3</v>
      </c>
      <c r="FB183" s="14">
        <f>IFERROR(AVERAGE(Tabel1[[#This Row],[Do - V1a]:[Do - V1c]]),"")</f>
        <v>3</v>
      </c>
      <c r="FC183" s="14">
        <v>2</v>
      </c>
      <c r="FD183" s="14">
        <v>3</v>
      </c>
      <c r="FE183" s="14">
        <f>IFERROR(AVERAGE(Tabel1[[#This Row],[Do - V2a]:[Do - V2b]]),"")</f>
        <v>2.5</v>
      </c>
      <c r="FF183" s="14" t="s">
        <v>189</v>
      </c>
      <c r="FG183" s="14" t="str">
        <f>IFERROR(AVERAGE(Tabel1[[#This Row],[Do - V3a]:[Do - V3a]]),"")</f>
        <v/>
      </c>
      <c r="FH183" s="14" t="s">
        <v>189</v>
      </c>
      <c r="FI183" s="14">
        <f>IFERROR(AVERAGE(Tabel1[[#This Row],[Do - V1]],Tabel1[[#This Row],[Do - V2]],Tabel1[[#This Row],[Do - V3]],Tabel1[[#This Row],[Do - V4]]),"")</f>
        <v>2.75</v>
      </c>
      <c r="FJ183" s="14">
        <v>3</v>
      </c>
      <c r="FK183" s="14">
        <v>2</v>
      </c>
      <c r="FL183" s="14" t="s">
        <v>189</v>
      </c>
      <c r="FM183" s="14">
        <f>IFERROR(AVERAGE(Tabel1[[#This Row],[Do - A1a]:[Do - A1c]]),"")</f>
        <v>2.5</v>
      </c>
      <c r="FN183" s="14">
        <v>3</v>
      </c>
      <c r="FO183" s="14" t="s">
        <v>189</v>
      </c>
      <c r="FP183" s="14">
        <f>IFERROR(AVERAGE(Tabel1[[#This Row],[Do - A2a]:[Do - A2b]]),"")</f>
        <v>3</v>
      </c>
      <c r="FQ183" s="14" t="s">
        <v>189</v>
      </c>
      <c r="FR183" s="14" t="str">
        <f>IFERROR(AVERAGE(Tabel1[[#This Row],[Do - A3a]:[Do - A3a]]),"")</f>
        <v/>
      </c>
      <c r="FS183" s="14" t="s">
        <v>189</v>
      </c>
      <c r="FT183" s="14">
        <f>IFERROR(AVERAGE(Tabel1[[#This Row],[Do - A1]],Tabel1[[#This Row],[Do - A2]],Tabel1[[#This Row],[Do - A3]],Tabel1[[#This Row],[Do - A4]]),"")</f>
        <v>2.75</v>
      </c>
      <c r="FU18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3.09962962962963</v>
      </c>
      <c r="FV183" s="16" t="s">
        <v>1041</v>
      </c>
      <c r="FW183" t="b">
        <v>1</v>
      </c>
    </row>
    <row r="184" spans="1:179" x14ac:dyDescent="0.3">
      <c r="A184" s="13">
        <v>45232.660196759258</v>
      </c>
      <c r="B184" t="b">
        <v>0</v>
      </c>
      <c r="C184" s="14" t="s">
        <v>1042</v>
      </c>
      <c r="D184" s="14" t="s">
        <v>1043</v>
      </c>
      <c r="E184" s="14" t="s">
        <v>193</v>
      </c>
      <c r="F184" s="14" t="s">
        <v>189</v>
      </c>
      <c r="G184" s="14" t="s">
        <v>1044</v>
      </c>
      <c r="H184" s="14" t="s">
        <v>194</v>
      </c>
      <c r="I184" s="14" t="s">
        <v>195</v>
      </c>
      <c r="J184" s="14" t="s">
        <v>196</v>
      </c>
      <c r="K184" s="14" t="s">
        <v>235</v>
      </c>
      <c r="L184" s="14" t="s">
        <v>249</v>
      </c>
      <c r="M184" s="14"/>
      <c r="N184" s="14" t="s">
        <v>199</v>
      </c>
      <c r="O184" s="14" t="s">
        <v>200</v>
      </c>
      <c r="P184" s="17" t="s">
        <v>304</v>
      </c>
      <c r="Q184" s="17" t="s">
        <v>304</v>
      </c>
      <c r="R184" s="14" t="s">
        <v>202</v>
      </c>
      <c r="S184" s="14" t="s">
        <v>201</v>
      </c>
      <c r="T184" s="14" t="s">
        <v>204</v>
      </c>
      <c r="U184" s="14" t="s">
        <v>237</v>
      </c>
      <c r="V184" s="14" t="s">
        <v>224</v>
      </c>
      <c r="W184" s="14" t="s">
        <v>306</v>
      </c>
      <c r="X184" s="14" t="s">
        <v>306</v>
      </c>
      <c r="Y184" s="14">
        <v>3</v>
      </c>
      <c r="Z184" s="14">
        <v>2</v>
      </c>
      <c r="AA184" s="14" t="s">
        <v>189</v>
      </c>
      <c r="AB184" s="15">
        <f>IFERROR(AVERAGE(Tabel1[[#This Row],[Up - R1a]:[Up - R1c]]),"")</f>
        <v>2.5</v>
      </c>
      <c r="AC184" s="14">
        <v>4</v>
      </c>
      <c r="AD184" s="14">
        <v>1</v>
      </c>
      <c r="AE184" s="14">
        <v>2</v>
      </c>
      <c r="AF184" s="14" t="s">
        <v>189</v>
      </c>
      <c r="AG184" s="14">
        <f>IFERROR(AVERAGE(Tabel1[[#This Row],[Up - R1]:[Up - R5]]),"")</f>
        <v>2.375</v>
      </c>
      <c r="AH184" s="14">
        <v>4</v>
      </c>
      <c r="AI184" s="14">
        <v>4</v>
      </c>
      <c r="AJ184" s="14">
        <v>5</v>
      </c>
      <c r="AK184" s="14">
        <f>IFERROR(AVERAGE(Tabel1[[#This Row],[Up - C1a]:[Up - C1c]]),"")</f>
        <v>4.333333333333333</v>
      </c>
      <c r="AL184" s="14">
        <v>1</v>
      </c>
      <c r="AM184" s="14">
        <v>4</v>
      </c>
      <c r="AN184" s="14" t="s">
        <v>189</v>
      </c>
      <c r="AO184" s="14">
        <f>IFERROR(AVERAGE(Tabel1[[#This Row],[Up - C1]:[Up - C4]]),"")</f>
        <v>3.1111111111111107</v>
      </c>
      <c r="AP184" s="14" t="s">
        <v>189</v>
      </c>
      <c r="AQ184" s="14" t="str">
        <f>IFERROR(AVERAGE(Tabel1[[#This Row],[Up - F1a]:[Up - F1a]]),"")</f>
        <v/>
      </c>
      <c r="AR184" s="14">
        <v>4</v>
      </c>
      <c r="AS184" s="14">
        <v>2</v>
      </c>
      <c r="AT184" s="14">
        <f>IFERROR(AVERAGE(Tabel1[[#This Row],[Up - F2a]:[Up - F2b]]),"")</f>
        <v>3</v>
      </c>
      <c r="AU184" s="14">
        <v>4</v>
      </c>
      <c r="AV184" s="14">
        <v>4</v>
      </c>
      <c r="AW184" s="14">
        <f>IFERROR(AVERAGE(Tabel1[[#This Row],[Up - F3a]:[Up - F3b]]),"")</f>
        <v>4</v>
      </c>
      <c r="AX184" s="14">
        <v>1</v>
      </c>
      <c r="AY184" s="14">
        <f>IFERROR(AVERAGE(Tabel1[[#This Row],[Up - F1]],Tabel1[[#This Row],[Up - F2]],Tabel1[[#This Row],[Up - F3]],Tabel1[[#This Row],[Up - F4]]),"")</f>
        <v>2.6666666666666665</v>
      </c>
      <c r="AZ184" s="14">
        <v>4</v>
      </c>
      <c r="BA184" s="14">
        <v>5</v>
      </c>
      <c r="BB184" s="14">
        <f>IFERROR(AVERAGE(Tabel1[[#This Row],[Up - V1a]:[Up - V1b]]),"")</f>
        <v>4.5</v>
      </c>
      <c r="BC184" s="14">
        <v>5</v>
      </c>
      <c r="BD184" s="14">
        <v>5</v>
      </c>
      <c r="BE184" s="14">
        <v>5</v>
      </c>
      <c r="BF184" s="14">
        <f>IFERROR(AVERAGE(Tabel1[[#This Row],[Up - V2a]:[Up - V2c]]),"")</f>
        <v>5</v>
      </c>
      <c r="BG184" s="14">
        <v>3</v>
      </c>
      <c r="BH184" s="14">
        <v>5</v>
      </c>
      <c r="BI184" s="14">
        <f>IFERROR(AVERAGE(Tabel1[[#This Row],[Up - V3a]:[Up - V3b]]),"")</f>
        <v>4</v>
      </c>
      <c r="BJ184" s="14">
        <v>3</v>
      </c>
      <c r="BK184" s="14">
        <f>IFERROR(AVERAGE(Tabel1[[#This Row],[Up - V1]],Tabel1[[#This Row],[Up - V2]],Tabel1[[#This Row],[Up - V3]],Tabel1[[#This Row],[Up - V4]]),"")</f>
        <v>4.125</v>
      </c>
      <c r="BL184" s="14">
        <v>5</v>
      </c>
      <c r="BM184" s="14">
        <v>5</v>
      </c>
      <c r="BN184" s="14">
        <v>2</v>
      </c>
      <c r="BO184" s="14">
        <v>1</v>
      </c>
      <c r="BP184" s="14">
        <f>IFERROR(AVERAGE(Tabel1[[#This Row],[Up - A1a]:[Up - A1d]]),"")</f>
        <v>3.25</v>
      </c>
      <c r="BQ184" s="14">
        <v>4</v>
      </c>
      <c r="BR184" s="14">
        <v>1</v>
      </c>
      <c r="BS184" s="14">
        <f>IFERROR(AVERAGE(Tabel1[[#This Row],[Up - A2a]:[Up - A2b]]),"")</f>
        <v>2.5</v>
      </c>
      <c r="BT184" s="14">
        <v>4</v>
      </c>
      <c r="BU184" s="14">
        <f>IFERROR(AVERAGE(Tabel1[[#This Row],[Up - A3a]:[Up - A3a]]),"")</f>
        <v>4</v>
      </c>
      <c r="BV184" s="14">
        <v>3</v>
      </c>
      <c r="BW184" s="14">
        <f>IFERROR(AVERAGE(Tabel1[[#This Row],[Up - A1]],Tabel1[[#This Row],[Up - A2]],Tabel1[[#This Row],[Up - A3]]),"")</f>
        <v>3.25</v>
      </c>
      <c r="BX184" s="14">
        <v>3</v>
      </c>
      <c r="BY184" s="14">
        <v>5</v>
      </c>
      <c r="BZ184" s="14">
        <f>IFERROR(AVERAGE(Tabel1[[#This Row],[In - R1a]:[In - R1b]]),"")</f>
        <v>4</v>
      </c>
      <c r="CA184" s="14">
        <v>2</v>
      </c>
      <c r="CB184" s="14">
        <v>5</v>
      </c>
      <c r="CC184" s="14">
        <v>1</v>
      </c>
      <c r="CD184" s="14">
        <v>5</v>
      </c>
      <c r="CE184" s="14">
        <f>IFERROR(AVERAGE(Tabel1[[#This Row],[In - R1]:[In - R5]]),"")</f>
        <v>3.4</v>
      </c>
      <c r="CF184" s="14">
        <v>3</v>
      </c>
      <c r="CG184" s="14">
        <v>5</v>
      </c>
      <c r="CH184" s="14">
        <v>3</v>
      </c>
      <c r="CI184" s="14">
        <f>IFERROR(AVERAGE(Tabel1[[#This Row],[In - C1a]:[In - C1c]]),"")</f>
        <v>3.6666666666666665</v>
      </c>
      <c r="CJ184" s="14" t="s">
        <v>189</v>
      </c>
      <c r="CK184" s="14">
        <v>2</v>
      </c>
      <c r="CL184" s="14">
        <v>4</v>
      </c>
      <c r="CM184" s="14">
        <f>IFERROR(AVERAGE(Tabel1[[#This Row],[In - C1]:[In - C4]]),"")</f>
        <v>3.2222222222222219</v>
      </c>
      <c r="CN184" s="14">
        <v>1</v>
      </c>
      <c r="CO184" s="14">
        <v>2</v>
      </c>
      <c r="CP184" s="14">
        <v>4</v>
      </c>
      <c r="CQ184" s="14">
        <f>IFERROR(AVERAGE(Tabel1[[#This Row],[In - F1a]:[In - F1c]]),"")</f>
        <v>2.3333333333333335</v>
      </c>
      <c r="CR184" s="14">
        <v>5</v>
      </c>
      <c r="CS184" s="14">
        <v>3</v>
      </c>
      <c r="CT184" s="14">
        <f>IFERROR(AVERAGE(Tabel1[[#This Row],[In - F2a]:[In - F2b]]),"")</f>
        <v>4</v>
      </c>
      <c r="CU184" s="14">
        <v>1</v>
      </c>
      <c r="CV184" s="14">
        <f>IFERROR(AVERAGE(Tabel1[[#This Row],[In - F3a]:[In - F3a]]),"")</f>
        <v>1</v>
      </c>
      <c r="CW184" s="14" t="s">
        <v>189</v>
      </c>
      <c r="CX184" s="14">
        <f>IFERROR(AVERAGE(Tabel1[[#This Row],[In - F1]],Tabel1[[#This Row],[In - F2]],Tabel1[[#This Row],[In - F3]],Tabel1[[#This Row],[In - F4]]),"")</f>
        <v>2.4444444444444446</v>
      </c>
      <c r="CY184" s="14">
        <v>5</v>
      </c>
      <c r="CZ184" s="14">
        <v>5</v>
      </c>
      <c r="DA184" s="14">
        <v>3</v>
      </c>
      <c r="DB184" s="14">
        <f>IFERROR(AVERAGE(Tabel1[[#This Row],[In - V1a]:[In - V1c]]),"")</f>
        <v>4.333333333333333</v>
      </c>
      <c r="DC184" s="14" t="s">
        <v>189</v>
      </c>
      <c r="DD184" s="14">
        <v>5</v>
      </c>
      <c r="DE184" s="14">
        <v>5</v>
      </c>
      <c r="DF184" s="14">
        <f>IFERROR(AVERAGE(Tabel1[[#This Row],[In - V2a]:[In - V2c]]),"")</f>
        <v>5</v>
      </c>
      <c r="DG184" s="14">
        <v>5</v>
      </c>
      <c r="DH184" s="14" t="s">
        <v>189</v>
      </c>
      <c r="DI184" s="14">
        <f>IFERROR(AVERAGE(Tabel1[[#This Row],[In - V3a]:[In - V3b]]),"")</f>
        <v>5</v>
      </c>
      <c r="DJ184" s="14">
        <v>4</v>
      </c>
      <c r="DK184" s="14">
        <f>IFERROR(AVERAGE(Tabel1[[#This Row],[In - V1]],Tabel1[[#This Row],[In - V2]],Tabel1[[#This Row],[In - V3]],Tabel1[[#This Row],[In - V4]]),"")</f>
        <v>4.583333333333333</v>
      </c>
      <c r="DL184" s="14">
        <v>3</v>
      </c>
      <c r="DM184" s="14">
        <v>5</v>
      </c>
      <c r="DN184" s="14">
        <f>IFERROR(AVERAGE(Tabel1[[#This Row],[In - A1a]:[In - A1b]]),"")</f>
        <v>4</v>
      </c>
      <c r="DO184" s="14">
        <v>4</v>
      </c>
      <c r="DP184" s="14" t="s">
        <v>189</v>
      </c>
      <c r="DQ184" s="14">
        <f>IFERROR(AVERAGE(Tabel1[[#This Row],[In - A2a]:[In - A2b]]),"")</f>
        <v>4</v>
      </c>
      <c r="DR184" s="14">
        <v>2</v>
      </c>
      <c r="DS184" s="14">
        <v>2</v>
      </c>
      <c r="DT184" s="14">
        <f>IFERROR(AVERAGE(Tabel1[[#This Row],[In - A3a]:[In - A3a]]),"")</f>
        <v>2</v>
      </c>
      <c r="DU184" s="14">
        <v>2</v>
      </c>
      <c r="DV184" s="14">
        <f>IFERROR(AVERAGE(Tabel1[[#This Row],[In - A1]],Tabel1[[#This Row],[In - A2]],Tabel1[[#This Row],[In - A3]],Tabel1[[#This Row],[In - A4]]),"")</f>
        <v>3</v>
      </c>
      <c r="DW184" s="14">
        <v>1</v>
      </c>
      <c r="DX184" s="14">
        <v>5</v>
      </c>
      <c r="DY184" s="14">
        <v>1</v>
      </c>
      <c r="DZ184" s="14">
        <f>IFERROR(AVERAGE(Tabel1[[#This Row],[Do - R1a]:[Do - R1c]]),"")</f>
        <v>2.3333333333333335</v>
      </c>
      <c r="EA184" s="14">
        <v>3</v>
      </c>
      <c r="EB184" s="14">
        <v>1</v>
      </c>
      <c r="EC184" s="14" t="s">
        <v>189</v>
      </c>
      <c r="ED184" s="14">
        <v>4</v>
      </c>
      <c r="EE184" s="14">
        <f>IFERROR(AVERAGE(Tabel1[[#This Row],[Do - R1]:[Do - R5]]),"")</f>
        <v>2.5833333333333335</v>
      </c>
      <c r="EF184" s="14">
        <v>4</v>
      </c>
      <c r="EG184" s="14">
        <v>5</v>
      </c>
      <c r="EH184" s="14">
        <v>4</v>
      </c>
      <c r="EI184" s="14">
        <f>IFERROR(AVERAGE(Tabel1[[#This Row],[Do - C1a]:[Do - C1c]]),"")</f>
        <v>4.333333333333333</v>
      </c>
      <c r="EJ184" s="14">
        <v>2</v>
      </c>
      <c r="EK184" s="14">
        <v>3</v>
      </c>
      <c r="EL184" s="14" t="s">
        <v>189</v>
      </c>
      <c r="EM184" s="14">
        <f>IFERROR(AVERAGE(Tabel1[[#This Row],[Do - C1]:[Do - C4]]),"")</f>
        <v>3.1111111111111107</v>
      </c>
      <c r="EN184" s="14">
        <v>1</v>
      </c>
      <c r="EO184" s="14">
        <v>1</v>
      </c>
      <c r="EP184" s="14">
        <v>2</v>
      </c>
      <c r="EQ184" s="14">
        <f>IFERROR(AVERAGE(Tabel1[[#This Row],[Do - F1a]:[Do - F1c]]),"")</f>
        <v>1.3333333333333333</v>
      </c>
      <c r="ER184" s="14">
        <v>2</v>
      </c>
      <c r="ES184" s="14">
        <f>IFERROR(AVERAGE(Tabel1[[#This Row],[Do - F2a]:[Do - F2a]]),"")</f>
        <v>2</v>
      </c>
      <c r="ET184" s="14">
        <v>1</v>
      </c>
      <c r="EU184" s="14" t="s">
        <v>189</v>
      </c>
      <c r="EV184" s="14">
        <f>IFERROR(AVERAGE(Tabel1[[#This Row],[Do - F3a]:[Do - F3b]]),"")</f>
        <v>1</v>
      </c>
      <c r="EW184" s="14" t="s">
        <v>189</v>
      </c>
      <c r="EX184" s="14">
        <f>IFERROR(AVERAGE(Tabel1[[#This Row],[Do - F1]],Tabel1[[#This Row],[Do - F2]],Tabel1[[#This Row],[Do - F3]],Tabel1[[#This Row],[Do - F4]]),"")</f>
        <v>1.4444444444444444</v>
      </c>
      <c r="EY184" s="14">
        <v>2</v>
      </c>
      <c r="EZ184" s="14">
        <v>4</v>
      </c>
      <c r="FA184" s="14">
        <v>5</v>
      </c>
      <c r="FB184" s="14">
        <f>IFERROR(AVERAGE(Tabel1[[#This Row],[Do - V1a]:[Do - V1c]]),"")</f>
        <v>3.6666666666666665</v>
      </c>
      <c r="FC184" s="14">
        <v>4</v>
      </c>
      <c r="FD184" s="14">
        <v>5</v>
      </c>
      <c r="FE184" s="14">
        <f>IFERROR(AVERAGE(Tabel1[[#This Row],[Do - V2a]:[Do - V2b]]),"")</f>
        <v>4.5</v>
      </c>
      <c r="FF184" s="14">
        <v>4</v>
      </c>
      <c r="FG184" s="14">
        <f>IFERROR(AVERAGE(Tabel1[[#This Row],[Do - V3a]:[Do - V3a]]),"")</f>
        <v>4</v>
      </c>
      <c r="FH184" s="14">
        <v>3</v>
      </c>
      <c r="FI184" s="14">
        <f>IFERROR(AVERAGE(Tabel1[[#This Row],[Do - V1]],Tabel1[[#This Row],[Do - V2]],Tabel1[[#This Row],[Do - V3]],Tabel1[[#This Row],[Do - V4]]),"")</f>
        <v>3.7916666666666665</v>
      </c>
      <c r="FJ184" s="14">
        <v>4</v>
      </c>
      <c r="FK184" s="14">
        <v>4</v>
      </c>
      <c r="FL184" s="14" t="s">
        <v>189</v>
      </c>
      <c r="FM184" s="14">
        <f>IFERROR(AVERAGE(Tabel1[[#This Row],[Do - A1a]:[Do - A1c]]),"")</f>
        <v>4</v>
      </c>
      <c r="FN184" s="14">
        <v>4</v>
      </c>
      <c r="FO184" s="14">
        <v>1</v>
      </c>
      <c r="FP184" s="14">
        <f>IFERROR(AVERAGE(Tabel1[[#This Row],[Do - A2a]:[Do - A2b]]),"")</f>
        <v>2.5</v>
      </c>
      <c r="FQ184" s="14">
        <v>3</v>
      </c>
      <c r="FR184" s="14">
        <f>IFERROR(AVERAGE(Tabel1[[#This Row],[Do - A3a]:[Do - A3a]]),"")</f>
        <v>3</v>
      </c>
      <c r="FS184" s="14" t="s">
        <v>189</v>
      </c>
      <c r="FT184" s="14">
        <f>IFERROR(AVERAGE(Tabel1[[#This Row],[Do - A1]],Tabel1[[#This Row],[Do - A2]],Tabel1[[#This Row],[Do - A3]],Tabel1[[#This Row],[Do - A4]]),"")</f>
        <v>3.1666666666666665</v>
      </c>
      <c r="FU18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3.0849999999999995</v>
      </c>
      <c r="FV184" s="16" t="s">
        <v>1045</v>
      </c>
      <c r="FW184" t="b">
        <v>1</v>
      </c>
    </row>
    <row r="185" spans="1:179" x14ac:dyDescent="0.3">
      <c r="A185" s="13">
        <v>45232.717511574076</v>
      </c>
      <c r="B185" t="b">
        <v>0</v>
      </c>
      <c r="C185" s="14" t="s">
        <v>1046</v>
      </c>
      <c r="D185" s="14" t="s">
        <v>1047</v>
      </c>
      <c r="E185" s="14" t="s">
        <v>193</v>
      </c>
      <c r="F185" s="14" t="s">
        <v>189</v>
      </c>
      <c r="G185" s="14" t="s">
        <v>1048</v>
      </c>
      <c r="H185" s="14" t="s">
        <v>194</v>
      </c>
      <c r="I185" s="14" t="s">
        <v>385</v>
      </c>
      <c r="J185" s="14" t="s">
        <v>196</v>
      </c>
      <c r="K185" s="14" t="s">
        <v>187</v>
      </c>
      <c r="L185" s="14" t="s">
        <v>197</v>
      </c>
      <c r="M185" s="14" t="s">
        <v>233</v>
      </c>
      <c r="N185" s="14" t="s">
        <v>262</v>
      </c>
      <c r="O185" s="14" t="s">
        <v>200</v>
      </c>
      <c r="P185" s="17" t="s">
        <v>255</v>
      </c>
      <c r="Q185" s="17" t="s">
        <v>304</v>
      </c>
      <c r="R185" s="14" t="s">
        <v>235</v>
      </c>
      <c r="S185" s="14" t="s">
        <v>202</v>
      </c>
      <c r="T185" s="14" t="s">
        <v>204</v>
      </c>
      <c r="U185" s="14" t="s">
        <v>285</v>
      </c>
      <c r="V185" s="14" t="s">
        <v>224</v>
      </c>
      <c r="W185" s="14" t="s">
        <v>207</v>
      </c>
      <c r="X185" s="14" t="s">
        <v>395</v>
      </c>
      <c r="Y185" s="14">
        <v>3</v>
      </c>
      <c r="Z185" s="14">
        <v>5</v>
      </c>
      <c r="AA185" s="14">
        <v>2</v>
      </c>
      <c r="AB185" s="15">
        <f>IFERROR(AVERAGE(Tabel1[[#This Row],[Up - R1a]:[Up - R1c]]),"")</f>
        <v>3.3333333333333335</v>
      </c>
      <c r="AC185" s="14">
        <v>4</v>
      </c>
      <c r="AD185" s="14">
        <v>4</v>
      </c>
      <c r="AE185" s="14">
        <v>2</v>
      </c>
      <c r="AF185" s="14">
        <v>3</v>
      </c>
      <c r="AG185" s="14">
        <f>IFERROR(AVERAGE(Tabel1[[#This Row],[Up - R1]:[Up - R5]]),"")</f>
        <v>3.2666666666666671</v>
      </c>
      <c r="AH185" s="14">
        <v>5</v>
      </c>
      <c r="AI185" s="14">
        <v>5</v>
      </c>
      <c r="AJ185" s="14">
        <v>4</v>
      </c>
      <c r="AK185" s="14">
        <f>IFERROR(AVERAGE(Tabel1[[#This Row],[Up - C1a]:[Up - C1c]]),"")</f>
        <v>4.666666666666667</v>
      </c>
      <c r="AL185" s="14">
        <v>5</v>
      </c>
      <c r="AM185" s="14">
        <v>3</v>
      </c>
      <c r="AN185" s="14">
        <v>4</v>
      </c>
      <c r="AO185" s="14">
        <f>IFERROR(AVERAGE(Tabel1[[#This Row],[Up - C1]:[Up - C4]]),"")</f>
        <v>4.166666666666667</v>
      </c>
      <c r="AP185" s="14">
        <v>2</v>
      </c>
      <c r="AQ185" s="14">
        <f>IFERROR(AVERAGE(Tabel1[[#This Row],[Up - F1a]:[Up - F1a]]),"")</f>
        <v>2</v>
      </c>
      <c r="AR185" s="14">
        <v>2</v>
      </c>
      <c r="AS185" s="14">
        <v>1</v>
      </c>
      <c r="AT185" s="14">
        <f>IFERROR(AVERAGE(Tabel1[[#This Row],[Up - F2a]:[Up - F2b]]),"")</f>
        <v>1.5</v>
      </c>
      <c r="AU185" s="14">
        <v>3</v>
      </c>
      <c r="AV185" s="14">
        <v>2</v>
      </c>
      <c r="AW185" s="14">
        <f>IFERROR(AVERAGE(Tabel1[[#This Row],[Up - F3a]:[Up - F3b]]),"")</f>
        <v>2.5</v>
      </c>
      <c r="AX185" s="14">
        <v>3</v>
      </c>
      <c r="AY185" s="14">
        <f>IFERROR(AVERAGE(Tabel1[[#This Row],[Up - F1]],Tabel1[[#This Row],[Up - F2]],Tabel1[[#This Row],[Up - F3]],Tabel1[[#This Row],[Up - F4]]),"")</f>
        <v>2.25</v>
      </c>
      <c r="AZ185" s="14">
        <v>4</v>
      </c>
      <c r="BA185" s="14">
        <v>3</v>
      </c>
      <c r="BB185" s="14">
        <f>IFERROR(AVERAGE(Tabel1[[#This Row],[Up - V1a]:[Up - V1b]]),"")</f>
        <v>3.5</v>
      </c>
      <c r="BC185" s="14" t="s">
        <v>189</v>
      </c>
      <c r="BD185" s="14">
        <v>2</v>
      </c>
      <c r="BE185" s="14">
        <v>2</v>
      </c>
      <c r="BF185" s="14">
        <f>IFERROR(AVERAGE(Tabel1[[#This Row],[Up - V2a]:[Up - V2c]]),"")</f>
        <v>2</v>
      </c>
      <c r="BG185" s="14">
        <v>2</v>
      </c>
      <c r="BH185" s="14" t="s">
        <v>189</v>
      </c>
      <c r="BI185" s="14">
        <f>IFERROR(AVERAGE(Tabel1[[#This Row],[Up - V3a]:[Up - V3b]]),"")</f>
        <v>2</v>
      </c>
      <c r="BJ185" s="14" t="s">
        <v>189</v>
      </c>
      <c r="BK185" s="14">
        <f>IFERROR(AVERAGE(Tabel1[[#This Row],[Up - V1]],Tabel1[[#This Row],[Up - V2]],Tabel1[[#This Row],[Up - V3]],Tabel1[[#This Row],[Up - V4]]),"")</f>
        <v>2.5</v>
      </c>
      <c r="BL185" s="14">
        <v>3</v>
      </c>
      <c r="BM185" s="14" t="s">
        <v>189</v>
      </c>
      <c r="BN185" s="14">
        <v>2</v>
      </c>
      <c r="BO185" s="14" t="s">
        <v>189</v>
      </c>
      <c r="BP185" s="14">
        <f>IFERROR(AVERAGE(Tabel1[[#This Row],[Up - A1a]:[Up - A1d]]),"")</f>
        <v>2.5</v>
      </c>
      <c r="BQ185" s="14" t="s">
        <v>189</v>
      </c>
      <c r="BR185" s="14">
        <v>4</v>
      </c>
      <c r="BS185" s="14">
        <f>IFERROR(AVERAGE(Tabel1[[#This Row],[Up - A2a]:[Up - A2b]]),"")</f>
        <v>4</v>
      </c>
      <c r="BT185" s="14">
        <v>4</v>
      </c>
      <c r="BU185" s="14">
        <f>IFERROR(AVERAGE(Tabel1[[#This Row],[Up - A3a]:[Up - A3a]]),"")</f>
        <v>4</v>
      </c>
      <c r="BV185" s="14" t="s">
        <v>189</v>
      </c>
      <c r="BW185" s="14">
        <f>IFERROR(AVERAGE(Tabel1[[#This Row],[Up - A1]],Tabel1[[#This Row],[Up - A2]],Tabel1[[#This Row],[Up - A3]]),"")</f>
        <v>3.5</v>
      </c>
      <c r="BX185" s="14">
        <v>2</v>
      </c>
      <c r="BY185" s="14">
        <v>4</v>
      </c>
      <c r="BZ185" s="14">
        <f>IFERROR(AVERAGE(Tabel1[[#This Row],[In - R1a]:[In - R1b]]),"")</f>
        <v>3</v>
      </c>
      <c r="CA185" s="14">
        <v>3</v>
      </c>
      <c r="CB185" s="14">
        <v>4</v>
      </c>
      <c r="CC185" s="14">
        <v>2</v>
      </c>
      <c r="CD185" s="14">
        <v>4</v>
      </c>
      <c r="CE185" s="14">
        <f>IFERROR(AVERAGE(Tabel1[[#This Row],[In - R1]:[In - R5]]),"")</f>
        <v>3.2</v>
      </c>
      <c r="CF185" s="14">
        <v>5</v>
      </c>
      <c r="CG185" s="14">
        <v>4</v>
      </c>
      <c r="CH185" s="14">
        <v>5</v>
      </c>
      <c r="CI185" s="14">
        <f>IFERROR(AVERAGE(Tabel1[[#This Row],[In - C1a]:[In - C1c]]),"")</f>
        <v>4.666666666666667</v>
      </c>
      <c r="CJ185" s="14">
        <v>4</v>
      </c>
      <c r="CK185" s="14">
        <v>3</v>
      </c>
      <c r="CL185" s="14">
        <v>3</v>
      </c>
      <c r="CM185" s="14">
        <f>IFERROR(AVERAGE(Tabel1[[#This Row],[In - C1]:[In - C4]]),"")</f>
        <v>3.666666666666667</v>
      </c>
      <c r="CN185" s="14">
        <v>3</v>
      </c>
      <c r="CO185" s="14">
        <v>4</v>
      </c>
      <c r="CP185" s="14">
        <v>1</v>
      </c>
      <c r="CQ185" s="14">
        <f>IFERROR(AVERAGE(Tabel1[[#This Row],[In - F1a]:[In - F1c]]),"")</f>
        <v>2.6666666666666665</v>
      </c>
      <c r="CR185" s="14">
        <v>4</v>
      </c>
      <c r="CS185" s="14">
        <v>1</v>
      </c>
      <c r="CT185" s="14">
        <f>IFERROR(AVERAGE(Tabel1[[#This Row],[In - F2a]:[In - F2b]]),"")</f>
        <v>2.5</v>
      </c>
      <c r="CU185" s="14">
        <v>3</v>
      </c>
      <c r="CV185" s="14">
        <f>IFERROR(AVERAGE(Tabel1[[#This Row],[In - F3a]:[In - F3a]]),"")</f>
        <v>3</v>
      </c>
      <c r="CW185" s="14">
        <v>3</v>
      </c>
      <c r="CX185" s="14">
        <f>IFERROR(AVERAGE(Tabel1[[#This Row],[In - F1]],Tabel1[[#This Row],[In - F2]],Tabel1[[#This Row],[In - F3]],Tabel1[[#This Row],[In - F4]]),"")</f>
        <v>2.7916666666666665</v>
      </c>
      <c r="CY185" s="14">
        <v>4</v>
      </c>
      <c r="CZ185" s="14">
        <v>2</v>
      </c>
      <c r="DA185" s="14">
        <v>2</v>
      </c>
      <c r="DB185" s="14">
        <f>IFERROR(AVERAGE(Tabel1[[#This Row],[In - V1a]:[In - V1c]]),"")</f>
        <v>2.6666666666666665</v>
      </c>
      <c r="DC185" s="14" t="s">
        <v>189</v>
      </c>
      <c r="DD185" s="14">
        <v>2</v>
      </c>
      <c r="DE185" s="14">
        <v>1</v>
      </c>
      <c r="DF185" s="14">
        <f>IFERROR(AVERAGE(Tabel1[[#This Row],[In - V2a]:[In - V2c]]),"")</f>
        <v>1.5</v>
      </c>
      <c r="DG185" s="14">
        <v>2</v>
      </c>
      <c r="DH185" s="14" t="s">
        <v>189</v>
      </c>
      <c r="DI185" s="14">
        <f>IFERROR(AVERAGE(Tabel1[[#This Row],[In - V3a]:[In - V3b]]),"")</f>
        <v>2</v>
      </c>
      <c r="DJ185" s="14" t="s">
        <v>189</v>
      </c>
      <c r="DK185" s="14">
        <f>IFERROR(AVERAGE(Tabel1[[#This Row],[In - V1]],Tabel1[[#This Row],[In - V2]],Tabel1[[#This Row],[In - V3]],Tabel1[[#This Row],[In - V4]]),"")</f>
        <v>2.0555555555555554</v>
      </c>
      <c r="DL185" s="14">
        <v>2</v>
      </c>
      <c r="DM185" s="14">
        <v>2</v>
      </c>
      <c r="DN185" s="14">
        <f>IFERROR(AVERAGE(Tabel1[[#This Row],[In - A1a]:[In - A1b]]),"")</f>
        <v>2</v>
      </c>
      <c r="DO185" s="14">
        <v>2</v>
      </c>
      <c r="DP185" s="14">
        <v>4</v>
      </c>
      <c r="DQ185" s="14">
        <f>IFERROR(AVERAGE(Tabel1[[#This Row],[In - A2a]:[In - A2b]]),"")</f>
        <v>3</v>
      </c>
      <c r="DR185" s="14">
        <v>3</v>
      </c>
      <c r="DS185" s="14">
        <v>3</v>
      </c>
      <c r="DT185" s="14">
        <f>IFERROR(AVERAGE(Tabel1[[#This Row],[In - A3a]:[In - A3a]]),"")</f>
        <v>3</v>
      </c>
      <c r="DU185" s="14" t="s">
        <v>189</v>
      </c>
      <c r="DV185" s="14">
        <f>IFERROR(AVERAGE(Tabel1[[#This Row],[In - A1]],Tabel1[[#This Row],[In - A2]],Tabel1[[#This Row],[In - A3]],Tabel1[[#This Row],[In - A4]]),"")</f>
        <v>2.6666666666666665</v>
      </c>
      <c r="DW185" s="14">
        <v>2</v>
      </c>
      <c r="DX185" s="14">
        <v>5</v>
      </c>
      <c r="DY185" s="14">
        <v>3</v>
      </c>
      <c r="DZ185" s="14">
        <f>IFERROR(AVERAGE(Tabel1[[#This Row],[Do - R1a]:[Do - R1c]]),"")</f>
        <v>3.3333333333333335</v>
      </c>
      <c r="EA185" s="14">
        <v>3</v>
      </c>
      <c r="EB185" s="14">
        <v>5</v>
      </c>
      <c r="EC185" s="14">
        <v>1</v>
      </c>
      <c r="ED185" s="14">
        <v>3</v>
      </c>
      <c r="EE185" s="14">
        <f>IFERROR(AVERAGE(Tabel1[[#This Row],[Do - R1]:[Do - R5]]),"")</f>
        <v>3.0666666666666669</v>
      </c>
      <c r="EF185" s="14">
        <v>4</v>
      </c>
      <c r="EG185" s="14">
        <v>4</v>
      </c>
      <c r="EH185" s="14">
        <v>4</v>
      </c>
      <c r="EI185" s="14">
        <f>IFERROR(AVERAGE(Tabel1[[#This Row],[Do - C1a]:[Do - C1c]]),"")</f>
        <v>4</v>
      </c>
      <c r="EJ185" s="14">
        <v>4</v>
      </c>
      <c r="EK185" s="14">
        <v>4</v>
      </c>
      <c r="EL185" s="14">
        <v>3</v>
      </c>
      <c r="EM185" s="14">
        <f>IFERROR(AVERAGE(Tabel1[[#This Row],[Do - C1]:[Do - C4]]),"")</f>
        <v>3.75</v>
      </c>
      <c r="EN185" s="14">
        <v>2</v>
      </c>
      <c r="EO185" s="14">
        <v>2</v>
      </c>
      <c r="EP185" s="14">
        <v>4</v>
      </c>
      <c r="EQ185" s="14">
        <f>IFERROR(AVERAGE(Tabel1[[#This Row],[Do - F1a]:[Do - F1c]]),"")</f>
        <v>2.6666666666666665</v>
      </c>
      <c r="ER185" s="14">
        <v>1</v>
      </c>
      <c r="ES185" s="14">
        <f>IFERROR(AVERAGE(Tabel1[[#This Row],[Do - F2a]:[Do - F2a]]),"")</f>
        <v>1</v>
      </c>
      <c r="ET185" s="14">
        <v>4</v>
      </c>
      <c r="EU185" s="14">
        <v>2</v>
      </c>
      <c r="EV185" s="14">
        <f>IFERROR(AVERAGE(Tabel1[[#This Row],[Do - F3a]:[Do - F3b]]),"")</f>
        <v>3</v>
      </c>
      <c r="EW185" s="14">
        <v>4</v>
      </c>
      <c r="EX185" s="14">
        <f>IFERROR(AVERAGE(Tabel1[[#This Row],[Do - F1]],Tabel1[[#This Row],[Do - F2]],Tabel1[[#This Row],[Do - F3]],Tabel1[[#This Row],[Do - F4]]),"")</f>
        <v>2.6666666666666665</v>
      </c>
      <c r="EY185" s="14">
        <v>3</v>
      </c>
      <c r="EZ185" s="14">
        <v>3</v>
      </c>
      <c r="FA185" s="14">
        <v>4</v>
      </c>
      <c r="FB185" s="14">
        <f>IFERROR(AVERAGE(Tabel1[[#This Row],[Do - V1a]:[Do - V1c]]),"")</f>
        <v>3.3333333333333335</v>
      </c>
      <c r="FC185" s="14" t="s">
        <v>189</v>
      </c>
      <c r="FD185" s="14" t="s">
        <v>189</v>
      </c>
      <c r="FE185" s="14" t="str">
        <f>IFERROR(AVERAGE(Tabel1[[#This Row],[Do - V2a]:[Do - V2b]]),"")</f>
        <v/>
      </c>
      <c r="FF185" s="14">
        <v>2</v>
      </c>
      <c r="FG185" s="14">
        <f>IFERROR(AVERAGE(Tabel1[[#This Row],[Do - V3a]:[Do - V3a]]),"")</f>
        <v>2</v>
      </c>
      <c r="FH185" s="14" t="s">
        <v>189</v>
      </c>
      <c r="FI185" s="14">
        <f>IFERROR(AVERAGE(Tabel1[[#This Row],[Do - V1]],Tabel1[[#This Row],[Do - V2]],Tabel1[[#This Row],[Do - V3]],Tabel1[[#This Row],[Do - V4]]),"")</f>
        <v>2.666666666666667</v>
      </c>
      <c r="FJ185" s="14">
        <v>3</v>
      </c>
      <c r="FK185" s="14">
        <v>2</v>
      </c>
      <c r="FL185" s="14">
        <v>4</v>
      </c>
      <c r="FM185" s="14">
        <f>IFERROR(AVERAGE(Tabel1[[#This Row],[Do - A1a]:[Do - A1c]]),"")</f>
        <v>3</v>
      </c>
      <c r="FN185" s="14">
        <v>3</v>
      </c>
      <c r="FO185" s="14">
        <v>4</v>
      </c>
      <c r="FP185" s="14">
        <f>IFERROR(AVERAGE(Tabel1[[#This Row],[Do - A2a]:[Do - A2b]]),"")</f>
        <v>3.5</v>
      </c>
      <c r="FQ185" s="14">
        <v>4</v>
      </c>
      <c r="FR185" s="14">
        <f>IFERROR(AVERAGE(Tabel1[[#This Row],[Do - A3a]:[Do - A3a]]),"")</f>
        <v>4</v>
      </c>
      <c r="FS185" s="14" t="s">
        <v>189</v>
      </c>
      <c r="FT185" s="14">
        <f>IFERROR(AVERAGE(Tabel1[[#This Row],[Do - A1]],Tabel1[[#This Row],[Do - A2]],Tabel1[[#This Row],[Do - A3]],Tabel1[[#This Row],[Do - A4]]),"")</f>
        <v>3.5</v>
      </c>
      <c r="FU18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3.0475925925925926</v>
      </c>
      <c r="FV185" s="16" t="s">
        <v>1049</v>
      </c>
      <c r="FW185" t="b">
        <v>1</v>
      </c>
    </row>
    <row r="186" spans="1:179" x14ac:dyDescent="0.3">
      <c r="A186" s="13">
        <v>45236.667326388888</v>
      </c>
      <c r="B186" t="b">
        <v>0</v>
      </c>
      <c r="C186" s="14" t="s">
        <v>1050</v>
      </c>
      <c r="D186" s="14" t="s">
        <v>1051</v>
      </c>
      <c r="E186" s="14" t="s">
        <v>193</v>
      </c>
      <c r="F186" s="14" t="s">
        <v>189</v>
      </c>
      <c r="G186" s="14" t="s">
        <v>1052</v>
      </c>
      <c r="H186" s="14" t="s">
        <v>194</v>
      </c>
      <c r="I186" s="14" t="s">
        <v>195</v>
      </c>
      <c r="J186" s="14" t="s">
        <v>196</v>
      </c>
      <c r="K186" s="14" t="s">
        <v>235</v>
      </c>
      <c r="L186" s="14" t="s">
        <v>197</v>
      </c>
      <c r="M186" s="14" t="s">
        <v>198</v>
      </c>
      <c r="N186" s="14" t="s">
        <v>262</v>
      </c>
      <c r="O186" s="14" t="s">
        <v>200</v>
      </c>
      <c r="P186" s="14" t="s">
        <v>187</v>
      </c>
      <c r="Q186" s="14" t="s">
        <v>235</v>
      </c>
      <c r="R186" s="14" t="s">
        <v>203</v>
      </c>
      <c r="S186" s="14" t="s">
        <v>235</v>
      </c>
      <c r="T186" s="14" t="s">
        <v>204</v>
      </c>
      <c r="U186" s="14" t="s">
        <v>205</v>
      </c>
      <c r="V186" s="14" t="s">
        <v>224</v>
      </c>
      <c r="W186" s="14" t="s">
        <v>207</v>
      </c>
      <c r="X186" s="14" t="s">
        <v>207</v>
      </c>
      <c r="Y186" s="14">
        <v>4</v>
      </c>
      <c r="Z186" s="14">
        <v>5</v>
      </c>
      <c r="AA186" s="14">
        <v>3</v>
      </c>
      <c r="AB186" s="15">
        <f>IFERROR(AVERAGE(Tabel1[[#This Row],[Up - R1a]:[Up - R1c]]),"")</f>
        <v>4</v>
      </c>
      <c r="AC186" s="14">
        <v>3</v>
      </c>
      <c r="AD186" s="14">
        <v>5</v>
      </c>
      <c r="AE186" s="14">
        <v>3</v>
      </c>
      <c r="AF186" s="14">
        <v>3</v>
      </c>
      <c r="AG186" s="14">
        <f>IFERROR(AVERAGE(Tabel1[[#This Row],[Up - R1]:[Up - R5]]),"")</f>
        <v>3.6</v>
      </c>
      <c r="AH186" s="14">
        <v>4</v>
      </c>
      <c r="AI186" s="14">
        <v>4</v>
      </c>
      <c r="AJ186" s="14">
        <v>4</v>
      </c>
      <c r="AK186" s="14">
        <f>IFERROR(AVERAGE(Tabel1[[#This Row],[Up - C1a]:[Up - C1c]]),"")</f>
        <v>4</v>
      </c>
      <c r="AL186" s="14">
        <v>4</v>
      </c>
      <c r="AM186" s="14">
        <v>4</v>
      </c>
      <c r="AN186" s="14" t="s">
        <v>189</v>
      </c>
      <c r="AO186" s="14">
        <f>IFERROR(AVERAGE(Tabel1[[#This Row],[Up - C1]:[Up - C4]]),"")</f>
        <v>4</v>
      </c>
      <c r="AP186" s="14">
        <v>2</v>
      </c>
      <c r="AQ186" s="14">
        <f>IFERROR(AVERAGE(Tabel1[[#This Row],[Up - F1a]:[Up - F1a]]),"")</f>
        <v>2</v>
      </c>
      <c r="AR186" s="14">
        <v>3</v>
      </c>
      <c r="AS186" s="14">
        <v>3</v>
      </c>
      <c r="AT186" s="14">
        <f>IFERROR(AVERAGE(Tabel1[[#This Row],[Up - F2a]:[Up - F2b]]),"")</f>
        <v>3</v>
      </c>
      <c r="AU186" s="14">
        <v>3</v>
      </c>
      <c r="AV186" s="14">
        <v>2</v>
      </c>
      <c r="AW186" s="14">
        <f>IFERROR(AVERAGE(Tabel1[[#This Row],[Up - F3a]:[Up - F3b]]),"")</f>
        <v>2.5</v>
      </c>
      <c r="AX186" s="14">
        <v>3</v>
      </c>
      <c r="AY186" s="14">
        <f>IFERROR(AVERAGE(Tabel1[[#This Row],[Up - F1]],Tabel1[[#This Row],[Up - F2]],Tabel1[[#This Row],[Up - F3]],Tabel1[[#This Row],[Up - F4]]),"")</f>
        <v>2.625</v>
      </c>
      <c r="AZ186" s="14">
        <v>4</v>
      </c>
      <c r="BA186" s="14">
        <v>3</v>
      </c>
      <c r="BB186" s="14">
        <f>IFERROR(AVERAGE(Tabel1[[#This Row],[Up - V1a]:[Up - V1b]]),"")</f>
        <v>3.5</v>
      </c>
      <c r="BC186" s="14">
        <v>3</v>
      </c>
      <c r="BD186" s="14">
        <v>5</v>
      </c>
      <c r="BE186" s="14">
        <v>5</v>
      </c>
      <c r="BF186" s="14">
        <f>IFERROR(AVERAGE(Tabel1[[#This Row],[Up - V2a]:[Up - V2c]]),"")</f>
        <v>4.333333333333333</v>
      </c>
      <c r="BG186" s="14">
        <v>5</v>
      </c>
      <c r="BH186" s="14">
        <v>5</v>
      </c>
      <c r="BI186" s="14">
        <f>IFERROR(AVERAGE(Tabel1[[#This Row],[Up - V3a]:[Up - V3b]]),"")</f>
        <v>5</v>
      </c>
      <c r="BJ186" s="14">
        <v>5</v>
      </c>
      <c r="BK186" s="14">
        <f>IFERROR(AVERAGE(Tabel1[[#This Row],[Up - V1]],Tabel1[[#This Row],[Up - V2]],Tabel1[[#This Row],[Up - V3]],Tabel1[[#This Row],[Up - V4]]),"")</f>
        <v>4.458333333333333</v>
      </c>
      <c r="BL186" s="14">
        <v>4</v>
      </c>
      <c r="BM186" s="14">
        <v>4</v>
      </c>
      <c r="BN186" s="14">
        <v>3</v>
      </c>
      <c r="BO186" s="14">
        <v>4</v>
      </c>
      <c r="BP186" s="14">
        <f>IFERROR(AVERAGE(Tabel1[[#This Row],[Up - A1a]:[Up - A1d]]),"")</f>
        <v>3.75</v>
      </c>
      <c r="BQ186" s="14">
        <v>4</v>
      </c>
      <c r="BR186" s="14">
        <v>5</v>
      </c>
      <c r="BS186" s="14">
        <f>IFERROR(AVERAGE(Tabel1[[#This Row],[Up - A2a]:[Up - A2b]]),"")</f>
        <v>4.5</v>
      </c>
      <c r="BT186" s="14">
        <v>4</v>
      </c>
      <c r="BU186" s="14">
        <f>IFERROR(AVERAGE(Tabel1[[#This Row],[Up - A3a]:[Up - A3a]]),"")</f>
        <v>4</v>
      </c>
      <c r="BV186" s="14">
        <v>4</v>
      </c>
      <c r="BW186" s="14">
        <f>IFERROR(AVERAGE(Tabel1[[#This Row],[Up - A1]],Tabel1[[#This Row],[Up - A2]],Tabel1[[#This Row],[Up - A3]]),"")</f>
        <v>4.083333333333333</v>
      </c>
      <c r="BX186" s="14">
        <v>4</v>
      </c>
      <c r="BY186" s="14">
        <v>5</v>
      </c>
      <c r="BZ186" s="14">
        <f>IFERROR(AVERAGE(Tabel1[[#This Row],[In - R1a]:[In - R1b]]),"")</f>
        <v>4.5</v>
      </c>
      <c r="CA186" s="14">
        <v>3</v>
      </c>
      <c r="CB186" s="14">
        <v>3</v>
      </c>
      <c r="CC186" s="14">
        <v>2</v>
      </c>
      <c r="CD186" s="14">
        <v>4</v>
      </c>
      <c r="CE186" s="14">
        <f>IFERROR(AVERAGE(Tabel1[[#This Row],[In - R1]:[In - R5]]),"")</f>
        <v>3.3</v>
      </c>
      <c r="CF186" s="14">
        <v>4</v>
      </c>
      <c r="CG186" s="14">
        <v>4</v>
      </c>
      <c r="CH186" s="14">
        <v>5</v>
      </c>
      <c r="CI186" s="14">
        <f>IFERROR(AVERAGE(Tabel1[[#This Row],[In - C1a]:[In - C1c]]),"")</f>
        <v>4.333333333333333</v>
      </c>
      <c r="CJ186" s="14">
        <v>2</v>
      </c>
      <c r="CK186" s="14">
        <v>3</v>
      </c>
      <c r="CL186" s="14">
        <v>2</v>
      </c>
      <c r="CM186" s="14">
        <f>IFERROR(AVERAGE(Tabel1[[#This Row],[In - C1]:[In - C4]]),"")</f>
        <v>2.833333333333333</v>
      </c>
      <c r="CN186" s="14">
        <v>4</v>
      </c>
      <c r="CO186" s="14">
        <v>3</v>
      </c>
      <c r="CP186" s="14">
        <v>3</v>
      </c>
      <c r="CQ186" s="14">
        <f>IFERROR(AVERAGE(Tabel1[[#This Row],[In - F1a]:[In - F1c]]),"")</f>
        <v>3.3333333333333335</v>
      </c>
      <c r="CR186" s="14">
        <v>4</v>
      </c>
      <c r="CS186" s="14">
        <v>2</v>
      </c>
      <c r="CT186" s="14">
        <f>IFERROR(AVERAGE(Tabel1[[#This Row],[In - F2a]:[In - F2b]]),"")</f>
        <v>3</v>
      </c>
      <c r="CU186" s="14">
        <v>2</v>
      </c>
      <c r="CV186" s="14">
        <f>IFERROR(AVERAGE(Tabel1[[#This Row],[In - F3a]:[In - F3a]]),"")</f>
        <v>2</v>
      </c>
      <c r="CW186" s="14" t="s">
        <v>189</v>
      </c>
      <c r="CX186" s="14">
        <f>IFERROR(AVERAGE(Tabel1[[#This Row],[In - F1]],Tabel1[[#This Row],[In - F2]],Tabel1[[#This Row],[In - F3]],Tabel1[[#This Row],[In - F4]]),"")</f>
        <v>2.7777777777777781</v>
      </c>
      <c r="CY186" s="14">
        <v>5</v>
      </c>
      <c r="CZ186" s="14">
        <v>5</v>
      </c>
      <c r="DA186" s="14">
        <v>5</v>
      </c>
      <c r="DB186" s="14">
        <f>IFERROR(AVERAGE(Tabel1[[#This Row],[In - V1a]:[In - V1c]]),"")</f>
        <v>5</v>
      </c>
      <c r="DC186" s="14">
        <v>3</v>
      </c>
      <c r="DD186" s="14">
        <v>4</v>
      </c>
      <c r="DE186" s="14">
        <v>4</v>
      </c>
      <c r="DF186" s="14">
        <f>IFERROR(AVERAGE(Tabel1[[#This Row],[In - V2a]:[In - V2c]]),"")</f>
        <v>3.6666666666666665</v>
      </c>
      <c r="DG186" s="14">
        <v>5</v>
      </c>
      <c r="DH186" s="14">
        <v>5</v>
      </c>
      <c r="DI186" s="14">
        <f>IFERROR(AVERAGE(Tabel1[[#This Row],[In - V3a]:[In - V3b]]),"")</f>
        <v>5</v>
      </c>
      <c r="DJ186" s="14">
        <v>5</v>
      </c>
      <c r="DK186" s="14">
        <f>IFERROR(AVERAGE(Tabel1[[#This Row],[In - V1]],Tabel1[[#This Row],[In - V2]],Tabel1[[#This Row],[In - V3]],Tabel1[[#This Row],[In - V4]]),"")</f>
        <v>4.6666666666666661</v>
      </c>
      <c r="DL186" s="14">
        <v>3</v>
      </c>
      <c r="DM186" s="14">
        <v>4</v>
      </c>
      <c r="DN186" s="14">
        <f>IFERROR(AVERAGE(Tabel1[[#This Row],[In - A1a]:[In - A1b]]),"")</f>
        <v>3.5</v>
      </c>
      <c r="DO186" s="14">
        <v>5</v>
      </c>
      <c r="DP186" s="14">
        <v>5</v>
      </c>
      <c r="DQ186" s="14">
        <f>IFERROR(AVERAGE(Tabel1[[#This Row],[In - A2a]:[In - A2b]]),"")</f>
        <v>5</v>
      </c>
      <c r="DR186" s="14">
        <v>4</v>
      </c>
      <c r="DS186" s="14">
        <v>3</v>
      </c>
      <c r="DT186" s="14">
        <f>IFERROR(AVERAGE(Tabel1[[#This Row],[In - A3a]:[In - A3a]]),"")</f>
        <v>4</v>
      </c>
      <c r="DU186" s="14">
        <v>3</v>
      </c>
      <c r="DV186" s="14">
        <f>IFERROR(AVERAGE(Tabel1[[#This Row],[In - A1]],Tabel1[[#This Row],[In - A2]],Tabel1[[#This Row],[In - A3]],Tabel1[[#This Row],[In - A4]]),"")</f>
        <v>3.875</v>
      </c>
      <c r="DW186" s="14">
        <v>3</v>
      </c>
      <c r="DX186" s="14">
        <v>4</v>
      </c>
      <c r="DY186" s="14">
        <v>3</v>
      </c>
      <c r="DZ186" s="14">
        <f>IFERROR(AVERAGE(Tabel1[[#This Row],[Do - R1a]:[Do - R1c]]),"")</f>
        <v>3.3333333333333335</v>
      </c>
      <c r="EA186" s="14">
        <v>3</v>
      </c>
      <c r="EB186" s="14">
        <v>4</v>
      </c>
      <c r="EC186" s="14">
        <v>2</v>
      </c>
      <c r="ED186" s="14">
        <v>3</v>
      </c>
      <c r="EE186" s="14">
        <f>IFERROR(AVERAGE(Tabel1[[#This Row],[Do - R1]:[Do - R5]]),"")</f>
        <v>3.0666666666666669</v>
      </c>
      <c r="EF186" s="14">
        <v>3</v>
      </c>
      <c r="EG186" s="14">
        <v>4</v>
      </c>
      <c r="EH186" s="14">
        <v>3</v>
      </c>
      <c r="EI186" s="14">
        <f>IFERROR(AVERAGE(Tabel1[[#This Row],[Do - C1a]:[Do - C1c]]),"")</f>
        <v>3.3333333333333335</v>
      </c>
      <c r="EJ186" s="14">
        <v>2</v>
      </c>
      <c r="EK186" s="14">
        <v>3</v>
      </c>
      <c r="EL186" s="14">
        <v>4</v>
      </c>
      <c r="EM186" s="14">
        <f>IFERROR(AVERAGE(Tabel1[[#This Row],[Do - C1]:[Do - C4]]),"")</f>
        <v>3.0833333333333335</v>
      </c>
      <c r="EN186" s="14">
        <v>3</v>
      </c>
      <c r="EO186" s="14">
        <v>3</v>
      </c>
      <c r="EP186" s="14">
        <v>4</v>
      </c>
      <c r="EQ186" s="14">
        <f>IFERROR(AVERAGE(Tabel1[[#This Row],[Do - F1a]:[Do - F1c]]),"")</f>
        <v>3.3333333333333335</v>
      </c>
      <c r="ER186" s="14">
        <v>2</v>
      </c>
      <c r="ES186" s="14">
        <f>IFERROR(AVERAGE(Tabel1[[#This Row],[Do - F2a]:[Do - F2a]]),"")</f>
        <v>2</v>
      </c>
      <c r="ET186" s="14">
        <v>3</v>
      </c>
      <c r="EU186" s="14">
        <v>2</v>
      </c>
      <c r="EV186" s="14">
        <f>IFERROR(AVERAGE(Tabel1[[#This Row],[Do - F3a]:[Do - F3b]]),"")</f>
        <v>2.5</v>
      </c>
      <c r="EW186" s="14">
        <v>3</v>
      </c>
      <c r="EX186" s="14">
        <f>IFERROR(AVERAGE(Tabel1[[#This Row],[Do - F1]],Tabel1[[#This Row],[Do - F2]],Tabel1[[#This Row],[Do - F3]],Tabel1[[#This Row],[Do - F4]]),"")</f>
        <v>2.7083333333333335</v>
      </c>
      <c r="EY186" s="14">
        <v>3</v>
      </c>
      <c r="EZ186" s="14">
        <v>2</v>
      </c>
      <c r="FA186" s="14">
        <v>2</v>
      </c>
      <c r="FB186" s="14">
        <f>IFERROR(AVERAGE(Tabel1[[#This Row],[Do - V1a]:[Do - V1c]]),"")</f>
        <v>2.3333333333333335</v>
      </c>
      <c r="FC186" s="14">
        <v>4</v>
      </c>
      <c r="FD186" s="14">
        <v>5</v>
      </c>
      <c r="FE186" s="14">
        <f>IFERROR(AVERAGE(Tabel1[[#This Row],[Do - V2a]:[Do - V2b]]),"")</f>
        <v>4.5</v>
      </c>
      <c r="FF186" s="14">
        <v>3</v>
      </c>
      <c r="FG186" s="14">
        <f>IFERROR(AVERAGE(Tabel1[[#This Row],[Do - V3a]:[Do - V3a]]),"")</f>
        <v>3</v>
      </c>
      <c r="FH186" s="14">
        <v>3</v>
      </c>
      <c r="FI186" s="14">
        <f>IFERROR(AVERAGE(Tabel1[[#This Row],[Do - V1]],Tabel1[[#This Row],[Do - V2]],Tabel1[[#This Row],[Do - V3]],Tabel1[[#This Row],[Do - V4]]),"")</f>
        <v>3.2083333333333335</v>
      </c>
      <c r="FJ186" s="14">
        <v>3</v>
      </c>
      <c r="FK186" s="14">
        <v>3</v>
      </c>
      <c r="FL186" s="14">
        <v>3</v>
      </c>
      <c r="FM186" s="14">
        <f>IFERROR(AVERAGE(Tabel1[[#This Row],[Do - A1a]:[Do - A1c]]),"")</f>
        <v>3</v>
      </c>
      <c r="FN186" s="14">
        <v>3</v>
      </c>
      <c r="FO186" s="14">
        <v>4</v>
      </c>
      <c r="FP186" s="14">
        <f>IFERROR(AVERAGE(Tabel1[[#This Row],[Do - A2a]:[Do - A2b]]),"")</f>
        <v>3.5</v>
      </c>
      <c r="FQ186" s="14">
        <v>3</v>
      </c>
      <c r="FR186" s="14">
        <f>IFERROR(AVERAGE(Tabel1[[#This Row],[Do - A3a]:[Do - A3a]]),"")</f>
        <v>3</v>
      </c>
      <c r="FS186" s="14">
        <v>3</v>
      </c>
      <c r="FT186" s="14">
        <f>IFERROR(AVERAGE(Tabel1[[#This Row],[Do - A1]],Tabel1[[#This Row],[Do - A2]],Tabel1[[#This Row],[Do - A3]],Tabel1[[#This Row],[Do - A4]]),"")</f>
        <v>3.125</v>
      </c>
      <c r="FU18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3.4274074074074079</v>
      </c>
      <c r="FV186" s="16" t="s">
        <v>1053</v>
      </c>
      <c r="FW186" t="b">
        <v>1</v>
      </c>
    </row>
    <row r="187" spans="1:179" x14ac:dyDescent="0.3">
      <c r="A187" s="13">
        <v>45237.608611111114</v>
      </c>
      <c r="B187" t="b">
        <v>0</v>
      </c>
      <c r="C187" s="14" t="s">
        <v>1054</v>
      </c>
      <c r="D187" s="14" t="s">
        <v>1055</v>
      </c>
      <c r="E187" s="14" t="s">
        <v>193</v>
      </c>
      <c r="F187" s="14" t="s">
        <v>189</v>
      </c>
      <c r="G187" s="21" t="s">
        <v>1056</v>
      </c>
      <c r="H187" s="14" t="s">
        <v>194</v>
      </c>
      <c r="I187" s="14" t="s">
        <v>195</v>
      </c>
      <c r="J187" s="14" t="s">
        <v>196</v>
      </c>
      <c r="K187" s="14" t="s">
        <v>235</v>
      </c>
      <c r="L187" s="14" t="s">
        <v>249</v>
      </c>
      <c r="M187" s="14" t="s">
        <v>188</v>
      </c>
      <c r="N187" s="14" t="s">
        <v>199</v>
      </c>
      <c r="O187" s="14" t="s">
        <v>256</v>
      </c>
      <c r="P187" s="17" t="s">
        <v>304</v>
      </c>
      <c r="Q187" s="14" t="s">
        <v>201</v>
      </c>
      <c r="R187" s="14" t="s">
        <v>201</v>
      </c>
      <c r="S187" s="14" t="s">
        <v>202</v>
      </c>
      <c r="T187" s="14" t="s">
        <v>380</v>
      </c>
      <c r="U187" s="14" t="s">
        <v>237</v>
      </c>
      <c r="V187" s="14" t="s">
        <v>206</v>
      </c>
      <c r="W187" s="14" t="s">
        <v>306</v>
      </c>
      <c r="X187" s="14" t="s">
        <v>306</v>
      </c>
      <c r="Y187" s="14">
        <v>3</v>
      </c>
      <c r="Z187" s="14">
        <v>4</v>
      </c>
      <c r="AA187" s="14">
        <v>5</v>
      </c>
      <c r="AB187" s="15">
        <f>IFERROR(AVERAGE(Tabel1[[#This Row],[Up - R1a]:[Up - R1c]]),"")</f>
        <v>4</v>
      </c>
      <c r="AC187" s="14" t="s">
        <v>189</v>
      </c>
      <c r="AD187" s="14">
        <v>3</v>
      </c>
      <c r="AE187" s="14" t="s">
        <v>189</v>
      </c>
      <c r="AF187" s="14">
        <v>3</v>
      </c>
      <c r="AG187" s="14">
        <f>IFERROR(AVERAGE(Tabel1[[#This Row],[Up - R1]:[Up - R5]]),"")</f>
        <v>3.3333333333333335</v>
      </c>
      <c r="AH187" s="14">
        <v>4</v>
      </c>
      <c r="AI187" s="14">
        <v>3</v>
      </c>
      <c r="AJ187" s="14">
        <v>3</v>
      </c>
      <c r="AK187" s="14">
        <f>IFERROR(AVERAGE(Tabel1[[#This Row],[Up - C1a]:[Up - C1c]]),"")</f>
        <v>3.3333333333333335</v>
      </c>
      <c r="AL187" s="14">
        <v>4</v>
      </c>
      <c r="AM187" s="14">
        <v>3</v>
      </c>
      <c r="AN187" s="14">
        <v>4</v>
      </c>
      <c r="AO187" s="14">
        <f>IFERROR(AVERAGE(Tabel1[[#This Row],[Up - C1]:[Up - C4]]),"")</f>
        <v>3.5833333333333335</v>
      </c>
      <c r="AP187" s="14">
        <v>3</v>
      </c>
      <c r="AQ187" s="14">
        <f>IFERROR(AVERAGE(Tabel1[[#This Row],[Up - F1a]:[Up - F1a]]),"")</f>
        <v>3</v>
      </c>
      <c r="AR187" s="14">
        <v>2</v>
      </c>
      <c r="AS187" s="14">
        <v>2</v>
      </c>
      <c r="AT187" s="14">
        <f>IFERROR(AVERAGE(Tabel1[[#This Row],[Up - F2a]:[Up - F2b]]),"")</f>
        <v>2</v>
      </c>
      <c r="AU187" s="14">
        <v>4</v>
      </c>
      <c r="AV187" s="14">
        <v>3</v>
      </c>
      <c r="AW187" s="14">
        <f>IFERROR(AVERAGE(Tabel1[[#This Row],[Up - F3a]:[Up - F3b]]),"")</f>
        <v>3.5</v>
      </c>
      <c r="AX187" s="14" t="s">
        <v>189</v>
      </c>
      <c r="AY187" s="14">
        <f>IFERROR(AVERAGE(Tabel1[[#This Row],[Up - F1]],Tabel1[[#This Row],[Up - F2]],Tabel1[[#This Row],[Up - F3]],Tabel1[[#This Row],[Up - F4]]),"")</f>
        <v>2.8333333333333335</v>
      </c>
      <c r="AZ187" s="14">
        <v>4</v>
      </c>
      <c r="BA187" s="14">
        <v>4</v>
      </c>
      <c r="BB187" s="14">
        <f>IFERROR(AVERAGE(Tabel1[[#This Row],[Up - V1a]:[Up - V1b]]),"")</f>
        <v>4</v>
      </c>
      <c r="BC187" s="14">
        <v>3</v>
      </c>
      <c r="BD187" s="14">
        <v>4</v>
      </c>
      <c r="BE187" s="14" t="s">
        <v>189</v>
      </c>
      <c r="BF187" s="14">
        <f>IFERROR(AVERAGE(Tabel1[[#This Row],[Up - V2a]:[Up - V2c]]),"")</f>
        <v>3.5</v>
      </c>
      <c r="BG187" s="14">
        <v>3</v>
      </c>
      <c r="BH187" s="14">
        <v>3</v>
      </c>
      <c r="BI187" s="14">
        <f>IFERROR(AVERAGE(Tabel1[[#This Row],[Up - V3a]:[Up - V3b]]),"")</f>
        <v>3</v>
      </c>
      <c r="BJ187" s="14" t="s">
        <v>189</v>
      </c>
      <c r="BK187" s="14">
        <f>IFERROR(AVERAGE(Tabel1[[#This Row],[Up - V1]],Tabel1[[#This Row],[Up - V2]],Tabel1[[#This Row],[Up - V3]],Tabel1[[#This Row],[Up - V4]]),"")</f>
        <v>3.5</v>
      </c>
      <c r="BL187" s="14">
        <v>4</v>
      </c>
      <c r="BM187" s="14">
        <v>4</v>
      </c>
      <c r="BN187" s="14">
        <v>3</v>
      </c>
      <c r="BO187" s="14">
        <v>3</v>
      </c>
      <c r="BP187" s="14">
        <f>IFERROR(AVERAGE(Tabel1[[#This Row],[Up - A1a]:[Up - A1d]]),"")</f>
        <v>3.5</v>
      </c>
      <c r="BQ187" s="14" t="s">
        <v>189</v>
      </c>
      <c r="BR187" s="14">
        <v>4</v>
      </c>
      <c r="BS187" s="14">
        <f>IFERROR(AVERAGE(Tabel1[[#This Row],[Up - A2a]:[Up - A2b]]),"")</f>
        <v>4</v>
      </c>
      <c r="BT187" s="14">
        <v>3</v>
      </c>
      <c r="BU187" s="14">
        <f>IFERROR(AVERAGE(Tabel1[[#This Row],[Up - A3a]:[Up - A3a]]),"")</f>
        <v>3</v>
      </c>
      <c r="BV187" s="14" t="s">
        <v>189</v>
      </c>
      <c r="BW187" s="14">
        <f>IFERROR(AVERAGE(Tabel1[[#This Row],[Up - A1]],Tabel1[[#This Row],[Up - A2]],Tabel1[[#This Row],[Up - A3]]),"")</f>
        <v>3.5</v>
      </c>
      <c r="BX187" s="14">
        <v>2</v>
      </c>
      <c r="BY187" s="14">
        <v>5</v>
      </c>
      <c r="BZ187" s="14">
        <f>IFERROR(AVERAGE(Tabel1[[#This Row],[In - R1a]:[In - R1b]]),"")</f>
        <v>3.5</v>
      </c>
      <c r="CA187" s="14">
        <v>3</v>
      </c>
      <c r="CB187" s="14">
        <v>3</v>
      </c>
      <c r="CC187" s="14">
        <v>2</v>
      </c>
      <c r="CD187" s="14" t="s">
        <v>189</v>
      </c>
      <c r="CE187" s="14">
        <f>IFERROR(AVERAGE(Tabel1[[#This Row],[In - R1]:[In - R5]]),"")</f>
        <v>2.875</v>
      </c>
      <c r="CF187" s="14">
        <v>4</v>
      </c>
      <c r="CG187" s="14">
        <v>4</v>
      </c>
      <c r="CH187" s="14">
        <v>3</v>
      </c>
      <c r="CI187" s="14">
        <f>IFERROR(AVERAGE(Tabel1[[#This Row],[In - C1a]:[In - C1c]]),"")</f>
        <v>3.6666666666666665</v>
      </c>
      <c r="CJ187" s="14">
        <v>3</v>
      </c>
      <c r="CK187" s="14">
        <v>4</v>
      </c>
      <c r="CL187" s="14">
        <v>4</v>
      </c>
      <c r="CM187" s="14">
        <f>IFERROR(AVERAGE(Tabel1[[#This Row],[In - C1]:[In - C4]]),"")</f>
        <v>3.6666666666666665</v>
      </c>
      <c r="CN187" s="14">
        <v>3</v>
      </c>
      <c r="CO187" s="14">
        <v>4</v>
      </c>
      <c r="CP187" s="14">
        <v>2</v>
      </c>
      <c r="CQ187" s="14">
        <f>IFERROR(AVERAGE(Tabel1[[#This Row],[In - F1a]:[In - F1c]]),"")</f>
        <v>3</v>
      </c>
      <c r="CR187" s="14">
        <v>4</v>
      </c>
      <c r="CS187" s="14">
        <v>2</v>
      </c>
      <c r="CT187" s="14">
        <f>IFERROR(AVERAGE(Tabel1[[#This Row],[In - F2a]:[In - F2b]]),"")</f>
        <v>3</v>
      </c>
      <c r="CU187" s="14">
        <v>3</v>
      </c>
      <c r="CV187" s="14">
        <f>IFERROR(AVERAGE(Tabel1[[#This Row],[In - F3a]:[In - F3a]]),"")</f>
        <v>3</v>
      </c>
      <c r="CW187" s="14" t="s">
        <v>189</v>
      </c>
      <c r="CX187" s="14">
        <f>IFERROR(AVERAGE(Tabel1[[#This Row],[In - F1]],Tabel1[[#This Row],[In - F2]],Tabel1[[#This Row],[In - F3]],Tabel1[[#This Row],[In - F4]]),"")</f>
        <v>3</v>
      </c>
      <c r="CY187" s="14">
        <v>3</v>
      </c>
      <c r="CZ187" s="14">
        <v>3</v>
      </c>
      <c r="DA187" s="14">
        <v>4</v>
      </c>
      <c r="DB187" s="14">
        <f>IFERROR(AVERAGE(Tabel1[[#This Row],[In - V1a]:[In - V1c]]),"")</f>
        <v>3.3333333333333335</v>
      </c>
      <c r="DC187" s="14">
        <v>3</v>
      </c>
      <c r="DD187" s="14">
        <v>4</v>
      </c>
      <c r="DE187" s="14">
        <v>4</v>
      </c>
      <c r="DF187" s="14">
        <f>IFERROR(AVERAGE(Tabel1[[#This Row],[In - V2a]:[In - V2c]]),"")</f>
        <v>3.6666666666666665</v>
      </c>
      <c r="DG187" s="14">
        <v>3</v>
      </c>
      <c r="DH187" s="14" t="s">
        <v>189</v>
      </c>
      <c r="DI187" s="14">
        <f>IFERROR(AVERAGE(Tabel1[[#This Row],[In - V3a]:[In - V3b]]),"")</f>
        <v>3</v>
      </c>
      <c r="DJ187" s="14" t="s">
        <v>189</v>
      </c>
      <c r="DK187" s="14">
        <f>IFERROR(AVERAGE(Tabel1[[#This Row],[In - V1]],Tabel1[[#This Row],[In - V2]],Tabel1[[#This Row],[In - V3]],Tabel1[[#This Row],[In - V4]]),"")</f>
        <v>3.3333333333333335</v>
      </c>
      <c r="DL187" s="14" t="s">
        <v>189</v>
      </c>
      <c r="DM187" s="14" t="s">
        <v>189</v>
      </c>
      <c r="DN187" s="14" t="str">
        <f>IFERROR(AVERAGE(Tabel1[[#This Row],[In - A1a]:[In - A1b]]),"")</f>
        <v/>
      </c>
      <c r="DO187" s="14">
        <v>4</v>
      </c>
      <c r="DP187" s="14">
        <v>5</v>
      </c>
      <c r="DQ187" s="14">
        <f>IFERROR(AVERAGE(Tabel1[[#This Row],[In - A2a]:[In - A2b]]),"")</f>
        <v>4.5</v>
      </c>
      <c r="DR187" s="14">
        <v>3</v>
      </c>
      <c r="DS187" s="14">
        <v>2</v>
      </c>
      <c r="DT187" s="14">
        <f>IFERROR(AVERAGE(Tabel1[[#This Row],[In - A3a]:[In - A3a]]),"")</f>
        <v>3</v>
      </c>
      <c r="DU187" s="14" t="s">
        <v>189</v>
      </c>
      <c r="DV187" s="14">
        <f>IFERROR(AVERAGE(Tabel1[[#This Row],[In - A1]],Tabel1[[#This Row],[In - A2]],Tabel1[[#This Row],[In - A3]],Tabel1[[#This Row],[In - A4]]),"")</f>
        <v>3.75</v>
      </c>
      <c r="DW187" s="14">
        <v>2</v>
      </c>
      <c r="DX187" s="14">
        <v>5</v>
      </c>
      <c r="DY187" s="14">
        <v>3</v>
      </c>
      <c r="DZ187" s="14">
        <f>IFERROR(AVERAGE(Tabel1[[#This Row],[Do - R1a]:[Do - R1c]]),"")</f>
        <v>3.3333333333333335</v>
      </c>
      <c r="EA187" s="14" t="s">
        <v>189</v>
      </c>
      <c r="EB187" s="14">
        <v>3</v>
      </c>
      <c r="EC187" s="14" t="s">
        <v>189</v>
      </c>
      <c r="ED187" s="14" t="s">
        <v>189</v>
      </c>
      <c r="EE187" s="14">
        <f>IFERROR(AVERAGE(Tabel1[[#This Row],[Do - R1]:[Do - R5]]),"")</f>
        <v>3.166666666666667</v>
      </c>
      <c r="EF187" s="14">
        <v>4</v>
      </c>
      <c r="EG187" s="14">
        <v>3</v>
      </c>
      <c r="EH187" s="14">
        <v>3</v>
      </c>
      <c r="EI187" s="14">
        <f>IFERROR(AVERAGE(Tabel1[[#This Row],[Do - C1a]:[Do - C1c]]),"")</f>
        <v>3.3333333333333335</v>
      </c>
      <c r="EJ187" s="14">
        <v>2</v>
      </c>
      <c r="EK187" s="14">
        <v>3</v>
      </c>
      <c r="EL187" s="14">
        <v>4</v>
      </c>
      <c r="EM187" s="14">
        <f>IFERROR(AVERAGE(Tabel1[[#This Row],[Do - C1]:[Do - C4]]),"")</f>
        <v>3.0833333333333335</v>
      </c>
      <c r="EN187" s="14">
        <v>2</v>
      </c>
      <c r="EO187" s="14">
        <v>2</v>
      </c>
      <c r="EP187" s="14">
        <v>4</v>
      </c>
      <c r="EQ187" s="14">
        <f>IFERROR(AVERAGE(Tabel1[[#This Row],[Do - F1a]:[Do - F1c]]),"")</f>
        <v>2.6666666666666665</v>
      </c>
      <c r="ER187" s="14">
        <v>3</v>
      </c>
      <c r="ES187" s="14">
        <f>IFERROR(AVERAGE(Tabel1[[#This Row],[Do - F2a]:[Do - F2a]]),"")</f>
        <v>3</v>
      </c>
      <c r="ET187" s="14">
        <v>2</v>
      </c>
      <c r="EU187" s="14">
        <v>3</v>
      </c>
      <c r="EV187" s="14">
        <f>IFERROR(AVERAGE(Tabel1[[#This Row],[Do - F3a]:[Do - F3b]]),"")</f>
        <v>2.5</v>
      </c>
      <c r="EW187" s="14" t="s">
        <v>189</v>
      </c>
      <c r="EX187" s="14">
        <f>IFERROR(AVERAGE(Tabel1[[#This Row],[Do - F1]],Tabel1[[#This Row],[Do - F2]],Tabel1[[#This Row],[Do - F3]],Tabel1[[#This Row],[Do - F4]]),"")</f>
        <v>2.7222222222222219</v>
      </c>
      <c r="EY187" s="14">
        <v>3</v>
      </c>
      <c r="EZ187" s="14" t="s">
        <v>189</v>
      </c>
      <c r="FA187" s="14">
        <v>3</v>
      </c>
      <c r="FB187" s="14">
        <f>IFERROR(AVERAGE(Tabel1[[#This Row],[Do - V1a]:[Do - V1c]]),"")</f>
        <v>3</v>
      </c>
      <c r="FC187" s="14">
        <v>4</v>
      </c>
      <c r="FD187" s="14" t="s">
        <v>189</v>
      </c>
      <c r="FE187" s="14">
        <f>IFERROR(AVERAGE(Tabel1[[#This Row],[Do - V2a]:[Do - V2b]]),"")</f>
        <v>4</v>
      </c>
      <c r="FF187" s="14">
        <v>3</v>
      </c>
      <c r="FG187" s="14">
        <f>IFERROR(AVERAGE(Tabel1[[#This Row],[Do - V3a]:[Do - V3a]]),"")</f>
        <v>3</v>
      </c>
      <c r="FH187" s="14" t="s">
        <v>189</v>
      </c>
      <c r="FI187" s="14">
        <f>IFERROR(AVERAGE(Tabel1[[#This Row],[Do - V1]],Tabel1[[#This Row],[Do - V2]],Tabel1[[#This Row],[Do - V3]],Tabel1[[#This Row],[Do - V4]]),"")</f>
        <v>3.3333333333333335</v>
      </c>
      <c r="FJ187" s="14" t="s">
        <v>189</v>
      </c>
      <c r="FK187" s="14" t="s">
        <v>189</v>
      </c>
      <c r="FL187" s="14">
        <v>4</v>
      </c>
      <c r="FM187" s="14">
        <f>IFERROR(AVERAGE(Tabel1[[#This Row],[Do - A1a]:[Do - A1c]]),"")</f>
        <v>4</v>
      </c>
      <c r="FN187" s="14">
        <v>3</v>
      </c>
      <c r="FO187" s="14">
        <v>4</v>
      </c>
      <c r="FP187" s="14">
        <f>IFERROR(AVERAGE(Tabel1[[#This Row],[Do - A2a]:[Do - A2b]]),"")</f>
        <v>3.5</v>
      </c>
      <c r="FQ187" s="14">
        <v>4</v>
      </c>
      <c r="FR187" s="14">
        <f>IFERROR(AVERAGE(Tabel1[[#This Row],[Do - A3a]:[Do - A3a]]),"")</f>
        <v>4</v>
      </c>
      <c r="FS187" s="14" t="s">
        <v>189</v>
      </c>
      <c r="FT187" s="14">
        <f>IFERROR(AVERAGE(Tabel1[[#This Row],[Do - A1]],Tabel1[[#This Row],[Do - A2]],Tabel1[[#This Row],[Do - A3]],Tabel1[[#This Row],[Do - A4]]),"")</f>
        <v>3.8333333333333335</v>
      </c>
      <c r="FU18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3.300925925925926</v>
      </c>
      <c r="FV187" s="16" t="s">
        <v>1057</v>
      </c>
      <c r="FW187" t="b">
        <v>1</v>
      </c>
    </row>
    <row r="188" spans="1:179" x14ac:dyDescent="0.3">
      <c r="A188" s="13">
        <v>45238.372407407405</v>
      </c>
      <c r="B188" t="b">
        <v>0</v>
      </c>
      <c r="C188" s="14" t="s">
        <v>1058</v>
      </c>
      <c r="D188" s="14" t="s">
        <v>864</v>
      </c>
      <c r="E188" s="14" t="s">
        <v>1059</v>
      </c>
      <c r="F188" s="14" t="s">
        <v>189</v>
      </c>
      <c r="G188" s="14" t="s">
        <v>1060</v>
      </c>
      <c r="H188" s="14" t="s">
        <v>194</v>
      </c>
      <c r="I188" s="14" t="s">
        <v>195</v>
      </c>
      <c r="J188" s="14" t="s">
        <v>196</v>
      </c>
      <c r="K188" s="14" t="s">
        <v>235</v>
      </c>
      <c r="L188" s="14" t="s">
        <v>249</v>
      </c>
      <c r="M188" s="14" t="s">
        <v>233</v>
      </c>
      <c r="N188" s="14" t="s">
        <v>262</v>
      </c>
      <c r="O188" s="14" t="s">
        <v>200</v>
      </c>
      <c r="P188" s="17" t="s">
        <v>304</v>
      </c>
      <c r="Q188" s="14" t="s">
        <v>202</v>
      </c>
      <c r="R188" s="14" t="s">
        <v>201</v>
      </c>
      <c r="S188" s="14" t="s">
        <v>235</v>
      </c>
      <c r="T188" s="14" t="s">
        <v>204</v>
      </c>
      <c r="U188" s="14" t="s">
        <v>205</v>
      </c>
      <c r="V188" s="14" t="s">
        <v>206</v>
      </c>
      <c r="W188" s="14" t="s">
        <v>207</v>
      </c>
      <c r="X188" s="14" t="s">
        <v>207</v>
      </c>
      <c r="Y188" s="14">
        <v>3</v>
      </c>
      <c r="Z188" s="14">
        <v>5</v>
      </c>
      <c r="AA188" s="14" t="s">
        <v>189</v>
      </c>
      <c r="AB188" s="15">
        <f>IFERROR(AVERAGE(Tabel1[[#This Row],[Up - R1a]:[Up - R1c]]),"")</f>
        <v>4</v>
      </c>
      <c r="AC188" s="14">
        <v>3</v>
      </c>
      <c r="AD188" s="14">
        <v>5</v>
      </c>
      <c r="AE188" s="14">
        <v>1</v>
      </c>
      <c r="AF188" s="14">
        <v>2</v>
      </c>
      <c r="AG188" s="14">
        <f>IFERROR(AVERAGE(Tabel1[[#This Row],[Up - R1]:[Up - R5]]),"")</f>
        <v>3</v>
      </c>
      <c r="AH188" s="14">
        <v>5</v>
      </c>
      <c r="AI188" s="14">
        <v>4</v>
      </c>
      <c r="AJ188" s="14">
        <v>4</v>
      </c>
      <c r="AK188" s="14">
        <f>IFERROR(AVERAGE(Tabel1[[#This Row],[Up - C1a]:[Up - C1c]]),"")</f>
        <v>4.333333333333333</v>
      </c>
      <c r="AL188" s="14">
        <v>4</v>
      </c>
      <c r="AM188" s="14">
        <v>4</v>
      </c>
      <c r="AN188" s="14">
        <v>3</v>
      </c>
      <c r="AO188" s="14">
        <f>IFERROR(AVERAGE(Tabel1[[#This Row],[Up - C1]:[Up - C4]]),"")</f>
        <v>3.833333333333333</v>
      </c>
      <c r="AP188" s="14">
        <v>4</v>
      </c>
      <c r="AQ188" s="14">
        <f>IFERROR(AVERAGE(Tabel1[[#This Row],[Up - F1a]:[Up - F1a]]),"")</f>
        <v>4</v>
      </c>
      <c r="AR188" s="14">
        <v>1</v>
      </c>
      <c r="AS188" s="14">
        <v>1</v>
      </c>
      <c r="AT188" s="14">
        <f>IFERROR(AVERAGE(Tabel1[[#This Row],[Up - F2a]:[Up - F2b]]),"")</f>
        <v>1</v>
      </c>
      <c r="AU188" s="14">
        <v>2</v>
      </c>
      <c r="AV188" s="14">
        <v>3</v>
      </c>
      <c r="AW188" s="14">
        <f>IFERROR(AVERAGE(Tabel1[[#This Row],[Up - F3a]:[Up - F3b]]),"")</f>
        <v>2.5</v>
      </c>
      <c r="AX188" s="14">
        <v>2</v>
      </c>
      <c r="AY188" s="14">
        <f>IFERROR(AVERAGE(Tabel1[[#This Row],[Up - F1]],Tabel1[[#This Row],[Up - F2]],Tabel1[[#This Row],[Up - F3]],Tabel1[[#This Row],[Up - F4]]),"")</f>
        <v>2.375</v>
      </c>
      <c r="AZ188" s="14">
        <v>1</v>
      </c>
      <c r="BA188" s="14">
        <v>3</v>
      </c>
      <c r="BB188" s="14">
        <f>IFERROR(AVERAGE(Tabel1[[#This Row],[Up - V1a]:[Up - V1b]]),"")</f>
        <v>2</v>
      </c>
      <c r="BC188" s="14">
        <v>3</v>
      </c>
      <c r="BD188" s="14">
        <v>2</v>
      </c>
      <c r="BE188" s="14">
        <v>4</v>
      </c>
      <c r="BF188" s="14">
        <f>IFERROR(AVERAGE(Tabel1[[#This Row],[Up - V2a]:[Up - V2c]]),"")</f>
        <v>3</v>
      </c>
      <c r="BG188" s="14">
        <v>4</v>
      </c>
      <c r="BH188" s="14">
        <v>4</v>
      </c>
      <c r="BI188" s="14">
        <f>IFERROR(AVERAGE(Tabel1[[#This Row],[Up - V3a]:[Up - V3b]]),"")</f>
        <v>4</v>
      </c>
      <c r="BJ188" s="14">
        <v>4</v>
      </c>
      <c r="BK188" s="14">
        <f>IFERROR(AVERAGE(Tabel1[[#This Row],[Up - V1]],Tabel1[[#This Row],[Up - V2]],Tabel1[[#This Row],[Up - V3]],Tabel1[[#This Row],[Up - V4]]),"")</f>
        <v>3.25</v>
      </c>
      <c r="BL188" s="14">
        <v>3</v>
      </c>
      <c r="BM188" s="14">
        <v>5</v>
      </c>
      <c r="BN188" s="14">
        <v>2</v>
      </c>
      <c r="BO188" s="14">
        <v>3</v>
      </c>
      <c r="BP188" s="14">
        <f>IFERROR(AVERAGE(Tabel1[[#This Row],[Up - A1a]:[Up - A1d]]),"")</f>
        <v>3.25</v>
      </c>
      <c r="BQ188" s="14">
        <v>3</v>
      </c>
      <c r="BR188" s="14">
        <v>4</v>
      </c>
      <c r="BS188" s="14">
        <f>IFERROR(AVERAGE(Tabel1[[#This Row],[Up - A2a]:[Up - A2b]]),"")</f>
        <v>3.5</v>
      </c>
      <c r="BT188" s="14">
        <v>3</v>
      </c>
      <c r="BU188" s="14">
        <f>IFERROR(AVERAGE(Tabel1[[#This Row],[Up - A3a]:[Up - A3a]]),"")</f>
        <v>3</v>
      </c>
      <c r="BV188" s="14">
        <v>3</v>
      </c>
      <c r="BW188" s="14">
        <f>IFERROR(AVERAGE(Tabel1[[#This Row],[Up - A1]],Tabel1[[#This Row],[Up - A2]],Tabel1[[#This Row],[Up - A3]]),"")</f>
        <v>3.25</v>
      </c>
      <c r="BX188" s="14">
        <v>5</v>
      </c>
      <c r="BY188" s="14">
        <v>5</v>
      </c>
      <c r="BZ188" s="14">
        <f>IFERROR(AVERAGE(Tabel1[[#This Row],[In - R1a]:[In - R1b]]),"")</f>
        <v>5</v>
      </c>
      <c r="CA188" s="14">
        <v>3</v>
      </c>
      <c r="CB188" s="14">
        <v>3</v>
      </c>
      <c r="CC188" s="14">
        <v>1</v>
      </c>
      <c r="CD188" s="14">
        <v>5</v>
      </c>
      <c r="CE188" s="14">
        <f>IFERROR(AVERAGE(Tabel1[[#This Row],[In - R1]:[In - R5]]),"")</f>
        <v>3.4</v>
      </c>
      <c r="CF188" s="14">
        <v>5</v>
      </c>
      <c r="CG188" s="14">
        <v>5</v>
      </c>
      <c r="CH188" s="14">
        <v>5</v>
      </c>
      <c r="CI188" s="14">
        <f>IFERROR(AVERAGE(Tabel1[[#This Row],[In - C1a]:[In - C1c]]),"")</f>
        <v>5</v>
      </c>
      <c r="CJ188" s="14">
        <v>2</v>
      </c>
      <c r="CK188" s="14">
        <v>4</v>
      </c>
      <c r="CL188" s="14">
        <v>2</v>
      </c>
      <c r="CM188" s="14">
        <f>IFERROR(AVERAGE(Tabel1[[#This Row],[In - C1]:[In - C4]]),"")</f>
        <v>3.25</v>
      </c>
      <c r="CN188" s="14">
        <v>3</v>
      </c>
      <c r="CO188" s="14">
        <v>2</v>
      </c>
      <c r="CP188" s="14">
        <v>1</v>
      </c>
      <c r="CQ188" s="14">
        <f>IFERROR(AVERAGE(Tabel1[[#This Row],[In - F1a]:[In - F1c]]),"")</f>
        <v>2</v>
      </c>
      <c r="CR188" s="14">
        <v>4</v>
      </c>
      <c r="CS188" s="14">
        <v>1</v>
      </c>
      <c r="CT188" s="14">
        <f>IFERROR(AVERAGE(Tabel1[[#This Row],[In - F2a]:[In - F2b]]),"")</f>
        <v>2.5</v>
      </c>
      <c r="CU188" s="14">
        <v>1</v>
      </c>
      <c r="CV188" s="14">
        <f>IFERROR(AVERAGE(Tabel1[[#This Row],[In - F3a]:[In - F3a]]),"")</f>
        <v>1</v>
      </c>
      <c r="CW188" s="14" t="s">
        <v>189</v>
      </c>
      <c r="CX188" s="14">
        <f>IFERROR(AVERAGE(Tabel1[[#This Row],[In - F1]],Tabel1[[#This Row],[In - F2]],Tabel1[[#This Row],[In - F3]],Tabel1[[#This Row],[In - F4]]),"")</f>
        <v>1.8333333333333333</v>
      </c>
      <c r="CY188" s="14">
        <v>3</v>
      </c>
      <c r="CZ188" s="14">
        <v>4</v>
      </c>
      <c r="DA188" s="14">
        <v>5</v>
      </c>
      <c r="DB188" s="14">
        <f>IFERROR(AVERAGE(Tabel1[[#This Row],[In - V1a]:[In - V1c]]),"")</f>
        <v>4</v>
      </c>
      <c r="DC188" s="14">
        <v>2</v>
      </c>
      <c r="DD188" s="14">
        <v>2</v>
      </c>
      <c r="DE188" s="14">
        <v>3</v>
      </c>
      <c r="DF188" s="14">
        <f>IFERROR(AVERAGE(Tabel1[[#This Row],[In - V2a]:[In - V2c]]),"")</f>
        <v>2.3333333333333335</v>
      </c>
      <c r="DG188" s="14">
        <v>4</v>
      </c>
      <c r="DH188" s="14">
        <v>5</v>
      </c>
      <c r="DI188" s="14">
        <f>IFERROR(AVERAGE(Tabel1[[#This Row],[In - V3a]:[In - V3b]]),"")</f>
        <v>4.5</v>
      </c>
      <c r="DJ188" s="14">
        <v>4</v>
      </c>
      <c r="DK188" s="14">
        <f>IFERROR(AVERAGE(Tabel1[[#This Row],[In - V1]],Tabel1[[#This Row],[In - V2]],Tabel1[[#This Row],[In - V3]],Tabel1[[#This Row],[In - V4]]),"")</f>
        <v>3.7083333333333335</v>
      </c>
      <c r="DL188" s="14">
        <v>4</v>
      </c>
      <c r="DM188" s="14">
        <v>4</v>
      </c>
      <c r="DN188" s="14">
        <f>IFERROR(AVERAGE(Tabel1[[#This Row],[In - A1a]:[In - A1b]]),"")</f>
        <v>4</v>
      </c>
      <c r="DO188" s="14">
        <v>4</v>
      </c>
      <c r="DP188" s="14">
        <v>3</v>
      </c>
      <c r="DQ188" s="14">
        <f>IFERROR(AVERAGE(Tabel1[[#This Row],[In - A2a]:[In - A2b]]),"")</f>
        <v>3.5</v>
      </c>
      <c r="DR188" s="14">
        <v>3</v>
      </c>
      <c r="DS188" s="14">
        <v>2</v>
      </c>
      <c r="DT188" s="14">
        <f>IFERROR(AVERAGE(Tabel1[[#This Row],[In - A3a]:[In - A3a]]),"")</f>
        <v>3</v>
      </c>
      <c r="DU188" s="14">
        <v>1</v>
      </c>
      <c r="DV188" s="14">
        <f>IFERROR(AVERAGE(Tabel1[[#This Row],[In - A1]],Tabel1[[#This Row],[In - A2]],Tabel1[[#This Row],[In - A3]],Tabel1[[#This Row],[In - A4]]),"")</f>
        <v>2.875</v>
      </c>
      <c r="DW188" s="14">
        <v>2</v>
      </c>
      <c r="DX188" s="14">
        <v>5</v>
      </c>
      <c r="DY188" s="14">
        <v>2</v>
      </c>
      <c r="DZ188" s="14">
        <f>IFERROR(AVERAGE(Tabel1[[#This Row],[Do - R1a]:[Do - R1c]]),"")</f>
        <v>3</v>
      </c>
      <c r="EA188" s="14">
        <v>4</v>
      </c>
      <c r="EB188" s="14">
        <v>4</v>
      </c>
      <c r="EC188" s="14">
        <v>1</v>
      </c>
      <c r="ED188" s="14">
        <v>5</v>
      </c>
      <c r="EE188" s="14">
        <f>IFERROR(AVERAGE(Tabel1[[#This Row],[Do - R1]:[Do - R5]]),"")</f>
        <v>3.4</v>
      </c>
      <c r="EF188" s="14">
        <v>5</v>
      </c>
      <c r="EG188" s="14">
        <v>5</v>
      </c>
      <c r="EH188" s="14">
        <v>4</v>
      </c>
      <c r="EI188" s="14">
        <f>IFERROR(AVERAGE(Tabel1[[#This Row],[Do - C1a]:[Do - C1c]]),"")</f>
        <v>4.666666666666667</v>
      </c>
      <c r="EJ188" s="14">
        <v>5</v>
      </c>
      <c r="EK188" s="14">
        <v>4</v>
      </c>
      <c r="EL188" s="14">
        <v>4</v>
      </c>
      <c r="EM188" s="14">
        <f>IFERROR(AVERAGE(Tabel1[[#This Row],[Do - C1]:[Do - C4]]),"")</f>
        <v>4.416666666666667</v>
      </c>
      <c r="EN188" s="14">
        <v>1</v>
      </c>
      <c r="EO188" s="14">
        <v>1</v>
      </c>
      <c r="EP188" s="14">
        <v>1</v>
      </c>
      <c r="EQ188" s="14">
        <f>IFERROR(AVERAGE(Tabel1[[#This Row],[Do - F1a]:[Do - F1c]]),"")</f>
        <v>1</v>
      </c>
      <c r="ER188" s="14">
        <v>1</v>
      </c>
      <c r="ES188" s="14">
        <f>IFERROR(AVERAGE(Tabel1[[#This Row],[Do - F2a]:[Do - F2a]]),"")</f>
        <v>1</v>
      </c>
      <c r="ET188" s="14">
        <v>2</v>
      </c>
      <c r="EU188" s="14">
        <v>3</v>
      </c>
      <c r="EV188" s="14">
        <f>IFERROR(AVERAGE(Tabel1[[#This Row],[Do - F3a]:[Do - F3b]]),"")</f>
        <v>2.5</v>
      </c>
      <c r="EW188" s="14" t="s">
        <v>189</v>
      </c>
      <c r="EX188" s="14">
        <f>IFERROR(AVERAGE(Tabel1[[#This Row],[Do - F1]],Tabel1[[#This Row],[Do - F2]],Tabel1[[#This Row],[Do - F3]],Tabel1[[#This Row],[Do - F4]]),"")</f>
        <v>1.5</v>
      </c>
      <c r="EY188" s="14">
        <v>4</v>
      </c>
      <c r="EZ188" s="14">
        <v>4</v>
      </c>
      <c r="FA188" s="14">
        <v>5</v>
      </c>
      <c r="FB188" s="14">
        <f>IFERROR(AVERAGE(Tabel1[[#This Row],[Do - V1a]:[Do - V1c]]),"")</f>
        <v>4.333333333333333</v>
      </c>
      <c r="FC188" s="14">
        <v>3</v>
      </c>
      <c r="FD188" s="14">
        <v>2</v>
      </c>
      <c r="FE188" s="14">
        <f>IFERROR(AVERAGE(Tabel1[[#This Row],[Do - V2a]:[Do - V2b]]),"")</f>
        <v>2.5</v>
      </c>
      <c r="FF188" s="14" t="s">
        <v>189</v>
      </c>
      <c r="FG188" s="14" t="str">
        <f>IFERROR(AVERAGE(Tabel1[[#This Row],[Do - V3a]:[Do - V3a]]),"")</f>
        <v/>
      </c>
      <c r="FH188" s="14" t="s">
        <v>189</v>
      </c>
      <c r="FI188" s="14">
        <f>IFERROR(AVERAGE(Tabel1[[#This Row],[Do - V1]],Tabel1[[#This Row],[Do - V2]],Tabel1[[#This Row],[Do - V3]],Tabel1[[#This Row],[Do - V4]]),"")</f>
        <v>3.4166666666666665</v>
      </c>
      <c r="FJ188" s="14">
        <v>4</v>
      </c>
      <c r="FK188" s="14">
        <v>1</v>
      </c>
      <c r="FL188" s="14">
        <v>2</v>
      </c>
      <c r="FM188" s="14">
        <f>IFERROR(AVERAGE(Tabel1[[#This Row],[Do - A1a]:[Do - A1c]]),"")</f>
        <v>2.3333333333333335</v>
      </c>
      <c r="FN188" s="14">
        <v>2</v>
      </c>
      <c r="FO188" s="14">
        <v>4</v>
      </c>
      <c r="FP188" s="14">
        <f>IFERROR(AVERAGE(Tabel1[[#This Row],[Do - A2a]:[Do - A2b]]),"")</f>
        <v>3</v>
      </c>
      <c r="FQ188" s="14">
        <v>3</v>
      </c>
      <c r="FR188" s="14">
        <f>IFERROR(AVERAGE(Tabel1[[#This Row],[Do - A3a]:[Do - A3a]]),"")</f>
        <v>3</v>
      </c>
      <c r="FS188" s="14" t="s">
        <v>189</v>
      </c>
      <c r="FT188" s="14">
        <f>IFERROR(AVERAGE(Tabel1[[#This Row],[Do - A1]],Tabel1[[#This Row],[Do - A2]],Tabel1[[#This Row],[Do - A3]],Tabel1[[#This Row],[Do - A4]]),"")</f>
        <v>2.7777777777777781</v>
      </c>
      <c r="FU18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3.0857407407407402</v>
      </c>
      <c r="FV188" s="16" t="s">
        <v>1061</v>
      </c>
      <c r="FW188" t="b">
        <v>1</v>
      </c>
    </row>
    <row r="189" spans="1:179" x14ac:dyDescent="0.3">
      <c r="A189" s="13">
        <v>45238.860115740739</v>
      </c>
      <c r="B189" t="b">
        <v>0</v>
      </c>
      <c r="C189" s="14" t="s">
        <v>1062</v>
      </c>
      <c r="D189" s="14" t="s">
        <v>1063</v>
      </c>
      <c r="E189" s="14" t="s">
        <v>1064</v>
      </c>
      <c r="F189" s="14" t="s">
        <v>189</v>
      </c>
      <c r="G189" s="21" t="s">
        <v>1065</v>
      </c>
      <c r="H189" s="14" t="s">
        <v>194</v>
      </c>
      <c r="I189" s="14" t="s">
        <v>195</v>
      </c>
      <c r="J189" s="14" t="s">
        <v>196</v>
      </c>
      <c r="K189" s="14" t="s">
        <v>201</v>
      </c>
      <c r="L189" s="14" t="s">
        <v>385</v>
      </c>
      <c r="M189" s="14" t="s">
        <v>198</v>
      </c>
      <c r="N189" s="14" t="s">
        <v>262</v>
      </c>
      <c r="O189" s="14" t="s">
        <v>200</v>
      </c>
      <c r="P189" s="14" t="s">
        <v>317</v>
      </c>
      <c r="Q189" s="14" t="s">
        <v>203</v>
      </c>
      <c r="R189" s="17" t="s">
        <v>304</v>
      </c>
      <c r="S189" s="14" t="s">
        <v>201</v>
      </c>
      <c r="T189" s="14" t="s">
        <v>204</v>
      </c>
      <c r="U189" s="14" t="s">
        <v>285</v>
      </c>
      <c r="V189" s="14" t="s">
        <v>206</v>
      </c>
      <c r="W189" s="14" t="s">
        <v>207</v>
      </c>
      <c r="X189" s="14" t="s">
        <v>207</v>
      </c>
      <c r="Y189" s="14">
        <v>2</v>
      </c>
      <c r="Z189" s="14">
        <v>4</v>
      </c>
      <c r="AA189" s="14">
        <v>2</v>
      </c>
      <c r="AB189" s="15">
        <f>IFERROR(AVERAGE(Tabel1[[#This Row],[Up - R1a]:[Up - R1c]]),"")</f>
        <v>2.6666666666666665</v>
      </c>
      <c r="AC189" s="14">
        <v>1</v>
      </c>
      <c r="AD189" s="14">
        <v>3</v>
      </c>
      <c r="AE189" s="14">
        <v>2</v>
      </c>
      <c r="AF189" s="14">
        <v>2</v>
      </c>
      <c r="AG189" s="14">
        <f>IFERROR(AVERAGE(Tabel1[[#This Row],[Up - R1]:[Up - R5]]),"")</f>
        <v>2.1333333333333333</v>
      </c>
      <c r="AH189" s="14">
        <v>2</v>
      </c>
      <c r="AI189" s="14">
        <v>2</v>
      </c>
      <c r="AJ189" s="14">
        <v>2</v>
      </c>
      <c r="AK189" s="14">
        <f>IFERROR(AVERAGE(Tabel1[[#This Row],[Up - C1a]:[Up - C1c]]),"")</f>
        <v>2</v>
      </c>
      <c r="AL189" s="14">
        <v>2</v>
      </c>
      <c r="AM189" s="14">
        <v>1</v>
      </c>
      <c r="AN189" s="14" t="s">
        <v>189</v>
      </c>
      <c r="AO189" s="14">
        <f>IFERROR(AVERAGE(Tabel1[[#This Row],[Up - C1]:[Up - C4]]),"")</f>
        <v>1.6666666666666667</v>
      </c>
      <c r="AP189" s="14">
        <v>2</v>
      </c>
      <c r="AQ189" s="14">
        <f>IFERROR(AVERAGE(Tabel1[[#This Row],[Up - F1a]:[Up - F1a]]),"")</f>
        <v>2</v>
      </c>
      <c r="AR189" s="14">
        <v>1</v>
      </c>
      <c r="AS189" s="14" t="s">
        <v>189</v>
      </c>
      <c r="AT189" s="14">
        <f>IFERROR(AVERAGE(Tabel1[[#This Row],[Up - F2a]:[Up - F2b]]),"")</f>
        <v>1</v>
      </c>
      <c r="AU189" s="14">
        <v>1</v>
      </c>
      <c r="AV189" s="14" t="s">
        <v>189</v>
      </c>
      <c r="AW189" s="14">
        <f>IFERROR(AVERAGE(Tabel1[[#This Row],[Up - F3a]:[Up - F3b]]),"")</f>
        <v>1</v>
      </c>
      <c r="AX189" s="14" t="s">
        <v>189</v>
      </c>
      <c r="AY189" s="14">
        <f>IFERROR(AVERAGE(Tabel1[[#This Row],[Up - F1]],Tabel1[[#This Row],[Up - F2]],Tabel1[[#This Row],[Up - F3]],Tabel1[[#This Row],[Up - F4]]),"")</f>
        <v>1.3333333333333333</v>
      </c>
      <c r="AZ189" s="14">
        <v>2</v>
      </c>
      <c r="BA189" s="14">
        <v>1</v>
      </c>
      <c r="BB189" s="14">
        <f>IFERROR(AVERAGE(Tabel1[[#This Row],[Up - V1a]:[Up - V1b]]),"")</f>
        <v>1.5</v>
      </c>
      <c r="BC189" s="14">
        <v>1</v>
      </c>
      <c r="BD189" s="14">
        <v>1</v>
      </c>
      <c r="BE189" s="14">
        <v>1</v>
      </c>
      <c r="BF189" s="14">
        <f>IFERROR(AVERAGE(Tabel1[[#This Row],[Up - V2a]:[Up - V2c]]),"")</f>
        <v>1</v>
      </c>
      <c r="BG189" s="14">
        <v>1</v>
      </c>
      <c r="BH189" s="14">
        <v>2</v>
      </c>
      <c r="BI189" s="14">
        <f>IFERROR(AVERAGE(Tabel1[[#This Row],[Up - V3a]:[Up - V3b]]),"")</f>
        <v>1.5</v>
      </c>
      <c r="BJ189" s="14" t="s">
        <v>189</v>
      </c>
      <c r="BK189" s="14">
        <f>IFERROR(AVERAGE(Tabel1[[#This Row],[Up - V1]],Tabel1[[#This Row],[Up - V2]],Tabel1[[#This Row],[Up - V3]],Tabel1[[#This Row],[Up - V4]]),"")</f>
        <v>1.3333333333333333</v>
      </c>
      <c r="BL189" s="14">
        <v>2</v>
      </c>
      <c r="BM189" s="14">
        <v>2</v>
      </c>
      <c r="BN189" s="14">
        <v>2</v>
      </c>
      <c r="BO189" s="14">
        <v>1</v>
      </c>
      <c r="BP189" s="14">
        <f>IFERROR(AVERAGE(Tabel1[[#This Row],[Up - A1a]:[Up - A1d]]),"")</f>
        <v>1.75</v>
      </c>
      <c r="BQ189" s="14">
        <v>1</v>
      </c>
      <c r="BR189" s="14">
        <v>2</v>
      </c>
      <c r="BS189" s="14">
        <f>IFERROR(AVERAGE(Tabel1[[#This Row],[Up - A2a]:[Up - A2b]]),"")</f>
        <v>1.5</v>
      </c>
      <c r="BT189" s="14">
        <v>2</v>
      </c>
      <c r="BU189" s="14">
        <f>IFERROR(AVERAGE(Tabel1[[#This Row],[Up - A3a]:[Up - A3a]]),"")</f>
        <v>2</v>
      </c>
      <c r="BV189" s="14" t="s">
        <v>189</v>
      </c>
      <c r="BW189" s="14">
        <f>IFERROR(AVERAGE(Tabel1[[#This Row],[Up - A1]],Tabel1[[#This Row],[Up - A2]],Tabel1[[#This Row],[Up - A3]]),"")</f>
        <v>1.75</v>
      </c>
      <c r="BX189" s="14">
        <v>2</v>
      </c>
      <c r="BY189" s="14">
        <v>1</v>
      </c>
      <c r="BZ189" s="14">
        <f>IFERROR(AVERAGE(Tabel1[[#This Row],[In - R1a]:[In - R1b]]),"")</f>
        <v>1.5</v>
      </c>
      <c r="CA189" s="14">
        <v>2</v>
      </c>
      <c r="CB189" s="14">
        <v>1</v>
      </c>
      <c r="CC189" s="14">
        <v>1</v>
      </c>
      <c r="CD189" s="14">
        <v>2</v>
      </c>
      <c r="CE189" s="14">
        <f>IFERROR(AVERAGE(Tabel1[[#This Row],[In - R1]:[In - R5]]),"")</f>
        <v>1.5</v>
      </c>
      <c r="CF189" s="14">
        <v>3</v>
      </c>
      <c r="CG189" s="14">
        <v>3</v>
      </c>
      <c r="CH189" s="14">
        <v>3</v>
      </c>
      <c r="CI189" s="14">
        <f>IFERROR(AVERAGE(Tabel1[[#This Row],[In - C1a]:[In - C1c]]),"")</f>
        <v>3</v>
      </c>
      <c r="CJ189" s="14">
        <v>3</v>
      </c>
      <c r="CK189" s="14">
        <v>1</v>
      </c>
      <c r="CL189" s="14">
        <v>1</v>
      </c>
      <c r="CM189" s="14">
        <f>IFERROR(AVERAGE(Tabel1[[#This Row],[In - C1]:[In - C4]]),"")</f>
        <v>2</v>
      </c>
      <c r="CN189" s="14">
        <v>2</v>
      </c>
      <c r="CO189" s="14">
        <v>1</v>
      </c>
      <c r="CP189" s="14">
        <v>1</v>
      </c>
      <c r="CQ189" s="14">
        <f>IFERROR(AVERAGE(Tabel1[[#This Row],[In - F1a]:[In - F1c]]),"")</f>
        <v>1.3333333333333333</v>
      </c>
      <c r="CR189" s="14">
        <v>1</v>
      </c>
      <c r="CS189" s="14">
        <v>1</v>
      </c>
      <c r="CT189" s="14">
        <f>IFERROR(AVERAGE(Tabel1[[#This Row],[In - F2a]:[In - F2b]]),"")</f>
        <v>1</v>
      </c>
      <c r="CU189" s="14">
        <v>1</v>
      </c>
      <c r="CV189" s="14">
        <f>IFERROR(AVERAGE(Tabel1[[#This Row],[In - F3a]:[In - F3a]]),"")</f>
        <v>1</v>
      </c>
      <c r="CW189" s="14" t="s">
        <v>189</v>
      </c>
      <c r="CX189" s="14">
        <f>IFERROR(AVERAGE(Tabel1[[#This Row],[In - F1]],Tabel1[[#This Row],[In - F2]],Tabel1[[#This Row],[In - F3]],Tabel1[[#This Row],[In - F4]]),"")</f>
        <v>1.1111111111111109</v>
      </c>
      <c r="CY189" s="14">
        <v>1</v>
      </c>
      <c r="CZ189" s="14">
        <v>2</v>
      </c>
      <c r="DA189" s="14">
        <v>2</v>
      </c>
      <c r="DB189" s="14">
        <f>IFERROR(AVERAGE(Tabel1[[#This Row],[In - V1a]:[In - V1c]]),"")</f>
        <v>1.6666666666666667</v>
      </c>
      <c r="DC189" s="14">
        <v>1</v>
      </c>
      <c r="DD189" s="14">
        <v>2</v>
      </c>
      <c r="DE189" s="14">
        <v>2</v>
      </c>
      <c r="DF189" s="14">
        <f>IFERROR(AVERAGE(Tabel1[[#This Row],[In - V2a]:[In - V2c]]),"")</f>
        <v>1.6666666666666667</v>
      </c>
      <c r="DG189" s="14">
        <v>1</v>
      </c>
      <c r="DH189" s="14">
        <v>1</v>
      </c>
      <c r="DI189" s="14">
        <f>IFERROR(AVERAGE(Tabel1[[#This Row],[In - V3a]:[In - V3b]]),"")</f>
        <v>1</v>
      </c>
      <c r="DJ189" s="14" t="s">
        <v>189</v>
      </c>
      <c r="DK189" s="14">
        <f>IFERROR(AVERAGE(Tabel1[[#This Row],[In - V1]],Tabel1[[#This Row],[In - V2]],Tabel1[[#This Row],[In - V3]],Tabel1[[#This Row],[In - V4]]),"")</f>
        <v>1.4444444444444446</v>
      </c>
      <c r="DL189" s="14">
        <v>1</v>
      </c>
      <c r="DM189" s="14">
        <v>1</v>
      </c>
      <c r="DN189" s="14">
        <f>IFERROR(AVERAGE(Tabel1[[#This Row],[In - A1a]:[In - A1b]]),"")</f>
        <v>1</v>
      </c>
      <c r="DO189" s="14">
        <v>2</v>
      </c>
      <c r="DP189" s="14">
        <v>2</v>
      </c>
      <c r="DQ189" s="14">
        <f>IFERROR(AVERAGE(Tabel1[[#This Row],[In - A2a]:[In - A2b]]),"")</f>
        <v>2</v>
      </c>
      <c r="DR189" s="14">
        <v>2</v>
      </c>
      <c r="DS189" s="14">
        <v>1</v>
      </c>
      <c r="DT189" s="14">
        <f>IFERROR(AVERAGE(Tabel1[[#This Row],[In - A3a]:[In - A3a]]),"")</f>
        <v>2</v>
      </c>
      <c r="DU189" s="14" t="s">
        <v>189</v>
      </c>
      <c r="DV189" s="14">
        <f>IFERROR(AVERAGE(Tabel1[[#This Row],[In - A1]],Tabel1[[#This Row],[In - A2]],Tabel1[[#This Row],[In - A3]],Tabel1[[#This Row],[In - A4]]),"")</f>
        <v>1.6666666666666667</v>
      </c>
      <c r="DW189" s="14">
        <v>1</v>
      </c>
      <c r="DX189" s="14">
        <v>3</v>
      </c>
      <c r="DY189" s="14">
        <v>1</v>
      </c>
      <c r="DZ189" s="14">
        <f>IFERROR(AVERAGE(Tabel1[[#This Row],[Do - R1a]:[Do - R1c]]),"")</f>
        <v>1.6666666666666667</v>
      </c>
      <c r="EA189" s="14">
        <v>1</v>
      </c>
      <c r="EB189" s="14">
        <v>2</v>
      </c>
      <c r="EC189" s="14" t="s">
        <v>189</v>
      </c>
      <c r="ED189" s="14" t="s">
        <v>189</v>
      </c>
      <c r="EE189" s="14">
        <f>IFERROR(AVERAGE(Tabel1[[#This Row],[Do - R1]:[Do - R5]]),"")</f>
        <v>1.5555555555555556</v>
      </c>
      <c r="EF189" s="14">
        <v>2</v>
      </c>
      <c r="EG189" s="14">
        <v>2</v>
      </c>
      <c r="EH189" s="14">
        <v>2</v>
      </c>
      <c r="EI189" s="14">
        <f>IFERROR(AVERAGE(Tabel1[[#This Row],[Do - C1a]:[Do - C1c]]),"")</f>
        <v>2</v>
      </c>
      <c r="EJ189" s="14">
        <v>1</v>
      </c>
      <c r="EK189" s="14">
        <v>1</v>
      </c>
      <c r="EL189" s="14" t="s">
        <v>189</v>
      </c>
      <c r="EM189" s="14">
        <f>IFERROR(AVERAGE(Tabel1[[#This Row],[Do - C1]:[Do - C4]]),"")</f>
        <v>1.3333333333333333</v>
      </c>
      <c r="EN189" s="14">
        <v>1</v>
      </c>
      <c r="EO189" s="14" t="s">
        <v>189</v>
      </c>
      <c r="EP189" s="14" t="s">
        <v>189</v>
      </c>
      <c r="EQ189" s="14">
        <f>IFERROR(AVERAGE(Tabel1[[#This Row],[Do - F1a]:[Do - F1c]]),"")</f>
        <v>1</v>
      </c>
      <c r="ER189" s="14" t="s">
        <v>189</v>
      </c>
      <c r="ES189" s="14" t="str">
        <f>IFERROR(AVERAGE(Tabel1[[#This Row],[Do - F2a]:[Do - F2a]]),"")</f>
        <v/>
      </c>
      <c r="ET189" s="14">
        <v>1</v>
      </c>
      <c r="EU189" s="14">
        <v>1</v>
      </c>
      <c r="EV189" s="14">
        <f>IFERROR(AVERAGE(Tabel1[[#This Row],[Do - F3a]:[Do - F3b]]),"")</f>
        <v>1</v>
      </c>
      <c r="EW189" s="14" t="s">
        <v>189</v>
      </c>
      <c r="EX189" s="14">
        <f>IFERROR(AVERAGE(Tabel1[[#This Row],[Do - F1]],Tabel1[[#This Row],[Do - F2]],Tabel1[[#This Row],[Do - F3]],Tabel1[[#This Row],[Do - F4]]),"")</f>
        <v>1</v>
      </c>
      <c r="EY189" s="14">
        <v>3</v>
      </c>
      <c r="EZ189" s="14">
        <v>2</v>
      </c>
      <c r="FA189" s="14">
        <v>1</v>
      </c>
      <c r="FB189" s="14">
        <f>IFERROR(AVERAGE(Tabel1[[#This Row],[Do - V1a]:[Do - V1c]]),"")</f>
        <v>2</v>
      </c>
      <c r="FC189" s="14">
        <v>1</v>
      </c>
      <c r="FD189" s="14">
        <v>2</v>
      </c>
      <c r="FE189" s="14">
        <f>IFERROR(AVERAGE(Tabel1[[#This Row],[Do - V2a]:[Do - V2b]]),"")</f>
        <v>1.5</v>
      </c>
      <c r="FF189" s="14">
        <v>2</v>
      </c>
      <c r="FG189" s="14">
        <f>IFERROR(AVERAGE(Tabel1[[#This Row],[Do - V3a]:[Do - V3a]]),"")</f>
        <v>2</v>
      </c>
      <c r="FH189" s="14" t="s">
        <v>189</v>
      </c>
      <c r="FI189" s="14">
        <f>IFERROR(AVERAGE(Tabel1[[#This Row],[Do - V1]],Tabel1[[#This Row],[Do - V2]],Tabel1[[#This Row],[Do - V3]],Tabel1[[#This Row],[Do - V4]]),"")</f>
        <v>1.8333333333333333</v>
      </c>
      <c r="FJ189" s="14">
        <v>2</v>
      </c>
      <c r="FK189" s="14">
        <v>1</v>
      </c>
      <c r="FL189" s="14">
        <v>2</v>
      </c>
      <c r="FM189" s="14">
        <f>IFERROR(AVERAGE(Tabel1[[#This Row],[Do - A1a]:[Do - A1c]]),"")</f>
        <v>1.6666666666666667</v>
      </c>
      <c r="FN189" s="14">
        <v>1</v>
      </c>
      <c r="FO189" s="14">
        <v>2</v>
      </c>
      <c r="FP189" s="14">
        <f>IFERROR(AVERAGE(Tabel1[[#This Row],[Do - A2a]:[Do - A2b]]),"")</f>
        <v>1.5</v>
      </c>
      <c r="FQ189" s="14">
        <v>2</v>
      </c>
      <c r="FR189" s="14">
        <f>IFERROR(AVERAGE(Tabel1[[#This Row],[Do - A3a]:[Do - A3a]]),"")</f>
        <v>2</v>
      </c>
      <c r="FS189" s="14" t="s">
        <v>189</v>
      </c>
      <c r="FT189" s="14">
        <f>IFERROR(AVERAGE(Tabel1[[#This Row],[Do - A1]],Tabel1[[#This Row],[Do - A2]],Tabel1[[#This Row],[Do - A3]],Tabel1[[#This Row],[Do - A4]]),"")</f>
        <v>1.7222222222222223</v>
      </c>
      <c r="FU18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1.5588888888888885</v>
      </c>
      <c r="FV189" s="16" t="s">
        <v>1066</v>
      </c>
      <c r="FW189" t="b">
        <v>1</v>
      </c>
    </row>
    <row r="190" spans="1:179" x14ac:dyDescent="0.3">
      <c r="A190" s="13">
        <v>45238.984212962961</v>
      </c>
      <c r="B190" t="b">
        <v>0</v>
      </c>
      <c r="C190" s="14" t="s">
        <v>1067</v>
      </c>
      <c r="D190" s="14" t="s">
        <v>864</v>
      </c>
      <c r="E190" s="14" t="s">
        <v>193</v>
      </c>
      <c r="F190" s="14" t="s">
        <v>189</v>
      </c>
      <c r="G190" s="21" t="s">
        <v>1068</v>
      </c>
      <c r="H190" s="14" t="s">
        <v>194</v>
      </c>
      <c r="I190" s="14" t="s">
        <v>195</v>
      </c>
      <c r="J190" s="14" t="s">
        <v>196</v>
      </c>
      <c r="K190" s="14" t="s">
        <v>235</v>
      </c>
      <c r="L190" s="14" t="s">
        <v>197</v>
      </c>
      <c r="M190" s="14" t="s">
        <v>198</v>
      </c>
      <c r="N190" s="14" t="s">
        <v>262</v>
      </c>
      <c r="O190" s="14" t="s">
        <v>200</v>
      </c>
      <c r="P190" s="14" t="s">
        <v>701</v>
      </c>
      <c r="Q190" s="14" t="s">
        <v>201</v>
      </c>
      <c r="R190" s="14" t="s">
        <v>202</v>
      </c>
      <c r="S190" s="14" t="s">
        <v>235</v>
      </c>
      <c r="T190" s="14" t="s">
        <v>204</v>
      </c>
      <c r="U190" s="14" t="s">
        <v>205</v>
      </c>
      <c r="V190" s="14" t="s">
        <v>206</v>
      </c>
      <c r="W190" s="14" t="s">
        <v>207</v>
      </c>
      <c r="X190" s="14" t="s">
        <v>207</v>
      </c>
      <c r="Y190" s="14">
        <v>4</v>
      </c>
      <c r="Z190" s="14">
        <v>5</v>
      </c>
      <c r="AA190" s="14" t="s">
        <v>189</v>
      </c>
      <c r="AB190" s="15">
        <f>IFERROR(AVERAGE(Tabel1[[#This Row],[Up - R1a]:[Up - R1c]]),"")</f>
        <v>4.5</v>
      </c>
      <c r="AC190" s="14">
        <v>4</v>
      </c>
      <c r="AD190" s="14">
        <v>5</v>
      </c>
      <c r="AE190" s="14">
        <v>5</v>
      </c>
      <c r="AF190" s="14" t="s">
        <v>189</v>
      </c>
      <c r="AG190" s="14">
        <f>IFERROR(AVERAGE(Tabel1[[#This Row],[Up - R1]:[Up - R5]]),"")</f>
        <v>4.625</v>
      </c>
      <c r="AH190" s="14">
        <v>5</v>
      </c>
      <c r="AI190" s="14">
        <v>4</v>
      </c>
      <c r="AJ190" s="14">
        <v>4</v>
      </c>
      <c r="AK190" s="14">
        <f>IFERROR(AVERAGE(Tabel1[[#This Row],[Up - C1a]:[Up - C1c]]),"")</f>
        <v>4.333333333333333</v>
      </c>
      <c r="AL190" s="14">
        <v>4</v>
      </c>
      <c r="AM190" s="14">
        <v>3</v>
      </c>
      <c r="AN190" s="14" t="s">
        <v>189</v>
      </c>
      <c r="AO190" s="14">
        <f>IFERROR(AVERAGE(Tabel1[[#This Row],[Up - C1]:[Up - C4]]),"")</f>
        <v>3.7777777777777772</v>
      </c>
      <c r="AP190" s="14" t="s">
        <v>189</v>
      </c>
      <c r="AQ190" s="14" t="str">
        <f>IFERROR(AVERAGE(Tabel1[[#This Row],[Up - F1a]:[Up - F1a]]),"")</f>
        <v/>
      </c>
      <c r="AR190" s="14">
        <v>3</v>
      </c>
      <c r="AS190" s="14">
        <v>2</v>
      </c>
      <c r="AT190" s="14">
        <f>IFERROR(AVERAGE(Tabel1[[#This Row],[Up - F2a]:[Up - F2b]]),"")</f>
        <v>2.5</v>
      </c>
      <c r="AU190" s="14">
        <v>3</v>
      </c>
      <c r="AV190" s="14">
        <v>3</v>
      </c>
      <c r="AW190" s="14">
        <f>IFERROR(AVERAGE(Tabel1[[#This Row],[Up - F3a]:[Up - F3b]]),"")</f>
        <v>3</v>
      </c>
      <c r="AX190" s="14" t="s">
        <v>189</v>
      </c>
      <c r="AY190" s="14">
        <f>IFERROR(AVERAGE(Tabel1[[#This Row],[Up - F1]],Tabel1[[#This Row],[Up - F2]],Tabel1[[#This Row],[Up - F3]],Tabel1[[#This Row],[Up - F4]]),"")</f>
        <v>2.75</v>
      </c>
      <c r="AZ190" s="14" t="s">
        <v>189</v>
      </c>
      <c r="BA190" s="14" t="s">
        <v>189</v>
      </c>
      <c r="BB190" s="14" t="str">
        <f>IFERROR(AVERAGE(Tabel1[[#This Row],[Up - V1a]:[Up - V1b]]),"")</f>
        <v/>
      </c>
      <c r="BC190" s="14">
        <v>2</v>
      </c>
      <c r="BD190" s="14" t="s">
        <v>189</v>
      </c>
      <c r="BE190" s="14">
        <v>3</v>
      </c>
      <c r="BF190" s="14">
        <f>IFERROR(AVERAGE(Tabel1[[#This Row],[Up - V2a]:[Up - V2c]]),"")</f>
        <v>2.5</v>
      </c>
      <c r="BG190" s="14">
        <v>3</v>
      </c>
      <c r="BH190" s="14">
        <v>4</v>
      </c>
      <c r="BI190" s="14">
        <f>IFERROR(AVERAGE(Tabel1[[#This Row],[Up - V3a]:[Up - V3b]]),"")</f>
        <v>3.5</v>
      </c>
      <c r="BJ190" s="14" t="s">
        <v>189</v>
      </c>
      <c r="BK190" s="14">
        <f>IFERROR(AVERAGE(Tabel1[[#This Row],[Up - V1]],Tabel1[[#This Row],[Up - V2]],Tabel1[[#This Row],[Up - V3]],Tabel1[[#This Row],[Up - V4]]),"")</f>
        <v>3</v>
      </c>
      <c r="BL190" s="14">
        <v>4</v>
      </c>
      <c r="BM190" s="14">
        <v>3</v>
      </c>
      <c r="BN190" s="14" t="s">
        <v>189</v>
      </c>
      <c r="BO190" s="14" t="s">
        <v>189</v>
      </c>
      <c r="BP190" s="14">
        <f>IFERROR(AVERAGE(Tabel1[[#This Row],[Up - A1a]:[Up - A1d]]),"")</f>
        <v>3.5</v>
      </c>
      <c r="BQ190" s="14">
        <v>2</v>
      </c>
      <c r="BR190" s="14" t="s">
        <v>189</v>
      </c>
      <c r="BS190" s="14">
        <f>IFERROR(AVERAGE(Tabel1[[#This Row],[Up - A2a]:[Up - A2b]]),"")</f>
        <v>2</v>
      </c>
      <c r="BT190" s="14">
        <v>3</v>
      </c>
      <c r="BU190" s="14">
        <f>IFERROR(AVERAGE(Tabel1[[#This Row],[Up - A3a]:[Up - A3a]]),"")</f>
        <v>3</v>
      </c>
      <c r="BV190" s="14">
        <v>3</v>
      </c>
      <c r="BW190" s="14">
        <f>IFERROR(AVERAGE(Tabel1[[#This Row],[Up - A1]],Tabel1[[#This Row],[Up - A2]],Tabel1[[#This Row],[Up - A3]]),"")</f>
        <v>2.8333333333333335</v>
      </c>
      <c r="BX190" s="14">
        <v>3</v>
      </c>
      <c r="BY190" s="14">
        <v>5</v>
      </c>
      <c r="BZ190" s="14">
        <f>IFERROR(AVERAGE(Tabel1[[#This Row],[In - R1a]:[In - R1b]]),"")</f>
        <v>4</v>
      </c>
      <c r="CA190" s="14">
        <v>4</v>
      </c>
      <c r="CB190" s="14">
        <v>3</v>
      </c>
      <c r="CC190" s="14">
        <v>3</v>
      </c>
      <c r="CD190" s="14" t="s">
        <v>189</v>
      </c>
      <c r="CE190" s="14">
        <f>IFERROR(AVERAGE(Tabel1[[#This Row],[In - R1]:[In - R5]]),"")</f>
        <v>3.5</v>
      </c>
      <c r="CF190" s="14">
        <v>4</v>
      </c>
      <c r="CG190" s="14">
        <v>5</v>
      </c>
      <c r="CH190" s="14">
        <v>5</v>
      </c>
      <c r="CI190" s="14">
        <f>IFERROR(AVERAGE(Tabel1[[#This Row],[In - C1a]:[In - C1c]]),"")</f>
        <v>4.666666666666667</v>
      </c>
      <c r="CJ190" s="14">
        <v>3</v>
      </c>
      <c r="CK190" s="14">
        <v>3</v>
      </c>
      <c r="CL190" s="14">
        <v>1</v>
      </c>
      <c r="CM190" s="14">
        <f>IFERROR(AVERAGE(Tabel1[[#This Row],[In - C1]:[In - C4]]),"")</f>
        <v>2.916666666666667</v>
      </c>
      <c r="CN190" s="14">
        <v>3</v>
      </c>
      <c r="CO190" s="14">
        <v>3</v>
      </c>
      <c r="CP190" s="14">
        <v>1</v>
      </c>
      <c r="CQ190" s="14">
        <f>IFERROR(AVERAGE(Tabel1[[#This Row],[In - F1a]:[In - F1c]]),"")</f>
        <v>2.3333333333333335</v>
      </c>
      <c r="CR190" s="14" t="s">
        <v>189</v>
      </c>
      <c r="CS190" s="14">
        <v>1</v>
      </c>
      <c r="CT190" s="14">
        <f>IFERROR(AVERAGE(Tabel1[[#This Row],[In - F2a]:[In - F2b]]),"")</f>
        <v>1</v>
      </c>
      <c r="CU190" s="14">
        <v>3</v>
      </c>
      <c r="CV190" s="14">
        <f>IFERROR(AVERAGE(Tabel1[[#This Row],[In - F3a]:[In - F3a]]),"")</f>
        <v>3</v>
      </c>
      <c r="CW190" s="14" t="s">
        <v>189</v>
      </c>
      <c r="CX190" s="14">
        <f>IFERROR(AVERAGE(Tabel1[[#This Row],[In - F1]],Tabel1[[#This Row],[In - F2]],Tabel1[[#This Row],[In - F3]],Tabel1[[#This Row],[In - F4]]),"")</f>
        <v>2.1111111111111112</v>
      </c>
      <c r="CY190" s="14">
        <v>4</v>
      </c>
      <c r="CZ190" s="14">
        <v>4</v>
      </c>
      <c r="DA190" s="14">
        <v>2</v>
      </c>
      <c r="DB190" s="14">
        <f>IFERROR(AVERAGE(Tabel1[[#This Row],[In - V1a]:[In - V1c]]),"")</f>
        <v>3.3333333333333335</v>
      </c>
      <c r="DC190" s="14">
        <v>2</v>
      </c>
      <c r="DD190" s="14">
        <v>3</v>
      </c>
      <c r="DE190" s="14">
        <v>2</v>
      </c>
      <c r="DF190" s="14">
        <f>IFERROR(AVERAGE(Tabel1[[#This Row],[In - V2a]:[In - V2c]]),"")</f>
        <v>2.3333333333333335</v>
      </c>
      <c r="DG190" s="14">
        <v>3</v>
      </c>
      <c r="DH190" s="14">
        <v>4</v>
      </c>
      <c r="DI190" s="14">
        <f>IFERROR(AVERAGE(Tabel1[[#This Row],[In - V3a]:[In - V3b]]),"")</f>
        <v>3.5</v>
      </c>
      <c r="DJ190" s="14">
        <v>4</v>
      </c>
      <c r="DK190" s="14">
        <f>IFERROR(AVERAGE(Tabel1[[#This Row],[In - V1]],Tabel1[[#This Row],[In - V2]],Tabel1[[#This Row],[In - V3]],Tabel1[[#This Row],[In - V4]]),"")</f>
        <v>3.291666666666667</v>
      </c>
      <c r="DL190" s="14">
        <v>4</v>
      </c>
      <c r="DM190" s="14">
        <v>3</v>
      </c>
      <c r="DN190" s="14">
        <f>IFERROR(AVERAGE(Tabel1[[#This Row],[In - A1a]:[In - A1b]]),"")</f>
        <v>3.5</v>
      </c>
      <c r="DO190" s="14" t="s">
        <v>189</v>
      </c>
      <c r="DP190" s="14">
        <v>4</v>
      </c>
      <c r="DQ190" s="14">
        <f>IFERROR(AVERAGE(Tabel1[[#This Row],[In - A2a]:[In - A2b]]),"")</f>
        <v>4</v>
      </c>
      <c r="DR190" s="14">
        <v>4</v>
      </c>
      <c r="DS190" s="14">
        <v>3</v>
      </c>
      <c r="DT190" s="14">
        <f>IFERROR(AVERAGE(Tabel1[[#This Row],[In - A3a]:[In - A3a]]),"")</f>
        <v>4</v>
      </c>
      <c r="DU190" s="14">
        <v>3</v>
      </c>
      <c r="DV190" s="14">
        <f>IFERROR(AVERAGE(Tabel1[[#This Row],[In - A1]],Tabel1[[#This Row],[In - A2]],Tabel1[[#This Row],[In - A3]],Tabel1[[#This Row],[In - A4]]),"")</f>
        <v>3.625</v>
      </c>
      <c r="DW190" s="14">
        <v>4</v>
      </c>
      <c r="DX190" s="14">
        <v>5</v>
      </c>
      <c r="DY190" s="14">
        <v>2</v>
      </c>
      <c r="DZ190" s="14">
        <f>IFERROR(AVERAGE(Tabel1[[#This Row],[Do - R1a]:[Do - R1c]]),"")</f>
        <v>3.6666666666666665</v>
      </c>
      <c r="EA190" s="14">
        <v>5</v>
      </c>
      <c r="EB190" s="14">
        <v>4</v>
      </c>
      <c r="EC190" s="14">
        <v>3</v>
      </c>
      <c r="ED190" s="14">
        <v>5</v>
      </c>
      <c r="EE190" s="14">
        <f>IFERROR(AVERAGE(Tabel1[[#This Row],[Do - R1]:[Do - R5]]),"")</f>
        <v>4.1333333333333329</v>
      </c>
      <c r="EF190" s="14">
        <v>5</v>
      </c>
      <c r="EG190" s="14">
        <v>5</v>
      </c>
      <c r="EH190" s="14">
        <v>4</v>
      </c>
      <c r="EI190" s="14">
        <f>IFERROR(AVERAGE(Tabel1[[#This Row],[Do - C1a]:[Do - C1c]]),"")</f>
        <v>4.666666666666667</v>
      </c>
      <c r="EJ190" s="14">
        <v>2</v>
      </c>
      <c r="EK190" s="14">
        <v>3</v>
      </c>
      <c r="EL190" s="14" t="s">
        <v>189</v>
      </c>
      <c r="EM190" s="14">
        <f>IFERROR(AVERAGE(Tabel1[[#This Row],[Do - C1]:[Do - C4]]),"")</f>
        <v>3.2222222222222228</v>
      </c>
      <c r="EN190" s="14" t="s">
        <v>189</v>
      </c>
      <c r="EO190" s="14">
        <v>2</v>
      </c>
      <c r="EP190" s="14">
        <v>3</v>
      </c>
      <c r="EQ190" s="14">
        <f>IFERROR(AVERAGE(Tabel1[[#This Row],[Do - F1a]:[Do - F1c]]),"")</f>
        <v>2.5</v>
      </c>
      <c r="ER190" s="14">
        <v>3</v>
      </c>
      <c r="ES190" s="14">
        <f>IFERROR(AVERAGE(Tabel1[[#This Row],[Do - F2a]:[Do - F2a]]),"")</f>
        <v>3</v>
      </c>
      <c r="ET190" s="14">
        <v>4</v>
      </c>
      <c r="EU190" s="14">
        <v>3</v>
      </c>
      <c r="EV190" s="14">
        <f>IFERROR(AVERAGE(Tabel1[[#This Row],[Do - F3a]:[Do - F3b]]),"")</f>
        <v>3.5</v>
      </c>
      <c r="EW190" s="14" t="s">
        <v>189</v>
      </c>
      <c r="EX190" s="14">
        <f>IFERROR(AVERAGE(Tabel1[[#This Row],[Do - F1]],Tabel1[[#This Row],[Do - F2]],Tabel1[[#This Row],[Do - F3]],Tabel1[[#This Row],[Do - F4]]),"")</f>
        <v>3</v>
      </c>
      <c r="EY190" s="14">
        <v>3</v>
      </c>
      <c r="EZ190" s="14">
        <v>2</v>
      </c>
      <c r="FA190" s="14">
        <v>2</v>
      </c>
      <c r="FB190" s="14">
        <f>IFERROR(AVERAGE(Tabel1[[#This Row],[Do - V1a]:[Do - V1c]]),"")</f>
        <v>2.3333333333333335</v>
      </c>
      <c r="FC190" s="14">
        <v>4</v>
      </c>
      <c r="FD190" s="14">
        <v>4</v>
      </c>
      <c r="FE190" s="14">
        <f>IFERROR(AVERAGE(Tabel1[[#This Row],[Do - V2a]:[Do - V2b]]),"")</f>
        <v>4</v>
      </c>
      <c r="FF190" s="14">
        <v>4</v>
      </c>
      <c r="FG190" s="14">
        <f>IFERROR(AVERAGE(Tabel1[[#This Row],[Do - V3a]:[Do - V3a]]),"")</f>
        <v>4</v>
      </c>
      <c r="FH190" s="14">
        <v>2</v>
      </c>
      <c r="FI190" s="14">
        <f>IFERROR(AVERAGE(Tabel1[[#This Row],[Do - V1]],Tabel1[[#This Row],[Do - V2]],Tabel1[[#This Row],[Do - V3]],Tabel1[[#This Row],[Do - V4]]),"")</f>
        <v>3.0833333333333335</v>
      </c>
      <c r="FJ190" s="14">
        <v>4</v>
      </c>
      <c r="FK190" s="14">
        <v>3</v>
      </c>
      <c r="FL190" s="14">
        <v>4</v>
      </c>
      <c r="FM190" s="14">
        <f>IFERROR(AVERAGE(Tabel1[[#This Row],[Do - A1a]:[Do - A1c]]),"")</f>
        <v>3.6666666666666665</v>
      </c>
      <c r="FN190" s="14">
        <v>2</v>
      </c>
      <c r="FO190" s="14">
        <v>3</v>
      </c>
      <c r="FP190" s="14">
        <f>IFERROR(AVERAGE(Tabel1[[#This Row],[Do - A2a]:[Do - A2b]]),"")</f>
        <v>2.5</v>
      </c>
      <c r="FQ190" s="14">
        <v>4</v>
      </c>
      <c r="FR190" s="14">
        <f>IFERROR(AVERAGE(Tabel1[[#This Row],[Do - A3a]:[Do - A3a]]),"")</f>
        <v>4</v>
      </c>
      <c r="FS190" s="14">
        <v>3</v>
      </c>
      <c r="FT190" s="14">
        <f>IFERROR(AVERAGE(Tabel1[[#This Row],[Do - A1]],Tabel1[[#This Row],[Do - A2]],Tabel1[[#This Row],[Do - A3]],Tabel1[[#This Row],[Do - A4]]),"")</f>
        <v>3.2916666666666665</v>
      </c>
      <c r="FU19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3.2774074074074075</v>
      </c>
      <c r="FV190" s="16" t="s">
        <v>1069</v>
      </c>
      <c r="FW190" t="b">
        <v>1</v>
      </c>
    </row>
    <row r="191" spans="1:179" x14ac:dyDescent="0.3">
      <c r="A191" s="13">
        <v>45239.235243055555</v>
      </c>
      <c r="B191" t="b">
        <v>0</v>
      </c>
      <c r="C191" s="14" t="s">
        <v>1070</v>
      </c>
      <c r="D191" s="14" t="s">
        <v>1071</v>
      </c>
      <c r="E191" s="14" t="s">
        <v>1072</v>
      </c>
      <c r="F191" s="14" t="s">
        <v>1073</v>
      </c>
      <c r="G191" s="21" t="s">
        <v>1074</v>
      </c>
      <c r="H191" s="14" t="s">
        <v>194</v>
      </c>
      <c r="I191" s="14" t="s">
        <v>195</v>
      </c>
      <c r="J191" s="14" t="s">
        <v>196</v>
      </c>
      <c r="K191" s="14" t="s">
        <v>187</v>
      </c>
      <c r="L191" s="14" t="s">
        <v>249</v>
      </c>
      <c r="M191" s="14" t="s">
        <v>198</v>
      </c>
      <c r="N191" s="14" t="s">
        <v>199</v>
      </c>
      <c r="O191" s="14" t="s">
        <v>256</v>
      </c>
      <c r="P191" s="17" t="s">
        <v>304</v>
      </c>
      <c r="Q191" s="14" t="s">
        <v>202</v>
      </c>
      <c r="R191" s="14" t="s">
        <v>187</v>
      </c>
      <c r="S191" s="14" t="s">
        <v>201</v>
      </c>
      <c r="T191" s="14" t="s">
        <v>284</v>
      </c>
      <c r="U191" s="14" t="s">
        <v>237</v>
      </c>
      <c r="V191" s="14" t="s">
        <v>224</v>
      </c>
      <c r="W191" s="14" t="s">
        <v>306</v>
      </c>
      <c r="X191" s="14" t="s">
        <v>207</v>
      </c>
      <c r="Y191" s="14">
        <v>4</v>
      </c>
      <c r="Z191" s="14">
        <v>4</v>
      </c>
      <c r="AA191" s="14" t="s">
        <v>189</v>
      </c>
      <c r="AB191" s="15">
        <f>IFERROR(AVERAGE(Tabel1[[#This Row],[Up - R1a]:[Up - R1c]]),"")</f>
        <v>4</v>
      </c>
      <c r="AC191" s="14" t="s">
        <v>189</v>
      </c>
      <c r="AD191" s="14">
        <v>4</v>
      </c>
      <c r="AE191" s="14" t="s">
        <v>189</v>
      </c>
      <c r="AF191" s="14">
        <v>3</v>
      </c>
      <c r="AG191" s="14">
        <f>IFERROR(AVERAGE(Tabel1[[#This Row],[Up - R1]:[Up - R5]]),"")</f>
        <v>3.6666666666666665</v>
      </c>
      <c r="AH191" s="14">
        <v>4</v>
      </c>
      <c r="AI191" s="14">
        <v>4</v>
      </c>
      <c r="AJ191" s="14">
        <v>3</v>
      </c>
      <c r="AK191" s="14">
        <f>IFERROR(AVERAGE(Tabel1[[#This Row],[Up - C1a]:[Up - C1c]]),"")</f>
        <v>3.6666666666666665</v>
      </c>
      <c r="AL191" s="14">
        <v>2</v>
      </c>
      <c r="AM191" s="14">
        <v>2</v>
      </c>
      <c r="AN191" s="14">
        <v>4</v>
      </c>
      <c r="AO191" s="14">
        <f>IFERROR(AVERAGE(Tabel1[[#This Row],[Up - C1]:[Up - C4]]),"")</f>
        <v>2.9166666666666665</v>
      </c>
      <c r="AP191" s="14">
        <v>4</v>
      </c>
      <c r="AQ191" s="14">
        <f>IFERROR(AVERAGE(Tabel1[[#This Row],[Up - F1a]:[Up - F1a]]),"")</f>
        <v>4</v>
      </c>
      <c r="AR191" s="14">
        <v>2</v>
      </c>
      <c r="AS191" s="14">
        <v>3</v>
      </c>
      <c r="AT191" s="14">
        <f>IFERROR(AVERAGE(Tabel1[[#This Row],[Up - F2a]:[Up - F2b]]),"")</f>
        <v>2.5</v>
      </c>
      <c r="AU191" s="14">
        <v>4</v>
      </c>
      <c r="AV191" s="14">
        <v>3</v>
      </c>
      <c r="AW191" s="14">
        <f>IFERROR(AVERAGE(Tabel1[[#This Row],[Up - F3a]:[Up - F3b]]),"")</f>
        <v>3.5</v>
      </c>
      <c r="AX191" s="14">
        <v>1</v>
      </c>
      <c r="AY191" s="14">
        <f>IFERROR(AVERAGE(Tabel1[[#This Row],[Up - F1]],Tabel1[[#This Row],[Up - F2]],Tabel1[[#This Row],[Up - F3]],Tabel1[[#This Row],[Up - F4]]),"")</f>
        <v>2.75</v>
      </c>
      <c r="AZ191" s="14">
        <v>2</v>
      </c>
      <c r="BA191" s="14">
        <v>2</v>
      </c>
      <c r="BB191" s="14">
        <f>IFERROR(AVERAGE(Tabel1[[#This Row],[Up - V1a]:[Up - V1b]]),"")</f>
        <v>2</v>
      </c>
      <c r="BC191" s="14">
        <v>4</v>
      </c>
      <c r="BD191" s="14">
        <v>3</v>
      </c>
      <c r="BE191" s="14">
        <v>5</v>
      </c>
      <c r="BF191" s="14">
        <f>IFERROR(AVERAGE(Tabel1[[#This Row],[Up - V2a]:[Up - V2c]]),"")</f>
        <v>4</v>
      </c>
      <c r="BG191" s="14">
        <v>4</v>
      </c>
      <c r="BH191" s="14">
        <v>5</v>
      </c>
      <c r="BI191" s="14">
        <f>IFERROR(AVERAGE(Tabel1[[#This Row],[Up - V3a]:[Up - V3b]]),"")</f>
        <v>4.5</v>
      </c>
      <c r="BJ191" s="14">
        <v>4</v>
      </c>
      <c r="BK191" s="14">
        <f>IFERROR(AVERAGE(Tabel1[[#This Row],[Up - V1]],Tabel1[[#This Row],[Up - V2]],Tabel1[[#This Row],[Up - V3]],Tabel1[[#This Row],[Up - V4]]),"")</f>
        <v>3.625</v>
      </c>
      <c r="BL191" s="14">
        <v>4</v>
      </c>
      <c r="BM191" s="14">
        <v>4</v>
      </c>
      <c r="BN191" s="14">
        <v>3</v>
      </c>
      <c r="BO191" s="14">
        <v>2</v>
      </c>
      <c r="BP191" s="14">
        <f>IFERROR(AVERAGE(Tabel1[[#This Row],[Up - A1a]:[Up - A1d]]),"")</f>
        <v>3.25</v>
      </c>
      <c r="BQ191" s="14">
        <v>2</v>
      </c>
      <c r="BR191" s="14">
        <v>5</v>
      </c>
      <c r="BS191" s="14">
        <f>IFERROR(AVERAGE(Tabel1[[#This Row],[Up - A2a]:[Up - A2b]]),"")</f>
        <v>3.5</v>
      </c>
      <c r="BT191" s="14">
        <v>4</v>
      </c>
      <c r="BU191" s="14">
        <f>IFERROR(AVERAGE(Tabel1[[#This Row],[Up - A3a]:[Up - A3a]]),"")</f>
        <v>4</v>
      </c>
      <c r="BV191" s="14">
        <v>4</v>
      </c>
      <c r="BW191" s="14">
        <f>IFERROR(AVERAGE(Tabel1[[#This Row],[Up - A1]],Tabel1[[#This Row],[Up - A2]],Tabel1[[#This Row],[Up - A3]]),"")</f>
        <v>3.5833333333333335</v>
      </c>
      <c r="BX191" s="14">
        <v>5</v>
      </c>
      <c r="BY191" s="14">
        <v>5</v>
      </c>
      <c r="BZ191" s="14">
        <f>IFERROR(AVERAGE(Tabel1[[#This Row],[In - R1a]:[In - R1b]]),"")</f>
        <v>5</v>
      </c>
      <c r="CA191" s="14">
        <v>3</v>
      </c>
      <c r="CB191" s="14">
        <v>5</v>
      </c>
      <c r="CC191" s="14">
        <v>3</v>
      </c>
      <c r="CD191" s="14">
        <v>3</v>
      </c>
      <c r="CE191" s="14">
        <f>IFERROR(AVERAGE(Tabel1[[#This Row],[In - R1]:[In - R5]]),"")</f>
        <v>3.8</v>
      </c>
      <c r="CF191" s="14">
        <v>4</v>
      </c>
      <c r="CG191" s="14">
        <v>4</v>
      </c>
      <c r="CH191" s="14">
        <v>5</v>
      </c>
      <c r="CI191" s="14">
        <f>IFERROR(AVERAGE(Tabel1[[#This Row],[In - C1a]:[In - C1c]]),"")</f>
        <v>4.333333333333333</v>
      </c>
      <c r="CJ191" s="14">
        <v>4</v>
      </c>
      <c r="CK191" s="14">
        <v>4</v>
      </c>
      <c r="CL191" s="14">
        <v>4</v>
      </c>
      <c r="CM191" s="14">
        <f>IFERROR(AVERAGE(Tabel1[[#This Row],[In - C1]:[In - C4]]),"")</f>
        <v>4.083333333333333</v>
      </c>
      <c r="CN191" s="14">
        <v>5</v>
      </c>
      <c r="CO191" s="14">
        <v>3</v>
      </c>
      <c r="CP191" s="14">
        <v>3</v>
      </c>
      <c r="CQ191" s="14">
        <f>IFERROR(AVERAGE(Tabel1[[#This Row],[In - F1a]:[In - F1c]]),"")</f>
        <v>3.6666666666666665</v>
      </c>
      <c r="CR191" s="14">
        <v>3</v>
      </c>
      <c r="CS191" s="14">
        <v>1</v>
      </c>
      <c r="CT191" s="14">
        <f>IFERROR(AVERAGE(Tabel1[[#This Row],[In - F2a]:[In - F2b]]),"")</f>
        <v>2</v>
      </c>
      <c r="CU191" s="14">
        <v>3</v>
      </c>
      <c r="CV191" s="14">
        <f>IFERROR(AVERAGE(Tabel1[[#This Row],[In - F3a]:[In - F3a]]),"")</f>
        <v>3</v>
      </c>
      <c r="CW191" s="14">
        <v>2</v>
      </c>
      <c r="CX191" s="14">
        <f>IFERROR(AVERAGE(Tabel1[[#This Row],[In - F1]],Tabel1[[#This Row],[In - F2]],Tabel1[[#This Row],[In - F3]],Tabel1[[#This Row],[In - F4]]),"")</f>
        <v>2.6666666666666665</v>
      </c>
      <c r="CY191" s="14">
        <v>4</v>
      </c>
      <c r="CZ191" s="14">
        <v>4</v>
      </c>
      <c r="DA191" s="14">
        <v>4</v>
      </c>
      <c r="DB191" s="14">
        <f>IFERROR(AVERAGE(Tabel1[[#This Row],[In - V1a]:[In - V1c]]),"")</f>
        <v>4</v>
      </c>
      <c r="DC191" s="14">
        <v>5</v>
      </c>
      <c r="DD191" s="14">
        <v>4</v>
      </c>
      <c r="DE191" s="14">
        <v>4</v>
      </c>
      <c r="DF191" s="14">
        <f>IFERROR(AVERAGE(Tabel1[[#This Row],[In - V2a]:[In - V2c]]),"")</f>
        <v>4.333333333333333</v>
      </c>
      <c r="DG191" s="14">
        <v>4</v>
      </c>
      <c r="DH191" s="14">
        <v>4</v>
      </c>
      <c r="DI191" s="14">
        <f>IFERROR(AVERAGE(Tabel1[[#This Row],[In - V3a]:[In - V3b]]),"")</f>
        <v>4</v>
      </c>
      <c r="DJ191" s="14">
        <v>4</v>
      </c>
      <c r="DK191" s="14">
        <f>IFERROR(AVERAGE(Tabel1[[#This Row],[In - V1]],Tabel1[[#This Row],[In - V2]],Tabel1[[#This Row],[In - V3]],Tabel1[[#This Row],[In - V4]]),"")</f>
        <v>4.083333333333333</v>
      </c>
      <c r="DL191" s="14">
        <v>3</v>
      </c>
      <c r="DM191" s="14">
        <v>5</v>
      </c>
      <c r="DN191" s="14">
        <f>IFERROR(AVERAGE(Tabel1[[#This Row],[In - A1a]:[In - A1b]]),"")</f>
        <v>4</v>
      </c>
      <c r="DO191" s="14">
        <v>3</v>
      </c>
      <c r="DP191" s="14">
        <v>4</v>
      </c>
      <c r="DQ191" s="14">
        <f>IFERROR(AVERAGE(Tabel1[[#This Row],[In - A2a]:[In - A2b]]),"")</f>
        <v>3.5</v>
      </c>
      <c r="DR191" s="14">
        <v>4</v>
      </c>
      <c r="DS191" s="14">
        <v>3</v>
      </c>
      <c r="DT191" s="14">
        <f>IFERROR(AVERAGE(Tabel1[[#This Row],[In - A3a]:[In - A3a]]),"")</f>
        <v>4</v>
      </c>
      <c r="DU191" s="14">
        <v>4</v>
      </c>
      <c r="DV191" s="14">
        <f>IFERROR(AVERAGE(Tabel1[[#This Row],[In - A1]],Tabel1[[#This Row],[In - A2]],Tabel1[[#This Row],[In - A3]],Tabel1[[#This Row],[In - A4]]),"")</f>
        <v>3.875</v>
      </c>
      <c r="DW191" s="14">
        <v>3</v>
      </c>
      <c r="DX191" s="14">
        <v>4</v>
      </c>
      <c r="DY191" s="14">
        <v>3</v>
      </c>
      <c r="DZ191" s="14">
        <f>IFERROR(AVERAGE(Tabel1[[#This Row],[Do - R1a]:[Do - R1c]]),"")</f>
        <v>3.3333333333333335</v>
      </c>
      <c r="EA191" s="14">
        <v>3</v>
      </c>
      <c r="EB191" s="14">
        <v>4</v>
      </c>
      <c r="EC191" s="14">
        <v>3</v>
      </c>
      <c r="ED191" s="14">
        <v>3</v>
      </c>
      <c r="EE191" s="14">
        <f>IFERROR(AVERAGE(Tabel1[[#This Row],[Do - R1]:[Do - R5]]),"")</f>
        <v>3.2666666666666671</v>
      </c>
      <c r="EF191" s="14">
        <v>3</v>
      </c>
      <c r="EG191" s="14">
        <v>3</v>
      </c>
      <c r="EH191" s="14">
        <v>3</v>
      </c>
      <c r="EI191" s="14">
        <f>IFERROR(AVERAGE(Tabel1[[#This Row],[Do - C1a]:[Do - C1c]]),"")</f>
        <v>3</v>
      </c>
      <c r="EJ191" s="14">
        <v>4</v>
      </c>
      <c r="EK191" s="14">
        <v>3</v>
      </c>
      <c r="EL191" s="14">
        <v>3</v>
      </c>
      <c r="EM191" s="14">
        <f>IFERROR(AVERAGE(Tabel1[[#This Row],[Do - C1]:[Do - C4]]),"")</f>
        <v>3.25</v>
      </c>
      <c r="EN191" s="14">
        <v>3</v>
      </c>
      <c r="EO191" s="14">
        <v>3</v>
      </c>
      <c r="EP191" s="14">
        <v>3</v>
      </c>
      <c r="EQ191" s="14">
        <f>IFERROR(AVERAGE(Tabel1[[#This Row],[Do - F1a]:[Do - F1c]]),"")</f>
        <v>3</v>
      </c>
      <c r="ER191" s="14">
        <v>4</v>
      </c>
      <c r="ES191" s="14">
        <f>IFERROR(AVERAGE(Tabel1[[#This Row],[Do - F2a]:[Do - F2a]]),"")</f>
        <v>4</v>
      </c>
      <c r="ET191" s="14">
        <v>5</v>
      </c>
      <c r="EU191" s="14">
        <v>4</v>
      </c>
      <c r="EV191" s="14">
        <f>IFERROR(AVERAGE(Tabel1[[#This Row],[Do - F3a]:[Do - F3b]]),"")</f>
        <v>4.5</v>
      </c>
      <c r="EW191" s="14">
        <v>2</v>
      </c>
      <c r="EX191" s="14">
        <f>IFERROR(AVERAGE(Tabel1[[#This Row],[Do - F1]],Tabel1[[#This Row],[Do - F2]],Tabel1[[#This Row],[Do - F3]],Tabel1[[#This Row],[Do - F4]]),"")</f>
        <v>3.375</v>
      </c>
      <c r="EY191" s="14">
        <v>4</v>
      </c>
      <c r="EZ191" s="14">
        <v>3</v>
      </c>
      <c r="FA191" s="14">
        <v>4</v>
      </c>
      <c r="FB191" s="14">
        <f>IFERROR(AVERAGE(Tabel1[[#This Row],[Do - V1a]:[Do - V1c]]),"")</f>
        <v>3.6666666666666665</v>
      </c>
      <c r="FC191" s="14">
        <v>3</v>
      </c>
      <c r="FD191" s="14">
        <v>3</v>
      </c>
      <c r="FE191" s="14">
        <f>IFERROR(AVERAGE(Tabel1[[#This Row],[Do - V2a]:[Do - V2b]]),"")</f>
        <v>3</v>
      </c>
      <c r="FF191" s="14">
        <v>3</v>
      </c>
      <c r="FG191" s="14">
        <f>IFERROR(AVERAGE(Tabel1[[#This Row],[Do - V3a]:[Do - V3a]]),"")</f>
        <v>3</v>
      </c>
      <c r="FH191" s="14">
        <v>3</v>
      </c>
      <c r="FI191" s="14">
        <f>IFERROR(AVERAGE(Tabel1[[#This Row],[Do - V1]],Tabel1[[#This Row],[Do - V2]],Tabel1[[#This Row],[Do - V3]],Tabel1[[#This Row],[Do - V4]]),"")</f>
        <v>3.1666666666666665</v>
      </c>
      <c r="FJ191" s="14">
        <v>4</v>
      </c>
      <c r="FK191" s="14">
        <v>3</v>
      </c>
      <c r="FL191" s="14">
        <v>3</v>
      </c>
      <c r="FM191" s="14">
        <f>IFERROR(AVERAGE(Tabel1[[#This Row],[Do - A1a]:[Do - A1c]]),"")</f>
        <v>3.3333333333333335</v>
      </c>
      <c r="FN191" s="14">
        <v>5</v>
      </c>
      <c r="FO191" s="14">
        <v>4</v>
      </c>
      <c r="FP191" s="14">
        <f>IFERROR(AVERAGE(Tabel1[[#This Row],[Do - A2a]:[Do - A2b]]),"")</f>
        <v>4.5</v>
      </c>
      <c r="FQ191" s="14">
        <v>4</v>
      </c>
      <c r="FR191" s="14">
        <f>IFERROR(AVERAGE(Tabel1[[#This Row],[Do - A3a]:[Do - A3a]]),"")</f>
        <v>4</v>
      </c>
      <c r="FS191" s="14">
        <v>4</v>
      </c>
      <c r="FT191" s="14">
        <f>IFERROR(AVERAGE(Tabel1[[#This Row],[Do - A1]],Tabel1[[#This Row],[Do - A2]],Tabel1[[#This Row],[Do - A3]],Tabel1[[#This Row],[Do - A4]]),"")</f>
        <v>3.9583333333333335</v>
      </c>
      <c r="FU19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3.471111111111111</v>
      </c>
      <c r="FV191" s="16" t="s">
        <v>1075</v>
      </c>
      <c r="FW191" t="b">
        <v>1</v>
      </c>
    </row>
    <row r="192" spans="1:179" x14ac:dyDescent="0.3">
      <c r="A192" s="13">
        <v>45239.521921296298</v>
      </c>
      <c r="B192" t="b">
        <v>0</v>
      </c>
      <c r="C192" s="14" t="s">
        <v>1076</v>
      </c>
      <c r="D192" s="14" t="s">
        <v>1077</v>
      </c>
      <c r="E192" s="14" t="s">
        <v>1078</v>
      </c>
      <c r="F192" s="14" t="s">
        <v>1079</v>
      </c>
      <c r="G192" s="14" t="s">
        <v>1080</v>
      </c>
      <c r="H192" s="14" t="s">
        <v>194</v>
      </c>
      <c r="I192" s="14" t="s">
        <v>195</v>
      </c>
      <c r="J192" s="14" t="s">
        <v>196</v>
      </c>
      <c r="K192" s="14" t="s">
        <v>201</v>
      </c>
      <c r="L192" s="14" t="s">
        <v>249</v>
      </c>
      <c r="M192" s="14" t="s">
        <v>198</v>
      </c>
      <c r="N192" s="14" t="s">
        <v>262</v>
      </c>
      <c r="O192" s="14" t="s">
        <v>200</v>
      </c>
      <c r="P192" s="17" t="s">
        <v>304</v>
      </c>
      <c r="Q192" s="14" t="s">
        <v>201</v>
      </c>
      <c r="R192" s="17" t="s">
        <v>304</v>
      </c>
      <c r="S192" s="14" t="s">
        <v>201</v>
      </c>
      <c r="T192" s="14" t="s">
        <v>204</v>
      </c>
      <c r="U192" s="14" t="s">
        <v>285</v>
      </c>
      <c r="V192" s="14" t="s">
        <v>224</v>
      </c>
      <c r="W192" s="14" t="s">
        <v>207</v>
      </c>
      <c r="X192" s="14" t="s">
        <v>207</v>
      </c>
      <c r="Y192" s="14">
        <v>3</v>
      </c>
      <c r="Z192" s="14">
        <v>5</v>
      </c>
      <c r="AA192" s="14">
        <v>3</v>
      </c>
      <c r="AB192" s="15">
        <f>IFERROR(AVERAGE(Tabel1[[#This Row],[Up - R1a]:[Up - R1c]]),"")</f>
        <v>3.6666666666666665</v>
      </c>
      <c r="AC192" s="14">
        <v>4</v>
      </c>
      <c r="AD192" s="14">
        <v>4</v>
      </c>
      <c r="AE192" s="14">
        <v>4</v>
      </c>
      <c r="AF192" s="14">
        <v>3</v>
      </c>
      <c r="AG192" s="14">
        <f>IFERROR(AVERAGE(Tabel1[[#This Row],[Up - R1]:[Up - R5]]),"")</f>
        <v>3.7333333333333329</v>
      </c>
      <c r="AH192" s="14">
        <v>5</v>
      </c>
      <c r="AI192" s="14">
        <v>4</v>
      </c>
      <c r="AJ192" s="14">
        <v>4</v>
      </c>
      <c r="AK192" s="14">
        <f>IFERROR(AVERAGE(Tabel1[[#This Row],[Up - C1a]:[Up - C1c]]),"")</f>
        <v>4.333333333333333</v>
      </c>
      <c r="AL192" s="14">
        <v>3</v>
      </c>
      <c r="AM192" s="14">
        <v>2</v>
      </c>
      <c r="AN192" s="14">
        <v>3</v>
      </c>
      <c r="AO192" s="14">
        <f>IFERROR(AVERAGE(Tabel1[[#This Row],[Up - C1]:[Up - C4]]),"")</f>
        <v>3.083333333333333</v>
      </c>
      <c r="AP192" s="14">
        <v>3</v>
      </c>
      <c r="AQ192" s="14">
        <f>IFERROR(AVERAGE(Tabel1[[#This Row],[Up - F1a]:[Up - F1a]]),"")</f>
        <v>3</v>
      </c>
      <c r="AR192" s="14">
        <v>4</v>
      </c>
      <c r="AS192" s="14">
        <v>4</v>
      </c>
      <c r="AT192" s="14">
        <f>IFERROR(AVERAGE(Tabel1[[#This Row],[Up - F2a]:[Up - F2b]]),"")</f>
        <v>4</v>
      </c>
      <c r="AU192" s="14">
        <v>4</v>
      </c>
      <c r="AV192" s="14">
        <v>1</v>
      </c>
      <c r="AW192" s="14">
        <f>IFERROR(AVERAGE(Tabel1[[#This Row],[Up - F3a]:[Up - F3b]]),"")</f>
        <v>2.5</v>
      </c>
      <c r="AX192" s="14">
        <v>2</v>
      </c>
      <c r="AY192" s="14">
        <f>IFERROR(AVERAGE(Tabel1[[#This Row],[Up - F1]],Tabel1[[#This Row],[Up - F2]],Tabel1[[#This Row],[Up - F3]],Tabel1[[#This Row],[Up - F4]]),"")</f>
        <v>2.875</v>
      </c>
      <c r="AZ192" s="14">
        <v>1</v>
      </c>
      <c r="BA192" s="14">
        <v>2</v>
      </c>
      <c r="BB192" s="14">
        <f>IFERROR(AVERAGE(Tabel1[[#This Row],[Up - V1a]:[Up - V1b]]),"")</f>
        <v>1.5</v>
      </c>
      <c r="BC192" s="14">
        <v>4</v>
      </c>
      <c r="BD192" s="14">
        <v>4</v>
      </c>
      <c r="BE192" s="14" t="s">
        <v>189</v>
      </c>
      <c r="BF192" s="14">
        <f>IFERROR(AVERAGE(Tabel1[[#This Row],[Up - V2a]:[Up - V2c]]),"")</f>
        <v>4</v>
      </c>
      <c r="BG192" s="14">
        <v>3</v>
      </c>
      <c r="BH192" s="14" t="s">
        <v>189</v>
      </c>
      <c r="BI192" s="14">
        <f>IFERROR(AVERAGE(Tabel1[[#This Row],[Up - V3a]:[Up - V3b]]),"")</f>
        <v>3</v>
      </c>
      <c r="BJ192" s="14" t="s">
        <v>189</v>
      </c>
      <c r="BK192" s="14">
        <f>IFERROR(AVERAGE(Tabel1[[#This Row],[Up - V1]],Tabel1[[#This Row],[Up - V2]],Tabel1[[#This Row],[Up - V3]],Tabel1[[#This Row],[Up - V4]]),"")</f>
        <v>2.8333333333333335</v>
      </c>
      <c r="BL192" s="14">
        <v>5</v>
      </c>
      <c r="BM192" s="14">
        <v>4</v>
      </c>
      <c r="BN192" s="14">
        <v>3</v>
      </c>
      <c r="BO192" s="14">
        <v>3</v>
      </c>
      <c r="BP192" s="14">
        <f>IFERROR(AVERAGE(Tabel1[[#This Row],[Up - A1a]:[Up - A1d]]),"")</f>
        <v>3.75</v>
      </c>
      <c r="BQ192" s="14">
        <v>3</v>
      </c>
      <c r="BR192" s="14">
        <v>3</v>
      </c>
      <c r="BS192" s="14">
        <f>IFERROR(AVERAGE(Tabel1[[#This Row],[Up - A2a]:[Up - A2b]]),"")</f>
        <v>3</v>
      </c>
      <c r="BT192" s="14">
        <v>4</v>
      </c>
      <c r="BU192" s="14">
        <f>IFERROR(AVERAGE(Tabel1[[#This Row],[Up - A3a]:[Up - A3a]]),"")</f>
        <v>4</v>
      </c>
      <c r="BV192" s="14" t="s">
        <v>189</v>
      </c>
      <c r="BW192" s="14">
        <f>IFERROR(AVERAGE(Tabel1[[#This Row],[Up - A1]],Tabel1[[#This Row],[Up - A2]],Tabel1[[#This Row],[Up - A3]]),"")</f>
        <v>3.5833333333333335</v>
      </c>
      <c r="BX192" s="14">
        <v>4</v>
      </c>
      <c r="BY192" s="14">
        <v>5</v>
      </c>
      <c r="BZ192" s="14">
        <f>IFERROR(AVERAGE(Tabel1[[#This Row],[In - R1a]:[In - R1b]]),"")</f>
        <v>4.5</v>
      </c>
      <c r="CA192" s="14">
        <v>4</v>
      </c>
      <c r="CB192" s="14">
        <v>4</v>
      </c>
      <c r="CC192" s="14">
        <v>3</v>
      </c>
      <c r="CD192" s="14">
        <v>4</v>
      </c>
      <c r="CE192" s="14">
        <f>IFERROR(AVERAGE(Tabel1[[#This Row],[In - R1]:[In - R5]]),"")</f>
        <v>3.9</v>
      </c>
      <c r="CF192" s="14">
        <v>4</v>
      </c>
      <c r="CG192" s="14">
        <v>4</v>
      </c>
      <c r="CH192" s="14">
        <v>5</v>
      </c>
      <c r="CI192" s="14">
        <f>IFERROR(AVERAGE(Tabel1[[#This Row],[In - C1a]:[In - C1c]]),"")</f>
        <v>4.333333333333333</v>
      </c>
      <c r="CJ192" s="14">
        <v>4</v>
      </c>
      <c r="CK192" s="14">
        <v>3</v>
      </c>
      <c r="CL192" s="14">
        <v>5</v>
      </c>
      <c r="CM192" s="14">
        <f>IFERROR(AVERAGE(Tabel1[[#This Row],[In - C1]:[In - C4]]),"")</f>
        <v>4.083333333333333</v>
      </c>
      <c r="CN192" s="14">
        <v>4</v>
      </c>
      <c r="CO192" s="14">
        <v>4</v>
      </c>
      <c r="CP192" s="14">
        <v>4</v>
      </c>
      <c r="CQ192" s="14">
        <f>IFERROR(AVERAGE(Tabel1[[#This Row],[In - F1a]:[In - F1c]]),"")</f>
        <v>4</v>
      </c>
      <c r="CR192" s="14">
        <v>3</v>
      </c>
      <c r="CS192" s="14">
        <v>4</v>
      </c>
      <c r="CT192" s="14">
        <f>IFERROR(AVERAGE(Tabel1[[#This Row],[In - F2a]:[In - F2b]]),"")</f>
        <v>3.5</v>
      </c>
      <c r="CU192" s="14">
        <v>3</v>
      </c>
      <c r="CV192" s="14">
        <f>IFERROR(AVERAGE(Tabel1[[#This Row],[In - F3a]:[In - F3a]]),"")</f>
        <v>3</v>
      </c>
      <c r="CW192" s="14">
        <v>4</v>
      </c>
      <c r="CX192" s="14">
        <f>IFERROR(AVERAGE(Tabel1[[#This Row],[In - F1]],Tabel1[[#This Row],[In - F2]],Tabel1[[#This Row],[In - F3]],Tabel1[[#This Row],[In - F4]]),"")</f>
        <v>3.625</v>
      </c>
      <c r="CY192" s="14">
        <v>5</v>
      </c>
      <c r="CZ192" s="14">
        <v>4</v>
      </c>
      <c r="DA192" s="14">
        <v>4</v>
      </c>
      <c r="DB192" s="14">
        <f>IFERROR(AVERAGE(Tabel1[[#This Row],[In - V1a]:[In - V1c]]),"")</f>
        <v>4.333333333333333</v>
      </c>
      <c r="DC192" s="14">
        <v>3</v>
      </c>
      <c r="DD192" s="14">
        <v>4</v>
      </c>
      <c r="DE192" s="14">
        <v>5</v>
      </c>
      <c r="DF192" s="14">
        <f>IFERROR(AVERAGE(Tabel1[[#This Row],[In - V2a]:[In - V2c]]),"")</f>
        <v>4</v>
      </c>
      <c r="DG192" s="14">
        <v>3</v>
      </c>
      <c r="DH192" s="14">
        <v>2</v>
      </c>
      <c r="DI192" s="14">
        <f>IFERROR(AVERAGE(Tabel1[[#This Row],[In - V3a]:[In - V3b]]),"")</f>
        <v>2.5</v>
      </c>
      <c r="DJ192" s="14" t="s">
        <v>189</v>
      </c>
      <c r="DK192" s="14">
        <f>IFERROR(AVERAGE(Tabel1[[#This Row],[In - V1]],Tabel1[[#This Row],[In - V2]],Tabel1[[#This Row],[In - V3]],Tabel1[[#This Row],[In - V4]]),"")</f>
        <v>3.6111111111111107</v>
      </c>
      <c r="DL192" s="14">
        <v>4</v>
      </c>
      <c r="DM192" s="14">
        <v>4</v>
      </c>
      <c r="DN192" s="14">
        <f>IFERROR(AVERAGE(Tabel1[[#This Row],[In - A1a]:[In - A1b]]),"")</f>
        <v>4</v>
      </c>
      <c r="DO192" s="14">
        <v>5</v>
      </c>
      <c r="DP192" s="14">
        <v>5</v>
      </c>
      <c r="DQ192" s="14">
        <f>IFERROR(AVERAGE(Tabel1[[#This Row],[In - A2a]:[In - A2b]]),"")</f>
        <v>5</v>
      </c>
      <c r="DR192" s="14">
        <v>5</v>
      </c>
      <c r="DS192" s="14">
        <v>4</v>
      </c>
      <c r="DT192" s="14">
        <f>IFERROR(AVERAGE(Tabel1[[#This Row],[In - A3a]:[In - A3a]]),"")</f>
        <v>5</v>
      </c>
      <c r="DU192" s="14" t="s">
        <v>189</v>
      </c>
      <c r="DV192" s="14">
        <f>IFERROR(AVERAGE(Tabel1[[#This Row],[In - A1]],Tabel1[[#This Row],[In - A2]],Tabel1[[#This Row],[In - A3]],Tabel1[[#This Row],[In - A4]]),"")</f>
        <v>4.666666666666667</v>
      </c>
      <c r="DW192" s="14">
        <v>3</v>
      </c>
      <c r="DX192" s="14">
        <v>5</v>
      </c>
      <c r="DY192" s="14">
        <v>4</v>
      </c>
      <c r="DZ192" s="14">
        <f>IFERROR(AVERAGE(Tabel1[[#This Row],[Do - R1a]:[Do - R1c]]),"")</f>
        <v>4</v>
      </c>
      <c r="EA192" s="14">
        <v>2</v>
      </c>
      <c r="EB192" s="14">
        <v>3</v>
      </c>
      <c r="EC192" s="14" t="s">
        <v>189</v>
      </c>
      <c r="ED192" s="14" t="s">
        <v>189</v>
      </c>
      <c r="EE192" s="14">
        <f>IFERROR(AVERAGE(Tabel1[[#This Row],[Do - R1]:[Do - R5]]),"")</f>
        <v>3</v>
      </c>
      <c r="EF192" s="14">
        <v>3</v>
      </c>
      <c r="EG192" s="14">
        <v>3</v>
      </c>
      <c r="EH192" s="14">
        <v>5</v>
      </c>
      <c r="EI192" s="14">
        <f>IFERROR(AVERAGE(Tabel1[[#This Row],[Do - C1a]:[Do - C1c]]),"")</f>
        <v>3.6666666666666665</v>
      </c>
      <c r="EJ192" s="14">
        <v>1</v>
      </c>
      <c r="EK192" s="14">
        <v>3</v>
      </c>
      <c r="EL192" s="14">
        <v>3</v>
      </c>
      <c r="EM192" s="14">
        <f>IFERROR(AVERAGE(Tabel1[[#This Row],[Do - C1]:[Do - C4]]),"")</f>
        <v>2.6666666666666665</v>
      </c>
      <c r="EN192" s="14" t="s">
        <v>189</v>
      </c>
      <c r="EO192" s="14" t="s">
        <v>189</v>
      </c>
      <c r="EP192" s="14">
        <v>4</v>
      </c>
      <c r="EQ192" s="14">
        <f>IFERROR(AVERAGE(Tabel1[[#This Row],[Do - F1a]:[Do - F1c]]),"")</f>
        <v>4</v>
      </c>
      <c r="ER192" s="14">
        <v>3</v>
      </c>
      <c r="ES192" s="14">
        <f>IFERROR(AVERAGE(Tabel1[[#This Row],[Do - F2a]:[Do - F2a]]),"")</f>
        <v>3</v>
      </c>
      <c r="ET192" s="14">
        <v>2</v>
      </c>
      <c r="EU192" s="14">
        <v>5</v>
      </c>
      <c r="EV192" s="14">
        <f>IFERROR(AVERAGE(Tabel1[[#This Row],[Do - F3a]:[Do - F3b]]),"")</f>
        <v>3.5</v>
      </c>
      <c r="EW192" s="14">
        <v>4</v>
      </c>
      <c r="EX192" s="14">
        <f>IFERROR(AVERAGE(Tabel1[[#This Row],[Do - F1]],Tabel1[[#This Row],[Do - F2]],Tabel1[[#This Row],[Do - F3]],Tabel1[[#This Row],[Do - F4]]),"")</f>
        <v>3.625</v>
      </c>
      <c r="EY192" s="14">
        <v>3</v>
      </c>
      <c r="EZ192" s="14">
        <v>1</v>
      </c>
      <c r="FA192" s="14">
        <v>4</v>
      </c>
      <c r="FB192" s="14">
        <f>IFERROR(AVERAGE(Tabel1[[#This Row],[Do - V1a]:[Do - V1c]]),"")</f>
        <v>2.6666666666666665</v>
      </c>
      <c r="FC192" s="14">
        <v>4</v>
      </c>
      <c r="FD192" s="14">
        <v>3</v>
      </c>
      <c r="FE192" s="14">
        <f>IFERROR(AVERAGE(Tabel1[[#This Row],[Do - V2a]:[Do - V2b]]),"")</f>
        <v>3.5</v>
      </c>
      <c r="FF192" s="14">
        <v>4</v>
      </c>
      <c r="FG192" s="14">
        <f>IFERROR(AVERAGE(Tabel1[[#This Row],[Do - V3a]:[Do - V3a]]),"")</f>
        <v>4</v>
      </c>
      <c r="FH192" s="14" t="s">
        <v>189</v>
      </c>
      <c r="FI192" s="14">
        <f>IFERROR(AVERAGE(Tabel1[[#This Row],[Do - V1]],Tabel1[[#This Row],[Do - V2]],Tabel1[[#This Row],[Do - V3]],Tabel1[[#This Row],[Do - V4]]),"")</f>
        <v>3.3888888888888888</v>
      </c>
      <c r="FJ192" s="14">
        <v>5</v>
      </c>
      <c r="FK192" s="14">
        <v>4</v>
      </c>
      <c r="FL192" s="14">
        <v>5</v>
      </c>
      <c r="FM192" s="14">
        <f>IFERROR(AVERAGE(Tabel1[[#This Row],[Do - A1a]:[Do - A1c]]),"")</f>
        <v>4.666666666666667</v>
      </c>
      <c r="FN192" s="14">
        <v>4</v>
      </c>
      <c r="FO192" s="14">
        <v>4</v>
      </c>
      <c r="FP192" s="14">
        <f>IFERROR(AVERAGE(Tabel1[[#This Row],[Do - A2a]:[Do - A2b]]),"")</f>
        <v>4</v>
      </c>
      <c r="FQ192" s="14">
        <v>3</v>
      </c>
      <c r="FR192" s="14">
        <f>IFERROR(AVERAGE(Tabel1[[#This Row],[Do - A3a]:[Do - A3a]]),"")</f>
        <v>3</v>
      </c>
      <c r="FS192" s="14">
        <v>3</v>
      </c>
      <c r="FT192" s="14">
        <f>IFERROR(AVERAGE(Tabel1[[#This Row],[Do - A1]],Tabel1[[#This Row],[Do - A2]],Tabel1[[#This Row],[Do - A3]],Tabel1[[#This Row],[Do - A4]]),"")</f>
        <v>3.666666666666667</v>
      </c>
      <c r="FU19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3.4894444444444437</v>
      </c>
      <c r="FV192" s="16" t="s">
        <v>1081</v>
      </c>
      <c r="FW192" t="b">
        <v>1</v>
      </c>
    </row>
    <row r="193" spans="1:179" x14ac:dyDescent="0.3">
      <c r="A193" s="13">
        <v>45240.060995370368</v>
      </c>
      <c r="B193" t="b">
        <v>0</v>
      </c>
      <c r="C193" s="14" t="s">
        <v>1082</v>
      </c>
      <c r="D193" s="14" t="s">
        <v>864</v>
      </c>
      <c r="E193" s="14" t="s">
        <v>1083</v>
      </c>
      <c r="F193" s="14" t="s">
        <v>189</v>
      </c>
      <c r="G193" s="14" t="s">
        <v>1084</v>
      </c>
      <c r="H193" s="14" t="s">
        <v>194</v>
      </c>
      <c r="I193" s="14" t="s">
        <v>195</v>
      </c>
      <c r="J193" s="14" t="s">
        <v>196</v>
      </c>
      <c r="K193" s="14" t="s">
        <v>235</v>
      </c>
      <c r="L193" s="14" t="s">
        <v>197</v>
      </c>
      <c r="M193" s="14" t="s">
        <v>233</v>
      </c>
      <c r="N193" s="14" t="s">
        <v>199</v>
      </c>
      <c r="O193" s="14" t="s">
        <v>200</v>
      </c>
      <c r="P193" s="17" t="s">
        <v>255</v>
      </c>
      <c r="Q193" s="17" t="s">
        <v>255</v>
      </c>
      <c r="R193" s="14" t="s">
        <v>201</v>
      </c>
      <c r="S193" s="14" t="s">
        <v>201</v>
      </c>
      <c r="T193" s="14" t="s">
        <v>204</v>
      </c>
      <c r="U193" s="14" t="s">
        <v>205</v>
      </c>
      <c r="V193" s="14" t="s">
        <v>206</v>
      </c>
      <c r="W193" s="14" t="s">
        <v>207</v>
      </c>
      <c r="X193" s="14" t="s">
        <v>306</v>
      </c>
      <c r="Y193" s="14">
        <v>3</v>
      </c>
      <c r="Z193" s="14">
        <v>4</v>
      </c>
      <c r="AA193" s="14">
        <v>1</v>
      </c>
      <c r="AB193" s="15">
        <f>IFERROR(AVERAGE(Tabel1[[#This Row],[Up - R1a]:[Up - R1c]]),"")</f>
        <v>2.6666666666666665</v>
      </c>
      <c r="AC193" s="14">
        <v>4</v>
      </c>
      <c r="AD193" s="14">
        <v>4</v>
      </c>
      <c r="AE193" s="14">
        <v>3</v>
      </c>
      <c r="AF193" s="14">
        <v>4</v>
      </c>
      <c r="AG193" s="14">
        <f>IFERROR(AVERAGE(Tabel1[[#This Row],[Up - R1]:[Up - R5]]),"")</f>
        <v>3.5333333333333328</v>
      </c>
      <c r="AH193" s="14">
        <v>1</v>
      </c>
      <c r="AI193" s="14">
        <v>4</v>
      </c>
      <c r="AJ193" s="14">
        <v>3</v>
      </c>
      <c r="AK193" s="14">
        <f>IFERROR(AVERAGE(Tabel1[[#This Row],[Up - C1a]:[Up - C1c]]),"")</f>
        <v>2.6666666666666665</v>
      </c>
      <c r="AL193" s="14">
        <v>4</v>
      </c>
      <c r="AM193" s="14">
        <v>3</v>
      </c>
      <c r="AN193" s="14" t="s">
        <v>189</v>
      </c>
      <c r="AO193" s="14">
        <f>IFERROR(AVERAGE(Tabel1[[#This Row],[Up - C1]:[Up - C4]]),"")</f>
        <v>3.2222222222222219</v>
      </c>
      <c r="AP193" s="14">
        <v>3</v>
      </c>
      <c r="AQ193" s="14">
        <f>IFERROR(AVERAGE(Tabel1[[#This Row],[Up - F1a]:[Up - F1a]]),"")</f>
        <v>3</v>
      </c>
      <c r="AR193" s="14">
        <v>1</v>
      </c>
      <c r="AS193" s="14">
        <v>2</v>
      </c>
      <c r="AT193" s="14">
        <f>IFERROR(AVERAGE(Tabel1[[#This Row],[Up - F2a]:[Up - F2b]]),"")</f>
        <v>1.5</v>
      </c>
      <c r="AU193" s="14">
        <v>3</v>
      </c>
      <c r="AV193" s="14" t="s">
        <v>189</v>
      </c>
      <c r="AW193" s="14">
        <f>IFERROR(AVERAGE(Tabel1[[#This Row],[Up - F3a]:[Up - F3b]]),"")</f>
        <v>3</v>
      </c>
      <c r="AX193" s="14">
        <v>1</v>
      </c>
      <c r="AY193" s="14">
        <f>IFERROR(AVERAGE(Tabel1[[#This Row],[Up - F1]],Tabel1[[#This Row],[Up - F2]],Tabel1[[#This Row],[Up - F3]],Tabel1[[#This Row],[Up - F4]]),"")</f>
        <v>2.125</v>
      </c>
      <c r="AZ193" s="14">
        <v>4</v>
      </c>
      <c r="BA193" s="14">
        <v>2</v>
      </c>
      <c r="BB193" s="14">
        <f>IFERROR(AVERAGE(Tabel1[[#This Row],[Up - V1a]:[Up - V1b]]),"")</f>
        <v>3</v>
      </c>
      <c r="BC193" s="14">
        <v>2</v>
      </c>
      <c r="BD193" s="14">
        <v>3</v>
      </c>
      <c r="BE193" s="14">
        <v>3</v>
      </c>
      <c r="BF193" s="14">
        <f>IFERROR(AVERAGE(Tabel1[[#This Row],[Up - V2a]:[Up - V2c]]),"")</f>
        <v>2.6666666666666665</v>
      </c>
      <c r="BG193" s="14">
        <v>2</v>
      </c>
      <c r="BH193" s="14">
        <v>3</v>
      </c>
      <c r="BI193" s="14">
        <f>IFERROR(AVERAGE(Tabel1[[#This Row],[Up - V3a]:[Up - V3b]]),"")</f>
        <v>2.5</v>
      </c>
      <c r="BJ193" s="14">
        <v>2</v>
      </c>
      <c r="BK193" s="14">
        <f>IFERROR(AVERAGE(Tabel1[[#This Row],[Up - V1]],Tabel1[[#This Row],[Up - V2]],Tabel1[[#This Row],[Up - V3]],Tabel1[[#This Row],[Up - V4]]),"")</f>
        <v>2.5416666666666665</v>
      </c>
      <c r="BL193" s="14">
        <v>3</v>
      </c>
      <c r="BM193" s="14">
        <v>5</v>
      </c>
      <c r="BN193" s="14">
        <v>2</v>
      </c>
      <c r="BO193" s="14">
        <v>1</v>
      </c>
      <c r="BP193" s="14">
        <f>IFERROR(AVERAGE(Tabel1[[#This Row],[Up - A1a]:[Up - A1d]]),"")</f>
        <v>2.75</v>
      </c>
      <c r="BQ193" s="14">
        <v>1</v>
      </c>
      <c r="BR193" s="14">
        <v>2</v>
      </c>
      <c r="BS193" s="14">
        <f>IFERROR(AVERAGE(Tabel1[[#This Row],[Up - A2a]:[Up - A2b]]),"")</f>
        <v>1.5</v>
      </c>
      <c r="BT193" s="14">
        <v>3</v>
      </c>
      <c r="BU193" s="14">
        <f>IFERROR(AVERAGE(Tabel1[[#This Row],[Up - A3a]:[Up - A3a]]),"")</f>
        <v>3</v>
      </c>
      <c r="BV193" s="14">
        <v>3</v>
      </c>
      <c r="BW193" s="14">
        <f>IFERROR(AVERAGE(Tabel1[[#This Row],[Up - A1]],Tabel1[[#This Row],[Up - A2]],Tabel1[[#This Row],[Up - A3]]),"")</f>
        <v>2.4166666666666665</v>
      </c>
      <c r="BX193" s="14">
        <v>4</v>
      </c>
      <c r="BY193" s="14">
        <v>4</v>
      </c>
      <c r="BZ193" s="14">
        <f>IFERROR(AVERAGE(Tabel1[[#This Row],[In - R1a]:[In - R1b]]),"")</f>
        <v>4</v>
      </c>
      <c r="CA193" s="14">
        <v>4</v>
      </c>
      <c r="CB193" s="14">
        <v>4</v>
      </c>
      <c r="CC193" s="14">
        <v>2</v>
      </c>
      <c r="CD193" s="14">
        <v>2</v>
      </c>
      <c r="CE193" s="14">
        <f>IFERROR(AVERAGE(Tabel1[[#This Row],[In - R1]:[In - R5]]),"")</f>
        <v>3.2</v>
      </c>
      <c r="CF193" s="14">
        <v>4</v>
      </c>
      <c r="CG193" s="14">
        <v>3</v>
      </c>
      <c r="CH193" s="14">
        <v>3</v>
      </c>
      <c r="CI193" s="14">
        <f>IFERROR(AVERAGE(Tabel1[[#This Row],[In - C1a]:[In - C1c]]),"")</f>
        <v>3.3333333333333335</v>
      </c>
      <c r="CJ193" s="14">
        <v>3</v>
      </c>
      <c r="CK193" s="14">
        <v>3</v>
      </c>
      <c r="CL193" s="14">
        <v>4</v>
      </c>
      <c r="CM193" s="14">
        <f>IFERROR(AVERAGE(Tabel1[[#This Row],[In - C1]:[In - C4]]),"")</f>
        <v>3.3333333333333335</v>
      </c>
      <c r="CN193" s="14">
        <v>3</v>
      </c>
      <c r="CO193" s="14">
        <v>1</v>
      </c>
      <c r="CP193" s="14">
        <v>2</v>
      </c>
      <c r="CQ193" s="14">
        <f>IFERROR(AVERAGE(Tabel1[[#This Row],[In - F1a]:[In - F1c]]),"")</f>
        <v>2</v>
      </c>
      <c r="CR193" s="14">
        <v>3</v>
      </c>
      <c r="CS193" s="14">
        <v>2</v>
      </c>
      <c r="CT193" s="14">
        <f>IFERROR(AVERAGE(Tabel1[[#This Row],[In - F2a]:[In - F2b]]),"")</f>
        <v>2.5</v>
      </c>
      <c r="CU193" s="14">
        <v>2</v>
      </c>
      <c r="CV193" s="14">
        <f>IFERROR(AVERAGE(Tabel1[[#This Row],[In - F3a]:[In - F3a]]),"")</f>
        <v>2</v>
      </c>
      <c r="CW193" s="14" t="s">
        <v>189</v>
      </c>
      <c r="CX193" s="14">
        <f>IFERROR(AVERAGE(Tabel1[[#This Row],[In - F1]],Tabel1[[#This Row],[In - F2]],Tabel1[[#This Row],[In - F3]],Tabel1[[#This Row],[In - F4]]),"")</f>
        <v>2.1666666666666665</v>
      </c>
      <c r="CY193" s="14">
        <v>3</v>
      </c>
      <c r="CZ193" s="14">
        <v>3</v>
      </c>
      <c r="DA193" s="14">
        <v>2</v>
      </c>
      <c r="DB193" s="14">
        <f>IFERROR(AVERAGE(Tabel1[[#This Row],[In - V1a]:[In - V1c]]),"")</f>
        <v>2.6666666666666665</v>
      </c>
      <c r="DC193" s="14">
        <v>2</v>
      </c>
      <c r="DD193" s="14">
        <v>3</v>
      </c>
      <c r="DE193" s="14">
        <v>3</v>
      </c>
      <c r="DF193" s="14">
        <f>IFERROR(AVERAGE(Tabel1[[#This Row],[In - V2a]:[In - V2c]]),"")</f>
        <v>2.6666666666666665</v>
      </c>
      <c r="DG193" s="14">
        <v>2</v>
      </c>
      <c r="DH193" s="14" t="s">
        <v>189</v>
      </c>
      <c r="DI193" s="14">
        <f>IFERROR(AVERAGE(Tabel1[[#This Row],[In - V3a]:[In - V3b]]),"")</f>
        <v>2</v>
      </c>
      <c r="DJ193" s="14" t="s">
        <v>189</v>
      </c>
      <c r="DK193" s="14">
        <f>IFERROR(AVERAGE(Tabel1[[#This Row],[In - V1]],Tabel1[[#This Row],[In - V2]],Tabel1[[#This Row],[In - V3]],Tabel1[[#This Row],[In - V4]]),"")</f>
        <v>2.4444444444444442</v>
      </c>
      <c r="DL193" s="14">
        <v>4</v>
      </c>
      <c r="DM193" s="14">
        <v>3</v>
      </c>
      <c r="DN193" s="14">
        <f>IFERROR(AVERAGE(Tabel1[[#This Row],[In - A1a]:[In - A1b]]),"")</f>
        <v>3.5</v>
      </c>
      <c r="DO193" s="14">
        <v>3</v>
      </c>
      <c r="DP193" s="14">
        <v>3</v>
      </c>
      <c r="DQ193" s="14">
        <f>IFERROR(AVERAGE(Tabel1[[#This Row],[In - A2a]:[In - A2b]]),"")</f>
        <v>3</v>
      </c>
      <c r="DR193" s="14">
        <v>3</v>
      </c>
      <c r="DS193" s="14">
        <v>2</v>
      </c>
      <c r="DT193" s="14">
        <f>IFERROR(AVERAGE(Tabel1[[#This Row],[In - A3a]:[In - A3a]]),"")</f>
        <v>3</v>
      </c>
      <c r="DU193" s="14">
        <v>3</v>
      </c>
      <c r="DV193" s="14">
        <f>IFERROR(AVERAGE(Tabel1[[#This Row],[In - A1]],Tabel1[[#This Row],[In - A2]],Tabel1[[#This Row],[In - A3]],Tabel1[[#This Row],[In - A4]]),"")</f>
        <v>3.125</v>
      </c>
      <c r="DW193" s="14">
        <v>3</v>
      </c>
      <c r="DX193" s="14">
        <v>2</v>
      </c>
      <c r="DY193" s="14">
        <v>2</v>
      </c>
      <c r="DZ193" s="14">
        <f>IFERROR(AVERAGE(Tabel1[[#This Row],[Do - R1a]:[Do - R1c]]),"")</f>
        <v>2.3333333333333335</v>
      </c>
      <c r="EA193" s="14">
        <v>3</v>
      </c>
      <c r="EB193" s="14">
        <v>3</v>
      </c>
      <c r="EC193" s="14" t="s">
        <v>189</v>
      </c>
      <c r="ED193" s="14">
        <v>3</v>
      </c>
      <c r="EE193" s="14">
        <f>IFERROR(AVERAGE(Tabel1[[#This Row],[Do - R1]:[Do - R5]]),"")</f>
        <v>2.8333333333333335</v>
      </c>
      <c r="EF193" s="14">
        <v>3</v>
      </c>
      <c r="EG193" s="14">
        <v>3</v>
      </c>
      <c r="EH193" s="14">
        <v>3</v>
      </c>
      <c r="EI193" s="14">
        <f>IFERROR(AVERAGE(Tabel1[[#This Row],[Do - C1a]:[Do - C1c]]),"")</f>
        <v>3</v>
      </c>
      <c r="EJ193" s="14">
        <v>4</v>
      </c>
      <c r="EK193" s="14">
        <v>3</v>
      </c>
      <c r="EL193" s="14" t="s">
        <v>189</v>
      </c>
      <c r="EM193" s="14">
        <f>IFERROR(AVERAGE(Tabel1[[#This Row],[Do - C1]:[Do - C4]]),"")</f>
        <v>3.3333333333333335</v>
      </c>
      <c r="EN193" s="14" t="s">
        <v>189</v>
      </c>
      <c r="EO193" s="14" t="s">
        <v>189</v>
      </c>
      <c r="EP193" s="14">
        <v>4</v>
      </c>
      <c r="EQ193" s="14">
        <f>IFERROR(AVERAGE(Tabel1[[#This Row],[Do - F1a]:[Do - F1c]]),"")</f>
        <v>4</v>
      </c>
      <c r="ER193" s="14">
        <v>3</v>
      </c>
      <c r="ES193" s="14">
        <f>IFERROR(AVERAGE(Tabel1[[#This Row],[Do - F2a]:[Do - F2a]]),"")</f>
        <v>3</v>
      </c>
      <c r="ET193" s="14">
        <v>3</v>
      </c>
      <c r="EU193" s="14">
        <v>3</v>
      </c>
      <c r="EV193" s="14">
        <f>IFERROR(AVERAGE(Tabel1[[#This Row],[Do - F3a]:[Do - F3b]]),"")</f>
        <v>3</v>
      </c>
      <c r="EW193" s="14" t="s">
        <v>189</v>
      </c>
      <c r="EX193" s="14">
        <f>IFERROR(AVERAGE(Tabel1[[#This Row],[Do - F1]],Tabel1[[#This Row],[Do - F2]],Tabel1[[#This Row],[Do - F3]],Tabel1[[#This Row],[Do - F4]]),"")</f>
        <v>3.3333333333333335</v>
      </c>
      <c r="EY193" s="14">
        <v>3</v>
      </c>
      <c r="EZ193" s="14">
        <v>4</v>
      </c>
      <c r="FA193" s="14">
        <v>3</v>
      </c>
      <c r="FB193" s="14">
        <f>IFERROR(AVERAGE(Tabel1[[#This Row],[Do - V1a]:[Do - V1c]]),"")</f>
        <v>3.3333333333333335</v>
      </c>
      <c r="FC193" s="14">
        <v>2</v>
      </c>
      <c r="FD193" s="14">
        <v>3</v>
      </c>
      <c r="FE193" s="14">
        <f>IFERROR(AVERAGE(Tabel1[[#This Row],[Do - V2a]:[Do - V2b]]),"")</f>
        <v>2.5</v>
      </c>
      <c r="FF193" s="14">
        <v>2</v>
      </c>
      <c r="FG193" s="14">
        <f>IFERROR(AVERAGE(Tabel1[[#This Row],[Do - V3a]:[Do - V3a]]),"")</f>
        <v>2</v>
      </c>
      <c r="FH193" s="14" t="s">
        <v>189</v>
      </c>
      <c r="FI193" s="14">
        <f>IFERROR(AVERAGE(Tabel1[[#This Row],[Do - V1]],Tabel1[[#This Row],[Do - V2]],Tabel1[[#This Row],[Do - V3]],Tabel1[[#This Row],[Do - V4]]),"")</f>
        <v>2.6111111111111112</v>
      </c>
      <c r="FJ193" s="14">
        <v>4</v>
      </c>
      <c r="FK193" s="14">
        <v>3</v>
      </c>
      <c r="FL193" s="14">
        <v>3</v>
      </c>
      <c r="FM193" s="14">
        <f>IFERROR(AVERAGE(Tabel1[[#This Row],[Do - A1a]:[Do - A1c]]),"")</f>
        <v>3.3333333333333335</v>
      </c>
      <c r="FN193" s="14">
        <v>4</v>
      </c>
      <c r="FO193" s="14">
        <v>3</v>
      </c>
      <c r="FP193" s="14">
        <f>IFERROR(AVERAGE(Tabel1[[#This Row],[Do - A2a]:[Do - A2b]]),"")</f>
        <v>3.5</v>
      </c>
      <c r="FQ193" s="14">
        <v>3</v>
      </c>
      <c r="FR193" s="14">
        <f>IFERROR(AVERAGE(Tabel1[[#This Row],[Do - A3a]:[Do - A3a]]),"")</f>
        <v>3</v>
      </c>
      <c r="FS193" s="14">
        <v>3</v>
      </c>
      <c r="FT193" s="14">
        <f>IFERROR(AVERAGE(Tabel1[[#This Row],[Do - A1]],Tabel1[[#This Row],[Do - A2]],Tabel1[[#This Row],[Do - A3]],Tabel1[[#This Row],[Do - A4]]),"")</f>
        <v>3.2083333333333335</v>
      </c>
      <c r="FU19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2.8951851851851855</v>
      </c>
      <c r="FV193" s="16" t="s">
        <v>1085</v>
      </c>
      <c r="FW193" t="b">
        <v>1</v>
      </c>
    </row>
    <row r="194" spans="1:179" x14ac:dyDescent="0.3">
      <c r="A194" s="13">
        <v>45240.258460648147</v>
      </c>
      <c r="B194" t="b">
        <v>0</v>
      </c>
      <c r="C194" s="14" t="s">
        <v>1086</v>
      </c>
      <c r="D194" s="14" t="s">
        <v>1087</v>
      </c>
      <c r="E194" s="14" t="s">
        <v>1088</v>
      </c>
      <c r="F194" s="14" t="s">
        <v>898</v>
      </c>
      <c r="G194" s="14" t="s">
        <v>1089</v>
      </c>
      <c r="H194" s="14" t="s">
        <v>194</v>
      </c>
      <c r="I194" s="14" t="s">
        <v>195</v>
      </c>
      <c r="J194" s="14" t="s">
        <v>196</v>
      </c>
      <c r="K194" s="14" t="s">
        <v>203</v>
      </c>
      <c r="L194" s="14" t="s">
        <v>249</v>
      </c>
      <c r="M194" s="14" t="s">
        <v>198</v>
      </c>
      <c r="N194" s="14" t="s">
        <v>199</v>
      </c>
      <c r="O194" s="14" t="s">
        <v>200</v>
      </c>
      <c r="P194" s="14" t="s">
        <v>701</v>
      </c>
      <c r="Q194" s="14" t="s">
        <v>201</v>
      </c>
      <c r="R194" s="14" t="s">
        <v>701</v>
      </c>
      <c r="S194" s="14" t="s">
        <v>201</v>
      </c>
      <c r="T194" s="14" t="s">
        <v>236</v>
      </c>
      <c r="U194" s="14" t="s">
        <v>349</v>
      </c>
      <c r="V194" s="14" t="s">
        <v>224</v>
      </c>
      <c r="W194" s="14" t="s">
        <v>207</v>
      </c>
      <c r="X194" s="14" t="s">
        <v>305</v>
      </c>
      <c r="Y194" s="14">
        <v>5</v>
      </c>
      <c r="Z194" s="14">
        <v>3</v>
      </c>
      <c r="AA194" s="14">
        <v>1</v>
      </c>
      <c r="AB194" s="15">
        <f>IFERROR(AVERAGE(Tabel1[[#This Row],[Up - R1a]:[Up - R1c]]),"")</f>
        <v>3</v>
      </c>
      <c r="AC194" s="14">
        <v>4</v>
      </c>
      <c r="AD194" s="14">
        <v>4</v>
      </c>
      <c r="AE194" s="14">
        <v>4</v>
      </c>
      <c r="AF194" s="14">
        <v>4</v>
      </c>
      <c r="AG194" s="14">
        <f>IFERROR(AVERAGE(Tabel1[[#This Row],[Up - R1]:[Up - R5]]),"")</f>
        <v>3.8</v>
      </c>
      <c r="AH194" s="14">
        <v>4</v>
      </c>
      <c r="AI194" s="14">
        <v>5</v>
      </c>
      <c r="AJ194" s="14">
        <v>4</v>
      </c>
      <c r="AK194" s="14">
        <f>IFERROR(AVERAGE(Tabel1[[#This Row],[Up - C1a]:[Up - C1c]]),"")</f>
        <v>4.333333333333333</v>
      </c>
      <c r="AL194" s="14">
        <v>4</v>
      </c>
      <c r="AM194" s="14">
        <v>4</v>
      </c>
      <c r="AN194" s="14">
        <v>3</v>
      </c>
      <c r="AO194" s="14">
        <f>IFERROR(AVERAGE(Tabel1[[#This Row],[Up - C1]:[Up - C4]]),"")</f>
        <v>3.833333333333333</v>
      </c>
      <c r="AP194" s="14">
        <v>3</v>
      </c>
      <c r="AQ194" s="14">
        <f>IFERROR(AVERAGE(Tabel1[[#This Row],[Up - F1a]:[Up - F1a]]),"")</f>
        <v>3</v>
      </c>
      <c r="AR194" s="14">
        <v>4</v>
      </c>
      <c r="AS194" s="14">
        <v>4</v>
      </c>
      <c r="AT194" s="14">
        <f>IFERROR(AVERAGE(Tabel1[[#This Row],[Up - F2a]:[Up - F2b]]),"")</f>
        <v>4</v>
      </c>
      <c r="AU194" s="14">
        <v>4</v>
      </c>
      <c r="AV194" s="14">
        <v>4</v>
      </c>
      <c r="AW194" s="14">
        <f>IFERROR(AVERAGE(Tabel1[[#This Row],[Up - F3a]:[Up - F3b]]),"")</f>
        <v>4</v>
      </c>
      <c r="AX194" s="14">
        <v>3</v>
      </c>
      <c r="AY194" s="14">
        <f>IFERROR(AVERAGE(Tabel1[[#This Row],[Up - F1]],Tabel1[[#This Row],[Up - F2]],Tabel1[[#This Row],[Up - F3]],Tabel1[[#This Row],[Up - F4]]),"")</f>
        <v>3.5</v>
      </c>
      <c r="AZ194" s="14">
        <v>5</v>
      </c>
      <c r="BA194" s="14">
        <v>5</v>
      </c>
      <c r="BB194" s="14">
        <f>IFERROR(AVERAGE(Tabel1[[#This Row],[Up - V1a]:[Up - V1b]]),"")</f>
        <v>5</v>
      </c>
      <c r="BC194" s="14">
        <v>4</v>
      </c>
      <c r="BD194" s="14">
        <v>5</v>
      </c>
      <c r="BE194" s="14">
        <v>3</v>
      </c>
      <c r="BF194" s="14">
        <f>IFERROR(AVERAGE(Tabel1[[#This Row],[Up - V2a]:[Up - V2c]]),"")</f>
        <v>4</v>
      </c>
      <c r="BG194" s="14">
        <v>4</v>
      </c>
      <c r="BH194" s="14">
        <v>5</v>
      </c>
      <c r="BI194" s="14">
        <f>IFERROR(AVERAGE(Tabel1[[#This Row],[Up - V3a]:[Up - V3b]]),"")</f>
        <v>4.5</v>
      </c>
      <c r="BJ194" s="14">
        <v>4</v>
      </c>
      <c r="BK194" s="14">
        <f>IFERROR(AVERAGE(Tabel1[[#This Row],[Up - V1]],Tabel1[[#This Row],[Up - V2]],Tabel1[[#This Row],[Up - V3]],Tabel1[[#This Row],[Up - V4]]),"")</f>
        <v>4.375</v>
      </c>
      <c r="BL194" s="14">
        <v>2</v>
      </c>
      <c r="BM194" s="14">
        <v>4</v>
      </c>
      <c r="BN194" s="14">
        <v>4</v>
      </c>
      <c r="BO194" s="14">
        <v>3</v>
      </c>
      <c r="BP194" s="14">
        <f>IFERROR(AVERAGE(Tabel1[[#This Row],[Up - A1a]:[Up - A1d]]),"")</f>
        <v>3.25</v>
      </c>
      <c r="BQ194" s="14" t="s">
        <v>189</v>
      </c>
      <c r="BR194" s="14">
        <v>4</v>
      </c>
      <c r="BS194" s="14">
        <f>IFERROR(AVERAGE(Tabel1[[#This Row],[Up - A2a]:[Up - A2b]]),"")</f>
        <v>4</v>
      </c>
      <c r="BT194" s="14">
        <v>4</v>
      </c>
      <c r="BU194" s="14">
        <f>IFERROR(AVERAGE(Tabel1[[#This Row],[Up - A3a]:[Up - A3a]]),"")</f>
        <v>4</v>
      </c>
      <c r="BV194" s="14">
        <v>4</v>
      </c>
      <c r="BW194" s="14">
        <f>IFERROR(AVERAGE(Tabel1[[#This Row],[Up - A1]],Tabel1[[#This Row],[Up - A2]],Tabel1[[#This Row],[Up - A3]]),"")</f>
        <v>3.75</v>
      </c>
      <c r="BX194" s="14">
        <v>5</v>
      </c>
      <c r="BY194" s="14">
        <v>4</v>
      </c>
      <c r="BZ194" s="14">
        <f>IFERROR(AVERAGE(Tabel1[[#This Row],[In - R1a]:[In - R1b]]),"")</f>
        <v>4.5</v>
      </c>
      <c r="CA194" s="14">
        <v>4</v>
      </c>
      <c r="CB194" s="14">
        <v>4</v>
      </c>
      <c r="CC194" s="14">
        <v>4</v>
      </c>
      <c r="CD194" s="14">
        <v>4</v>
      </c>
      <c r="CE194" s="14">
        <f>IFERROR(AVERAGE(Tabel1[[#This Row],[In - R1]:[In - R5]]),"")</f>
        <v>4.0999999999999996</v>
      </c>
      <c r="CF194" s="14">
        <v>4</v>
      </c>
      <c r="CG194" s="14">
        <v>5</v>
      </c>
      <c r="CH194" s="14">
        <v>4</v>
      </c>
      <c r="CI194" s="14">
        <f>IFERROR(AVERAGE(Tabel1[[#This Row],[In - C1a]:[In - C1c]]),"")</f>
        <v>4.333333333333333</v>
      </c>
      <c r="CJ194" s="14">
        <v>5</v>
      </c>
      <c r="CK194" s="14">
        <v>4</v>
      </c>
      <c r="CL194" s="14">
        <v>4</v>
      </c>
      <c r="CM194" s="14">
        <f>IFERROR(AVERAGE(Tabel1[[#This Row],[In - C1]:[In - C4]]),"")</f>
        <v>4.333333333333333</v>
      </c>
      <c r="CN194" s="14">
        <v>4</v>
      </c>
      <c r="CO194" s="14">
        <v>3</v>
      </c>
      <c r="CP194" s="14">
        <v>4</v>
      </c>
      <c r="CQ194" s="14">
        <f>IFERROR(AVERAGE(Tabel1[[#This Row],[In - F1a]:[In - F1c]]),"")</f>
        <v>3.6666666666666665</v>
      </c>
      <c r="CR194" s="14">
        <v>3</v>
      </c>
      <c r="CS194" s="14">
        <v>3</v>
      </c>
      <c r="CT194" s="14">
        <f>IFERROR(AVERAGE(Tabel1[[#This Row],[In - F2a]:[In - F2b]]),"")</f>
        <v>3</v>
      </c>
      <c r="CU194" s="14">
        <v>4</v>
      </c>
      <c r="CV194" s="14">
        <f>IFERROR(AVERAGE(Tabel1[[#This Row],[In - F3a]:[In - F3a]]),"")</f>
        <v>4</v>
      </c>
      <c r="CW194" s="14">
        <v>4</v>
      </c>
      <c r="CX194" s="14">
        <f>IFERROR(AVERAGE(Tabel1[[#This Row],[In - F1]],Tabel1[[#This Row],[In - F2]],Tabel1[[#This Row],[In - F3]],Tabel1[[#This Row],[In - F4]]),"")</f>
        <v>3.6666666666666665</v>
      </c>
      <c r="CY194" s="14">
        <v>5</v>
      </c>
      <c r="CZ194" s="14">
        <v>3</v>
      </c>
      <c r="DA194" s="14">
        <v>4</v>
      </c>
      <c r="DB194" s="14">
        <f>IFERROR(AVERAGE(Tabel1[[#This Row],[In - V1a]:[In - V1c]]),"")</f>
        <v>4</v>
      </c>
      <c r="DC194" s="14">
        <v>4</v>
      </c>
      <c r="DD194" s="14">
        <v>4</v>
      </c>
      <c r="DE194" s="14">
        <v>4</v>
      </c>
      <c r="DF194" s="14">
        <f>IFERROR(AVERAGE(Tabel1[[#This Row],[In - V2a]:[In - V2c]]),"")</f>
        <v>4</v>
      </c>
      <c r="DG194" s="14">
        <v>4</v>
      </c>
      <c r="DH194" s="14">
        <v>4</v>
      </c>
      <c r="DI194" s="14">
        <f>IFERROR(AVERAGE(Tabel1[[#This Row],[In - V3a]:[In - V3b]]),"")</f>
        <v>4</v>
      </c>
      <c r="DJ194" s="14">
        <v>4</v>
      </c>
      <c r="DK194" s="14">
        <f>IFERROR(AVERAGE(Tabel1[[#This Row],[In - V1]],Tabel1[[#This Row],[In - V2]],Tabel1[[#This Row],[In - V3]],Tabel1[[#This Row],[In - V4]]),"")</f>
        <v>4</v>
      </c>
      <c r="DL194" s="14">
        <v>4</v>
      </c>
      <c r="DM194" s="14">
        <v>4</v>
      </c>
      <c r="DN194" s="14">
        <f>IFERROR(AVERAGE(Tabel1[[#This Row],[In - A1a]:[In - A1b]]),"")</f>
        <v>4</v>
      </c>
      <c r="DO194" s="14">
        <v>5</v>
      </c>
      <c r="DP194" s="14">
        <v>4</v>
      </c>
      <c r="DQ194" s="14">
        <f>IFERROR(AVERAGE(Tabel1[[#This Row],[In - A2a]:[In - A2b]]),"")</f>
        <v>4.5</v>
      </c>
      <c r="DR194" s="14">
        <v>4</v>
      </c>
      <c r="DS194" s="14">
        <v>3</v>
      </c>
      <c r="DT194" s="14">
        <f>IFERROR(AVERAGE(Tabel1[[#This Row],[In - A3a]:[In - A3a]]),"")</f>
        <v>4</v>
      </c>
      <c r="DU194" s="14">
        <v>3</v>
      </c>
      <c r="DV194" s="14">
        <f>IFERROR(AVERAGE(Tabel1[[#This Row],[In - A1]],Tabel1[[#This Row],[In - A2]],Tabel1[[#This Row],[In - A3]],Tabel1[[#This Row],[In - A4]]),"")</f>
        <v>3.875</v>
      </c>
      <c r="DW194" s="14">
        <v>4</v>
      </c>
      <c r="DX194" s="14">
        <v>3</v>
      </c>
      <c r="DY194" s="14">
        <v>3</v>
      </c>
      <c r="DZ194" s="14">
        <f>IFERROR(AVERAGE(Tabel1[[#This Row],[Do - R1a]:[Do - R1c]]),"")</f>
        <v>3.3333333333333335</v>
      </c>
      <c r="EA194" s="14">
        <v>4</v>
      </c>
      <c r="EB194" s="14">
        <v>3</v>
      </c>
      <c r="EC194" s="14">
        <v>4</v>
      </c>
      <c r="ED194" s="14">
        <v>4</v>
      </c>
      <c r="EE194" s="14">
        <f>IFERROR(AVERAGE(Tabel1[[#This Row],[Do - R1]:[Do - R5]]),"")</f>
        <v>3.666666666666667</v>
      </c>
      <c r="EF194" s="14">
        <v>4</v>
      </c>
      <c r="EG194" s="14">
        <v>5</v>
      </c>
      <c r="EH194" s="14">
        <v>4</v>
      </c>
      <c r="EI194" s="14">
        <f>IFERROR(AVERAGE(Tabel1[[#This Row],[Do - C1a]:[Do - C1c]]),"")</f>
        <v>4.333333333333333</v>
      </c>
      <c r="EJ194" s="14">
        <v>4</v>
      </c>
      <c r="EK194" s="14">
        <v>4</v>
      </c>
      <c r="EL194" s="14">
        <v>4</v>
      </c>
      <c r="EM194" s="14">
        <f>IFERROR(AVERAGE(Tabel1[[#This Row],[Do - C1]:[Do - C4]]),"")</f>
        <v>4.083333333333333</v>
      </c>
      <c r="EN194" s="14">
        <v>3</v>
      </c>
      <c r="EO194" s="14">
        <v>3</v>
      </c>
      <c r="EP194" s="14">
        <v>4</v>
      </c>
      <c r="EQ194" s="14">
        <f>IFERROR(AVERAGE(Tabel1[[#This Row],[Do - F1a]:[Do - F1c]]),"")</f>
        <v>3.3333333333333335</v>
      </c>
      <c r="ER194" s="14">
        <v>3</v>
      </c>
      <c r="ES194" s="14">
        <f>IFERROR(AVERAGE(Tabel1[[#This Row],[Do - F2a]:[Do - F2a]]),"")</f>
        <v>3</v>
      </c>
      <c r="ET194" s="14">
        <v>4</v>
      </c>
      <c r="EU194" s="14">
        <v>2</v>
      </c>
      <c r="EV194" s="14">
        <f>IFERROR(AVERAGE(Tabel1[[#This Row],[Do - F3a]:[Do - F3b]]),"")</f>
        <v>3</v>
      </c>
      <c r="EW194" s="14">
        <v>3</v>
      </c>
      <c r="EX194" s="14">
        <f>IFERROR(AVERAGE(Tabel1[[#This Row],[Do - F1]],Tabel1[[#This Row],[Do - F2]],Tabel1[[#This Row],[Do - F3]],Tabel1[[#This Row],[Do - F4]]),"")</f>
        <v>3.0833333333333335</v>
      </c>
      <c r="EY194" s="14">
        <v>4</v>
      </c>
      <c r="EZ194" s="14">
        <v>4</v>
      </c>
      <c r="FA194" s="14">
        <v>4</v>
      </c>
      <c r="FB194" s="14">
        <f>IFERROR(AVERAGE(Tabel1[[#This Row],[Do - V1a]:[Do - V1c]]),"")</f>
        <v>4</v>
      </c>
      <c r="FC194" s="14">
        <v>4</v>
      </c>
      <c r="FD194" s="14">
        <v>4</v>
      </c>
      <c r="FE194" s="14">
        <f>IFERROR(AVERAGE(Tabel1[[#This Row],[Do - V2a]:[Do - V2b]]),"")</f>
        <v>4</v>
      </c>
      <c r="FF194" s="14">
        <v>5</v>
      </c>
      <c r="FG194" s="14">
        <f>IFERROR(AVERAGE(Tabel1[[#This Row],[Do - V3a]:[Do - V3a]]),"")</f>
        <v>5</v>
      </c>
      <c r="FH194" s="14">
        <v>4</v>
      </c>
      <c r="FI194" s="14">
        <f>IFERROR(AVERAGE(Tabel1[[#This Row],[Do - V1]],Tabel1[[#This Row],[Do - V2]],Tabel1[[#This Row],[Do - V3]],Tabel1[[#This Row],[Do - V4]]),"")</f>
        <v>4.25</v>
      </c>
      <c r="FJ194" s="14">
        <v>4</v>
      </c>
      <c r="FK194" s="14">
        <v>4</v>
      </c>
      <c r="FL194" s="14">
        <v>4</v>
      </c>
      <c r="FM194" s="14">
        <f>IFERROR(AVERAGE(Tabel1[[#This Row],[Do - A1a]:[Do - A1c]]),"")</f>
        <v>4</v>
      </c>
      <c r="FN194" s="14">
        <v>5</v>
      </c>
      <c r="FO194" s="14">
        <v>4</v>
      </c>
      <c r="FP194" s="14">
        <f>IFERROR(AVERAGE(Tabel1[[#This Row],[Do - A2a]:[Do - A2b]]),"")</f>
        <v>4.5</v>
      </c>
      <c r="FQ194" s="14">
        <v>4</v>
      </c>
      <c r="FR194" s="14">
        <f>IFERROR(AVERAGE(Tabel1[[#This Row],[Do - A3a]:[Do - A3a]]),"")</f>
        <v>4</v>
      </c>
      <c r="FS194" s="14">
        <v>4</v>
      </c>
      <c r="FT194" s="14">
        <f>IFERROR(AVERAGE(Tabel1[[#This Row],[Do - A1]],Tabel1[[#This Row],[Do - A2]],Tabel1[[#This Row],[Do - A3]],Tabel1[[#This Row],[Do - A4]]),"")</f>
        <v>4.125</v>
      </c>
      <c r="FU19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3.8961111111111113</v>
      </c>
      <c r="FV194" s="16" t="s">
        <v>1090</v>
      </c>
      <c r="FW194" t="b">
        <v>1</v>
      </c>
    </row>
    <row r="195" spans="1:179" x14ac:dyDescent="0.3">
      <c r="A195" s="13">
        <v>45240.412905092591</v>
      </c>
      <c r="B195" t="b">
        <v>0</v>
      </c>
      <c r="C195" s="14" t="s">
        <v>1091</v>
      </c>
      <c r="D195" s="14" t="s">
        <v>1092</v>
      </c>
      <c r="E195" s="14" t="s">
        <v>193</v>
      </c>
      <c r="F195" s="14" t="s">
        <v>189</v>
      </c>
      <c r="G195" s="14" t="s">
        <v>1093</v>
      </c>
      <c r="H195" s="14" t="s">
        <v>194</v>
      </c>
      <c r="I195" s="14" t="s">
        <v>195</v>
      </c>
      <c r="J195" s="14" t="s">
        <v>196</v>
      </c>
      <c r="K195" s="14" t="s">
        <v>187</v>
      </c>
      <c r="L195" s="14" t="s">
        <v>249</v>
      </c>
      <c r="M195" s="14" t="s">
        <v>233</v>
      </c>
      <c r="N195" s="14" t="s">
        <v>199</v>
      </c>
      <c r="O195" s="14" t="s">
        <v>256</v>
      </c>
      <c r="P195" s="14" t="s">
        <v>201</v>
      </c>
      <c r="Q195" s="14" t="s">
        <v>235</v>
      </c>
      <c r="R195" s="14" t="s">
        <v>187</v>
      </c>
      <c r="S195" s="14" t="s">
        <v>235</v>
      </c>
      <c r="T195" s="14" t="s">
        <v>236</v>
      </c>
      <c r="U195" s="14" t="s">
        <v>285</v>
      </c>
      <c r="V195" s="14" t="s">
        <v>224</v>
      </c>
      <c r="W195" s="14" t="s">
        <v>207</v>
      </c>
      <c r="X195" s="14" t="s">
        <v>305</v>
      </c>
      <c r="Y195" s="14">
        <v>4</v>
      </c>
      <c r="Z195" s="14">
        <v>4</v>
      </c>
      <c r="AA195" s="14" t="s">
        <v>189</v>
      </c>
      <c r="AB195" s="15">
        <f>IFERROR(AVERAGE(Tabel1[[#This Row],[Up - R1a]:[Up - R1c]]),"")</f>
        <v>4</v>
      </c>
      <c r="AC195" s="14">
        <v>3</v>
      </c>
      <c r="AD195" s="14">
        <v>3</v>
      </c>
      <c r="AE195" s="14">
        <v>2</v>
      </c>
      <c r="AF195" s="14">
        <v>2</v>
      </c>
      <c r="AG195" s="14">
        <f>IFERROR(AVERAGE(Tabel1[[#This Row],[Up - R1]:[Up - R5]]),"")</f>
        <v>2.8</v>
      </c>
      <c r="AH195" s="14">
        <v>2</v>
      </c>
      <c r="AI195" s="14">
        <v>3</v>
      </c>
      <c r="AJ195" s="14">
        <v>4</v>
      </c>
      <c r="AK195" s="14">
        <f>IFERROR(AVERAGE(Tabel1[[#This Row],[Up - C1a]:[Up - C1c]]),"")</f>
        <v>3</v>
      </c>
      <c r="AL195" s="14">
        <v>4</v>
      </c>
      <c r="AM195" s="14">
        <v>3</v>
      </c>
      <c r="AN195" s="14">
        <v>3</v>
      </c>
      <c r="AO195" s="14">
        <f>IFERROR(AVERAGE(Tabel1[[#This Row],[Up - C1]:[Up - C4]]),"")</f>
        <v>3.25</v>
      </c>
      <c r="AP195" s="14">
        <v>2</v>
      </c>
      <c r="AQ195" s="14">
        <f>IFERROR(AVERAGE(Tabel1[[#This Row],[Up - F1a]:[Up - F1a]]),"")</f>
        <v>2</v>
      </c>
      <c r="AR195" s="14">
        <v>3</v>
      </c>
      <c r="AS195" s="14">
        <v>2</v>
      </c>
      <c r="AT195" s="14">
        <f>IFERROR(AVERAGE(Tabel1[[#This Row],[Up - F2a]:[Up - F2b]]),"")</f>
        <v>2.5</v>
      </c>
      <c r="AU195" s="14">
        <v>3</v>
      </c>
      <c r="AV195" s="14">
        <v>2</v>
      </c>
      <c r="AW195" s="14">
        <f>IFERROR(AVERAGE(Tabel1[[#This Row],[Up - F3a]:[Up - F3b]]),"")</f>
        <v>2.5</v>
      </c>
      <c r="AX195" s="14">
        <v>2</v>
      </c>
      <c r="AY195" s="14">
        <f>IFERROR(AVERAGE(Tabel1[[#This Row],[Up - F1]],Tabel1[[#This Row],[Up - F2]],Tabel1[[#This Row],[Up - F3]],Tabel1[[#This Row],[Up - F4]]),"")</f>
        <v>2.25</v>
      </c>
      <c r="AZ195" s="14">
        <v>3</v>
      </c>
      <c r="BA195" s="14">
        <v>3</v>
      </c>
      <c r="BB195" s="14">
        <f>IFERROR(AVERAGE(Tabel1[[#This Row],[Up - V1a]:[Up - V1b]]),"")</f>
        <v>3</v>
      </c>
      <c r="BC195" s="14">
        <v>3</v>
      </c>
      <c r="BD195" s="14">
        <v>3</v>
      </c>
      <c r="BE195" s="14">
        <v>3</v>
      </c>
      <c r="BF195" s="14">
        <f>IFERROR(AVERAGE(Tabel1[[#This Row],[Up - V2a]:[Up - V2c]]),"")</f>
        <v>3</v>
      </c>
      <c r="BG195" s="14">
        <v>2</v>
      </c>
      <c r="BH195" s="14">
        <v>4</v>
      </c>
      <c r="BI195" s="14">
        <f>IFERROR(AVERAGE(Tabel1[[#This Row],[Up - V3a]:[Up - V3b]]),"")</f>
        <v>3</v>
      </c>
      <c r="BJ195" s="14">
        <v>3</v>
      </c>
      <c r="BK195" s="14">
        <f>IFERROR(AVERAGE(Tabel1[[#This Row],[Up - V1]],Tabel1[[#This Row],[Up - V2]],Tabel1[[#This Row],[Up - V3]],Tabel1[[#This Row],[Up - V4]]),"")</f>
        <v>3</v>
      </c>
      <c r="BL195" s="14">
        <v>3</v>
      </c>
      <c r="BM195" s="14">
        <v>3</v>
      </c>
      <c r="BN195" s="14">
        <v>3</v>
      </c>
      <c r="BO195" s="14">
        <v>3</v>
      </c>
      <c r="BP195" s="14">
        <f>IFERROR(AVERAGE(Tabel1[[#This Row],[Up - A1a]:[Up - A1d]]),"")</f>
        <v>3</v>
      </c>
      <c r="BQ195" s="14">
        <v>3</v>
      </c>
      <c r="BR195" s="14">
        <v>3</v>
      </c>
      <c r="BS195" s="14">
        <f>IFERROR(AVERAGE(Tabel1[[#This Row],[Up - A2a]:[Up - A2b]]),"")</f>
        <v>3</v>
      </c>
      <c r="BT195" s="14">
        <v>3</v>
      </c>
      <c r="BU195" s="14">
        <f>IFERROR(AVERAGE(Tabel1[[#This Row],[Up - A3a]:[Up - A3a]]),"")</f>
        <v>3</v>
      </c>
      <c r="BV195" s="14">
        <v>4</v>
      </c>
      <c r="BW195" s="14">
        <f>IFERROR(AVERAGE(Tabel1[[#This Row],[Up - A1]],Tabel1[[#This Row],[Up - A2]],Tabel1[[#This Row],[Up - A3]]),"")</f>
        <v>3</v>
      </c>
      <c r="BX195" s="14">
        <v>4</v>
      </c>
      <c r="BY195" s="14">
        <v>4</v>
      </c>
      <c r="BZ195" s="14">
        <f>IFERROR(AVERAGE(Tabel1[[#This Row],[In - R1a]:[In - R1b]]),"")</f>
        <v>4</v>
      </c>
      <c r="CA195" s="14">
        <v>3</v>
      </c>
      <c r="CB195" s="14">
        <v>3</v>
      </c>
      <c r="CC195" s="14">
        <v>2</v>
      </c>
      <c r="CD195" s="14">
        <v>3</v>
      </c>
      <c r="CE195" s="14">
        <f>IFERROR(AVERAGE(Tabel1[[#This Row],[In - R1]:[In - R5]]),"")</f>
        <v>3</v>
      </c>
      <c r="CF195" s="14">
        <v>4</v>
      </c>
      <c r="CG195" s="14">
        <v>4</v>
      </c>
      <c r="CH195" s="14">
        <v>4</v>
      </c>
      <c r="CI195" s="14">
        <f>IFERROR(AVERAGE(Tabel1[[#This Row],[In - C1a]:[In - C1c]]),"")</f>
        <v>4</v>
      </c>
      <c r="CJ195" s="14">
        <v>3</v>
      </c>
      <c r="CK195" s="14">
        <v>3</v>
      </c>
      <c r="CL195" s="14">
        <v>1</v>
      </c>
      <c r="CM195" s="14">
        <f>IFERROR(AVERAGE(Tabel1[[#This Row],[In - C1]:[In - C4]]),"")</f>
        <v>2.75</v>
      </c>
      <c r="CN195" s="14">
        <v>4</v>
      </c>
      <c r="CO195" s="14">
        <v>2</v>
      </c>
      <c r="CP195" s="14">
        <v>3</v>
      </c>
      <c r="CQ195" s="14">
        <f>IFERROR(AVERAGE(Tabel1[[#This Row],[In - F1a]:[In - F1c]]),"")</f>
        <v>3</v>
      </c>
      <c r="CR195" s="14">
        <v>3</v>
      </c>
      <c r="CS195" s="14">
        <v>2</v>
      </c>
      <c r="CT195" s="14">
        <f>IFERROR(AVERAGE(Tabel1[[#This Row],[In - F2a]:[In - F2b]]),"")</f>
        <v>2.5</v>
      </c>
      <c r="CU195" s="14">
        <v>3</v>
      </c>
      <c r="CV195" s="14">
        <f>IFERROR(AVERAGE(Tabel1[[#This Row],[In - F3a]:[In - F3a]]),"")</f>
        <v>3</v>
      </c>
      <c r="CW195" s="14">
        <v>3</v>
      </c>
      <c r="CX195" s="14">
        <f>IFERROR(AVERAGE(Tabel1[[#This Row],[In - F1]],Tabel1[[#This Row],[In - F2]],Tabel1[[#This Row],[In - F3]],Tabel1[[#This Row],[In - F4]]),"")</f>
        <v>2.875</v>
      </c>
      <c r="CY195" s="14">
        <v>3</v>
      </c>
      <c r="CZ195" s="14">
        <v>4</v>
      </c>
      <c r="DA195" s="14">
        <v>3</v>
      </c>
      <c r="DB195" s="14">
        <f>IFERROR(AVERAGE(Tabel1[[#This Row],[In - V1a]:[In - V1c]]),"")</f>
        <v>3.3333333333333335</v>
      </c>
      <c r="DC195" s="14">
        <v>3</v>
      </c>
      <c r="DD195" s="14">
        <v>3</v>
      </c>
      <c r="DE195" s="14">
        <v>3</v>
      </c>
      <c r="DF195" s="14">
        <f>IFERROR(AVERAGE(Tabel1[[#This Row],[In - V2a]:[In - V2c]]),"")</f>
        <v>3</v>
      </c>
      <c r="DG195" s="14">
        <v>3</v>
      </c>
      <c r="DH195" s="14">
        <v>4</v>
      </c>
      <c r="DI195" s="14">
        <f>IFERROR(AVERAGE(Tabel1[[#This Row],[In - V3a]:[In - V3b]]),"")</f>
        <v>3.5</v>
      </c>
      <c r="DJ195" s="14">
        <v>4</v>
      </c>
      <c r="DK195" s="14">
        <f>IFERROR(AVERAGE(Tabel1[[#This Row],[In - V1]],Tabel1[[#This Row],[In - V2]],Tabel1[[#This Row],[In - V3]],Tabel1[[#This Row],[In - V4]]),"")</f>
        <v>3.4583333333333335</v>
      </c>
      <c r="DL195" s="14">
        <v>3</v>
      </c>
      <c r="DM195" s="14">
        <v>4</v>
      </c>
      <c r="DN195" s="14">
        <f>IFERROR(AVERAGE(Tabel1[[#This Row],[In - A1a]:[In - A1b]]),"")</f>
        <v>3.5</v>
      </c>
      <c r="DO195" s="14">
        <v>3</v>
      </c>
      <c r="DP195" s="14">
        <v>3</v>
      </c>
      <c r="DQ195" s="14">
        <f>IFERROR(AVERAGE(Tabel1[[#This Row],[In - A2a]:[In - A2b]]),"")</f>
        <v>3</v>
      </c>
      <c r="DR195" s="14">
        <v>4</v>
      </c>
      <c r="DS195" s="14">
        <v>3</v>
      </c>
      <c r="DT195" s="14">
        <f>IFERROR(AVERAGE(Tabel1[[#This Row],[In - A3a]:[In - A3a]]),"")</f>
        <v>4</v>
      </c>
      <c r="DU195" s="14">
        <v>3</v>
      </c>
      <c r="DV195" s="14">
        <f>IFERROR(AVERAGE(Tabel1[[#This Row],[In - A1]],Tabel1[[#This Row],[In - A2]],Tabel1[[#This Row],[In - A3]],Tabel1[[#This Row],[In - A4]]),"")</f>
        <v>3.375</v>
      </c>
      <c r="DW195" s="14">
        <v>4</v>
      </c>
      <c r="DX195" s="14">
        <v>5</v>
      </c>
      <c r="DY195" s="14">
        <v>3</v>
      </c>
      <c r="DZ195" s="14">
        <f>IFERROR(AVERAGE(Tabel1[[#This Row],[Do - R1a]:[Do - R1c]]),"")</f>
        <v>4</v>
      </c>
      <c r="EA195" s="14">
        <v>3</v>
      </c>
      <c r="EB195" s="14">
        <v>4</v>
      </c>
      <c r="EC195" s="14">
        <v>1</v>
      </c>
      <c r="ED195" s="14">
        <v>3</v>
      </c>
      <c r="EE195" s="14">
        <f>IFERROR(AVERAGE(Tabel1[[#This Row],[Do - R1]:[Do - R5]]),"")</f>
        <v>3</v>
      </c>
      <c r="EF195" s="14">
        <v>3</v>
      </c>
      <c r="EG195" s="14">
        <v>3</v>
      </c>
      <c r="EH195" s="14">
        <v>4</v>
      </c>
      <c r="EI195" s="14">
        <f>IFERROR(AVERAGE(Tabel1[[#This Row],[Do - C1a]:[Do - C1c]]),"")</f>
        <v>3.3333333333333335</v>
      </c>
      <c r="EJ195" s="14">
        <v>2</v>
      </c>
      <c r="EK195" s="14">
        <v>3</v>
      </c>
      <c r="EL195" s="14">
        <v>3</v>
      </c>
      <c r="EM195" s="14">
        <f>IFERROR(AVERAGE(Tabel1[[#This Row],[Do - C1]:[Do - C4]]),"")</f>
        <v>2.8333333333333335</v>
      </c>
      <c r="EN195" s="14">
        <v>3</v>
      </c>
      <c r="EO195" s="14">
        <v>3</v>
      </c>
      <c r="EP195" s="14">
        <v>4</v>
      </c>
      <c r="EQ195" s="14">
        <f>IFERROR(AVERAGE(Tabel1[[#This Row],[Do - F1a]:[Do - F1c]]),"")</f>
        <v>3.3333333333333335</v>
      </c>
      <c r="ER195" s="14">
        <v>3</v>
      </c>
      <c r="ES195" s="14">
        <f>IFERROR(AVERAGE(Tabel1[[#This Row],[Do - F2a]:[Do - F2a]]),"")</f>
        <v>3</v>
      </c>
      <c r="ET195" s="14">
        <v>3</v>
      </c>
      <c r="EU195" s="14">
        <v>3</v>
      </c>
      <c r="EV195" s="14">
        <f>IFERROR(AVERAGE(Tabel1[[#This Row],[Do - F3a]:[Do - F3b]]),"")</f>
        <v>3</v>
      </c>
      <c r="EW195" s="14">
        <v>2</v>
      </c>
      <c r="EX195" s="14">
        <f>IFERROR(AVERAGE(Tabel1[[#This Row],[Do - F1]],Tabel1[[#This Row],[Do - F2]],Tabel1[[#This Row],[Do - F3]],Tabel1[[#This Row],[Do - F4]]),"")</f>
        <v>2.8333333333333335</v>
      </c>
      <c r="EY195" s="14">
        <v>3</v>
      </c>
      <c r="EZ195" s="14">
        <v>3</v>
      </c>
      <c r="FA195" s="14" t="s">
        <v>189</v>
      </c>
      <c r="FB195" s="14">
        <f>IFERROR(AVERAGE(Tabel1[[#This Row],[Do - V1a]:[Do - V1c]]),"")</f>
        <v>3</v>
      </c>
      <c r="FC195" s="14">
        <v>3</v>
      </c>
      <c r="FD195" s="14">
        <v>3</v>
      </c>
      <c r="FE195" s="14">
        <f>IFERROR(AVERAGE(Tabel1[[#This Row],[Do - V2a]:[Do - V2b]]),"")</f>
        <v>3</v>
      </c>
      <c r="FF195" s="14">
        <v>2</v>
      </c>
      <c r="FG195" s="14">
        <f>IFERROR(AVERAGE(Tabel1[[#This Row],[Do - V3a]:[Do - V3a]]),"")</f>
        <v>2</v>
      </c>
      <c r="FH195" s="14">
        <v>3</v>
      </c>
      <c r="FI195" s="14">
        <f>IFERROR(AVERAGE(Tabel1[[#This Row],[Do - V1]],Tabel1[[#This Row],[Do - V2]],Tabel1[[#This Row],[Do - V3]],Tabel1[[#This Row],[Do - V4]]),"")</f>
        <v>2.75</v>
      </c>
      <c r="FJ195" s="14">
        <v>3</v>
      </c>
      <c r="FK195" s="14">
        <v>3</v>
      </c>
      <c r="FL195" s="14">
        <v>3</v>
      </c>
      <c r="FM195" s="14">
        <f>IFERROR(AVERAGE(Tabel1[[#This Row],[Do - A1a]:[Do - A1c]]),"")</f>
        <v>3</v>
      </c>
      <c r="FN195" s="14">
        <v>3</v>
      </c>
      <c r="FO195" s="14">
        <v>3</v>
      </c>
      <c r="FP195" s="14">
        <f>IFERROR(AVERAGE(Tabel1[[#This Row],[Do - A2a]:[Do - A2b]]),"")</f>
        <v>3</v>
      </c>
      <c r="FQ195" s="14">
        <v>3</v>
      </c>
      <c r="FR195" s="14">
        <f>IFERROR(AVERAGE(Tabel1[[#This Row],[Do - A3a]:[Do - A3a]]),"")</f>
        <v>3</v>
      </c>
      <c r="FS195" s="14" t="s">
        <v>189</v>
      </c>
      <c r="FT195" s="14">
        <f>IFERROR(AVERAGE(Tabel1[[#This Row],[Do - A1]],Tabel1[[#This Row],[Do - A2]],Tabel1[[#This Row],[Do - A3]],Tabel1[[#This Row],[Do - A4]]),"")</f>
        <v>3</v>
      </c>
      <c r="FU19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2.9450000000000003</v>
      </c>
      <c r="FV195" s="16" t="s">
        <v>1094</v>
      </c>
      <c r="FW195" t="b">
        <v>1</v>
      </c>
    </row>
    <row r="196" spans="1:179" x14ac:dyDescent="0.3">
      <c r="A196" s="13">
        <v>45240.637291666666</v>
      </c>
      <c r="B196" t="b">
        <v>0</v>
      </c>
      <c r="C196" s="14" t="s">
        <v>1095</v>
      </c>
      <c r="D196" s="14" t="s">
        <v>192</v>
      </c>
      <c r="E196" s="14" t="s">
        <v>1096</v>
      </c>
      <c r="F196" s="14" t="s">
        <v>189</v>
      </c>
      <c r="G196" s="14" t="s">
        <v>1044</v>
      </c>
      <c r="H196" s="14" t="s">
        <v>194</v>
      </c>
      <c r="I196" s="14" t="s">
        <v>195</v>
      </c>
      <c r="J196" s="14" t="s">
        <v>196</v>
      </c>
      <c r="K196" s="14" t="s">
        <v>235</v>
      </c>
      <c r="L196" s="14" t="s">
        <v>197</v>
      </c>
      <c r="M196" s="14" t="s">
        <v>233</v>
      </c>
      <c r="N196" s="14" t="s">
        <v>199</v>
      </c>
      <c r="O196" s="14" t="s">
        <v>200</v>
      </c>
      <c r="P196" s="14" t="s">
        <v>201</v>
      </c>
      <c r="Q196" s="14" t="s">
        <v>201</v>
      </c>
      <c r="R196" s="14" t="s">
        <v>187</v>
      </c>
      <c r="S196" s="14" t="s">
        <v>201</v>
      </c>
      <c r="T196" s="14" t="s">
        <v>204</v>
      </c>
      <c r="U196" s="14" t="s">
        <v>205</v>
      </c>
      <c r="V196" s="14" t="s">
        <v>206</v>
      </c>
      <c r="W196" s="14" t="s">
        <v>207</v>
      </c>
      <c r="X196" s="14" t="s">
        <v>306</v>
      </c>
      <c r="Y196" s="14">
        <v>3</v>
      </c>
      <c r="Z196" s="14">
        <v>2</v>
      </c>
      <c r="AA196" s="14" t="s">
        <v>189</v>
      </c>
      <c r="AB196" s="15">
        <f>IFERROR(AVERAGE(Tabel1[[#This Row],[Up - R1a]:[Up - R1c]]),"")</f>
        <v>2.5</v>
      </c>
      <c r="AC196" s="14">
        <v>4</v>
      </c>
      <c r="AD196" s="14">
        <v>5</v>
      </c>
      <c r="AE196" s="14">
        <v>2</v>
      </c>
      <c r="AF196" s="14">
        <v>5</v>
      </c>
      <c r="AG196" s="14">
        <f>IFERROR(AVERAGE(Tabel1[[#This Row],[Up - R1]:[Up - R5]]),"")</f>
        <v>3.7</v>
      </c>
      <c r="AH196" s="14">
        <v>4</v>
      </c>
      <c r="AI196" s="14">
        <v>4</v>
      </c>
      <c r="AJ196" s="14">
        <v>4</v>
      </c>
      <c r="AK196" s="14">
        <f>IFERROR(AVERAGE(Tabel1[[#This Row],[Up - C1a]:[Up - C1c]]),"")</f>
        <v>4</v>
      </c>
      <c r="AL196" s="14">
        <v>5</v>
      </c>
      <c r="AM196" s="14">
        <v>3</v>
      </c>
      <c r="AN196" s="14">
        <v>5</v>
      </c>
      <c r="AO196" s="14">
        <f>IFERROR(AVERAGE(Tabel1[[#This Row],[Up - C1]:[Up - C4]]),"")</f>
        <v>4.25</v>
      </c>
      <c r="AP196" s="14">
        <v>4</v>
      </c>
      <c r="AQ196" s="14">
        <f>IFERROR(AVERAGE(Tabel1[[#This Row],[Up - F1a]:[Up - F1a]]),"")</f>
        <v>4</v>
      </c>
      <c r="AR196" s="14">
        <v>1</v>
      </c>
      <c r="AS196" s="14">
        <v>1</v>
      </c>
      <c r="AT196" s="14">
        <f>IFERROR(AVERAGE(Tabel1[[#This Row],[Up - F2a]:[Up - F2b]]),"")</f>
        <v>1</v>
      </c>
      <c r="AU196" s="14">
        <v>4</v>
      </c>
      <c r="AV196" s="14">
        <v>3</v>
      </c>
      <c r="AW196" s="14">
        <f>IFERROR(AVERAGE(Tabel1[[#This Row],[Up - F3a]:[Up - F3b]]),"")</f>
        <v>3.5</v>
      </c>
      <c r="AX196" s="14">
        <v>3</v>
      </c>
      <c r="AY196" s="14">
        <f>IFERROR(AVERAGE(Tabel1[[#This Row],[Up - F1]],Tabel1[[#This Row],[Up - F2]],Tabel1[[#This Row],[Up - F3]],Tabel1[[#This Row],[Up - F4]]),"")</f>
        <v>2.875</v>
      </c>
      <c r="AZ196" s="14">
        <v>1</v>
      </c>
      <c r="BA196" s="14">
        <v>1</v>
      </c>
      <c r="BB196" s="14">
        <f>IFERROR(AVERAGE(Tabel1[[#This Row],[Up - V1a]:[Up - V1b]]),"")</f>
        <v>1</v>
      </c>
      <c r="BC196" s="14">
        <v>1</v>
      </c>
      <c r="BD196" s="14">
        <v>1</v>
      </c>
      <c r="BE196" s="14">
        <v>4</v>
      </c>
      <c r="BF196" s="14">
        <f>IFERROR(AVERAGE(Tabel1[[#This Row],[Up - V2a]:[Up - V2c]]),"")</f>
        <v>2</v>
      </c>
      <c r="BG196" s="14">
        <v>1</v>
      </c>
      <c r="BH196" s="14">
        <v>5</v>
      </c>
      <c r="BI196" s="14">
        <f>IFERROR(AVERAGE(Tabel1[[#This Row],[Up - V3a]:[Up - V3b]]),"")</f>
        <v>3</v>
      </c>
      <c r="BJ196" s="14">
        <v>5</v>
      </c>
      <c r="BK196" s="14">
        <f>IFERROR(AVERAGE(Tabel1[[#This Row],[Up - V1]],Tabel1[[#This Row],[Up - V2]],Tabel1[[#This Row],[Up - V3]],Tabel1[[#This Row],[Up - V4]]),"")</f>
        <v>2.75</v>
      </c>
      <c r="BL196" s="14">
        <v>5</v>
      </c>
      <c r="BM196" s="14">
        <v>4</v>
      </c>
      <c r="BN196" s="14">
        <v>2</v>
      </c>
      <c r="BO196" s="14">
        <v>1</v>
      </c>
      <c r="BP196" s="14">
        <f>IFERROR(AVERAGE(Tabel1[[#This Row],[Up - A1a]:[Up - A1d]]),"")</f>
        <v>3</v>
      </c>
      <c r="BQ196" s="14">
        <v>4</v>
      </c>
      <c r="BR196" s="14">
        <v>5</v>
      </c>
      <c r="BS196" s="14">
        <f>IFERROR(AVERAGE(Tabel1[[#This Row],[Up - A2a]:[Up - A2b]]),"")</f>
        <v>4.5</v>
      </c>
      <c r="BT196" s="14">
        <v>4</v>
      </c>
      <c r="BU196" s="14">
        <f>IFERROR(AVERAGE(Tabel1[[#This Row],[Up - A3a]:[Up - A3a]]),"")</f>
        <v>4</v>
      </c>
      <c r="BV196" s="14">
        <v>5</v>
      </c>
      <c r="BW196" s="14">
        <f>IFERROR(AVERAGE(Tabel1[[#This Row],[Up - A1]],Tabel1[[#This Row],[Up - A2]],Tabel1[[#This Row],[Up - A3]]),"")</f>
        <v>3.8333333333333335</v>
      </c>
      <c r="BX196" s="14">
        <v>4</v>
      </c>
      <c r="BY196" s="14">
        <v>5</v>
      </c>
      <c r="BZ196" s="14">
        <f>IFERROR(AVERAGE(Tabel1[[#This Row],[In - R1a]:[In - R1b]]),"")</f>
        <v>4.5</v>
      </c>
      <c r="CA196" s="14">
        <v>2</v>
      </c>
      <c r="CB196" s="14">
        <v>5</v>
      </c>
      <c r="CC196" s="14">
        <v>2</v>
      </c>
      <c r="CD196" s="14">
        <v>5</v>
      </c>
      <c r="CE196" s="14">
        <f>IFERROR(AVERAGE(Tabel1[[#This Row],[In - R1]:[In - R5]]),"")</f>
        <v>3.7</v>
      </c>
      <c r="CF196" s="14">
        <v>5</v>
      </c>
      <c r="CG196" s="14">
        <v>5</v>
      </c>
      <c r="CH196" s="14">
        <v>5</v>
      </c>
      <c r="CI196" s="14">
        <f>IFERROR(AVERAGE(Tabel1[[#This Row],[In - C1a]:[In - C1c]]),"")</f>
        <v>5</v>
      </c>
      <c r="CJ196" s="14">
        <v>3</v>
      </c>
      <c r="CK196" s="14">
        <v>3</v>
      </c>
      <c r="CL196" s="14">
        <v>4</v>
      </c>
      <c r="CM196" s="14">
        <f>IFERROR(AVERAGE(Tabel1[[#This Row],[In - C1]:[In - C4]]),"")</f>
        <v>3.75</v>
      </c>
      <c r="CN196" s="14">
        <v>4</v>
      </c>
      <c r="CO196" s="14">
        <v>1</v>
      </c>
      <c r="CP196" s="14">
        <v>1</v>
      </c>
      <c r="CQ196" s="14">
        <f>IFERROR(AVERAGE(Tabel1[[#This Row],[In - F1a]:[In - F1c]]),"")</f>
        <v>2</v>
      </c>
      <c r="CR196" s="14">
        <v>4</v>
      </c>
      <c r="CS196" s="14">
        <v>1</v>
      </c>
      <c r="CT196" s="14">
        <f>IFERROR(AVERAGE(Tabel1[[#This Row],[In - F2a]:[In - F2b]]),"")</f>
        <v>2.5</v>
      </c>
      <c r="CU196" s="14">
        <v>2</v>
      </c>
      <c r="CV196" s="14">
        <f>IFERROR(AVERAGE(Tabel1[[#This Row],[In - F3a]:[In - F3a]]),"")</f>
        <v>2</v>
      </c>
      <c r="CW196" s="14">
        <v>5</v>
      </c>
      <c r="CX196" s="14">
        <f>IFERROR(AVERAGE(Tabel1[[#This Row],[In - F1]],Tabel1[[#This Row],[In - F2]],Tabel1[[#This Row],[In - F3]],Tabel1[[#This Row],[In - F4]]),"")</f>
        <v>2.875</v>
      </c>
      <c r="CY196" s="14">
        <v>5</v>
      </c>
      <c r="CZ196" s="14">
        <v>5</v>
      </c>
      <c r="DA196" s="14">
        <v>4</v>
      </c>
      <c r="DB196" s="14">
        <f>IFERROR(AVERAGE(Tabel1[[#This Row],[In - V1a]:[In - V1c]]),"")</f>
        <v>4.666666666666667</v>
      </c>
      <c r="DC196" s="14">
        <v>2</v>
      </c>
      <c r="DD196" s="14">
        <v>4</v>
      </c>
      <c r="DE196" s="14">
        <v>5</v>
      </c>
      <c r="DF196" s="14">
        <f>IFERROR(AVERAGE(Tabel1[[#This Row],[In - V2a]:[In - V2c]]),"")</f>
        <v>3.6666666666666665</v>
      </c>
      <c r="DG196" s="14">
        <v>3</v>
      </c>
      <c r="DH196" s="14">
        <v>2</v>
      </c>
      <c r="DI196" s="14">
        <f>IFERROR(AVERAGE(Tabel1[[#This Row],[In - V3a]:[In - V3b]]),"")</f>
        <v>2.5</v>
      </c>
      <c r="DJ196" s="14" t="s">
        <v>189</v>
      </c>
      <c r="DK196" s="14">
        <f>IFERROR(AVERAGE(Tabel1[[#This Row],[In - V1]],Tabel1[[#This Row],[In - V2]],Tabel1[[#This Row],[In - V3]],Tabel1[[#This Row],[In - V4]]),"")</f>
        <v>3.6111111111111112</v>
      </c>
      <c r="DL196" s="14">
        <v>4</v>
      </c>
      <c r="DM196" s="14">
        <v>5</v>
      </c>
      <c r="DN196" s="14">
        <f>IFERROR(AVERAGE(Tabel1[[#This Row],[In - A1a]:[In - A1b]]),"")</f>
        <v>4.5</v>
      </c>
      <c r="DO196" s="14">
        <v>5</v>
      </c>
      <c r="DP196" s="14">
        <v>1</v>
      </c>
      <c r="DQ196" s="14">
        <f>IFERROR(AVERAGE(Tabel1[[#This Row],[In - A2a]:[In - A2b]]),"")</f>
        <v>3</v>
      </c>
      <c r="DR196" s="14">
        <v>4</v>
      </c>
      <c r="DS196" s="14">
        <v>1</v>
      </c>
      <c r="DT196" s="14">
        <f>IFERROR(AVERAGE(Tabel1[[#This Row],[In - A3a]:[In - A3a]]),"")</f>
        <v>4</v>
      </c>
      <c r="DU196" s="14">
        <v>2</v>
      </c>
      <c r="DV196" s="14">
        <f>IFERROR(AVERAGE(Tabel1[[#This Row],[In - A1]],Tabel1[[#This Row],[In - A2]],Tabel1[[#This Row],[In - A3]],Tabel1[[#This Row],[In - A4]]),"")</f>
        <v>3.375</v>
      </c>
      <c r="DW196" s="14" t="s">
        <v>189</v>
      </c>
      <c r="DX196" s="14">
        <v>5</v>
      </c>
      <c r="DY196" s="14">
        <v>4</v>
      </c>
      <c r="DZ196" s="14">
        <f>IFERROR(AVERAGE(Tabel1[[#This Row],[Do - R1a]:[Do - R1c]]),"")</f>
        <v>4.5</v>
      </c>
      <c r="EA196" s="14">
        <v>1</v>
      </c>
      <c r="EB196" s="14">
        <v>5</v>
      </c>
      <c r="EC196" s="14">
        <v>1</v>
      </c>
      <c r="ED196" s="14">
        <v>2</v>
      </c>
      <c r="EE196" s="14">
        <f>IFERROR(AVERAGE(Tabel1[[#This Row],[Do - R1]:[Do - R5]]),"")</f>
        <v>2.7</v>
      </c>
      <c r="EF196" s="14">
        <v>4</v>
      </c>
      <c r="EG196" s="14">
        <v>4</v>
      </c>
      <c r="EH196" s="14">
        <v>5</v>
      </c>
      <c r="EI196" s="14">
        <f>IFERROR(AVERAGE(Tabel1[[#This Row],[Do - C1a]:[Do - C1c]]),"")</f>
        <v>4.333333333333333</v>
      </c>
      <c r="EJ196" s="14">
        <v>5</v>
      </c>
      <c r="EK196" s="14">
        <v>1</v>
      </c>
      <c r="EL196" s="14">
        <v>2</v>
      </c>
      <c r="EM196" s="14">
        <f>IFERROR(AVERAGE(Tabel1[[#This Row],[Do - C1]:[Do - C4]]),"")</f>
        <v>3.083333333333333</v>
      </c>
      <c r="EN196" s="14">
        <v>3</v>
      </c>
      <c r="EO196" s="14">
        <v>3</v>
      </c>
      <c r="EP196" s="14">
        <v>5</v>
      </c>
      <c r="EQ196" s="14">
        <f>IFERROR(AVERAGE(Tabel1[[#This Row],[Do - F1a]:[Do - F1c]]),"")</f>
        <v>3.6666666666666665</v>
      </c>
      <c r="ER196" s="14">
        <v>1</v>
      </c>
      <c r="ES196" s="14">
        <f>IFERROR(AVERAGE(Tabel1[[#This Row],[Do - F2a]:[Do - F2a]]),"")</f>
        <v>1</v>
      </c>
      <c r="ET196" s="14">
        <v>5</v>
      </c>
      <c r="EU196" s="14" t="s">
        <v>189</v>
      </c>
      <c r="EV196" s="14">
        <f>IFERROR(AVERAGE(Tabel1[[#This Row],[Do - F3a]:[Do - F3b]]),"")</f>
        <v>5</v>
      </c>
      <c r="EW196" s="14">
        <v>1</v>
      </c>
      <c r="EX196" s="14">
        <f>IFERROR(AVERAGE(Tabel1[[#This Row],[Do - F1]],Tabel1[[#This Row],[Do - F2]],Tabel1[[#This Row],[Do - F3]],Tabel1[[#This Row],[Do - F4]]),"")</f>
        <v>2.6666666666666665</v>
      </c>
      <c r="EY196" s="14">
        <v>2</v>
      </c>
      <c r="EZ196" s="14">
        <v>1</v>
      </c>
      <c r="FA196" s="14">
        <v>1</v>
      </c>
      <c r="FB196" s="14">
        <f>IFERROR(AVERAGE(Tabel1[[#This Row],[Do - V1a]:[Do - V1c]]),"")</f>
        <v>1.3333333333333333</v>
      </c>
      <c r="FC196" s="14">
        <v>3</v>
      </c>
      <c r="FD196" s="14">
        <v>2</v>
      </c>
      <c r="FE196" s="14">
        <f>IFERROR(AVERAGE(Tabel1[[#This Row],[Do - V2a]:[Do - V2b]]),"")</f>
        <v>2.5</v>
      </c>
      <c r="FF196" s="14">
        <v>2</v>
      </c>
      <c r="FG196" s="14">
        <f>IFERROR(AVERAGE(Tabel1[[#This Row],[Do - V3a]:[Do - V3a]]),"")</f>
        <v>2</v>
      </c>
      <c r="FH196" s="14">
        <v>1</v>
      </c>
      <c r="FI196" s="14">
        <f>IFERROR(AVERAGE(Tabel1[[#This Row],[Do - V1]],Tabel1[[#This Row],[Do - V2]],Tabel1[[#This Row],[Do - V3]],Tabel1[[#This Row],[Do - V4]]),"")</f>
        <v>1.7083333333333333</v>
      </c>
      <c r="FJ196" s="14">
        <v>5</v>
      </c>
      <c r="FK196" s="14">
        <v>1</v>
      </c>
      <c r="FL196" s="14">
        <v>3</v>
      </c>
      <c r="FM196" s="14">
        <f>IFERROR(AVERAGE(Tabel1[[#This Row],[Do - A1a]:[Do - A1c]]),"")</f>
        <v>3</v>
      </c>
      <c r="FN196" s="14">
        <v>5</v>
      </c>
      <c r="FO196" s="14">
        <v>4</v>
      </c>
      <c r="FP196" s="14">
        <f>IFERROR(AVERAGE(Tabel1[[#This Row],[Do - A2a]:[Do - A2b]]),"")</f>
        <v>4.5</v>
      </c>
      <c r="FQ196" s="14">
        <v>3</v>
      </c>
      <c r="FR196" s="14">
        <f>IFERROR(AVERAGE(Tabel1[[#This Row],[Do - A3a]:[Do - A3a]]),"")</f>
        <v>3</v>
      </c>
      <c r="FS196" s="14">
        <v>4</v>
      </c>
      <c r="FT196" s="14">
        <f>IFERROR(AVERAGE(Tabel1[[#This Row],[Do - A1]],Tabel1[[#This Row],[Do - A2]],Tabel1[[#This Row],[Do - A3]],Tabel1[[#This Row],[Do - A4]]),"")</f>
        <v>3.625</v>
      </c>
      <c r="FU19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3.2335185185185185</v>
      </c>
      <c r="FV196" t="s">
        <v>1097</v>
      </c>
      <c r="FW196" t="b">
        <v>1</v>
      </c>
    </row>
    <row r="197" spans="1:179" x14ac:dyDescent="0.3">
      <c r="A197" s="13">
        <v>45240.708402777775</v>
      </c>
      <c r="B197" t="b">
        <v>0</v>
      </c>
      <c r="C197" s="14" t="s">
        <v>1098</v>
      </c>
      <c r="D197" s="14" t="s">
        <v>1059</v>
      </c>
      <c r="E197" s="14" t="s">
        <v>193</v>
      </c>
      <c r="F197" s="14" t="s">
        <v>189</v>
      </c>
      <c r="G197" s="14" t="s">
        <v>1099</v>
      </c>
      <c r="H197" s="14" t="s">
        <v>194</v>
      </c>
      <c r="I197" s="14" t="s">
        <v>195</v>
      </c>
      <c r="J197" s="14" t="s">
        <v>196</v>
      </c>
      <c r="K197" s="14" t="s">
        <v>187</v>
      </c>
      <c r="L197" s="14" t="s">
        <v>249</v>
      </c>
      <c r="M197" s="14" t="s">
        <v>233</v>
      </c>
      <c r="N197" s="14" t="s">
        <v>262</v>
      </c>
      <c r="O197" s="14" t="s">
        <v>200</v>
      </c>
      <c r="P197" s="14" t="s">
        <v>235</v>
      </c>
      <c r="Q197" s="14" t="s">
        <v>235</v>
      </c>
      <c r="R197" s="14" t="s">
        <v>202</v>
      </c>
      <c r="S197" s="14" t="s">
        <v>235</v>
      </c>
      <c r="T197" s="14" t="s">
        <v>204</v>
      </c>
      <c r="U197" s="14" t="s">
        <v>205</v>
      </c>
      <c r="V197" s="14" t="s">
        <v>206</v>
      </c>
      <c r="W197" s="14" t="s">
        <v>207</v>
      </c>
      <c r="X197" s="14" t="s">
        <v>207</v>
      </c>
      <c r="Y197" s="14">
        <v>3</v>
      </c>
      <c r="Z197" s="14">
        <v>4</v>
      </c>
      <c r="AA197" s="14" t="s">
        <v>189</v>
      </c>
      <c r="AB197" s="15">
        <f>IFERROR(AVERAGE(Tabel1[[#This Row],[Up - R1a]:[Up - R1c]]),"")</f>
        <v>3.5</v>
      </c>
      <c r="AC197" s="14">
        <v>3</v>
      </c>
      <c r="AD197" s="14">
        <v>5</v>
      </c>
      <c r="AE197" s="14">
        <v>2</v>
      </c>
      <c r="AF197" s="14" t="s">
        <v>189</v>
      </c>
      <c r="AG197" s="14">
        <f>IFERROR(AVERAGE(Tabel1[[#This Row],[Up - R1]:[Up - R5]]),"")</f>
        <v>3.375</v>
      </c>
      <c r="AH197" s="14">
        <v>3</v>
      </c>
      <c r="AI197" s="14">
        <v>2</v>
      </c>
      <c r="AJ197" s="14">
        <v>3</v>
      </c>
      <c r="AK197" s="14">
        <f>IFERROR(AVERAGE(Tabel1[[#This Row],[Up - C1a]:[Up - C1c]]),"")</f>
        <v>2.6666666666666665</v>
      </c>
      <c r="AL197" s="14">
        <v>1</v>
      </c>
      <c r="AM197" s="14">
        <v>2</v>
      </c>
      <c r="AN197" s="14">
        <v>3</v>
      </c>
      <c r="AO197" s="14">
        <f>IFERROR(AVERAGE(Tabel1[[#This Row],[Up - C1]:[Up - C4]]),"")</f>
        <v>2.1666666666666665</v>
      </c>
      <c r="AP197" s="14">
        <v>4</v>
      </c>
      <c r="AQ197" s="14">
        <f>IFERROR(AVERAGE(Tabel1[[#This Row],[Up - F1a]:[Up - F1a]]),"")</f>
        <v>4</v>
      </c>
      <c r="AR197" s="14">
        <v>1</v>
      </c>
      <c r="AS197" s="14">
        <v>1</v>
      </c>
      <c r="AT197" s="14">
        <f>IFERROR(AVERAGE(Tabel1[[#This Row],[Up - F2a]:[Up - F2b]]),"")</f>
        <v>1</v>
      </c>
      <c r="AU197" s="14">
        <v>4</v>
      </c>
      <c r="AV197" s="14" t="s">
        <v>189</v>
      </c>
      <c r="AW197" s="14">
        <f>IFERROR(AVERAGE(Tabel1[[#This Row],[Up - F3a]:[Up - F3b]]),"")</f>
        <v>4</v>
      </c>
      <c r="AX197" s="14">
        <v>3</v>
      </c>
      <c r="AY197" s="14">
        <f>IFERROR(AVERAGE(Tabel1[[#This Row],[Up - F1]],Tabel1[[#This Row],[Up - F2]],Tabel1[[#This Row],[Up - F3]],Tabel1[[#This Row],[Up - F4]]),"")</f>
        <v>3</v>
      </c>
      <c r="AZ197" s="14">
        <v>1</v>
      </c>
      <c r="BA197" s="14">
        <v>1</v>
      </c>
      <c r="BB197" s="14">
        <f>IFERROR(AVERAGE(Tabel1[[#This Row],[Up - V1a]:[Up - V1b]]),"")</f>
        <v>1</v>
      </c>
      <c r="BC197" s="14">
        <v>3</v>
      </c>
      <c r="BD197" s="14">
        <v>4</v>
      </c>
      <c r="BE197" s="14">
        <v>3</v>
      </c>
      <c r="BF197" s="14">
        <f>IFERROR(AVERAGE(Tabel1[[#This Row],[Up - V2a]:[Up - V2c]]),"")</f>
        <v>3.3333333333333335</v>
      </c>
      <c r="BG197" s="14">
        <v>3</v>
      </c>
      <c r="BH197" s="14" t="s">
        <v>189</v>
      </c>
      <c r="BI197" s="14">
        <f>IFERROR(AVERAGE(Tabel1[[#This Row],[Up - V3a]:[Up - V3b]]),"")</f>
        <v>3</v>
      </c>
      <c r="BJ197" s="14" t="s">
        <v>189</v>
      </c>
      <c r="BK197" s="14">
        <f>IFERROR(AVERAGE(Tabel1[[#This Row],[Up - V1]],Tabel1[[#This Row],[Up - V2]],Tabel1[[#This Row],[Up - V3]],Tabel1[[#This Row],[Up - V4]]),"")</f>
        <v>2.4444444444444446</v>
      </c>
      <c r="BL197" s="14">
        <v>4</v>
      </c>
      <c r="BM197" s="14">
        <v>5</v>
      </c>
      <c r="BN197" s="14">
        <v>1</v>
      </c>
      <c r="BO197" s="14">
        <v>3</v>
      </c>
      <c r="BP197" s="14">
        <f>IFERROR(AVERAGE(Tabel1[[#This Row],[Up - A1a]:[Up - A1d]]),"")</f>
        <v>3.25</v>
      </c>
      <c r="BQ197" s="14">
        <v>4</v>
      </c>
      <c r="BR197" s="14">
        <v>5</v>
      </c>
      <c r="BS197" s="14">
        <f>IFERROR(AVERAGE(Tabel1[[#This Row],[Up - A2a]:[Up - A2b]]),"")</f>
        <v>4.5</v>
      </c>
      <c r="BT197" s="14">
        <v>3</v>
      </c>
      <c r="BU197" s="14">
        <f>IFERROR(AVERAGE(Tabel1[[#This Row],[Up - A3a]:[Up - A3a]]),"")</f>
        <v>3</v>
      </c>
      <c r="BV197" s="14" t="s">
        <v>189</v>
      </c>
      <c r="BW197" s="14">
        <f>IFERROR(AVERAGE(Tabel1[[#This Row],[Up - A1]],Tabel1[[#This Row],[Up - A2]],Tabel1[[#This Row],[Up - A3]]),"")</f>
        <v>3.5833333333333335</v>
      </c>
      <c r="BX197" s="14">
        <v>4</v>
      </c>
      <c r="BY197" s="14">
        <v>5</v>
      </c>
      <c r="BZ197" s="14">
        <f>IFERROR(AVERAGE(Tabel1[[#This Row],[In - R1a]:[In - R1b]]),"")</f>
        <v>4.5</v>
      </c>
      <c r="CA197" s="14">
        <v>5</v>
      </c>
      <c r="CB197" s="14">
        <v>5</v>
      </c>
      <c r="CC197" s="14">
        <v>3</v>
      </c>
      <c r="CD197" s="14">
        <v>5</v>
      </c>
      <c r="CE197" s="14">
        <f>IFERROR(AVERAGE(Tabel1[[#This Row],[In - R1]:[In - R5]]),"")</f>
        <v>4.5</v>
      </c>
      <c r="CF197" s="14">
        <v>2</v>
      </c>
      <c r="CG197" s="14">
        <v>2</v>
      </c>
      <c r="CH197" s="14">
        <v>4</v>
      </c>
      <c r="CI197" s="14">
        <f>IFERROR(AVERAGE(Tabel1[[#This Row],[In - C1a]:[In - C1c]]),"")</f>
        <v>2.6666666666666665</v>
      </c>
      <c r="CJ197" s="14">
        <v>2</v>
      </c>
      <c r="CK197" s="14">
        <v>3</v>
      </c>
      <c r="CL197" s="14">
        <v>1</v>
      </c>
      <c r="CM197" s="14">
        <f>IFERROR(AVERAGE(Tabel1[[#This Row],[In - C1]:[In - C4]]),"")</f>
        <v>2.1666666666666665</v>
      </c>
      <c r="CN197" s="14">
        <v>3</v>
      </c>
      <c r="CO197" s="14">
        <v>3</v>
      </c>
      <c r="CP197" s="14">
        <v>3</v>
      </c>
      <c r="CQ197" s="14">
        <f>IFERROR(AVERAGE(Tabel1[[#This Row],[In - F1a]:[In - F1c]]),"")</f>
        <v>3</v>
      </c>
      <c r="CR197" s="14">
        <v>5</v>
      </c>
      <c r="CS197" s="14">
        <v>2</v>
      </c>
      <c r="CT197" s="14">
        <f>IFERROR(AVERAGE(Tabel1[[#This Row],[In - F2a]:[In - F2b]]),"")</f>
        <v>3.5</v>
      </c>
      <c r="CU197" s="14">
        <v>3</v>
      </c>
      <c r="CV197" s="14">
        <f>IFERROR(AVERAGE(Tabel1[[#This Row],[In - F3a]:[In - F3a]]),"")</f>
        <v>3</v>
      </c>
      <c r="CW197" s="14" t="s">
        <v>189</v>
      </c>
      <c r="CX197" s="14">
        <f>IFERROR(AVERAGE(Tabel1[[#This Row],[In - F1]],Tabel1[[#This Row],[In - F2]],Tabel1[[#This Row],[In - F3]],Tabel1[[#This Row],[In - F4]]),"")</f>
        <v>3.1666666666666665</v>
      </c>
      <c r="CY197" s="14">
        <v>4</v>
      </c>
      <c r="CZ197" s="14">
        <v>3</v>
      </c>
      <c r="DA197" s="14">
        <v>2</v>
      </c>
      <c r="DB197" s="14">
        <f>IFERROR(AVERAGE(Tabel1[[#This Row],[In - V1a]:[In - V1c]]),"")</f>
        <v>3</v>
      </c>
      <c r="DC197" s="14">
        <v>3</v>
      </c>
      <c r="DD197" s="14">
        <v>3</v>
      </c>
      <c r="DE197" s="14">
        <v>3</v>
      </c>
      <c r="DF197" s="14">
        <f>IFERROR(AVERAGE(Tabel1[[#This Row],[In - V2a]:[In - V2c]]),"")</f>
        <v>3</v>
      </c>
      <c r="DG197" s="14">
        <v>4</v>
      </c>
      <c r="DH197" s="14">
        <v>5</v>
      </c>
      <c r="DI197" s="14">
        <f>IFERROR(AVERAGE(Tabel1[[#This Row],[In - V3a]:[In - V3b]]),"")</f>
        <v>4.5</v>
      </c>
      <c r="DJ197" s="14">
        <v>4</v>
      </c>
      <c r="DK197" s="14">
        <f>IFERROR(AVERAGE(Tabel1[[#This Row],[In - V1]],Tabel1[[#This Row],[In - V2]],Tabel1[[#This Row],[In - V3]],Tabel1[[#This Row],[In - V4]]),"")</f>
        <v>3.625</v>
      </c>
      <c r="DL197" s="14">
        <v>3</v>
      </c>
      <c r="DM197" s="14">
        <v>3</v>
      </c>
      <c r="DN197" s="14">
        <f>IFERROR(AVERAGE(Tabel1[[#This Row],[In - A1a]:[In - A1b]]),"")</f>
        <v>3</v>
      </c>
      <c r="DO197" s="14">
        <v>5</v>
      </c>
      <c r="DP197" s="14">
        <v>2</v>
      </c>
      <c r="DQ197" s="14">
        <f>IFERROR(AVERAGE(Tabel1[[#This Row],[In - A2a]:[In - A2b]]),"")</f>
        <v>3.5</v>
      </c>
      <c r="DR197" s="14">
        <v>5</v>
      </c>
      <c r="DS197" s="14">
        <v>1</v>
      </c>
      <c r="DT197" s="14">
        <f>IFERROR(AVERAGE(Tabel1[[#This Row],[In - A3a]:[In - A3a]]),"")</f>
        <v>5</v>
      </c>
      <c r="DU197" s="14">
        <v>1</v>
      </c>
      <c r="DV197" s="14">
        <f>IFERROR(AVERAGE(Tabel1[[#This Row],[In - A1]],Tabel1[[#This Row],[In - A2]],Tabel1[[#This Row],[In - A3]],Tabel1[[#This Row],[In - A4]]),"")</f>
        <v>3.125</v>
      </c>
      <c r="DW197" s="14">
        <v>1</v>
      </c>
      <c r="DX197" s="14">
        <v>5</v>
      </c>
      <c r="DY197" s="14">
        <v>1</v>
      </c>
      <c r="DZ197" s="14">
        <f>IFERROR(AVERAGE(Tabel1[[#This Row],[Do - R1a]:[Do - R1c]]),"")</f>
        <v>2.3333333333333335</v>
      </c>
      <c r="EA197" s="14">
        <v>3</v>
      </c>
      <c r="EB197" s="14">
        <v>5</v>
      </c>
      <c r="EC197" s="14">
        <v>3</v>
      </c>
      <c r="ED197" s="14" t="s">
        <v>189</v>
      </c>
      <c r="EE197" s="14">
        <f>IFERROR(AVERAGE(Tabel1[[#This Row],[Do - R1]:[Do - R5]]),"")</f>
        <v>3.3333333333333335</v>
      </c>
      <c r="EF197" s="14">
        <v>3</v>
      </c>
      <c r="EG197" s="14">
        <v>2</v>
      </c>
      <c r="EH197" s="14">
        <v>2</v>
      </c>
      <c r="EI197" s="14">
        <f>IFERROR(AVERAGE(Tabel1[[#This Row],[Do - C1a]:[Do - C1c]]),"")</f>
        <v>2.3333333333333335</v>
      </c>
      <c r="EJ197" s="14">
        <v>4</v>
      </c>
      <c r="EK197" s="14" t="s">
        <v>189</v>
      </c>
      <c r="EL197" s="14">
        <v>3</v>
      </c>
      <c r="EM197" s="14">
        <f>IFERROR(AVERAGE(Tabel1[[#This Row],[Do - C1]:[Do - C4]]),"")</f>
        <v>3.1111111111111112</v>
      </c>
      <c r="EN197" s="14">
        <v>3</v>
      </c>
      <c r="EO197" s="14">
        <v>3</v>
      </c>
      <c r="EP197" s="14">
        <v>1</v>
      </c>
      <c r="EQ197" s="14">
        <f>IFERROR(AVERAGE(Tabel1[[#This Row],[Do - F1a]:[Do - F1c]]),"")</f>
        <v>2.3333333333333335</v>
      </c>
      <c r="ER197" s="14">
        <v>1</v>
      </c>
      <c r="ES197" s="14">
        <f>IFERROR(AVERAGE(Tabel1[[#This Row],[Do - F2a]:[Do - F2a]]),"")</f>
        <v>1</v>
      </c>
      <c r="ET197" s="14">
        <v>4</v>
      </c>
      <c r="EU197" s="14">
        <v>5</v>
      </c>
      <c r="EV197" s="14">
        <f>IFERROR(AVERAGE(Tabel1[[#This Row],[Do - F3a]:[Do - F3b]]),"")</f>
        <v>4.5</v>
      </c>
      <c r="EW197" s="14" t="s">
        <v>189</v>
      </c>
      <c r="EX197" s="14">
        <f>IFERROR(AVERAGE(Tabel1[[#This Row],[Do - F1]],Tabel1[[#This Row],[Do - F2]],Tabel1[[#This Row],[Do - F3]],Tabel1[[#This Row],[Do - F4]]),"")</f>
        <v>2.6111111111111112</v>
      </c>
      <c r="EY197" s="14">
        <v>1</v>
      </c>
      <c r="EZ197" s="14">
        <v>1</v>
      </c>
      <c r="FA197" s="14">
        <v>3</v>
      </c>
      <c r="FB197" s="14">
        <f>IFERROR(AVERAGE(Tabel1[[#This Row],[Do - V1a]:[Do - V1c]]),"")</f>
        <v>1.6666666666666667</v>
      </c>
      <c r="FC197" s="14">
        <v>3</v>
      </c>
      <c r="FD197" s="14">
        <v>3</v>
      </c>
      <c r="FE197" s="14">
        <f>IFERROR(AVERAGE(Tabel1[[#This Row],[Do - V2a]:[Do - V2b]]),"")</f>
        <v>3</v>
      </c>
      <c r="FF197" s="14">
        <v>2</v>
      </c>
      <c r="FG197" s="14">
        <f>IFERROR(AVERAGE(Tabel1[[#This Row],[Do - V3a]:[Do - V3a]]),"")</f>
        <v>2</v>
      </c>
      <c r="FH197" s="14">
        <v>1</v>
      </c>
      <c r="FI197" s="14">
        <f>IFERROR(AVERAGE(Tabel1[[#This Row],[Do - V1]],Tabel1[[#This Row],[Do - V2]],Tabel1[[#This Row],[Do - V3]],Tabel1[[#This Row],[Do - V4]]),"")</f>
        <v>1.9166666666666667</v>
      </c>
      <c r="FJ197" s="14">
        <v>5</v>
      </c>
      <c r="FK197" s="14">
        <v>1</v>
      </c>
      <c r="FL197" s="14">
        <v>1</v>
      </c>
      <c r="FM197" s="14">
        <f>IFERROR(AVERAGE(Tabel1[[#This Row],[Do - A1a]:[Do - A1c]]),"")</f>
        <v>2.3333333333333335</v>
      </c>
      <c r="FN197" s="14">
        <v>4</v>
      </c>
      <c r="FO197" s="14">
        <v>5</v>
      </c>
      <c r="FP197" s="14">
        <f>IFERROR(AVERAGE(Tabel1[[#This Row],[Do - A2a]:[Do - A2b]]),"")</f>
        <v>4.5</v>
      </c>
      <c r="FQ197" s="14">
        <v>4</v>
      </c>
      <c r="FR197" s="14">
        <f>IFERROR(AVERAGE(Tabel1[[#This Row],[Do - A3a]:[Do - A3a]]),"")</f>
        <v>4</v>
      </c>
      <c r="FS197" s="14" t="s">
        <v>189</v>
      </c>
      <c r="FT197" s="14">
        <f>IFERROR(AVERAGE(Tabel1[[#This Row],[Do - A1]],Tabel1[[#This Row],[Do - A2]],Tabel1[[#This Row],[Do - A3]],Tabel1[[#This Row],[Do - A4]]),"")</f>
        <v>3.6111111111111112</v>
      </c>
      <c r="FU19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3.0490740740740749</v>
      </c>
      <c r="FV197" s="16" t="s">
        <v>1100</v>
      </c>
      <c r="FW197" t="b">
        <v>1</v>
      </c>
    </row>
    <row r="198" spans="1:179" x14ac:dyDescent="0.3">
      <c r="A198" s="13">
        <v>45241.190243055556</v>
      </c>
      <c r="B198" t="b">
        <v>0</v>
      </c>
      <c r="C198" s="14" t="s">
        <v>1101</v>
      </c>
      <c r="D198" s="14" t="s">
        <v>1102</v>
      </c>
      <c r="E198" s="14" t="s">
        <v>1103</v>
      </c>
      <c r="F198" s="14" t="s">
        <v>189</v>
      </c>
      <c r="G198" s="14" t="s">
        <v>1104</v>
      </c>
      <c r="H198" s="14" t="s">
        <v>194</v>
      </c>
      <c r="I198" s="14" t="s">
        <v>195</v>
      </c>
      <c r="J198" s="14" t="s">
        <v>196</v>
      </c>
      <c r="K198" s="14" t="s">
        <v>187</v>
      </c>
      <c r="L198" s="14" t="s">
        <v>218</v>
      </c>
      <c r="M198" s="14" t="s">
        <v>233</v>
      </c>
      <c r="N198" s="14" t="s">
        <v>262</v>
      </c>
      <c r="O198" s="14" t="s">
        <v>200</v>
      </c>
      <c r="P198" s="14" t="s">
        <v>235</v>
      </c>
      <c r="Q198" s="14" t="s">
        <v>235</v>
      </c>
      <c r="R198" s="14" t="s">
        <v>187</v>
      </c>
      <c r="S198" s="14" t="s">
        <v>235</v>
      </c>
      <c r="T198" s="14" t="s">
        <v>204</v>
      </c>
      <c r="U198" s="14" t="s">
        <v>349</v>
      </c>
      <c r="V198" s="14" t="s">
        <v>206</v>
      </c>
      <c r="W198" s="14" t="s">
        <v>207</v>
      </c>
      <c r="X198" s="14" t="s">
        <v>306</v>
      </c>
      <c r="Y198" s="14">
        <v>4</v>
      </c>
      <c r="Z198" s="14">
        <v>4</v>
      </c>
      <c r="AA198" s="14">
        <v>4</v>
      </c>
      <c r="AB198" s="15">
        <f>IFERROR(AVERAGE(Tabel1[[#This Row],[Up - R1a]:[Up - R1c]]),"")</f>
        <v>4</v>
      </c>
      <c r="AC198" s="14">
        <v>4</v>
      </c>
      <c r="AD198" s="14">
        <v>5</v>
      </c>
      <c r="AE198" s="14">
        <v>2</v>
      </c>
      <c r="AF198" s="14" t="s">
        <v>189</v>
      </c>
      <c r="AG198" s="14">
        <f>IFERROR(AVERAGE(Tabel1[[#This Row],[Up - R1]:[Up - R5]]),"")</f>
        <v>3.75</v>
      </c>
      <c r="AH198" s="14">
        <v>3</v>
      </c>
      <c r="AI198" s="14">
        <v>4</v>
      </c>
      <c r="AJ198" s="14">
        <v>4</v>
      </c>
      <c r="AK198" s="14">
        <f>IFERROR(AVERAGE(Tabel1[[#This Row],[Up - C1a]:[Up - C1c]]),"")</f>
        <v>3.6666666666666665</v>
      </c>
      <c r="AL198" s="14" t="s">
        <v>189</v>
      </c>
      <c r="AM198" s="14">
        <v>4</v>
      </c>
      <c r="AN198" s="14">
        <v>4</v>
      </c>
      <c r="AO198" s="14">
        <f>IFERROR(AVERAGE(Tabel1[[#This Row],[Up - C1]:[Up - C4]]),"")</f>
        <v>3.8888888888888888</v>
      </c>
      <c r="AP198" s="14" t="s">
        <v>189</v>
      </c>
      <c r="AQ198" s="14" t="str">
        <f>IFERROR(AVERAGE(Tabel1[[#This Row],[Up - F1a]:[Up - F1a]]),"")</f>
        <v/>
      </c>
      <c r="AR198" s="14">
        <v>3</v>
      </c>
      <c r="AS198" s="14">
        <v>4</v>
      </c>
      <c r="AT198" s="14">
        <f>IFERROR(AVERAGE(Tabel1[[#This Row],[Up - F2a]:[Up - F2b]]),"")</f>
        <v>3.5</v>
      </c>
      <c r="AU198" s="14">
        <v>4</v>
      </c>
      <c r="AV198" s="14" t="s">
        <v>189</v>
      </c>
      <c r="AW198" s="14">
        <f>IFERROR(AVERAGE(Tabel1[[#This Row],[Up - F3a]:[Up - F3b]]),"")</f>
        <v>4</v>
      </c>
      <c r="AX198" s="14" t="s">
        <v>189</v>
      </c>
      <c r="AY198" s="14">
        <f>IFERROR(AVERAGE(Tabel1[[#This Row],[Up - F1]],Tabel1[[#This Row],[Up - F2]],Tabel1[[#This Row],[Up - F3]],Tabel1[[#This Row],[Up - F4]]),"")</f>
        <v>3.75</v>
      </c>
      <c r="AZ198" s="14">
        <v>4</v>
      </c>
      <c r="BA198" s="14">
        <v>4</v>
      </c>
      <c r="BB198" s="14">
        <f>IFERROR(AVERAGE(Tabel1[[#This Row],[Up - V1a]:[Up - V1b]]),"")</f>
        <v>4</v>
      </c>
      <c r="BC198" s="14">
        <v>5</v>
      </c>
      <c r="BD198" s="14">
        <v>4</v>
      </c>
      <c r="BE198" s="14">
        <v>5</v>
      </c>
      <c r="BF198" s="14">
        <f>IFERROR(AVERAGE(Tabel1[[#This Row],[Up - V2a]:[Up - V2c]]),"")</f>
        <v>4.666666666666667</v>
      </c>
      <c r="BG198" s="14">
        <v>4</v>
      </c>
      <c r="BH198" s="14">
        <v>5</v>
      </c>
      <c r="BI198" s="14">
        <f>IFERROR(AVERAGE(Tabel1[[#This Row],[Up - V3a]:[Up - V3b]]),"")</f>
        <v>4.5</v>
      </c>
      <c r="BJ198" s="14">
        <v>5</v>
      </c>
      <c r="BK198" s="14">
        <f>IFERROR(AVERAGE(Tabel1[[#This Row],[Up - V1]],Tabel1[[#This Row],[Up - V2]],Tabel1[[#This Row],[Up - V3]],Tabel1[[#This Row],[Up - V4]]),"")</f>
        <v>4.541666666666667</v>
      </c>
      <c r="BL198" s="14">
        <v>4</v>
      </c>
      <c r="BM198" s="14">
        <v>4</v>
      </c>
      <c r="BN198" s="14" t="s">
        <v>189</v>
      </c>
      <c r="BO198" s="14" t="s">
        <v>189</v>
      </c>
      <c r="BP198" s="14">
        <f>IFERROR(AVERAGE(Tabel1[[#This Row],[Up - A1a]:[Up - A1d]]),"")</f>
        <v>4</v>
      </c>
      <c r="BQ198" s="14" t="s">
        <v>189</v>
      </c>
      <c r="BR198" s="14">
        <v>4</v>
      </c>
      <c r="BS198" s="14">
        <f>IFERROR(AVERAGE(Tabel1[[#This Row],[Up - A2a]:[Up - A2b]]),"")</f>
        <v>4</v>
      </c>
      <c r="BT198" s="14">
        <v>4</v>
      </c>
      <c r="BU198" s="14">
        <f>IFERROR(AVERAGE(Tabel1[[#This Row],[Up - A3a]:[Up - A3a]]),"")</f>
        <v>4</v>
      </c>
      <c r="BV198" s="14">
        <v>4</v>
      </c>
      <c r="BW198" s="14">
        <f>IFERROR(AVERAGE(Tabel1[[#This Row],[Up - A1]],Tabel1[[#This Row],[Up - A2]],Tabel1[[#This Row],[Up - A3]]),"")</f>
        <v>4</v>
      </c>
      <c r="BX198" s="14">
        <v>5</v>
      </c>
      <c r="BY198" s="14">
        <v>5</v>
      </c>
      <c r="BZ198" s="14">
        <f>IFERROR(AVERAGE(Tabel1[[#This Row],[In - R1a]:[In - R1b]]),"")</f>
        <v>5</v>
      </c>
      <c r="CA198" s="14">
        <v>5</v>
      </c>
      <c r="CB198" s="14">
        <v>5</v>
      </c>
      <c r="CC198" s="14">
        <v>2</v>
      </c>
      <c r="CD198" s="14">
        <v>5</v>
      </c>
      <c r="CE198" s="14">
        <f>IFERROR(AVERAGE(Tabel1[[#This Row],[In - R1]:[In - R5]]),"")</f>
        <v>4.4000000000000004</v>
      </c>
      <c r="CF198" s="14">
        <v>5</v>
      </c>
      <c r="CG198" s="14">
        <v>4</v>
      </c>
      <c r="CH198" s="14">
        <v>4</v>
      </c>
      <c r="CI198" s="14">
        <f>IFERROR(AVERAGE(Tabel1[[#This Row],[In - C1a]:[In - C1c]]),"")</f>
        <v>4.333333333333333</v>
      </c>
      <c r="CJ198" s="14">
        <v>5</v>
      </c>
      <c r="CK198" s="14">
        <v>4</v>
      </c>
      <c r="CL198" s="14">
        <v>4</v>
      </c>
      <c r="CM198" s="14">
        <f>IFERROR(AVERAGE(Tabel1[[#This Row],[In - C1]:[In - C4]]),"")</f>
        <v>4.333333333333333</v>
      </c>
      <c r="CN198" s="14">
        <v>4</v>
      </c>
      <c r="CO198" s="14">
        <v>2</v>
      </c>
      <c r="CP198" s="14">
        <v>5</v>
      </c>
      <c r="CQ198" s="14">
        <f>IFERROR(AVERAGE(Tabel1[[#This Row],[In - F1a]:[In - F1c]]),"")</f>
        <v>3.6666666666666665</v>
      </c>
      <c r="CR198" s="14">
        <v>5</v>
      </c>
      <c r="CS198" s="14">
        <v>2</v>
      </c>
      <c r="CT198" s="14">
        <f>IFERROR(AVERAGE(Tabel1[[#This Row],[In - F2a]:[In - F2b]]),"")</f>
        <v>3.5</v>
      </c>
      <c r="CU198" s="14">
        <v>4</v>
      </c>
      <c r="CV198" s="14">
        <f>IFERROR(AVERAGE(Tabel1[[#This Row],[In - F3a]:[In - F3a]]),"")</f>
        <v>4</v>
      </c>
      <c r="CW198" s="14" t="s">
        <v>189</v>
      </c>
      <c r="CX198" s="14">
        <f>IFERROR(AVERAGE(Tabel1[[#This Row],[In - F1]],Tabel1[[#This Row],[In - F2]],Tabel1[[#This Row],[In - F3]],Tabel1[[#This Row],[In - F4]]),"")</f>
        <v>3.7222222222222219</v>
      </c>
      <c r="CY198" s="14">
        <v>5</v>
      </c>
      <c r="CZ198" s="14">
        <v>5</v>
      </c>
      <c r="DA198" s="14">
        <v>4</v>
      </c>
      <c r="DB198" s="14">
        <f>IFERROR(AVERAGE(Tabel1[[#This Row],[In - V1a]:[In - V1c]]),"")</f>
        <v>4.666666666666667</v>
      </c>
      <c r="DC198" s="14">
        <v>4</v>
      </c>
      <c r="DD198" s="14">
        <v>4</v>
      </c>
      <c r="DE198" s="14">
        <v>5</v>
      </c>
      <c r="DF198" s="14">
        <f>IFERROR(AVERAGE(Tabel1[[#This Row],[In - V2a]:[In - V2c]]),"")</f>
        <v>4.333333333333333</v>
      </c>
      <c r="DG198" s="14">
        <v>4</v>
      </c>
      <c r="DH198" s="14">
        <v>5</v>
      </c>
      <c r="DI198" s="14">
        <f>IFERROR(AVERAGE(Tabel1[[#This Row],[In - V3a]:[In - V3b]]),"")</f>
        <v>4.5</v>
      </c>
      <c r="DJ198" s="14">
        <v>5</v>
      </c>
      <c r="DK198" s="14">
        <f>IFERROR(AVERAGE(Tabel1[[#This Row],[In - V1]],Tabel1[[#This Row],[In - V2]],Tabel1[[#This Row],[In - V3]],Tabel1[[#This Row],[In - V4]]),"")</f>
        <v>4.625</v>
      </c>
      <c r="DL198" s="14">
        <v>3</v>
      </c>
      <c r="DM198" s="14">
        <v>5</v>
      </c>
      <c r="DN198" s="14">
        <f>IFERROR(AVERAGE(Tabel1[[#This Row],[In - A1a]:[In - A1b]]),"")</f>
        <v>4</v>
      </c>
      <c r="DO198" s="14">
        <v>3</v>
      </c>
      <c r="DP198" s="14">
        <v>4</v>
      </c>
      <c r="DQ198" s="14">
        <f>IFERROR(AVERAGE(Tabel1[[#This Row],[In - A2a]:[In - A2b]]),"")</f>
        <v>3.5</v>
      </c>
      <c r="DR198" s="14">
        <v>4</v>
      </c>
      <c r="DS198" s="14">
        <v>3</v>
      </c>
      <c r="DT198" s="14">
        <f>IFERROR(AVERAGE(Tabel1[[#This Row],[In - A3a]:[In - A3a]]),"")</f>
        <v>4</v>
      </c>
      <c r="DU198" s="14">
        <v>3</v>
      </c>
      <c r="DV198" s="14">
        <f>IFERROR(AVERAGE(Tabel1[[#This Row],[In - A1]],Tabel1[[#This Row],[In - A2]],Tabel1[[#This Row],[In - A3]],Tabel1[[#This Row],[In - A4]]),"")</f>
        <v>3.625</v>
      </c>
      <c r="DW198" s="14">
        <v>5</v>
      </c>
      <c r="DX198" s="14">
        <v>5</v>
      </c>
      <c r="DY198" s="14">
        <v>5</v>
      </c>
      <c r="DZ198" s="14">
        <f>IFERROR(AVERAGE(Tabel1[[#This Row],[Do - R1a]:[Do - R1c]]),"")</f>
        <v>5</v>
      </c>
      <c r="EA198" s="14">
        <v>4</v>
      </c>
      <c r="EB198" s="14">
        <v>4</v>
      </c>
      <c r="EC198" s="14">
        <v>3</v>
      </c>
      <c r="ED198" s="14">
        <v>4</v>
      </c>
      <c r="EE198" s="14">
        <f>IFERROR(AVERAGE(Tabel1[[#This Row],[Do - R1]:[Do - R5]]),"")</f>
        <v>4</v>
      </c>
      <c r="EF198" s="14">
        <v>3</v>
      </c>
      <c r="EG198" s="14">
        <v>4</v>
      </c>
      <c r="EH198" s="14">
        <v>4</v>
      </c>
      <c r="EI198" s="14">
        <f>IFERROR(AVERAGE(Tabel1[[#This Row],[Do - C1a]:[Do - C1c]]),"")</f>
        <v>3.6666666666666665</v>
      </c>
      <c r="EJ198" s="14" t="s">
        <v>189</v>
      </c>
      <c r="EK198" s="14">
        <v>4</v>
      </c>
      <c r="EL198" s="14">
        <v>4</v>
      </c>
      <c r="EM198" s="14">
        <f>IFERROR(AVERAGE(Tabel1[[#This Row],[Do - C1]:[Do - C4]]),"")</f>
        <v>3.8888888888888888</v>
      </c>
      <c r="EN198" s="14" t="s">
        <v>189</v>
      </c>
      <c r="EO198" s="14" t="s">
        <v>189</v>
      </c>
      <c r="EP198" s="14">
        <v>5</v>
      </c>
      <c r="EQ198" s="14">
        <f>IFERROR(AVERAGE(Tabel1[[#This Row],[Do - F1a]:[Do - F1c]]),"")</f>
        <v>5</v>
      </c>
      <c r="ER198" s="14">
        <v>5</v>
      </c>
      <c r="ES198" s="14">
        <f>IFERROR(AVERAGE(Tabel1[[#This Row],[Do - F2a]:[Do - F2a]]),"")</f>
        <v>5</v>
      </c>
      <c r="ET198" s="14">
        <v>4</v>
      </c>
      <c r="EU198" s="14">
        <v>4</v>
      </c>
      <c r="EV198" s="14">
        <f>IFERROR(AVERAGE(Tabel1[[#This Row],[Do - F3a]:[Do - F3b]]),"")</f>
        <v>4</v>
      </c>
      <c r="EW198" s="14" t="s">
        <v>189</v>
      </c>
      <c r="EX198" s="14">
        <f>IFERROR(AVERAGE(Tabel1[[#This Row],[Do - F1]],Tabel1[[#This Row],[Do - F2]],Tabel1[[#This Row],[Do - F3]],Tabel1[[#This Row],[Do - F4]]),"")</f>
        <v>4.666666666666667</v>
      </c>
      <c r="EY198" s="14">
        <v>4</v>
      </c>
      <c r="EZ198" s="14">
        <v>3</v>
      </c>
      <c r="FA198" s="14" t="s">
        <v>189</v>
      </c>
      <c r="FB198" s="14">
        <f>IFERROR(AVERAGE(Tabel1[[#This Row],[Do - V1a]:[Do - V1c]]),"")</f>
        <v>3.5</v>
      </c>
      <c r="FC198" s="14">
        <v>5</v>
      </c>
      <c r="FD198" s="14">
        <v>4</v>
      </c>
      <c r="FE198" s="14">
        <f>IFERROR(AVERAGE(Tabel1[[#This Row],[Do - V2a]:[Do - V2b]]),"")</f>
        <v>4.5</v>
      </c>
      <c r="FF198" s="14">
        <v>4</v>
      </c>
      <c r="FG198" s="14">
        <f>IFERROR(AVERAGE(Tabel1[[#This Row],[Do - V3a]:[Do - V3a]]),"")</f>
        <v>4</v>
      </c>
      <c r="FH198" s="14">
        <v>4</v>
      </c>
      <c r="FI198" s="14">
        <f>IFERROR(AVERAGE(Tabel1[[#This Row],[Do - V1]],Tabel1[[#This Row],[Do - V2]],Tabel1[[#This Row],[Do - V3]],Tabel1[[#This Row],[Do - V4]]),"")</f>
        <v>4</v>
      </c>
      <c r="FJ198" s="14" t="s">
        <v>189</v>
      </c>
      <c r="FK198" s="14">
        <v>4</v>
      </c>
      <c r="FL198" s="14" t="s">
        <v>189</v>
      </c>
      <c r="FM198" s="14">
        <f>IFERROR(AVERAGE(Tabel1[[#This Row],[Do - A1a]:[Do - A1c]]),"")</f>
        <v>4</v>
      </c>
      <c r="FN198" s="14">
        <v>4</v>
      </c>
      <c r="FO198" s="14">
        <v>4</v>
      </c>
      <c r="FP198" s="14">
        <f>IFERROR(AVERAGE(Tabel1[[#This Row],[Do - A2a]:[Do - A2b]]),"")</f>
        <v>4</v>
      </c>
      <c r="FQ198" s="14">
        <v>4</v>
      </c>
      <c r="FR198" s="14">
        <f>IFERROR(AVERAGE(Tabel1[[#This Row],[Do - A3a]:[Do - A3a]]),"")</f>
        <v>4</v>
      </c>
      <c r="FS198" s="14">
        <v>3</v>
      </c>
      <c r="FT198" s="14">
        <f>IFERROR(AVERAGE(Tabel1[[#This Row],[Do - A1]],Tabel1[[#This Row],[Do - A2]],Tabel1[[#This Row],[Do - A3]],Tabel1[[#This Row],[Do - A4]]),"")</f>
        <v>3.75</v>
      </c>
      <c r="FU19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4.0627777777777778</v>
      </c>
      <c r="FV198" s="16" t="s">
        <v>1105</v>
      </c>
      <c r="FW198" t="b">
        <v>1</v>
      </c>
    </row>
    <row r="199" spans="1:179" x14ac:dyDescent="0.3">
      <c r="A199" s="13">
        <v>45243.58761574074</v>
      </c>
      <c r="B199" t="b">
        <v>0</v>
      </c>
      <c r="C199" s="14" t="s">
        <v>1106</v>
      </c>
      <c r="D199" s="14" t="s">
        <v>864</v>
      </c>
      <c r="E199" s="14" t="s">
        <v>193</v>
      </c>
      <c r="F199" s="14" t="s">
        <v>189</v>
      </c>
      <c r="G199" s="14" t="s">
        <v>1068</v>
      </c>
      <c r="H199" s="14" t="s">
        <v>194</v>
      </c>
      <c r="I199" s="14" t="s">
        <v>195</v>
      </c>
      <c r="J199" s="14" t="s">
        <v>196</v>
      </c>
      <c r="K199" s="14" t="s">
        <v>235</v>
      </c>
      <c r="L199" s="14" t="s">
        <v>197</v>
      </c>
      <c r="M199" s="14" t="s">
        <v>198</v>
      </c>
      <c r="N199" s="14" t="s">
        <v>262</v>
      </c>
      <c r="O199" s="14" t="s">
        <v>200</v>
      </c>
      <c r="P199" s="14" t="s">
        <v>235</v>
      </c>
      <c r="Q199" s="14" t="s">
        <v>202</v>
      </c>
      <c r="R199" s="14" t="s">
        <v>202</v>
      </c>
      <c r="S199" s="14" t="s">
        <v>187</v>
      </c>
      <c r="T199" s="14" t="s">
        <v>204</v>
      </c>
      <c r="U199" s="14" t="s">
        <v>205</v>
      </c>
      <c r="V199" s="14" t="s">
        <v>206</v>
      </c>
      <c r="W199" s="14" t="s">
        <v>207</v>
      </c>
      <c r="X199" s="14" t="s">
        <v>207</v>
      </c>
      <c r="Y199" s="14">
        <v>4</v>
      </c>
      <c r="Z199" s="14">
        <v>5</v>
      </c>
      <c r="AA199" s="14">
        <v>4</v>
      </c>
      <c r="AB199" s="15">
        <f>IFERROR(AVERAGE(Tabel1[[#This Row],[Up - R1a]:[Up - R1c]]),"")</f>
        <v>4.333333333333333</v>
      </c>
      <c r="AC199" s="14">
        <v>4</v>
      </c>
      <c r="AD199" s="14">
        <v>3</v>
      </c>
      <c r="AE199" s="14">
        <v>2</v>
      </c>
      <c r="AF199" s="14">
        <v>3</v>
      </c>
      <c r="AG199" s="14">
        <f>IFERROR(AVERAGE(Tabel1[[#This Row],[Up - R1]:[Up - R5]]),"")</f>
        <v>3.2666666666666666</v>
      </c>
      <c r="AH199" s="14">
        <v>4</v>
      </c>
      <c r="AI199" s="14">
        <v>4</v>
      </c>
      <c r="AJ199" s="14">
        <v>4</v>
      </c>
      <c r="AK199" s="14">
        <f>IFERROR(AVERAGE(Tabel1[[#This Row],[Up - C1a]:[Up - C1c]]),"")</f>
        <v>4</v>
      </c>
      <c r="AL199" s="14">
        <v>2</v>
      </c>
      <c r="AM199" s="14">
        <v>3</v>
      </c>
      <c r="AN199" s="14">
        <v>2</v>
      </c>
      <c r="AO199" s="14">
        <f>IFERROR(AVERAGE(Tabel1[[#This Row],[Up - C1]:[Up - C4]]),"")</f>
        <v>2.75</v>
      </c>
      <c r="AP199" s="14">
        <v>4</v>
      </c>
      <c r="AQ199" s="14">
        <f>IFERROR(AVERAGE(Tabel1[[#This Row],[Up - F1a]:[Up - F1a]]),"")</f>
        <v>4</v>
      </c>
      <c r="AR199" s="14">
        <v>2</v>
      </c>
      <c r="AS199" s="14">
        <v>3</v>
      </c>
      <c r="AT199" s="14">
        <f>IFERROR(AVERAGE(Tabel1[[#This Row],[Up - F2a]:[Up - F2b]]),"")</f>
        <v>2.5</v>
      </c>
      <c r="AU199" s="14">
        <v>4</v>
      </c>
      <c r="AV199" s="14" t="s">
        <v>189</v>
      </c>
      <c r="AW199" s="14">
        <f>IFERROR(AVERAGE(Tabel1[[#This Row],[Up - F3a]:[Up - F3b]]),"")</f>
        <v>4</v>
      </c>
      <c r="AX199" s="14">
        <v>2</v>
      </c>
      <c r="AY199" s="14">
        <f>IFERROR(AVERAGE(Tabel1[[#This Row],[Up - F1]],Tabel1[[#This Row],[Up - F2]],Tabel1[[#This Row],[Up - F3]],Tabel1[[#This Row],[Up - F4]]),"")</f>
        <v>3.125</v>
      </c>
      <c r="AZ199" s="14" t="s">
        <v>189</v>
      </c>
      <c r="BA199" s="14">
        <v>4</v>
      </c>
      <c r="BB199" s="14">
        <f>IFERROR(AVERAGE(Tabel1[[#This Row],[Up - V1a]:[Up - V1b]]),"")</f>
        <v>4</v>
      </c>
      <c r="BC199" s="14">
        <v>2</v>
      </c>
      <c r="BD199" s="14">
        <v>4</v>
      </c>
      <c r="BE199" s="14">
        <v>5</v>
      </c>
      <c r="BF199" s="14">
        <f>IFERROR(AVERAGE(Tabel1[[#This Row],[Up - V2a]:[Up - V2c]]),"")</f>
        <v>3.6666666666666665</v>
      </c>
      <c r="BG199" s="14">
        <v>2</v>
      </c>
      <c r="BH199" s="14" t="s">
        <v>189</v>
      </c>
      <c r="BI199" s="14">
        <f>IFERROR(AVERAGE(Tabel1[[#This Row],[Up - V3a]:[Up - V3b]]),"")</f>
        <v>2</v>
      </c>
      <c r="BJ199" s="14" t="s">
        <v>189</v>
      </c>
      <c r="BK199" s="14">
        <f>IFERROR(AVERAGE(Tabel1[[#This Row],[Up - V1]],Tabel1[[#This Row],[Up - V2]],Tabel1[[#This Row],[Up - V3]],Tabel1[[#This Row],[Up - V4]]),"")</f>
        <v>3.2222222222222219</v>
      </c>
      <c r="BL199" s="14">
        <v>4</v>
      </c>
      <c r="BM199" s="14">
        <v>3</v>
      </c>
      <c r="BN199" s="14">
        <v>3</v>
      </c>
      <c r="BO199" s="14">
        <v>2</v>
      </c>
      <c r="BP199" s="14">
        <f>IFERROR(AVERAGE(Tabel1[[#This Row],[Up - A1a]:[Up - A1d]]),"")</f>
        <v>3</v>
      </c>
      <c r="BQ199" s="14">
        <v>4</v>
      </c>
      <c r="BR199" s="14">
        <v>4</v>
      </c>
      <c r="BS199" s="14">
        <f>IFERROR(AVERAGE(Tabel1[[#This Row],[Up - A2a]:[Up - A2b]]),"")</f>
        <v>4</v>
      </c>
      <c r="BT199" s="14">
        <v>4</v>
      </c>
      <c r="BU199" s="14">
        <f>IFERROR(AVERAGE(Tabel1[[#This Row],[Up - A3a]:[Up - A3a]]),"")</f>
        <v>4</v>
      </c>
      <c r="BV199" s="14">
        <v>4</v>
      </c>
      <c r="BW199" s="14">
        <f>IFERROR(AVERAGE(Tabel1[[#This Row],[Up - A1]],Tabel1[[#This Row],[Up - A2]],Tabel1[[#This Row],[Up - A3]]),"")</f>
        <v>3.6666666666666665</v>
      </c>
      <c r="BX199" s="14">
        <v>3</v>
      </c>
      <c r="BY199" s="14">
        <v>5</v>
      </c>
      <c r="BZ199" s="14">
        <f>IFERROR(AVERAGE(Tabel1[[#This Row],[In - R1a]:[In - R1b]]),"")</f>
        <v>4</v>
      </c>
      <c r="CA199" s="14">
        <v>4</v>
      </c>
      <c r="CB199" s="14">
        <v>4</v>
      </c>
      <c r="CC199" s="14">
        <v>2</v>
      </c>
      <c r="CD199" s="14">
        <v>4</v>
      </c>
      <c r="CE199" s="14">
        <f>IFERROR(AVERAGE(Tabel1[[#This Row],[In - R1]:[In - R5]]),"")</f>
        <v>3.6</v>
      </c>
      <c r="CF199" s="14">
        <v>4</v>
      </c>
      <c r="CG199" s="14">
        <v>5</v>
      </c>
      <c r="CH199" s="14">
        <v>5</v>
      </c>
      <c r="CI199" s="14">
        <f>IFERROR(AVERAGE(Tabel1[[#This Row],[In - C1a]:[In - C1c]]),"")</f>
        <v>4.666666666666667</v>
      </c>
      <c r="CJ199" s="14">
        <v>2</v>
      </c>
      <c r="CK199" s="14">
        <v>3</v>
      </c>
      <c r="CL199" s="14">
        <v>2</v>
      </c>
      <c r="CM199" s="14">
        <f>IFERROR(AVERAGE(Tabel1[[#This Row],[In - C1]:[In - C4]]),"")</f>
        <v>2.916666666666667</v>
      </c>
      <c r="CN199" s="14">
        <v>3</v>
      </c>
      <c r="CO199" s="14">
        <v>2</v>
      </c>
      <c r="CP199" s="14">
        <v>1</v>
      </c>
      <c r="CQ199" s="14">
        <f>IFERROR(AVERAGE(Tabel1[[#This Row],[In - F1a]:[In - F1c]]),"")</f>
        <v>2</v>
      </c>
      <c r="CR199" s="14">
        <v>4</v>
      </c>
      <c r="CS199" s="14">
        <v>2</v>
      </c>
      <c r="CT199" s="14">
        <f>IFERROR(AVERAGE(Tabel1[[#This Row],[In - F2a]:[In - F2b]]),"")</f>
        <v>3</v>
      </c>
      <c r="CU199" s="14">
        <v>2</v>
      </c>
      <c r="CV199" s="14">
        <f>IFERROR(AVERAGE(Tabel1[[#This Row],[In - F3a]:[In - F3a]]),"")</f>
        <v>2</v>
      </c>
      <c r="CW199" s="14">
        <v>4</v>
      </c>
      <c r="CX199" s="14">
        <f>IFERROR(AVERAGE(Tabel1[[#This Row],[In - F1]],Tabel1[[#This Row],[In - F2]],Tabel1[[#This Row],[In - F3]],Tabel1[[#This Row],[In - F4]]),"")</f>
        <v>2.75</v>
      </c>
      <c r="CY199" s="14">
        <v>3</v>
      </c>
      <c r="CZ199" s="14">
        <v>3</v>
      </c>
      <c r="DA199" s="14">
        <v>3</v>
      </c>
      <c r="DB199" s="14">
        <f>IFERROR(AVERAGE(Tabel1[[#This Row],[In - V1a]:[In - V1c]]),"")</f>
        <v>3</v>
      </c>
      <c r="DC199" s="14">
        <v>3</v>
      </c>
      <c r="DD199" s="14">
        <v>4</v>
      </c>
      <c r="DE199" s="14">
        <v>3</v>
      </c>
      <c r="DF199" s="14">
        <f>IFERROR(AVERAGE(Tabel1[[#This Row],[In - V2a]:[In - V2c]]),"")</f>
        <v>3.3333333333333335</v>
      </c>
      <c r="DG199" s="14">
        <v>4</v>
      </c>
      <c r="DH199" s="14">
        <v>3</v>
      </c>
      <c r="DI199" s="14">
        <f>IFERROR(AVERAGE(Tabel1[[#This Row],[In - V3a]:[In - V3b]]),"")</f>
        <v>3.5</v>
      </c>
      <c r="DJ199" s="14">
        <v>4</v>
      </c>
      <c r="DK199" s="14">
        <f>IFERROR(AVERAGE(Tabel1[[#This Row],[In - V1]],Tabel1[[#This Row],[In - V2]],Tabel1[[#This Row],[In - V3]],Tabel1[[#This Row],[In - V4]]),"")</f>
        <v>3.4583333333333335</v>
      </c>
      <c r="DL199" s="14">
        <v>3</v>
      </c>
      <c r="DM199" s="14">
        <v>3</v>
      </c>
      <c r="DN199" s="14">
        <f>IFERROR(AVERAGE(Tabel1[[#This Row],[In - A1a]:[In - A1b]]),"")</f>
        <v>3</v>
      </c>
      <c r="DO199" s="14">
        <v>4</v>
      </c>
      <c r="DP199" s="14">
        <v>3</v>
      </c>
      <c r="DQ199" s="14">
        <f>IFERROR(AVERAGE(Tabel1[[#This Row],[In - A2a]:[In - A2b]]),"")</f>
        <v>3.5</v>
      </c>
      <c r="DR199" s="14">
        <v>4</v>
      </c>
      <c r="DS199" s="14">
        <v>2</v>
      </c>
      <c r="DT199" s="14">
        <f>IFERROR(AVERAGE(Tabel1[[#This Row],[In - A3a]:[In - A3a]]),"")</f>
        <v>4</v>
      </c>
      <c r="DU199" s="14">
        <v>2</v>
      </c>
      <c r="DV199" s="14">
        <f>IFERROR(AVERAGE(Tabel1[[#This Row],[In - A1]],Tabel1[[#This Row],[In - A2]],Tabel1[[#This Row],[In - A3]],Tabel1[[#This Row],[In - A4]]),"")</f>
        <v>3.125</v>
      </c>
      <c r="DW199" s="14">
        <v>4</v>
      </c>
      <c r="DX199" s="14">
        <v>5</v>
      </c>
      <c r="DY199" s="14">
        <v>3</v>
      </c>
      <c r="DZ199" s="14">
        <f>IFERROR(AVERAGE(Tabel1[[#This Row],[Do - R1a]:[Do - R1c]]),"")</f>
        <v>4</v>
      </c>
      <c r="EA199" s="14">
        <v>3</v>
      </c>
      <c r="EB199" s="14">
        <v>5</v>
      </c>
      <c r="EC199" s="14">
        <v>4</v>
      </c>
      <c r="ED199" s="14">
        <v>4</v>
      </c>
      <c r="EE199" s="14">
        <f>IFERROR(AVERAGE(Tabel1[[#This Row],[Do - R1]:[Do - R5]]),"")</f>
        <v>4</v>
      </c>
      <c r="EF199" s="14">
        <v>4</v>
      </c>
      <c r="EG199" s="14">
        <v>5</v>
      </c>
      <c r="EH199" s="14">
        <v>4</v>
      </c>
      <c r="EI199" s="14">
        <f>IFERROR(AVERAGE(Tabel1[[#This Row],[Do - C1a]:[Do - C1c]]),"")</f>
        <v>4.333333333333333</v>
      </c>
      <c r="EJ199" s="14">
        <v>2</v>
      </c>
      <c r="EK199" s="14">
        <v>3</v>
      </c>
      <c r="EL199" s="14">
        <v>2</v>
      </c>
      <c r="EM199" s="14">
        <f>IFERROR(AVERAGE(Tabel1[[#This Row],[Do - C1]:[Do - C4]]),"")</f>
        <v>2.833333333333333</v>
      </c>
      <c r="EN199" s="14">
        <v>2</v>
      </c>
      <c r="EO199" s="14">
        <v>2</v>
      </c>
      <c r="EP199" s="14">
        <v>1</v>
      </c>
      <c r="EQ199" s="14">
        <f>IFERROR(AVERAGE(Tabel1[[#This Row],[Do - F1a]:[Do - F1c]]),"")</f>
        <v>1.6666666666666667</v>
      </c>
      <c r="ER199" s="14">
        <v>3</v>
      </c>
      <c r="ES199" s="14">
        <f>IFERROR(AVERAGE(Tabel1[[#This Row],[Do - F2a]:[Do - F2a]]),"")</f>
        <v>3</v>
      </c>
      <c r="ET199" s="14">
        <v>4</v>
      </c>
      <c r="EU199" s="14">
        <v>3</v>
      </c>
      <c r="EV199" s="14">
        <f>IFERROR(AVERAGE(Tabel1[[#This Row],[Do - F3a]:[Do - F3b]]),"")</f>
        <v>3.5</v>
      </c>
      <c r="EW199" s="14">
        <v>3</v>
      </c>
      <c r="EX199" s="14">
        <f>IFERROR(AVERAGE(Tabel1[[#This Row],[Do - F1]],Tabel1[[#This Row],[Do - F2]],Tabel1[[#This Row],[Do - F3]],Tabel1[[#This Row],[Do - F4]]),"")</f>
        <v>2.791666666666667</v>
      </c>
      <c r="EY199" s="14">
        <v>3</v>
      </c>
      <c r="EZ199" s="14">
        <v>2</v>
      </c>
      <c r="FA199" s="14" t="s">
        <v>189</v>
      </c>
      <c r="FB199" s="14">
        <f>IFERROR(AVERAGE(Tabel1[[#This Row],[Do - V1a]:[Do - V1c]]),"")</f>
        <v>2.5</v>
      </c>
      <c r="FC199" s="14">
        <v>5</v>
      </c>
      <c r="FD199" s="14">
        <v>5</v>
      </c>
      <c r="FE199" s="14">
        <f>IFERROR(AVERAGE(Tabel1[[#This Row],[Do - V2a]:[Do - V2b]]),"")</f>
        <v>5</v>
      </c>
      <c r="FF199" s="14">
        <v>5</v>
      </c>
      <c r="FG199" s="14">
        <f>IFERROR(AVERAGE(Tabel1[[#This Row],[Do - V3a]:[Do - V3a]]),"")</f>
        <v>5</v>
      </c>
      <c r="FH199" s="14">
        <v>4</v>
      </c>
      <c r="FI199" s="14">
        <f>IFERROR(AVERAGE(Tabel1[[#This Row],[Do - V1]],Tabel1[[#This Row],[Do - V2]],Tabel1[[#This Row],[Do - V3]],Tabel1[[#This Row],[Do - V4]]),"")</f>
        <v>4.125</v>
      </c>
      <c r="FJ199" s="14">
        <v>4</v>
      </c>
      <c r="FK199" s="14">
        <v>3</v>
      </c>
      <c r="FL199" s="14">
        <v>3</v>
      </c>
      <c r="FM199" s="14">
        <f>IFERROR(AVERAGE(Tabel1[[#This Row],[Do - A1a]:[Do - A1c]]),"")</f>
        <v>3.3333333333333335</v>
      </c>
      <c r="FN199" s="14">
        <v>3</v>
      </c>
      <c r="FO199" s="14">
        <v>4</v>
      </c>
      <c r="FP199" s="14">
        <f>IFERROR(AVERAGE(Tabel1[[#This Row],[Do - A2a]:[Do - A2b]]),"")</f>
        <v>3.5</v>
      </c>
      <c r="FQ199" s="14">
        <v>4</v>
      </c>
      <c r="FR199" s="14">
        <f>IFERROR(AVERAGE(Tabel1[[#This Row],[Do - A3a]:[Do - A3a]]),"")</f>
        <v>4</v>
      </c>
      <c r="FS199" s="14">
        <v>3</v>
      </c>
      <c r="FT199" s="14">
        <f>IFERROR(AVERAGE(Tabel1[[#This Row],[Do - A1]],Tabel1[[#This Row],[Do - A2]],Tabel1[[#This Row],[Do - A3]],Tabel1[[#This Row],[Do - A4]]),"")</f>
        <v>3.4583333333333335</v>
      </c>
      <c r="FU19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3.2725925925925932</v>
      </c>
      <c r="FV199" s="16" t="s">
        <v>1107</v>
      </c>
      <c r="FW199" t="b">
        <v>1</v>
      </c>
    </row>
    <row r="200" spans="1:179" x14ac:dyDescent="0.3">
      <c r="A200" s="13">
        <v>45243.594641203701</v>
      </c>
      <c r="B200" t="b">
        <v>0</v>
      </c>
      <c r="C200" s="14" t="s">
        <v>1108</v>
      </c>
      <c r="D200" s="14" t="s">
        <v>1109</v>
      </c>
      <c r="E200" s="14" t="s">
        <v>193</v>
      </c>
      <c r="F200" s="14" t="s">
        <v>184</v>
      </c>
      <c r="G200" s="14" t="s">
        <v>1110</v>
      </c>
      <c r="H200" s="14" t="s">
        <v>222</v>
      </c>
      <c r="I200" s="14" t="s">
        <v>385</v>
      </c>
      <c r="J200" s="14"/>
      <c r="K200" s="14" t="s">
        <v>201</v>
      </c>
      <c r="L200" s="14" t="s">
        <v>197</v>
      </c>
      <c r="M200" s="14"/>
      <c r="N200" s="14"/>
      <c r="O200" s="14" t="s">
        <v>200</v>
      </c>
      <c r="P200" s="14" t="s">
        <v>235</v>
      </c>
      <c r="Q200" s="14" t="s">
        <v>187</v>
      </c>
      <c r="R200" s="14" t="s">
        <v>187</v>
      </c>
      <c r="S200" s="14" t="s">
        <v>235</v>
      </c>
      <c r="T200" s="14" t="s">
        <v>204</v>
      </c>
      <c r="U200" s="14" t="s">
        <v>237</v>
      </c>
      <c r="V200" s="14" t="s">
        <v>484</v>
      </c>
      <c r="W200" s="14" t="s">
        <v>207</v>
      </c>
      <c r="X200" s="14" t="s">
        <v>207</v>
      </c>
      <c r="Y200" s="14" t="s">
        <v>189</v>
      </c>
      <c r="Z200" s="14" t="s">
        <v>189</v>
      </c>
      <c r="AA200" s="14" t="s">
        <v>189</v>
      </c>
      <c r="AB200" s="15" t="str">
        <f>IFERROR(AVERAGE(Tabel1[[#This Row],[Up - R1a]:[Up - R1c]]),"")</f>
        <v/>
      </c>
      <c r="AC200" s="14" t="s">
        <v>189</v>
      </c>
      <c r="AD200" s="14" t="s">
        <v>189</v>
      </c>
      <c r="AE200" s="14" t="s">
        <v>189</v>
      </c>
      <c r="AF200" s="14" t="s">
        <v>189</v>
      </c>
      <c r="AG200" s="14" t="str">
        <f>IFERROR(AVERAGE(Tabel1[[#This Row],[Up - R1]:[Up - R5]]),"")</f>
        <v/>
      </c>
      <c r="AH200" s="14">
        <v>3</v>
      </c>
      <c r="AI200" s="14">
        <v>2</v>
      </c>
      <c r="AJ200" s="14" t="s">
        <v>189</v>
      </c>
      <c r="AK200" s="14">
        <f>IFERROR(AVERAGE(Tabel1[[#This Row],[Up - C1a]:[Up - C1c]]),"")</f>
        <v>2.5</v>
      </c>
      <c r="AL200" s="14" t="s">
        <v>189</v>
      </c>
      <c r="AM200" s="14" t="s">
        <v>189</v>
      </c>
      <c r="AN200" s="14" t="s">
        <v>189</v>
      </c>
      <c r="AO200" s="14">
        <f>IFERROR(AVERAGE(Tabel1[[#This Row],[Up - C1]:[Up - C4]]),"")</f>
        <v>2.5</v>
      </c>
      <c r="AP200" s="14" t="s">
        <v>189</v>
      </c>
      <c r="AQ200" s="14" t="str">
        <f>IFERROR(AVERAGE(Tabel1[[#This Row],[Up - F1a]:[Up - F1a]]),"")</f>
        <v/>
      </c>
      <c r="AR200" s="14">
        <v>1</v>
      </c>
      <c r="AS200" s="14">
        <v>4</v>
      </c>
      <c r="AT200" s="14">
        <f>IFERROR(AVERAGE(Tabel1[[#This Row],[Up - F2a]:[Up - F2b]]),"")</f>
        <v>2.5</v>
      </c>
      <c r="AU200" s="14">
        <v>1</v>
      </c>
      <c r="AV200" s="14" t="s">
        <v>189</v>
      </c>
      <c r="AW200" s="14">
        <f>IFERROR(AVERAGE(Tabel1[[#This Row],[Up - F3a]:[Up - F3b]]),"")</f>
        <v>1</v>
      </c>
      <c r="AX200" s="14" t="s">
        <v>189</v>
      </c>
      <c r="AY200" s="14">
        <f>IFERROR(AVERAGE(Tabel1[[#This Row],[Up - F1]],Tabel1[[#This Row],[Up - F2]],Tabel1[[#This Row],[Up - F3]],Tabel1[[#This Row],[Up - F4]]),"")</f>
        <v>1.75</v>
      </c>
      <c r="AZ200" s="14" t="s">
        <v>189</v>
      </c>
      <c r="BA200" s="14" t="s">
        <v>189</v>
      </c>
      <c r="BB200" s="14" t="str">
        <f>IFERROR(AVERAGE(Tabel1[[#This Row],[Up - V1a]:[Up - V1b]]),"")</f>
        <v/>
      </c>
      <c r="BC200" s="14" t="s">
        <v>189</v>
      </c>
      <c r="BD200" s="14">
        <v>3</v>
      </c>
      <c r="BE200" s="14" t="s">
        <v>189</v>
      </c>
      <c r="BF200" s="14">
        <f>IFERROR(AVERAGE(Tabel1[[#This Row],[Up - V2a]:[Up - V2c]]),"")</f>
        <v>3</v>
      </c>
      <c r="BG200" s="14" t="s">
        <v>189</v>
      </c>
      <c r="BH200" s="14">
        <v>4</v>
      </c>
      <c r="BI200" s="14">
        <f>IFERROR(AVERAGE(Tabel1[[#This Row],[Up - V3a]:[Up - V3b]]),"")</f>
        <v>4</v>
      </c>
      <c r="BJ200" s="14" t="s">
        <v>189</v>
      </c>
      <c r="BK200" s="14">
        <f>IFERROR(AVERAGE(Tabel1[[#This Row],[Up - V1]],Tabel1[[#This Row],[Up - V2]],Tabel1[[#This Row],[Up - V3]],Tabel1[[#This Row],[Up - V4]]),"")</f>
        <v>3.5</v>
      </c>
      <c r="BL200" s="14">
        <v>2</v>
      </c>
      <c r="BM200" s="14">
        <v>2</v>
      </c>
      <c r="BN200" s="14" t="s">
        <v>189</v>
      </c>
      <c r="BO200" s="14">
        <v>1</v>
      </c>
      <c r="BP200" s="14">
        <f>IFERROR(AVERAGE(Tabel1[[#This Row],[Up - A1a]:[Up - A1d]]),"")</f>
        <v>1.6666666666666667</v>
      </c>
      <c r="BQ200" s="14">
        <v>1</v>
      </c>
      <c r="BR200" s="14">
        <v>4</v>
      </c>
      <c r="BS200" s="14">
        <f>IFERROR(AVERAGE(Tabel1[[#This Row],[Up - A2a]:[Up - A2b]]),"")</f>
        <v>2.5</v>
      </c>
      <c r="BT200" s="14">
        <v>3</v>
      </c>
      <c r="BU200" s="14">
        <f>IFERROR(AVERAGE(Tabel1[[#This Row],[Up - A3a]:[Up - A3a]]),"")</f>
        <v>3</v>
      </c>
      <c r="BV200" s="14" t="s">
        <v>189</v>
      </c>
      <c r="BW200" s="14">
        <f>IFERROR(AVERAGE(Tabel1[[#This Row],[Up - A1]],Tabel1[[#This Row],[Up - A2]],Tabel1[[#This Row],[Up - A3]]),"")</f>
        <v>2.3888888888888888</v>
      </c>
      <c r="BX200" s="14">
        <v>3</v>
      </c>
      <c r="BY200" s="14">
        <v>3</v>
      </c>
      <c r="BZ200" s="14">
        <f>IFERROR(AVERAGE(Tabel1[[#This Row],[In - R1a]:[In - R1b]]),"")</f>
        <v>3</v>
      </c>
      <c r="CA200" s="14">
        <v>3</v>
      </c>
      <c r="CB200" s="14">
        <v>4</v>
      </c>
      <c r="CC200" s="14" t="s">
        <v>189</v>
      </c>
      <c r="CD200" s="14" t="s">
        <v>189</v>
      </c>
      <c r="CE200" s="14">
        <f>IFERROR(AVERAGE(Tabel1[[#This Row],[In - R1]:[In - R5]]),"")</f>
        <v>3.3333333333333335</v>
      </c>
      <c r="CF200" s="14">
        <v>3</v>
      </c>
      <c r="CG200" s="14">
        <v>3</v>
      </c>
      <c r="CH200" s="14">
        <v>3</v>
      </c>
      <c r="CI200" s="14">
        <f>IFERROR(AVERAGE(Tabel1[[#This Row],[In - C1a]:[In - C1c]]),"")</f>
        <v>3</v>
      </c>
      <c r="CJ200" s="14">
        <v>3</v>
      </c>
      <c r="CK200" s="14">
        <v>3</v>
      </c>
      <c r="CL200" s="14" t="s">
        <v>189</v>
      </c>
      <c r="CM200" s="14">
        <f>IFERROR(AVERAGE(Tabel1[[#This Row],[In - C1]:[In - C4]]),"")</f>
        <v>3</v>
      </c>
      <c r="CN200" s="14">
        <v>4</v>
      </c>
      <c r="CO200" s="14">
        <v>2</v>
      </c>
      <c r="CP200" s="14">
        <v>3</v>
      </c>
      <c r="CQ200" s="14">
        <f>IFERROR(AVERAGE(Tabel1[[#This Row],[In - F1a]:[In - F1c]]),"")</f>
        <v>3</v>
      </c>
      <c r="CR200" s="14">
        <v>5</v>
      </c>
      <c r="CS200" s="14">
        <v>4</v>
      </c>
      <c r="CT200" s="14">
        <f>IFERROR(AVERAGE(Tabel1[[#This Row],[In - F2a]:[In - F2b]]),"")</f>
        <v>4.5</v>
      </c>
      <c r="CU200" s="14">
        <v>3</v>
      </c>
      <c r="CV200" s="14">
        <f>IFERROR(AVERAGE(Tabel1[[#This Row],[In - F3a]:[In - F3a]]),"")</f>
        <v>3</v>
      </c>
      <c r="CW200" s="14" t="s">
        <v>189</v>
      </c>
      <c r="CX200" s="14">
        <f>IFERROR(AVERAGE(Tabel1[[#This Row],[In - F1]],Tabel1[[#This Row],[In - F2]],Tabel1[[#This Row],[In - F3]],Tabel1[[#This Row],[In - F4]]),"")</f>
        <v>3.5</v>
      </c>
      <c r="CY200" s="14">
        <v>3</v>
      </c>
      <c r="CZ200" s="14">
        <v>3</v>
      </c>
      <c r="DA200" s="14" t="s">
        <v>189</v>
      </c>
      <c r="DB200" s="14">
        <f>IFERROR(AVERAGE(Tabel1[[#This Row],[In - V1a]:[In - V1c]]),"")</f>
        <v>3</v>
      </c>
      <c r="DC200" s="14">
        <v>4</v>
      </c>
      <c r="DD200" s="14" t="s">
        <v>189</v>
      </c>
      <c r="DE200" s="14">
        <v>1</v>
      </c>
      <c r="DF200" s="14">
        <f>IFERROR(AVERAGE(Tabel1[[#This Row],[In - V2a]:[In - V2c]]),"")</f>
        <v>2.5</v>
      </c>
      <c r="DG200" s="14">
        <v>3</v>
      </c>
      <c r="DH200" s="14" t="s">
        <v>189</v>
      </c>
      <c r="DI200" s="14">
        <f>IFERROR(AVERAGE(Tabel1[[#This Row],[In - V3a]:[In - V3b]]),"")</f>
        <v>3</v>
      </c>
      <c r="DJ200" s="14" t="s">
        <v>189</v>
      </c>
      <c r="DK200" s="14">
        <f>IFERROR(AVERAGE(Tabel1[[#This Row],[In - V1]],Tabel1[[#This Row],[In - V2]],Tabel1[[#This Row],[In - V3]],Tabel1[[#This Row],[In - V4]]),"")</f>
        <v>2.8333333333333335</v>
      </c>
      <c r="DL200" s="14">
        <v>4</v>
      </c>
      <c r="DM200" s="14">
        <v>3</v>
      </c>
      <c r="DN200" s="14">
        <f>IFERROR(AVERAGE(Tabel1[[#This Row],[In - A1a]:[In - A1b]]),"")</f>
        <v>3.5</v>
      </c>
      <c r="DO200" s="14">
        <v>3</v>
      </c>
      <c r="DP200" s="14">
        <v>2</v>
      </c>
      <c r="DQ200" s="14">
        <f>IFERROR(AVERAGE(Tabel1[[#This Row],[In - A2a]:[In - A2b]]),"")</f>
        <v>2.5</v>
      </c>
      <c r="DR200" s="14">
        <v>3</v>
      </c>
      <c r="DS200" s="14">
        <v>3</v>
      </c>
      <c r="DT200" s="14">
        <f>IFERROR(AVERAGE(Tabel1[[#This Row],[In - A3a]:[In - A3a]]),"")</f>
        <v>3</v>
      </c>
      <c r="DU200" s="14" t="s">
        <v>189</v>
      </c>
      <c r="DV200" s="14">
        <f>IFERROR(AVERAGE(Tabel1[[#This Row],[In - A1]],Tabel1[[#This Row],[In - A2]],Tabel1[[#This Row],[In - A3]],Tabel1[[#This Row],[In - A4]]),"")</f>
        <v>3</v>
      </c>
      <c r="DW200" s="14" t="s">
        <v>189</v>
      </c>
      <c r="DX200" s="14">
        <v>3</v>
      </c>
      <c r="DY200" s="14" t="s">
        <v>189</v>
      </c>
      <c r="DZ200" s="14">
        <f>IFERROR(AVERAGE(Tabel1[[#This Row],[Do - R1a]:[Do - R1c]]),"")</f>
        <v>3</v>
      </c>
      <c r="EA200" s="14" t="s">
        <v>189</v>
      </c>
      <c r="EB200" s="14" t="s">
        <v>189</v>
      </c>
      <c r="EC200" s="14" t="s">
        <v>189</v>
      </c>
      <c r="ED200" s="14" t="s">
        <v>189</v>
      </c>
      <c r="EE200" s="14">
        <f>IFERROR(AVERAGE(Tabel1[[#This Row],[Do - R1]:[Do - R5]]),"")</f>
        <v>3</v>
      </c>
      <c r="EF200" s="14">
        <v>3</v>
      </c>
      <c r="EG200" s="14">
        <v>3</v>
      </c>
      <c r="EH200" s="14" t="s">
        <v>189</v>
      </c>
      <c r="EI200" s="14">
        <f>IFERROR(AVERAGE(Tabel1[[#This Row],[Do - C1a]:[Do - C1c]]),"")</f>
        <v>3</v>
      </c>
      <c r="EJ200" s="14">
        <v>3</v>
      </c>
      <c r="EK200" s="14" t="s">
        <v>189</v>
      </c>
      <c r="EL200" s="14" t="s">
        <v>189</v>
      </c>
      <c r="EM200" s="14">
        <f>IFERROR(AVERAGE(Tabel1[[#This Row],[Do - C1]:[Do - C4]]),"")</f>
        <v>3</v>
      </c>
      <c r="EN200" s="14" t="s">
        <v>189</v>
      </c>
      <c r="EO200" s="14" t="s">
        <v>189</v>
      </c>
      <c r="EP200" s="14" t="s">
        <v>189</v>
      </c>
      <c r="EQ200" s="14" t="str">
        <f>IFERROR(AVERAGE(Tabel1[[#This Row],[Do - F1a]:[Do - F1c]]),"")</f>
        <v/>
      </c>
      <c r="ER200" s="14">
        <v>3</v>
      </c>
      <c r="ES200" s="14">
        <f>IFERROR(AVERAGE(Tabel1[[#This Row],[Do - F2a]:[Do - F2a]]),"")</f>
        <v>3</v>
      </c>
      <c r="ET200" s="14" t="s">
        <v>189</v>
      </c>
      <c r="EU200" s="14">
        <v>4</v>
      </c>
      <c r="EV200" s="14">
        <f>IFERROR(AVERAGE(Tabel1[[#This Row],[Do - F3a]:[Do - F3b]]),"")</f>
        <v>4</v>
      </c>
      <c r="EW200" s="14" t="s">
        <v>189</v>
      </c>
      <c r="EX200" s="14">
        <f>IFERROR(AVERAGE(Tabel1[[#This Row],[Do - F1]],Tabel1[[#This Row],[Do - F2]],Tabel1[[#This Row],[Do - F3]],Tabel1[[#This Row],[Do - F4]]),"")</f>
        <v>3.5</v>
      </c>
      <c r="EY200" s="14">
        <v>1</v>
      </c>
      <c r="EZ200" s="14">
        <v>1</v>
      </c>
      <c r="FA200" s="14">
        <v>3</v>
      </c>
      <c r="FB200" s="14">
        <f>IFERROR(AVERAGE(Tabel1[[#This Row],[Do - V1a]:[Do - V1c]]),"")</f>
        <v>1.6666666666666667</v>
      </c>
      <c r="FC200" s="14" t="s">
        <v>189</v>
      </c>
      <c r="FD200" s="14" t="s">
        <v>189</v>
      </c>
      <c r="FE200" s="14" t="str">
        <f>IFERROR(AVERAGE(Tabel1[[#This Row],[Do - V2a]:[Do - V2b]]),"")</f>
        <v/>
      </c>
      <c r="FF200" s="14">
        <v>3</v>
      </c>
      <c r="FG200" s="14">
        <f>IFERROR(AVERAGE(Tabel1[[#This Row],[Do - V3a]:[Do - V3a]]),"")</f>
        <v>3</v>
      </c>
      <c r="FH200" s="14" t="s">
        <v>189</v>
      </c>
      <c r="FI200" s="14">
        <f>IFERROR(AVERAGE(Tabel1[[#This Row],[Do - V1]],Tabel1[[#This Row],[Do - V2]],Tabel1[[#This Row],[Do - V3]],Tabel1[[#This Row],[Do - V4]]),"")</f>
        <v>2.3333333333333335</v>
      </c>
      <c r="FJ200" s="14">
        <v>3</v>
      </c>
      <c r="FK200" s="14">
        <v>3</v>
      </c>
      <c r="FL200" s="14" t="s">
        <v>189</v>
      </c>
      <c r="FM200" s="14">
        <f>IFERROR(AVERAGE(Tabel1[[#This Row],[Do - A1a]:[Do - A1c]]),"")</f>
        <v>3</v>
      </c>
      <c r="FN200" s="14">
        <v>4</v>
      </c>
      <c r="FO200" s="14">
        <v>3</v>
      </c>
      <c r="FP200" s="14">
        <f>IFERROR(AVERAGE(Tabel1[[#This Row],[Do - A2a]:[Do - A2b]]),"")</f>
        <v>3.5</v>
      </c>
      <c r="FQ200" s="14">
        <v>3</v>
      </c>
      <c r="FR200" s="14">
        <f>IFERROR(AVERAGE(Tabel1[[#This Row],[Do - A3a]:[Do - A3a]]),"")</f>
        <v>3</v>
      </c>
      <c r="FS200" s="14" t="s">
        <v>189</v>
      </c>
      <c r="FT200" s="14">
        <f>IFERROR(AVERAGE(Tabel1[[#This Row],[Do - A1]],Tabel1[[#This Row],[Do - A2]],Tabel1[[#This Row],[Do - A3]],Tabel1[[#This Row],[Do - A4]]),"")</f>
        <v>3.1666666666666665</v>
      </c>
      <c r="FU20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2.91468253968254</v>
      </c>
      <c r="FV200" s="16" t="s">
        <v>1111</v>
      </c>
      <c r="FW200" t="b">
        <v>1</v>
      </c>
    </row>
    <row r="201" spans="1:179" x14ac:dyDescent="0.3">
      <c r="A201" s="13">
        <v>45243.645300925928</v>
      </c>
      <c r="B201" t="b">
        <v>0</v>
      </c>
      <c r="C201" s="14" t="s">
        <v>1112</v>
      </c>
      <c r="D201" s="14" t="s">
        <v>1113</v>
      </c>
      <c r="E201" s="14" t="s">
        <v>193</v>
      </c>
      <c r="F201" s="14" t="s">
        <v>189</v>
      </c>
      <c r="G201" s="14" t="s">
        <v>1114</v>
      </c>
      <c r="H201" s="14" t="s">
        <v>194</v>
      </c>
      <c r="I201" s="14" t="s">
        <v>195</v>
      </c>
      <c r="J201" s="14" t="s">
        <v>196</v>
      </c>
      <c r="K201" s="14" t="s">
        <v>187</v>
      </c>
      <c r="L201" s="14" t="s">
        <v>249</v>
      </c>
      <c r="M201" s="14" t="s">
        <v>233</v>
      </c>
      <c r="N201" s="14" t="s">
        <v>199</v>
      </c>
      <c r="O201" s="14" t="s">
        <v>200</v>
      </c>
      <c r="P201" s="14" t="s">
        <v>187</v>
      </c>
      <c r="Q201" s="14" t="s">
        <v>187</v>
      </c>
      <c r="R201" s="14" t="s">
        <v>187</v>
      </c>
      <c r="S201" s="14" t="s">
        <v>187</v>
      </c>
      <c r="T201" s="14" t="s">
        <v>236</v>
      </c>
      <c r="U201" s="14" t="s">
        <v>205</v>
      </c>
      <c r="V201" s="14" t="s">
        <v>610</v>
      </c>
      <c r="W201" s="14" t="s">
        <v>207</v>
      </c>
      <c r="X201" s="14" t="s">
        <v>207</v>
      </c>
      <c r="Y201" s="14">
        <v>3</v>
      </c>
      <c r="Z201" s="14">
        <v>4</v>
      </c>
      <c r="AA201" s="14" t="s">
        <v>189</v>
      </c>
      <c r="AB201" s="15">
        <f>IFERROR(AVERAGE(Tabel1[[#This Row],[Up - R1a]:[Up - R1c]]),"")</f>
        <v>3.5</v>
      </c>
      <c r="AC201" s="14">
        <v>3</v>
      </c>
      <c r="AD201" s="14">
        <v>4</v>
      </c>
      <c r="AE201" s="14">
        <v>3</v>
      </c>
      <c r="AF201" s="14" t="s">
        <v>189</v>
      </c>
      <c r="AG201" s="14">
        <f>IFERROR(AVERAGE(Tabel1[[#This Row],[Up - R1]:[Up - R5]]),"")</f>
        <v>3.375</v>
      </c>
      <c r="AH201" s="14">
        <v>2</v>
      </c>
      <c r="AI201" s="14">
        <v>3</v>
      </c>
      <c r="AJ201" s="14">
        <v>3</v>
      </c>
      <c r="AK201" s="14">
        <f>IFERROR(AVERAGE(Tabel1[[#This Row],[Up - C1a]:[Up - C1c]]),"")</f>
        <v>2.6666666666666665</v>
      </c>
      <c r="AL201" s="14">
        <v>2</v>
      </c>
      <c r="AM201" s="14" t="s">
        <v>189</v>
      </c>
      <c r="AN201" s="14" t="s">
        <v>189</v>
      </c>
      <c r="AO201" s="14">
        <f>IFERROR(AVERAGE(Tabel1[[#This Row],[Up - C1]:[Up - C4]]),"")</f>
        <v>2.333333333333333</v>
      </c>
      <c r="AP201" s="14">
        <v>2</v>
      </c>
      <c r="AQ201" s="14">
        <f>IFERROR(AVERAGE(Tabel1[[#This Row],[Up - F1a]:[Up - F1a]]),"")</f>
        <v>2</v>
      </c>
      <c r="AR201" s="14">
        <v>2</v>
      </c>
      <c r="AS201" s="14">
        <v>3</v>
      </c>
      <c r="AT201" s="14">
        <f>IFERROR(AVERAGE(Tabel1[[#This Row],[Up - F2a]:[Up - F2b]]),"")</f>
        <v>2.5</v>
      </c>
      <c r="AU201" s="14">
        <v>3</v>
      </c>
      <c r="AV201" s="14" t="s">
        <v>189</v>
      </c>
      <c r="AW201" s="14">
        <f>IFERROR(AVERAGE(Tabel1[[#This Row],[Up - F3a]:[Up - F3b]]),"")</f>
        <v>3</v>
      </c>
      <c r="AX201" s="14" t="s">
        <v>189</v>
      </c>
      <c r="AY201" s="14">
        <f>IFERROR(AVERAGE(Tabel1[[#This Row],[Up - F1]],Tabel1[[#This Row],[Up - F2]],Tabel1[[#This Row],[Up - F3]],Tabel1[[#This Row],[Up - F4]]),"")</f>
        <v>2.5</v>
      </c>
      <c r="AZ201" s="14" t="s">
        <v>189</v>
      </c>
      <c r="BA201" s="14">
        <v>4</v>
      </c>
      <c r="BB201" s="14">
        <f>IFERROR(AVERAGE(Tabel1[[#This Row],[Up - V1a]:[Up - V1b]]),"")</f>
        <v>4</v>
      </c>
      <c r="BC201" s="14">
        <v>4</v>
      </c>
      <c r="BD201" s="14" t="s">
        <v>189</v>
      </c>
      <c r="BE201" s="14">
        <v>4</v>
      </c>
      <c r="BF201" s="14">
        <f>IFERROR(AVERAGE(Tabel1[[#This Row],[Up - V2a]:[Up - V2c]]),"")</f>
        <v>4</v>
      </c>
      <c r="BG201" s="14" t="s">
        <v>189</v>
      </c>
      <c r="BH201" s="14">
        <v>4</v>
      </c>
      <c r="BI201" s="14">
        <f>IFERROR(AVERAGE(Tabel1[[#This Row],[Up - V3a]:[Up - V3b]]),"")</f>
        <v>4</v>
      </c>
      <c r="BJ201" s="14" t="s">
        <v>189</v>
      </c>
      <c r="BK201" s="14">
        <f>IFERROR(AVERAGE(Tabel1[[#This Row],[Up - V1]],Tabel1[[#This Row],[Up - V2]],Tabel1[[#This Row],[Up - V3]],Tabel1[[#This Row],[Up - V4]]),"")</f>
        <v>4</v>
      </c>
      <c r="BL201" s="14">
        <v>2</v>
      </c>
      <c r="BM201" s="14">
        <v>4</v>
      </c>
      <c r="BN201" s="14">
        <v>2</v>
      </c>
      <c r="BO201" s="14" t="s">
        <v>189</v>
      </c>
      <c r="BP201" s="14">
        <f>IFERROR(AVERAGE(Tabel1[[#This Row],[Up - A1a]:[Up - A1d]]),"")</f>
        <v>2.6666666666666665</v>
      </c>
      <c r="BQ201" s="14" t="s">
        <v>189</v>
      </c>
      <c r="BR201" s="14">
        <v>4</v>
      </c>
      <c r="BS201" s="14">
        <f>IFERROR(AVERAGE(Tabel1[[#This Row],[Up - A2a]:[Up - A2b]]),"")</f>
        <v>4</v>
      </c>
      <c r="BT201" s="14">
        <v>3</v>
      </c>
      <c r="BU201" s="14">
        <f>IFERROR(AVERAGE(Tabel1[[#This Row],[Up - A3a]:[Up - A3a]]),"")</f>
        <v>3</v>
      </c>
      <c r="BV201" s="14" t="s">
        <v>189</v>
      </c>
      <c r="BW201" s="14">
        <f>IFERROR(AVERAGE(Tabel1[[#This Row],[Up - A1]],Tabel1[[#This Row],[Up - A2]],Tabel1[[#This Row],[Up - A3]]),"")</f>
        <v>3.2222222222222219</v>
      </c>
      <c r="BX201" s="14">
        <v>4</v>
      </c>
      <c r="BY201" s="14">
        <v>5</v>
      </c>
      <c r="BZ201" s="14">
        <f>IFERROR(AVERAGE(Tabel1[[#This Row],[In - R1a]:[In - R1b]]),"")</f>
        <v>4.5</v>
      </c>
      <c r="CA201" s="14">
        <v>3</v>
      </c>
      <c r="CB201" s="14">
        <v>2</v>
      </c>
      <c r="CC201" s="14">
        <v>2</v>
      </c>
      <c r="CD201" s="14">
        <v>4</v>
      </c>
      <c r="CE201" s="14">
        <f>IFERROR(AVERAGE(Tabel1[[#This Row],[In - R1]:[In - R5]]),"")</f>
        <v>3.1</v>
      </c>
      <c r="CF201" s="14">
        <v>5</v>
      </c>
      <c r="CG201" s="14">
        <v>3</v>
      </c>
      <c r="CH201" s="14">
        <v>3</v>
      </c>
      <c r="CI201" s="14">
        <f>IFERROR(AVERAGE(Tabel1[[#This Row],[In - C1a]:[In - C1c]]),"")</f>
        <v>3.6666666666666665</v>
      </c>
      <c r="CJ201" s="14">
        <v>2</v>
      </c>
      <c r="CK201" s="14">
        <v>3</v>
      </c>
      <c r="CL201" s="14" t="s">
        <v>189</v>
      </c>
      <c r="CM201" s="14">
        <f>IFERROR(AVERAGE(Tabel1[[#This Row],[In - C1]:[In - C4]]),"")</f>
        <v>2.8888888888888888</v>
      </c>
      <c r="CN201" s="14">
        <v>4</v>
      </c>
      <c r="CO201" s="14">
        <v>3</v>
      </c>
      <c r="CP201" s="14">
        <v>1</v>
      </c>
      <c r="CQ201" s="14">
        <f>IFERROR(AVERAGE(Tabel1[[#This Row],[In - F1a]:[In - F1c]]),"")</f>
        <v>2.6666666666666665</v>
      </c>
      <c r="CR201" s="14">
        <v>3</v>
      </c>
      <c r="CS201" s="14">
        <v>2</v>
      </c>
      <c r="CT201" s="14">
        <f>IFERROR(AVERAGE(Tabel1[[#This Row],[In - F2a]:[In - F2b]]),"")</f>
        <v>2.5</v>
      </c>
      <c r="CU201" s="14">
        <v>2</v>
      </c>
      <c r="CV201" s="14">
        <f>IFERROR(AVERAGE(Tabel1[[#This Row],[In - F3a]:[In - F3a]]),"")</f>
        <v>2</v>
      </c>
      <c r="CW201" s="14">
        <v>2</v>
      </c>
      <c r="CX201" s="14">
        <f>IFERROR(AVERAGE(Tabel1[[#This Row],[In - F1]],Tabel1[[#This Row],[In - F2]],Tabel1[[#This Row],[In - F3]],Tabel1[[#This Row],[In - F4]]),"")</f>
        <v>2.2916666666666665</v>
      </c>
      <c r="CY201" s="14">
        <v>2</v>
      </c>
      <c r="CZ201" s="14">
        <v>2</v>
      </c>
      <c r="DA201" s="14">
        <v>2</v>
      </c>
      <c r="DB201" s="14">
        <f>IFERROR(AVERAGE(Tabel1[[#This Row],[In - V1a]:[In - V1c]]),"")</f>
        <v>2</v>
      </c>
      <c r="DC201" s="14">
        <v>3</v>
      </c>
      <c r="DD201" s="14" t="s">
        <v>189</v>
      </c>
      <c r="DE201" s="14">
        <v>4</v>
      </c>
      <c r="DF201" s="14">
        <f>IFERROR(AVERAGE(Tabel1[[#This Row],[In - V2a]:[In - V2c]]),"")</f>
        <v>3.5</v>
      </c>
      <c r="DG201" s="14">
        <v>3</v>
      </c>
      <c r="DH201" s="14" t="s">
        <v>189</v>
      </c>
      <c r="DI201" s="14">
        <f>IFERROR(AVERAGE(Tabel1[[#This Row],[In - V3a]:[In - V3b]]),"")</f>
        <v>3</v>
      </c>
      <c r="DJ201" s="14" t="s">
        <v>189</v>
      </c>
      <c r="DK201" s="14">
        <f>IFERROR(AVERAGE(Tabel1[[#This Row],[In - V1]],Tabel1[[#This Row],[In - V2]],Tabel1[[#This Row],[In - V3]],Tabel1[[#This Row],[In - V4]]),"")</f>
        <v>2.8333333333333335</v>
      </c>
      <c r="DL201" s="14">
        <v>3</v>
      </c>
      <c r="DM201" s="14">
        <v>3</v>
      </c>
      <c r="DN201" s="14">
        <f>IFERROR(AVERAGE(Tabel1[[#This Row],[In - A1a]:[In - A1b]]),"")</f>
        <v>3</v>
      </c>
      <c r="DO201" s="14">
        <v>3</v>
      </c>
      <c r="DP201" s="14">
        <v>2</v>
      </c>
      <c r="DQ201" s="14">
        <f>IFERROR(AVERAGE(Tabel1[[#This Row],[In - A2a]:[In - A2b]]),"")</f>
        <v>2.5</v>
      </c>
      <c r="DR201" s="14">
        <v>4</v>
      </c>
      <c r="DS201" s="14">
        <v>2</v>
      </c>
      <c r="DT201" s="14">
        <f>IFERROR(AVERAGE(Tabel1[[#This Row],[In - A3a]:[In - A3a]]),"")</f>
        <v>4</v>
      </c>
      <c r="DU201" s="14" t="s">
        <v>189</v>
      </c>
      <c r="DV201" s="14">
        <f>IFERROR(AVERAGE(Tabel1[[#This Row],[In - A1]],Tabel1[[#This Row],[In - A2]],Tabel1[[#This Row],[In - A3]],Tabel1[[#This Row],[In - A4]]),"")</f>
        <v>3.1666666666666665</v>
      </c>
      <c r="DW201" s="14">
        <v>3</v>
      </c>
      <c r="DX201" s="14">
        <v>5</v>
      </c>
      <c r="DY201" s="14">
        <v>3</v>
      </c>
      <c r="DZ201" s="14">
        <f>IFERROR(AVERAGE(Tabel1[[#This Row],[Do - R1a]:[Do - R1c]]),"")</f>
        <v>3.6666666666666665</v>
      </c>
      <c r="EA201" s="14">
        <v>3</v>
      </c>
      <c r="EB201" s="14">
        <v>5</v>
      </c>
      <c r="EC201" s="14">
        <v>2</v>
      </c>
      <c r="ED201" s="14">
        <v>2</v>
      </c>
      <c r="EE201" s="14">
        <f>IFERROR(AVERAGE(Tabel1[[#This Row],[Do - R1]:[Do - R5]]),"")</f>
        <v>3.1333333333333333</v>
      </c>
      <c r="EF201" s="14">
        <v>3</v>
      </c>
      <c r="EG201" s="14">
        <v>4</v>
      </c>
      <c r="EH201" s="14">
        <v>3</v>
      </c>
      <c r="EI201" s="14">
        <f>IFERROR(AVERAGE(Tabel1[[#This Row],[Do - C1a]:[Do - C1c]]),"")</f>
        <v>3.3333333333333335</v>
      </c>
      <c r="EJ201" s="14">
        <v>3</v>
      </c>
      <c r="EK201" s="14">
        <v>4</v>
      </c>
      <c r="EL201" s="14" t="s">
        <v>189</v>
      </c>
      <c r="EM201" s="14">
        <f>IFERROR(AVERAGE(Tabel1[[#This Row],[Do - C1]:[Do - C4]]),"")</f>
        <v>3.4444444444444446</v>
      </c>
      <c r="EN201" s="14">
        <v>4</v>
      </c>
      <c r="EO201" s="14">
        <v>4</v>
      </c>
      <c r="EP201" s="14">
        <v>5</v>
      </c>
      <c r="EQ201" s="14">
        <f>IFERROR(AVERAGE(Tabel1[[#This Row],[Do - F1a]:[Do - F1c]]),"")</f>
        <v>4.333333333333333</v>
      </c>
      <c r="ER201" s="14">
        <v>1</v>
      </c>
      <c r="ES201" s="14">
        <f>IFERROR(AVERAGE(Tabel1[[#This Row],[Do - F2a]:[Do - F2a]]),"")</f>
        <v>1</v>
      </c>
      <c r="ET201" s="14">
        <v>4</v>
      </c>
      <c r="EU201" s="14">
        <v>3</v>
      </c>
      <c r="EV201" s="14">
        <f>IFERROR(AVERAGE(Tabel1[[#This Row],[Do - F3a]:[Do - F3b]]),"")</f>
        <v>3.5</v>
      </c>
      <c r="EW201" s="14" t="s">
        <v>189</v>
      </c>
      <c r="EX201" s="14">
        <f>IFERROR(AVERAGE(Tabel1[[#This Row],[Do - F1]],Tabel1[[#This Row],[Do - F2]],Tabel1[[#This Row],[Do - F3]],Tabel1[[#This Row],[Do - F4]]),"")</f>
        <v>2.9444444444444442</v>
      </c>
      <c r="EY201" s="14">
        <v>3</v>
      </c>
      <c r="EZ201" s="14">
        <v>4</v>
      </c>
      <c r="FA201" s="14">
        <v>3</v>
      </c>
      <c r="FB201" s="14">
        <f>IFERROR(AVERAGE(Tabel1[[#This Row],[Do - V1a]:[Do - V1c]]),"")</f>
        <v>3.3333333333333335</v>
      </c>
      <c r="FC201" s="14">
        <v>3</v>
      </c>
      <c r="FD201" s="14">
        <v>4</v>
      </c>
      <c r="FE201" s="14">
        <f>IFERROR(AVERAGE(Tabel1[[#This Row],[Do - V2a]:[Do - V2b]]),"")</f>
        <v>3.5</v>
      </c>
      <c r="FF201" s="14">
        <v>3</v>
      </c>
      <c r="FG201" s="14">
        <f>IFERROR(AVERAGE(Tabel1[[#This Row],[Do - V3a]:[Do - V3a]]),"")</f>
        <v>3</v>
      </c>
      <c r="FH201" s="14" t="s">
        <v>189</v>
      </c>
      <c r="FI201" s="14">
        <f>IFERROR(AVERAGE(Tabel1[[#This Row],[Do - V1]],Tabel1[[#This Row],[Do - V2]],Tabel1[[#This Row],[Do - V3]],Tabel1[[#This Row],[Do - V4]]),"")</f>
        <v>3.2777777777777781</v>
      </c>
      <c r="FJ201" s="14">
        <v>4</v>
      </c>
      <c r="FK201" s="14">
        <v>2</v>
      </c>
      <c r="FL201" s="14" t="s">
        <v>189</v>
      </c>
      <c r="FM201" s="14">
        <f>IFERROR(AVERAGE(Tabel1[[#This Row],[Do - A1a]:[Do - A1c]]),"")</f>
        <v>3</v>
      </c>
      <c r="FN201" s="14">
        <v>5</v>
      </c>
      <c r="FO201" s="14">
        <v>2</v>
      </c>
      <c r="FP201" s="14">
        <f>IFERROR(AVERAGE(Tabel1[[#This Row],[Do - A2a]:[Do - A2b]]),"")</f>
        <v>3.5</v>
      </c>
      <c r="FQ201" s="14">
        <v>3</v>
      </c>
      <c r="FR201" s="14">
        <f>IFERROR(AVERAGE(Tabel1[[#This Row],[Do - A3a]:[Do - A3a]]),"")</f>
        <v>3</v>
      </c>
      <c r="FS201" s="14" t="s">
        <v>189</v>
      </c>
      <c r="FT201" s="14">
        <f>IFERROR(AVERAGE(Tabel1[[#This Row],[Do - A1]],Tabel1[[#This Row],[Do - A2]],Tabel1[[#This Row],[Do - A3]],Tabel1[[#This Row],[Do - A4]]),"")</f>
        <v>3.1666666666666665</v>
      </c>
      <c r="FU20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3.045185185185185</v>
      </c>
      <c r="FV201" s="16" t="s">
        <v>1115</v>
      </c>
      <c r="FW201" t="b">
        <v>1</v>
      </c>
    </row>
    <row r="202" spans="1:179" x14ac:dyDescent="0.3">
      <c r="A202" s="13">
        <v>45246.150081018517</v>
      </c>
      <c r="B202" t="b">
        <v>0</v>
      </c>
      <c r="C202" s="14" t="s">
        <v>1116</v>
      </c>
      <c r="D202" s="14" t="s">
        <v>1055</v>
      </c>
      <c r="E202" s="14" t="s">
        <v>193</v>
      </c>
      <c r="F202" s="14" t="s">
        <v>189</v>
      </c>
      <c r="G202" s="14"/>
      <c r="H202" s="14" t="s">
        <v>194</v>
      </c>
      <c r="I202" s="14" t="s">
        <v>195</v>
      </c>
      <c r="J202" s="14" t="s">
        <v>196</v>
      </c>
      <c r="K202" s="14" t="s">
        <v>187</v>
      </c>
      <c r="L202" s="14" t="s">
        <v>249</v>
      </c>
      <c r="M202" s="14" t="s">
        <v>198</v>
      </c>
      <c r="N202" s="14" t="s">
        <v>199</v>
      </c>
      <c r="O202" s="14" t="s">
        <v>256</v>
      </c>
      <c r="P202" s="14" t="s">
        <v>235</v>
      </c>
      <c r="Q202" s="14" t="s">
        <v>187</v>
      </c>
      <c r="R202" s="14" t="s">
        <v>187</v>
      </c>
      <c r="S202" s="14" t="s">
        <v>202</v>
      </c>
      <c r="T202" s="14" t="s">
        <v>204</v>
      </c>
      <c r="U202" s="14" t="s">
        <v>205</v>
      </c>
      <c r="V202" s="14" t="s">
        <v>224</v>
      </c>
      <c r="W202" s="14" t="s">
        <v>207</v>
      </c>
      <c r="X202" s="14" t="s">
        <v>207</v>
      </c>
      <c r="Y202" s="14">
        <v>4</v>
      </c>
      <c r="Z202" s="14">
        <v>3</v>
      </c>
      <c r="AA202" s="14">
        <v>2</v>
      </c>
      <c r="AB202" s="15">
        <f>IFERROR(AVERAGE(Tabel1[[#This Row],[Up - R1a]:[Up - R1c]]),"")</f>
        <v>3</v>
      </c>
      <c r="AC202" s="14">
        <v>4</v>
      </c>
      <c r="AD202" s="14">
        <v>3</v>
      </c>
      <c r="AE202" s="14">
        <v>2</v>
      </c>
      <c r="AF202" s="14">
        <v>4</v>
      </c>
      <c r="AG202" s="14">
        <f>IFERROR(AVERAGE(Tabel1[[#This Row],[Up - R1]:[Up - R5]]),"")</f>
        <v>3.2</v>
      </c>
      <c r="AH202" s="14">
        <v>3</v>
      </c>
      <c r="AI202" s="14">
        <v>4</v>
      </c>
      <c r="AJ202" s="14">
        <v>4</v>
      </c>
      <c r="AK202" s="14">
        <f>IFERROR(AVERAGE(Tabel1[[#This Row],[Up - C1a]:[Up - C1c]]),"")</f>
        <v>3.6666666666666665</v>
      </c>
      <c r="AL202" s="14">
        <v>3</v>
      </c>
      <c r="AM202" s="14">
        <v>3</v>
      </c>
      <c r="AN202" s="14">
        <v>3</v>
      </c>
      <c r="AO202" s="14">
        <f>IFERROR(AVERAGE(Tabel1[[#This Row],[Up - C1]:[Up - C4]]),"")</f>
        <v>3.1666666666666665</v>
      </c>
      <c r="AP202" s="14">
        <v>2</v>
      </c>
      <c r="AQ202" s="14">
        <f>IFERROR(AVERAGE(Tabel1[[#This Row],[Up - F1a]:[Up - F1a]]),"")</f>
        <v>2</v>
      </c>
      <c r="AR202" s="14">
        <v>2</v>
      </c>
      <c r="AS202" s="14">
        <v>2</v>
      </c>
      <c r="AT202" s="14">
        <f>IFERROR(AVERAGE(Tabel1[[#This Row],[Up - F2a]:[Up - F2b]]),"")</f>
        <v>2</v>
      </c>
      <c r="AU202" s="14">
        <v>3</v>
      </c>
      <c r="AV202" s="14">
        <v>2</v>
      </c>
      <c r="AW202" s="14">
        <f>IFERROR(AVERAGE(Tabel1[[#This Row],[Up - F3a]:[Up - F3b]]),"")</f>
        <v>2.5</v>
      </c>
      <c r="AX202" s="14">
        <v>2</v>
      </c>
      <c r="AY202" s="14">
        <f>IFERROR(AVERAGE(Tabel1[[#This Row],[Up - F1]],Tabel1[[#This Row],[Up - F2]],Tabel1[[#This Row],[Up - F3]],Tabel1[[#This Row],[Up - F4]]),"")</f>
        <v>2.125</v>
      </c>
      <c r="AZ202" s="14">
        <v>3</v>
      </c>
      <c r="BA202" s="14">
        <v>4</v>
      </c>
      <c r="BB202" s="14">
        <f>IFERROR(AVERAGE(Tabel1[[#This Row],[Up - V1a]:[Up - V1b]]),"")</f>
        <v>3.5</v>
      </c>
      <c r="BC202" s="14">
        <v>2</v>
      </c>
      <c r="BD202" s="14">
        <v>3</v>
      </c>
      <c r="BE202" s="14">
        <v>4</v>
      </c>
      <c r="BF202" s="14">
        <f>IFERROR(AVERAGE(Tabel1[[#This Row],[Up - V2a]:[Up - V2c]]),"")</f>
        <v>3</v>
      </c>
      <c r="BG202" s="14">
        <v>3</v>
      </c>
      <c r="BH202" s="14">
        <v>4</v>
      </c>
      <c r="BI202" s="14">
        <f>IFERROR(AVERAGE(Tabel1[[#This Row],[Up - V3a]:[Up - V3b]]),"")</f>
        <v>3.5</v>
      </c>
      <c r="BJ202" s="14">
        <v>2</v>
      </c>
      <c r="BK202" s="14">
        <f>IFERROR(AVERAGE(Tabel1[[#This Row],[Up - V1]],Tabel1[[#This Row],[Up - V2]],Tabel1[[#This Row],[Up - V3]],Tabel1[[#This Row],[Up - V4]]),"")</f>
        <v>3</v>
      </c>
      <c r="BL202" s="14">
        <v>3</v>
      </c>
      <c r="BM202" s="14">
        <v>4</v>
      </c>
      <c r="BN202" s="14">
        <v>2</v>
      </c>
      <c r="BO202" s="14">
        <v>2</v>
      </c>
      <c r="BP202" s="14">
        <f>IFERROR(AVERAGE(Tabel1[[#This Row],[Up - A1a]:[Up - A1d]]),"")</f>
        <v>2.75</v>
      </c>
      <c r="BQ202" s="14">
        <v>3</v>
      </c>
      <c r="BR202" s="14">
        <v>3</v>
      </c>
      <c r="BS202" s="14">
        <f>IFERROR(AVERAGE(Tabel1[[#This Row],[Up - A2a]:[Up - A2b]]),"")</f>
        <v>3</v>
      </c>
      <c r="BT202" s="14">
        <v>3</v>
      </c>
      <c r="BU202" s="14">
        <f>IFERROR(AVERAGE(Tabel1[[#This Row],[Up - A3a]:[Up - A3a]]),"")</f>
        <v>3</v>
      </c>
      <c r="BV202" s="14">
        <v>3</v>
      </c>
      <c r="BW202" s="14">
        <f>IFERROR(AVERAGE(Tabel1[[#This Row],[Up - A1]],Tabel1[[#This Row],[Up - A2]],Tabel1[[#This Row],[Up - A3]]),"")</f>
        <v>2.9166666666666665</v>
      </c>
      <c r="BX202" s="14">
        <v>3</v>
      </c>
      <c r="BY202" s="14">
        <v>5</v>
      </c>
      <c r="BZ202" s="14">
        <f>IFERROR(AVERAGE(Tabel1[[#This Row],[In - R1a]:[In - R1b]]),"")</f>
        <v>4</v>
      </c>
      <c r="CA202" s="14">
        <v>4</v>
      </c>
      <c r="CB202" s="14">
        <v>4</v>
      </c>
      <c r="CC202" s="14">
        <v>3</v>
      </c>
      <c r="CD202" s="14">
        <v>5</v>
      </c>
      <c r="CE202" s="14">
        <f>IFERROR(AVERAGE(Tabel1[[#This Row],[In - R1]:[In - R5]]),"")</f>
        <v>4</v>
      </c>
      <c r="CF202" s="14">
        <v>4</v>
      </c>
      <c r="CG202" s="14">
        <v>4</v>
      </c>
      <c r="CH202" s="14">
        <v>4</v>
      </c>
      <c r="CI202" s="14">
        <f>IFERROR(AVERAGE(Tabel1[[#This Row],[In - C1a]:[In - C1c]]),"")</f>
        <v>4</v>
      </c>
      <c r="CJ202" s="14">
        <v>4</v>
      </c>
      <c r="CK202" s="14">
        <v>4</v>
      </c>
      <c r="CL202" s="14">
        <v>4</v>
      </c>
      <c r="CM202" s="14">
        <f>IFERROR(AVERAGE(Tabel1[[#This Row],[In - C1]:[In - C4]]),"")</f>
        <v>4</v>
      </c>
      <c r="CN202" s="14">
        <v>3</v>
      </c>
      <c r="CO202" s="14">
        <v>2</v>
      </c>
      <c r="CP202" s="14">
        <v>3</v>
      </c>
      <c r="CQ202" s="14">
        <f>IFERROR(AVERAGE(Tabel1[[#This Row],[In - F1a]:[In - F1c]]),"")</f>
        <v>2.6666666666666665</v>
      </c>
      <c r="CR202" s="14">
        <v>3</v>
      </c>
      <c r="CS202" s="14">
        <v>2</v>
      </c>
      <c r="CT202" s="14">
        <f>IFERROR(AVERAGE(Tabel1[[#This Row],[In - F2a]:[In - F2b]]),"")</f>
        <v>2.5</v>
      </c>
      <c r="CU202" s="14">
        <v>2</v>
      </c>
      <c r="CV202" s="14">
        <f>IFERROR(AVERAGE(Tabel1[[#This Row],[In - F3a]:[In - F3a]]),"")</f>
        <v>2</v>
      </c>
      <c r="CW202" s="14">
        <v>4</v>
      </c>
      <c r="CX202" s="14">
        <f>IFERROR(AVERAGE(Tabel1[[#This Row],[In - F1]],Tabel1[[#This Row],[In - F2]],Tabel1[[#This Row],[In - F3]],Tabel1[[#This Row],[In - F4]]),"")</f>
        <v>2.7916666666666665</v>
      </c>
      <c r="CY202" s="14">
        <v>3</v>
      </c>
      <c r="CZ202" s="14">
        <v>3</v>
      </c>
      <c r="DA202" s="14">
        <v>3</v>
      </c>
      <c r="DB202" s="14">
        <f>IFERROR(AVERAGE(Tabel1[[#This Row],[In - V1a]:[In - V1c]]),"")</f>
        <v>3</v>
      </c>
      <c r="DC202" s="14">
        <v>3</v>
      </c>
      <c r="DD202" s="14">
        <v>3</v>
      </c>
      <c r="DE202" s="14">
        <v>4</v>
      </c>
      <c r="DF202" s="14">
        <f>IFERROR(AVERAGE(Tabel1[[#This Row],[In - V2a]:[In - V2c]]),"")</f>
        <v>3.3333333333333335</v>
      </c>
      <c r="DG202" s="14">
        <v>4</v>
      </c>
      <c r="DH202" s="14">
        <v>3</v>
      </c>
      <c r="DI202" s="14">
        <f>IFERROR(AVERAGE(Tabel1[[#This Row],[In - V3a]:[In - V3b]]),"")</f>
        <v>3.5</v>
      </c>
      <c r="DJ202" s="14">
        <v>3</v>
      </c>
      <c r="DK202" s="14">
        <f>IFERROR(AVERAGE(Tabel1[[#This Row],[In - V1]],Tabel1[[#This Row],[In - V2]],Tabel1[[#This Row],[In - V3]],Tabel1[[#This Row],[In - V4]]),"")</f>
        <v>3.2083333333333335</v>
      </c>
      <c r="DL202" s="14">
        <v>4</v>
      </c>
      <c r="DM202" s="14">
        <v>4</v>
      </c>
      <c r="DN202" s="14">
        <f>IFERROR(AVERAGE(Tabel1[[#This Row],[In - A1a]:[In - A1b]]),"")</f>
        <v>4</v>
      </c>
      <c r="DO202" s="14">
        <v>3</v>
      </c>
      <c r="DP202" s="14">
        <v>3</v>
      </c>
      <c r="DQ202" s="14">
        <f>IFERROR(AVERAGE(Tabel1[[#This Row],[In - A2a]:[In - A2b]]),"")</f>
        <v>3</v>
      </c>
      <c r="DR202" s="14">
        <v>3</v>
      </c>
      <c r="DS202" s="14">
        <v>3</v>
      </c>
      <c r="DT202" s="14">
        <f>IFERROR(AVERAGE(Tabel1[[#This Row],[In - A3a]:[In - A3a]]),"")</f>
        <v>3</v>
      </c>
      <c r="DU202" s="14">
        <v>3</v>
      </c>
      <c r="DV202" s="14">
        <f>IFERROR(AVERAGE(Tabel1[[#This Row],[In - A1]],Tabel1[[#This Row],[In - A2]],Tabel1[[#This Row],[In - A3]],Tabel1[[#This Row],[In - A4]]),"")</f>
        <v>3.25</v>
      </c>
      <c r="DW202" s="14">
        <v>2</v>
      </c>
      <c r="DX202" s="14">
        <v>4</v>
      </c>
      <c r="DY202" s="14">
        <v>2</v>
      </c>
      <c r="DZ202" s="14">
        <f>IFERROR(AVERAGE(Tabel1[[#This Row],[Do - R1a]:[Do - R1c]]),"")</f>
        <v>2.6666666666666665</v>
      </c>
      <c r="EA202" s="14">
        <v>2</v>
      </c>
      <c r="EB202" s="14">
        <v>2</v>
      </c>
      <c r="EC202" s="14">
        <v>3</v>
      </c>
      <c r="ED202" s="14">
        <v>4</v>
      </c>
      <c r="EE202" s="14">
        <f>IFERROR(AVERAGE(Tabel1[[#This Row],[Do - R1]:[Do - R5]]),"")</f>
        <v>2.7333333333333334</v>
      </c>
      <c r="EF202" s="14">
        <v>3</v>
      </c>
      <c r="EG202" s="14">
        <v>4</v>
      </c>
      <c r="EH202" s="14">
        <v>4</v>
      </c>
      <c r="EI202" s="14">
        <f>IFERROR(AVERAGE(Tabel1[[#This Row],[Do - C1a]:[Do - C1c]]),"")</f>
        <v>3.6666666666666665</v>
      </c>
      <c r="EJ202" s="14">
        <v>3</v>
      </c>
      <c r="EK202" s="14">
        <v>2</v>
      </c>
      <c r="EL202" s="14">
        <v>3</v>
      </c>
      <c r="EM202" s="14">
        <f>IFERROR(AVERAGE(Tabel1[[#This Row],[Do - C1]:[Do - C4]]),"")</f>
        <v>2.9166666666666665</v>
      </c>
      <c r="EN202" s="14">
        <v>2</v>
      </c>
      <c r="EO202" s="14">
        <v>2</v>
      </c>
      <c r="EP202" s="14">
        <v>4</v>
      </c>
      <c r="EQ202" s="14">
        <f>IFERROR(AVERAGE(Tabel1[[#This Row],[Do - F1a]:[Do - F1c]]),"")</f>
        <v>2.6666666666666665</v>
      </c>
      <c r="ER202" s="14">
        <v>2</v>
      </c>
      <c r="ES202" s="14">
        <f>IFERROR(AVERAGE(Tabel1[[#This Row],[Do - F2a]:[Do - F2a]]),"")</f>
        <v>2</v>
      </c>
      <c r="ET202" s="14">
        <v>3</v>
      </c>
      <c r="EU202" s="14">
        <v>4</v>
      </c>
      <c r="EV202" s="14">
        <f>IFERROR(AVERAGE(Tabel1[[#This Row],[Do - F3a]:[Do - F3b]]),"")</f>
        <v>3.5</v>
      </c>
      <c r="EW202" s="14">
        <v>2</v>
      </c>
      <c r="EX202" s="14">
        <f>IFERROR(AVERAGE(Tabel1[[#This Row],[Do - F1]],Tabel1[[#This Row],[Do - F2]],Tabel1[[#This Row],[Do - F3]],Tabel1[[#This Row],[Do - F4]]),"")</f>
        <v>2.5416666666666665</v>
      </c>
      <c r="EY202" s="14">
        <v>3</v>
      </c>
      <c r="EZ202" s="14">
        <v>3</v>
      </c>
      <c r="FA202" s="14">
        <v>4</v>
      </c>
      <c r="FB202" s="14">
        <f>IFERROR(AVERAGE(Tabel1[[#This Row],[Do - V1a]:[Do - V1c]]),"")</f>
        <v>3.3333333333333335</v>
      </c>
      <c r="FC202" s="14">
        <v>2</v>
      </c>
      <c r="FD202" s="14">
        <v>3</v>
      </c>
      <c r="FE202" s="14">
        <f>IFERROR(AVERAGE(Tabel1[[#This Row],[Do - V2a]:[Do - V2b]]),"")</f>
        <v>2.5</v>
      </c>
      <c r="FF202" s="14">
        <v>4</v>
      </c>
      <c r="FG202" s="14">
        <f>IFERROR(AVERAGE(Tabel1[[#This Row],[Do - V3a]:[Do - V3a]]),"")</f>
        <v>4</v>
      </c>
      <c r="FH202" s="14">
        <v>2</v>
      </c>
      <c r="FI202" s="14">
        <f>IFERROR(AVERAGE(Tabel1[[#This Row],[Do - V1]],Tabel1[[#This Row],[Do - V2]],Tabel1[[#This Row],[Do - V3]],Tabel1[[#This Row],[Do - V4]]),"")</f>
        <v>2.9583333333333335</v>
      </c>
      <c r="FJ202" s="14">
        <v>3</v>
      </c>
      <c r="FK202" s="14">
        <v>3</v>
      </c>
      <c r="FL202" s="14">
        <v>3</v>
      </c>
      <c r="FM202" s="14">
        <f>IFERROR(AVERAGE(Tabel1[[#This Row],[Do - A1a]:[Do - A1c]]),"")</f>
        <v>3</v>
      </c>
      <c r="FN202" s="14">
        <v>3</v>
      </c>
      <c r="FO202" s="14">
        <v>3</v>
      </c>
      <c r="FP202" s="14">
        <f>IFERROR(AVERAGE(Tabel1[[#This Row],[Do - A2a]:[Do - A2b]]),"")</f>
        <v>3</v>
      </c>
      <c r="FQ202" s="14">
        <v>3</v>
      </c>
      <c r="FR202" s="14">
        <f>IFERROR(AVERAGE(Tabel1[[#This Row],[Do - A3a]:[Do - A3a]]),"")</f>
        <v>3</v>
      </c>
      <c r="FS202" s="14">
        <v>3</v>
      </c>
      <c r="FT202" s="14">
        <f>IFERROR(AVERAGE(Tabel1[[#This Row],[Do - A1]],Tabel1[[#This Row],[Do - A2]],Tabel1[[#This Row],[Do - A3]],Tabel1[[#This Row],[Do - A4]]),"")</f>
        <v>3</v>
      </c>
      <c r="FU20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3.0538888888888889</v>
      </c>
      <c r="FV202" s="16" t="s">
        <v>1117</v>
      </c>
      <c r="FW202" t="b">
        <v>1</v>
      </c>
    </row>
    <row r="203" spans="1:179" x14ac:dyDescent="0.3">
      <c r="A203" s="13">
        <v>45246.376898148148</v>
      </c>
      <c r="B203" t="b">
        <v>0</v>
      </c>
      <c r="C203" s="14" t="s">
        <v>1118</v>
      </c>
      <c r="D203" s="14" t="s">
        <v>864</v>
      </c>
      <c r="E203" s="14" t="s">
        <v>193</v>
      </c>
      <c r="F203" s="14" t="s">
        <v>189</v>
      </c>
      <c r="G203" s="14" t="s">
        <v>1119</v>
      </c>
      <c r="H203" s="14" t="s">
        <v>194</v>
      </c>
      <c r="I203" s="14" t="s">
        <v>195</v>
      </c>
      <c r="J203" s="14" t="s">
        <v>196</v>
      </c>
      <c r="K203" s="14" t="s">
        <v>187</v>
      </c>
      <c r="L203" s="14" t="s">
        <v>249</v>
      </c>
      <c r="M203" s="14" t="s">
        <v>198</v>
      </c>
      <c r="N203" s="14" t="s">
        <v>262</v>
      </c>
      <c r="O203" s="14" t="s">
        <v>200</v>
      </c>
      <c r="P203" s="14" t="s">
        <v>201</v>
      </c>
      <c r="Q203" s="14" t="s">
        <v>202</v>
      </c>
      <c r="R203" s="14" t="s">
        <v>187</v>
      </c>
      <c r="S203" s="14" t="s">
        <v>235</v>
      </c>
      <c r="T203" s="14" t="s">
        <v>204</v>
      </c>
      <c r="U203" s="14" t="s">
        <v>285</v>
      </c>
      <c r="V203" s="14" t="s">
        <v>206</v>
      </c>
      <c r="W203" s="14" t="s">
        <v>207</v>
      </c>
      <c r="X203" s="14" t="s">
        <v>207</v>
      </c>
      <c r="Y203" s="14">
        <v>3</v>
      </c>
      <c r="Z203" s="14">
        <v>3</v>
      </c>
      <c r="AA203" s="14" t="s">
        <v>189</v>
      </c>
      <c r="AB203" s="15">
        <f>IFERROR(AVERAGE(Tabel1[[#This Row],[Up - R1a]:[Up - R1c]]),"")</f>
        <v>3</v>
      </c>
      <c r="AC203" s="14">
        <v>3</v>
      </c>
      <c r="AD203" s="14">
        <v>4</v>
      </c>
      <c r="AE203" s="14">
        <v>1</v>
      </c>
      <c r="AF203" s="14" t="s">
        <v>189</v>
      </c>
      <c r="AG203" s="14">
        <f>IFERROR(AVERAGE(Tabel1[[#This Row],[Up - R1]:[Up - R5]]),"")</f>
        <v>2.75</v>
      </c>
      <c r="AH203" s="14">
        <v>4</v>
      </c>
      <c r="AI203" s="14">
        <v>4</v>
      </c>
      <c r="AJ203" s="14">
        <v>4</v>
      </c>
      <c r="AK203" s="14">
        <f>IFERROR(AVERAGE(Tabel1[[#This Row],[Up - C1a]:[Up - C1c]]),"")</f>
        <v>4</v>
      </c>
      <c r="AL203" s="14">
        <v>4</v>
      </c>
      <c r="AM203" s="14">
        <v>3</v>
      </c>
      <c r="AN203" s="14" t="s">
        <v>189</v>
      </c>
      <c r="AO203" s="14">
        <f>IFERROR(AVERAGE(Tabel1[[#This Row],[Up - C1]:[Up - C4]]),"")</f>
        <v>3.6666666666666665</v>
      </c>
      <c r="AP203" s="14" t="s">
        <v>189</v>
      </c>
      <c r="AQ203" s="14" t="str">
        <f>IFERROR(AVERAGE(Tabel1[[#This Row],[Up - F1a]:[Up - F1a]]),"")</f>
        <v/>
      </c>
      <c r="AR203" s="14">
        <v>3</v>
      </c>
      <c r="AS203" s="14">
        <v>3</v>
      </c>
      <c r="AT203" s="14">
        <f>IFERROR(AVERAGE(Tabel1[[#This Row],[Up - F2a]:[Up - F2b]]),"")</f>
        <v>3</v>
      </c>
      <c r="AU203" s="14">
        <v>3</v>
      </c>
      <c r="AV203" s="14">
        <v>3</v>
      </c>
      <c r="AW203" s="14">
        <f>IFERROR(AVERAGE(Tabel1[[#This Row],[Up - F3a]:[Up - F3b]]),"")</f>
        <v>3</v>
      </c>
      <c r="AX203" s="14" t="s">
        <v>189</v>
      </c>
      <c r="AY203" s="14">
        <f>IFERROR(AVERAGE(Tabel1[[#This Row],[Up - F1]],Tabel1[[#This Row],[Up - F2]],Tabel1[[#This Row],[Up - F3]],Tabel1[[#This Row],[Up - F4]]),"")</f>
        <v>3</v>
      </c>
      <c r="AZ203" s="14">
        <v>3</v>
      </c>
      <c r="BA203" s="14" t="s">
        <v>189</v>
      </c>
      <c r="BB203" s="14">
        <f>IFERROR(AVERAGE(Tabel1[[#This Row],[Up - V1a]:[Up - V1b]]),"")</f>
        <v>3</v>
      </c>
      <c r="BC203" s="14" t="s">
        <v>189</v>
      </c>
      <c r="BD203" s="14" t="s">
        <v>189</v>
      </c>
      <c r="BE203" s="14" t="s">
        <v>189</v>
      </c>
      <c r="BF203" s="14" t="str">
        <f>IFERROR(AVERAGE(Tabel1[[#This Row],[Up - V2a]:[Up - V2c]]),"")</f>
        <v/>
      </c>
      <c r="BG203" s="14" t="s">
        <v>189</v>
      </c>
      <c r="BH203" s="14" t="s">
        <v>189</v>
      </c>
      <c r="BI203" s="14" t="str">
        <f>IFERROR(AVERAGE(Tabel1[[#This Row],[Up - V3a]:[Up - V3b]]),"")</f>
        <v/>
      </c>
      <c r="BJ203" s="14" t="s">
        <v>189</v>
      </c>
      <c r="BK203" s="14">
        <f>IFERROR(AVERAGE(Tabel1[[#This Row],[Up - V1]],Tabel1[[#This Row],[Up - V2]],Tabel1[[#This Row],[Up - V3]],Tabel1[[#This Row],[Up - V4]]),"")</f>
        <v>3</v>
      </c>
      <c r="BL203" s="14">
        <v>4</v>
      </c>
      <c r="BM203" s="14">
        <v>4</v>
      </c>
      <c r="BN203" s="14" t="s">
        <v>189</v>
      </c>
      <c r="BO203" s="14" t="s">
        <v>189</v>
      </c>
      <c r="BP203" s="14">
        <f>IFERROR(AVERAGE(Tabel1[[#This Row],[Up - A1a]:[Up - A1d]]),"")</f>
        <v>4</v>
      </c>
      <c r="BQ203" s="14" t="s">
        <v>189</v>
      </c>
      <c r="BR203" s="14">
        <v>4</v>
      </c>
      <c r="BS203" s="14">
        <f>IFERROR(AVERAGE(Tabel1[[#This Row],[Up - A2a]:[Up - A2b]]),"")</f>
        <v>4</v>
      </c>
      <c r="BT203" s="14" t="s">
        <v>189</v>
      </c>
      <c r="BU203" s="14" t="str">
        <f>IFERROR(AVERAGE(Tabel1[[#This Row],[Up - A3a]:[Up - A3a]]),"")</f>
        <v/>
      </c>
      <c r="BV203" s="14" t="s">
        <v>189</v>
      </c>
      <c r="BW203" s="14">
        <f>IFERROR(AVERAGE(Tabel1[[#This Row],[Up - A1]],Tabel1[[#This Row],[Up - A2]],Tabel1[[#This Row],[Up - A3]]),"")</f>
        <v>4</v>
      </c>
      <c r="BX203" s="14">
        <v>3</v>
      </c>
      <c r="BY203" s="14">
        <v>3</v>
      </c>
      <c r="BZ203" s="14">
        <f>IFERROR(AVERAGE(Tabel1[[#This Row],[In - R1a]:[In - R1b]]),"")</f>
        <v>3</v>
      </c>
      <c r="CA203" s="14">
        <v>3</v>
      </c>
      <c r="CB203" s="14">
        <v>4</v>
      </c>
      <c r="CC203" s="14">
        <v>3</v>
      </c>
      <c r="CD203" s="14" t="s">
        <v>189</v>
      </c>
      <c r="CE203" s="14">
        <f>IFERROR(AVERAGE(Tabel1[[#This Row],[In - R1]:[In - R5]]),"")</f>
        <v>3.25</v>
      </c>
      <c r="CF203" s="14">
        <v>3</v>
      </c>
      <c r="CG203" s="14">
        <v>5</v>
      </c>
      <c r="CH203" s="14">
        <v>4</v>
      </c>
      <c r="CI203" s="14">
        <f>IFERROR(AVERAGE(Tabel1[[#This Row],[In - C1a]:[In - C1c]]),"")</f>
        <v>4</v>
      </c>
      <c r="CJ203" s="14">
        <v>2</v>
      </c>
      <c r="CK203" s="14">
        <v>3</v>
      </c>
      <c r="CL203" s="14">
        <v>1</v>
      </c>
      <c r="CM203" s="14">
        <f>IFERROR(AVERAGE(Tabel1[[#This Row],[In - C1]:[In - C4]]),"")</f>
        <v>2.5</v>
      </c>
      <c r="CN203" s="14" t="s">
        <v>189</v>
      </c>
      <c r="CO203" s="14">
        <v>3</v>
      </c>
      <c r="CP203" s="14">
        <v>5</v>
      </c>
      <c r="CQ203" s="14">
        <f>IFERROR(AVERAGE(Tabel1[[#This Row],[In - F1a]:[In - F1c]]),"")</f>
        <v>4</v>
      </c>
      <c r="CR203" s="14">
        <v>3</v>
      </c>
      <c r="CS203" s="14">
        <v>3</v>
      </c>
      <c r="CT203" s="14">
        <f>IFERROR(AVERAGE(Tabel1[[#This Row],[In - F2a]:[In - F2b]]),"")</f>
        <v>3</v>
      </c>
      <c r="CU203" s="14">
        <v>3</v>
      </c>
      <c r="CV203" s="14">
        <f>IFERROR(AVERAGE(Tabel1[[#This Row],[In - F3a]:[In - F3a]]),"")</f>
        <v>3</v>
      </c>
      <c r="CW203" s="14" t="s">
        <v>189</v>
      </c>
      <c r="CX203" s="14">
        <f>IFERROR(AVERAGE(Tabel1[[#This Row],[In - F1]],Tabel1[[#This Row],[In - F2]],Tabel1[[#This Row],[In - F3]],Tabel1[[#This Row],[In - F4]]),"")</f>
        <v>3.3333333333333335</v>
      </c>
      <c r="CY203" s="14">
        <v>1</v>
      </c>
      <c r="CZ203" s="14">
        <v>2</v>
      </c>
      <c r="DA203" s="14" t="s">
        <v>189</v>
      </c>
      <c r="DB203" s="14">
        <f>IFERROR(AVERAGE(Tabel1[[#This Row],[In - V1a]:[In - V1c]]),"")</f>
        <v>1.5</v>
      </c>
      <c r="DC203" s="14" t="s">
        <v>189</v>
      </c>
      <c r="DD203" s="14" t="s">
        <v>189</v>
      </c>
      <c r="DE203" s="14" t="s">
        <v>189</v>
      </c>
      <c r="DF203" s="14" t="str">
        <f>IFERROR(AVERAGE(Tabel1[[#This Row],[In - V2a]:[In - V2c]]),"")</f>
        <v/>
      </c>
      <c r="DG203" s="14">
        <v>4</v>
      </c>
      <c r="DH203" s="14" t="s">
        <v>189</v>
      </c>
      <c r="DI203" s="14">
        <f>IFERROR(AVERAGE(Tabel1[[#This Row],[In - V3a]:[In - V3b]]),"")</f>
        <v>4</v>
      </c>
      <c r="DJ203" s="14" t="s">
        <v>189</v>
      </c>
      <c r="DK203" s="14">
        <f>IFERROR(AVERAGE(Tabel1[[#This Row],[In - V1]],Tabel1[[#This Row],[In - V2]],Tabel1[[#This Row],[In - V3]],Tabel1[[#This Row],[In - V4]]),"")</f>
        <v>2.75</v>
      </c>
      <c r="DL203" s="14">
        <v>4</v>
      </c>
      <c r="DM203" s="14">
        <v>3</v>
      </c>
      <c r="DN203" s="14">
        <f>IFERROR(AVERAGE(Tabel1[[#This Row],[In - A1a]:[In - A1b]]),"")</f>
        <v>3.5</v>
      </c>
      <c r="DO203" s="14">
        <v>4</v>
      </c>
      <c r="DP203" s="14">
        <v>4</v>
      </c>
      <c r="DQ203" s="14">
        <f>IFERROR(AVERAGE(Tabel1[[#This Row],[In - A2a]:[In - A2b]]),"")</f>
        <v>4</v>
      </c>
      <c r="DR203" s="14" t="s">
        <v>189</v>
      </c>
      <c r="DS203" s="14" t="s">
        <v>189</v>
      </c>
      <c r="DT203" s="14" t="str">
        <f>IFERROR(AVERAGE(Tabel1[[#This Row],[In - A3a]:[In - A3a]]),"")</f>
        <v/>
      </c>
      <c r="DU203" s="14" t="s">
        <v>189</v>
      </c>
      <c r="DV203" s="14">
        <f>IFERROR(AVERAGE(Tabel1[[#This Row],[In - A1]],Tabel1[[#This Row],[In - A2]],Tabel1[[#This Row],[In - A3]],Tabel1[[#This Row],[In - A4]]),"")</f>
        <v>3.75</v>
      </c>
      <c r="DW203" s="14" t="s">
        <v>189</v>
      </c>
      <c r="DX203" s="14">
        <v>5</v>
      </c>
      <c r="DY203" s="14" t="s">
        <v>189</v>
      </c>
      <c r="DZ203" s="14">
        <f>IFERROR(AVERAGE(Tabel1[[#This Row],[Do - R1a]:[Do - R1c]]),"")</f>
        <v>5</v>
      </c>
      <c r="EA203" s="14">
        <v>3</v>
      </c>
      <c r="EB203" s="14">
        <v>3</v>
      </c>
      <c r="EC203" s="14" t="s">
        <v>189</v>
      </c>
      <c r="ED203" s="14" t="s">
        <v>189</v>
      </c>
      <c r="EE203" s="14">
        <f>IFERROR(AVERAGE(Tabel1[[#This Row],[Do - R1]:[Do - R5]]),"")</f>
        <v>3.6666666666666665</v>
      </c>
      <c r="EF203" s="14" t="s">
        <v>189</v>
      </c>
      <c r="EG203" s="14" t="s">
        <v>189</v>
      </c>
      <c r="EH203" s="14" t="s">
        <v>189</v>
      </c>
      <c r="EI203" s="14" t="str">
        <f>IFERROR(AVERAGE(Tabel1[[#This Row],[Do - C1a]:[Do - C1c]]),"")</f>
        <v/>
      </c>
      <c r="EJ203" s="14">
        <v>5</v>
      </c>
      <c r="EK203" s="14" t="s">
        <v>189</v>
      </c>
      <c r="EL203" s="14" t="s">
        <v>189</v>
      </c>
      <c r="EM203" s="14">
        <f>IFERROR(AVERAGE(Tabel1[[#This Row],[Do - C1]:[Do - C4]]),"")</f>
        <v>5</v>
      </c>
      <c r="EN203" s="14" t="s">
        <v>189</v>
      </c>
      <c r="EO203" s="14" t="s">
        <v>189</v>
      </c>
      <c r="EP203" s="14" t="s">
        <v>189</v>
      </c>
      <c r="EQ203" s="14" t="str">
        <f>IFERROR(AVERAGE(Tabel1[[#This Row],[Do - F1a]:[Do - F1c]]),"")</f>
        <v/>
      </c>
      <c r="ER203" s="14" t="s">
        <v>189</v>
      </c>
      <c r="ES203" s="14" t="str">
        <f>IFERROR(AVERAGE(Tabel1[[#This Row],[Do - F2a]:[Do - F2a]]),"")</f>
        <v/>
      </c>
      <c r="ET203" s="14" t="s">
        <v>189</v>
      </c>
      <c r="EU203" s="14" t="s">
        <v>189</v>
      </c>
      <c r="EV203" s="14" t="str">
        <f>IFERROR(AVERAGE(Tabel1[[#This Row],[Do - F3a]:[Do - F3b]]),"")</f>
        <v/>
      </c>
      <c r="EW203" s="14" t="s">
        <v>189</v>
      </c>
      <c r="EX203" s="14" t="str">
        <f>IFERROR(AVERAGE(Tabel1[[#This Row],[Do - F1]],Tabel1[[#This Row],[Do - F2]],Tabel1[[#This Row],[Do - F3]],Tabel1[[#This Row],[Do - F4]]),"")</f>
        <v/>
      </c>
      <c r="EY203" s="14">
        <v>4</v>
      </c>
      <c r="EZ203" s="14" t="s">
        <v>189</v>
      </c>
      <c r="FA203" s="14">
        <v>3</v>
      </c>
      <c r="FB203" s="14">
        <f>IFERROR(AVERAGE(Tabel1[[#This Row],[Do - V1a]:[Do - V1c]]),"")</f>
        <v>3.5</v>
      </c>
      <c r="FC203" s="14" t="s">
        <v>189</v>
      </c>
      <c r="FD203" s="14" t="s">
        <v>189</v>
      </c>
      <c r="FE203" s="14" t="str">
        <f>IFERROR(AVERAGE(Tabel1[[#This Row],[Do - V2a]:[Do - V2b]]),"")</f>
        <v/>
      </c>
      <c r="FF203" s="14">
        <v>4</v>
      </c>
      <c r="FG203" s="14">
        <f>IFERROR(AVERAGE(Tabel1[[#This Row],[Do - V3a]:[Do - V3a]]),"")</f>
        <v>4</v>
      </c>
      <c r="FH203" s="14" t="s">
        <v>189</v>
      </c>
      <c r="FI203" s="14">
        <f>IFERROR(AVERAGE(Tabel1[[#This Row],[Do - V1]],Tabel1[[#This Row],[Do - V2]],Tabel1[[#This Row],[Do - V3]],Tabel1[[#This Row],[Do - V4]]),"")</f>
        <v>3.75</v>
      </c>
      <c r="FJ203" s="14">
        <v>4</v>
      </c>
      <c r="FK203" s="14">
        <v>3</v>
      </c>
      <c r="FL203" s="14" t="s">
        <v>189</v>
      </c>
      <c r="FM203" s="14">
        <f>IFERROR(AVERAGE(Tabel1[[#This Row],[Do - A1a]:[Do - A1c]]),"")</f>
        <v>3.5</v>
      </c>
      <c r="FN203" s="14">
        <v>3</v>
      </c>
      <c r="FO203" s="14" t="s">
        <v>189</v>
      </c>
      <c r="FP203" s="14">
        <f>IFERROR(AVERAGE(Tabel1[[#This Row],[Do - A2a]:[Do - A2b]]),"")</f>
        <v>3</v>
      </c>
      <c r="FQ203" s="14" t="s">
        <v>189</v>
      </c>
      <c r="FR203" s="14" t="str">
        <f>IFERROR(AVERAGE(Tabel1[[#This Row],[Do - A3a]:[Do - A3a]]),"")</f>
        <v/>
      </c>
      <c r="FS203" s="14" t="s">
        <v>189</v>
      </c>
      <c r="FT203" s="14">
        <f>IFERROR(AVERAGE(Tabel1[[#This Row],[Do - A1]],Tabel1[[#This Row],[Do - A2]],Tabel1[[#This Row],[Do - A3]],Tabel1[[#This Row],[Do - A4]]),"")</f>
        <v>3.25</v>
      </c>
      <c r="FU20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3.4047619047619047</v>
      </c>
      <c r="FV203" s="16" t="s">
        <v>1120</v>
      </c>
      <c r="FW203" t="b">
        <v>1</v>
      </c>
    </row>
    <row r="204" spans="1:179" x14ac:dyDescent="0.3">
      <c r="A204" s="13">
        <v>45247.107071759259</v>
      </c>
      <c r="B204" t="b">
        <v>0</v>
      </c>
      <c r="C204" s="14" t="s">
        <v>1121</v>
      </c>
      <c r="D204" s="14" t="s">
        <v>1122</v>
      </c>
      <c r="E204" s="14" t="s">
        <v>193</v>
      </c>
      <c r="F204" s="14" t="s">
        <v>189</v>
      </c>
      <c r="G204" s="14" t="s">
        <v>1119</v>
      </c>
      <c r="H204" s="14" t="s">
        <v>194</v>
      </c>
      <c r="I204" s="14" t="s">
        <v>195</v>
      </c>
      <c r="J204" s="14" t="s">
        <v>196</v>
      </c>
      <c r="K204" s="14" t="s">
        <v>187</v>
      </c>
      <c r="L204" s="14" t="s">
        <v>249</v>
      </c>
      <c r="M204" s="14" t="s">
        <v>233</v>
      </c>
      <c r="N204" s="14" t="s">
        <v>262</v>
      </c>
      <c r="O204" s="14" t="s">
        <v>200</v>
      </c>
      <c r="P204" s="14" t="s">
        <v>201</v>
      </c>
      <c r="Q204" s="14" t="s">
        <v>235</v>
      </c>
      <c r="R204" s="14" t="s">
        <v>187</v>
      </c>
      <c r="S204" s="14" t="s">
        <v>235</v>
      </c>
      <c r="T204" s="14" t="s">
        <v>204</v>
      </c>
      <c r="U204" s="14" t="s">
        <v>285</v>
      </c>
      <c r="V204" s="14" t="s">
        <v>206</v>
      </c>
      <c r="W204" s="14" t="s">
        <v>207</v>
      </c>
      <c r="X204" s="14" t="s">
        <v>207</v>
      </c>
      <c r="Y204" s="14">
        <v>3</v>
      </c>
      <c r="Z204" s="14">
        <v>4</v>
      </c>
      <c r="AA204" s="14">
        <v>2</v>
      </c>
      <c r="AB204" s="15">
        <f>IFERROR(AVERAGE(Tabel1[[#This Row],[Up - R1a]:[Up - R1c]]),"")</f>
        <v>3</v>
      </c>
      <c r="AC204" s="14">
        <v>3</v>
      </c>
      <c r="AD204" s="14">
        <v>4</v>
      </c>
      <c r="AE204" s="14">
        <v>1</v>
      </c>
      <c r="AF204" s="14" t="s">
        <v>189</v>
      </c>
      <c r="AG204" s="14">
        <f>IFERROR(AVERAGE(Tabel1[[#This Row],[Up - R1]:[Up - R5]]),"")</f>
        <v>2.75</v>
      </c>
      <c r="AH204" s="14">
        <v>2</v>
      </c>
      <c r="AI204" s="14">
        <v>3</v>
      </c>
      <c r="AJ204" s="14">
        <v>4</v>
      </c>
      <c r="AK204" s="14">
        <f>IFERROR(AVERAGE(Tabel1[[#This Row],[Up - C1a]:[Up - C1c]]),"")</f>
        <v>3</v>
      </c>
      <c r="AL204" s="14">
        <v>4</v>
      </c>
      <c r="AM204" s="14">
        <v>2</v>
      </c>
      <c r="AN204" s="14" t="s">
        <v>189</v>
      </c>
      <c r="AO204" s="14">
        <f>IFERROR(AVERAGE(Tabel1[[#This Row],[Up - C1]:[Up - C4]]),"")</f>
        <v>3</v>
      </c>
      <c r="AP204" s="14">
        <v>1</v>
      </c>
      <c r="AQ204" s="14">
        <f>IFERROR(AVERAGE(Tabel1[[#This Row],[Up - F1a]:[Up - F1a]]),"")</f>
        <v>1</v>
      </c>
      <c r="AR204" s="14">
        <v>3</v>
      </c>
      <c r="AS204" s="14">
        <v>2</v>
      </c>
      <c r="AT204" s="14">
        <f>IFERROR(AVERAGE(Tabel1[[#This Row],[Up - F2a]:[Up - F2b]]),"")</f>
        <v>2.5</v>
      </c>
      <c r="AU204" s="14">
        <v>4</v>
      </c>
      <c r="AV204" s="14">
        <v>4</v>
      </c>
      <c r="AW204" s="14">
        <f>IFERROR(AVERAGE(Tabel1[[#This Row],[Up - F3a]:[Up - F3b]]),"")</f>
        <v>4</v>
      </c>
      <c r="AX204" s="14">
        <v>1</v>
      </c>
      <c r="AY204" s="14">
        <f>IFERROR(AVERAGE(Tabel1[[#This Row],[Up - F1]],Tabel1[[#This Row],[Up - F2]],Tabel1[[#This Row],[Up - F3]],Tabel1[[#This Row],[Up - F4]]),"")</f>
        <v>2.125</v>
      </c>
      <c r="AZ204" s="14">
        <v>1</v>
      </c>
      <c r="BA204" s="14">
        <v>3</v>
      </c>
      <c r="BB204" s="14">
        <f>IFERROR(AVERAGE(Tabel1[[#This Row],[Up - V1a]:[Up - V1b]]),"")</f>
        <v>2</v>
      </c>
      <c r="BC204" s="14">
        <v>1</v>
      </c>
      <c r="BD204" s="14">
        <v>1</v>
      </c>
      <c r="BE204" s="14">
        <v>4</v>
      </c>
      <c r="BF204" s="14">
        <f>IFERROR(AVERAGE(Tabel1[[#This Row],[Up - V2a]:[Up - V2c]]),"")</f>
        <v>2</v>
      </c>
      <c r="BG204" s="14">
        <v>3</v>
      </c>
      <c r="BH204" s="14">
        <v>4</v>
      </c>
      <c r="BI204" s="14">
        <f>IFERROR(AVERAGE(Tabel1[[#This Row],[Up - V3a]:[Up - V3b]]),"")</f>
        <v>3.5</v>
      </c>
      <c r="BJ204" s="14" t="s">
        <v>189</v>
      </c>
      <c r="BK204" s="14">
        <f>IFERROR(AVERAGE(Tabel1[[#This Row],[Up - V1]],Tabel1[[#This Row],[Up - V2]],Tabel1[[#This Row],[Up - V3]],Tabel1[[#This Row],[Up - V4]]),"")</f>
        <v>2.5</v>
      </c>
      <c r="BL204" s="14">
        <v>4</v>
      </c>
      <c r="BM204" s="14">
        <v>2</v>
      </c>
      <c r="BN204" s="14">
        <v>1</v>
      </c>
      <c r="BO204" s="14">
        <v>1</v>
      </c>
      <c r="BP204" s="14">
        <f>IFERROR(AVERAGE(Tabel1[[#This Row],[Up - A1a]:[Up - A1d]]),"")</f>
        <v>2</v>
      </c>
      <c r="BQ204" s="14">
        <v>1</v>
      </c>
      <c r="BR204" s="14">
        <v>4</v>
      </c>
      <c r="BS204" s="14">
        <f>IFERROR(AVERAGE(Tabel1[[#This Row],[Up - A2a]:[Up - A2b]]),"")</f>
        <v>2.5</v>
      </c>
      <c r="BT204" s="14">
        <v>2</v>
      </c>
      <c r="BU204" s="14">
        <f>IFERROR(AVERAGE(Tabel1[[#This Row],[Up - A3a]:[Up - A3a]]),"")</f>
        <v>2</v>
      </c>
      <c r="BV204" s="14" t="s">
        <v>189</v>
      </c>
      <c r="BW204" s="14">
        <f>IFERROR(AVERAGE(Tabel1[[#This Row],[Up - A1]],Tabel1[[#This Row],[Up - A2]],Tabel1[[#This Row],[Up - A3]]),"")</f>
        <v>2.1666666666666665</v>
      </c>
      <c r="BX204" s="14">
        <v>3</v>
      </c>
      <c r="BY204" s="14">
        <v>3</v>
      </c>
      <c r="BZ204" s="14">
        <f>IFERROR(AVERAGE(Tabel1[[#This Row],[In - R1a]:[In - R1b]]),"")</f>
        <v>3</v>
      </c>
      <c r="CA204" s="14">
        <v>5</v>
      </c>
      <c r="CB204" s="14">
        <v>5</v>
      </c>
      <c r="CC204" s="14">
        <v>2</v>
      </c>
      <c r="CD204" s="14">
        <v>5</v>
      </c>
      <c r="CE204" s="14">
        <f>IFERROR(AVERAGE(Tabel1[[#This Row],[In - R1]:[In - R5]]),"")</f>
        <v>4</v>
      </c>
      <c r="CF204" s="14">
        <v>3</v>
      </c>
      <c r="CG204" s="14">
        <v>4</v>
      </c>
      <c r="CH204" s="14">
        <v>5</v>
      </c>
      <c r="CI204" s="14">
        <f>IFERROR(AVERAGE(Tabel1[[#This Row],[In - C1a]:[In - C1c]]),"")</f>
        <v>4</v>
      </c>
      <c r="CJ204" s="14">
        <v>1</v>
      </c>
      <c r="CK204" s="14">
        <v>3</v>
      </c>
      <c r="CL204" s="14">
        <v>1</v>
      </c>
      <c r="CM204" s="14">
        <f>IFERROR(AVERAGE(Tabel1[[#This Row],[In - C1]:[In - C4]]),"")</f>
        <v>2.25</v>
      </c>
      <c r="CN204" s="14">
        <v>5</v>
      </c>
      <c r="CO204" s="14">
        <v>2</v>
      </c>
      <c r="CP204" s="14">
        <v>1</v>
      </c>
      <c r="CQ204" s="14">
        <f>IFERROR(AVERAGE(Tabel1[[#This Row],[In - F1a]:[In - F1c]]),"")</f>
        <v>2.6666666666666665</v>
      </c>
      <c r="CR204" s="14">
        <v>4</v>
      </c>
      <c r="CS204" s="14">
        <v>3</v>
      </c>
      <c r="CT204" s="14">
        <f>IFERROR(AVERAGE(Tabel1[[#This Row],[In - F2a]:[In - F2b]]),"")</f>
        <v>3.5</v>
      </c>
      <c r="CU204" s="14">
        <v>2</v>
      </c>
      <c r="CV204" s="14">
        <f>IFERROR(AVERAGE(Tabel1[[#This Row],[In - F3a]:[In - F3a]]),"")</f>
        <v>2</v>
      </c>
      <c r="CW204" s="14">
        <v>1</v>
      </c>
      <c r="CX204" s="14">
        <f>IFERROR(AVERAGE(Tabel1[[#This Row],[In - F1]],Tabel1[[#This Row],[In - F2]],Tabel1[[#This Row],[In - F3]],Tabel1[[#This Row],[In - F4]]),"")</f>
        <v>2.2916666666666665</v>
      </c>
      <c r="CY204" s="14">
        <v>5</v>
      </c>
      <c r="CZ204" s="14">
        <v>3</v>
      </c>
      <c r="DA204" s="14">
        <v>2</v>
      </c>
      <c r="DB204" s="14">
        <f>IFERROR(AVERAGE(Tabel1[[#This Row],[In - V1a]:[In - V1c]]),"")</f>
        <v>3.3333333333333335</v>
      </c>
      <c r="DC204" s="14">
        <v>1</v>
      </c>
      <c r="DD204" s="14">
        <v>3</v>
      </c>
      <c r="DE204" s="14">
        <v>4</v>
      </c>
      <c r="DF204" s="14">
        <f>IFERROR(AVERAGE(Tabel1[[#This Row],[In - V2a]:[In - V2c]]),"")</f>
        <v>2.6666666666666665</v>
      </c>
      <c r="DG204" s="14">
        <v>3</v>
      </c>
      <c r="DH204" s="14">
        <v>4</v>
      </c>
      <c r="DI204" s="14">
        <f>IFERROR(AVERAGE(Tabel1[[#This Row],[In - V3a]:[In - V3b]]),"")</f>
        <v>3.5</v>
      </c>
      <c r="DJ204" s="14">
        <v>3</v>
      </c>
      <c r="DK204" s="14">
        <f>IFERROR(AVERAGE(Tabel1[[#This Row],[In - V1]],Tabel1[[#This Row],[In - V2]],Tabel1[[#This Row],[In - V3]],Tabel1[[#This Row],[In - V4]]),"")</f>
        <v>3.125</v>
      </c>
      <c r="DL204" s="14">
        <v>3</v>
      </c>
      <c r="DM204" s="14">
        <v>5</v>
      </c>
      <c r="DN204" s="14">
        <f>IFERROR(AVERAGE(Tabel1[[#This Row],[In - A1a]:[In - A1b]]),"")</f>
        <v>4</v>
      </c>
      <c r="DO204" s="14">
        <v>4</v>
      </c>
      <c r="DP204" s="14">
        <v>3</v>
      </c>
      <c r="DQ204" s="14">
        <f>IFERROR(AVERAGE(Tabel1[[#This Row],[In - A2a]:[In - A2b]]),"")</f>
        <v>3.5</v>
      </c>
      <c r="DR204" s="14">
        <v>4</v>
      </c>
      <c r="DS204" s="14">
        <v>2</v>
      </c>
      <c r="DT204" s="14">
        <f>IFERROR(AVERAGE(Tabel1[[#This Row],[In - A3a]:[In - A3a]]),"")</f>
        <v>4</v>
      </c>
      <c r="DU204" s="14" t="s">
        <v>189</v>
      </c>
      <c r="DV204" s="14">
        <f>IFERROR(AVERAGE(Tabel1[[#This Row],[In - A1]],Tabel1[[#This Row],[In - A2]],Tabel1[[#This Row],[In - A3]],Tabel1[[#This Row],[In - A4]]),"")</f>
        <v>3.8333333333333335</v>
      </c>
      <c r="DW204" s="14">
        <v>1</v>
      </c>
      <c r="DX204" s="14">
        <v>5</v>
      </c>
      <c r="DY204" s="14">
        <v>2</v>
      </c>
      <c r="DZ204" s="14">
        <f>IFERROR(AVERAGE(Tabel1[[#This Row],[Do - R1a]:[Do - R1c]]),"")</f>
        <v>2.6666666666666665</v>
      </c>
      <c r="EA204" s="14">
        <v>2</v>
      </c>
      <c r="EB204" s="14">
        <v>2</v>
      </c>
      <c r="EC204" s="14">
        <v>1</v>
      </c>
      <c r="ED204" s="14" t="s">
        <v>189</v>
      </c>
      <c r="EE204" s="14">
        <f>IFERROR(AVERAGE(Tabel1[[#This Row],[Do - R1]:[Do - R5]]),"")</f>
        <v>1.9166666666666665</v>
      </c>
      <c r="EF204" s="14" t="s">
        <v>189</v>
      </c>
      <c r="EG204" s="14">
        <v>3</v>
      </c>
      <c r="EH204" s="14">
        <v>4</v>
      </c>
      <c r="EI204" s="14">
        <f>IFERROR(AVERAGE(Tabel1[[#This Row],[Do - C1a]:[Do - C1c]]),"")</f>
        <v>3.5</v>
      </c>
      <c r="EJ204" s="14">
        <v>2</v>
      </c>
      <c r="EK204" s="14">
        <v>3</v>
      </c>
      <c r="EL204" s="14">
        <v>1</v>
      </c>
      <c r="EM204" s="14">
        <f>IFERROR(AVERAGE(Tabel1[[#This Row],[Do - C1]:[Do - C4]]),"")</f>
        <v>2.375</v>
      </c>
      <c r="EN204" s="14">
        <v>1</v>
      </c>
      <c r="EO204" s="14">
        <v>1</v>
      </c>
      <c r="EP204" s="14">
        <v>5</v>
      </c>
      <c r="EQ204" s="14">
        <f>IFERROR(AVERAGE(Tabel1[[#This Row],[Do - F1a]:[Do - F1c]]),"")</f>
        <v>2.3333333333333335</v>
      </c>
      <c r="ER204" s="14">
        <v>3</v>
      </c>
      <c r="ES204" s="14">
        <f>IFERROR(AVERAGE(Tabel1[[#This Row],[Do - F2a]:[Do - F2a]]),"")</f>
        <v>3</v>
      </c>
      <c r="ET204" s="14">
        <v>2</v>
      </c>
      <c r="EU204" s="14">
        <v>4</v>
      </c>
      <c r="EV204" s="14">
        <f>IFERROR(AVERAGE(Tabel1[[#This Row],[Do - F3a]:[Do - F3b]]),"")</f>
        <v>3</v>
      </c>
      <c r="EW204" s="14">
        <v>1</v>
      </c>
      <c r="EX204" s="14">
        <f>IFERROR(AVERAGE(Tabel1[[#This Row],[Do - F1]],Tabel1[[#This Row],[Do - F2]],Tabel1[[#This Row],[Do - F3]],Tabel1[[#This Row],[Do - F4]]),"")</f>
        <v>2.3333333333333335</v>
      </c>
      <c r="EY204" s="14">
        <v>2</v>
      </c>
      <c r="EZ204" s="14">
        <v>3</v>
      </c>
      <c r="FA204" s="14">
        <v>5</v>
      </c>
      <c r="FB204" s="14">
        <f>IFERROR(AVERAGE(Tabel1[[#This Row],[Do - V1a]:[Do - V1c]]),"")</f>
        <v>3.3333333333333335</v>
      </c>
      <c r="FC204" s="14">
        <v>2</v>
      </c>
      <c r="FD204" s="14">
        <v>3</v>
      </c>
      <c r="FE204" s="14">
        <f>IFERROR(AVERAGE(Tabel1[[#This Row],[Do - V2a]:[Do - V2b]]),"")</f>
        <v>2.5</v>
      </c>
      <c r="FF204" s="14">
        <v>4</v>
      </c>
      <c r="FG204" s="14">
        <f>IFERROR(AVERAGE(Tabel1[[#This Row],[Do - V3a]:[Do - V3a]]),"")</f>
        <v>4</v>
      </c>
      <c r="FH204" s="14" t="s">
        <v>189</v>
      </c>
      <c r="FI204" s="14">
        <f>IFERROR(AVERAGE(Tabel1[[#This Row],[Do - V1]],Tabel1[[#This Row],[Do - V2]],Tabel1[[#This Row],[Do - V3]],Tabel1[[#This Row],[Do - V4]]),"")</f>
        <v>3.2777777777777781</v>
      </c>
      <c r="FJ204" s="14">
        <v>5</v>
      </c>
      <c r="FK204" s="14">
        <v>2</v>
      </c>
      <c r="FL204" s="14" t="s">
        <v>189</v>
      </c>
      <c r="FM204" s="14">
        <f>IFERROR(AVERAGE(Tabel1[[#This Row],[Do - A1a]:[Do - A1c]]),"")</f>
        <v>3.5</v>
      </c>
      <c r="FN204" s="14">
        <v>4</v>
      </c>
      <c r="FO204" s="14">
        <v>1</v>
      </c>
      <c r="FP204" s="14">
        <f>IFERROR(AVERAGE(Tabel1[[#This Row],[Do - A2a]:[Do - A2b]]),"")</f>
        <v>2.5</v>
      </c>
      <c r="FQ204" s="14">
        <v>4</v>
      </c>
      <c r="FR204" s="14">
        <f>IFERROR(AVERAGE(Tabel1[[#This Row],[Do - A3a]:[Do - A3a]]),"")</f>
        <v>4</v>
      </c>
      <c r="FS204" s="14" t="s">
        <v>189</v>
      </c>
      <c r="FT204" s="14">
        <f>IFERROR(AVERAGE(Tabel1[[#This Row],[Do - A1]],Tabel1[[#This Row],[Do - A2]],Tabel1[[#This Row],[Do - A3]],Tabel1[[#This Row],[Do - A4]]),"")</f>
        <v>3.3333333333333335</v>
      </c>
      <c r="FU20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2.751851851851852</v>
      </c>
      <c r="FV204" t="s">
        <v>1123</v>
      </c>
      <c r="FW204" t="b">
        <v>1</v>
      </c>
    </row>
    <row r="205" spans="1:179" x14ac:dyDescent="0.3">
      <c r="A205" s="13">
        <v>45247.229803240742</v>
      </c>
      <c r="B205" t="b">
        <v>0</v>
      </c>
      <c r="C205" s="14" t="s">
        <v>1124</v>
      </c>
      <c r="D205" s="14" t="s">
        <v>1125</v>
      </c>
      <c r="E205" s="14" t="s">
        <v>193</v>
      </c>
      <c r="F205" s="14" t="s">
        <v>189</v>
      </c>
      <c r="G205" s="14" t="s">
        <v>1126</v>
      </c>
      <c r="H205" s="14" t="s">
        <v>194</v>
      </c>
      <c r="I205" s="14" t="s">
        <v>195</v>
      </c>
      <c r="J205" s="14" t="s">
        <v>261</v>
      </c>
      <c r="K205" s="14" t="s">
        <v>187</v>
      </c>
      <c r="L205" s="14" t="s">
        <v>249</v>
      </c>
      <c r="M205" s="14" t="s">
        <v>233</v>
      </c>
      <c r="N205" s="14" t="s">
        <v>199</v>
      </c>
      <c r="O205" s="14" t="s">
        <v>200</v>
      </c>
      <c r="P205" s="17" t="s">
        <v>304</v>
      </c>
      <c r="Q205" s="14" t="s">
        <v>235</v>
      </c>
      <c r="R205" s="14" t="s">
        <v>187</v>
      </c>
      <c r="S205" s="14" t="s">
        <v>187</v>
      </c>
      <c r="T205" s="14" t="s">
        <v>204</v>
      </c>
      <c r="U205" s="14" t="s">
        <v>205</v>
      </c>
      <c r="V205" s="14" t="s">
        <v>206</v>
      </c>
      <c r="W205" s="14" t="s">
        <v>207</v>
      </c>
      <c r="X205" s="14" t="s">
        <v>207</v>
      </c>
      <c r="Y205" s="14">
        <v>3</v>
      </c>
      <c r="Z205" s="14">
        <v>2</v>
      </c>
      <c r="AA205" s="14">
        <v>1</v>
      </c>
      <c r="AB205" s="15">
        <f>IFERROR(AVERAGE(Tabel1[[#This Row],[Up - R1a]:[Up - R1c]]),"")</f>
        <v>2</v>
      </c>
      <c r="AC205" s="14">
        <v>4</v>
      </c>
      <c r="AD205" s="14">
        <v>3</v>
      </c>
      <c r="AE205" s="14">
        <v>2</v>
      </c>
      <c r="AF205" s="14">
        <v>4</v>
      </c>
      <c r="AG205" s="14">
        <f>IFERROR(AVERAGE(Tabel1[[#This Row],[Up - R1]:[Up - R5]]),"")</f>
        <v>3</v>
      </c>
      <c r="AH205" s="14">
        <v>5</v>
      </c>
      <c r="AI205" s="14">
        <v>4</v>
      </c>
      <c r="AJ205" s="14">
        <v>5</v>
      </c>
      <c r="AK205" s="14">
        <f>IFERROR(AVERAGE(Tabel1[[#This Row],[Up - C1a]:[Up - C1c]]),"")</f>
        <v>4.666666666666667</v>
      </c>
      <c r="AL205" s="14">
        <v>2</v>
      </c>
      <c r="AM205" s="14">
        <v>2</v>
      </c>
      <c r="AN205" s="14">
        <v>5</v>
      </c>
      <c r="AO205" s="14">
        <f>IFERROR(AVERAGE(Tabel1[[#This Row],[Up - C1]:[Up - C4]]),"")</f>
        <v>3.416666666666667</v>
      </c>
      <c r="AP205" s="14">
        <v>4</v>
      </c>
      <c r="AQ205" s="14">
        <f>IFERROR(AVERAGE(Tabel1[[#This Row],[Up - F1a]:[Up - F1a]]),"")</f>
        <v>4</v>
      </c>
      <c r="AR205" s="14">
        <v>2</v>
      </c>
      <c r="AS205" s="14">
        <v>3</v>
      </c>
      <c r="AT205" s="14">
        <f>IFERROR(AVERAGE(Tabel1[[#This Row],[Up - F2a]:[Up - F2b]]),"")</f>
        <v>2.5</v>
      </c>
      <c r="AU205" s="14">
        <v>2</v>
      </c>
      <c r="AV205" s="14">
        <v>4</v>
      </c>
      <c r="AW205" s="14">
        <f>IFERROR(AVERAGE(Tabel1[[#This Row],[Up - F3a]:[Up - F3b]]),"")</f>
        <v>3</v>
      </c>
      <c r="AX205" s="14">
        <v>4</v>
      </c>
      <c r="AY205" s="14">
        <f>IFERROR(AVERAGE(Tabel1[[#This Row],[Up - F1]],Tabel1[[#This Row],[Up - F2]],Tabel1[[#This Row],[Up - F3]],Tabel1[[#This Row],[Up - F4]]),"")</f>
        <v>3.375</v>
      </c>
      <c r="AZ205" s="14">
        <v>1</v>
      </c>
      <c r="BA205" s="14">
        <v>2</v>
      </c>
      <c r="BB205" s="14">
        <f>IFERROR(AVERAGE(Tabel1[[#This Row],[Up - V1a]:[Up - V1b]]),"")</f>
        <v>1.5</v>
      </c>
      <c r="BC205" s="14">
        <v>4</v>
      </c>
      <c r="BD205" s="14">
        <v>5</v>
      </c>
      <c r="BE205" s="14">
        <v>5</v>
      </c>
      <c r="BF205" s="14">
        <f>IFERROR(AVERAGE(Tabel1[[#This Row],[Up - V2a]:[Up - V2c]]),"")</f>
        <v>4.666666666666667</v>
      </c>
      <c r="BG205" s="14">
        <v>2</v>
      </c>
      <c r="BH205" s="14">
        <v>4</v>
      </c>
      <c r="BI205" s="14">
        <f>IFERROR(AVERAGE(Tabel1[[#This Row],[Up - V3a]:[Up - V3b]]),"")</f>
        <v>3</v>
      </c>
      <c r="BJ205" s="14">
        <v>4</v>
      </c>
      <c r="BK205" s="14">
        <f>IFERROR(AVERAGE(Tabel1[[#This Row],[Up - V1]],Tabel1[[#This Row],[Up - V2]],Tabel1[[#This Row],[Up - V3]],Tabel1[[#This Row],[Up - V4]]),"")</f>
        <v>3.291666666666667</v>
      </c>
      <c r="BL205" s="14">
        <v>4</v>
      </c>
      <c r="BM205" s="14">
        <v>4</v>
      </c>
      <c r="BN205" s="14">
        <v>4</v>
      </c>
      <c r="BO205" s="14">
        <v>3</v>
      </c>
      <c r="BP205" s="14">
        <f>IFERROR(AVERAGE(Tabel1[[#This Row],[Up - A1a]:[Up - A1d]]),"")</f>
        <v>3.75</v>
      </c>
      <c r="BQ205" s="14">
        <v>3</v>
      </c>
      <c r="BR205" s="14">
        <v>4</v>
      </c>
      <c r="BS205" s="14">
        <f>IFERROR(AVERAGE(Tabel1[[#This Row],[Up - A2a]:[Up - A2b]]),"")</f>
        <v>3.5</v>
      </c>
      <c r="BT205" s="14">
        <v>5</v>
      </c>
      <c r="BU205" s="14">
        <f>IFERROR(AVERAGE(Tabel1[[#This Row],[Up - A3a]:[Up - A3a]]),"")</f>
        <v>5</v>
      </c>
      <c r="BV205" s="14">
        <v>5</v>
      </c>
      <c r="BW205" s="14">
        <f>IFERROR(AVERAGE(Tabel1[[#This Row],[Up - A1]],Tabel1[[#This Row],[Up - A2]],Tabel1[[#This Row],[Up - A3]]),"")</f>
        <v>4.083333333333333</v>
      </c>
      <c r="BX205" s="14">
        <v>5</v>
      </c>
      <c r="BY205" s="14">
        <v>5</v>
      </c>
      <c r="BZ205" s="14">
        <f>IFERROR(AVERAGE(Tabel1[[#This Row],[In - R1a]:[In - R1b]]),"")</f>
        <v>5</v>
      </c>
      <c r="CA205" s="14">
        <v>4</v>
      </c>
      <c r="CB205" s="14">
        <v>3</v>
      </c>
      <c r="CC205" s="14">
        <v>2</v>
      </c>
      <c r="CD205" s="14">
        <v>5</v>
      </c>
      <c r="CE205" s="14">
        <f>IFERROR(AVERAGE(Tabel1[[#This Row],[In - R1]:[In - R5]]),"")</f>
        <v>3.8</v>
      </c>
      <c r="CF205" s="14">
        <v>5</v>
      </c>
      <c r="CG205" s="14">
        <v>4</v>
      </c>
      <c r="CH205" s="14">
        <v>5</v>
      </c>
      <c r="CI205" s="14">
        <f>IFERROR(AVERAGE(Tabel1[[#This Row],[In - C1a]:[In - C1c]]),"")</f>
        <v>4.666666666666667</v>
      </c>
      <c r="CJ205" s="14">
        <v>2</v>
      </c>
      <c r="CK205" s="14">
        <v>3</v>
      </c>
      <c r="CL205" s="14">
        <v>1</v>
      </c>
      <c r="CM205" s="14">
        <f>IFERROR(AVERAGE(Tabel1[[#This Row],[In - C1]:[In - C4]]),"")</f>
        <v>2.666666666666667</v>
      </c>
      <c r="CN205" s="14">
        <v>4</v>
      </c>
      <c r="CO205" s="14">
        <v>3</v>
      </c>
      <c r="CP205" s="14">
        <v>4</v>
      </c>
      <c r="CQ205" s="14">
        <f>IFERROR(AVERAGE(Tabel1[[#This Row],[In - F1a]:[In - F1c]]),"")</f>
        <v>3.6666666666666665</v>
      </c>
      <c r="CR205" s="14">
        <v>5</v>
      </c>
      <c r="CS205" s="14">
        <v>3</v>
      </c>
      <c r="CT205" s="14">
        <f>IFERROR(AVERAGE(Tabel1[[#This Row],[In - F2a]:[In - F2b]]),"")</f>
        <v>4</v>
      </c>
      <c r="CU205" s="14">
        <v>3</v>
      </c>
      <c r="CV205" s="14">
        <f>IFERROR(AVERAGE(Tabel1[[#This Row],[In - F3a]:[In - F3a]]),"")</f>
        <v>3</v>
      </c>
      <c r="CW205" s="14">
        <v>5</v>
      </c>
      <c r="CX205" s="14">
        <f>IFERROR(AVERAGE(Tabel1[[#This Row],[In - F1]],Tabel1[[#This Row],[In - F2]],Tabel1[[#This Row],[In - F3]],Tabel1[[#This Row],[In - F4]]),"")</f>
        <v>3.9166666666666665</v>
      </c>
      <c r="CY205" s="14">
        <v>5</v>
      </c>
      <c r="CZ205" s="14">
        <v>5</v>
      </c>
      <c r="DA205" s="14">
        <v>5</v>
      </c>
      <c r="DB205" s="14">
        <f>IFERROR(AVERAGE(Tabel1[[#This Row],[In - V1a]:[In - V1c]]),"")</f>
        <v>5</v>
      </c>
      <c r="DC205" s="14">
        <v>3</v>
      </c>
      <c r="DD205" s="14">
        <v>5</v>
      </c>
      <c r="DE205" s="14">
        <v>4</v>
      </c>
      <c r="DF205" s="14">
        <f>IFERROR(AVERAGE(Tabel1[[#This Row],[In - V2a]:[In - V2c]]),"")</f>
        <v>4</v>
      </c>
      <c r="DG205" s="14">
        <v>5</v>
      </c>
      <c r="DH205" s="14">
        <v>5</v>
      </c>
      <c r="DI205" s="14">
        <f>IFERROR(AVERAGE(Tabel1[[#This Row],[In - V3a]:[In - V3b]]),"")</f>
        <v>5</v>
      </c>
      <c r="DJ205" s="14">
        <v>5</v>
      </c>
      <c r="DK205" s="14">
        <f>IFERROR(AVERAGE(Tabel1[[#This Row],[In - V1]],Tabel1[[#This Row],[In - V2]],Tabel1[[#This Row],[In - V3]],Tabel1[[#This Row],[In - V4]]),"")</f>
        <v>4.75</v>
      </c>
      <c r="DL205" s="14">
        <v>5</v>
      </c>
      <c r="DM205" s="14">
        <v>4</v>
      </c>
      <c r="DN205" s="14">
        <f>IFERROR(AVERAGE(Tabel1[[#This Row],[In - A1a]:[In - A1b]]),"")</f>
        <v>4.5</v>
      </c>
      <c r="DO205" s="14">
        <v>2</v>
      </c>
      <c r="DP205" s="14">
        <v>4</v>
      </c>
      <c r="DQ205" s="14">
        <f>IFERROR(AVERAGE(Tabel1[[#This Row],[In - A2a]:[In - A2b]]),"")</f>
        <v>3</v>
      </c>
      <c r="DR205" s="14">
        <v>4</v>
      </c>
      <c r="DS205" s="14">
        <v>4</v>
      </c>
      <c r="DT205" s="14">
        <f>IFERROR(AVERAGE(Tabel1[[#This Row],[In - A3a]:[In - A3a]]),"")</f>
        <v>4</v>
      </c>
      <c r="DU205" s="14">
        <v>5</v>
      </c>
      <c r="DV205" s="14">
        <f>IFERROR(AVERAGE(Tabel1[[#This Row],[In - A1]],Tabel1[[#This Row],[In - A2]],Tabel1[[#This Row],[In - A3]],Tabel1[[#This Row],[In - A4]]),"")</f>
        <v>4.125</v>
      </c>
      <c r="DW205" s="14">
        <v>5</v>
      </c>
      <c r="DX205" s="14">
        <v>5</v>
      </c>
      <c r="DY205" s="14">
        <v>2</v>
      </c>
      <c r="DZ205" s="14">
        <f>IFERROR(AVERAGE(Tabel1[[#This Row],[Do - R1a]:[Do - R1c]]),"")</f>
        <v>4</v>
      </c>
      <c r="EA205" s="14">
        <v>2</v>
      </c>
      <c r="EB205" s="14">
        <v>4</v>
      </c>
      <c r="EC205" s="14">
        <v>2</v>
      </c>
      <c r="ED205" s="14">
        <v>5</v>
      </c>
      <c r="EE205" s="14">
        <f>IFERROR(AVERAGE(Tabel1[[#This Row],[Do - R1]:[Do - R5]]),"")</f>
        <v>3.4</v>
      </c>
      <c r="EF205" s="14">
        <v>5</v>
      </c>
      <c r="EG205" s="14">
        <v>4</v>
      </c>
      <c r="EH205" s="14">
        <v>5</v>
      </c>
      <c r="EI205" s="14">
        <f>IFERROR(AVERAGE(Tabel1[[#This Row],[Do - C1a]:[Do - C1c]]),"")</f>
        <v>4.666666666666667</v>
      </c>
      <c r="EJ205" s="14">
        <v>4</v>
      </c>
      <c r="EK205" s="14">
        <v>4</v>
      </c>
      <c r="EL205" s="14">
        <v>5</v>
      </c>
      <c r="EM205" s="14">
        <f>IFERROR(AVERAGE(Tabel1[[#This Row],[Do - C1]:[Do - C4]]),"")</f>
        <v>4.416666666666667</v>
      </c>
      <c r="EN205" s="14">
        <v>4</v>
      </c>
      <c r="EO205" s="14">
        <v>5</v>
      </c>
      <c r="EP205" s="14">
        <v>5</v>
      </c>
      <c r="EQ205" s="14">
        <f>IFERROR(AVERAGE(Tabel1[[#This Row],[Do - F1a]:[Do - F1c]]),"")</f>
        <v>4.666666666666667</v>
      </c>
      <c r="ER205" s="14">
        <v>4</v>
      </c>
      <c r="ES205" s="14">
        <f>IFERROR(AVERAGE(Tabel1[[#This Row],[Do - F2a]:[Do - F2a]]),"")</f>
        <v>4</v>
      </c>
      <c r="ET205" s="14">
        <v>5</v>
      </c>
      <c r="EU205" s="14">
        <v>4</v>
      </c>
      <c r="EV205" s="14">
        <f>IFERROR(AVERAGE(Tabel1[[#This Row],[Do - F3a]:[Do - F3b]]),"")</f>
        <v>4.5</v>
      </c>
      <c r="EW205" s="14">
        <v>5</v>
      </c>
      <c r="EX205" s="14">
        <f>IFERROR(AVERAGE(Tabel1[[#This Row],[Do - F1]],Tabel1[[#This Row],[Do - F2]],Tabel1[[#This Row],[Do - F3]],Tabel1[[#This Row],[Do - F4]]),"")</f>
        <v>4.541666666666667</v>
      </c>
      <c r="EY205" s="14">
        <v>4</v>
      </c>
      <c r="EZ205" s="14">
        <v>3</v>
      </c>
      <c r="FA205" s="14">
        <v>4</v>
      </c>
      <c r="FB205" s="14">
        <f>IFERROR(AVERAGE(Tabel1[[#This Row],[Do - V1a]:[Do - V1c]]),"")</f>
        <v>3.6666666666666665</v>
      </c>
      <c r="FC205" s="14">
        <v>5</v>
      </c>
      <c r="FD205" s="14">
        <v>4</v>
      </c>
      <c r="FE205" s="14">
        <f>IFERROR(AVERAGE(Tabel1[[#This Row],[Do - V2a]:[Do - V2b]]),"")</f>
        <v>4.5</v>
      </c>
      <c r="FF205" s="14">
        <v>5</v>
      </c>
      <c r="FG205" s="14">
        <f>IFERROR(AVERAGE(Tabel1[[#This Row],[Do - V3a]:[Do - V3a]]),"")</f>
        <v>5</v>
      </c>
      <c r="FH205" s="14">
        <v>5</v>
      </c>
      <c r="FI205" s="14">
        <f>IFERROR(AVERAGE(Tabel1[[#This Row],[Do - V1]],Tabel1[[#This Row],[Do - V2]],Tabel1[[#This Row],[Do - V3]],Tabel1[[#This Row],[Do - V4]]),"")</f>
        <v>4.5416666666666661</v>
      </c>
      <c r="FJ205" s="14">
        <v>5</v>
      </c>
      <c r="FK205" s="14">
        <v>5</v>
      </c>
      <c r="FL205" s="14">
        <v>5</v>
      </c>
      <c r="FM205" s="14">
        <f>IFERROR(AVERAGE(Tabel1[[#This Row],[Do - A1a]:[Do - A1c]]),"")</f>
        <v>5</v>
      </c>
      <c r="FN205" s="14">
        <v>5</v>
      </c>
      <c r="FO205" s="14">
        <v>5</v>
      </c>
      <c r="FP205" s="14">
        <f>IFERROR(AVERAGE(Tabel1[[#This Row],[Do - A2a]:[Do - A2b]]),"")</f>
        <v>5</v>
      </c>
      <c r="FQ205" s="14">
        <v>4</v>
      </c>
      <c r="FR205" s="14">
        <f>IFERROR(AVERAGE(Tabel1[[#This Row],[Do - A3a]:[Do - A3a]]),"")</f>
        <v>4</v>
      </c>
      <c r="FS205" s="14">
        <v>5</v>
      </c>
      <c r="FT205" s="14">
        <f>IFERROR(AVERAGE(Tabel1[[#This Row],[Do - A1]],Tabel1[[#This Row],[Do - A2]],Tabel1[[#This Row],[Do - A3]],Tabel1[[#This Row],[Do - A4]]),"")</f>
        <v>4.75</v>
      </c>
      <c r="FU20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3.8716666666666666</v>
      </c>
      <c r="FV205" s="16" t="s">
        <v>1127</v>
      </c>
      <c r="FW205" t="b">
        <v>1</v>
      </c>
    </row>
    <row r="206" spans="1:179" x14ac:dyDescent="0.3">
      <c r="A206" s="13">
        <v>45253.659629629627</v>
      </c>
      <c r="B206" t="b">
        <v>0</v>
      </c>
      <c r="C206" s="14" t="s">
        <v>1128</v>
      </c>
      <c r="D206" s="14" t="s">
        <v>1063</v>
      </c>
      <c r="E206" s="14" t="s">
        <v>1129</v>
      </c>
      <c r="F206" s="14" t="s">
        <v>184</v>
      </c>
      <c r="G206" s="14" t="s">
        <v>1130</v>
      </c>
      <c r="H206" s="14" t="s">
        <v>222</v>
      </c>
      <c r="I206" s="14" t="s">
        <v>385</v>
      </c>
      <c r="J206" s="14"/>
      <c r="K206" s="14" t="s">
        <v>202</v>
      </c>
      <c r="L206" s="14" t="s">
        <v>249</v>
      </c>
      <c r="M206" s="14" t="s">
        <v>198</v>
      </c>
      <c r="N206" s="14" t="s">
        <v>199</v>
      </c>
      <c r="O206" s="14" t="s">
        <v>200</v>
      </c>
      <c r="P206" s="17" t="s">
        <v>255</v>
      </c>
      <c r="Q206" s="14" t="s">
        <v>203</v>
      </c>
      <c r="R206" s="17" t="s">
        <v>304</v>
      </c>
      <c r="S206" s="14" t="s">
        <v>202</v>
      </c>
      <c r="T206" s="14" t="s">
        <v>204</v>
      </c>
      <c r="U206" s="14" t="s">
        <v>237</v>
      </c>
      <c r="V206" s="14" t="s">
        <v>484</v>
      </c>
      <c r="W206" s="14" t="s">
        <v>207</v>
      </c>
      <c r="X206" s="14" t="s">
        <v>207</v>
      </c>
      <c r="Y206" s="14">
        <v>2</v>
      </c>
      <c r="Z206" s="14">
        <v>4</v>
      </c>
      <c r="AA206" s="14">
        <v>4</v>
      </c>
      <c r="AB206" s="15">
        <f>IFERROR(AVERAGE(Tabel1[[#This Row],[Up - R1a]:[Up - R1c]]),"")</f>
        <v>3.3333333333333335</v>
      </c>
      <c r="AC206" s="14" t="s">
        <v>189</v>
      </c>
      <c r="AD206" s="14">
        <v>3</v>
      </c>
      <c r="AE206" s="14">
        <v>3</v>
      </c>
      <c r="AF206" s="14">
        <v>3</v>
      </c>
      <c r="AG206" s="14">
        <f>IFERROR(AVERAGE(Tabel1[[#This Row],[Up - R1]:[Up - R5]]),"")</f>
        <v>3.0833333333333335</v>
      </c>
      <c r="AH206" s="14">
        <v>3</v>
      </c>
      <c r="AI206" s="14">
        <v>4</v>
      </c>
      <c r="AJ206" s="14">
        <v>3</v>
      </c>
      <c r="AK206" s="14">
        <f>IFERROR(AVERAGE(Tabel1[[#This Row],[Up - C1a]:[Up - C1c]]),"")</f>
        <v>3.3333333333333335</v>
      </c>
      <c r="AL206" s="14">
        <v>4</v>
      </c>
      <c r="AM206" s="14" t="s">
        <v>189</v>
      </c>
      <c r="AN206" s="14" t="s">
        <v>189</v>
      </c>
      <c r="AO206" s="14">
        <f>IFERROR(AVERAGE(Tabel1[[#This Row],[Up - C1]:[Up - C4]]),"")</f>
        <v>3.666666666666667</v>
      </c>
      <c r="AP206" s="14">
        <v>3</v>
      </c>
      <c r="AQ206" s="14">
        <f>IFERROR(AVERAGE(Tabel1[[#This Row],[Up - F1a]:[Up - F1a]]),"")</f>
        <v>3</v>
      </c>
      <c r="AR206" s="14">
        <v>2</v>
      </c>
      <c r="AS206" s="14">
        <v>3</v>
      </c>
      <c r="AT206" s="14">
        <f>IFERROR(AVERAGE(Tabel1[[#This Row],[Up - F2a]:[Up - F2b]]),"")</f>
        <v>2.5</v>
      </c>
      <c r="AU206" s="14">
        <v>2</v>
      </c>
      <c r="AV206" s="14" t="s">
        <v>189</v>
      </c>
      <c r="AW206" s="14">
        <f>IFERROR(AVERAGE(Tabel1[[#This Row],[Up - F3a]:[Up - F3b]]),"")</f>
        <v>2</v>
      </c>
      <c r="AX206" s="14">
        <v>2</v>
      </c>
      <c r="AY206" s="14">
        <f>IFERROR(AVERAGE(Tabel1[[#This Row],[Up - F1]],Tabel1[[#This Row],[Up - F2]],Tabel1[[#This Row],[Up - F3]],Tabel1[[#This Row],[Up - F4]]),"")</f>
        <v>2.375</v>
      </c>
      <c r="AZ206" s="14">
        <v>2</v>
      </c>
      <c r="BA206" s="14">
        <v>4</v>
      </c>
      <c r="BB206" s="14">
        <f>IFERROR(AVERAGE(Tabel1[[#This Row],[Up - V1a]:[Up - V1b]]),"")</f>
        <v>3</v>
      </c>
      <c r="BC206" s="14">
        <v>3</v>
      </c>
      <c r="BD206" s="14">
        <v>3</v>
      </c>
      <c r="BE206" s="14">
        <v>3</v>
      </c>
      <c r="BF206" s="14">
        <f>IFERROR(AVERAGE(Tabel1[[#This Row],[Up - V2a]:[Up - V2c]]),"")</f>
        <v>3</v>
      </c>
      <c r="BG206" s="14" t="s">
        <v>189</v>
      </c>
      <c r="BH206" s="14">
        <v>4</v>
      </c>
      <c r="BI206" s="14">
        <f>IFERROR(AVERAGE(Tabel1[[#This Row],[Up - V3a]:[Up - V3b]]),"")</f>
        <v>4</v>
      </c>
      <c r="BJ206" s="14" t="s">
        <v>189</v>
      </c>
      <c r="BK206" s="14">
        <f>IFERROR(AVERAGE(Tabel1[[#This Row],[Up - V1]],Tabel1[[#This Row],[Up - V2]],Tabel1[[#This Row],[Up - V3]],Tabel1[[#This Row],[Up - V4]]),"")</f>
        <v>3.3333333333333335</v>
      </c>
      <c r="BL206" s="14">
        <v>4</v>
      </c>
      <c r="BM206" s="14">
        <v>4</v>
      </c>
      <c r="BN206" s="14">
        <v>2</v>
      </c>
      <c r="BO206" s="14">
        <v>2</v>
      </c>
      <c r="BP206" s="14">
        <f>IFERROR(AVERAGE(Tabel1[[#This Row],[Up - A1a]:[Up - A1d]]),"")</f>
        <v>3</v>
      </c>
      <c r="BQ206" s="14">
        <v>2</v>
      </c>
      <c r="BR206" s="14">
        <v>3</v>
      </c>
      <c r="BS206" s="14">
        <f>IFERROR(AVERAGE(Tabel1[[#This Row],[Up - A2a]:[Up - A2b]]),"")</f>
        <v>2.5</v>
      </c>
      <c r="BT206" s="14">
        <v>3</v>
      </c>
      <c r="BU206" s="14">
        <f>IFERROR(AVERAGE(Tabel1[[#This Row],[Up - A3a]:[Up - A3a]]),"")</f>
        <v>3</v>
      </c>
      <c r="BV206" s="14" t="s">
        <v>189</v>
      </c>
      <c r="BW206" s="14">
        <f>IFERROR(AVERAGE(Tabel1[[#This Row],[Up - A1]],Tabel1[[#This Row],[Up - A2]],Tabel1[[#This Row],[Up - A3]]),"")</f>
        <v>2.8333333333333335</v>
      </c>
      <c r="BX206" s="14">
        <v>3</v>
      </c>
      <c r="BY206" s="14">
        <v>5</v>
      </c>
      <c r="BZ206" s="14">
        <f>IFERROR(AVERAGE(Tabel1[[#This Row],[In - R1a]:[In - R1b]]),"")</f>
        <v>4</v>
      </c>
      <c r="CA206" s="14">
        <v>4</v>
      </c>
      <c r="CB206" s="14">
        <v>4</v>
      </c>
      <c r="CC206" s="14">
        <v>2</v>
      </c>
      <c r="CD206" s="14" t="s">
        <v>189</v>
      </c>
      <c r="CE206" s="14">
        <f>IFERROR(AVERAGE(Tabel1[[#This Row],[In - R1]:[In - R5]]),"")</f>
        <v>3.5</v>
      </c>
      <c r="CF206" s="14">
        <v>4</v>
      </c>
      <c r="CG206" s="14">
        <v>3</v>
      </c>
      <c r="CH206" s="14">
        <v>3</v>
      </c>
      <c r="CI206" s="14">
        <f>IFERROR(AVERAGE(Tabel1[[#This Row],[In - C1a]:[In - C1c]]),"")</f>
        <v>3.3333333333333335</v>
      </c>
      <c r="CJ206" s="14">
        <v>4</v>
      </c>
      <c r="CK206" s="14">
        <v>4</v>
      </c>
      <c r="CL206" s="14">
        <v>4</v>
      </c>
      <c r="CM206" s="14">
        <f>IFERROR(AVERAGE(Tabel1[[#This Row],[In - C1]:[In - C4]]),"")</f>
        <v>3.8333333333333335</v>
      </c>
      <c r="CN206" s="14">
        <v>3</v>
      </c>
      <c r="CO206" s="14">
        <v>3</v>
      </c>
      <c r="CP206" s="14">
        <v>2</v>
      </c>
      <c r="CQ206" s="14">
        <f>IFERROR(AVERAGE(Tabel1[[#This Row],[In - F1a]:[In - F1c]]),"")</f>
        <v>2.6666666666666665</v>
      </c>
      <c r="CR206" s="14">
        <v>4</v>
      </c>
      <c r="CS206" s="14">
        <v>2</v>
      </c>
      <c r="CT206" s="14">
        <f>IFERROR(AVERAGE(Tabel1[[#This Row],[In - F2a]:[In - F2b]]),"")</f>
        <v>3</v>
      </c>
      <c r="CU206" s="14">
        <v>1</v>
      </c>
      <c r="CV206" s="14">
        <f>IFERROR(AVERAGE(Tabel1[[#This Row],[In - F3a]:[In - F3a]]),"")</f>
        <v>1</v>
      </c>
      <c r="CW206" s="14" t="s">
        <v>189</v>
      </c>
      <c r="CX206" s="14">
        <f>IFERROR(AVERAGE(Tabel1[[#This Row],[In - F1]],Tabel1[[#This Row],[In - F2]],Tabel1[[#This Row],[In - F3]],Tabel1[[#This Row],[In - F4]]),"")</f>
        <v>2.2222222222222219</v>
      </c>
      <c r="CY206" s="14">
        <v>4</v>
      </c>
      <c r="CZ206" s="14">
        <v>4</v>
      </c>
      <c r="DA206" s="14">
        <v>3</v>
      </c>
      <c r="DB206" s="14">
        <f>IFERROR(AVERAGE(Tabel1[[#This Row],[In - V1a]:[In - V1c]]),"")</f>
        <v>3.6666666666666665</v>
      </c>
      <c r="DC206" s="14">
        <v>4</v>
      </c>
      <c r="DD206" s="14">
        <v>3</v>
      </c>
      <c r="DE206" s="14">
        <v>4</v>
      </c>
      <c r="DF206" s="14">
        <f>IFERROR(AVERAGE(Tabel1[[#This Row],[In - V2a]:[In - V2c]]),"")</f>
        <v>3.6666666666666665</v>
      </c>
      <c r="DG206" s="14">
        <v>3</v>
      </c>
      <c r="DH206" s="14" t="s">
        <v>189</v>
      </c>
      <c r="DI206" s="14">
        <f>IFERROR(AVERAGE(Tabel1[[#This Row],[In - V3a]:[In - V3b]]),"")</f>
        <v>3</v>
      </c>
      <c r="DJ206" s="14" t="s">
        <v>189</v>
      </c>
      <c r="DK206" s="14">
        <f>IFERROR(AVERAGE(Tabel1[[#This Row],[In - V1]],Tabel1[[#This Row],[In - V2]],Tabel1[[#This Row],[In - V3]],Tabel1[[#This Row],[In - V4]]),"")</f>
        <v>3.4444444444444442</v>
      </c>
      <c r="DL206" s="14">
        <v>4</v>
      </c>
      <c r="DM206" s="14">
        <v>3</v>
      </c>
      <c r="DN206" s="14">
        <f>IFERROR(AVERAGE(Tabel1[[#This Row],[In - A1a]:[In - A1b]]),"")</f>
        <v>3.5</v>
      </c>
      <c r="DO206" s="14">
        <v>2</v>
      </c>
      <c r="DP206" s="14">
        <v>2</v>
      </c>
      <c r="DQ206" s="14">
        <f>IFERROR(AVERAGE(Tabel1[[#This Row],[In - A2a]:[In - A2b]]),"")</f>
        <v>2</v>
      </c>
      <c r="DR206" s="14">
        <v>4</v>
      </c>
      <c r="DS206" s="14">
        <v>2</v>
      </c>
      <c r="DT206" s="14">
        <f>IFERROR(AVERAGE(Tabel1[[#This Row],[In - A3a]:[In - A3a]]),"")</f>
        <v>4</v>
      </c>
      <c r="DU206" s="14" t="s">
        <v>189</v>
      </c>
      <c r="DV206" s="14">
        <f>IFERROR(AVERAGE(Tabel1[[#This Row],[In - A1]],Tabel1[[#This Row],[In - A2]],Tabel1[[#This Row],[In - A3]],Tabel1[[#This Row],[In - A4]]),"")</f>
        <v>3.1666666666666665</v>
      </c>
      <c r="DW206" s="14">
        <v>1</v>
      </c>
      <c r="DX206" s="14">
        <v>5</v>
      </c>
      <c r="DY206" s="14" t="s">
        <v>189</v>
      </c>
      <c r="DZ206" s="14">
        <f>IFERROR(AVERAGE(Tabel1[[#This Row],[Do - R1a]:[Do - R1c]]),"")</f>
        <v>3</v>
      </c>
      <c r="EA206" s="14">
        <v>3</v>
      </c>
      <c r="EB206" s="14">
        <v>4</v>
      </c>
      <c r="EC206" s="14">
        <v>2</v>
      </c>
      <c r="ED206" s="14" t="s">
        <v>189</v>
      </c>
      <c r="EE206" s="14">
        <f>IFERROR(AVERAGE(Tabel1[[#This Row],[Do - R1]:[Do - R5]]),"")</f>
        <v>3</v>
      </c>
      <c r="EF206" s="14">
        <v>3</v>
      </c>
      <c r="EG206" s="14">
        <v>4</v>
      </c>
      <c r="EH206" s="14">
        <v>2</v>
      </c>
      <c r="EI206" s="14">
        <f>IFERROR(AVERAGE(Tabel1[[#This Row],[Do - C1a]:[Do - C1c]]),"")</f>
        <v>3</v>
      </c>
      <c r="EJ206" s="14">
        <v>3</v>
      </c>
      <c r="EK206" s="14">
        <v>3</v>
      </c>
      <c r="EL206" s="14" t="s">
        <v>189</v>
      </c>
      <c r="EM206" s="14">
        <f>IFERROR(AVERAGE(Tabel1[[#This Row],[Do - C1]:[Do - C4]]),"")</f>
        <v>3</v>
      </c>
      <c r="EN206" s="14">
        <v>3</v>
      </c>
      <c r="EO206" s="14">
        <v>2</v>
      </c>
      <c r="EP206" s="14" t="s">
        <v>189</v>
      </c>
      <c r="EQ206" s="14">
        <f>IFERROR(AVERAGE(Tabel1[[#This Row],[Do - F1a]:[Do - F1c]]),"")</f>
        <v>2.5</v>
      </c>
      <c r="ER206" s="14">
        <v>2</v>
      </c>
      <c r="ES206" s="14">
        <f>IFERROR(AVERAGE(Tabel1[[#This Row],[Do - F2a]:[Do - F2a]]),"")</f>
        <v>2</v>
      </c>
      <c r="ET206" s="14">
        <v>2</v>
      </c>
      <c r="EU206" s="14" t="s">
        <v>189</v>
      </c>
      <c r="EV206" s="14">
        <f>IFERROR(AVERAGE(Tabel1[[#This Row],[Do - F3a]:[Do - F3b]]),"")</f>
        <v>2</v>
      </c>
      <c r="EW206" s="14" t="s">
        <v>189</v>
      </c>
      <c r="EX206" s="14">
        <f>IFERROR(AVERAGE(Tabel1[[#This Row],[Do - F1]],Tabel1[[#This Row],[Do - F2]],Tabel1[[#This Row],[Do - F3]],Tabel1[[#This Row],[Do - F4]]),"")</f>
        <v>2.1666666666666665</v>
      </c>
      <c r="EY206" s="14">
        <v>4</v>
      </c>
      <c r="EZ206" s="14">
        <v>3</v>
      </c>
      <c r="FA206" s="14" t="s">
        <v>189</v>
      </c>
      <c r="FB206" s="14">
        <f>IFERROR(AVERAGE(Tabel1[[#This Row],[Do - V1a]:[Do - V1c]]),"")</f>
        <v>3.5</v>
      </c>
      <c r="FC206" s="14" t="s">
        <v>189</v>
      </c>
      <c r="FD206" s="14" t="s">
        <v>189</v>
      </c>
      <c r="FE206" s="14" t="str">
        <f>IFERROR(AVERAGE(Tabel1[[#This Row],[Do - V2a]:[Do - V2b]]),"")</f>
        <v/>
      </c>
      <c r="FF206" s="14" t="s">
        <v>189</v>
      </c>
      <c r="FG206" s="14" t="str">
        <f>IFERROR(AVERAGE(Tabel1[[#This Row],[Do - V3a]:[Do - V3a]]),"")</f>
        <v/>
      </c>
      <c r="FH206" s="14" t="s">
        <v>189</v>
      </c>
      <c r="FI206" s="14">
        <f>IFERROR(AVERAGE(Tabel1[[#This Row],[Do - V1]],Tabel1[[#This Row],[Do - V2]],Tabel1[[#This Row],[Do - V3]],Tabel1[[#This Row],[Do - V4]]),"")</f>
        <v>3.5</v>
      </c>
      <c r="FJ206" s="14">
        <v>4</v>
      </c>
      <c r="FK206" s="14">
        <v>3</v>
      </c>
      <c r="FL206" s="14" t="s">
        <v>189</v>
      </c>
      <c r="FM206" s="14">
        <f>IFERROR(AVERAGE(Tabel1[[#This Row],[Do - A1a]:[Do - A1c]]),"")</f>
        <v>3.5</v>
      </c>
      <c r="FN206" s="14">
        <v>3</v>
      </c>
      <c r="FO206" s="14">
        <v>4</v>
      </c>
      <c r="FP206" s="14">
        <f>IFERROR(AVERAGE(Tabel1[[#This Row],[Do - A2a]:[Do - A2b]]),"")</f>
        <v>3.5</v>
      </c>
      <c r="FQ206" s="14" t="s">
        <v>189</v>
      </c>
      <c r="FR206" s="14" t="str">
        <f>IFERROR(AVERAGE(Tabel1[[#This Row],[Do - A3a]:[Do - A3a]]),"")</f>
        <v/>
      </c>
      <c r="FS206" s="14" t="s">
        <v>189</v>
      </c>
      <c r="FT206" s="14">
        <f>IFERROR(AVERAGE(Tabel1[[#This Row],[Do - A1]],Tabel1[[#This Row],[Do - A2]],Tabel1[[#This Row],[Do - A3]],Tabel1[[#This Row],[Do - A4]]),"")</f>
        <v>3.5</v>
      </c>
      <c r="FU20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3.1083333333333329</v>
      </c>
      <c r="FV206" s="16" t="s">
        <v>1131</v>
      </c>
      <c r="FW206" t="b">
        <v>1</v>
      </c>
    </row>
    <row r="207" spans="1:179" x14ac:dyDescent="0.3">
      <c r="A207" s="13">
        <v>45261.379201388889</v>
      </c>
      <c r="B207" t="b">
        <v>0</v>
      </c>
      <c r="C207" s="14" t="s">
        <v>1132</v>
      </c>
      <c r="D207" s="14" t="s">
        <v>182</v>
      </c>
      <c r="E207" s="14" t="s">
        <v>1129</v>
      </c>
      <c r="F207" s="14" t="s">
        <v>1133</v>
      </c>
      <c r="G207" s="14" t="s">
        <v>1134</v>
      </c>
      <c r="H207" s="14" t="s">
        <v>194</v>
      </c>
      <c r="I207" s="14" t="s">
        <v>195</v>
      </c>
      <c r="J207" s="14" t="s">
        <v>261</v>
      </c>
      <c r="K207" s="14" t="s">
        <v>187</v>
      </c>
      <c r="L207" s="14" t="s">
        <v>197</v>
      </c>
      <c r="M207" s="14" t="s">
        <v>188</v>
      </c>
      <c r="N207" s="14" t="s">
        <v>199</v>
      </c>
      <c r="O207" s="14"/>
      <c r="P207" s="17" t="s">
        <v>255</v>
      </c>
      <c r="Q207" s="14" t="s">
        <v>235</v>
      </c>
      <c r="R207" s="14" t="s">
        <v>202</v>
      </c>
      <c r="S207" s="14" t="s">
        <v>187</v>
      </c>
      <c r="T207" s="14" t="s">
        <v>204</v>
      </c>
      <c r="U207" s="14" t="s">
        <v>237</v>
      </c>
      <c r="V207" s="14" t="s">
        <v>206</v>
      </c>
      <c r="W207" s="14" t="s">
        <v>207</v>
      </c>
      <c r="X207" s="14" t="s">
        <v>207</v>
      </c>
      <c r="Y207" s="14">
        <v>3</v>
      </c>
      <c r="Z207" s="14">
        <v>3</v>
      </c>
      <c r="AA207" s="14">
        <v>2</v>
      </c>
      <c r="AB207" s="15">
        <f>IFERROR(AVERAGE(Tabel1[[#This Row],[Up - R1a]:[Up - R1c]]),"")</f>
        <v>2.6666666666666665</v>
      </c>
      <c r="AC207" s="14">
        <v>4</v>
      </c>
      <c r="AD207" s="14">
        <v>3</v>
      </c>
      <c r="AE207" s="14">
        <v>1</v>
      </c>
      <c r="AF207" s="14">
        <v>2</v>
      </c>
      <c r="AG207" s="14">
        <f>IFERROR(AVERAGE(Tabel1[[#This Row],[Up - R1]:[Up - R5]]),"")</f>
        <v>2.5333333333333332</v>
      </c>
      <c r="AH207" s="14">
        <v>4</v>
      </c>
      <c r="AI207" s="14">
        <v>3</v>
      </c>
      <c r="AJ207" s="14">
        <v>4</v>
      </c>
      <c r="AK207" s="14">
        <f>IFERROR(AVERAGE(Tabel1[[#This Row],[Up - C1a]:[Up - C1c]]),"")</f>
        <v>3.6666666666666665</v>
      </c>
      <c r="AL207" s="14">
        <v>5</v>
      </c>
      <c r="AM207" s="14">
        <v>2</v>
      </c>
      <c r="AN207" s="14">
        <v>3</v>
      </c>
      <c r="AO207" s="14">
        <f>IFERROR(AVERAGE(Tabel1[[#This Row],[Up - C1]:[Up - C4]]),"")</f>
        <v>3.4166666666666665</v>
      </c>
      <c r="AP207" s="14">
        <v>2</v>
      </c>
      <c r="AQ207" s="14">
        <f>IFERROR(AVERAGE(Tabel1[[#This Row],[Up - F1a]:[Up - F1a]]),"")</f>
        <v>2</v>
      </c>
      <c r="AR207" s="14">
        <v>1</v>
      </c>
      <c r="AS207" s="14">
        <v>1</v>
      </c>
      <c r="AT207" s="14">
        <f>IFERROR(AVERAGE(Tabel1[[#This Row],[Up - F2a]:[Up - F2b]]),"")</f>
        <v>1</v>
      </c>
      <c r="AU207" s="14">
        <v>2</v>
      </c>
      <c r="AV207" s="14">
        <v>1</v>
      </c>
      <c r="AW207" s="14">
        <f>IFERROR(AVERAGE(Tabel1[[#This Row],[Up - F3a]:[Up - F3b]]),"")</f>
        <v>1.5</v>
      </c>
      <c r="AX207" s="14">
        <v>1</v>
      </c>
      <c r="AY207" s="14">
        <f>IFERROR(AVERAGE(Tabel1[[#This Row],[Up - F1]],Tabel1[[#This Row],[Up - F2]],Tabel1[[#This Row],[Up - F3]],Tabel1[[#This Row],[Up - F4]]),"")</f>
        <v>1.375</v>
      </c>
      <c r="AZ207" s="14">
        <v>3</v>
      </c>
      <c r="BA207" s="14">
        <v>3</v>
      </c>
      <c r="BB207" s="14">
        <f>IFERROR(AVERAGE(Tabel1[[#This Row],[Up - V1a]:[Up - V1b]]),"")</f>
        <v>3</v>
      </c>
      <c r="BC207" s="14">
        <v>1</v>
      </c>
      <c r="BD207" s="14">
        <v>2</v>
      </c>
      <c r="BE207" s="14">
        <v>5</v>
      </c>
      <c r="BF207" s="14">
        <f>IFERROR(AVERAGE(Tabel1[[#This Row],[Up - V2a]:[Up - V2c]]),"")</f>
        <v>2.6666666666666665</v>
      </c>
      <c r="BG207" s="14">
        <v>4</v>
      </c>
      <c r="BH207" s="14">
        <v>1</v>
      </c>
      <c r="BI207" s="14">
        <f>IFERROR(AVERAGE(Tabel1[[#This Row],[Up - V3a]:[Up - V3b]]),"")</f>
        <v>2.5</v>
      </c>
      <c r="BJ207" s="14">
        <v>4</v>
      </c>
      <c r="BK207" s="14">
        <f>IFERROR(AVERAGE(Tabel1[[#This Row],[Up - V1]],Tabel1[[#This Row],[Up - V2]],Tabel1[[#This Row],[Up - V3]],Tabel1[[#This Row],[Up - V4]]),"")</f>
        <v>3.0416666666666665</v>
      </c>
      <c r="BL207" s="14">
        <v>4</v>
      </c>
      <c r="BM207" s="14">
        <v>3</v>
      </c>
      <c r="BN207" s="14">
        <v>1</v>
      </c>
      <c r="BO207" s="14">
        <v>1</v>
      </c>
      <c r="BP207" s="14">
        <f>IFERROR(AVERAGE(Tabel1[[#This Row],[Up - A1a]:[Up - A1d]]),"")</f>
        <v>2.25</v>
      </c>
      <c r="BQ207" s="14">
        <v>1</v>
      </c>
      <c r="BR207" s="14">
        <v>2</v>
      </c>
      <c r="BS207" s="14">
        <f>IFERROR(AVERAGE(Tabel1[[#This Row],[Up - A2a]:[Up - A2b]]),"")</f>
        <v>1.5</v>
      </c>
      <c r="BT207" s="14">
        <v>3</v>
      </c>
      <c r="BU207" s="14">
        <f>IFERROR(AVERAGE(Tabel1[[#This Row],[Up - A3a]:[Up - A3a]]),"")</f>
        <v>3</v>
      </c>
      <c r="BV207" s="14">
        <v>1</v>
      </c>
      <c r="BW207" s="14">
        <f>IFERROR(AVERAGE(Tabel1[[#This Row],[Up - A1]],Tabel1[[#This Row],[Up - A2]],Tabel1[[#This Row],[Up - A3]]),"")</f>
        <v>2.25</v>
      </c>
      <c r="BX207" s="14">
        <v>3</v>
      </c>
      <c r="BY207" s="14">
        <v>3</v>
      </c>
      <c r="BZ207" s="14">
        <f>IFERROR(AVERAGE(Tabel1[[#This Row],[In - R1a]:[In - R1b]]),"")</f>
        <v>3</v>
      </c>
      <c r="CA207" s="14">
        <v>4</v>
      </c>
      <c r="CB207" s="14">
        <v>3</v>
      </c>
      <c r="CC207" s="14">
        <v>1</v>
      </c>
      <c r="CD207" s="14">
        <v>4</v>
      </c>
      <c r="CE207" s="14">
        <f>IFERROR(AVERAGE(Tabel1[[#This Row],[In - R1]:[In - R5]]),"")</f>
        <v>3</v>
      </c>
      <c r="CF207" s="14">
        <v>5</v>
      </c>
      <c r="CG207" s="14">
        <v>4</v>
      </c>
      <c r="CH207" s="14">
        <v>4</v>
      </c>
      <c r="CI207" s="14">
        <f>IFERROR(AVERAGE(Tabel1[[#This Row],[In - C1a]:[In - C1c]]),"")</f>
        <v>4.333333333333333</v>
      </c>
      <c r="CJ207" s="14">
        <v>2</v>
      </c>
      <c r="CK207" s="14">
        <v>1</v>
      </c>
      <c r="CL207" s="14">
        <v>2</v>
      </c>
      <c r="CM207" s="14">
        <f>IFERROR(AVERAGE(Tabel1[[#This Row],[In - C1]:[In - C4]]),"")</f>
        <v>2.333333333333333</v>
      </c>
      <c r="CN207" s="14">
        <v>3</v>
      </c>
      <c r="CO207" s="14">
        <v>2</v>
      </c>
      <c r="CP207" s="14">
        <v>1</v>
      </c>
      <c r="CQ207" s="14">
        <f>IFERROR(AVERAGE(Tabel1[[#This Row],[In - F1a]:[In - F1c]]),"")</f>
        <v>2</v>
      </c>
      <c r="CR207" s="14">
        <v>4</v>
      </c>
      <c r="CS207" s="14">
        <v>1</v>
      </c>
      <c r="CT207" s="14">
        <f>IFERROR(AVERAGE(Tabel1[[#This Row],[In - F2a]:[In - F2b]]),"")</f>
        <v>2.5</v>
      </c>
      <c r="CU207" s="14">
        <v>1</v>
      </c>
      <c r="CV207" s="14">
        <f>IFERROR(AVERAGE(Tabel1[[#This Row],[In - F3a]:[In - F3a]]),"")</f>
        <v>1</v>
      </c>
      <c r="CW207" s="14">
        <v>4</v>
      </c>
      <c r="CX207" s="14">
        <f>IFERROR(AVERAGE(Tabel1[[#This Row],[In - F1]],Tabel1[[#This Row],[In - F2]],Tabel1[[#This Row],[In - F3]],Tabel1[[#This Row],[In - F4]]),"")</f>
        <v>2.375</v>
      </c>
      <c r="CY207" s="14">
        <v>2</v>
      </c>
      <c r="CZ207" s="14">
        <v>4</v>
      </c>
      <c r="DA207" s="14">
        <v>1</v>
      </c>
      <c r="DB207" s="14">
        <f>IFERROR(AVERAGE(Tabel1[[#This Row],[In - V1a]:[In - V1c]]),"")</f>
        <v>2.3333333333333335</v>
      </c>
      <c r="DC207" s="14">
        <v>3</v>
      </c>
      <c r="DD207" s="14">
        <v>2</v>
      </c>
      <c r="DE207" s="14">
        <v>1</v>
      </c>
      <c r="DF207" s="14">
        <f>IFERROR(AVERAGE(Tabel1[[#This Row],[In - V2a]:[In - V2c]]),"")</f>
        <v>2</v>
      </c>
      <c r="DG207" s="14">
        <v>1</v>
      </c>
      <c r="DH207" s="14">
        <v>3</v>
      </c>
      <c r="DI207" s="14">
        <f>IFERROR(AVERAGE(Tabel1[[#This Row],[In - V3a]:[In - V3b]]),"")</f>
        <v>2</v>
      </c>
      <c r="DJ207" s="14">
        <v>2</v>
      </c>
      <c r="DK207" s="14">
        <f>IFERROR(AVERAGE(Tabel1[[#This Row],[In - V1]],Tabel1[[#This Row],[In - V2]],Tabel1[[#This Row],[In - V3]],Tabel1[[#This Row],[In - V4]]),"")</f>
        <v>2.0833333333333335</v>
      </c>
      <c r="DL207" s="14">
        <v>1</v>
      </c>
      <c r="DM207" s="14">
        <v>4</v>
      </c>
      <c r="DN207" s="14">
        <f>IFERROR(AVERAGE(Tabel1[[#This Row],[In - A1a]:[In - A1b]]),"")</f>
        <v>2.5</v>
      </c>
      <c r="DO207" s="14">
        <v>2</v>
      </c>
      <c r="DP207" s="14">
        <v>2</v>
      </c>
      <c r="DQ207" s="14">
        <f>IFERROR(AVERAGE(Tabel1[[#This Row],[In - A2a]:[In - A2b]]),"")</f>
        <v>2</v>
      </c>
      <c r="DR207" s="14">
        <v>3</v>
      </c>
      <c r="DS207" s="14">
        <v>1</v>
      </c>
      <c r="DT207" s="14">
        <f>IFERROR(AVERAGE(Tabel1[[#This Row],[In - A3a]:[In - A3a]]),"")</f>
        <v>3</v>
      </c>
      <c r="DU207" s="14">
        <v>3</v>
      </c>
      <c r="DV207" s="14">
        <f>IFERROR(AVERAGE(Tabel1[[#This Row],[In - A1]],Tabel1[[#This Row],[In - A2]],Tabel1[[#This Row],[In - A3]],Tabel1[[#This Row],[In - A4]]),"")</f>
        <v>2.625</v>
      </c>
      <c r="DW207" s="14">
        <v>4</v>
      </c>
      <c r="DX207" s="14">
        <v>5</v>
      </c>
      <c r="DY207" s="14">
        <v>4</v>
      </c>
      <c r="DZ207" s="14">
        <f>IFERROR(AVERAGE(Tabel1[[#This Row],[Do - R1a]:[Do - R1c]]),"")</f>
        <v>4.333333333333333</v>
      </c>
      <c r="EA207" s="14">
        <v>3</v>
      </c>
      <c r="EB207" s="14">
        <v>3</v>
      </c>
      <c r="EC207" s="14">
        <v>1</v>
      </c>
      <c r="ED207" s="14">
        <v>2</v>
      </c>
      <c r="EE207" s="14">
        <f>IFERROR(AVERAGE(Tabel1[[#This Row],[Do - R1]:[Do - R5]]),"")</f>
        <v>2.6666666666666665</v>
      </c>
      <c r="EF207" s="14">
        <v>4</v>
      </c>
      <c r="EG207" s="14">
        <v>2</v>
      </c>
      <c r="EH207" s="14">
        <v>3</v>
      </c>
      <c r="EI207" s="14">
        <f>IFERROR(AVERAGE(Tabel1[[#This Row],[Do - C1a]:[Do - C1c]]),"")</f>
        <v>3</v>
      </c>
      <c r="EJ207" s="14">
        <v>3</v>
      </c>
      <c r="EK207" s="14">
        <v>2</v>
      </c>
      <c r="EL207" s="14">
        <v>3</v>
      </c>
      <c r="EM207" s="14">
        <f>IFERROR(AVERAGE(Tabel1[[#This Row],[Do - C1]:[Do - C4]]),"")</f>
        <v>2.75</v>
      </c>
      <c r="EN207" s="14">
        <v>2</v>
      </c>
      <c r="EO207" s="14" t="s">
        <v>189</v>
      </c>
      <c r="EP207" s="14">
        <v>4</v>
      </c>
      <c r="EQ207" s="14">
        <f>IFERROR(AVERAGE(Tabel1[[#This Row],[Do - F1a]:[Do - F1c]]),"")</f>
        <v>3</v>
      </c>
      <c r="ER207" s="14">
        <v>2</v>
      </c>
      <c r="ES207" s="14">
        <f>IFERROR(AVERAGE(Tabel1[[#This Row],[Do - F2a]:[Do - F2a]]),"")</f>
        <v>2</v>
      </c>
      <c r="ET207" s="14">
        <v>3</v>
      </c>
      <c r="EU207" s="14">
        <v>3</v>
      </c>
      <c r="EV207" s="14">
        <f>IFERROR(AVERAGE(Tabel1[[#This Row],[Do - F3a]:[Do - F3b]]),"")</f>
        <v>3</v>
      </c>
      <c r="EW207" s="14">
        <v>2</v>
      </c>
      <c r="EX207" s="14">
        <f>IFERROR(AVERAGE(Tabel1[[#This Row],[Do - F1]],Tabel1[[#This Row],[Do - F2]],Tabel1[[#This Row],[Do - F3]],Tabel1[[#This Row],[Do - F4]]),"")</f>
        <v>2.5</v>
      </c>
      <c r="EY207" s="14">
        <v>3</v>
      </c>
      <c r="EZ207" s="14" t="s">
        <v>189</v>
      </c>
      <c r="FA207" s="14">
        <v>3</v>
      </c>
      <c r="FB207" s="14">
        <f>IFERROR(AVERAGE(Tabel1[[#This Row],[Do - V1a]:[Do - V1c]]),"")</f>
        <v>3</v>
      </c>
      <c r="FC207" s="14">
        <v>3</v>
      </c>
      <c r="FD207" s="14">
        <v>3</v>
      </c>
      <c r="FE207" s="14">
        <f>IFERROR(AVERAGE(Tabel1[[#This Row],[Do - V2a]:[Do - V2b]]),"")</f>
        <v>3</v>
      </c>
      <c r="FF207" s="14">
        <v>3</v>
      </c>
      <c r="FG207" s="14">
        <f>IFERROR(AVERAGE(Tabel1[[#This Row],[Do - V3a]:[Do - V3a]]),"")</f>
        <v>3</v>
      </c>
      <c r="FH207" s="14" t="s">
        <v>189</v>
      </c>
      <c r="FI207" s="14">
        <f>IFERROR(AVERAGE(Tabel1[[#This Row],[Do - V1]],Tabel1[[#This Row],[Do - V2]],Tabel1[[#This Row],[Do - V3]],Tabel1[[#This Row],[Do - V4]]),"")</f>
        <v>3</v>
      </c>
      <c r="FJ207" s="14" t="s">
        <v>189</v>
      </c>
      <c r="FK207" s="14">
        <v>1</v>
      </c>
      <c r="FL207" s="14">
        <v>2</v>
      </c>
      <c r="FM207" s="14">
        <f>IFERROR(AVERAGE(Tabel1[[#This Row],[Do - A1a]:[Do - A1c]]),"")</f>
        <v>1.5</v>
      </c>
      <c r="FN207" s="14">
        <v>3</v>
      </c>
      <c r="FO207" s="14">
        <v>3</v>
      </c>
      <c r="FP207" s="14">
        <f>IFERROR(AVERAGE(Tabel1[[#This Row],[Do - A2a]:[Do - A2b]]),"")</f>
        <v>3</v>
      </c>
      <c r="FQ207" s="14">
        <v>2</v>
      </c>
      <c r="FR207" s="14">
        <f>IFERROR(AVERAGE(Tabel1[[#This Row],[Do - A3a]:[Do - A3a]]),"")</f>
        <v>2</v>
      </c>
      <c r="FS207" s="14" t="s">
        <v>189</v>
      </c>
      <c r="FT207" s="14">
        <f>IFERROR(AVERAGE(Tabel1[[#This Row],[Do - A1]],Tabel1[[#This Row],[Do - A2]],Tabel1[[#This Row],[Do - A3]],Tabel1[[#This Row],[Do - A4]]),"")</f>
        <v>2.1666666666666665</v>
      </c>
      <c r="FU20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2.5411111111111113</v>
      </c>
      <c r="FV207" s="16" t="s">
        <v>1135</v>
      </c>
      <c r="FW207" t="b">
        <v>1</v>
      </c>
    </row>
    <row r="208" spans="1:179" x14ac:dyDescent="0.3">
      <c r="A208" s="13">
        <v>45263.250543981485</v>
      </c>
      <c r="B208" t="b">
        <v>0</v>
      </c>
      <c r="C208" s="14" t="s">
        <v>1136</v>
      </c>
      <c r="D208" s="14" t="s">
        <v>1137</v>
      </c>
      <c r="E208" s="14" t="s">
        <v>1138</v>
      </c>
      <c r="F208" s="14" t="s">
        <v>1139</v>
      </c>
      <c r="G208" s="14" t="s">
        <v>1140</v>
      </c>
      <c r="H208" s="14" t="s">
        <v>194</v>
      </c>
      <c r="I208" s="14" t="s">
        <v>385</v>
      </c>
      <c r="J208" s="14"/>
      <c r="K208" s="14" t="s">
        <v>235</v>
      </c>
      <c r="L208" s="14"/>
      <c r="M208" s="14" t="s">
        <v>198</v>
      </c>
      <c r="N208" s="14" t="s">
        <v>316</v>
      </c>
      <c r="O208" s="14" t="s">
        <v>256</v>
      </c>
      <c r="P208" s="14" t="s">
        <v>235</v>
      </c>
      <c r="Q208" s="14" t="s">
        <v>202</v>
      </c>
      <c r="R208" s="14" t="s">
        <v>235</v>
      </c>
      <c r="S208" s="14" t="s">
        <v>201</v>
      </c>
      <c r="T208" s="14" t="s">
        <v>284</v>
      </c>
      <c r="U208" s="14" t="s">
        <v>205</v>
      </c>
      <c r="V208" s="14" t="s">
        <v>610</v>
      </c>
      <c r="W208" s="14" t="s">
        <v>305</v>
      </c>
      <c r="X208" s="14" t="s">
        <v>305</v>
      </c>
      <c r="Y208" s="14">
        <v>3</v>
      </c>
      <c r="Z208" s="14">
        <v>3</v>
      </c>
      <c r="AA208" s="14">
        <v>2</v>
      </c>
      <c r="AB208" s="15">
        <f>IFERROR(AVERAGE(Tabel1[[#This Row],[Up - R1a]:[Up - R1c]]),"")</f>
        <v>2.6666666666666665</v>
      </c>
      <c r="AC208" s="14">
        <v>3</v>
      </c>
      <c r="AD208" s="14">
        <v>2</v>
      </c>
      <c r="AE208" s="14">
        <v>2</v>
      </c>
      <c r="AF208" s="14">
        <v>4</v>
      </c>
      <c r="AG208" s="14">
        <f>IFERROR(AVERAGE(Tabel1[[#This Row],[Up - R1]:[Up - R5]]),"")</f>
        <v>2.7333333333333334</v>
      </c>
      <c r="AH208" s="14">
        <v>2</v>
      </c>
      <c r="AI208" s="14">
        <v>4</v>
      </c>
      <c r="AJ208" s="14">
        <v>2</v>
      </c>
      <c r="AK208" s="14">
        <f>IFERROR(AVERAGE(Tabel1[[#This Row],[Up - C1a]:[Up - C1c]]),"")</f>
        <v>2.6666666666666665</v>
      </c>
      <c r="AL208" s="14">
        <v>1</v>
      </c>
      <c r="AM208" s="14">
        <v>1</v>
      </c>
      <c r="AN208" s="14">
        <v>2</v>
      </c>
      <c r="AO208" s="14">
        <f>IFERROR(AVERAGE(Tabel1[[#This Row],[Up - C1]:[Up - C4]]),"")</f>
        <v>1.6666666666666665</v>
      </c>
      <c r="AP208" s="14">
        <v>1</v>
      </c>
      <c r="AQ208" s="14">
        <f>IFERROR(AVERAGE(Tabel1[[#This Row],[Up - F1a]:[Up - F1a]]),"")</f>
        <v>1</v>
      </c>
      <c r="AR208" s="14">
        <v>1</v>
      </c>
      <c r="AS208" s="14">
        <v>1</v>
      </c>
      <c r="AT208" s="14">
        <f>IFERROR(AVERAGE(Tabel1[[#This Row],[Up - F2a]:[Up - F2b]]),"")</f>
        <v>1</v>
      </c>
      <c r="AU208" s="14">
        <v>2</v>
      </c>
      <c r="AV208" s="14">
        <v>1</v>
      </c>
      <c r="AW208" s="14">
        <f>IFERROR(AVERAGE(Tabel1[[#This Row],[Up - F3a]:[Up - F3b]]),"")</f>
        <v>1.5</v>
      </c>
      <c r="AX208" s="14">
        <v>2</v>
      </c>
      <c r="AY208" s="14">
        <f>IFERROR(AVERAGE(Tabel1[[#This Row],[Up - F1]],Tabel1[[#This Row],[Up - F2]],Tabel1[[#This Row],[Up - F3]],Tabel1[[#This Row],[Up - F4]]),"")</f>
        <v>1.375</v>
      </c>
      <c r="AZ208" s="14">
        <v>4</v>
      </c>
      <c r="BA208" s="14">
        <v>1</v>
      </c>
      <c r="BB208" s="14">
        <f>IFERROR(AVERAGE(Tabel1[[#This Row],[Up - V1a]:[Up - V1b]]),"")</f>
        <v>2.5</v>
      </c>
      <c r="BC208" s="14">
        <v>1</v>
      </c>
      <c r="BD208" s="14">
        <v>2</v>
      </c>
      <c r="BE208" s="14">
        <v>2</v>
      </c>
      <c r="BF208" s="14">
        <f>IFERROR(AVERAGE(Tabel1[[#This Row],[Up - V2a]:[Up - V2c]]),"")</f>
        <v>1.6666666666666667</v>
      </c>
      <c r="BG208" s="14">
        <v>2</v>
      </c>
      <c r="BH208" s="14">
        <v>1</v>
      </c>
      <c r="BI208" s="14">
        <f>IFERROR(AVERAGE(Tabel1[[#This Row],[Up - V3a]:[Up - V3b]]),"")</f>
        <v>1.5</v>
      </c>
      <c r="BJ208" s="14">
        <v>3</v>
      </c>
      <c r="BK208" s="14">
        <f>IFERROR(AVERAGE(Tabel1[[#This Row],[Up - V1]],Tabel1[[#This Row],[Up - V2]],Tabel1[[#This Row],[Up - V3]],Tabel1[[#This Row],[Up - V4]]),"")</f>
        <v>2.166666666666667</v>
      </c>
      <c r="BL208" s="14">
        <v>2</v>
      </c>
      <c r="BM208" s="14">
        <v>3</v>
      </c>
      <c r="BN208" s="14">
        <v>1</v>
      </c>
      <c r="BO208" s="14">
        <v>2</v>
      </c>
      <c r="BP208" s="14">
        <f>IFERROR(AVERAGE(Tabel1[[#This Row],[Up - A1a]:[Up - A1d]]),"")</f>
        <v>2</v>
      </c>
      <c r="BQ208" s="14">
        <v>2</v>
      </c>
      <c r="BR208" s="14">
        <v>2</v>
      </c>
      <c r="BS208" s="14">
        <f>IFERROR(AVERAGE(Tabel1[[#This Row],[Up - A2a]:[Up - A2b]]),"")</f>
        <v>2</v>
      </c>
      <c r="BT208" s="14">
        <v>2</v>
      </c>
      <c r="BU208" s="14">
        <f>IFERROR(AVERAGE(Tabel1[[#This Row],[Up - A3a]:[Up - A3a]]),"")</f>
        <v>2</v>
      </c>
      <c r="BV208" s="14">
        <v>2</v>
      </c>
      <c r="BW208" s="14">
        <f>IFERROR(AVERAGE(Tabel1[[#This Row],[Up - A1]],Tabel1[[#This Row],[Up - A2]],Tabel1[[#This Row],[Up - A3]]),"")</f>
        <v>2</v>
      </c>
      <c r="BX208" s="14">
        <v>3</v>
      </c>
      <c r="BY208" s="14">
        <v>3</v>
      </c>
      <c r="BZ208" s="14">
        <f>IFERROR(AVERAGE(Tabel1[[#This Row],[In - R1a]:[In - R1b]]),"")</f>
        <v>3</v>
      </c>
      <c r="CA208" s="14">
        <v>3</v>
      </c>
      <c r="CB208" s="14">
        <v>4</v>
      </c>
      <c r="CC208" s="14">
        <v>2</v>
      </c>
      <c r="CD208" s="14">
        <v>4</v>
      </c>
      <c r="CE208" s="14">
        <f>IFERROR(AVERAGE(Tabel1[[#This Row],[In - R1]:[In - R5]]),"")</f>
        <v>3.2</v>
      </c>
      <c r="CF208" s="14">
        <v>3</v>
      </c>
      <c r="CG208" s="14">
        <v>2</v>
      </c>
      <c r="CH208" s="14">
        <v>4</v>
      </c>
      <c r="CI208" s="14">
        <f>IFERROR(AVERAGE(Tabel1[[#This Row],[In - C1a]:[In - C1c]]),"")</f>
        <v>3</v>
      </c>
      <c r="CJ208" s="14">
        <v>1</v>
      </c>
      <c r="CK208" s="14">
        <v>2</v>
      </c>
      <c r="CL208" s="14">
        <v>1</v>
      </c>
      <c r="CM208" s="14">
        <f>IFERROR(AVERAGE(Tabel1[[#This Row],[In - C1]:[In - C4]]),"")</f>
        <v>1.75</v>
      </c>
      <c r="CN208" s="14">
        <v>1</v>
      </c>
      <c r="CO208" s="14">
        <v>1</v>
      </c>
      <c r="CP208" s="14">
        <v>2</v>
      </c>
      <c r="CQ208" s="14">
        <f>IFERROR(AVERAGE(Tabel1[[#This Row],[In - F1a]:[In - F1c]]),"")</f>
        <v>1.3333333333333333</v>
      </c>
      <c r="CR208" s="14">
        <v>1</v>
      </c>
      <c r="CS208" s="14">
        <v>1</v>
      </c>
      <c r="CT208" s="14">
        <f>IFERROR(AVERAGE(Tabel1[[#This Row],[In - F2a]:[In - F2b]]),"")</f>
        <v>1</v>
      </c>
      <c r="CU208" s="14">
        <v>2</v>
      </c>
      <c r="CV208" s="14">
        <f>IFERROR(AVERAGE(Tabel1[[#This Row],[In - F3a]:[In - F3a]]),"")</f>
        <v>2</v>
      </c>
      <c r="CW208" s="14">
        <v>2</v>
      </c>
      <c r="CX208" s="14">
        <f>IFERROR(AVERAGE(Tabel1[[#This Row],[In - F1]],Tabel1[[#This Row],[In - F2]],Tabel1[[#This Row],[In - F3]],Tabel1[[#This Row],[In - F4]]),"")</f>
        <v>1.5833333333333333</v>
      </c>
      <c r="CY208" s="14">
        <v>2</v>
      </c>
      <c r="CZ208" s="14">
        <v>2</v>
      </c>
      <c r="DA208" s="14">
        <v>2</v>
      </c>
      <c r="DB208" s="14">
        <f>IFERROR(AVERAGE(Tabel1[[#This Row],[In - V1a]:[In - V1c]]),"")</f>
        <v>2</v>
      </c>
      <c r="DC208" s="14">
        <v>1</v>
      </c>
      <c r="DD208" s="14">
        <v>1</v>
      </c>
      <c r="DE208" s="14">
        <v>2</v>
      </c>
      <c r="DF208" s="14">
        <f>IFERROR(AVERAGE(Tabel1[[#This Row],[In - V2a]:[In - V2c]]),"")</f>
        <v>1.3333333333333333</v>
      </c>
      <c r="DG208" s="14">
        <v>1</v>
      </c>
      <c r="DH208" s="14">
        <v>2</v>
      </c>
      <c r="DI208" s="14">
        <f>IFERROR(AVERAGE(Tabel1[[#This Row],[In - V3a]:[In - V3b]]),"")</f>
        <v>1.5</v>
      </c>
      <c r="DJ208" s="14">
        <v>2</v>
      </c>
      <c r="DK208" s="14">
        <f>IFERROR(AVERAGE(Tabel1[[#This Row],[In - V1]],Tabel1[[#This Row],[In - V2]],Tabel1[[#This Row],[In - V3]],Tabel1[[#This Row],[In - V4]]),"")</f>
        <v>1.7083333333333333</v>
      </c>
      <c r="DL208" s="14">
        <v>4</v>
      </c>
      <c r="DM208" s="14">
        <v>2</v>
      </c>
      <c r="DN208" s="14">
        <f>IFERROR(AVERAGE(Tabel1[[#This Row],[In - A1a]:[In - A1b]]),"")</f>
        <v>3</v>
      </c>
      <c r="DO208" s="14">
        <v>2</v>
      </c>
      <c r="DP208" s="14">
        <v>1</v>
      </c>
      <c r="DQ208" s="14">
        <f>IFERROR(AVERAGE(Tabel1[[#This Row],[In - A2a]:[In - A2b]]),"")</f>
        <v>1.5</v>
      </c>
      <c r="DR208" s="14">
        <v>1</v>
      </c>
      <c r="DS208" s="14">
        <v>1</v>
      </c>
      <c r="DT208" s="14">
        <f>IFERROR(AVERAGE(Tabel1[[#This Row],[In - A3a]:[In - A3a]]),"")</f>
        <v>1</v>
      </c>
      <c r="DU208" s="14">
        <v>2</v>
      </c>
      <c r="DV208" s="14">
        <f>IFERROR(AVERAGE(Tabel1[[#This Row],[In - A1]],Tabel1[[#This Row],[In - A2]],Tabel1[[#This Row],[In - A3]],Tabel1[[#This Row],[In - A4]]),"")</f>
        <v>1.875</v>
      </c>
      <c r="DW208" s="14">
        <v>3</v>
      </c>
      <c r="DX208" s="14">
        <v>2</v>
      </c>
      <c r="DY208" s="14">
        <v>4</v>
      </c>
      <c r="DZ208" s="14">
        <f>IFERROR(AVERAGE(Tabel1[[#This Row],[Do - R1a]:[Do - R1c]]),"")</f>
        <v>3</v>
      </c>
      <c r="EA208" s="14">
        <v>3</v>
      </c>
      <c r="EB208" s="14">
        <v>3</v>
      </c>
      <c r="EC208" s="14">
        <v>3</v>
      </c>
      <c r="ED208" s="14">
        <v>3</v>
      </c>
      <c r="EE208" s="14">
        <f>IFERROR(AVERAGE(Tabel1[[#This Row],[Do - R1]:[Do - R5]]),"")</f>
        <v>3</v>
      </c>
      <c r="EF208" s="14">
        <v>2</v>
      </c>
      <c r="EG208" s="14">
        <v>4</v>
      </c>
      <c r="EH208" s="14">
        <v>2</v>
      </c>
      <c r="EI208" s="14">
        <f>IFERROR(AVERAGE(Tabel1[[#This Row],[Do - C1a]:[Do - C1c]]),"")</f>
        <v>2.6666666666666665</v>
      </c>
      <c r="EJ208" s="14">
        <v>2</v>
      </c>
      <c r="EK208" s="14">
        <v>1</v>
      </c>
      <c r="EL208" s="14">
        <v>1</v>
      </c>
      <c r="EM208" s="14">
        <f>IFERROR(AVERAGE(Tabel1[[#This Row],[Do - C1]:[Do - C4]]),"")</f>
        <v>1.6666666666666665</v>
      </c>
      <c r="EN208" s="14">
        <v>2</v>
      </c>
      <c r="EO208" s="14">
        <v>2</v>
      </c>
      <c r="EP208" s="14">
        <v>3</v>
      </c>
      <c r="EQ208" s="14">
        <f>IFERROR(AVERAGE(Tabel1[[#This Row],[Do - F1a]:[Do - F1c]]),"")</f>
        <v>2.3333333333333335</v>
      </c>
      <c r="ER208" s="14">
        <v>2</v>
      </c>
      <c r="ES208" s="14">
        <f>IFERROR(AVERAGE(Tabel1[[#This Row],[Do - F2a]:[Do - F2a]]),"")</f>
        <v>2</v>
      </c>
      <c r="ET208" s="14">
        <v>1</v>
      </c>
      <c r="EU208" s="14">
        <v>2</v>
      </c>
      <c r="EV208" s="14">
        <f>IFERROR(AVERAGE(Tabel1[[#This Row],[Do - F3a]:[Do - F3b]]),"")</f>
        <v>1.5</v>
      </c>
      <c r="EW208" s="14">
        <v>2</v>
      </c>
      <c r="EX208" s="14">
        <f>IFERROR(AVERAGE(Tabel1[[#This Row],[Do - F1]],Tabel1[[#This Row],[Do - F2]],Tabel1[[#This Row],[Do - F3]],Tabel1[[#This Row],[Do - F4]]),"")</f>
        <v>1.9583333333333335</v>
      </c>
      <c r="EY208" s="14">
        <v>3</v>
      </c>
      <c r="EZ208" s="14">
        <v>2</v>
      </c>
      <c r="FA208" s="14">
        <v>2</v>
      </c>
      <c r="FB208" s="14">
        <f>IFERROR(AVERAGE(Tabel1[[#This Row],[Do - V1a]:[Do - V1c]]),"")</f>
        <v>2.3333333333333335</v>
      </c>
      <c r="FC208" s="14">
        <v>2</v>
      </c>
      <c r="FD208" s="14">
        <v>2</v>
      </c>
      <c r="FE208" s="14">
        <f>IFERROR(AVERAGE(Tabel1[[#This Row],[Do - V2a]:[Do - V2b]]),"")</f>
        <v>2</v>
      </c>
      <c r="FF208" s="14">
        <v>2</v>
      </c>
      <c r="FG208" s="14">
        <f>IFERROR(AVERAGE(Tabel1[[#This Row],[Do - V3a]:[Do - V3a]]),"")</f>
        <v>2</v>
      </c>
      <c r="FH208" s="14">
        <v>3</v>
      </c>
      <c r="FI208" s="14">
        <f>IFERROR(AVERAGE(Tabel1[[#This Row],[Do - V1]],Tabel1[[#This Row],[Do - V2]],Tabel1[[#This Row],[Do - V3]],Tabel1[[#This Row],[Do - V4]]),"")</f>
        <v>2.3333333333333335</v>
      </c>
      <c r="FJ208" s="14">
        <v>2</v>
      </c>
      <c r="FK208" s="14">
        <v>2</v>
      </c>
      <c r="FL208" s="14">
        <v>2</v>
      </c>
      <c r="FM208" s="14">
        <f>IFERROR(AVERAGE(Tabel1[[#This Row],[Do - A1a]:[Do - A1c]]),"")</f>
        <v>2</v>
      </c>
      <c r="FN208" s="14">
        <v>3</v>
      </c>
      <c r="FO208" s="14">
        <v>2</v>
      </c>
      <c r="FP208" s="14">
        <f>IFERROR(AVERAGE(Tabel1[[#This Row],[Do - A2a]:[Do - A2b]]),"")</f>
        <v>2.5</v>
      </c>
      <c r="FQ208" s="14">
        <v>2</v>
      </c>
      <c r="FR208" s="14">
        <f>IFERROR(AVERAGE(Tabel1[[#This Row],[Do - A3a]:[Do - A3a]]),"")</f>
        <v>2</v>
      </c>
      <c r="FS208" s="14">
        <v>2</v>
      </c>
      <c r="FT208" s="14">
        <f>IFERROR(AVERAGE(Tabel1[[#This Row],[Do - A1]],Tabel1[[#This Row],[Do - A2]],Tabel1[[#This Row],[Do - A3]],Tabel1[[#This Row],[Do - A4]]),"")</f>
        <v>2.125</v>
      </c>
      <c r="FU20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2.076111111111111</v>
      </c>
      <c r="FV208" s="16" t="s">
        <v>1141</v>
      </c>
      <c r="FW208" t="b">
        <v>1</v>
      </c>
    </row>
    <row r="209" spans="1:179" x14ac:dyDescent="0.3">
      <c r="A209" s="13">
        <v>45267.465104166666</v>
      </c>
      <c r="B209" t="b">
        <v>0</v>
      </c>
      <c r="C209" s="14" t="s">
        <v>1142</v>
      </c>
      <c r="D209" s="14" t="s">
        <v>1143</v>
      </c>
      <c r="E209" s="14" t="s">
        <v>1144</v>
      </c>
      <c r="F209" s="14" t="s">
        <v>184</v>
      </c>
      <c r="G209" s="21" t="s">
        <v>1145</v>
      </c>
      <c r="H209" s="14" t="s">
        <v>222</v>
      </c>
      <c r="I209" s="14" t="s">
        <v>195</v>
      </c>
      <c r="J209" s="14" t="s">
        <v>406</v>
      </c>
      <c r="K209" s="14" t="s">
        <v>235</v>
      </c>
      <c r="L209" s="14" t="s">
        <v>218</v>
      </c>
      <c r="M209" s="14" t="s">
        <v>233</v>
      </c>
      <c r="N209" s="14" t="s">
        <v>262</v>
      </c>
      <c r="O209" s="14" t="s">
        <v>256</v>
      </c>
      <c r="P209" s="17" t="s">
        <v>255</v>
      </c>
      <c r="Q209" s="14" t="s">
        <v>201</v>
      </c>
      <c r="R209" s="14" t="s">
        <v>202</v>
      </c>
      <c r="S209" s="14" t="s">
        <v>235</v>
      </c>
      <c r="T209" s="14" t="s">
        <v>284</v>
      </c>
      <c r="U209" s="14" t="s">
        <v>285</v>
      </c>
      <c r="V209" s="14" t="s">
        <v>224</v>
      </c>
      <c r="W209" s="14" t="s">
        <v>395</v>
      </c>
      <c r="X209" s="14" t="s">
        <v>207</v>
      </c>
      <c r="Y209" s="14">
        <v>3</v>
      </c>
      <c r="Z209" s="14">
        <v>5</v>
      </c>
      <c r="AA209" s="14">
        <v>3</v>
      </c>
      <c r="AB209" s="15">
        <f>IFERROR(AVERAGE(Tabel1[[#This Row],[Up - R1a]:[Up - R1c]]),"")</f>
        <v>3.6666666666666665</v>
      </c>
      <c r="AC209" s="14">
        <v>3</v>
      </c>
      <c r="AD209" s="14">
        <v>2</v>
      </c>
      <c r="AE209" s="14" t="s">
        <v>189</v>
      </c>
      <c r="AF209" s="14" t="s">
        <v>189</v>
      </c>
      <c r="AG209" s="14">
        <f>IFERROR(AVERAGE(Tabel1[[#This Row],[Up - R1]:[Up - R5]]),"")</f>
        <v>2.8888888888888888</v>
      </c>
      <c r="AH209" s="14">
        <v>5</v>
      </c>
      <c r="AI209" s="14">
        <v>5</v>
      </c>
      <c r="AJ209" s="14">
        <v>4</v>
      </c>
      <c r="AK209" s="14">
        <f>IFERROR(AVERAGE(Tabel1[[#This Row],[Up - C1a]:[Up - C1c]]),"")</f>
        <v>4.666666666666667</v>
      </c>
      <c r="AL209" s="14">
        <v>3</v>
      </c>
      <c r="AM209" s="14">
        <v>2</v>
      </c>
      <c r="AN209" s="14" t="s">
        <v>189</v>
      </c>
      <c r="AO209" s="14">
        <f>IFERROR(AVERAGE(Tabel1[[#This Row],[Up - C1]:[Up - C4]]),"")</f>
        <v>3.2222222222222228</v>
      </c>
      <c r="AP209" s="14">
        <v>1</v>
      </c>
      <c r="AQ209" s="14">
        <f>IFERROR(AVERAGE(Tabel1[[#This Row],[Up - F1a]:[Up - F1a]]),"")</f>
        <v>1</v>
      </c>
      <c r="AR209" s="14">
        <v>1</v>
      </c>
      <c r="AS209" s="14">
        <v>2</v>
      </c>
      <c r="AT209" s="14">
        <f>IFERROR(AVERAGE(Tabel1[[#This Row],[Up - F2a]:[Up - F2b]]),"")</f>
        <v>1.5</v>
      </c>
      <c r="AU209" s="14">
        <v>4</v>
      </c>
      <c r="AV209" s="14">
        <v>1</v>
      </c>
      <c r="AW209" s="14">
        <f>IFERROR(AVERAGE(Tabel1[[#This Row],[Up - F3a]:[Up - F3b]]),"")</f>
        <v>2.5</v>
      </c>
      <c r="AX209" s="14" t="s">
        <v>189</v>
      </c>
      <c r="AY209" s="14">
        <f>IFERROR(AVERAGE(Tabel1[[#This Row],[Up - F1]],Tabel1[[#This Row],[Up - F2]],Tabel1[[#This Row],[Up - F3]],Tabel1[[#This Row],[Up - F4]]),"")</f>
        <v>1.6666666666666667</v>
      </c>
      <c r="AZ209" s="14">
        <v>4</v>
      </c>
      <c r="BA209" s="14">
        <v>3</v>
      </c>
      <c r="BB209" s="14">
        <f>IFERROR(AVERAGE(Tabel1[[#This Row],[Up - V1a]:[Up - V1b]]),"")</f>
        <v>3.5</v>
      </c>
      <c r="BC209" s="14">
        <v>5</v>
      </c>
      <c r="BD209" s="14">
        <v>5</v>
      </c>
      <c r="BE209" s="14">
        <v>5</v>
      </c>
      <c r="BF209" s="14">
        <f>IFERROR(AVERAGE(Tabel1[[#This Row],[Up - V2a]:[Up - V2c]]),"")</f>
        <v>5</v>
      </c>
      <c r="BG209" s="14">
        <v>3</v>
      </c>
      <c r="BH209" s="14">
        <v>5</v>
      </c>
      <c r="BI209" s="14">
        <f>IFERROR(AVERAGE(Tabel1[[#This Row],[Up - V3a]:[Up - V3b]]),"")</f>
        <v>4</v>
      </c>
      <c r="BJ209" s="14" t="s">
        <v>189</v>
      </c>
      <c r="BK209" s="14">
        <f>IFERROR(AVERAGE(Tabel1[[#This Row],[Up - V1]],Tabel1[[#This Row],[Up - V2]],Tabel1[[#This Row],[Up - V3]],Tabel1[[#This Row],[Up - V4]]),"")</f>
        <v>4.166666666666667</v>
      </c>
      <c r="BL209" s="14">
        <v>4</v>
      </c>
      <c r="BM209" s="14">
        <v>3</v>
      </c>
      <c r="BN209" s="14" t="s">
        <v>189</v>
      </c>
      <c r="BO209" s="14">
        <v>1</v>
      </c>
      <c r="BP209" s="14">
        <f>IFERROR(AVERAGE(Tabel1[[#This Row],[Up - A1a]:[Up - A1d]]),"")</f>
        <v>2.6666666666666665</v>
      </c>
      <c r="BQ209" s="14">
        <v>2</v>
      </c>
      <c r="BR209" s="14">
        <v>1</v>
      </c>
      <c r="BS209" s="14">
        <f>IFERROR(AVERAGE(Tabel1[[#This Row],[Up - A2a]:[Up - A2b]]),"")</f>
        <v>1.5</v>
      </c>
      <c r="BT209" s="14">
        <v>3</v>
      </c>
      <c r="BU209" s="14">
        <f>IFERROR(AVERAGE(Tabel1[[#This Row],[Up - A3a]:[Up - A3a]]),"")</f>
        <v>3</v>
      </c>
      <c r="BV209" s="14" t="s">
        <v>189</v>
      </c>
      <c r="BW209" s="14">
        <f>IFERROR(AVERAGE(Tabel1[[#This Row],[Up - A1]],Tabel1[[#This Row],[Up - A2]],Tabel1[[#This Row],[Up - A3]]),"")</f>
        <v>2.3888888888888888</v>
      </c>
      <c r="BX209" s="14">
        <v>2</v>
      </c>
      <c r="BY209" s="14">
        <v>1</v>
      </c>
      <c r="BZ209" s="14">
        <f>IFERROR(AVERAGE(Tabel1[[#This Row],[In - R1a]:[In - R1b]]),"")</f>
        <v>1.5</v>
      </c>
      <c r="CA209" s="14">
        <v>3</v>
      </c>
      <c r="CB209" s="14">
        <v>4</v>
      </c>
      <c r="CC209" s="14">
        <v>2</v>
      </c>
      <c r="CD209" s="14">
        <v>5</v>
      </c>
      <c r="CE209" s="14">
        <f>IFERROR(AVERAGE(Tabel1[[#This Row],[In - R1]:[In - R5]]),"")</f>
        <v>3.1</v>
      </c>
      <c r="CF209" s="14">
        <v>4</v>
      </c>
      <c r="CG209" s="14">
        <v>5</v>
      </c>
      <c r="CH209" s="14">
        <v>4</v>
      </c>
      <c r="CI209" s="14">
        <f>IFERROR(AVERAGE(Tabel1[[#This Row],[In - C1a]:[In - C1c]]),"")</f>
        <v>4.333333333333333</v>
      </c>
      <c r="CJ209" s="14">
        <v>5</v>
      </c>
      <c r="CK209" s="14">
        <v>4</v>
      </c>
      <c r="CL209" s="14" t="s">
        <v>189</v>
      </c>
      <c r="CM209" s="14">
        <f>IFERROR(AVERAGE(Tabel1[[#This Row],[In - C1]:[In - C4]]),"")</f>
        <v>4.4444444444444438</v>
      </c>
      <c r="CN209" s="14">
        <v>2</v>
      </c>
      <c r="CO209" s="14">
        <v>2</v>
      </c>
      <c r="CP209" s="14">
        <v>1</v>
      </c>
      <c r="CQ209" s="14">
        <f>IFERROR(AVERAGE(Tabel1[[#This Row],[In - F1a]:[In - F1c]]),"")</f>
        <v>1.6666666666666667</v>
      </c>
      <c r="CR209" s="14">
        <v>3</v>
      </c>
      <c r="CS209" s="14">
        <v>1</v>
      </c>
      <c r="CT209" s="14">
        <f>IFERROR(AVERAGE(Tabel1[[#This Row],[In - F2a]:[In - F2b]]),"")</f>
        <v>2</v>
      </c>
      <c r="CU209" s="14">
        <v>1</v>
      </c>
      <c r="CV209" s="14">
        <f>IFERROR(AVERAGE(Tabel1[[#This Row],[In - F3a]:[In - F3a]]),"")</f>
        <v>1</v>
      </c>
      <c r="CW209" s="14" t="s">
        <v>189</v>
      </c>
      <c r="CX209" s="14">
        <f>IFERROR(AVERAGE(Tabel1[[#This Row],[In - F1]],Tabel1[[#This Row],[In - F2]],Tabel1[[#This Row],[In - F3]],Tabel1[[#This Row],[In - F4]]),"")</f>
        <v>1.5555555555555556</v>
      </c>
      <c r="CY209" s="14">
        <v>4</v>
      </c>
      <c r="CZ209" s="14">
        <v>4</v>
      </c>
      <c r="DA209" s="14">
        <v>2</v>
      </c>
      <c r="DB209" s="14">
        <f>IFERROR(AVERAGE(Tabel1[[#This Row],[In - V1a]:[In - V1c]]),"")</f>
        <v>3.3333333333333335</v>
      </c>
      <c r="DC209" s="14">
        <v>4</v>
      </c>
      <c r="DD209" s="14" t="s">
        <v>189</v>
      </c>
      <c r="DE209" s="14">
        <v>2</v>
      </c>
      <c r="DF209" s="14">
        <f>IFERROR(AVERAGE(Tabel1[[#This Row],[In - V2a]:[In - V2c]]),"")</f>
        <v>3</v>
      </c>
      <c r="DG209" s="14" t="s">
        <v>189</v>
      </c>
      <c r="DH209" s="14" t="s">
        <v>189</v>
      </c>
      <c r="DI209" s="14" t="str">
        <f>IFERROR(AVERAGE(Tabel1[[#This Row],[In - V3a]:[In - V3b]]),"")</f>
        <v/>
      </c>
      <c r="DJ209" s="14" t="s">
        <v>189</v>
      </c>
      <c r="DK209" s="14">
        <f>IFERROR(AVERAGE(Tabel1[[#This Row],[In - V1]],Tabel1[[#This Row],[In - V2]],Tabel1[[#This Row],[In - V3]],Tabel1[[#This Row],[In - V4]]),"")</f>
        <v>3.166666666666667</v>
      </c>
      <c r="DL209" s="14">
        <v>1</v>
      </c>
      <c r="DM209" s="14">
        <v>1</v>
      </c>
      <c r="DN209" s="14">
        <f>IFERROR(AVERAGE(Tabel1[[#This Row],[In - A1a]:[In - A1b]]),"")</f>
        <v>1</v>
      </c>
      <c r="DO209" s="14">
        <v>4</v>
      </c>
      <c r="DP209" s="14">
        <v>1</v>
      </c>
      <c r="DQ209" s="14">
        <f>IFERROR(AVERAGE(Tabel1[[#This Row],[In - A2a]:[In - A2b]]),"")</f>
        <v>2.5</v>
      </c>
      <c r="DR209" s="14">
        <v>2</v>
      </c>
      <c r="DS209" s="14">
        <v>2</v>
      </c>
      <c r="DT209" s="14">
        <f>IFERROR(AVERAGE(Tabel1[[#This Row],[In - A3a]:[In - A3a]]),"")</f>
        <v>2</v>
      </c>
      <c r="DU209" s="14" t="s">
        <v>189</v>
      </c>
      <c r="DV209" s="14">
        <f>IFERROR(AVERAGE(Tabel1[[#This Row],[In - A1]],Tabel1[[#This Row],[In - A2]],Tabel1[[#This Row],[In - A3]],Tabel1[[#This Row],[In - A4]]),"")</f>
        <v>1.8333333333333333</v>
      </c>
      <c r="DW209" s="14" t="s">
        <v>189</v>
      </c>
      <c r="DX209" s="14">
        <v>5</v>
      </c>
      <c r="DY209" s="14">
        <v>3</v>
      </c>
      <c r="DZ209" s="14">
        <f>IFERROR(AVERAGE(Tabel1[[#This Row],[Do - R1a]:[Do - R1c]]),"")</f>
        <v>4</v>
      </c>
      <c r="EA209" s="14" t="s">
        <v>189</v>
      </c>
      <c r="EB209" s="14">
        <v>4</v>
      </c>
      <c r="EC209" s="14" t="s">
        <v>189</v>
      </c>
      <c r="ED209" s="14" t="s">
        <v>189</v>
      </c>
      <c r="EE209" s="14">
        <f>IFERROR(AVERAGE(Tabel1[[#This Row],[Do - R1]:[Do - R5]]),"")</f>
        <v>4</v>
      </c>
      <c r="EF209" s="14">
        <v>5</v>
      </c>
      <c r="EG209" s="14">
        <v>5</v>
      </c>
      <c r="EH209" s="14">
        <v>4</v>
      </c>
      <c r="EI209" s="14">
        <f>IFERROR(AVERAGE(Tabel1[[#This Row],[Do - C1a]:[Do - C1c]]),"")</f>
        <v>4.666666666666667</v>
      </c>
      <c r="EJ209" s="14" t="s">
        <v>189</v>
      </c>
      <c r="EK209" s="14" t="s">
        <v>189</v>
      </c>
      <c r="EL209" s="14" t="s">
        <v>189</v>
      </c>
      <c r="EM209" s="14">
        <f>IFERROR(AVERAGE(Tabel1[[#This Row],[Do - C1]:[Do - C4]]),"")</f>
        <v>4.666666666666667</v>
      </c>
      <c r="EN209" s="14">
        <v>1</v>
      </c>
      <c r="EO209" s="14">
        <v>1</v>
      </c>
      <c r="EP209" s="14">
        <v>2</v>
      </c>
      <c r="EQ209" s="14">
        <f>IFERROR(AVERAGE(Tabel1[[#This Row],[Do - F1a]:[Do - F1c]]),"")</f>
        <v>1.3333333333333333</v>
      </c>
      <c r="ER209" s="14">
        <v>1</v>
      </c>
      <c r="ES209" s="14">
        <f>IFERROR(AVERAGE(Tabel1[[#This Row],[Do - F2a]:[Do - F2a]]),"")</f>
        <v>1</v>
      </c>
      <c r="ET209" s="14">
        <v>1</v>
      </c>
      <c r="EU209" s="14" t="s">
        <v>189</v>
      </c>
      <c r="EV209" s="14">
        <f>IFERROR(AVERAGE(Tabel1[[#This Row],[Do - F3a]:[Do - F3b]]),"")</f>
        <v>1</v>
      </c>
      <c r="EW209" s="14" t="s">
        <v>189</v>
      </c>
      <c r="EX209" s="14">
        <f>IFERROR(AVERAGE(Tabel1[[#This Row],[Do - F1]],Tabel1[[#This Row],[Do - F2]],Tabel1[[#This Row],[Do - F3]],Tabel1[[#This Row],[Do - F4]]),"")</f>
        <v>1.1111111111111109</v>
      </c>
      <c r="EY209" s="14">
        <v>4</v>
      </c>
      <c r="EZ209" s="14" t="s">
        <v>189</v>
      </c>
      <c r="FA209" s="14">
        <v>1</v>
      </c>
      <c r="FB209" s="14">
        <f>IFERROR(AVERAGE(Tabel1[[#This Row],[Do - V1a]:[Do - V1c]]),"")</f>
        <v>2.5</v>
      </c>
      <c r="FC209" s="14" t="s">
        <v>189</v>
      </c>
      <c r="FD209" s="14">
        <v>1</v>
      </c>
      <c r="FE209" s="14">
        <f>IFERROR(AVERAGE(Tabel1[[#This Row],[Do - V2a]:[Do - V2b]]),"")</f>
        <v>1</v>
      </c>
      <c r="FF209" s="14">
        <v>1</v>
      </c>
      <c r="FG209" s="14">
        <f>IFERROR(AVERAGE(Tabel1[[#This Row],[Do - V3a]:[Do - V3a]]),"")</f>
        <v>1</v>
      </c>
      <c r="FH209" s="14">
        <v>1</v>
      </c>
      <c r="FI209" s="14">
        <f>IFERROR(AVERAGE(Tabel1[[#This Row],[Do - V1]],Tabel1[[#This Row],[Do - V2]],Tabel1[[#This Row],[Do - V3]],Tabel1[[#This Row],[Do - V4]]),"")</f>
        <v>1.375</v>
      </c>
      <c r="FJ209" s="14">
        <v>3</v>
      </c>
      <c r="FK209" s="14">
        <v>3</v>
      </c>
      <c r="FL209" s="14">
        <v>3</v>
      </c>
      <c r="FM209" s="14">
        <f>IFERROR(AVERAGE(Tabel1[[#This Row],[Do - A1a]:[Do - A1c]]),"")</f>
        <v>3</v>
      </c>
      <c r="FN209" s="14">
        <v>5</v>
      </c>
      <c r="FO209" s="14">
        <v>5</v>
      </c>
      <c r="FP209" s="14">
        <f>IFERROR(AVERAGE(Tabel1[[#This Row],[Do - A2a]:[Do - A2b]]),"")</f>
        <v>5</v>
      </c>
      <c r="FQ209" s="14">
        <v>4</v>
      </c>
      <c r="FR209" s="14">
        <f>IFERROR(AVERAGE(Tabel1[[#This Row],[Do - A3a]:[Do - A3a]]),"")</f>
        <v>4</v>
      </c>
      <c r="FS209" s="14" t="s">
        <v>189</v>
      </c>
      <c r="FT209" s="14">
        <f>IFERROR(AVERAGE(Tabel1[[#This Row],[Do - A1]],Tabel1[[#This Row],[Do - A2]],Tabel1[[#This Row],[Do - A3]],Tabel1[[#This Row],[Do - A4]]),"")</f>
        <v>4</v>
      </c>
      <c r="FU20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2.905740740740741</v>
      </c>
      <c r="FV209" s="16" t="s">
        <v>1146</v>
      </c>
      <c r="FW209" t="b">
        <v>1</v>
      </c>
    </row>
    <row r="210" spans="1:179" x14ac:dyDescent="0.3">
      <c r="A210" s="13">
        <v>45267.472916666666</v>
      </c>
      <c r="B210" t="b">
        <v>0</v>
      </c>
      <c r="C210" s="14" t="s">
        <v>1147</v>
      </c>
      <c r="D210" s="14" t="s">
        <v>958</v>
      </c>
      <c r="E210" s="14" t="s">
        <v>1144</v>
      </c>
      <c r="F210" s="14" t="s">
        <v>184</v>
      </c>
      <c r="G210" s="21" t="s">
        <v>1148</v>
      </c>
      <c r="H210" s="14" t="s">
        <v>222</v>
      </c>
      <c r="I210" s="14" t="s">
        <v>195</v>
      </c>
      <c r="J210" s="14" t="s">
        <v>406</v>
      </c>
      <c r="K210" s="14" t="s">
        <v>201</v>
      </c>
      <c r="L210" s="14" t="s">
        <v>218</v>
      </c>
      <c r="M210" s="14" t="s">
        <v>198</v>
      </c>
      <c r="N210" s="14" t="s">
        <v>199</v>
      </c>
      <c r="O210" s="14" t="s">
        <v>200</v>
      </c>
      <c r="P210" s="17" t="s">
        <v>255</v>
      </c>
      <c r="Q210" s="14" t="s">
        <v>201</v>
      </c>
      <c r="R210" s="14" t="s">
        <v>201</v>
      </c>
      <c r="S210" s="14" t="s">
        <v>235</v>
      </c>
      <c r="T210" s="14" t="s">
        <v>284</v>
      </c>
      <c r="U210" s="14" t="s">
        <v>285</v>
      </c>
      <c r="V210" s="14" t="s">
        <v>359</v>
      </c>
      <c r="W210" s="14" t="s">
        <v>207</v>
      </c>
      <c r="X210" s="14" t="s">
        <v>207</v>
      </c>
      <c r="Y210" s="14" t="s">
        <v>189</v>
      </c>
      <c r="Z210" s="14">
        <v>5</v>
      </c>
      <c r="AA210" s="14">
        <v>5</v>
      </c>
      <c r="AB210" s="15">
        <f>IFERROR(AVERAGE(Tabel1[[#This Row],[Up - R1a]:[Up - R1c]]),"")</f>
        <v>5</v>
      </c>
      <c r="AC210" s="14">
        <v>5</v>
      </c>
      <c r="AD210" s="14">
        <v>5</v>
      </c>
      <c r="AE210" s="14">
        <v>5</v>
      </c>
      <c r="AF210" s="14">
        <v>5</v>
      </c>
      <c r="AG210" s="14">
        <f>IFERROR(AVERAGE(Tabel1[[#This Row],[Up - R1]:[Up - R5]]),"")</f>
        <v>5</v>
      </c>
      <c r="AH210" s="14">
        <v>5</v>
      </c>
      <c r="AI210" s="14">
        <v>5</v>
      </c>
      <c r="AJ210" s="14">
        <v>5</v>
      </c>
      <c r="AK210" s="14">
        <f>IFERROR(AVERAGE(Tabel1[[#This Row],[Up - C1a]:[Up - C1c]]),"")</f>
        <v>5</v>
      </c>
      <c r="AL210" s="14">
        <v>5</v>
      </c>
      <c r="AM210" s="14">
        <v>5</v>
      </c>
      <c r="AN210" s="14">
        <v>5</v>
      </c>
      <c r="AO210" s="14">
        <f>IFERROR(AVERAGE(Tabel1[[#This Row],[Up - C1]:[Up - C4]]),"")</f>
        <v>5</v>
      </c>
      <c r="AP210" s="14">
        <v>5</v>
      </c>
      <c r="AQ210" s="14">
        <f>IFERROR(AVERAGE(Tabel1[[#This Row],[Up - F1a]:[Up - F1a]]),"")</f>
        <v>5</v>
      </c>
      <c r="AR210" s="14">
        <v>5</v>
      </c>
      <c r="AS210" s="14">
        <v>2</v>
      </c>
      <c r="AT210" s="14">
        <f>IFERROR(AVERAGE(Tabel1[[#This Row],[Up - F2a]:[Up - F2b]]),"")</f>
        <v>3.5</v>
      </c>
      <c r="AU210" s="14">
        <v>3</v>
      </c>
      <c r="AV210" s="14">
        <v>5</v>
      </c>
      <c r="AW210" s="14">
        <f>IFERROR(AVERAGE(Tabel1[[#This Row],[Up - F3a]:[Up - F3b]]),"")</f>
        <v>4</v>
      </c>
      <c r="AX210" s="14">
        <v>5</v>
      </c>
      <c r="AY210" s="14">
        <f>IFERROR(AVERAGE(Tabel1[[#This Row],[Up - F1]],Tabel1[[#This Row],[Up - F2]],Tabel1[[#This Row],[Up - F3]],Tabel1[[#This Row],[Up - F4]]),"")</f>
        <v>4.375</v>
      </c>
      <c r="AZ210" s="14">
        <v>3</v>
      </c>
      <c r="BA210" s="14">
        <v>5</v>
      </c>
      <c r="BB210" s="14">
        <f>IFERROR(AVERAGE(Tabel1[[#This Row],[Up - V1a]:[Up - V1b]]),"")</f>
        <v>4</v>
      </c>
      <c r="BC210" s="14">
        <v>4</v>
      </c>
      <c r="BD210" s="14">
        <v>3</v>
      </c>
      <c r="BE210" s="14">
        <v>5</v>
      </c>
      <c r="BF210" s="14">
        <f>IFERROR(AVERAGE(Tabel1[[#This Row],[Up - V2a]:[Up - V2c]]),"")</f>
        <v>4</v>
      </c>
      <c r="BG210" s="14">
        <v>5</v>
      </c>
      <c r="BH210" s="14">
        <v>5</v>
      </c>
      <c r="BI210" s="14">
        <f>IFERROR(AVERAGE(Tabel1[[#This Row],[Up - V3a]:[Up - V3b]]),"")</f>
        <v>5</v>
      </c>
      <c r="BJ210" s="14">
        <v>5</v>
      </c>
      <c r="BK210" s="14">
        <f>IFERROR(AVERAGE(Tabel1[[#This Row],[Up - V1]],Tabel1[[#This Row],[Up - V2]],Tabel1[[#This Row],[Up - V3]],Tabel1[[#This Row],[Up - V4]]),"")</f>
        <v>4.5</v>
      </c>
      <c r="BL210" s="14">
        <v>5</v>
      </c>
      <c r="BM210" s="14">
        <v>5</v>
      </c>
      <c r="BN210" s="14">
        <v>5</v>
      </c>
      <c r="BO210" s="14">
        <v>5</v>
      </c>
      <c r="BP210" s="14">
        <f>IFERROR(AVERAGE(Tabel1[[#This Row],[Up - A1a]:[Up - A1d]]),"")</f>
        <v>5</v>
      </c>
      <c r="BQ210" s="14">
        <v>4</v>
      </c>
      <c r="BR210" s="14">
        <v>5</v>
      </c>
      <c r="BS210" s="14">
        <f>IFERROR(AVERAGE(Tabel1[[#This Row],[Up - A2a]:[Up - A2b]]),"")</f>
        <v>4.5</v>
      </c>
      <c r="BT210" s="14">
        <v>5</v>
      </c>
      <c r="BU210" s="14">
        <f>IFERROR(AVERAGE(Tabel1[[#This Row],[Up - A3a]:[Up - A3a]]),"")</f>
        <v>5</v>
      </c>
      <c r="BV210" s="14">
        <v>5</v>
      </c>
      <c r="BW210" s="14">
        <f>IFERROR(AVERAGE(Tabel1[[#This Row],[Up - A1]],Tabel1[[#This Row],[Up - A2]],Tabel1[[#This Row],[Up - A3]]),"")</f>
        <v>4.833333333333333</v>
      </c>
      <c r="BX210" s="14">
        <v>5</v>
      </c>
      <c r="BY210" s="14">
        <v>5</v>
      </c>
      <c r="BZ210" s="14">
        <f>IFERROR(AVERAGE(Tabel1[[#This Row],[In - R1a]:[In - R1b]]),"")</f>
        <v>5</v>
      </c>
      <c r="CA210" s="14">
        <v>5</v>
      </c>
      <c r="CB210" s="14">
        <v>5</v>
      </c>
      <c r="CC210" s="14">
        <v>3</v>
      </c>
      <c r="CD210" s="14">
        <v>5</v>
      </c>
      <c r="CE210" s="14">
        <f>IFERROR(AVERAGE(Tabel1[[#This Row],[In - R1]:[In - R5]]),"")</f>
        <v>4.5999999999999996</v>
      </c>
      <c r="CF210" s="14">
        <v>5</v>
      </c>
      <c r="CG210" s="14">
        <v>4</v>
      </c>
      <c r="CH210" s="14">
        <v>5</v>
      </c>
      <c r="CI210" s="14">
        <f>IFERROR(AVERAGE(Tabel1[[#This Row],[In - C1a]:[In - C1c]]),"")</f>
        <v>4.666666666666667</v>
      </c>
      <c r="CJ210" s="14">
        <v>5</v>
      </c>
      <c r="CK210" s="14">
        <v>5</v>
      </c>
      <c r="CL210" s="14">
        <v>5</v>
      </c>
      <c r="CM210" s="14">
        <f>IFERROR(AVERAGE(Tabel1[[#This Row],[In - C1]:[In - C4]]),"")</f>
        <v>4.916666666666667</v>
      </c>
      <c r="CN210" s="14">
        <v>5</v>
      </c>
      <c r="CO210" s="14">
        <v>5</v>
      </c>
      <c r="CP210" s="14">
        <v>2</v>
      </c>
      <c r="CQ210" s="14">
        <f>IFERROR(AVERAGE(Tabel1[[#This Row],[In - F1a]:[In - F1c]]),"")</f>
        <v>4</v>
      </c>
      <c r="CR210" s="14">
        <v>4</v>
      </c>
      <c r="CS210" s="14">
        <v>4</v>
      </c>
      <c r="CT210" s="14">
        <f>IFERROR(AVERAGE(Tabel1[[#This Row],[In - F2a]:[In - F2b]]),"")</f>
        <v>4</v>
      </c>
      <c r="CU210" s="14">
        <v>5</v>
      </c>
      <c r="CV210" s="14">
        <f>IFERROR(AVERAGE(Tabel1[[#This Row],[In - F3a]:[In - F3a]]),"")</f>
        <v>5</v>
      </c>
      <c r="CW210" s="14">
        <v>5</v>
      </c>
      <c r="CX210" s="14">
        <f>IFERROR(AVERAGE(Tabel1[[#This Row],[In - F1]],Tabel1[[#This Row],[In - F2]],Tabel1[[#This Row],[In - F3]],Tabel1[[#This Row],[In - F4]]),"")</f>
        <v>4.5</v>
      </c>
      <c r="CY210" s="14">
        <v>5</v>
      </c>
      <c r="CZ210" s="14" t="s">
        <v>189</v>
      </c>
      <c r="DA210" s="14">
        <v>2</v>
      </c>
      <c r="DB210" s="14">
        <f>IFERROR(AVERAGE(Tabel1[[#This Row],[In - V1a]:[In - V1c]]),"")</f>
        <v>3.5</v>
      </c>
      <c r="DC210" s="14">
        <v>5</v>
      </c>
      <c r="DD210" s="14" t="s">
        <v>189</v>
      </c>
      <c r="DE210" s="14">
        <v>4</v>
      </c>
      <c r="DF210" s="14">
        <f>IFERROR(AVERAGE(Tabel1[[#This Row],[In - V2a]:[In - V2c]]),"")</f>
        <v>4.5</v>
      </c>
      <c r="DG210" s="14">
        <v>5</v>
      </c>
      <c r="DH210" s="14">
        <v>5</v>
      </c>
      <c r="DI210" s="14">
        <f>IFERROR(AVERAGE(Tabel1[[#This Row],[In - V3a]:[In - V3b]]),"")</f>
        <v>5</v>
      </c>
      <c r="DJ210" s="14">
        <v>4</v>
      </c>
      <c r="DK210" s="14">
        <f>IFERROR(AVERAGE(Tabel1[[#This Row],[In - V1]],Tabel1[[#This Row],[In - V2]],Tabel1[[#This Row],[In - V3]],Tabel1[[#This Row],[In - V4]]),"")</f>
        <v>4.25</v>
      </c>
      <c r="DL210" s="14">
        <v>5</v>
      </c>
      <c r="DM210" s="14">
        <v>5</v>
      </c>
      <c r="DN210" s="14">
        <f>IFERROR(AVERAGE(Tabel1[[#This Row],[In - A1a]:[In - A1b]]),"")</f>
        <v>5</v>
      </c>
      <c r="DO210" s="14">
        <v>5</v>
      </c>
      <c r="DP210" s="14" t="s">
        <v>189</v>
      </c>
      <c r="DQ210" s="14">
        <f>IFERROR(AVERAGE(Tabel1[[#This Row],[In - A2a]:[In - A2b]]),"")</f>
        <v>5</v>
      </c>
      <c r="DR210" s="14">
        <v>5</v>
      </c>
      <c r="DS210" s="14">
        <v>5</v>
      </c>
      <c r="DT210" s="14">
        <f>IFERROR(AVERAGE(Tabel1[[#This Row],[In - A3a]:[In - A3a]]),"")</f>
        <v>5</v>
      </c>
      <c r="DU210" s="14">
        <v>4</v>
      </c>
      <c r="DV210" s="14">
        <f>IFERROR(AVERAGE(Tabel1[[#This Row],[In - A1]],Tabel1[[#This Row],[In - A2]],Tabel1[[#This Row],[In - A3]],Tabel1[[#This Row],[In - A4]]),"")</f>
        <v>4.75</v>
      </c>
      <c r="DW210" s="14">
        <v>5</v>
      </c>
      <c r="DX210" s="14">
        <v>5</v>
      </c>
      <c r="DY210" s="14">
        <v>5</v>
      </c>
      <c r="DZ210" s="14">
        <f>IFERROR(AVERAGE(Tabel1[[#This Row],[Do - R1a]:[Do - R1c]]),"")</f>
        <v>5</v>
      </c>
      <c r="EA210" s="14">
        <v>5</v>
      </c>
      <c r="EB210" s="14">
        <v>5</v>
      </c>
      <c r="EC210" s="14">
        <v>5</v>
      </c>
      <c r="ED210" s="14">
        <v>5</v>
      </c>
      <c r="EE210" s="14">
        <f>IFERROR(AVERAGE(Tabel1[[#This Row],[Do - R1]:[Do - R5]]),"")</f>
        <v>5</v>
      </c>
      <c r="EF210" s="14">
        <v>5</v>
      </c>
      <c r="EG210" s="14">
        <v>5</v>
      </c>
      <c r="EH210" s="14">
        <v>5</v>
      </c>
      <c r="EI210" s="14">
        <f>IFERROR(AVERAGE(Tabel1[[#This Row],[Do - C1a]:[Do - C1c]]),"")</f>
        <v>5</v>
      </c>
      <c r="EJ210" s="14">
        <v>5</v>
      </c>
      <c r="EK210" s="14">
        <v>5</v>
      </c>
      <c r="EL210" s="14">
        <v>5</v>
      </c>
      <c r="EM210" s="14">
        <f>IFERROR(AVERAGE(Tabel1[[#This Row],[Do - C1]:[Do - C4]]),"")</f>
        <v>5</v>
      </c>
      <c r="EN210" s="14">
        <v>5</v>
      </c>
      <c r="EO210" s="14">
        <v>4</v>
      </c>
      <c r="EP210" s="14">
        <v>4</v>
      </c>
      <c r="EQ210" s="14">
        <f>IFERROR(AVERAGE(Tabel1[[#This Row],[Do - F1a]:[Do - F1c]]),"")</f>
        <v>4.333333333333333</v>
      </c>
      <c r="ER210" s="14">
        <v>3</v>
      </c>
      <c r="ES210" s="14">
        <f>IFERROR(AVERAGE(Tabel1[[#This Row],[Do - F2a]:[Do - F2a]]),"")</f>
        <v>3</v>
      </c>
      <c r="ET210" s="14">
        <v>5</v>
      </c>
      <c r="EU210" s="14">
        <v>5</v>
      </c>
      <c r="EV210" s="14">
        <f>IFERROR(AVERAGE(Tabel1[[#This Row],[Do - F3a]:[Do - F3b]]),"")</f>
        <v>5</v>
      </c>
      <c r="EW210" s="14">
        <v>5</v>
      </c>
      <c r="EX210" s="14">
        <f>IFERROR(AVERAGE(Tabel1[[#This Row],[Do - F1]],Tabel1[[#This Row],[Do - F2]],Tabel1[[#This Row],[Do - F3]],Tabel1[[#This Row],[Do - F4]]),"")</f>
        <v>4.333333333333333</v>
      </c>
      <c r="EY210" s="14">
        <v>5</v>
      </c>
      <c r="EZ210" s="14">
        <v>5</v>
      </c>
      <c r="FA210" s="14">
        <v>5</v>
      </c>
      <c r="FB210" s="14">
        <f>IFERROR(AVERAGE(Tabel1[[#This Row],[Do - V1a]:[Do - V1c]]),"")</f>
        <v>5</v>
      </c>
      <c r="FC210" s="14">
        <v>5</v>
      </c>
      <c r="FD210" s="14">
        <v>5</v>
      </c>
      <c r="FE210" s="14">
        <f>IFERROR(AVERAGE(Tabel1[[#This Row],[Do - V2a]:[Do - V2b]]),"")</f>
        <v>5</v>
      </c>
      <c r="FF210" s="14">
        <v>5</v>
      </c>
      <c r="FG210" s="14">
        <f>IFERROR(AVERAGE(Tabel1[[#This Row],[Do - V3a]:[Do - V3a]]),"")</f>
        <v>5</v>
      </c>
      <c r="FH210" s="14">
        <v>5</v>
      </c>
      <c r="FI210" s="14">
        <f>IFERROR(AVERAGE(Tabel1[[#This Row],[Do - V1]],Tabel1[[#This Row],[Do - V2]],Tabel1[[#This Row],[Do - V3]],Tabel1[[#This Row],[Do - V4]]),"")</f>
        <v>5</v>
      </c>
      <c r="FJ210" s="14">
        <v>5</v>
      </c>
      <c r="FK210" s="14">
        <v>5</v>
      </c>
      <c r="FL210" s="14">
        <v>5</v>
      </c>
      <c r="FM210" s="14">
        <f>IFERROR(AVERAGE(Tabel1[[#This Row],[Do - A1a]:[Do - A1c]]),"")</f>
        <v>5</v>
      </c>
      <c r="FN210" s="14">
        <v>5</v>
      </c>
      <c r="FO210" s="14">
        <v>4</v>
      </c>
      <c r="FP210" s="14">
        <f>IFERROR(AVERAGE(Tabel1[[#This Row],[Do - A2a]:[Do - A2b]]),"")</f>
        <v>4.5</v>
      </c>
      <c r="FQ210" s="14">
        <v>5</v>
      </c>
      <c r="FR210" s="14">
        <f>IFERROR(AVERAGE(Tabel1[[#This Row],[Do - A3a]:[Do - A3a]]),"")</f>
        <v>5</v>
      </c>
      <c r="FS210" s="14">
        <v>5</v>
      </c>
      <c r="FT210" s="14">
        <f>IFERROR(AVERAGE(Tabel1[[#This Row],[Do - A1]],Tabel1[[#This Row],[Do - A2]],Tabel1[[#This Row],[Do - A3]],Tabel1[[#This Row],[Do - A4]]),"")</f>
        <v>4.875</v>
      </c>
      <c r="FU21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4.7288888888888891</v>
      </c>
      <c r="FV210" s="16" t="s">
        <v>1149</v>
      </c>
      <c r="FW210" t="b">
        <v>1</v>
      </c>
    </row>
    <row r="211" spans="1:179" x14ac:dyDescent="0.3">
      <c r="A211" s="13">
        <v>45272.532152777778</v>
      </c>
      <c r="B211" t="b">
        <v>0</v>
      </c>
      <c r="C211" s="14" t="s">
        <v>1150</v>
      </c>
      <c r="D211" s="14" t="s">
        <v>1151</v>
      </c>
      <c r="E211" s="14" t="s">
        <v>1152</v>
      </c>
      <c r="F211" s="14" t="s">
        <v>184</v>
      </c>
      <c r="G211" s="21" t="s">
        <v>1153</v>
      </c>
      <c r="H211" s="14" t="s">
        <v>222</v>
      </c>
      <c r="I211" s="14" t="s">
        <v>195</v>
      </c>
      <c r="J211" s="14" t="s">
        <v>1154</v>
      </c>
      <c r="K211" s="14" t="s">
        <v>201</v>
      </c>
      <c r="L211" s="14" t="s">
        <v>218</v>
      </c>
      <c r="M211" s="14" t="s">
        <v>198</v>
      </c>
      <c r="N211" s="14" t="s">
        <v>199</v>
      </c>
      <c r="O211" s="14" t="s">
        <v>256</v>
      </c>
      <c r="P211" s="17" t="s">
        <v>304</v>
      </c>
      <c r="Q211" s="14" t="s">
        <v>202</v>
      </c>
      <c r="R211" s="14" t="s">
        <v>187</v>
      </c>
      <c r="S211" s="14" t="s">
        <v>187</v>
      </c>
      <c r="T211" s="14" t="s">
        <v>236</v>
      </c>
      <c r="U211" s="14" t="s">
        <v>285</v>
      </c>
      <c r="V211" s="14" t="s">
        <v>359</v>
      </c>
      <c r="W211" s="14" t="s">
        <v>207</v>
      </c>
      <c r="X211" s="14" t="s">
        <v>207</v>
      </c>
      <c r="Y211" s="14">
        <v>2</v>
      </c>
      <c r="Z211" s="14">
        <v>4</v>
      </c>
      <c r="AA211" s="14">
        <v>5</v>
      </c>
      <c r="AB211" s="15">
        <f>IFERROR(AVERAGE(Tabel1[[#This Row],[Up - R1a]:[Up - R1c]]),"")</f>
        <v>3.6666666666666665</v>
      </c>
      <c r="AC211" s="14">
        <v>5</v>
      </c>
      <c r="AD211" s="14">
        <v>3</v>
      </c>
      <c r="AE211" s="14">
        <v>1</v>
      </c>
      <c r="AF211" s="14" t="s">
        <v>189</v>
      </c>
      <c r="AG211" s="14">
        <f>IFERROR(AVERAGE(Tabel1[[#This Row],[Up - R1]:[Up - R5]]),"")</f>
        <v>3.1666666666666665</v>
      </c>
      <c r="AH211" s="14">
        <v>5</v>
      </c>
      <c r="AI211" s="14">
        <v>4</v>
      </c>
      <c r="AJ211" s="14">
        <v>4</v>
      </c>
      <c r="AK211" s="14">
        <f>IFERROR(AVERAGE(Tabel1[[#This Row],[Up - C1a]:[Up - C1c]]),"")</f>
        <v>4.333333333333333</v>
      </c>
      <c r="AL211" s="14">
        <v>4</v>
      </c>
      <c r="AM211" s="14">
        <v>4</v>
      </c>
      <c r="AN211" s="14">
        <v>3</v>
      </c>
      <c r="AO211" s="14">
        <f>IFERROR(AVERAGE(Tabel1[[#This Row],[Up - C1]:[Up - C4]]),"")</f>
        <v>3.833333333333333</v>
      </c>
      <c r="AP211" s="14">
        <v>4</v>
      </c>
      <c r="AQ211" s="14">
        <f>IFERROR(AVERAGE(Tabel1[[#This Row],[Up - F1a]:[Up - F1a]]),"")</f>
        <v>4</v>
      </c>
      <c r="AR211" s="14">
        <v>2</v>
      </c>
      <c r="AS211" s="14">
        <v>1</v>
      </c>
      <c r="AT211" s="14">
        <f>IFERROR(AVERAGE(Tabel1[[#This Row],[Up - F2a]:[Up - F2b]]),"")</f>
        <v>1.5</v>
      </c>
      <c r="AU211" s="14">
        <v>1</v>
      </c>
      <c r="AV211" s="14">
        <v>4</v>
      </c>
      <c r="AW211" s="14">
        <f>IFERROR(AVERAGE(Tabel1[[#This Row],[Up - F3a]:[Up - F3b]]),"")</f>
        <v>2.5</v>
      </c>
      <c r="AX211" s="14" t="s">
        <v>189</v>
      </c>
      <c r="AY211" s="14">
        <f>IFERROR(AVERAGE(Tabel1[[#This Row],[Up - F1]],Tabel1[[#This Row],[Up - F2]],Tabel1[[#This Row],[Up - F3]],Tabel1[[#This Row],[Up - F4]]),"")</f>
        <v>2.6666666666666665</v>
      </c>
      <c r="AZ211" s="14">
        <v>4</v>
      </c>
      <c r="BA211" s="14">
        <v>4</v>
      </c>
      <c r="BB211" s="14">
        <f>IFERROR(AVERAGE(Tabel1[[#This Row],[Up - V1a]:[Up - V1b]]),"")</f>
        <v>4</v>
      </c>
      <c r="BC211" s="14">
        <v>4</v>
      </c>
      <c r="BD211" s="14" t="s">
        <v>189</v>
      </c>
      <c r="BE211" s="14">
        <v>4</v>
      </c>
      <c r="BF211" s="14">
        <f>IFERROR(AVERAGE(Tabel1[[#This Row],[Up - V2a]:[Up - V2c]]),"")</f>
        <v>4</v>
      </c>
      <c r="BG211" s="14">
        <v>3</v>
      </c>
      <c r="BH211" s="14" t="s">
        <v>189</v>
      </c>
      <c r="BI211" s="14">
        <f>IFERROR(AVERAGE(Tabel1[[#This Row],[Up - V3a]:[Up - V3b]]),"")</f>
        <v>3</v>
      </c>
      <c r="BJ211" s="14" t="s">
        <v>189</v>
      </c>
      <c r="BK211" s="14">
        <f>IFERROR(AVERAGE(Tabel1[[#This Row],[Up - V1]],Tabel1[[#This Row],[Up - V2]],Tabel1[[#This Row],[Up - V3]],Tabel1[[#This Row],[Up - V4]]),"")</f>
        <v>3.6666666666666665</v>
      </c>
      <c r="BL211" s="14">
        <v>4</v>
      </c>
      <c r="BM211" s="14">
        <v>4</v>
      </c>
      <c r="BN211" s="14" t="s">
        <v>189</v>
      </c>
      <c r="BO211" s="14" t="s">
        <v>189</v>
      </c>
      <c r="BP211" s="14">
        <f>IFERROR(AVERAGE(Tabel1[[#This Row],[Up - A1a]:[Up - A1d]]),"")</f>
        <v>4</v>
      </c>
      <c r="BQ211" s="14">
        <v>4</v>
      </c>
      <c r="BR211" s="14">
        <v>3</v>
      </c>
      <c r="BS211" s="14">
        <f>IFERROR(AVERAGE(Tabel1[[#This Row],[Up - A2a]:[Up - A2b]]),"")</f>
        <v>3.5</v>
      </c>
      <c r="BT211" s="14">
        <v>4</v>
      </c>
      <c r="BU211" s="14">
        <f>IFERROR(AVERAGE(Tabel1[[#This Row],[Up - A3a]:[Up - A3a]]),"")</f>
        <v>4</v>
      </c>
      <c r="BV211" s="14" t="s">
        <v>189</v>
      </c>
      <c r="BW211" s="14">
        <f>IFERROR(AVERAGE(Tabel1[[#This Row],[Up - A1]],Tabel1[[#This Row],[Up - A2]],Tabel1[[#This Row],[Up - A3]]),"")</f>
        <v>3.8333333333333335</v>
      </c>
      <c r="BX211" s="14" t="s">
        <v>189</v>
      </c>
      <c r="BY211" s="14" t="s">
        <v>189</v>
      </c>
      <c r="BZ211" s="14" t="str">
        <f>IFERROR(AVERAGE(Tabel1[[#This Row],[In - R1a]:[In - R1b]]),"")</f>
        <v/>
      </c>
      <c r="CA211" s="14">
        <v>2</v>
      </c>
      <c r="CB211" s="14" t="s">
        <v>189</v>
      </c>
      <c r="CC211" s="14">
        <v>4</v>
      </c>
      <c r="CD211" s="14" t="s">
        <v>189</v>
      </c>
      <c r="CE211" s="14">
        <f>IFERROR(AVERAGE(Tabel1[[#This Row],[In - R1]:[In - R5]]),"")</f>
        <v>3</v>
      </c>
      <c r="CF211" s="14">
        <v>4</v>
      </c>
      <c r="CG211" s="14">
        <v>4</v>
      </c>
      <c r="CH211" s="14">
        <v>3</v>
      </c>
      <c r="CI211" s="14">
        <f>IFERROR(AVERAGE(Tabel1[[#This Row],[In - C1a]:[In - C1c]]),"")</f>
        <v>3.6666666666666665</v>
      </c>
      <c r="CJ211" s="14">
        <v>3</v>
      </c>
      <c r="CK211" s="14">
        <v>4</v>
      </c>
      <c r="CL211" s="14">
        <v>4</v>
      </c>
      <c r="CM211" s="14">
        <f>IFERROR(AVERAGE(Tabel1[[#This Row],[In - C1]:[In - C4]]),"")</f>
        <v>3.6666666666666665</v>
      </c>
      <c r="CN211" s="14">
        <v>4</v>
      </c>
      <c r="CO211" s="14">
        <v>4</v>
      </c>
      <c r="CP211" s="14">
        <v>1</v>
      </c>
      <c r="CQ211" s="14">
        <f>IFERROR(AVERAGE(Tabel1[[#This Row],[In - F1a]:[In - F1c]]),"")</f>
        <v>3</v>
      </c>
      <c r="CR211" s="14">
        <v>4</v>
      </c>
      <c r="CS211" s="14">
        <v>3</v>
      </c>
      <c r="CT211" s="14">
        <f>IFERROR(AVERAGE(Tabel1[[#This Row],[In - F2a]:[In - F2b]]),"")</f>
        <v>3.5</v>
      </c>
      <c r="CU211" s="14">
        <v>2</v>
      </c>
      <c r="CV211" s="14">
        <f>IFERROR(AVERAGE(Tabel1[[#This Row],[In - F3a]:[In - F3a]]),"")</f>
        <v>2</v>
      </c>
      <c r="CW211" s="14" t="s">
        <v>189</v>
      </c>
      <c r="CX211" s="14">
        <f>IFERROR(AVERAGE(Tabel1[[#This Row],[In - F1]],Tabel1[[#This Row],[In - F2]],Tabel1[[#This Row],[In - F3]],Tabel1[[#This Row],[In - F4]]),"")</f>
        <v>2.8333333333333335</v>
      </c>
      <c r="CY211" s="14">
        <v>4</v>
      </c>
      <c r="CZ211" s="14">
        <v>4</v>
      </c>
      <c r="DA211" s="14">
        <v>2</v>
      </c>
      <c r="DB211" s="14">
        <f>IFERROR(AVERAGE(Tabel1[[#This Row],[In - V1a]:[In - V1c]]),"")</f>
        <v>3.3333333333333335</v>
      </c>
      <c r="DC211" s="14">
        <v>3</v>
      </c>
      <c r="DD211" s="14">
        <v>3</v>
      </c>
      <c r="DE211" s="14">
        <v>3</v>
      </c>
      <c r="DF211" s="14">
        <f>IFERROR(AVERAGE(Tabel1[[#This Row],[In - V2a]:[In - V2c]]),"")</f>
        <v>3</v>
      </c>
      <c r="DG211" s="14">
        <v>3</v>
      </c>
      <c r="DH211" s="14">
        <v>5</v>
      </c>
      <c r="DI211" s="14">
        <f>IFERROR(AVERAGE(Tabel1[[#This Row],[In - V3a]:[In - V3b]]),"")</f>
        <v>4</v>
      </c>
      <c r="DJ211" s="14" t="s">
        <v>189</v>
      </c>
      <c r="DK211" s="14">
        <f>IFERROR(AVERAGE(Tabel1[[#This Row],[In - V1]],Tabel1[[#This Row],[In - V2]],Tabel1[[#This Row],[In - V3]],Tabel1[[#This Row],[In - V4]]),"")</f>
        <v>3.4444444444444446</v>
      </c>
      <c r="DL211" s="14">
        <v>5</v>
      </c>
      <c r="DM211" s="14">
        <v>4</v>
      </c>
      <c r="DN211" s="14">
        <f>IFERROR(AVERAGE(Tabel1[[#This Row],[In - A1a]:[In - A1b]]),"")</f>
        <v>4.5</v>
      </c>
      <c r="DO211" s="14">
        <v>4</v>
      </c>
      <c r="DP211" s="14">
        <v>4</v>
      </c>
      <c r="DQ211" s="14">
        <f>IFERROR(AVERAGE(Tabel1[[#This Row],[In - A2a]:[In - A2b]]),"")</f>
        <v>4</v>
      </c>
      <c r="DR211" s="14">
        <v>4</v>
      </c>
      <c r="DS211" s="14">
        <v>3</v>
      </c>
      <c r="DT211" s="14">
        <f>IFERROR(AVERAGE(Tabel1[[#This Row],[In - A3a]:[In - A3a]]),"")</f>
        <v>4</v>
      </c>
      <c r="DU211" s="14" t="s">
        <v>189</v>
      </c>
      <c r="DV211" s="14">
        <f>IFERROR(AVERAGE(Tabel1[[#This Row],[In - A1]],Tabel1[[#This Row],[In - A2]],Tabel1[[#This Row],[In - A3]],Tabel1[[#This Row],[In - A4]]),"")</f>
        <v>4.166666666666667</v>
      </c>
      <c r="DW211" s="14">
        <v>4</v>
      </c>
      <c r="DX211" s="14">
        <v>4</v>
      </c>
      <c r="DY211" s="14">
        <v>4</v>
      </c>
      <c r="DZ211" s="14">
        <f>IFERROR(AVERAGE(Tabel1[[#This Row],[Do - R1a]:[Do - R1c]]),"")</f>
        <v>4</v>
      </c>
      <c r="EA211" s="14" t="s">
        <v>189</v>
      </c>
      <c r="EB211" s="14">
        <v>4</v>
      </c>
      <c r="EC211" s="14">
        <v>4</v>
      </c>
      <c r="ED211" s="14" t="s">
        <v>189</v>
      </c>
      <c r="EE211" s="14">
        <f>IFERROR(AVERAGE(Tabel1[[#This Row],[Do - R1]:[Do - R5]]),"")</f>
        <v>4</v>
      </c>
      <c r="EF211" s="14">
        <v>5</v>
      </c>
      <c r="EG211" s="14">
        <v>4</v>
      </c>
      <c r="EH211" s="14">
        <v>4</v>
      </c>
      <c r="EI211" s="14">
        <f>IFERROR(AVERAGE(Tabel1[[#This Row],[Do - C1a]:[Do - C1c]]),"")</f>
        <v>4.333333333333333</v>
      </c>
      <c r="EJ211" s="14">
        <v>3</v>
      </c>
      <c r="EK211" s="14">
        <v>4</v>
      </c>
      <c r="EL211" s="14">
        <v>3</v>
      </c>
      <c r="EM211" s="14">
        <f>IFERROR(AVERAGE(Tabel1[[#This Row],[Do - C1]:[Do - C4]]),"")</f>
        <v>3.583333333333333</v>
      </c>
      <c r="EN211" s="14">
        <v>3</v>
      </c>
      <c r="EO211" s="14">
        <v>4</v>
      </c>
      <c r="EP211" s="14">
        <v>3</v>
      </c>
      <c r="EQ211" s="14">
        <f>IFERROR(AVERAGE(Tabel1[[#This Row],[Do - F1a]:[Do - F1c]]),"")</f>
        <v>3.3333333333333335</v>
      </c>
      <c r="ER211" s="14" t="s">
        <v>189</v>
      </c>
      <c r="ES211" s="14" t="str">
        <f>IFERROR(AVERAGE(Tabel1[[#This Row],[Do - F2a]:[Do - F2a]]),"")</f>
        <v/>
      </c>
      <c r="ET211" s="14">
        <v>4</v>
      </c>
      <c r="EU211" s="14" t="s">
        <v>189</v>
      </c>
      <c r="EV211" s="14">
        <f>IFERROR(AVERAGE(Tabel1[[#This Row],[Do - F3a]:[Do - F3b]]),"")</f>
        <v>4</v>
      </c>
      <c r="EW211" s="14" t="s">
        <v>189</v>
      </c>
      <c r="EX211" s="14">
        <f>IFERROR(AVERAGE(Tabel1[[#This Row],[Do - F1]],Tabel1[[#This Row],[Do - F2]],Tabel1[[#This Row],[Do - F3]],Tabel1[[#This Row],[Do - F4]]),"")</f>
        <v>3.666666666666667</v>
      </c>
      <c r="EY211" s="14">
        <v>3</v>
      </c>
      <c r="EZ211" s="14">
        <v>3</v>
      </c>
      <c r="FA211" s="14">
        <v>2</v>
      </c>
      <c r="FB211" s="14">
        <f>IFERROR(AVERAGE(Tabel1[[#This Row],[Do - V1a]:[Do - V1c]]),"")</f>
        <v>2.6666666666666665</v>
      </c>
      <c r="FC211" s="14">
        <v>4</v>
      </c>
      <c r="FD211" s="14">
        <v>2</v>
      </c>
      <c r="FE211" s="14">
        <f>IFERROR(AVERAGE(Tabel1[[#This Row],[Do - V2a]:[Do - V2b]]),"")</f>
        <v>3</v>
      </c>
      <c r="FF211" s="14">
        <v>3</v>
      </c>
      <c r="FG211" s="14">
        <f>IFERROR(AVERAGE(Tabel1[[#This Row],[Do - V3a]:[Do - V3a]]),"")</f>
        <v>3</v>
      </c>
      <c r="FH211" s="14" t="s">
        <v>189</v>
      </c>
      <c r="FI211" s="14">
        <f>IFERROR(AVERAGE(Tabel1[[#This Row],[Do - V1]],Tabel1[[#This Row],[Do - V2]],Tabel1[[#This Row],[Do - V3]],Tabel1[[#This Row],[Do - V4]]),"")</f>
        <v>2.8888888888888888</v>
      </c>
      <c r="FJ211" s="14">
        <v>3</v>
      </c>
      <c r="FK211" s="14">
        <v>2</v>
      </c>
      <c r="FL211" s="14">
        <v>4</v>
      </c>
      <c r="FM211" s="14">
        <f>IFERROR(AVERAGE(Tabel1[[#This Row],[Do - A1a]:[Do - A1c]]),"")</f>
        <v>3</v>
      </c>
      <c r="FN211" s="14" t="s">
        <v>189</v>
      </c>
      <c r="FO211" s="14">
        <v>4</v>
      </c>
      <c r="FP211" s="14">
        <f>IFERROR(AVERAGE(Tabel1[[#This Row],[Do - A2a]:[Do - A2b]]),"")</f>
        <v>4</v>
      </c>
      <c r="FQ211" s="14">
        <v>3</v>
      </c>
      <c r="FR211" s="14">
        <f>IFERROR(AVERAGE(Tabel1[[#This Row],[Do - A3a]:[Do - A3a]]),"")</f>
        <v>3</v>
      </c>
      <c r="FS211" s="14" t="s">
        <v>189</v>
      </c>
      <c r="FT211" s="14">
        <f>IFERROR(AVERAGE(Tabel1[[#This Row],[Do - A1]],Tabel1[[#This Row],[Do - A2]],Tabel1[[#This Row],[Do - A3]],Tabel1[[#This Row],[Do - A4]]),"")</f>
        <v>3.3333333333333335</v>
      </c>
      <c r="FU21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3.4499999999999997</v>
      </c>
      <c r="FV211" s="16" t="s">
        <v>1155</v>
      </c>
      <c r="FW211" t="b">
        <v>1</v>
      </c>
    </row>
    <row r="212" spans="1:179" x14ac:dyDescent="0.3">
      <c r="A212" s="13">
        <v>45272.758888888886</v>
      </c>
      <c r="B212" t="b">
        <v>0</v>
      </c>
      <c r="C212" s="14" t="s">
        <v>1156</v>
      </c>
      <c r="D212" s="14" t="s">
        <v>1157</v>
      </c>
      <c r="E212" s="14" t="s">
        <v>1158</v>
      </c>
      <c r="F212" s="14" t="s">
        <v>184</v>
      </c>
      <c r="G212" s="14" t="s">
        <v>1159</v>
      </c>
      <c r="H212" s="14" t="s">
        <v>222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>
        <v>3</v>
      </c>
      <c r="Z212" s="14">
        <v>1</v>
      </c>
      <c r="AA212" s="14">
        <v>2</v>
      </c>
      <c r="AB212" s="15">
        <f>IFERROR(AVERAGE(Tabel1[[#This Row],[Up - R1a]:[Up - R1c]]),"")</f>
        <v>2</v>
      </c>
      <c r="AC212" s="14">
        <v>3</v>
      </c>
      <c r="AD212" s="14">
        <v>1</v>
      </c>
      <c r="AE212" s="14">
        <v>3</v>
      </c>
      <c r="AF212" s="14">
        <v>4</v>
      </c>
      <c r="AG212" s="14">
        <f>IFERROR(AVERAGE(Tabel1[[#This Row],[Up - R1]:[Up - R5]]),"")</f>
        <v>2.6</v>
      </c>
      <c r="AH212" s="14" t="s">
        <v>189</v>
      </c>
      <c r="AI212" s="14" t="s">
        <v>189</v>
      </c>
      <c r="AJ212" s="14" t="s">
        <v>189</v>
      </c>
      <c r="AK212" s="14" t="str">
        <f>IFERROR(AVERAGE(Tabel1[[#This Row],[Up - C1a]:[Up - C1c]]),"")</f>
        <v/>
      </c>
      <c r="AL212" s="14" t="s">
        <v>189</v>
      </c>
      <c r="AM212" s="14" t="s">
        <v>189</v>
      </c>
      <c r="AN212" s="14" t="s">
        <v>189</v>
      </c>
      <c r="AO212" s="14" t="str">
        <f>IFERROR(AVERAGE(Tabel1[[#This Row],[Up - C1]:[Up - C4]]),"")</f>
        <v/>
      </c>
      <c r="AP212" s="14" t="s">
        <v>189</v>
      </c>
      <c r="AQ212" s="14" t="str">
        <f>IFERROR(AVERAGE(Tabel1[[#This Row],[Up - F1a]:[Up - F1a]]),"")</f>
        <v/>
      </c>
      <c r="AR212" s="14" t="s">
        <v>189</v>
      </c>
      <c r="AS212" s="14" t="s">
        <v>189</v>
      </c>
      <c r="AT212" s="14" t="str">
        <f>IFERROR(AVERAGE(Tabel1[[#This Row],[Up - F2a]:[Up - F2b]]),"")</f>
        <v/>
      </c>
      <c r="AU212" s="14" t="s">
        <v>189</v>
      </c>
      <c r="AV212" s="14" t="s">
        <v>189</v>
      </c>
      <c r="AW212" s="14" t="str">
        <f>IFERROR(AVERAGE(Tabel1[[#This Row],[Up - F3a]:[Up - F3b]]),"")</f>
        <v/>
      </c>
      <c r="AX212" s="14" t="s">
        <v>189</v>
      </c>
      <c r="AY212" s="14" t="str">
        <f>IFERROR(AVERAGE(Tabel1[[#This Row],[Up - F1]],Tabel1[[#This Row],[Up - F2]],Tabel1[[#This Row],[Up - F3]],Tabel1[[#This Row],[Up - F4]]),"")</f>
        <v/>
      </c>
      <c r="AZ212" s="14" t="s">
        <v>189</v>
      </c>
      <c r="BA212" s="14" t="s">
        <v>189</v>
      </c>
      <c r="BB212" s="14" t="str">
        <f>IFERROR(AVERAGE(Tabel1[[#This Row],[Up - V1a]:[Up - V1b]]),"")</f>
        <v/>
      </c>
      <c r="BC212" s="14" t="s">
        <v>189</v>
      </c>
      <c r="BD212" s="14" t="s">
        <v>189</v>
      </c>
      <c r="BE212" s="14" t="s">
        <v>189</v>
      </c>
      <c r="BF212" s="14" t="str">
        <f>IFERROR(AVERAGE(Tabel1[[#This Row],[Up - V2a]:[Up - V2c]]),"")</f>
        <v/>
      </c>
      <c r="BG212" s="14" t="s">
        <v>189</v>
      </c>
      <c r="BH212" s="14" t="s">
        <v>189</v>
      </c>
      <c r="BI212" s="14" t="str">
        <f>IFERROR(AVERAGE(Tabel1[[#This Row],[Up - V3a]:[Up - V3b]]),"")</f>
        <v/>
      </c>
      <c r="BJ212" s="14" t="s">
        <v>189</v>
      </c>
      <c r="BK212" s="14" t="str">
        <f>IFERROR(AVERAGE(Tabel1[[#This Row],[Up - V1]],Tabel1[[#This Row],[Up - V2]],Tabel1[[#This Row],[Up - V3]],Tabel1[[#This Row],[Up - V4]]),"")</f>
        <v/>
      </c>
      <c r="BL212" s="14" t="s">
        <v>189</v>
      </c>
      <c r="BM212" s="14" t="s">
        <v>189</v>
      </c>
      <c r="BN212" s="14" t="s">
        <v>189</v>
      </c>
      <c r="BO212" s="14" t="s">
        <v>189</v>
      </c>
      <c r="BP212" s="14" t="str">
        <f>IFERROR(AVERAGE(Tabel1[[#This Row],[Up - A1a]:[Up - A1d]]),"")</f>
        <v/>
      </c>
      <c r="BQ212" s="14" t="s">
        <v>189</v>
      </c>
      <c r="BR212" s="14" t="s">
        <v>189</v>
      </c>
      <c r="BS212" s="14" t="str">
        <f>IFERROR(AVERAGE(Tabel1[[#This Row],[Up - A2a]:[Up - A2b]]),"")</f>
        <v/>
      </c>
      <c r="BT212" s="14" t="s">
        <v>189</v>
      </c>
      <c r="BU212" s="14" t="str">
        <f>IFERROR(AVERAGE(Tabel1[[#This Row],[Up - A3a]:[Up - A3a]]),"")</f>
        <v/>
      </c>
      <c r="BV212" s="14" t="s">
        <v>189</v>
      </c>
      <c r="BW212" s="14" t="str">
        <f>IFERROR(AVERAGE(Tabel1[[#This Row],[Up - A1]],Tabel1[[#This Row],[Up - A2]],Tabel1[[#This Row],[Up - A3]]),"")</f>
        <v/>
      </c>
      <c r="BX212" s="14">
        <v>3</v>
      </c>
      <c r="BY212" s="14">
        <v>2</v>
      </c>
      <c r="BZ212" s="14">
        <f>IFERROR(AVERAGE(Tabel1[[#This Row],[In - R1a]:[In - R1b]]),"")</f>
        <v>2.5</v>
      </c>
      <c r="CA212" s="14">
        <v>3</v>
      </c>
      <c r="CB212" s="14" t="s">
        <v>189</v>
      </c>
      <c r="CC212" s="14">
        <v>4</v>
      </c>
      <c r="CD212" s="14">
        <v>4</v>
      </c>
      <c r="CE212" s="14">
        <f>IFERROR(AVERAGE(Tabel1[[#This Row],[In - R1]:[In - R5]]),"")</f>
        <v>3.375</v>
      </c>
      <c r="CF212" s="14" t="s">
        <v>189</v>
      </c>
      <c r="CG212" s="14" t="s">
        <v>189</v>
      </c>
      <c r="CH212" s="14" t="s">
        <v>189</v>
      </c>
      <c r="CI212" s="14" t="str">
        <f>IFERROR(AVERAGE(Tabel1[[#This Row],[In - C1a]:[In - C1c]]),"")</f>
        <v/>
      </c>
      <c r="CJ212" s="14" t="s">
        <v>189</v>
      </c>
      <c r="CK212" s="14" t="s">
        <v>189</v>
      </c>
      <c r="CL212" s="14" t="s">
        <v>189</v>
      </c>
      <c r="CM212" s="14" t="str">
        <f>IFERROR(AVERAGE(Tabel1[[#This Row],[In - C1]:[In - C4]]),"")</f>
        <v/>
      </c>
      <c r="CN212" s="14" t="s">
        <v>189</v>
      </c>
      <c r="CO212" s="14" t="s">
        <v>189</v>
      </c>
      <c r="CP212" s="14" t="s">
        <v>189</v>
      </c>
      <c r="CQ212" s="14" t="str">
        <f>IFERROR(AVERAGE(Tabel1[[#This Row],[In - F1a]:[In - F1c]]),"")</f>
        <v/>
      </c>
      <c r="CR212" s="14" t="s">
        <v>189</v>
      </c>
      <c r="CS212" s="14" t="s">
        <v>189</v>
      </c>
      <c r="CT212" s="14" t="str">
        <f>IFERROR(AVERAGE(Tabel1[[#This Row],[In - F2a]:[In - F2b]]),"")</f>
        <v/>
      </c>
      <c r="CU212" s="14" t="s">
        <v>189</v>
      </c>
      <c r="CV212" s="14" t="str">
        <f>IFERROR(AVERAGE(Tabel1[[#This Row],[In - F3a]:[In - F3a]]),"")</f>
        <v/>
      </c>
      <c r="CW212" s="14" t="s">
        <v>189</v>
      </c>
      <c r="CX212" s="14" t="str">
        <f>IFERROR(AVERAGE(Tabel1[[#This Row],[In - F1]],Tabel1[[#This Row],[In - F2]],Tabel1[[#This Row],[In - F3]],Tabel1[[#This Row],[In - F4]]),"")</f>
        <v/>
      </c>
      <c r="CY212" s="14" t="s">
        <v>189</v>
      </c>
      <c r="CZ212" s="14" t="s">
        <v>189</v>
      </c>
      <c r="DA212" s="14" t="s">
        <v>189</v>
      </c>
      <c r="DB212" s="14" t="str">
        <f>IFERROR(AVERAGE(Tabel1[[#This Row],[In - V1a]:[In - V1c]]),"")</f>
        <v/>
      </c>
      <c r="DC212" s="14" t="s">
        <v>189</v>
      </c>
      <c r="DD212" s="14" t="s">
        <v>189</v>
      </c>
      <c r="DE212" s="14" t="s">
        <v>189</v>
      </c>
      <c r="DF212" s="14" t="str">
        <f>IFERROR(AVERAGE(Tabel1[[#This Row],[In - V2a]:[In - V2c]]),"")</f>
        <v/>
      </c>
      <c r="DG212" s="14" t="s">
        <v>189</v>
      </c>
      <c r="DH212" s="14" t="s">
        <v>189</v>
      </c>
      <c r="DI212" s="14" t="str">
        <f>IFERROR(AVERAGE(Tabel1[[#This Row],[In - V3a]:[In - V3b]]),"")</f>
        <v/>
      </c>
      <c r="DJ212" s="14" t="s">
        <v>189</v>
      </c>
      <c r="DK212" s="14" t="str">
        <f>IFERROR(AVERAGE(Tabel1[[#This Row],[In - V1]],Tabel1[[#This Row],[In - V2]],Tabel1[[#This Row],[In - V3]],Tabel1[[#This Row],[In - V4]]),"")</f>
        <v/>
      </c>
      <c r="DL212" s="14" t="s">
        <v>189</v>
      </c>
      <c r="DM212" s="14" t="s">
        <v>189</v>
      </c>
      <c r="DN212" s="14" t="str">
        <f>IFERROR(AVERAGE(Tabel1[[#This Row],[In - A1a]:[In - A1b]]),"")</f>
        <v/>
      </c>
      <c r="DO212" s="14" t="s">
        <v>189</v>
      </c>
      <c r="DP212" s="14" t="s">
        <v>189</v>
      </c>
      <c r="DQ212" s="14" t="str">
        <f>IFERROR(AVERAGE(Tabel1[[#This Row],[In - A2a]:[In - A2b]]),"")</f>
        <v/>
      </c>
      <c r="DR212" s="14" t="s">
        <v>189</v>
      </c>
      <c r="DS212" s="14" t="s">
        <v>189</v>
      </c>
      <c r="DT212" s="14" t="str">
        <f>IFERROR(AVERAGE(Tabel1[[#This Row],[In - A3a]:[In - A3a]]),"")</f>
        <v/>
      </c>
      <c r="DU212" s="14" t="s">
        <v>189</v>
      </c>
      <c r="DV212" s="14" t="str">
        <f>IFERROR(AVERAGE(Tabel1[[#This Row],[In - A1]],Tabel1[[#This Row],[In - A2]],Tabel1[[#This Row],[In - A3]],Tabel1[[#This Row],[In - A4]]),"")</f>
        <v/>
      </c>
      <c r="DW212" s="14">
        <v>2</v>
      </c>
      <c r="DX212" s="14">
        <v>3</v>
      </c>
      <c r="DY212" s="14">
        <v>3</v>
      </c>
      <c r="DZ212" s="14">
        <f>IFERROR(AVERAGE(Tabel1[[#This Row],[Do - R1a]:[Do - R1c]]),"")</f>
        <v>2.6666666666666665</v>
      </c>
      <c r="EA212" s="14">
        <v>3</v>
      </c>
      <c r="EB212" s="14">
        <v>4</v>
      </c>
      <c r="EC212" s="14">
        <v>2</v>
      </c>
      <c r="ED212" s="14">
        <v>1</v>
      </c>
      <c r="EE212" s="14">
        <f>IFERROR(AVERAGE(Tabel1[[#This Row],[Do - R1]:[Do - R5]]),"")</f>
        <v>2.5333333333333332</v>
      </c>
      <c r="EF212" s="14" t="s">
        <v>189</v>
      </c>
      <c r="EG212" s="14" t="s">
        <v>189</v>
      </c>
      <c r="EH212" s="14" t="s">
        <v>189</v>
      </c>
      <c r="EI212" s="14" t="str">
        <f>IFERROR(AVERAGE(Tabel1[[#This Row],[Do - C1a]:[Do - C1c]]),"")</f>
        <v/>
      </c>
      <c r="EJ212" s="14" t="s">
        <v>189</v>
      </c>
      <c r="EK212" s="14" t="s">
        <v>189</v>
      </c>
      <c r="EL212" s="14" t="s">
        <v>189</v>
      </c>
      <c r="EM212" s="14" t="str">
        <f>IFERROR(AVERAGE(Tabel1[[#This Row],[Do - C1]:[Do - C4]]),"")</f>
        <v/>
      </c>
      <c r="EN212" s="14" t="s">
        <v>189</v>
      </c>
      <c r="EO212" s="14" t="s">
        <v>189</v>
      </c>
      <c r="EP212" s="14" t="s">
        <v>189</v>
      </c>
      <c r="EQ212" s="14" t="str">
        <f>IFERROR(AVERAGE(Tabel1[[#This Row],[Do - F1a]:[Do - F1c]]),"")</f>
        <v/>
      </c>
      <c r="ER212" s="14" t="s">
        <v>189</v>
      </c>
      <c r="ES212" s="14" t="str">
        <f>IFERROR(AVERAGE(Tabel1[[#This Row],[Do - F2a]:[Do - F2a]]),"")</f>
        <v/>
      </c>
      <c r="ET212" s="14" t="s">
        <v>189</v>
      </c>
      <c r="EU212" s="14" t="s">
        <v>189</v>
      </c>
      <c r="EV212" s="14" t="str">
        <f>IFERROR(AVERAGE(Tabel1[[#This Row],[Do - F3a]:[Do - F3b]]),"")</f>
        <v/>
      </c>
      <c r="EW212" s="14" t="s">
        <v>189</v>
      </c>
      <c r="EX212" s="14" t="str">
        <f>IFERROR(AVERAGE(Tabel1[[#This Row],[Do - F1]],Tabel1[[#This Row],[Do - F2]],Tabel1[[#This Row],[Do - F3]],Tabel1[[#This Row],[Do - F4]]),"")</f>
        <v/>
      </c>
      <c r="EY212" s="14" t="s">
        <v>189</v>
      </c>
      <c r="EZ212" s="14" t="s">
        <v>189</v>
      </c>
      <c r="FA212" s="14" t="s">
        <v>189</v>
      </c>
      <c r="FB212" s="14" t="str">
        <f>IFERROR(AVERAGE(Tabel1[[#This Row],[Do - V1a]:[Do - V1c]]),"")</f>
        <v/>
      </c>
      <c r="FC212" s="14" t="s">
        <v>189</v>
      </c>
      <c r="FD212" s="14" t="s">
        <v>189</v>
      </c>
      <c r="FE212" s="14" t="str">
        <f>IFERROR(AVERAGE(Tabel1[[#This Row],[Do - V2a]:[Do - V2b]]),"")</f>
        <v/>
      </c>
      <c r="FF212" s="14" t="s">
        <v>189</v>
      </c>
      <c r="FG212" s="14" t="str">
        <f>IFERROR(AVERAGE(Tabel1[[#This Row],[Do - V3a]:[Do - V3a]]),"")</f>
        <v/>
      </c>
      <c r="FH212" s="14" t="s">
        <v>189</v>
      </c>
      <c r="FI212" s="14" t="str">
        <f>IFERROR(AVERAGE(Tabel1[[#This Row],[Do - V1]],Tabel1[[#This Row],[Do - V2]],Tabel1[[#This Row],[Do - V3]],Tabel1[[#This Row],[Do - V4]]),"")</f>
        <v/>
      </c>
      <c r="FJ212" s="14" t="s">
        <v>189</v>
      </c>
      <c r="FK212" s="14" t="s">
        <v>189</v>
      </c>
      <c r="FL212" s="14" t="s">
        <v>189</v>
      </c>
      <c r="FM212" s="14" t="str">
        <f>IFERROR(AVERAGE(Tabel1[[#This Row],[Do - A1a]:[Do - A1c]]),"")</f>
        <v/>
      </c>
      <c r="FN212" s="14" t="s">
        <v>189</v>
      </c>
      <c r="FO212" s="14" t="s">
        <v>189</v>
      </c>
      <c r="FP212" s="14" t="str">
        <f>IFERROR(AVERAGE(Tabel1[[#This Row],[Do - A2a]:[Do - A2b]]),"")</f>
        <v/>
      </c>
      <c r="FQ212" s="14" t="s">
        <v>189</v>
      </c>
      <c r="FR212" s="14" t="str">
        <f>IFERROR(AVERAGE(Tabel1[[#This Row],[Do - A3a]:[Do - A3a]]),"")</f>
        <v/>
      </c>
      <c r="FS212" s="14" t="s">
        <v>189</v>
      </c>
      <c r="FT212" s="14" t="str">
        <f>IFERROR(AVERAGE(Tabel1[[#This Row],[Do - A1]],Tabel1[[#This Row],[Do - A2]],Tabel1[[#This Row],[Do - A3]],Tabel1[[#This Row],[Do - A4]]),"")</f>
        <v/>
      </c>
      <c r="FU21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2.8361111111111108</v>
      </c>
      <c r="FV212" s="16" t="s">
        <v>1160</v>
      </c>
      <c r="FW212" t="b">
        <v>1</v>
      </c>
    </row>
    <row r="213" spans="1:179" x14ac:dyDescent="0.3">
      <c r="A213" s="13">
        <v>45274.44458333333</v>
      </c>
      <c r="B213" t="b">
        <v>0</v>
      </c>
      <c r="C213" s="14" t="s">
        <v>1161</v>
      </c>
      <c r="D213" s="14" t="s">
        <v>1162</v>
      </c>
      <c r="E213" s="14" t="s">
        <v>1152</v>
      </c>
      <c r="F213" s="14" t="s">
        <v>184</v>
      </c>
      <c r="G213" s="14" t="s">
        <v>1163</v>
      </c>
      <c r="H213" s="14" t="s">
        <v>222</v>
      </c>
      <c r="I213" s="14" t="s">
        <v>195</v>
      </c>
      <c r="J213" s="14" t="s">
        <v>533</v>
      </c>
      <c r="K213" s="14" t="s">
        <v>201</v>
      </c>
      <c r="L213" s="14" t="s">
        <v>385</v>
      </c>
      <c r="M213" s="14" t="s">
        <v>198</v>
      </c>
      <c r="N213" s="14" t="s">
        <v>199</v>
      </c>
      <c r="O213" s="14" t="s">
        <v>256</v>
      </c>
      <c r="P213" s="14" t="s">
        <v>203</v>
      </c>
      <c r="Q213" s="14" t="s">
        <v>203</v>
      </c>
      <c r="R213" s="14" t="s">
        <v>201</v>
      </c>
      <c r="S213" s="14" t="s">
        <v>187</v>
      </c>
      <c r="T213" s="14" t="s">
        <v>236</v>
      </c>
      <c r="U213" s="14" t="s">
        <v>285</v>
      </c>
      <c r="V213" s="14" t="s">
        <v>224</v>
      </c>
      <c r="W213" s="14" t="s">
        <v>207</v>
      </c>
      <c r="X213" s="14" t="s">
        <v>207</v>
      </c>
      <c r="Y213" s="14">
        <v>3</v>
      </c>
      <c r="Z213" s="14">
        <v>2</v>
      </c>
      <c r="AA213" s="14">
        <v>4</v>
      </c>
      <c r="AB213" s="15">
        <f>IFERROR(AVERAGE(Tabel1[[#This Row],[Up - R1a]:[Up - R1c]]),"")</f>
        <v>3</v>
      </c>
      <c r="AC213" s="14">
        <v>4</v>
      </c>
      <c r="AD213" s="14">
        <v>3</v>
      </c>
      <c r="AE213" s="14">
        <v>2</v>
      </c>
      <c r="AF213" s="14">
        <v>4</v>
      </c>
      <c r="AG213" s="14">
        <f>IFERROR(AVERAGE(Tabel1[[#This Row],[Up - R1]:[Up - R5]]),"")</f>
        <v>3.2</v>
      </c>
      <c r="AH213" s="14">
        <v>5</v>
      </c>
      <c r="AI213" s="14">
        <v>4</v>
      </c>
      <c r="AJ213" s="14">
        <v>5</v>
      </c>
      <c r="AK213" s="14">
        <f>IFERROR(AVERAGE(Tabel1[[#This Row],[Up - C1a]:[Up - C1c]]),"")</f>
        <v>4.666666666666667</v>
      </c>
      <c r="AL213" s="14">
        <v>5</v>
      </c>
      <c r="AM213" s="14">
        <v>1</v>
      </c>
      <c r="AN213" s="14">
        <v>5</v>
      </c>
      <c r="AO213" s="14">
        <f>IFERROR(AVERAGE(Tabel1[[#This Row],[Up - C1]:[Up - C4]]),"")</f>
        <v>3.916666666666667</v>
      </c>
      <c r="AP213" s="14">
        <v>2</v>
      </c>
      <c r="AQ213" s="14">
        <f>IFERROR(AVERAGE(Tabel1[[#This Row],[Up - F1a]:[Up - F1a]]),"")</f>
        <v>2</v>
      </c>
      <c r="AR213" s="14">
        <v>1</v>
      </c>
      <c r="AS213" s="14">
        <v>3</v>
      </c>
      <c r="AT213" s="14">
        <f>IFERROR(AVERAGE(Tabel1[[#This Row],[Up - F2a]:[Up - F2b]]),"")</f>
        <v>2</v>
      </c>
      <c r="AU213" s="14">
        <v>3</v>
      </c>
      <c r="AV213" s="14">
        <v>5</v>
      </c>
      <c r="AW213" s="14">
        <f>IFERROR(AVERAGE(Tabel1[[#This Row],[Up - F3a]:[Up - F3b]]),"")</f>
        <v>4</v>
      </c>
      <c r="AX213" s="14">
        <v>5</v>
      </c>
      <c r="AY213" s="14">
        <f>IFERROR(AVERAGE(Tabel1[[#This Row],[Up - F1]],Tabel1[[#This Row],[Up - F2]],Tabel1[[#This Row],[Up - F3]],Tabel1[[#This Row],[Up - F4]]),"")</f>
        <v>3.25</v>
      </c>
      <c r="AZ213" s="14">
        <v>1</v>
      </c>
      <c r="BA213" s="14">
        <v>5</v>
      </c>
      <c r="BB213" s="14">
        <f>IFERROR(AVERAGE(Tabel1[[#This Row],[Up - V1a]:[Up - V1b]]),"")</f>
        <v>3</v>
      </c>
      <c r="BC213" s="14">
        <v>5</v>
      </c>
      <c r="BD213" s="14">
        <v>1</v>
      </c>
      <c r="BE213" s="14">
        <v>5</v>
      </c>
      <c r="BF213" s="14">
        <f>IFERROR(AVERAGE(Tabel1[[#This Row],[Up - V2a]:[Up - V2c]]),"")</f>
        <v>3.6666666666666665</v>
      </c>
      <c r="BG213" s="14">
        <v>1</v>
      </c>
      <c r="BH213" s="14">
        <v>1</v>
      </c>
      <c r="BI213" s="14">
        <f>IFERROR(AVERAGE(Tabel1[[#This Row],[Up - V3a]:[Up - V3b]]),"")</f>
        <v>1</v>
      </c>
      <c r="BJ213" s="14">
        <v>1</v>
      </c>
      <c r="BK213" s="14">
        <f>IFERROR(AVERAGE(Tabel1[[#This Row],[Up - V1]],Tabel1[[#This Row],[Up - V2]],Tabel1[[#This Row],[Up - V3]],Tabel1[[#This Row],[Up - V4]]),"")</f>
        <v>2.1666666666666665</v>
      </c>
      <c r="BL213" s="14">
        <v>5</v>
      </c>
      <c r="BM213" s="14">
        <v>5</v>
      </c>
      <c r="BN213" s="14">
        <v>5</v>
      </c>
      <c r="BO213" s="14">
        <v>5</v>
      </c>
      <c r="BP213" s="14">
        <f>IFERROR(AVERAGE(Tabel1[[#This Row],[Up - A1a]:[Up - A1d]]),"")</f>
        <v>5</v>
      </c>
      <c r="BQ213" s="14">
        <v>5</v>
      </c>
      <c r="BR213" s="14">
        <v>2</v>
      </c>
      <c r="BS213" s="14">
        <f>IFERROR(AVERAGE(Tabel1[[#This Row],[Up - A2a]:[Up - A2b]]),"")</f>
        <v>3.5</v>
      </c>
      <c r="BT213" s="14">
        <v>5</v>
      </c>
      <c r="BU213" s="14">
        <f>IFERROR(AVERAGE(Tabel1[[#This Row],[Up - A3a]:[Up - A3a]]),"")</f>
        <v>5</v>
      </c>
      <c r="BV213" s="14">
        <v>5</v>
      </c>
      <c r="BW213" s="14">
        <f>IFERROR(AVERAGE(Tabel1[[#This Row],[Up - A1]],Tabel1[[#This Row],[Up - A2]],Tabel1[[#This Row],[Up - A3]]),"")</f>
        <v>4.5</v>
      </c>
      <c r="BX213" s="14">
        <v>1</v>
      </c>
      <c r="BY213" s="14">
        <v>1</v>
      </c>
      <c r="BZ213" s="14">
        <f>IFERROR(AVERAGE(Tabel1[[#This Row],[In - R1a]:[In - R1b]]),"")</f>
        <v>1</v>
      </c>
      <c r="CA213" s="14">
        <v>4</v>
      </c>
      <c r="CB213" s="14">
        <v>1</v>
      </c>
      <c r="CC213" s="14">
        <v>2</v>
      </c>
      <c r="CD213" s="14">
        <v>4</v>
      </c>
      <c r="CE213" s="14">
        <f>IFERROR(AVERAGE(Tabel1[[#This Row],[In - R1]:[In - R5]]),"")</f>
        <v>2.4</v>
      </c>
      <c r="CF213" s="14">
        <v>4</v>
      </c>
      <c r="CG213" s="14">
        <v>4</v>
      </c>
      <c r="CH213" s="14">
        <v>5</v>
      </c>
      <c r="CI213" s="14">
        <f>IFERROR(AVERAGE(Tabel1[[#This Row],[In - C1a]:[In - C1c]]),"")</f>
        <v>4.333333333333333</v>
      </c>
      <c r="CJ213" s="14">
        <v>4</v>
      </c>
      <c r="CK213" s="14">
        <v>3</v>
      </c>
      <c r="CL213" s="14">
        <v>3</v>
      </c>
      <c r="CM213" s="14">
        <f>IFERROR(AVERAGE(Tabel1[[#This Row],[In - C1]:[In - C4]]),"")</f>
        <v>3.583333333333333</v>
      </c>
      <c r="CN213" s="14">
        <v>1</v>
      </c>
      <c r="CO213" s="14">
        <v>4</v>
      </c>
      <c r="CP213" s="14">
        <v>1</v>
      </c>
      <c r="CQ213" s="14">
        <f>IFERROR(AVERAGE(Tabel1[[#This Row],[In - F1a]:[In - F1c]]),"")</f>
        <v>2</v>
      </c>
      <c r="CR213" s="14">
        <v>5</v>
      </c>
      <c r="CS213" s="14">
        <v>3</v>
      </c>
      <c r="CT213" s="14">
        <f>IFERROR(AVERAGE(Tabel1[[#This Row],[In - F2a]:[In - F2b]]),"")</f>
        <v>4</v>
      </c>
      <c r="CU213" s="14">
        <v>3</v>
      </c>
      <c r="CV213" s="14">
        <f>IFERROR(AVERAGE(Tabel1[[#This Row],[In - F3a]:[In - F3a]]),"")</f>
        <v>3</v>
      </c>
      <c r="CW213" s="14">
        <v>5</v>
      </c>
      <c r="CX213" s="14">
        <f>IFERROR(AVERAGE(Tabel1[[#This Row],[In - F1]],Tabel1[[#This Row],[In - F2]],Tabel1[[#This Row],[In - F3]],Tabel1[[#This Row],[In - F4]]),"")</f>
        <v>3.5</v>
      </c>
      <c r="CY213" s="14">
        <v>4</v>
      </c>
      <c r="CZ213" s="14">
        <v>4</v>
      </c>
      <c r="DA213" s="14">
        <v>3</v>
      </c>
      <c r="DB213" s="14">
        <f>IFERROR(AVERAGE(Tabel1[[#This Row],[In - V1a]:[In - V1c]]),"")</f>
        <v>3.6666666666666665</v>
      </c>
      <c r="DC213" s="14">
        <v>2</v>
      </c>
      <c r="DD213" s="14">
        <v>2</v>
      </c>
      <c r="DE213" s="14">
        <v>5</v>
      </c>
      <c r="DF213" s="14">
        <f>IFERROR(AVERAGE(Tabel1[[#This Row],[In - V2a]:[In - V2c]]),"")</f>
        <v>3</v>
      </c>
      <c r="DG213" s="14">
        <v>2</v>
      </c>
      <c r="DH213" s="14">
        <v>3</v>
      </c>
      <c r="DI213" s="14">
        <f>IFERROR(AVERAGE(Tabel1[[#This Row],[In - V3a]:[In - V3b]]),"")</f>
        <v>2.5</v>
      </c>
      <c r="DJ213" s="14">
        <v>1</v>
      </c>
      <c r="DK213" s="14">
        <f>IFERROR(AVERAGE(Tabel1[[#This Row],[In - V1]],Tabel1[[#This Row],[In - V2]],Tabel1[[#This Row],[In - V3]],Tabel1[[#This Row],[In - V4]]),"")</f>
        <v>2.5416666666666665</v>
      </c>
      <c r="DL213" s="14">
        <v>5</v>
      </c>
      <c r="DM213" s="14">
        <v>4</v>
      </c>
      <c r="DN213" s="14">
        <f>IFERROR(AVERAGE(Tabel1[[#This Row],[In - A1a]:[In - A1b]]),"")</f>
        <v>4.5</v>
      </c>
      <c r="DO213" s="14">
        <v>5</v>
      </c>
      <c r="DP213" s="14">
        <v>3</v>
      </c>
      <c r="DQ213" s="14">
        <f>IFERROR(AVERAGE(Tabel1[[#This Row],[In - A2a]:[In - A2b]]),"")</f>
        <v>4</v>
      </c>
      <c r="DR213" s="14">
        <v>5</v>
      </c>
      <c r="DS213" s="14">
        <v>3</v>
      </c>
      <c r="DT213" s="14">
        <f>IFERROR(AVERAGE(Tabel1[[#This Row],[In - A3a]:[In - A3a]]),"")</f>
        <v>5</v>
      </c>
      <c r="DU213" s="14">
        <v>5</v>
      </c>
      <c r="DV213" s="14">
        <f>IFERROR(AVERAGE(Tabel1[[#This Row],[In - A1]],Tabel1[[#This Row],[In - A2]],Tabel1[[#This Row],[In - A3]],Tabel1[[#This Row],[In - A4]]),"")</f>
        <v>4.625</v>
      </c>
      <c r="DW213" s="14">
        <v>3</v>
      </c>
      <c r="DX213" s="14">
        <v>5</v>
      </c>
      <c r="DY213" s="14">
        <v>1</v>
      </c>
      <c r="DZ213" s="14">
        <f>IFERROR(AVERAGE(Tabel1[[#This Row],[Do - R1a]:[Do - R1c]]),"")</f>
        <v>3</v>
      </c>
      <c r="EA213" s="14">
        <v>1</v>
      </c>
      <c r="EB213" s="14">
        <v>1</v>
      </c>
      <c r="EC213" s="14">
        <v>1</v>
      </c>
      <c r="ED213" s="14">
        <v>4</v>
      </c>
      <c r="EE213" s="14">
        <f>IFERROR(AVERAGE(Tabel1[[#This Row],[Do - R1]:[Do - R5]]),"")</f>
        <v>2</v>
      </c>
      <c r="EF213" s="14">
        <v>5</v>
      </c>
      <c r="EG213" s="14" t="s">
        <v>189</v>
      </c>
      <c r="EH213" s="14">
        <v>5</v>
      </c>
      <c r="EI213" s="14">
        <f>IFERROR(AVERAGE(Tabel1[[#This Row],[Do - C1a]:[Do - C1c]]),"")</f>
        <v>5</v>
      </c>
      <c r="EJ213" s="14">
        <v>4</v>
      </c>
      <c r="EK213" s="14" t="s">
        <v>189</v>
      </c>
      <c r="EL213" s="14" t="s">
        <v>189</v>
      </c>
      <c r="EM213" s="14">
        <f>IFERROR(AVERAGE(Tabel1[[#This Row],[Do - C1]:[Do - C4]]),"")</f>
        <v>4.5</v>
      </c>
      <c r="EN213" s="14">
        <v>4</v>
      </c>
      <c r="EO213" s="14">
        <v>5</v>
      </c>
      <c r="EP213" s="14">
        <v>5</v>
      </c>
      <c r="EQ213" s="14">
        <f>IFERROR(AVERAGE(Tabel1[[#This Row],[Do - F1a]:[Do - F1c]]),"")</f>
        <v>4.666666666666667</v>
      </c>
      <c r="ER213" s="14">
        <v>1</v>
      </c>
      <c r="ES213" s="14">
        <f>IFERROR(AVERAGE(Tabel1[[#This Row],[Do - F2a]:[Do - F2a]]),"")</f>
        <v>1</v>
      </c>
      <c r="ET213" s="14">
        <v>1</v>
      </c>
      <c r="EU213" s="14">
        <v>3</v>
      </c>
      <c r="EV213" s="14">
        <f>IFERROR(AVERAGE(Tabel1[[#This Row],[Do - F3a]:[Do - F3b]]),"")</f>
        <v>2</v>
      </c>
      <c r="EW213" s="14">
        <v>5</v>
      </c>
      <c r="EX213" s="14">
        <f>IFERROR(AVERAGE(Tabel1[[#This Row],[Do - F1]],Tabel1[[#This Row],[Do - F2]],Tabel1[[#This Row],[Do - F3]],Tabel1[[#This Row],[Do - F4]]),"")</f>
        <v>3.166666666666667</v>
      </c>
      <c r="EY213" s="14">
        <v>3</v>
      </c>
      <c r="EZ213" s="14" t="s">
        <v>189</v>
      </c>
      <c r="FA213" s="14">
        <v>4</v>
      </c>
      <c r="FB213" s="14">
        <f>IFERROR(AVERAGE(Tabel1[[#This Row],[Do - V1a]:[Do - V1c]]),"")</f>
        <v>3.5</v>
      </c>
      <c r="FC213" s="14">
        <v>5</v>
      </c>
      <c r="FD213" s="14">
        <v>3</v>
      </c>
      <c r="FE213" s="14">
        <f>IFERROR(AVERAGE(Tabel1[[#This Row],[Do - V2a]:[Do - V2b]]),"")</f>
        <v>4</v>
      </c>
      <c r="FF213" s="14">
        <v>5</v>
      </c>
      <c r="FG213" s="14">
        <f>IFERROR(AVERAGE(Tabel1[[#This Row],[Do - V3a]:[Do - V3a]]),"")</f>
        <v>5</v>
      </c>
      <c r="FH213" s="14" t="s">
        <v>189</v>
      </c>
      <c r="FI213" s="14">
        <f>IFERROR(AVERAGE(Tabel1[[#This Row],[Do - V1]],Tabel1[[#This Row],[Do - V2]],Tabel1[[#This Row],[Do - V3]],Tabel1[[#This Row],[Do - V4]]),"")</f>
        <v>4.166666666666667</v>
      </c>
      <c r="FJ213" s="14">
        <v>5</v>
      </c>
      <c r="FK213" s="14">
        <v>1</v>
      </c>
      <c r="FL213" s="14" t="s">
        <v>189</v>
      </c>
      <c r="FM213" s="14">
        <f>IFERROR(AVERAGE(Tabel1[[#This Row],[Do - A1a]:[Do - A1c]]),"")</f>
        <v>3</v>
      </c>
      <c r="FN213" s="14" t="s">
        <v>189</v>
      </c>
      <c r="FO213" s="14" t="s">
        <v>189</v>
      </c>
      <c r="FP213" s="14" t="str">
        <f>IFERROR(AVERAGE(Tabel1[[#This Row],[Do - A2a]:[Do - A2b]]),"")</f>
        <v/>
      </c>
      <c r="FQ213" s="14" t="s">
        <v>189</v>
      </c>
      <c r="FR213" s="14" t="str">
        <f>IFERROR(AVERAGE(Tabel1[[#This Row],[Do - A3a]:[Do - A3a]]),"")</f>
        <v/>
      </c>
      <c r="FS213" s="14">
        <v>5</v>
      </c>
      <c r="FT213" s="14">
        <f>IFERROR(AVERAGE(Tabel1[[#This Row],[Do - A1]],Tabel1[[#This Row],[Do - A2]],Tabel1[[#This Row],[Do - A3]],Tabel1[[#This Row],[Do - A4]]),"")</f>
        <v>4</v>
      </c>
      <c r="FU21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3.434444444444444</v>
      </c>
      <c r="FV213" s="16" t="s">
        <v>1164</v>
      </c>
      <c r="FW213" t="b">
        <v>1</v>
      </c>
    </row>
    <row r="214" spans="1:179" x14ac:dyDescent="0.3">
      <c r="A214" s="13">
        <v>45288.454305555555</v>
      </c>
      <c r="B214" t="b">
        <v>0</v>
      </c>
      <c r="C214" s="14" t="s">
        <v>1165</v>
      </c>
      <c r="D214" s="14" t="s">
        <v>1166</v>
      </c>
      <c r="E214" s="14" t="s">
        <v>1167</v>
      </c>
      <c r="F214" s="14" t="s">
        <v>184</v>
      </c>
      <c r="G214" s="14" t="s">
        <v>1168</v>
      </c>
      <c r="H214" s="14" t="s">
        <v>222</v>
      </c>
      <c r="I214" s="14" t="s">
        <v>385</v>
      </c>
      <c r="J214" s="14"/>
      <c r="K214" s="14" t="s">
        <v>202</v>
      </c>
      <c r="L214" s="14" t="s">
        <v>197</v>
      </c>
      <c r="M214" s="14" t="s">
        <v>188</v>
      </c>
      <c r="N214" s="14" t="s">
        <v>199</v>
      </c>
      <c r="O214" s="14" t="s">
        <v>200</v>
      </c>
      <c r="P214" s="17" t="s">
        <v>255</v>
      </c>
      <c r="Q214" s="17" t="s">
        <v>304</v>
      </c>
      <c r="R214" s="17" t="s">
        <v>304</v>
      </c>
      <c r="S214" s="14"/>
      <c r="T214" s="14" t="s">
        <v>380</v>
      </c>
      <c r="U214" s="14" t="s">
        <v>285</v>
      </c>
      <c r="V214" s="14" t="s">
        <v>359</v>
      </c>
      <c r="W214" s="14" t="s">
        <v>395</v>
      </c>
      <c r="X214" s="14" t="s">
        <v>395</v>
      </c>
      <c r="Y214" s="14">
        <v>4</v>
      </c>
      <c r="Z214" s="14">
        <v>5</v>
      </c>
      <c r="AA214" s="14">
        <v>5</v>
      </c>
      <c r="AB214" s="15">
        <f>IFERROR(AVERAGE(Tabel1[[#This Row],[Up - R1a]:[Up - R1c]]),"")</f>
        <v>4.666666666666667</v>
      </c>
      <c r="AC214" s="14" t="s">
        <v>189</v>
      </c>
      <c r="AD214" s="14">
        <v>5</v>
      </c>
      <c r="AE214" s="14" t="s">
        <v>189</v>
      </c>
      <c r="AF214" s="14">
        <v>4</v>
      </c>
      <c r="AG214" s="14">
        <f>IFERROR(AVERAGE(Tabel1[[#This Row],[Up - R1]:[Up - R5]]),"")</f>
        <v>4.5555555555555562</v>
      </c>
      <c r="AH214" s="14">
        <v>5</v>
      </c>
      <c r="AI214" s="14">
        <v>4</v>
      </c>
      <c r="AJ214" s="14">
        <v>3</v>
      </c>
      <c r="AK214" s="14">
        <f>IFERROR(AVERAGE(Tabel1[[#This Row],[Up - C1a]:[Up - C1c]]),"")</f>
        <v>4</v>
      </c>
      <c r="AL214" s="14" t="s">
        <v>189</v>
      </c>
      <c r="AM214" s="14" t="s">
        <v>189</v>
      </c>
      <c r="AN214" s="14" t="s">
        <v>189</v>
      </c>
      <c r="AO214" s="14">
        <f>IFERROR(AVERAGE(Tabel1[[#This Row],[Up - C1]:[Up - C4]]),"")</f>
        <v>4</v>
      </c>
      <c r="AP214" s="14">
        <v>4</v>
      </c>
      <c r="AQ214" s="14">
        <f>IFERROR(AVERAGE(Tabel1[[#This Row],[Up - F1a]:[Up - F1a]]),"")</f>
        <v>4</v>
      </c>
      <c r="AR214" s="14">
        <v>5</v>
      </c>
      <c r="AS214" s="14">
        <v>4</v>
      </c>
      <c r="AT214" s="14">
        <f>IFERROR(AVERAGE(Tabel1[[#This Row],[Up - F2a]:[Up - F2b]]),"")</f>
        <v>4.5</v>
      </c>
      <c r="AU214" s="14">
        <v>4</v>
      </c>
      <c r="AV214" s="14">
        <v>5</v>
      </c>
      <c r="AW214" s="14">
        <f>IFERROR(AVERAGE(Tabel1[[#This Row],[Up - F3a]:[Up - F3b]]),"")</f>
        <v>4.5</v>
      </c>
      <c r="AX214" s="14" t="s">
        <v>189</v>
      </c>
      <c r="AY214" s="14">
        <f>IFERROR(AVERAGE(Tabel1[[#This Row],[Up - F1]],Tabel1[[#This Row],[Up - F2]],Tabel1[[#This Row],[Up - F3]],Tabel1[[#This Row],[Up - F4]]),"")</f>
        <v>4.333333333333333</v>
      </c>
      <c r="AZ214" s="14">
        <v>3</v>
      </c>
      <c r="BA214" s="14">
        <v>4</v>
      </c>
      <c r="BB214" s="14">
        <f>IFERROR(AVERAGE(Tabel1[[#This Row],[Up - V1a]:[Up - V1b]]),"")</f>
        <v>3.5</v>
      </c>
      <c r="BC214" s="14">
        <v>3</v>
      </c>
      <c r="BD214" s="14" t="s">
        <v>189</v>
      </c>
      <c r="BE214" s="14" t="s">
        <v>189</v>
      </c>
      <c r="BF214" s="14">
        <f>IFERROR(AVERAGE(Tabel1[[#This Row],[Up - V2a]:[Up - V2c]]),"")</f>
        <v>3</v>
      </c>
      <c r="BG214" s="14" t="s">
        <v>189</v>
      </c>
      <c r="BH214" s="14">
        <v>5</v>
      </c>
      <c r="BI214" s="14">
        <f>IFERROR(AVERAGE(Tabel1[[#This Row],[Up - V3a]:[Up - V3b]]),"")</f>
        <v>5</v>
      </c>
      <c r="BJ214" s="14">
        <v>4</v>
      </c>
      <c r="BK214" s="14">
        <f>IFERROR(AVERAGE(Tabel1[[#This Row],[Up - V1]],Tabel1[[#This Row],[Up - V2]],Tabel1[[#This Row],[Up - V3]],Tabel1[[#This Row],[Up - V4]]),"")</f>
        <v>3.875</v>
      </c>
      <c r="BL214" s="14">
        <v>4</v>
      </c>
      <c r="BM214" s="14">
        <v>4</v>
      </c>
      <c r="BN214" s="14" t="s">
        <v>189</v>
      </c>
      <c r="BO214" s="14">
        <v>3</v>
      </c>
      <c r="BP214" s="14">
        <f>IFERROR(AVERAGE(Tabel1[[#This Row],[Up - A1a]:[Up - A1d]]),"")</f>
        <v>3.6666666666666665</v>
      </c>
      <c r="BQ214" s="14">
        <v>4</v>
      </c>
      <c r="BR214" s="14">
        <v>5</v>
      </c>
      <c r="BS214" s="14">
        <f>IFERROR(AVERAGE(Tabel1[[#This Row],[Up - A2a]:[Up - A2b]]),"")</f>
        <v>4.5</v>
      </c>
      <c r="BT214" s="14">
        <v>4</v>
      </c>
      <c r="BU214" s="14">
        <f>IFERROR(AVERAGE(Tabel1[[#This Row],[Up - A3a]:[Up - A3a]]),"")</f>
        <v>4</v>
      </c>
      <c r="BV214" s="14">
        <v>3</v>
      </c>
      <c r="BW214" s="14">
        <f>IFERROR(AVERAGE(Tabel1[[#This Row],[Up - A1]],Tabel1[[#This Row],[Up - A2]],Tabel1[[#This Row],[Up - A3]]),"")</f>
        <v>4.0555555555555554</v>
      </c>
      <c r="BX214" s="14" t="s">
        <v>189</v>
      </c>
      <c r="BY214" s="14">
        <v>5</v>
      </c>
      <c r="BZ214" s="14">
        <f>IFERROR(AVERAGE(Tabel1[[#This Row],[In - R1a]:[In - R1b]]),"")</f>
        <v>5</v>
      </c>
      <c r="CA214" s="14" t="s">
        <v>189</v>
      </c>
      <c r="CB214" s="14">
        <v>5</v>
      </c>
      <c r="CC214" s="14" t="s">
        <v>189</v>
      </c>
      <c r="CD214" s="14">
        <v>4</v>
      </c>
      <c r="CE214" s="14">
        <f>IFERROR(AVERAGE(Tabel1[[#This Row],[In - R1]:[In - R5]]),"")</f>
        <v>4.666666666666667</v>
      </c>
      <c r="CF214" s="14">
        <v>4</v>
      </c>
      <c r="CG214" s="14">
        <v>5</v>
      </c>
      <c r="CH214" s="14">
        <v>3</v>
      </c>
      <c r="CI214" s="14">
        <f>IFERROR(AVERAGE(Tabel1[[#This Row],[In - C1a]:[In - C1c]]),"")</f>
        <v>4</v>
      </c>
      <c r="CJ214" s="14">
        <v>3</v>
      </c>
      <c r="CK214" s="14">
        <v>3</v>
      </c>
      <c r="CL214" s="14">
        <v>4</v>
      </c>
      <c r="CM214" s="14">
        <f>IFERROR(AVERAGE(Tabel1[[#This Row],[In - C1]:[In - C4]]),"")</f>
        <v>3.5</v>
      </c>
      <c r="CN214" s="14">
        <v>3</v>
      </c>
      <c r="CO214" s="14">
        <v>4</v>
      </c>
      <c r="CP214" s="14" t="s">
        <v>189</v>
      </c>
      <c r="CQ214" s="14">
        <f>IFERROR(AVERAGE(Tabel1[[#This Row],[In - F1a]:[In - F1c]]),"")</f>
        <v>3.5</v>
      </c>
      <c r="CR214" s="14">
        <v>5</v>
      </c>
      <c r="CS214" s="14" t="s">
        <v>189</v>
      </c>
      <c r="CT214" s="14">
        <f>IFERROR(AVERAGE(Tabel1[[#This Row],[In - F2a]:[In - F2b]]),"")</f>
        <v>5</v>
      </c>
      <c r="CU214" s="14" t="s">
        <v>189</v>
      </c>
      <c r="CV214" s="14" t="str">
        <f>IFERROR(AVERAGE(Tabel1[[#This Row],[In - F3a]:[In - F3a]]),"")</f>
        <v/>
      </c>
      <c r="CW214" s="14" t="s">
        <v>189</v>
      </c>
      <c r="CX214" s="14">
        <f>IFERROR(AVERAGE(Tabel1[[#This Row],[In - F1]],Tabel1[[#This Row],[In - F2]],Tabel1[[#This Row],[In - F3]],Tabel1[[#This Row],[In - F4]]),"")</f>
        <v>4.25</v>
      </c>
      <c r="CY214" s="14">
        <v>4</v>
      </c>
      <c r="CZ214" s="14">
        <v>4</v>
      </c>
      <c r="DA214" s="14" t="s">
        <v>189</v>
      </c>
      <c r="DB214" s="14">
        <f>IFERROR(AVERAGE(Tabel1[[#This Row],[In - V1a]:[In - V1c]]),"")</f>
        <v>4</v>
      </c>
      <c r="DC214" s="14">
        <v>4</v>
      </c>
      <c r="DD214" s="14">
        <v>3</v>
      </c>
      <c r="DE214" s="14">
        <v>3</v>
      </c>
      <c r="DF214" s="14">
        <f>IFERROR(AVERAGE(Tabel1[[#This Row],[In - V2a]:[In - V2c]]),"")</f>
        <v>3.3333333333333335</v>
      </c>
      <c r="DG214" s="14">
        <v>3</v>
      </c>
      <c r="DH214" s="14">
        <v>5</v>
      </c>
      <c r="DI214" s="14">
        <f>IFERROR(AVERAGE(Tabel1[[#This Row],[In - V3a]:[In - V3b]]),"")</f>
        <v>4</v>
      </c>
      <c r="DJ214" s="14" t="s">
        <v>189</v>
      </c>
      <c r="DK214" s="14">
        <f>IFERROR(AVERAGE(Tabel1[[#This Row],[In - V1]],Tabel1[[#This Row],[In - V2]],Tabel1[[#This Row],[In - V3]],Tabel1[[#This Row],[In - V4]]),"")</f>
        <v>3.7777777777777781</v>
      </c>
      <c r="DL214" s="14">
        <v>4</v>
      </c>
      <c r="DM214" s="14">
        <v>4</v>
      </c>
      <c r="DN214" s="14">
        <f>IFERROR(AVERAGE(Tabel1[[#This Row],[In - A1a]:[In - A1b]]),"")</f>
        <v>4</v>
      </c>
      <c r="DO214" s="14" t="s">
        <v>189</v>
      </c>
      <c r="DP214" s="14">
        <v>4</v>
      </c>
      <c r="DQ214" s="14">
        <f>IFERROR(AVERAGE(Tabel1[[#This Row],[In - A2a]:[In - A2b]]),"")</f>
        <v>4</v>
      </c>
      <c r="DR214" s="14">
        <v>4</v>
      </c>
      <c r="DS214" s="14">
        <v>4</v>
      </c>
      <c r="DT214" s="14">
        <f>IFERROR(AVERAGE(Tabel1[[#This Row],[In - A3a]:[In - A3a]]),"")</f>
        <v>4</v>
      </c>
      <c r="DU214" s="14">
        <v>3</v>
      </c>
      <c r="DV214" s="14">
        <f>IFERROR(AVERAGE(Tabel1[[#This Row],[In - A1]],Tabel1[[#This Row],[In - A2]],Tabel1[[#This Row],[In - A3]],Tabel1[[#This Row],[In - A4]]),"")</f>
        <v>3.75</v>
      </c>
      <c r="DW214" s="14">
        <v>3</v>
      </c>
      <c r="DX214" s="14">
        <v>5</v>
      </c>
      <c r="DY214" s="14">
        <v>5</v>
      </c>
      <c r="DZ214" s="14">
        <f>IFERROR(AVERAGE(Tabel1[[#This Row],[Do - R1a]:[Do - R1c]]),"")</f>
        <v>4.333333333333333</v>
      </c>
      <c r="EA214" s="14">
        <v>4</v>
      </c>
      <c r="EB214" s="14">
        <v>4</v>
      </c>
      <c r="EC214" s="14">
        <v>3</v>
      </c>
      <c r="ED214" s="14" t="s">
        <v>189</v>
      </c>
      <c r="EE214" s="14">
        <f>IFERROR(AVERAGE(Tabel1[[#This Row],[Do - R1]:[Do - R5]]),"")</f>
        <v>3.833333333333333</v>
      </c>
      <c r="EF214" s="14">
        <v>5</v>
      </c>
      <c r="EG214" s="14">
        <v>5</v>
      </c>
      <c r="EH214" s="14">
        <v>3</v>
      </c>
      <c r="EI214" s="14">
        <f>IFERROR(AVERAGE(Tabel1[[#This Row],[Do - C1a]:[Do - C1c]]),"")</f>
        <v>4.333333333333333</v>
      </c>
      <c r="EJ214" s="14">
        <v>4</v>
      </c>
      <c r="EK214" s="14">
        <v>4</v>
      </c>
      <c r="EL214" s="14" t="s">
        <v>189</v>
      </c>
      <c r="EM214" s="14">
        <f>IFERROR(AVERAGE(Tabel1[[#This Row],[Do - C1]:[Do - C4]]),"")</f>
        <v>4.1111111111111107</v>
      </c>
      <c r="EN214" s="14">
        <v>4</v>
      </c>
      <c r="EO214" s="14">
        <v>3</v>
      </c>
      <c r="EP214" s="14">
        <v>4</v>
      </c>
      <c r="EQ214" s="14">
        <f>IFERROR(AVERAGE(Tabel1[[#This Row],[Do - F1a]:[Do - F1c]]),"")</f>
        <v>3.6666666666666665</v>
      </c>
      <c r="ER214" s="14">
        <v>3</v>
      </c>
      <c r="ES214" s="14">
        <f>IFERROR(AVERAGE(Tabel1[[#This Row],[Do - F2a]:[Do - F2a]]),"")</f>
        <v>3</v>
      </c>
      <c r="ET214" s="14">
        <v>5</v>
      </c>
      <c r="EU214" s="14">
        <v>3</v>
      </c>
      <c r="EV214" s="14">
        <f>IFERROR(AVERAGE(Tabel1[[#This Row],[Do - F3a]:[Do - F3b]]),"")</f>
        <v>4</v>
      </c>
      <c r="EW214" s="14" t="s">
        <v>189</v>
      </c>
      <c r="EX214" s="14">
        <f>IFERROR(AVERAGE(Tabel1[[#This Row],[Do - F1]],Tabel1[[#This Row],[Do - F2]],Tabel1[[#This Row],[Do - F3]],Tabel1[[#This Row],[Do - F4]]),"")</f>
        <v>3.5555555555555554</v>
      </c>
      <c r="EY214" s="14">
        <v>4</v>
      </c>
      <c r="EZ214" s="14">
        <v>4</v>
      </c>
      <c r="FA214" s="14">
        <v>3</v>
      </c>
      <c r="FB214" s="14">
        <f>IFERROR(AVERAGE(Tabel1[[#This Row],[Do - V1a]:[Do - V1c]]),"")</f>
        <v>3.6666666666666665</v>
      </c>
      <c r="FC214" s="14" t="s">
        <v>189</v>
      </c>
      <c r="FD214" s="14">
        <v>4</v>
      </c>
      <c r="FE214" s="14">
        <f>IFERROR(AVERAGE(Tabel1[[#This Row],[Do - V2a]:[Do - V2b]]),"")</f>
        <v>4</v>
      </c>
      <c r="FF214" s="14">
        <v>3</v>
      </c>
      <c r="FG214" s="14">
        <f>IFERROR(AVERAGE(Tabel1[[#This Row],[Do - V3a]:[Do - V3a]]),"")</f>
        <v>3</v>
      </c>
      <c r="FH214" s="14" t="s">
        <v>189</v>
      </c>
      <c r="FI214" s="14">
        <f>IFERROR(AVERAGE(Tabel1[[#This Row],[Do - V1]],Tabel1[[#This Row],[Do - V2]],Tabel1[[#This Row],[Do - V3]],Tabel1[[#This Row],[Do - V4]]),"")</f>
        <v>3.5555555555555554</v>
      </c>
      <c r="FJ214" s="14">
        <v>4</v>
      </c>
      <c r="FK214" s="14" t="s">
        <v>189</v>
      </c>
      <c r="FL214" s="14">
        <v>3</v>
      </c>
      <c r="FM214" s="14">
        <f>IFERROR(AVERAGE(Tabel1[[#This Row],[Do - A1a]:[Do - A1c]]),"")</f>
        <v>3.5</v>
      </c>
      <c r="FN214" s="14">
        <v>3</v>
      </c>
      <c r="FO214" s="14">
        <v>5</v>
      </c>
      <c r="FP214" s="14">
        <f>IFERROR(AVERAGE(Tabel1[[#This Row],[Do - A2a]:[Do - A2b]]),"")</f>
        <v>4</v>
      </c>
      <c r="FQ214" s="14">
        <v>3</v>
      </c>
      <c r="FR214" s="14">
        <f>IFERROR(AVERAGE(Tabel1[[#This Row],[Do - A3a]:[Do - A3a]]),"")</f>
        <v>3</v>
      </c>
      <c r="FS214" s="14">
        <v>4</v>
      </c>
      <c r="FT214" s="14">
        <f>IFERROR(AVERAGE(Tabel1[[#This Row],[Do - A1]],Tabel1[[#This Row],[Do - A2]],Tabel1[[#This Row],[Do - A3]],Tabel1[[#This Row],[Do - A4]]),"")</f>
        <v>3.625</v>
      </c>
      <c r="FU21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3.9629629629629637</v>
      </c>
      <c r="FV214" s="16" t="s">
        <v>1169</v>
      </c>
      <c r="FW214" t="b">
        <v>1</v>
      </c>
    </row>
    <row r="215" spans="1:179" x14ac:dyDescent="0.3">
      <c r="A215" s="13">
        <v>45295.508263888885</v>
      </c>
      <c r="B215" t="b">
        <v>0</v>
      </c>
      <c r="C215" s="14" t="s">
        <v>1170</v>
      </c>
      <c r="D215" s="14" t="s">
        <v>1171</v>
      </c>
      <c r="E215" s="14" t="s">
        <v>1167</v>
      </c>
      <c r="F215" s="14" t="s">
        <v>184</v>
      </c>
      <c r="G215" s="14" t="s">
        <v>1172</v>
      </c>
      <c r="H215" s="14" t="s">
        <v>222</v>
      </c>
      <c r="I215" s="14" t="s">
        <v>385</v>
      </c>
      <c r="J215" s="14"/>
      <c r="K215" s="14" t="s">
        <v>202</v>
      </c>
      <c r="L215" s="14" t="s">
        <v>385</v>
      </c>
      <c r="M215" s="14" t="s">
        <v>188</v>
      </c>
      <c r="N215" s="14"/>
      <c r="O215" s="14"/>
      <c r="P215" s="17" t="s">
        <v>304</v>
      </c>
      <c r="Q215" s="14"/>
      <c r="R215" s="14" t="s">
        <v>203</v>
      </c>
      <c r="S215" s="14" t="s">
        <v>203</v>
      </c>
      <c r="T215" s="14"/>
      <c r="U215" s="14" t="s">
        <v>285</v>
      </c>
      <c r="V215" s="14" t="s">
        <v>359</v>
      </c>
      <c r="W215" s="14" t="s">
        <v>306</v>
      </c>
      <c r="X215" s="14" t="s">
        <v>306</v>
      </c>
      <c r="Y215" s="14">
        <v>3</v>
      </c>
      <c r="Z215" s="14">
        <v>2</v>
      </c>
      <c r="AA215" s="14" t="s">
        <v>189</v>
      </c>
      <c r="AB215" s="15">
        <f>IFERROR(AVERAGE(Tabel1[[#This Row],[Up - R1a]:[Up - R1c]]),"")</f>
        <v>2.5</v>
      </c>
      <c r="AC215" s="14">
        <v>1</v>
      </c>
      <c r="AD215" s="14">
        <v>1</v>
      </c>
      <c r="AE215" s="14">
        <v>1</v>
      </c>
      <c r="AF215" s="14">
        <v>4</v>
      </c>
      <c r="AG215" s="14">
        <f>IFERROR(AVERAGE(Tabel1[[#This Row],[Up - R1]:[Up - R5]]),"")</f>
        <v>1.9</v>
      </c>
      <c r="AH215" s="14">
        <v>5</v>
      </c>
      <c r="AI215" s="14">
        <v>4</v>
      </c>
      <c r="AJ215" s="14">
        <v>4</v>
      </c>
      <c r="AK215" s="14">
        <f>IFERROR(AVERAGE(Tabel1[[#This Row],[Up - C1a]:[Up - C1c]]),"")</f>
        <v>4.333333333333333</v>
      </c>
      <c r="AL215" s="14">
        <v>3</v>
      </c>
      <c r="AM215" s="14">
        <v>3</v>
      </c>
      <c r="AN215" s="14">
        <v>3</v>
      </c>
      <c r="AO215" s="14">
        <f>IFERROR(AVERAGE(Tabel1[[#This Row],[Up - C1]:[Up - C4]]),"")</f>
        <v>3.333333333333333</v>
      </c>
      <c r="AP215" s="14">
        <v>4</v>
      </c>
      <c r="AQ215" s="14">
        <f>IFERROR(AVERAGE(Tabel1[[#This Row],[Up - F1a]:[Up - F1a]]),"")</f>
        <v>4</v>
      </c>
      <c r="AR215" s="14" t="s">
        <v>189</v>
      </c>
      <c r="AS215" s="14" t="s">
        <v>189</v>
      </c>
      <c r="AT215" s="14" t="str">
        <f>IFERROR(AVERAGE(Tabel1[[#This Row],[Up - F2a]:[Up - F2b]]),"")</f>
        <v/>
      </c>
      <c r="AU215" s="14" t="s">
        <v>189</v>
      </c>
      <c r="AV215" s="14" t="s">
        <v>189</v>
      </c>
      <c r="AW215" s="14" t="str">
        <f>IFERROR(AVERAGE(Tabel1[[#This Row],[Up - F3a]:[Up - F3b]]),"")</f>
        <v/>
      </c>
      <c r="AX215" s="14" t="s">
        <v>189</v>
      </c>
      <c r="AY215" s="14">
        <f>IFERROR(AVERAGE(Tabel1[[#This Row],[Up - F1]],Tabel1[[#This Row],[Up - F2]],Tabel1[[#This Row],[Up - F3]],Tabel1[[#This Row],[Up - F4]]),"")</f>
        <v>4</v>
      </c>
      <c r="AZ215" s="14" t="s">
        <v>189</v>
      </c>
      <c r="BA215" s="14" t="s">
        <v>189</v>
      </c>
      <c r="BB215" s="14" t="str">
        <f>IFERROR(AVERAGE(Tabel1[[#This Row],[Up - V1a]:[Up - V1b]]),"")</f>
        <v/>
      </c>
      <c r="BC215" s="14" t="s">
        <v>189</v>
      </c>
      <c r="BD215" s="14">
        <v>5</v>
      </c>
      <c r="BE215" s="14">
        <v>5</v>
      </c>
      <c r="BF215" s="14">
        <f>IFERROR(AVERAGE(Tabel1[[#This Row],[Up - V2a]:[Up - V2c]]),"")</f>
        <v>5</v>
      </c>
      <c r="BG215" s="14" t="s">
        <v>189</v>
      </c>
      <c r="BH215" s="14">
        <v>5</v>
      </c>
      <c r="BI215" s="14">
        <f>IFERROR(AVERAGE(Tabel1[[#This Row],[Up - V3a]:[Up - V3b]]),"")</f>
        <v>5</v>
      </c>
      <c r="BJ215" s="14">
        <v>4</v>
      </c>
      <c r="BK215" s="14">
        <f>IFERROR(AVERAGE(Tabel1[[#This Row],[Up - V1]],Tabel1[[#This Row],[Up - V2]],Tabel1[[#This Row],[Up - V3]],Tabel1[[#This Row],[Up - V4]]),"")</f>
        <v>4.666666666666667</v>
      </c>
      <c r="BL215" s="14" t="s">
        <v>189</v>
      </c>
      <c r="BM215" s="14" t="s">
        <v>189</v>
      </c>
      <c r="BN215" s="14" t="s">
        <v>189</v>
      </c>
      <c r="BO215" s="14">
        <v>4</v>
      </c>
      <c r="BP215" s="14">
        <f>IFERROR(AVERAGE(Tabel1[[#This Row],[Up - A1a]:[Up - A1d]]),"")</f>
        <v>4</v>
      </c>
      <c r="BQ215" s="14" t="s">
        <v>189</v>
      </c>
      <c r="BR215" s="14" t="s">
        <v>189</v>
      </c>
      <c r="BS215" s="14" t="str">
        <f>IFERROR(AVERAGE(Tabel1[[#This Row],[Up - A2a]:[Up - A2b]]),"")</f>
        <v/>
      </c>
      <c r="BT215" s="14">
        <v>4</v>
      </c>
      <c r="BU215" s="14">
        <f>IFERROR(AVERAGE(Tabel1[[#This Row],[Up - A3a]:[Up - A3a]]),"")</f>
        <v>4</v>
      </c>
      <c r="BV215" s="14" t="s">
        <v>189</v>
      </c>
      <c r="BW215" s="14">
        <f>IFERROR(AVERAGE(Tabel1[[#This Row],[Up - A1]],Tabel1[[#This Row],[Up - A2]],Tabel1[[#This Row],[Up - A3]]),"")</f>
        <v>4</v>
      </c>
      <c r="BX215" s="14">
        <v>3</v>
      </c>
      <c r="BY215" s="14">
        <v>3</v>
      </c>
      <c r="BZ215" s="14">
        <f>IFERROR(AVERAGE(Tabel1[[#This Row],[In - R1a]:[In - R1b]]),"")</f>
        <v>3</v>
      </c>
      <c r="CA215" s="14">
        <v>1</v>
      </c>
      <c r="CB215" s="14">
        <v>4</v>
      </c>
      <c r="CC215" s="14">
        <v>1</v>
      </c>
      <c r="CD215" s="14">
        <v>4</v>
      </c>
      <c r="CE215" s="14">
        <f>IFERROR(AVERAGE(Tabel1[[#This Row],[In - R1]:[In - R5]]),"")</f>
        <v>2.6</v>
      </c>
      <c r="CF215" s="14">
        <v>4</v>
      </c>
      <c r="CG215" s="14">
        <v>4</v>
      </c>
      <c r="CH215" s="14">
        <v>4</v>
      </c>
      <c r="CI215" s="14">
        <f>IFERROR(AVERAGE(Tabel1[[#This Row],[In - C1a]:[In - C1c]]),"")</f>
        <v>4</v>
      </c>
      <c r="CJ215" s="14">
        <v>5</v>
      </c>
      <c r="CK215" s="14">
        <v>4</v>
      </c>
      <c r="CL215" s="14">
        <v>4</v>
      </c>
      <c r="CM215" s="14">
        <f>IFERROR(AVERAGE(Tabel1[[#This Row],[In - C1]:[In - C4]]),"")</f>
        <v>4.25</v>
      </c>
      <c r="CN215" s="14">
        <v>4</v>
      </c>
      <c r="CO215" s="14">
        <v>4</v>
      </c>
      <c r="CP215" s="14" t="s">
        <v>189</v>
      </c>
      <c r="CQ215" s="14">
        <f>IFERROR(AVERAGE(Tabel1[[#This Row],[In - F1a]:[In - F1c]]),"")</f>
        <v>4</v>
      </c>
      <c r="CR215" s="14">
        <v>1</v>
      </c>
      <c r="CS215" s="14" t="s">
        <v>189</v>
      </c>
      <c r="CT215" s="14">
        <f>IFERROR(AVERAGE(Tabel1[[#This Row],[In - F2a]:[In - F2b]]),"")</f>
        <v>1</v>
      </c>
      <c r="CU215" s="14" t="s">
        <v>189</v>
      </c>
      <c r="CV215" s="14" t="str">
        <f>IFERROR(AVERAGE(Tabel1[[#This Row],[In - F3a]:[In - F3a]]),"")</f>
        <v/>
      </c>
      <c r="CW215" s="14" t="s">
        <v>189</v>
      </c>
      <c r="CX215" s="14">
        <f>IFERROR(AVERAGE(Tabel1[[#This Row],[In - F1]],Tabel1[[#This Row],[In - F2]],Tabel1[[#This Row],[In - F3]],Tabel1[[#This Row],[In - F4]]),"")</f>
        <v>2.5</v>
      </c>
      <c r="CY215" s="14" t="s">
        <v>189</v>
      </c>
      <c r="CZ215" s="14">
        <v>4</v>
      </c>
      <c r="DA215" s="14">
        <v>4</v>
      </c>
      <c r="DB215" s="14">
        <f>IFERROR(AVERAGE(Tabel1[[#This Row],[In - V1a]:[In - V1c]]),"")</f>
        <v>4</v>
      </c>
      <c r="DC215" s="14">
        <v>4</v>
      </c>
      <c r="DD215" s="14">
        <v>5</v>
      </c>
      <c r="DE215" s="14">
        <v>4</v>
      </c>
      <c r="DF215" s="14">
        <f>IFERROR(AVERAGE(Tabel1[[#This Row],[In - V2a]:[In - V2c]]),"")</f>
        <v>4.333333333333333</v>
      </c>
      <c r="DG215" s="14" t="s">
        <v>189</v>
      </c>
      <c r="DH215" s="14" t="s">
        <v>189</v>
      </c>
      <c r="DI215" s="14" t="str">
        <f>IFERROR(AVERAGE(Tabel1[[#This Row],[In - V3a]:[In - V3b]]),"")</f>
        <v/>
      </c>
      <c r="DJ215" s="14">
        <v>4</v>
      </c>
      <c r="DK215" s="14">
        <f>IFERROR(AVERAGE(Tabel1[[#This Row],[In - V1]],Tabel1[[#This Row],[In - V2]],Tabel1[[#This Row],[In - V3]],Tabel1[[#This Row],[In - V4]]),"")</f>
        <v>4.1111111111111107</v>
      </c>
      <c r="DL215" s="14" t="s">
        <v>189</v>
      </c>
      <c r="DM215" s="14" t="s">
        <v>189</v>
      </c>
      <c r="DN215" s="14" t="str">
        <f>IFERROR(AVERAGE(Tabel1[[#This Row],[In - A1a]:[In - A1b]]),"")</f>
        <v/>
      </c>
      <c r="DO215" s="14" t="s">
        <v>189</v>
      </c>
      <c r="DP215" s="14">
        <v>5</v>
      </c>
      <c r="DQ215" s="14">
        <f>IFERROR(AVERAGE(Tabel1[[#This Row],[In - A2a]:[In - A2b]]),"")</f>
        <v>5</v>
      </c>
      <c r="DR215" s="14">
        <v>4</v>
      </c>
      <c r="DS215" s="14">
        <v>4</v>
      </c>
      <c r="DT215" s="14">
        <f>IFERROR(AVERAGE(Tabel1[[#This Row],[In - A3a]:[In - A3a]]),"")</f>
        <v>4</v>
      </c>
      <c r="DU215" s="14" t="s">
        <v>189</v>
      </c>
      <c r="DV215" s="14">
        <f>IFERROR(AVERAGE(Tabel1[[#This Row],[In - A1]],Tabel1[[#This Row],[In - A2]],Tabel1[[#This Row],[In - A3]],Tabel1[[#This Row],[In - A4]]),"")</f>
        <v>4.5</v>
      </c>
      <c r="DW215" s="14">
        <v>3</v>
      </c>
      <c r="DX215" s="14">
        <v>4</v>
      </c>
      <c r="DY215" s="14">
        <v>1</v>
      </c>
      <c r="DZ215" s="14">
        <f>IFERROR(AVERAGE(Tabel1[[#This Row],[Do - R1a]:[Do - R1c]]),"")</f>
        <v>2.6666666666666665</v>
      </c>
      <c r="EA215" s="14">
        <v>1</v>
      </c>
      <c r="EB215" s="14">
        <v>1</v>
      </c>
      <c r="EC215" s="14">
        <v>1</v>
      </c>
      <c r="ED215" s="14">
        <v>5</v>
      </c>
      <c r="EE215" s="14">
        <f>IFERROR(AVERAGE(Tabel1[[#This Row],[Do - R1]:[Do - R5]]),"")</f>
        <v>2.1333333333333333</v>
      </c>
      <c r="EF215" s="14">
        <v>5</v>
      </c>
      <c r="EG215" s="14">
        <v>5</v>
      </c>
      <c r="EH215" s="14">
        <v>5</v>
      </c>
      <c r="EI215" s="14">
        <f>IFERROR(AVERAGE(Tabel1[[#This Row],[Do - C1a]:[Do - C1c]]),"")</f>
        <v>5</v>
      </c>
      <c r="EJ215" s="14">
        <v>5</v>
      </c>
      <c r="EK215" s="14">
        <v>3</v>
      </c>
      <c r="EL215" s="14">
        <v>3</v>
      </c>
      <c r="EM215" s="14">
        <f>IFERROR(AVERAGE(Tabel1[[#This Row],[Do - C1]:[Do - C4]]),"")</f>
        <v>4</v>
      </c>
      <c r="EN215" s="14">
        <v>4</v>
      </c>
      <c r="EO215" s="14">
        <v>4</v>
      </c>
      <c r="EP215" s="14" t="s">
        <v>189</v>
      </c>
      <c r="EQ215" s="14">
        <f>IFERROR(AVERAGE(Tabel1[[#This Row],[Do - F1a]:[Do - F1c]]),"")</f>
        <v>4</v>
      </c>
      <c r="ER215" s="14">
        <v>1</v>
      </c>
      <c r="ES215" s="14">
        <f>IFERROR(AVERAGE(Tabel1[[#This Row],[Do - F2a]:[Do - F2a]]),"")</f>
        <v>1</v>
      </c>
      <c r="ET215" s="14">
        <v>4</v>
      </c>
      <c r="EU215" s="14" t="s">
        <v>189</v>
      </c>
      <c r="EV215" s="14">
        <f>IFERROR(AVERAGE(Tabel1[[#This Row],[Do - F3a]:[Do - F3b]]),"")</f>
        <v>4</v>
      </c>
      <c r="EW215" s="14" t="s">
        <v>189</v>
      </c>
      <c r="EX215" s="14">
        <f>IFERROR(AVERAGE(Tabel1[[#This Row],[Do - F1]],Tabel1[[#This Row],[Do - F2]],Tabel1[[#This Row],[Do - F3]],Tabel1[[#This Row],[Do - F4]]),"")</f>
        <v>3</v>
      </c>
      <c r="EY215" s="14" t="s">
        <v>189</v>
      </c>
      <c r="EZ215" s="14" t="s">
        <v>189</v>
      </c>
      <c r="FA215" s="14">
        <v>3</v>
      </c>
      <c r="FB215" s="14">
        <f>IFERROR(AVERAGE(Tabel1[[#This Row],[Do - V1a]:[Do - V1c]]),"")</f>
        <v>3</v>
      </c>
      <c r="FC215" s="14">
        <v>4</v>
      </c>
      <c r="FD215" s="14">
        <v>5</v>
      </c>
      <c r="FE215" s="14">
        <f>IFERROR(AVERAGE(Tabel1[[#This Row],[Do - V2a]:[Do - V2b]]),"")</f>
        <v>4.5</v>
      </c>
      <c r="FF215" s="14" t="s">
        <v>189</v>
      </c>
      <c r="FG215" s="14" t="str">
        <f>IFERROR(AVERAGE(Tabel1[[#This Row],[Do - V3a]:[Do - V3a]]),"")</f>
        <v/>
      </c>
      <c r="FH215" s="14">
        <v>4</v>
      </c>
      <c r="FI215" s="14">
        <f>IFERROR(AVERAGE(Tabel1[[#This Row],[Do - V1]],Tabel1[[#This Row],[Do - V2]],Tabel1[[#This Row],[Do - V3]],Tabel1[[#This Row],[Do - V4]]),"")</f>
        <v>3.8333333333333335</v>
      </c>
      <c r="FJ215" s="14" t="s">
        <v>189</v>
      </c>
      <c r="FK215" s="14" t="s">
        <v>189</v>
      </c>
      <c r="FL215" s="14" t="s">
        <v>189</v>
      </c>
      <c r="FM215" s="14" t="str">
        <f>IFERROR(AVERAGE(Tabel1[[#This Row],[Do - A1a]:[Do - A1c]]),"")</f>
        <v/>
      </c>
      <c r="FN215" s="14" t="s">
        <v>189</v>
      </c>
      <c r="FO215" s="14">
        <v>5</v>
      </c>
      <c r="FP215" s="14">
        <f>IFERROR(AVERAGE(Tabel1[[#This Row],[Do - A2a]:[Do - A2b]]),"")</f>
        <v>5</v>
      </c>
      <c r="FQ215" s="14">
        <v>4</v>
      </c>
      <c r="FR215" s="14">
        <f>IFERROR(AVERAGE(Tabel1[[#This Row],[Do - A3a]:[Do - A3a]]),"")</f>
        <v>4</v>
      </c>
      <c r="FS215" s="14" t="s">
        <v>189</v>
      </c>
      <c r="FT215" s="14">
        <f>IFERROR(AVERAGE(Tabel1[[#This Row],[Do - A1]],Tabel1[[#This Row],[Do - A2]],Tabel1[[#This Row],[Do - A3]],Tabel1[[#This Row],[Do - A4]]),"")</f>
        <v>4.5</v>
      </c>
      <c r="FU21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3.5551851851851857</v>
      </c>
      <c r="FV215" s="16" t="s">
        <v>1173</v>
      </c>
      <c r="FW215" t="b">
        <v>1</v>
      </c>
    </row>
    <row r="216" spans="1:179" x14ac:dyDescent="0.3">
      <c r="A216" s="13">
        <v>45296.458402777775</v>
      </c>
      <c r="B216" t="b">
        <v>0</v>
      </c>
      <c r="C216" s="14" t="s">
        <v>1174</v>
      </c>
      <c r="D216" s="14" t="s">
        <v>1175</v>
      </c>
      <c r="E216" s="14" t="s">
        <v>1176</v>
      </c>
      <c r="F216" s="14" t="s">
        <v>184</v>
      </c>
      <c r="G216" s="8" t="s">
        <v>1177</v>
      </c>
      <c r="H216" s="14" t="s">
        <v>222</v>
      </c>
      <c r="I216" s="14" t="s">
        <v>195</v>
      </c>
      <c r="J216" s="14" t="s">
        <v>589</v>
      </c>
      <c r="K216" s="14" t="s">
        <v>203</v>
      </c>
      <c r="L216" s="14" t="s">
        <v>218</v>
      </c>
      <c r="M216" s="14" t="s">
        <v>188</v>
      </c>
      <c r="N216" s="14" t="s">
        <v>262</v>
      </c>
      <c r="O216" s="14" t="s">
        <v>200</v>
      </c>
      <c r="P216" s="14" t="s">
        <v>701</v>
      </c>
      <c r="Q216" s="17" t="s">
        <v>255</v>
      </c>
      <c r="R216" s="14" t="s">
        <v>701</v>
      </c>
      <c r="S216" s="17" t="s">
        <v>255</v>
      </c>
      <c r="T216" s="14" t="s">
        <v>236</v>
      </c>
      <c r="U216" s="14" t="s">
        <v>285</v>
      </c>
      <c r="V216" s="14" t="s">
        <v>359</v>
      </c>
      <c r="W216" s="14" t="s">
        <v>207</v>
      </c>
      <c r="X216" s="14" t="s">
        <v>305</v>
      </c>
      <c r="Y216" s="14">
        <v>4</v>
      </c>
      <c r="Z216" s="14">
        <v>4</v>
      </c>
      <c r="AA216" s="14">
        <v>1</v>
      </c>
      <c r="AB216" s="15">
        <f>IFERROR(AVERAGE(Tabel1[[#This Row],[Up - R1a]:[Up - R1c]]),"")</f>
        <v>3</v>
      </c>
      <c r="AC216" s="14">
        <v>5</v>
      </c>
      <c r="AD216" s="14">
        <v>3</v>
      </c>
      <c r="AE216" s="14">
        <v>2</v>
      </c>
      <c r="AF216" s="14">
        <v>5</v>
      </c>
      <c r="AG216" s="14">
        <f>IFERROR(AVERAGE(Tabel1[[#This Row],[Up - R1]:[Up - R5]]),"")</f>
        <v>3.6</v>
      </c>
      <c r="AH216" s="14">
        <v>4</v>
      </c>
      <c r="AI216" s="14">
        <v>4</v>
      </c>
      <c r="AJ216" s="14">
        <v>4</v>
      </c>
      <c r="AK216" s="14">
        <f>IFERROR(AVERAGE(Tabel1[[#This Row],[Up - C1a]:[Up - C1c]]),"")</f>
        <v>4</v>
      </c>
      <c r="AL216" s="14">
        <v>4</v>
      </c>
      <c r="AM216" s="14">
        <v>3</v>
      </c>
      <c r="AN216" s="14">
        <v>3</v>
      </c>
      <c r="AO216" s="14">
        <f>IFERROR(AVERAGE(Tabel1[[#This Row],[Up - C1]:[Up - C4]]),"")</f>
        <v>3.5</v>
      </c>
      <c r="AP216" s="14">
        <v>2</v>
      </c>
      <c r="AQ216" s="14">
        <f>IFERROR(AVERAGE(Tabel1[[#This Row],[Up - F1a]:[Up - F1a]]),"")</f>
        <v>2</v>
      </c>
      <c r="AR216" s="14">
        <v>2</v>
      </c>
      <c r="AS216" s="14">
        <v>2</v>
      </c>
      <c r="AT216" s="14">
        <f>IFERROR(AVERAGE(Tabel1[[#This Row],[Up - F2a]:[Up - F2b]]),"")</f>
        <v>2</v>
      </c>
      <c r="AU216" s="14">
        <v>4</v>
      </c>
      <c r="AV216" s="14">
        <v>2</v>
      </c>
      <c r="AW216" s="14">
        <f>IFERROR(AVERAGE(Tabel1[[#This Row],[Up - F3a]:[Up - F3b]]),"")</f>
        <v>3</v>
      </c>
      <c r="AX216" s="14">
        <v>4</v>
      </c>
      <c r="AY216" s="14">
        <f>IFERROR(AVERAGE(Tabel1[[#This Row],[Up - F1]],Tabel1[[#This Row],[Up - F2]],Tabel1[[#This Row],[Up - F3]],Tabel1[[#This Row],[Up - F4]]),"")</f>
        <v>2.75</v>
      </c>
      <c r="AZ216" s="14">
        <v>2</v>
      </c>
      <c r="BA216" s="14">
        <v>5</v>
      </c>
      <c r="BB216" s="14">
        <f>IFERROR(AVERAGE(Tabel1[[#This Row],[Up - V1a]:[Up - V1b]]),"")</f>
        <v>3.5</v>
      </c>
      <c r="BC216" s="14">
        <v>2</v>
      </c>
      <c r="BD216" s="14">
        <v>2</v>
      </c>
      <c r="BE216" s="14">
        <v>4</v>
      </c>
      <c r="BF216" s="14">
        <f>IFERROR(AVERAGE(Tabel1[[#This Row],[Up - V2a]:[Up - V2c]]),"")</f>
        <v>2.6666666666666665</v>
      </c>
      <c r="BG216" s="14">
        <v>4</v>
      </c>
      <c r="BH216" s="14">
        <v>4</v>
      </c>
      <c r="BI216" s="14">
        <f>IFERROR(AVERAGE(Tabel1[[#This Row],[Up - V3a]:[Up - V3b]]),"")</f>
        <v>4</v>
      </c>
      <c r="BJ216" s="14">
        <v>5</v>
      </c>
      <c r="BK216" s="14">
        <f>IFERROR(AVERAGE(Tabel1[[#This Row],[Up - V1]],Tabel1[[#This Row],[Up - V2]],Tabel1[[#This Row],[Up - V3]],Tabel1[[#This Row],[Up - V4]]),"")</f>
        <v>3.7916666666666665</v>
      </c>
      <c r="BL216" s="14">
        <v>5</v>
      </c>
      <c r="BM216" s="14">
        <v>5</v>
      </c>
      <c r="BN216" s="14">
        <v>2</v>
      </c>
      <c r="BO216" s="14">
        <v>2</v>
      </c>
      <c r="BP216" s="14">
        <f>IFERROR(AVERAGE(Tabel1[[#This Row],[Up - A1a]:[Up - A1d]]),"")</f>
        <v>3.5</v>
      </c>
      <c r="BQ216" s="14">
        <v>3</v>
      </c>
      <c r="BR216" s="14">
        <v>2</v>
      </c>
      <c r="BS216" s="14">
        <f>IFERROR(AVERAGE(Tabel1[[#This Row],[Up - A2a]:[Up - A2b]]),"")</f>
        <v>2.5</v>
      </c>
      <c r="BT216" s="14">
        <v>4</v>
      </c>
      <c r="BU216" s="14">
        <f>IFERROR(AVERAGE(Tabel1[[#This Row],[Up - A3a]:[Up - A3a]]),"")</f>
        <v>4</v>
      </c>
      <c r="BV216" s="14">
        <v>4</v>
      </c>
      <c r="BW216" s="14">
        <f>IFERROR(AVERAGE(Tabel1[[#This Row],[Up - A1]],Tabel1[[#This Row],[Up - A2]],Tabel1[[#This Row],[Up - A3]]),"")</f>
        <v>3.3333333333333335</v>
      </c>
      <c r="BX216" s="14">
        <v>4</v>
      </c>
      <c r="BY216" s="14">
        <v>5</v>
      </c>
      <c r="BZ216" s="14">
        <f>IFERROR(AVERAGE(Tabel1[[#This Row],[In - R1a]:[In - R1b]]),"")</f>
        <v>4.5</v>
      </c>
      <c r="CA216" s="14">
        <v>5</v>
      </c>
      <c r="CB216" s="14">
        <v>1</v>
      </c>
      <c r="CC216" s="14">
        <v>4</v>
      </c>
      <c r="CD216" s="14">
        <v>5</v>
      </c>
      <c r="CE216" s="14">
        <f>IFERROR(AVERAGE(Tabel1[[#This Row],[In - R1]:[In - R5]]),"")</f>
        <v>3.9</v>
      </c>
      <c r="CF216" s="14">
        <v>4</v>
      </c>
      <c r="CG216" s="14">
        <v>5</v>
      </c>
      <c r="CH216" s="14">
        <v>5</v>
      </c>
      <c r="CI216" s="14">
        <f>IFERROR(AVERAGE(Tabel1[[#This Row],[In - C1a]:[In - C1c]]),"")</f>
        <v>4.666666666666667</v>
      </c>
      <c r="CJ216" s="14">
        <v>4</v>
      </c>
      <c r="CK216" s="14">
        <v>5</v>
      </c>
      <c r="CL216" s="14">
        <v>5</v>
      </c>
      <c r="CM216" s="14">
        <f>IFERROR(AVERAGE(Tabel1[[#This Row],[In - C1]:[In - C4]]),"")</f>
        <v>4.666666666666667</v>
      </c>
      <c r="CN216" s="14">
        <v>5</v>
      </c>
      <c r="CO216" s="14">
        <v>5</v>
      </c>
      <c r="CP216" s="14">
        <v>2</v>
      </c>
      <c r="CQ216" s="14">
        <f>IFERROR(AVERAGE(Tabel1[[#This Row],[In - F1a]:[In - F1c]]),"")</f>
        <v>4</v>
      </c>
      <c r="CR216" s="14">
        <v>5</v>
      </c>
      <c r="CS216" s="14">
        <v>2</v>
      </c>
      <c r="CT216" s="14">
        <f>IFERROR(AVERAGE(Tabel1[[#This Row],[In - F2a]:[In - F2b]]),"")</f>
        <v>3.5</v>
      </c>
      <c r="CU216" s="14">
        <v>2</v>
      </c>
      <c r="CV216" s="14">
        <f>IFERROR(AVERAGE(Tabel1[[#This Row],[In - F3a]:[In - F3a]]),"")</f>
        <v>2</v>
      </c>
      <c r="CW216" s="14">
        <v>5</v>
      </c>
      <c r="CX216" s="14">
        <f>IFERROR(AVERAGE(Tabel1[[#This Row],[In - F1]],Tabel1[[#This Row],[In - F2]],Tabel1[[#This Row],[In - F3]],Tabel1[[#This Row],[In - F4]]),"")</f>
        <v>3.625</v>
      </c>
      <c r="CY216" s="14">
        <v>5</v>
      </c>
      <c r="CZ216" s="14">
        <v>5</v>
      </c>
      <c r="DA216" s="14">
        <v>3</v>
      </c>
      <c r="DB216" s="14">
        <f>IFERROR(AVERAGE(Tabel1[[#This Row],[In - V1a]:[In - V1c]]),"")</f>
        <v>4.333333333333333</v>
      </c>
      <c r="DC216" s="14">
        <v>5</v>
      </c>
      <c r="DD216" s="14">
        <v>3</v>
      </c>
      <c r="DE216" s="14">
        <v>3</v>
      </c>
      <c r="DF216" s="14">
        <f>IFERROR(AVERAGE(Tabel1[[#This Row],[In - V2a]:[In - V2c]]),"")</f>
        <v>3.6666666666666665</v>
      </c>
      <c r="DG216" s="14">
        <v>3</v>
      </c>
      <c r="DH216" s="14">
        <v>4</v>
      </c>
      <c r="DI216" s="14">
        <f>IFERROR(AVERAGE(Tabel1[[#This Row],[In - V3a]:[In - V3b]]),"")</f>
        <v>3.5</v>
      </c>
      <c r="DJ216" s="14">
        <v>5</v>
      </c>
      <c r="DK216" s="14">
        <f>IFERROR(AVERAGE(Tabel1[[#This Row],[In - V1]],Tabel1[[#This Row],[In - V2]],Tabel1[[#This Row],[In - V3]],Tabel1[[#This Row],[In - V4]]),"")</f>
        <v>4.125</v>
      </c>
      <c r="DL216" s="14">
        <v>4</v>
      </c>
      <c r="DM216" s="14">
        <v>5</v>
      </c>
      <c r="DN216" s="14">
        <f>IFERROR(AVERAGE(Tabel1[[#This Row],[In - A1a]:[In - A1b]]),"")</f>
        <v>4.5</v>
      </c>
      <c r="DO216" s="14">
        <v>5</v>
      </c>
      <c r="DP216" s="14">
        <v>4</v>
      </c>
      <c r="DQ216" s="14">
        <f>IFERROR(AVERAGE(Tabel1[[#This Row],[In - A2a]:[In - A2b]]),"")</f>
        <v>4.5</v>
      </c>
      <c r="DR216" s="14">
        <v>5</v>
      </c>
      <c r="DS216" s="14">
        <v>4</v>
      </c>
      <c r="DT216" s="14">
        <f>IFERROR(AVERAGE(Tabel1[[#This Row],[In - A3a]:[In - A3a]]),"")</f>
        <v>5</v>
      </c>
      <c r="DU216" s="14">
        <v>4</v>
      </c>
      <c r="DV216" s="14">
        <f>IFERROR(AVERAGE(Tabel1[[#This Row],[In - A1]],Tabel1[[#This Row],[In - A2]],Tabel1[[#This Row],[In - A3]],Tabel1[[#This Row],[In - A4]]),"")</f>
        <v>4.5</v>
      </c>
      <c r="DW216" s="14">
        <v>1</v>
      </c>
      <c r="DX216" s="14">
        <v>1</v>
      </c>
      <c r="DY216" s="14">
        <v>2</v>
      </c>
      <c r="DZ216" s="14">
        <f>IFERROR(AVERAGE(Tabel1[[#This Row],[Do - R1a]:[Do - R1c]]),"")</f>
        <v>1.3333333333333333</v>
      </c>
      <c r="EA216" s="14">
        <v>3</v>
      </c>
      <c r="EB216" s="14">
        <v>4</v>
      </c>
      <c r="EC216" s="14">
        <v>5</v>
      </c>
      <c r="ED216" s="14">
        <v>5</v>
      </c>
      <c r="EE216" s="14">
        <f>IFERROR(AVERAGE(Tabel1[[#This Row],[Do - R1]:[Do - R5]]),"")</f>
        <v>3.6666666666666665</v>
      </c>
      <c r="EF216" s="14">
        <v>5</v>
      </c>
      <c r="EG216" s="14">
        <v>4</v>
      </c>
      <c r="EH216" s="14">
        <v>3</v>
      </c>
      <c r="EI216" s="14">
        <f>IFERROR(AVERAGE(Tabel1[[#This Row],[Do - C1a]:[Do - C1c]]),"")</f>
        <v>4</v>
      </c>
      <c r="EJ216" s="14">
        <v>4</v>
      </c>
      <c r="EK216" s="14">
        <v>4</v>
      </c>
      <c r="EL216" s="14">
        <v>3</v>
      </c>
      <c r="EM216" s="14">
        <f>IFERROR(AVERAGE(Tabel1[[#This Row],[Do - C1]:[Do - C4]]),"")</f>
        <v>3.75</v>
      </c>
      <c r="EN216" s="14">
        <v>3</v>
      </c>
      <c r="EO216" s="14">
        <v>1</v>
      </c>
      <c r="EP216" s="14">
        <v>1</v>
      </c>
      <c r="EQ216" s="14">
        <f>IFERROR(AVERAGE(Tabel1[[#This Row],[Do - F1a]:[Do - F1c]]),"")</f>
        <v>1.6666666666666667</v>
      </c>
      <c r="ER216" s="14">
        <v>1</v>
      </c>
      <c r="ES216" s="14">
        <f>IFERROR(AVERAGE(Tabel1[[#This Row],[Do - F2a]:[Do - F2a]]),"")</f>
        <v>1</v>
      </c>
      <c r="ET216" s="14">
        <v>1</v>
      </c>
      <c r="EU216" s="14">
        <v>1</v>
      </c>
      <c r="EV216" s="14">
        <f>IFERROR(AVERAGE(Tabel1[[#This Row],[Do - F3a]:[Do - F3b]]),"")</f>
        <v>1</v>
      </c>
      <c r="EW216" s="14">
        <v>5</v>
      </c>
      <c r="EX216" s="14">
        <f>IFERROR(AVERAGE(Tabel1[[#This Row],[Do - F1]],Tabel1[[#This Row],[Do - F2]],Tabel1[[#This Row],[Do - F3]],Tabel1[[#This Row],[Do - F4]]),"")</f>
        <v>2.166666666666667</v>
      </c>
      <c r="EY216" s="14">
        <v>3</v>
      </c>
      <c r="EZ216" s="14">
        <v>3</v>
      </c>
      <c r="FA216" s="14" t="s">
        <v>189</v>
      </c>
      <c r="FB216" s="14">
        <f>IFERROR(AVERAGE(Tabel1[[#This Row],[Do - V1a]:[Do - V1c]]),"")</f>
        <v>3</v>
      </c>
      <c r="FC216" s="14">
        <v>2</v>
      </c>
      <c r="FD216" s="14">
        <v>2</v>
      </c>
      <c r="FE216" s="14">
        <f>IFERROR(AVERAGE(Tabel1[[#This Row],[Do - V2a]:[Do - V2b]]),"")</f>
        <v>2</v>
      </c>
      <c r="FF216" s="14">
        <v>2</v>
      </c>
      <c r="FG216" s="14">
        <f>IFERROR(AVERAGE(Tabel1[[#This Row],[Do - V3a]:[Do - V3a]]),"")</f>
        <v>2</v>
      </c>
      <c r="FH216" s="14">
        <v>5</v>
      </c>
      <c r="FI216" s="14">
        <f>IFERROR(AVERAGE(Tabel1[[#This Row],[Do - V1]],Tabel1[[#This Row],[Do - V2]],Tabel1[[#This Row],[Do - V3]],Tabel1[[#This Row],[Do - V4]]),"")</f>
        <v>3</v>
      </c>
      <c r="FJ216" s="14">
        <v>5</v>
      </c>
      <c r="FK216" s="14" t="s">
        <v>189</v>
      </c>
      <c r="FL216" s="14" t="s">
        <v>189</v>
      </c>
      <c r="FM216" s="14">
        <f>IFERROR(AVERAGE(Tabel1[[#This Row],[Do - A1a]:[Do - A1c]]),"")</f>
        <v>5</v>
      </c>
      <c r="FN216" s="14">
        <v>4</v>
      </c>
      <c r="FO216" s="14">
        <v>3</v>
      </c>
      <c r="FP216" s="14">
        <f>IFERROR(AVERAGE(Tabel1[[#This Row],[Do - A2a]:[Do - A2b]]),"")</f>
        <v>3.5</v>
      </c>
      <c r="FQ216" s="14">
        <v>5</v>
      </c>
      <c r="FR216" s="14">
        <f>IFERROR(AVERAGE(Tabel1[[#This Row],[Do - A3a]:[Do - A3a]]),"")</f>
        <v>5</v>
      </c>
      <c r="FS216" s="14">
        <v>5</v>
      </c>
      <c r="FT216" s="14">
        <f>IFERROR(AVERAGE(Tabel1[[#This Row],[Do - A1]],Tabel1[[#This Row],[Do - A2]],Tabel1[[#This Row],[Do - A3]],Tabel1[[#This Row],[Do - A4]]),"")</f>
        <v>4.625</v>
      </c>
      <c r="FU21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3.6666666666666661</v>
      </c>
      <c r="FV216" s="16" t="s">
        <v>1178</v>
      </c>
      <c r="FW216" t="b">
        <v>1</v>
      </c>
    </row>
    <row r="217" spans="1:179" x14ac:dyDescent="0.3">
      <c r="A217" s="13">
        <v>45296.497349537</v>
      </c>
      <c r="B217" t="b">
        <v>0</v>
      </c>
      <c r="C217" t="s">
        <v>1179</v>
      </c>
      <c r="D217" t="s">
        <v>1180</v>
      </c>
      <c r="E217" t="s">
        <v>1176</v>
      </c>
      <c r="F217" s="14" t="s">
        <v>184</v>
      </c>
      <c r="G217" t="s">
        <v>1181</v>
      </c>
      <c r="H217" s="14" t="s">
        <v>222</v>
      </c>
      <c r="I217" t="s">
        <v>195</v>
      </c>
      <c r="J217" t="s">
        <v>589</v>
      </c>
      <c r="K217" t="s">
        <v>203</v>
      </c>
      <c r="L217" t="s">
        <v>197</v>
      </c>
      <c r="M217" t="s">
        <v>188</v>
      </c>
      <c r="N217" t="s">
        <v>262</v>
      </c>
      <c r="O217" t="s">
        <v>200</v>
      </c>
      <c r="P217" s="22" t="s">
        <v>255</v>
      </c>
      <c r="Q217" s="22" t="s">
        <v>304</v>
      </c>
      <c r="R217" s="23" t="s">
        <v>701</v>
      </c>
      <c r="S217" s="22" t="s">
        <v>255</v>
      </c>
      <c r="T217" t="s">
        <v>236</v>
      </c>
      <c r="U217" t="s">
        <v>285</v>
      </c>
      <c r="V217" t="s">
        <v>359</v>
      </c>
      <c r="W217" t="s">
        <v>395</v>
      </c>
      <c r="X217" t="s">
        <v>305</v>
      </c>
      <c r="Y217">
        <v>4</v>
      </c>
      <c r="Z217">
        <v>5</v>
      </c>
      <c r="AA217">
        <v>5</v>
      </c>
      <c r="AB217">
        <f>IFERROR(AVERAGE(Tabel1[[#This Row],[Up - R1a]:[Up - R1c]]),"")</f>
        <v>4.666666666666667</v>
      </c>
      <c r="AC217">
        <v>4</v>
      </c>
      <c r="AD217">
        <v>4</v>
      </c>
      <c r="AE217">
        <v>5</v>
      </c>
      <c r="AF217" t="s">
        <v>189</v>
      </c>
      <c r="AG217">
        <f>IFERROR(AVERAGE(Tabel1[[#This Row],[Up - R1]:[Up - R5]]),"")</f>
        <v>4.416666666666667</v>
      </c>
      <c r="AH217">
        <v>5</v>
      </c>
      <c r="AI217">
        <v>4</v>
      </c>
      <c r="AJ217">
        <v>4</v>
      </c>
      <c r="AK217">
        <f>IFERROR(AVERAGE(Tabel1[[#This Row],[Up - C1a]:[Up - C1c]]),"")</f>
        <v>4.333333333333333</v>
      </c>
      <c r="AL217">
        <v>5</v>
      </c>
      <c r="AM217">
        <v>4</v>
      </c>
      <c r="AN217">
        <v>5</v>
      </c>
      <c r="AO217">
        <f>IFERROR(AVERAGE(Tabel1[[#This Row],[Up - C1]:[Up - C4]]),"")</f>
        <v>4.583333333333333</v>
      </c>
      <c r="AP217">
        <v>5</v>
      </c>
      <c r="AQ217">
        <f>IFERROR(AVERAGE(Tabel1[[#This Row],[Up - F1a]:[Up - F1a]]),"")</f>
        <v>5</v>
      </c>
      <c r="AR217">
        <v>3</v>
      </c>
      <c r="AS217">
        <v>2</v>
      </c>
      <c r="AT217">
        <f>IFERROR(AVERAGE(Tabel1[[#This Row],[Up - F2a]:[Up - F2b]]),"")</f>
        <v>2.5</v>
      </c>
      <c r="AU217">
        <v>5</v>
      </c>
      <c r="AV217">
        <v>5</v>
      </c>
      <c r="AW217">
        <f>IFERROR(AVERAGE(Tabel1[[#This Row],[Up - F3a]:[Up - F3b]]),"")</f>
        <v>5</v>
      </c>
      <c r="AX217">
        <v>4</v>
      </c>
      <c r="AY217">
        <f>IFERROR(AVERAGE(Tabel1[[#This Row],[Up - F1]],Tabel1[[#This Row],[Up - F2]],Tabel1[[#This Row],[Up - F3]],Tabel1[[#This Row],[Up - F4]]),"")</f>
        <v>4.125</v>
      </c>
      <c r="AZ217">
        <v>3</v>
      </c>
      <c r="BA217">
        <v>4</v>
      </c>
      <c r="BB217">
        <f>IFERROR(AVERAGE(Tabel1[[#This Row],[Up - V1a]:[Up - V1b]]),"")</f>
        <v>3.5</v>
      </c>
      <c r="BC217">
        <v>3</v>
      </c>
      <c r="BD217">
        <v>4</v>
      </c>
      <c r="BE217" t="s">
        <v>189</v>
      </c>
      <c r="BF217">
        <f>IFERROR(AVERAGE(Tabel1[[#This Row],[Up - V2a]:[Up - V2c]]),"")</f>
        <v>3.5</v>
      </c>
      <c r="BG217">
        <v>4</v>
      </c>
      <c r="BH217" t="s">
        <v>189</v>
      </c>
      <c r="BI217">
        <f>IFERROR(AVERAGE(Tabel1[[#This Row],[Up - V3a]:[Up - V3b]]),"")</f>
        <v>4</v>
      </c>
      <c r="BJ217">
        <v>2</v>
      </c>
      <c r="BK217">
        <f>IFERROR(AVERAGE(Tabel1[[#This Row],[Up - V1]],Tabel1[[#This Row],[Up - V2]],Tabel1[[#This Row],[Up - V3]],Tabel1[[#This Row],[Up - V4]]),"")</f>
        <v>3.25</v>
      </c>
      <c r="BL217">
        <v>5</v>
      </c>
      <c r="BM217">
        <v>5</v>
      </c>
      <c r="BN217">
        <v>3</v>
      </c>
      <c r="BO217">
        <v>1</v>
      </c>
      <c r="BP217">
        <f>IFERROR(AVERAGE(Tabel1[[#This Row],[Up - A1a]:[Up - A1d]]),"")</f>
        <v>3.5</v>
      </c>
      <c r="BQ217">
        <v>2</v>
      </c>
      <c r="BR217">
        <v>3</v>
      </c>
      <c r="BS217">
        <f>IFERROR(AVERAGE(Tabel1[[#This Row],[Up - A2a]:[Up - A2b]]),"")</f>
        <v>2.5</v>
      </c>
      <c r="BT217">
        <v>4</v>
      </c>
      <c r="BU217">
        <f>IFERROR(AVERAGE(Tabel1[[#This Row],[Up - A3a]:[Up - A3a]]),"")</f>
        <v>4</v>
      </c>
      <c r="BV217">
        <v>5</v>
      </c>
      <c r="BW217">
        <f>IFERROR(AVERAGE(Tabel1[[#This Row],[Up - A1]],Tabel1[[#This Row],[Up - A2]],Tabel1[[#This Row],[Up - A3]]),"")</f>
        <v>3.3333333333333335</v>
      </c>
      <c r="BX217">
        <v>4</v>
      </c>
      <c r="BY217">
        <v>4</v>
      </c>
      <c r="BZ217">
        <f>IFERROR(AVERAGE(Tabel1[[#This Row],[In - R1a]:[In - R1b]]),"")</f>
        <v>4</v>
      </c>
      <c r="CA217">
        <v>5</v>
      </c>
      <c r="CB217">
        <v>4</v>
      </c>
      <c r="CC217">
        <v>3</v>
      </c>
      <c r="CD217">
        <v>3</v>
      </c>
      <c r="CE217">
        <f>IFERROR(AVERAGE(Tabel1[[#This Row],[In - R1]:[In - R5]]),"")</f>
        <v>3.8</v>
      </c>
      <c r="CF217">
        <v>4</v>
      </c>
      <c r="CG217">
        <v>4</v>
      </c>
      <c r="CH217">
        <v>4</v>
      </c>
      <c r="CI217">
        <f>IFERROR(AVERAGE(Tabel1[[#This Row],[In - C1a]:[In - C1c]]),"")</f>
        <v>4</v>
      </c>
      <c r="CJ217">
        <v>5</v>
      </c>
      <c r="CK217">
        <v>4</v>
      </c>
      <c r="CL217">
        <v>4</v>
      </c>
      <c r="CM217">
        <f>IFERROR(AVERAGE(Tabel1[[#This Row],[In - C1]:[In - C4]]),"")</f>
        <v>4.25</v>
      </c>
      <c r="CN217">
        <v>4</v>
      </c>
      <c r="CO217">
        <v>5</v>
      </c>
      <c r="CP217">
        <v>2</v>
      </c>
      <c r="CQ217">
        <f>IFERROR(AVERAGE(Tabel1[[#This Row],[In - F1a]:[In - F1c]]),"")</f>
        <v>3.6666666666666665</v>
      </c>
      <c r="CR217">
        <v>3</v>
      </c>
      <c r="CS217">
        <v>2</v>
      </c>
      <c r="CT217">
        <f>IFERROR(AVERAGE(Tabel1[[#This Row],[In - F2a]:[In - F2b]]),"")</f>
        <v>2.5</v>
      </c>
      <c r="CU217">
        <v>4</v>
      </c>
      <c r="CV217">
        <f>IFERROR(AVERAGE(Tabel1[[#This Row],[In - F3a]:[In - F3a]]),"")</f>
        <v>4</v>
      </c>
      <c r="CW217">
        <v>5</v>
      </c>
      <c r="CX217">
        <f>IFERROR(AVERAGE(Tabel1[[#This Row],[In - F1]],Tabel1[[#This Row],[In - F2]],Tabel1[[#This Row],[In - F3]],Tabel1[[#This Row],[In - F4]]),"")</f>
        <v>3.7916666666666665</v>
      </c>
      <c r="CY217">
        <v>4</v>
      </c>
      <c r="CZ217">
        <v>4</v>
      </c>
      <c r="DA217">
        <v>4</v>
      </c>
      <c r="DB217">
        <f>IFERROR(AVERAGE(Tabel1[[#This Row],[In - V1a]:[In - V1c]]),"")</f>
        <v>4</v>
      </c>
      <c r="DC217">
        <v>5</v>
      </c>
      <c r="DD217">
        <v>4</v>
      </c>
      <c r="DE217">
        <v>3</v>
      </c>
      <c r="DF217">
        <f>IFERROR(AVERAGE(Tabel1[[#This Row],[In - V2a]:[In - V2c]]),"")</f>
        <v>4</v>
      </c>
      <c r="DG217">
        <v>4</v>
      </c>
      <c r="DH217" t="s">
        <v>189</v>
      </c>
      <c r="DI217">
        <f>IFERROR(AVERAGE(Tabel1[[#This Row],[In - V3a]:[In - V3b]]),"")</f>
        <v>4</v>
      </c>
      <c r="DJ217">
        <v>4</v>
      </c>
      <c r="DK217">
        <f>IFERROR(AVERAGE(Tabel1[[#This Row],[In - V1]],Tabel1[[#This Row],[In - V2]],Tabel1[[#This Row],[In - V3]],Tabel1[[#This Row],[In - V4]]),"")</f>
        <v>4</v>
      </c>
      <c r="DL217">
        <v>5</v>
      </c>
      <c r="DM217">
        <v>5</v>
      </c>
      <c r="DN217">
        <f>IFERROR(AVERAGE(Tabel1[[#This Row],[In - A1a]:[In - A1b]]),"")</f>
        <v>5</v>
      </c>
      <c r="DO217">
        <v>4</v>
      </c>
      <c r="DP217">
        <v>4</v>
      </c>
      <c r="DQ217">
        <f>IFERROR(AVERAGE(Tabel1[[#This Row],[In - A2a]:[In - A2b]]),"")</f>
        <v>4</v>
      </c>
      <c r="DR217" t="s">
        <v>189</v>
      </c>
      <c r="DS217">
        <v>4</v>
      </c>
      <c r="DT217" t="str">
        <f>IFERROR(AVERAGE(Tabel1[[#This Row],[In - A3a]:[In - A3a]]),"")</f>
        <v/>
      </c>
      <c r="DU217">
        <v>5</v>
      </c>
      <c r="DV217">
        <f>IFERROR(AVERAGE(Tabel1[[#This Row],[In - A1]],Tabel1[[#This Row],[In - A2]],Tabel1[[#This Row],[In - A3]],Tabel1[[#This Row],[In - A4]]),"")</f>
        <v>4.666666666666667</v>
      </c>
      <c r="DW217">
        <v>3</v>
      </c>
      <c r="DX217">
        <v>3</v>
      </c>
      <c r="DY217">
        <v>3</v>
      </c>
      <c r="DZ217">
        <f>IFERROR(AVERAGE(Tabel1[[#This Row],[Do - R1a]:[Do - R1c]]),"")</f>
        <v>3</v>
      </c>
      <c r="EA217">
        <v>4</v>
      </c>
      <c r="EB217">
        <v>3</v>
      </c>
      <c r="EC217">
        <v>3</v>
      </c>
      <c r="ED217">
        <v>5</v>
      </c>
      <c r="EE217">
        <f>IFERROR(AVERAGE(Tabel1[[#This Row],[Do - R1]:[Do - R5]]),"")</f>
        <v>3.6</v>
      </c>
      <c r="EF217">
        <v>5</v>
      </c>
      <c r="EG217">
        <v>4</v>
      </c>
      <c r="EH217">
        <v>4</v>
      </c>
      <c r="EI217">
        <f>IFERROR(AVERAGE(Tabel1[[#This Row],[Do - C1a]:[Do - C1c]]),"")</f>
        <v>4.333333333333333</v>
      </c>
      <c r="EJ217">
        <v>5</v>
      </c>
      <c r="EK217">
        <v>4</v>
      </c>
      <c r="EL217">
        <v>4</v>
      </c>
      <c r="EM217">
        <f>IFERROR(AVERAGE(Tabel1[[#This Row],[Do - C1]:[Do - C4]]),"")</f>
        <v>4.333333333333333</v>
      </c>
      <c r="EN217">
        <v>3</v>
      </c>
      <c r="EO217">
        <v>5</v>
      </c>
      <c r="EP217">
        <v>4</v>
      </c>
      <c r="EQ217" s="14">
        <f>IFERROR(AVERAGE(Tabel1[[#This Row],[Do - F1a]:[Do - F1c]]),"")</f>
        <v>4</v>
      </c>
      <c r="ER217">
        <v>3</v>
      </c>
      <c r="ES217" s="14">
        <f>IFERROR(AVERAGE(Tabel1[[#This Row],[Do - F2a]:[Do - F2a]]),"")</f>
        <v>3</v>
      </c>
      <c r="ET217">
        <v>3</v>
      </c>
      <c r="EU217">
        <v>4</v>
      </c>
      <c r="EV217" s="14">
        <f>IFERROR(AVERAGE(Tabel1[[#This Row],[Do - F3a]:[Do - F3b]]),"")</f>
        <v>3.5</v>
      </c>
      <c r="EW217">
        <v>4</v>
      </c>
      <c r="EX217" s="14">
        <f>IFERROR(AVERAGE(Tabel1[[#This Row],[Do - F1]],Tabel1[[#This Row],[Do - F2]],Tabel1[[#This Row],[Do - F3]],Tabel1[[#This Row],[Do - F4]]),"")</f>
        <v>3.625</v>
      </c>
      <c r="EY217">
        <v>4</v>
      </c>
      <c r="EZ217" t="s">
        <v>189</v>
      </c>
      <c r="FA217">
        <v>5</v>
      </c>
      <c r="FB217">
        <f>IFERROR(AVERAGE(Tabel1[[#This Row],[Do - V1a]:[Do - V1c]]),"")</f>
        <v>4.5</v>
      </c>
      <c r="FC217">
        <v>5</v>
      </c>
      <c r="FD217">
        <v>5</v>
      </c>
      <c r="FE217">
        <f>IFERROR(AVERAGE(Tabel1[[#This Row],[Do - V2a]:[Do - V2b]]),"")</f>
        <v>5</v>
      </c>
      <c r="FF217">
        <v>4</v>
      </c>
      <c r="FG217">
        <f>IFERROR(AVERAGE(Tabel1[[#This Row],[Do - V3a]:[Do - V3a]]),"")</f>
        <v>4</v>
      </c>
      <c r="FH217">
        <v>4</v>
      </c>
      <c r="FI217">
        <f>IFERROR(AVERAGE(Tabel1[[#This Row],[Do - V1]],Tabel1[[#This Row],[Do - V2]],Tabel1[[#This Row],[Do - V3]],Tabel1[[#This Row],[Do - V4]]),"")</f>
        <v>4.375</v>
      </c>
      <c r="FJ217">
        <v>5</v>
      </c>
      <c r="FK217">
        <v>1</v>
      </c>
      <c r="FL217">
        <v>4</v>
      </c>
      <c r="FM217">
        <f>IFERROR(AVERAGE(Tabel1[[#This Row],[Do - A1a]:[Do - A1c]]),"")</f>
        <v>3.3333333333333335</v>
      </c>
      <c r="FN217">
        <v>2</v>
      </c>
      <c r="FO217">
        <v>4</v>
      </c>
      <c r="FP217">
        <f>IFERROR(AVERAGE(Tabel1[[#This Row],[Do - A2a]:[Do - A2b]]),"")</f>
        <v>3</v>
      </c>
      <c r="FQ217">
        <v>3</v>
      </c>
      <c r="FR217">
        <f>IFERROR(AVERAGE(Tabel1[[#This Row],[Do - A3a]:[Do - A3a]]),"")</f>
        <v>3</v>
      </c>
      <c r="FS217">
        <v>5</v>
      </c>
      <c r="FT217">
        <f>IFERROR(AVERAGE(Tabel1[[#This Row],[Do - A1]],Tabel1[[#This Row],[Do - A2]],Tabel1[[#This Row],[Do - A3]],Tabel1[[#This Row],[Do - A4]]),"")</f>
        <v>3.5833333333333335</v>
      </c>
      <c r="FU21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3.9822222222222221</v>
      </c>
      <c r="FV217" t="s">
        <v>1182</v>
      </c>
      <c r="FW217" t="b">
        <v>1</v>
      </c>
    </row>
    <row r="218" spans="1:179" x14ac:dyDescent="0.3">
      <c r="A218" s="13">
        <v>45299.429942129602</v>
      </c>
      <c r="B218" t="b">
        <v>0</v>
      </c>
      <c r="C218" s="14" t="s">
        <v>1183</v>
      </c>
      <c r="D218" s="14" t="s">
        <v>1184</v>
      </c>
      <c r="E218" s="14" t="s">
        <v>1185</v>
      </c>
      <c r="F218" s="14" t="s">
        <v>184</v>
      </c>
      <c r="G218" s="14"/>
      <c r="H218" s="14" t="s">
        <v>222</v>
      </c>
      <c r="I218" s="14" t="s">
        <v>322</v>
      </c>
      <c r="J218" s="14" t="s">
        <v>838</v>
      </c>
      <c r="K218" s="14" t="s">
        <v>201</v>
      </c>
      <c r="L218" s="14" t="s">
        <v>249</v>
      </c>
      <c r="M218" s="14" t="s">
        <v>198</v>
      </c>
      <c r="N218" s="14" t="s">
        <v>316</v>
      </c>
      <c r="O218" s="14" t="s">
        <v>200</v>
      </c>
      <c r="P218" s="24" t="s">
        <v>255</v>
      </c>
      <c r="Q218" s="17" t="s">
        <v>235</v>
      </c>
      <c r="R218" s="14" t="s">
        <v>187</v>
      </c>
      <c r="S218" s="14" t="s">
        <v>203</v>
      </c>
      <c r="T218" s="14" t="s">
        <v>348</v>
      </c>
      <c r="U218" s="14" t="s">
        <v>349</v>
      </c>
      <c r="V218" s="14" t="s">
        <v>224</v>
      </c>
      <c r="W218" s="14" t="s">
        <v>395</v>
      </c>
      <c r="X218" s="14" t="s">
        <v>306</v>
      </c>
      <c r="Y218" s="14">
        <v>1</v>
      </c>
      <c r="Z218" s="14">
        <v>4</v>
      </c>
      <c r="AA218" s="14">
        <v>3</v>
      </c>
      <c r="AB218" s="15">
        <f>IFERROR(AVERAGE(Tabel1[[#This Row],[Up - R1a]:[Up - R1c]]),"")</f>
        <v>2.6666666666666665</v>
      </c>
      <c r="AC218" s="14">
        <v>1</v>
      </c>
      <c r="AD218" s="14">
        <v>4</v>
      </c>
      <c r="AE218" s="14">
        <v>2</v>
      </c>
      <c r="AF218" s="14">
        <v>3</v>
      </c>
      <c r="AG218" s="14">
        <f>IFERROR(AVERAGE(Tabel1[[#This Row],[Up - R1]:[Up - R5]]),"")</f>
        <v>2.5333333333333332</v>
      </c>
      <c r="AH218" s="14">
        <v>3</v>
      </c>
      <c r="AI218" s="14">
        <v>4</v>
      </c>
      <c r="AJ218" s="14">
        <v>3</v>
      </c>
      <c r="AK218" s="14">
        <f>IFERROR(AVERAGE(Tabel1[[#This Row],[Up - C1a]:[Up - C1c]]),"")</f>
        <v>3.3333333333333335</v>
      </c>
      <c r="AL218" s="14">
        <v>2</v>
      </c>
      <c r="AM218" s="14">
        <v>2</v>
      </c>
      <c r="AN218" s="14">
        <v>2</v>
      </c>
      <c r="AO218" s="14">
        <f>IFERROR(AVERAGE(Tabel1[[#This Row],[Up - C1]:[Up - C4]]),"")</f>
        <v>2.3333333333333335</v>
      </c>
      <c r="AP218" s="14">
        <v>2</v>
      </c>
      <c r="AQ218" s="14">
        <f>IFERROR(AVERAGE(Tabel1[[#This Row],[Up - F1a]:[Up - F1a]]),"")</f>
        <v>2</v>
      </c>
      <c r="AR218" s="14">
        <v>1</v>
      </c>
      <c r="AS218" s="14">
        <v>3</v>
      </c>
      <c r="AT218" s="14">
        <f>IFERROR(AVERAGE(Tabel1[[#This Row],[Up - F2a]:[Up - F2b]]),"")</f>
        <v>2</v>
      </c>
      <c r="AU218" s="14">
        <v>2</v>
      </c>
      <c r="AV218" s="14">
        <v>4</v>
      </c>
      <c r="AW218" s="14">
        <f>IFERROR(AVERAGE(Tabel1[[#This Row],[Up - F3a]:[Up - F3b]]),"")</f>
        <v>3</v>
      </c>
      <c r="AX218" s="14">
        <v>3</v>
      </c>
      <c r="AY218" s="14">
        <f>IFERROR(AVERAGE(Tabel1[[#This Row],[Up - F1]],Tabel1[[#This Row],[Up - F2]],Tabel1[[#This Row],[Up - F3]],Tabel1[[#This Row],[Up - F4]]),"")</f>
        <v>2.5</v>
      </c>
      <c r="AZ218" s="14">
        <v>1</v>
      </c>
      <c r="BA218" s="14">
        <v>3</v>
      </c>
      <c r="BB218" s="14">
        <f>IFERROR(AVERAGE(Tabel1[[#This Row],[Up - V1a]:[Up - V1b]]),"")</f>
        <v>2</v>
      </c>
      <c r="BC218" s="14">
        <v>4</v>
      </c>
      <c r="BD218" s="14">
        <v>4</v>
      </c>
      <c r="BE218" s="14">
        <v>3</v>
      </c>
      <c r="BF218" s="14">
        <f>IFERROR(AVERAGE(Tabel1[[#This Row],[Up - V2a]:[Up - V2c]]),"")</f>
        <v>3.6666666666666665</v>
      </c>
      <c r="BG218" s="14">
        <v>4</v>
      </c>
      <c r="BH218" s="14">
        <v>3</v>
      </c>
      <c r="BI218" s="14">
        <f>IFERROR(AVERAGE(Tabel1[[#This Row],[Up - V3a]:[Up - V3b]]),"")</f>
        <v>3.5</v>
      </c>
      <c r="BJ218" s="14">
        <v>4</v>
      </c>
      <c r="BK218" s="14">
        <f>IFERROR(AVERAGE(Tabel1[[#This Row],[Up - V1]],Tabel1[[#This Row],[Up - V2]],Tabel1[[#This Row],[Up - V3]],Tabel1[[#This Row],[Up - V4]]),"")</f>
        <v>3.2916666666666665</v>
      </c>
      <c r="BL218" s="14">
        <v>3</v>
      </c>
      <c r="BM218" s="14">
        <v>3</v>
      </c>
      <c r="BN218" s="14">
        <v>2</v>
      </c>
      <c r="BO218" s="14">
        <v>1</v>
      </c>
      <c r="BP218" s="14">
        <f>IFERROR(AVERAGE(Tabel1[[#This Row],[Up - A1a]:[Up - A1d]]),"")</f>
        <v>2.25</v>
      </c>
      <c r="BQ218" s="14">
        <v>1</v>
      </c>
      <c r="BR218" s="14">
        <v>3</v>
      </c>
      <c r="BS218" s="14">
        <f>IFERROR(AVERAGE(Tabel1[[#This Row],[Up - A2a]:[Up - A2b]]),"")</f>
        <v>2</v>
      </c>
      <c r="BT218" s="14">
        <v>2</v>
      </c>
      <c r="BU218" s="14">
        <f>IFERROR(AVERAGE(Tabel1[[#This Row],[Up - A3a]:[Up - A3a]]),"")</f>
        <v>2</v>
      </c>
      <c r="BV218" s="14">
        <v>3</v>
      </c>
      <c r="BW218" s="14">
        <f>IFERROR(AVERAGE(Tabel1[[#This Row],[Up - A1]],Tabel1[[#This Row],[Up - A2]],Tabel1[[#This Row],[Up - A3]]),"")</f>
        <v>2.0833333333333335</v>
      </c>
      <c r="BX218" s="14">
        <v>1</v>
      </c>
      <c r="BY218" s="14">
        <v>2</v>
      </c>
      <c r="BZ218" s="14">
        <f>IFERROR(AVERAGE(Tabel1[[#This Row],[In - R1a]:[In - R1b]]),"")</f>
        <v>1.5</v>
      </c>
      <c r="CA218" s="14">
        <v>4</v>
      </c>
      <c r="CB218" s="14">
        <v>1</v>
      </c>
      <c r="CC218" s="14">
        <v>1</v>
      </c>
      <c r="CD218" s="14">
        <v>4</v>
      </c>
      <c r="CE218" s="14">
        <f>IFERROR(AVERAGE(Tabel1[[#This Row],[In - R1]:[In - R5]]),"")</f>
        <v>2.2999999999999998</v>
      </c>
      <c r="CF218" s="14">
        <v>4</v>
      </c>
      <c r="CG218" s="14">
        <v>3</v>
      </c>
      <c r="CH218" s="14">
        <v>4</v>
      </c>
      <c r="CI218" s="14">
        <f>IFERROR(AVERAGE(Tabel1[[#This Row],[In - C1a]:[In - C1c]]),"")</f>
        <v>3.6666666666666665</v>
      </c>
      <c r="CJ218" s="14">
        <v>4</v>
      </c>
      <c r="CK218" s="14">
        <v>4</v>
      </c>
      <c r="CL218" s="14">
        <v>4</v>
      </c>
      <c r="CM218" s="14">
        <f>IFERROR(AVERAGE(Tabel1[[#This Row],[In - C1]:[In - C4]]),"")</f>
        <v>3.9166666666666665</v>
      </c>
      <c r="CN218" s="14">
        <v>2</v>
      </c>
      <c r="CO218" s="14">
        <v>1</v>
      </c>
      <c r="CP218" s="14">
        <v>2</v>
      </c>
      <c r="CQ218" s="14">
        <f>IFERROR(AVERAGE(Tabel1[[#This Row],[In - F1a]:[In - F1c]]),"")</f>
        <v>1.6666666666666667</v>
      </c>
      <c r="CR218" s="14">
        <v>4</v>
      </c>
      <c r="CS218" s="14">
        <v>3</v>
      </c>
      <c r="CT218" s="14">
        <f>IFERROR(AVERAGE(Tabel1[[#This Row],[In - F2a]:[In - F2b]]),"")</f>
        <v>3.5</v>
      </c>
      <c r="CU218" s="14">
        <v>2</v>
      </c>
      <c r="CV218" s="14">
        <f>IFERROR(AVERAGE(Tabel1[[#This Row],[In - F3a]:[In - F3a]]),"")</f>
        <v>2</v>
      </c>
      <c r="CW218" s="14">
        <v>1</v>
      </c>
      <c r="CX218" s="14">
        <f>IFERROR(AVERAGE(Tabel1[[#This Row],[In - F1]],Tabel1[[#This Row],[In - F2]],Tabel1[[#This Row],[In - F3]],Tabel1[[#This Row],[In - F4]]),"")</f>
        <v>2.041666666666667</v>
      </c>
      <c r="CY218" s="14">
        <v>3</v>
      </c>
      <c r="CZ218" s="14">
        <v>4</v>
      </c>
      <c r="DA218" s="14">
        <v>3</v>
      </c>
      <c r="DB218" s="14">
        <f>IFERROR(AVERAGE(Tabel1[[#This Row],[In - V1a]:[In - V1c]]),"")</f>
        <v>3.3333333333333335</v>
      </c>
      <c r="DC218" s="14">
        <v>3</v>
      </c>
      <c r="DD218" s="14">
        <v>4</v>
      </c>
      <c r="DE218" s="14">
        <v>3</v>
      </c>
      <c r="DF218" s="14">
        <f>IFERROR(AVERAGE(Tabel1[[#This Row],[In - V2a]:[In - V2c]]),"")</f>
        <v>3.3333333333333335</v>
      </c>
      <c r="DG218" s="14">
        <v>2</v>
      </c>
      <c r="DH218" s="14">
        <v>1</v>
      </c>
      <c r="DI218" s="14">
        <f>IFERROR(AVERAGE(Tabel1[[#This Row],[In - V3a]:[In - V3b]]),"")</f>
        <v>1.5</v>
      </c>
      <c r="DJ218" s="14">
        <v>4</v>
      </c>
      <c r="DK218" s="14">
        <f>IFERROR(AVERAGE(Tabel1[[#This Row],[In - V1]],Tabel1[[#This Row],[In - V2]],Tabel1[[#This Row],[In - V3]],Tabel1[[#This Row],[In - V4]]),"")</f>
        <v>3.041666666666667</v>
      </c>
      <c r="DL218" s="14">
        <v>2</v>
      </c>
      <c r="DM218" s="14">
        <v>1</v>
      </c>
      <c r="DN218" s="14">
        <f>IFERROR(AVERAGE(Tabel1[[#This Row],[In - A1a]:[In - A1b]]),"")</f>
        <v>1.5</v>
      </c>
      <c r="DO218" s="14">
        <v>2</v>
      </c>
      <c r="DP218" s="14">
        <v>3</v>
      </c>
      <c r="DQ218" s="14">
        <f>IFERROR(AVERAGE(Tabel1[[#This Row],[In - A2a]:[In - A2b]]),"")</f>
        <v>2.5</v>
      </c>
      <c r="DR218" s="14">
        <v>3</v>
      </c>
      <c r="DS218" s="14">
        <v>2</v>
      </c>
      <c r="DT218" s="14">
        <f>IFERROR(AVERAGE(Tabel1[[#This Row],[In - A3a]:[In - A3a]]),"")</f>
        <v>3</v>
      </c>
      <c r="DU218" s="14">
        <v>4</v>
      </c>
      <c r="DV218" s="14">
        <f>IFERROR(AVERAGE(Tabel1[[#This Row],[In - A1]],Tabel1[[#This Row],[In - A2]],Tabel1[[#This Row],[In - A3]],Tabel1[[#This Row],[In - A4]]),"")</f>
        <v>2.75</v>
      </c>
      <c r="DW218" s="14">
        <v>1</v>
      </c>
      <c r="DX218" s="14">
        <v>4</v>
      </c>
      <c r="DY218" s="14">
        <v>4</v>
      </c>
      <c r="DZ218" s="14">
        <f>IFERROR(AVERAGE(Tabel1[[#This Row],[Do - R1a]:[Do - R1c]]),"")</f>
        <v>3</v>
      </c>
      <c r="EA218" s="14">
        <v>1</v>
      </c>
      <c r="EB218" s="14">
        <v>1</v>
      </c>
      <c r="EC218" s="14">
        <v>1</v>
      </c>
      <c r="ED218" s="14">
        <v>2</v>
      </c>
      <c r="EE218" s="14">
        <f>IFERROR(AVERAGE(Tabel1[[#This Row],[Do - R1]:[Do - R5]]),"")</f>
        <v>1.6</v>
      </c>
      <c r="EF218" s="14">
        <v>4</v>
      </c>
      <c r="EG218" s="14">
        <v>3</v>
      </c>
      <c r="EH218" s="14">
        <v>3</v>
      </c>
      <c r="EI218" s="14">
        <f>IFERROR(AVERAGE(Tabel1[[#This Row],[Do - C1a]:[Do - C1c]]),"")</f>
        <v>3.3333333333333335</v>
      </c>
      <c r="EJ218" s="14">
        <v>2</v>
      </c>
      <c r="EK218" s="14">
        <v>3</v>
      </c>
      <c r="EL218" s="14">
        <v>4</v>
      </c>
      <c r="EM218" s="14">
        <f>IFERROR(AVERAGE(Tabel1[[#This Row],[Do - C1]:[Do - C4]]),"")</f>
        <v>3.0833333333333335</v>
      </c>
      <c r="EN218" s="14">
        <v>3</v>
      </c>
      <c r="EO218" s="14">
        <v>1</v>
      </c>
      <c r="EP218" s="14">
        <v>2</v>
      </c>
      <c r="EQ218" s="14">
        <f>IFERROR(AVERAGE(Tabel1[[#This Row],[Do - F1a]:[Do - F1c]]),"")</f>
        <v>2</v>
      </c>
      <c r="ER218" s="14">
        <v>4</v>
      </c>
      <c r="ES218" s="14">
        <f>IFERROR(AVERAGE(Tabel1[[#This Row],[Do - F2a]:[Do - F2a]]),"")</f>
        <v>4</v>
      </c>
      <c r="ET218" s="14">
        <v>3</v>
      </c>
      <c r="EU218" s="14">
        <v>2</v>
      </c>
      <c r="EV218" s="14">
        <f>IFERROR(AVERAGE(Tabel1[[#This Row],[Do - F3a]:[Do - F3b]]),"")</f>
        <v>2.5</v>
      </c>
      <c r="EW218" s="14">
        <v>3</v>
      </c>
      <c r="EX218" s="14">
        <f>IFERROR(AVERAGE(Tabel1[[#This Row],[Do - F1]],Tabel1[[#This Row],[Do - F2]],Tabel1[[#This Row],[Do - F3]],Tabel1[[#This Row],[Do - F4]]),"")</f>
        <v>2.875</v>
      </c>
      <c r="EY218" s="14">
        <v>3</v>
      </c>
      <c r="EZ218" s="14">
        <v>3</v>
      </c>
      <c r="FA218" s="14">
        <v>2</v>
      </c>
      <c r="FB218" s="14">
        <f>IFERROR(AVERAGE(Tabel1[[#This Row],[Do - V1a]:[Do - V1c]]),"")</f>
        <v>2.6666666666666665</v>
      </c>
      <c r="FC218" s="14">
        <v>3</v>
      </c>
      <c r="FD218" s="14">
        <v>4</v>
      </c>
      <c r="FE218" s="14">
        <f>IFERROR(AVERAGE(Tabel1[[#This Row],[Do - V2a]:[Do - V2b]]),"")</f>
        <v>3.5</v>
      </c>
      <c r="FF218" s="14">
        <v>3</v>
      </c>
      <c r="FG218" s="14">
        <f>IFERROR(AVERAGE(Tabel1[[#This Row],[Do - V3a]:[Do - V3a]]),"")</f>
        <v>3</v>
      </c>
      <c r="FH218" s="14">
        <v>2</v>
      </c>
      <c r="FI218" s="14">
        <f>IFERROR(AVERAGE(Tabel1[[#This Row],[Do - V1]],Tabel1[[#This Row],[Do - V2]],Tabel1[[#This Row],[Do - V3]],Tabel1[[#This Row],[Do - V4]]),"")</f>
        <v>2.7916666666666665</v>
      </c>
      <c r="FJ218" s="14">
        <v>2</v>
      </c>
      <c r="FK218" s="14">
        <v>1</v>
      </c>
      <c r="FL218" s="14">
        <v>2</v>
      </c>
      <c r="FM218" s="14">
        <f>IFERROR(AVERAGE(Tabel1[[#This Row],[Do - A1a]:[Do - A1c]]),"")</f>
        <v>1.6666666666666667</v>
      </c>
      <c r="FN218" s="14">
        <v>1</v>
      </c>
      <c r="FO218" s="14">
        <v>2</v>
      </c>
      <c r="FP218" s="14">
        <f>IFERROR(AVERAGE(Tabel1[[#This Row],[Do - A2a]:[Do - A2b]]),"")</f>
        <v>1.5</v>
      </c>
      <c r="FQ218" s="14">
        <v>3</v>
      </c>
      <c r="FR218" s="14">
        <f>IFERROR(AVERAGE(Tabel1[[#This Row],[Do - A3a]:[Do - A3a]]),"")</f>
        <v>3</v>
      </c>
      <c r="FS218" s="14">
        <v>4</v>
      </c>
      <c r="FT218" s="14">
        <f>IFERROR(AVERAGE(Tabel1[[#This Row],[Do - A1]],Tabel1[[#This Row],[Do - A2]],Tabel1[[#This Row],[Do - A3]],Tabel1[[#This Row],[Do - A4]]),"")</f>
        <v>2.541666666666667</v>
      </c>
      <c r="FU21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2.6455555555555557</v>
      </c>
      <c r="FV218" s="16" t="s">
        <v>1186</v>
      </c>
      <c r="FW218" t="b">
        <v>1</v>
      </c>
    </row>
    <row r="219" spans="1:179" x14ac:dyDescent="0.3">
      <c r="A219" s="13">
        <v>45299.527268518497</v>
      </c>
      <c r="B219" t="b">
        <v>0</v>
      </c>
      <c r="C219" s="14" t="s">
        <v>1187</v>
      </c>
      <c r="D219" s="14" t="s">
        <v>1188</v>
      </c>
      <c r="E219" s="14" t="s">
        <v>1185</v>
      </c>
      <c r="F219" s="14" t="s">
        <v>184</v>
      </c>
      <c r="G219" s="14"/>
      <c r="H219" s="14" t="s">
        <v>222</v>
      </c>
      <c r="I219" s="14" t="s">
        <v>385</v>
      </c>
      <c r="J219" s="14"/>
      <c r="K219" s="14" t="s">
        <v>201</v>
      </c>
      <c r="L219" s="14" t="s">
        <v>249</v>
      </c>
      <c r="M219" s="14" t="s">
        <v>198</v>
      </c>
      <c r="N219" s="14" t="s">
        <v>199</v>
      </c>
      <c r="O219" s="14" t="s">
        <v>200</v>
      </c>
      <c r="P219" s="24" t="s">
        <v>255</v>
      </c>
      <c r="Q219" s="17" t="s">
        <v>202</v>
      </c>
      <c r="R219" s="14" t="s">
        <v>235</v>
      </c>
      <c r="S219" s="14" t="s">
        <v>203</v>
      </c>
      <c r="T219" s="14"/>
      <c r="U219" s="14"/>
      <c r="V219" s="14"/>
      <c r="W219" s="14"/>
      <c r="X219" s="14"/>
      <c r="Y219" s="14">
        <v>2</v>
      </c>
      <c r="Z219" s="14">
        <v>4</v>
      </c>
      <c r="AA219" s="14" t="s">
        <v>189</v>
      </c>
      <c r="AB219" s="15">
        <f>IFERROR(AVERAGE(Tabel1[[#This Row],[Up - R1a]:[Up - R1c]]),"")</f>
        <v>3</v>
      </c>
      <c r="AC219" s="14">
        <v>3</v>
      </c>
      <c r="AD219" s="14">
        <v>2</v>
      </c>
      <c r="AE219" s="14" t="s">
        <v>189</v>
      </c>
      <c r="AF219" s="14">
        <v>4</v>
      </c>
      <c r="AG219" s="14">
        <f>IFERROR(AVERAGE(Tabel1[[#This Row],[Up - R1]:[Up - R5]]),"")</f>
        <v>3</v>
      </c>
      <c r="AH219" s="14">
        <v>4</v>
      </c>
      <c r="AI219" s="14">
        <v>4</v>
      </c>
      <c r="AJ219" s="14">
        <v>3</v>
      </c>
      <c r="AK219" s="14">
        <f>IFERROR(AVERAGE(Tabel1[[#This Row],[Up - C1a]:[Up - C1c]]),"")</f>
        <v>3.6666666666666665</v>
      </c>
      <c r="AL219" s="14">
        <v>4</v>
      </c>
      <c r="AM219" s="14">
        <v>3</v>
      </c>
      <c r="AN219" s="14">
        <v>4</v>
      </c>
      <c r="AO219" s="14">
        <f>IFERROR(AVERAGE(Tabel1[[#This Row],[Up - C1]:[Up - C4]]),"")</f>
        <v>3.6666666666666665</v>
      </c>
      <c r="AP219" s="14">
        <v>3</v>
      </c>
      <c r="AQ219" s="14">
        <f>IFERROR(AVERAGE(Tabel1[[#This Row],[Up - F1a]:[Up - F1a]]),"")</f>
        <v>3</v>
      </c>
      <c r="AR219" s="14">
        <v>2</v>
      </c>
      <c r="AS219" s="14">
        <v>3</v>
      </c>
      <c r="AT219" s="14">
        <f>IFERROR(AVERAGE(Tabel1[[#This Row],[Up - F2a]:[Up - F2b]]),"")</f>
        <v>2.5</v>
      </c>
      <c r="AU219" s="14">
        <v>3</v>
      </c>
      <c r="AV219" s="14" t="s">
        <v>189</v>
      </c>
      <c r="AW219" s="14">
        <f>IFERROR(AVERAGE(Tabel1[[#This Row],[Up - F3a]:[Up - F3b]]),"")</f>
        <v>3</v>
      </c>
      <c r="AX219" s="14">
        <v>3</v>
      </c>
      <c r="AY219" s="14">
        <f>IFERROR(AVERAGE(Tabel1[[#This Row],[Up - F1]],Tabel1[[#This Row],[Up - F2]],Tabel1[[#This Row],[Up - F3]],Tabel1[[#This Row],[Up - F4]]),"")</f>
        <v>2.875</v>
      </c>
      <c r="AZ219" s="14" t="s">
        <v>189</v>
      </c>
      <c r="BA219" s="14">
        <v>4</v>
      </c>
      <c r="BB219" s="14">
        <f>IFERROR(AVERAGE(Tabel1[[#This Row],[Up - V1a]:[Up - V1b]]),"")</f>
        <v>4</v>
      </c>
      <c r="BC219" s="14">
        <v>4</v>
      </c>
      <c r="BD219" s="14">
        <v>3</v>
      </c>
      <c r="BE219" s="14">
        <v>3</v>
      </c>
      <c r="BF219" s="14">
        <f>IFERROR(AVERAGE(Tabel1[[#This Row],[Up - V2a]:[Up - V2c]]),"")</f>
        <v>3.3333333333333335</v>
      </c>
      <c r="BG219" s="14">
        <v>3</v>
      </c>
      <c r="BH219" s="14" t="s">
        <v>189</v>
      </c>
      <c r="BI219" s="14">
        <f>IFERROR(AVERAGE(Tabel1[[#This Row],[Up - V3a]:[Up - V3b]]),"")</f>
        <v>3</v>
      </c>
      <c r="BJ219" s="14" t="s">
        <v>189</v>
      </c>
      <c r="BK219" s="14">
        <f>IFERROR(AVERAGE(Tabel1[[#This Row],[Up - V1]],Tabel1[[#This Row],[Up - V2]],Tabel1[[#This Row],[Up - V3]],Tabel1[[#This Row],[Up - V4]]),"")</f>
        <v>3.4444444444444446</v>
      </c>
      <c r="BL219" s="14">
        <v>4</v>
      </c>
      <c r="BM219" s="14">
        <v>3</v>
      </c>
      <c r="BN219" s="14">
        <v>3</v>
      </c>
      <c r="BO219" s="14" t="s">
        <v>189</v>
      </c>
      <c r="BP219" s="14">
        <f>IFERROR(AVERAGE(Tabel1[[#This Row],[Up - A1a]:[Up - A1d]]),"")</f>
        <v>3.3333333333333335</v>
      </c>
      <c r="BQ219" s="14" t="s">
        <v>189</v>
      </c>
      <c r="BR219" s="14" t="s">
        <v>189</v>
      </c>
      <c r="BS219" s="14" t="str">
        <f>IFERROR(AVERAGE(Tabel1[[#This Row],[Up - A2a]:[Up - A2b]]),"")</f>
        <v/>
      </c>
      <c r="BT219" s="14">
        <v>4</v>
      </c>
      <c r="BU219" s="14">
        <f>IFERROR(AVERAGE(Tabel1[[#This Row],[Up - A3a]:[Up - A3a]]),"")</f>
        <v>4</v>
      </c>
      <c r="BV219" s="14" t="s">
        <v>189</v>
      </c>
      <c r="BW219" s="14">
        <f>IFERROR(AVERAGE(Tabel1[[#This Row],[Up - A1]],Tabel1[[#This Row],[Up - A2]],Tabel1[[#This Row],[Up - A3]]),"")</f>
        <v>3.666666666666667</v>
      </c>
      <c r="BX219" s="14" t="s">
        <v>189</v>
      </c>
      <c r="BY219" s="14">
        <v>3</v>
      </c>
      <c r="BZ219" s="14">
        <f>IFERROR(AVERAGE(Tabel1[[#This Row],[In - R1a]:[In - R1b]]),"")</f>
        <v>3</v>
      </c>
      <c r="CA219" s="14">
        <v>4</v>
      </c>
      <c r="CB219" s="14">
        <v>4</v>
      </c>
      <c r="CC219" s="14">
        <v>1</v>
      </c>
      <c r="CD219" s="14">
        <v>4</v>
      </c>
      <c r="CE219" s="14">
        <f>IFERROR(AVERAGE(Tabel1[[#This Row],[In - R1]:[In - R5]]),"")</f>
        <v>3.2</v>
      </c>
      <c r="CF219" s="14">
        <v>4</v>
      </c>
      <c r="CG219" s="14">
        <v>4</v>
      </c>
      <c r="CH219" s="14">
        <v>4</v>
      </c>
      <c r="CI219" s="14">
        <f>IFERROR(AVERAGE(Tabel1[[#This Row],[In - C1a]:[In - C1c]]),"")</f>
        <v>4</v>
      </c>
      <c r="CJ219" s="14">
        <v>4</v>
      </c>
      <c r="CK219" s="14">
        <v>4</v>
      </c>
      <c r="CL219" s="14" t="s">
        <v>189</v>
      </c>
      <c r="CM219" s="14">
        <f>IFERROR(AVERAGE(Tabel1[[#This Row],[In - C1]:[In - C4]]),"")</f>
        <v>4</v>
      </c>
      <c r="CN219" s="14">
        <v>3</v>
      </c>
      <c r="CO219" s="14">
        <v>1</v>
      </c>
      <c r="CP219" s="14">
        <v>3</v>
      </c>
      <c r="CQ219" s="14">
        <f>IFERROR(AVERAGE(Tabel1[[#This Row],[In - F1a]:[In - F1c]]),"")</f>
        <v>2.3333333333333335</v>
      </c>
      <c r="CR219" s="14">
        <v>4</v>
      </c>
      <c r="CS219" s="14">
        <v>3</v>
      </c>
      <c r="CT219" s="14">
        <f>IFERROR(AVERAGE(Tabel1[[#This Row],[In - F2a]:[In - F2b]]),"")</f>
        <v>3.5</v>
      </c>
      <c r="CU219" s="14">
        <v>3</v>
      </c>
      <c r="CV219" s="14">
        <f>IFERROR(AVERAGE(Tabel1[[#This Row],[In - F3a]:[In - F3a]]),"")</f>
        <v>3</v>
      </c>
      <c r="CW219" s="14">
        <v>3</v>
      </c>
      <c r="CX219" s="14">
        <f>IFERROR(AVERAGE(Tabel1[[#This Row],[In - F1]],Tabel1[[#This Row],[In - F2]],Tabel1[[#This Row],[In - F3]],Tabel1[[#This Row],[In - F4]]),"")</f>
        <v>2.9583333333333335</v>
      </c>
      <c r="CY219" s="14">
        <v>4</v>
      </c>
      <c r="CZ219" s="14">
        <v>4</v>
      </c>
      <c r="DA219" s="14">
        <v>4</v>
      </c>
      <c r="DB219" s="14">
        <f>IFERROR(AVERAGE(Tabel1[[#This Row],[In - V1a]:[In - V1c]]),"")</f>
        <v>4</v>
      </c>
      <c r="DC219" s="14">
        <v>3</v>
      </c>
      <c r="DD219" s="14">
        <v>3</v>
      </c>
      <c r="DE219" s="14">
        <v>3</v>
      </c>
      <c r="DF219" s="14">
        <f>IFERROR(AVERAGE(Tabel1[[#This Row],[In - V2a]:[In - V2c]]),"")</f>
        <v>3</v>
      </c>
      <c r="DG219" s="14">
        <v>3</v>
      </c>
      <c r="DH219" s="14" t="s">
        <v>189</v>
      </c>
      <c r="DI219" s="14">
        <f>IFERROR(AVERAGE(Tabel1[[#This Row],[In - V3a]:[In - V3b]]),"")</f>
        <v>3</v>
      </c>
      <c r="DJ219" s="14" t="s">
        <v>189</v>
      </c>
      <c r="DK219" s="14">
        <f>IFERROR(AVERAGE(Tabel1[[#This Row],[In - V1]],Tabel1[[#This Row],[In - V2]],Tabel1[[#This Row],[In - V3]],Tabel1[[#This Row],[In - V4]]),"")</f>
        <v>3.3333333333333335</v>
      </c>
      <c r="DL219" s="14">
        <v>2</v>
      </c>
      <c r="DM219" s="14">
        <v>3</v>
      </c>
      <c r="DN219" s="14">
        <f>IFERROR(AVERAGE(Tabel1[[#This Row],[In - A1a]:[In - A1b]]),"")</f>
        <v>2.5</v>
      </c>
      <c r="DO219" s="14" t="s">
        <v>189</v>
      </c>
      <c r="DP219" s="14">
        <v>3</v>
      </c>
      <c r="DQ219" s="14">
        <f>IFERROR(AVERAGE(Tabel1[[#This Row],[In - A2a]:[In - A2b]]),"")</f>
        <v>3</v>
      </c>
      <c r="DR219" s="14">
        <v>4</v>
      </c>
      <c r="DS219" s="14">
        <v>3</v>
      </c>
      <c r="DT219" s="14">
        <f>IFERROR(AVERAGE(Tabel1[[#This Row],[In - A3a]:[In - A3a]]),"")</f>
        <v>4</v>
      </c>
      <c r="DU219" s="14" t="s">
        <v>189</v>
      </c>
      <c r="DV219" s="14">
        <f>IFERROR(AVERAGE(Tabel1[[#This Row],[In - A1]],Tabel1[[#This Row],[In - A2]],Tabel1[[#This Row],[In - A3]],Tabel1[[#This Row],[In - A4]]),"")</f>
        <v>3.1666666666666665</v>
      </c>
      <c r="DW219" s="14" t="s">
        <v>189</v>
      </c>
      <c r="DX219" s="14">
        <v>2</v>
      </c>
      <c r="DY219" s="14" t="s">
        <v>189</v>
      </c>
      <c r="DZ219" s="14">
        <f>IFERROR(AVERAGE(Tabel1[[#This Row],[Do - R1a]:[Do - R1c]]),"")</f>
        <v>2</v>
      </c>
      <c r="EA219" s="14" t="s">
        <v>189</v>
      </c>
      <c r="EB219" s="14" t="s">
        <v>189</v>
      </c>
      <c r="EC219" s="14" t="s">
        <v>189</v>
      </c>
      <c r="ED219" s="14" t="s">
        <v>189</v>
      </c>
      <c r="EE219" s="14">
        <f>IFERROR(AVERAGE(Tabel1[[#This Row],[Do - R1]:[Do - R5]]),"")</f>
        <v>2</v>
      </c>
      <c r="EF219" s="14">
        <v>4</v>
      </c>
      <c r="EG219" s="14">
        <v>4</v>
      </c>
      <c r="EH219" s="14">
        <v>3</v>
      </c>
      <c r="EI219" s="14">
        <f>IFERROR(AVERAGE(Tabel1[[#This Row],[Do - C1a]:[Do - C1c]]),"")</f>
        <v>3.6666666666666665</v>
      </c>
      <c r="EJ219" s="14">
        <v>4</v>
      </c>
      <c r="EK219" s="14">
        <v>3</v>
      </c>
      <c r="EL219" s="14" t="s">
        <v>189</v>
      </c>
      <c r="EM219" s="14">
        <f>IFERROR(AVERAGE(Tabel1[[#This Row],[Do - C1]:[Do - C4]]),"")</f>
        <v>3.5555555555555554</v>
      </c>
      <c r="EN219" s="14">
        <v>2</v>
      </c>
      <c r="EO219" s="14">
        <v>2</v>
      </c>
      <c r="EP219" s="14" t="s">
        <v>189</v>
      </c>
      <c r="EQ219" s="14">
        <f>IFERROR(AVERAGE(Tabel1[[#This Row],[Do - F1a]:[Do - F1c]]),"")</f>
        <v>2</v>
      </c>
      <c r="ER219" s="14">
        <v>3</v>
      </c>
      <c r="ES219" s="14">
        <f>IFERROR(AVERAGE(Tabel1[[#This Row],[Do - F2a]:[Do - F2a]]),"")</f>
        <v>3</v>
      </c>
      <c r="ET219" s="14" t="s">
        <v>189</v>
      </c>
      <c r="EU219" s="14" t="s">
        <v>189</v>
      </c>
      <c r="EV219" s="14" t="str">
        <f>IFERROR(AVERAGE(Tabel1[[#This Row],[Do - F3a]:[Do - F3b]]),"")</f>
        <v/>
      </c>
      <c r="EW219" s="14">
        <v>3</v>
      </c>
      <c r="EX219" s="14">
        <f>IFERROR(AVERAGE(Tabel1[[#This Row],[Do - F1]],Tabel1[[#This Row],[Do - F2]],Tabel1[[#This Row],[Do - F3]],Tabel1[[#This Row],[Do - F4]]),"")</f>
        <v>2.6666666666666665</v>
      </c>
      <c r="EY219" s="14">
        <v>4</v>
      </c>
      <c r="EZ219" s="14">
        <v>3</v>
      </c>
      <c r="FA219" s="14">
        <v>4</v>
      </c>
      <c r="FB219" s="14">
        <f>IFERROR(AVERAGE(Tabel1[[#This Row],[Do - V1a]:[Do - V1c]]),"")</f>
        <v>3.6666666666666665</v>
      </c>
      <c r="FC219" s="14" t="s">
        <v>189</v>
      </c>
      <c r="FD219" s="14" t="s">
        <v>189</v>
      </c>
      <c r="FE219" s="14" t="str">
        <f>IFERROR(AVERAGE(Tabel1[[#This Row],[Do - V2a]:[Do - V2b]]),"")</f>
        <v/>
      </c>
      <c r="FF219" s="14">
        <v>3</v>
      </c>
      <c r="FG219" s="14">
        <f>IFERROR(AVERAGE(Tabel1[[#This Row],[Do - V3a]:[Do - V3a]]),"")</f>
        <v>3</v>
      </c>
      <c r="FH219" s="14" t="s">
        <v>189</v>
      </c>
      <c r="FI219" s="14">
        <f>IFERROR(AVERAGE(Tabel1[[#This Row],[Do - V1]],Tabel1[[#This Row],[Do - V2]],Tabel1[[#This Row],[Do - V3]],Tabel1[[#This Row],[Do - V4]]),"")</f>
        <v>3.333333333333333</v>
      </c>
      <c r="FJ219" s="14" t="s">
        <v>189</v>
      </c>
      <c r="FK219" s="14" t="s">
        <v>189</v>
      </c>
      <c r="FL219" s="14">
        <v>4</v>
      </c>
      <c r="FM219" s="14">
        <f>IFERROR(AVERAGE(Tabel1[[#This Row],[Do - A1a]:[Do - A1c]]),"")</f>
        <v>4</v>
      </c>
      <c r="FN219" s="14" t="s">
        <v>189</v>
      </c>
      <c r="FO219" s="14" t="s">
        <v>189</v>
      </c>
      <c r="FP219" s="14" t="str">
        <f>IFERROR(AVERAGE(Tabel1[[#This Row],[Do - A2a]:[Do - A2b]]),"")</f>
        <v/>
      </c>
      <c r="FQ219" s="14">
        <v>4</v>
      </c>
      <c r="FR219" s="14">
        <f>IFERROR(AVERAGE(Tabel1[[#This Row],[Do - A3a]:[Do - A3a]]),"")</f>
        <v>4</v>
      </c>
      <c r="FS219" s="14" t="s">
        <v>189</v>
      </c>
      <c r="FT219" s="14">
        <f>IFERROR(AVERAGE(Tabel1[[#This Row],[Do - A1]],Tabel1[[#This Row],[Do - A2]],Tabel1[[#This Row],[Do - A3]],Tabel1[[#This Row],[Do - A4]]),"")</f>
        <v>4</v>
      </c>
      <c r="FU21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3.2577777777777777</v>
      </c>
      <c r="FV219" s="16" t="s">
        <v>1189</v>
      </c>
      <c r="FW219" t="b">
        <v>1</v>
      </c>
    </row>
    <row r="220" spans="1:179" x14ac:dyDescent="0.3">
      <c r="A220" s="13">
        <v>45300.486956018503</v>
      </c>
      <c r="B220" t="b">
        <v>0</v>
      </c>
      <c r="C220" s="14" t="s">
        <v>1190</v>
      </c>
      <c r="D220" s="14" t="s">
        <v>1191</v>
      </c>
      <c r="E220" s="14" t="s">
        <v>1192</v>
      </c>
      <c r="F220" s="14" t="s">
        <v>184</v>
      </c>
      <c r="G220" s="14" t="s">
        <v>1193</v>
      </c>
      <c r="H220" s="14" t="s">
        <v>222</v>
      </c>
      <c r="I220" s="14" t="s">
        <v>195</v>
      </c>
      <c r="J220" s="14" t="s">
        <v>347</v>
      </c>
      <c r="K220" s="14" t="s">
        <v>201</v>
      </c>
      <c r="L220" s="14" t="s">
        <v>385</v>
      </c>
      <c r="M220" s="14" t="s">
        <v>233</v>
      </c>
      <c r="N220" s="14" t="s">
        <v>316</v>
      </c>
      <c r="O220" s="14" t="s">
        <v>256</v>
      </c>
      <c r="P220" s="25"/>
      <c r="Q220" s="17" t="s">
        <v>201</v>
      </c>
      <c r="R220" s="14" t="s">
        <v>201</v>
      </c>
      <c r="S220" s="14" t="s">
        <v>187</v>
      </c>
      <c r="T220" s="14" t="s">
        <v>236</v>
      </c>
      <c r="U220" s="14" t="s">
        <v>285</v>
      </c>
      <c r="V220" s="14" t="s">
        <v>359</v>
      </c>
      <c r="W220" s="14" t="s">
        <v>395</v>
      </c>
      <c r="X220" s="14" t="s">
        <v>207</v>
      </c>
      <c r="Y220" s="14">
        <v>3</v>
      </c>
      <c r="Z220" s="14">
        <v>4</v>
      </c>
      <c r="AA220" s="14">
        <v>3</v>
      </c>
      <c r="AB220" s="15">
        <f>IFERROR(AVERAGE(Tabel1[[#This Row],[Up - R1a]:[Up - R1c]]),"")</f>
        <v>3.3333333333333335</v>
      </c>
      <c r="AC220" s="14">
        <v>2</v>
      </c>
      <c r="AD220" s="14">
        <v>5</v>
      </c>
      <c r="AE220" s="14">
        <v>2</v>
      </c>
      <c r="AF220" s="14" t="s">
        <v>189</v>
      </c>
      <c r="AG220" s="14">
        <f>IFERROR(AVERAGE(Tabel1[[#This Row],[Up - R1]:[Up - R5]]),"")</f>
        <v>3.0833333333333335</v>
      </c>
      <c r="AH220" s="14">
        <v>3</v>
      </c>
      <c r="AI220" s="14" t="s">
        <v>189</v>
      </c>
      <c r="AJ220" s="14">
        <v>2</v>
      </c>
      <c r="AK220" s="14">
        <f>IFERROR(AVERAGE(Tabel1[[#This Row],[Up - C1a]:[Up - C1c]]),"")</f>
        <v>2.5</v>
      </c>
      <c r="AL220" s="14">
        <v>3</v>
      </c>
      <c r="AM220" s="14">
        <v>2</v>
      </c>
      <c r="AN220" s="14" t="s">
        <v>189</v>
      </c>
      <c r="AO220" s="14">
        <f>IFERROR(AVERAGE(Tabel1[[#This Row],[Up - C1]:[Up - C4]]),"")</f>
        <v>2.5</v>
      </c>
      <c r="AP220" s="14" t="s">
        <v>189</v>
      </c>
      <c r="AQ220" s="14" t="str">
        <f>IFERROR(AVERAGE(Tabel1[[#This Row],[Up - F1a]:[Up - F1a]]),"")</f>
        <v/>
      </c>
      <c r="AR220" s="14">
        <v>1</v>
      </c>
      <c r="AS220" s="14">
        <v>4</v>
      </c>
      <c r="AT220" s="14">
        <f>IFERROR(AVERAGE(Tabel1[[#This Row],[Up - F2a]:[Up - F2b]]),"")</f>
        <v>2.5</v>
      </c>
      <c r="AU220" s="14">
        <v>2</v>
      </c>
      <c r="AV220" s="14" t="s">
        <v>189</v>
      </c>
      <c r="AW220" s="14">
        <f>IFERROR(AVERAGE(Tabel1[[#This Row],[Up - F3a]:[Up - F3b]]),"")</f>
        <v>2</v>
      </c>
      <c r="AX220" s="14">
        <v>3</v>
      </c>
      <c r="AY220" s="14">
        <f>IFERROR(AVERAGE(Tabel1[[#This Row],[Up - F1]],Tabel1[[#This Row],[Up - F2]],Tabel1[[#This Row],[Up - F3]],Tabel1[[#This Row],[Up - F4]]),"")</f>
        <v>2.5</v>
      </c>
      <c r="AZ220" s="14" t="s">
        <v>189</v>
      </c>
      <c r="BA220" s="14">
        <v>3</v>
      </c>
      <c r="BB220" s="14">
        <f>IFERROR(AVERAGE(Tabel1[[#This Row],[Up - V1a]:[Up - V1b]]),"")</f>
        <v>3</v>
      </c>
      <c r="BC220" s="14">
        <v>4</v>
      </c>
      <c r="BD220" s="14">
        <v>3</v>
      </c>
      <c r="BE220" s="14">
        <v>3</v>
      </c>
      <c r="BF220" s="14">
        <f>IFERROR(AVERAGE(Tabel1[[#This Row],[Up - V2a]:[Up - V2c]]),"")</f>
        <v>3.3333333333333335</v>
      </c>
      <c r="BG220" s="14">
        <v>3</v>
      </c>
      <c r="BH220" s="14">
        <v>3</v>
      </c>
      <c r="BI220" s="14">
        <f>IFERROR(AVERAGE(Tabel1[[#This Row],[Up - V3a]:[Up - V3b]]),"")</f>
        <v>3</v>
      </c>
      <c r="BJ220" s="14" t="s">
        <v>189</v>
      </c>
      <c r="BK220" s="14">
        <f>IFERROR(AVERAGE(Tabel1[[#This Row],[Up - V1]],Tabel1[[#This Row],[Up - V2]],Tabel1[[#This Row],[Up - V3]],Tabel1[[#This Row],[Up - V4]]),"")</f>
        <v>3.1111111111111112</v>
      </c>
      <c r="BL220" s="14">
        <v>3</v>
      </c>
      <c r="BM220" s="14" t="s">
        <v>189</v>
      </c>
      <c r="BN220" s="14" t="s">
        <v>189</v>
      </c>
      <c r="BO220" s="14" t="s">
        <v>189</v>
      </c>
      <c r="BP220" s="14">
        <f>IFERROR(AVERAGE(Tabel1[[#This Row],[Up - A1a]:[Up - A1d]]),"")</f>
        <v>3</v>
      </c>
      <c r="BQ220" s="14" t="s">
        <v>189</v>
      </c>
      <c r="BR220" s="14">
        <v>3</v>
      </c>
      <c r="BS220" s="14">
        <f>IFERROR(AVERAGE(Tabel1[[#This Row],[Up - A2a]:[Up - A2b]]),"")</f>
        <v>3</v>
      </c>
      <c r="BT220" s="14">
        <v>3</v>
      </c>
      <c r="BU220" s="14">
        <f>IFERROR(AVERAGE(Tabel1[[#This Row],[Up - A3a]:[Up - A3a]]),"")</f>
        <v>3</v>
      </c>
      <c r="BV220" s="14" t="s">
        <v>189</v>
      </c>
      <c r="BW220" s="14">
        <f>IFERROR(AVERAGE(Tabel1[[#This Row],[Up - A1]],Tabel1[[#This Row],[Up - A2]],Tabel1[[#This Row],[Up - A3]]),"")</f>
        <v>3</v>
      </c>
      <c r="BX220" s="14">
        <v>2</v>
      </c>
      <c r="BY220" s="14">
        <v>3</v>
      </c>
      <c r="BZ220" s="14">
        <f>IFERROR(AVERAGE(Tabel1[[#This Row],[In - R1a]:[In - R1b]]),"")</f>
        <v>2.5</v>
      </c>
      <c r="CA220" s="14">
        <v>3</v>
      </c>
      <c r="CB220" s="14">
        <v>1</v>
      </c>
      <c r="CC220" s="14">
        <v>1</v>
      </c>
      <c r="CD220" s="14" t="s">
        <v>189</v>
      </c>
      <c r="CE220" s="14">
        <f>IFERROR(AVERAGE(Tabel1[[#This Row],[In - R1]:[In - R5]]),"")</f>
        <v>1.875</v>
      </c>
      <c r="CF220" s="14">
        <v>3</v>
      </c>
      <c r="CG220" s="14">
        <v>2</v>
      </c>
      <c r="CH220" s="14">
        <v>4</v>
      </c>
      <c r="CI220" s="14">
        <f>IFERROR(AVERAGE(Tabel1[[#This Row],[In - C1a]:[In - C1c]]),"")</f>
        <v>3</v>
      </c>
      <c r="CJ220" s="14">
        <v>2</v>
      </c>
      <c r="CK220" s="14">
        <v>3</v>
      </c>
      <c r="CL220" s="14" t="s">
        <v>189</v>
      </c>
      <c r="CM220" s="14">
        <f>IFERROR(AVERAGE(Tabel1[[#This Row],[In - C1]:[In - C4]]),"")</f>
        <v>2.6666666666666665</v>
      </c>
      <c r="CN220" s="14">
        <v>3</v>
      </c>
      <c r="CO220" s="14">
        <v>3</v>
      </c>
      <c r="CP220" s="14">
        <v>1</v>
      </c>
      <c r="CQ220" s="14">
        <f>IFERROR(AVERAGE(Tabel1[[#This Row],[In - F1a]:[In - F1c]]),"")</f>
        <v>2.3333333333333335</v>
      </c>
      <c r="CR220" s="14">
        <v>3</v>
      </c>
      <c r="CS220" s="14">
        <v>1</v>
      </c>
      <c r="CT220" s="14">
        <f>IFERROR(AVERAGE(Tabel1[[#This Row],[In - F2a]:[In - F2b]]),"")</f>
        <v>2</v>
      </c>
      <c r="CU220" s="14">
        <v>2</v>
      </c>
      <c r="CV220" s="14">
        <f>IFERROR(AVERAGE(Tabel1[[#This Row],[In - F3a]:[In - F3a]]),"")</f>
        <v>2</v>
      </c>
      <c r="CW220" s="14" t="s">
        <v>189</v>
      </c>
      <c r="CX220" s="14">
        <f>IFERROR(AVERAGE(Tabel1[[#This Row],[In - F1]],Tabel1[[#This Row],[In - F2]],Tabel1[[#This Row],[In - F3]],Tabel1[[#This Row],[In - F4]]),"")</f>
        <v>2.1111111111111112</v>
      </c>
      <c r="CY220" s="14">
        <v>3</v>
      </c>
      <c r="CZ220" s="14">
        <v>3</v>
      </c>
      <c r="DA220" s="14">
        <v>3</v>
      </c>
      <c r="DB220" s="14">
        <f>IFERROR(AVERAGE(Tabel1[[#This Row],[In - V1a]:[In - V1c]]),"")</f>
        <v>3</v>
      </c>
      <c r="DC220" s="14" t="s">
        <v>189</v>
      </c>
      <c r="DD220" s="14">
        <v>3</v>
      </c>
      <c r="DE220" s="14">
        <v>2</v>
      </c>
      <c r="DF220" s="14">
        <f>IFERROR(AVERAGE(Tabel1[[#This Row],[In - V2a]:[In - V2c]]),"")</f>
        <v>2.5</v>
      </c>
      <c r="DG220" s="14" t="s">
        <v>189</v>
      </c>
      <c r="DH220" s="14" t="s">
        <v>189</v>
      </c>
      <c r="DI220" s="14" t="str">
        <f>IFERROR(AVERAGE(Tabel1[[#This Row],[In - V3a]:[In - V3b]]),"")</f>
        <v/>
      </c>
      <c r="DJ220" s="14">
        <v>4</v>
      </c>
      <c r="DK220" s="14">
        <f>IFERROR(AVERAGE(Tabel1[[#This Row],[In - V1]],Tabel1[[#This Row],[In - V2]],Tabel1[[#This Row],[In - V3]],Tabel1[[#This Row],[In - V4]]),"")</f>
        <v>3.1666666666666665</v>
      </c>
      <c r="DL220" s="14">
        <v>1</v>
      </c>
      <c r="DM220" s="14">
        <v>3</v>
      </c>
      <c r="DN220" s="14">
        <f>IFERROR(AVERAGE(Tabel1[[#This Row],[In - A1a]:[In - A1b]]),"")</f>
        <v>2</v>
      </c>
      <c r="DO220" s="14">
        <v>2</v>
      </c>
      <c r="DP220" s="14">
        <v>3</v>
      </c>
      <c r="DQ220" s="14">
        <f>IFERROR(AVERAGE(Tabel1[[#This Row],[In - A2a]:[In - A2b]]),"")</f>
        <v>2.5</v>
      </c>
      <c r="DR220" s="14">
        <v>3</v>
      </c>
      <c r="DS220" s="14" t="s">
        <v>189</v>
      </c>
      <c r="DT220" s="14">
        <f>IFERROR(AVERAGE(Tabel1[[#This Row],[In - A3a]:[In - A3a]]),"")</f>
        <v>3</v>
      </c>
      <c r="DU220" s="14">
        <v>3</v>
      </c>
      <c r="DV220" s="14">
        <f>IFERROR(AVERAGE(Tabel1[[#This Row],[In - A1]],Tabel1[[#This Row],[In - A2]],Tabel1[[#This Row],[In - A3]],Tabel1[[#This Row],[In - A4]]),"")</f>
        <v>2.625</v>
      </c>
      <c r="DW220" s="14">
        <v>2</v>
      </c>
      <c r="DX220" s="14">
        <v>5</v>
      </c>
      <c r="DY220" s="14" t="s">
        <v>189</v>
      </c>
      <c r="DZ220" s="14">
        <f>IFERROR(AVERAGE(Tabel1[[#This Row],[Do - R1a]:[Do - R1c]]),"")</f>
        <v>3.5</v>
      </c>
      <c r="EA220" s="14" t="s">
        <v>189</v>
      </c>
      <c r="EB220" s="14">
        <v>4</v>
      </c>
      <c r="EC220" s="14">
        <v>1</v>
      </c>
      <c r="ED220" s="14" t="s">
        <v>189</v>
      </c>
      <c r="EE220" s="14">
        <f>IFERROR(AVERAGE(Tabel1[[#This Row],[Do - R1]:[Do - R5]]),"")</f>
        <v>2.8333333333333335</v>
      </c>
      <c r="EF220" s="14" t="s">
        <v>189</v>
      </c>
      <c r="EG220" s="14">
        <v>3</v>
      </c>
      <c r="EH220" s="14">
        <v>3</v>
      </c>
      <c r="EI220" s="14">
        <f>IFERROR(AVERAGE(Tabel1[[#This Row],[Do - C1a]:[Do - C1c]]),"")</f>
        <v>3</v>
      </c>
      <c r="EJ220" s="14" t="s">
        <v>189</v>
      </c>
      <c r="EK220" s="14">
        <v>2</v>
      </c>
      <c r="EL220" s="14" t="s">
        <v>189</v>
      </c>
      <c r="EM220" s="14">
        <f>IFERROR(AVERAGE(Tabel1[[#This Row],[Do - C1]:[Do - C4]]),"")</f>
        <v>2.5</v>
      </c>
      <c r="EN220" s="14" t="s">
        <v>189</v>
      </c>
      <c r="EO220" s="14" t="s">
        <v>189</v>
      </c>
      <c r="EP220" s="14" t="s">
        <v>189</v>
      </c>
      <c r="EQ220" s="14" t="str">
        <f>IFERROR(AVERAGE(Tabel1[[#This Row],[Do - F1a]:[Do - F1c]]),"")</f>
        <v/>
      </c>
      <c r="ER220" s="14" t="s">
        <v>189</v>
      </c>
      <c r="ES220" s="14" t="str">
        <f>IFERROR(AVERAGE(Tabel1[[#This Row],[Do - F2a]:[Do - F2a]]),"")</f>
        <v/>
      </c>
      <c r="ET220" s="14">
        <v>3</v>
      </c>
      <c r="EU220" s="14" t="s">
        <v>189</v>
      </c>
      <c r="EV220" s="14">
        <f>IFERROR(AVERAGE(Tabel1[[#This Row],[Do - F3a]:[Do - F3b]]),"")</f>
        <v>3</v>
      </c>
      <c r="EW220" s="14" t="s">
        <v>189</v>
      </c>
      <c r="EX220" s="14">
        <f>IFERROR(AVERAGE(Tabel1[[#This Row],[Do - F1]],Tabel1[[#This Row],[Do - F2]],Tabel1[[#This Row],[Do - F3]],Tabel1[[#This Row],[Do - F4]]),"")</f>
        <v>3</v>
      </c>
      <c r="EY220" s="14" t="s">
        <v>189</v>
      </c>
      <c r="EZ220" s="14">
        <v>3</v>
      </c>
      <c r="FA220" s="14">
        <v>3</v>
      </c>
      <c r="FB220" s="14">
        <f>IFERROR(AVERAGE(Tabel1[[#This Row],[Do - V1a]:[Do - V1c]]),"")</f>
        <v>3</v>
      </c>
      <c r="FC220" s="14" t="s">
        <v>189</v>
      </c>
      <c r="FD220" s="14">
        <v>1</v>
      </c>
      <c r="FE220" s="14">
        <f>IFERROR(AVERAGE(Tabel1[[#This Row],[Do - V2a]:[Do - V2b]]),"")</f>
        <v>1</v>
      </c>
      <c r="FF220" s="14" t="s">
        <v>189</v>
      </c>
      <c r="FG220" s="14" t="str">
        <f>IFERROR(AVERAGE(Tabel1[[#This Row],[Do - V3a]:[Do - V3a]]),"")</f>
        <v/>
      </c>
      <c r="FH220" s="14">
        <v>4</v>
      </c>
      <c r="FI220" s="14">
        <f>IFERROR(AVERAGE(Tabel1[[#This Row],[Do - V1]],Tabel1[[#This Row],[Do - V2]],Tabel1[[#This Row],[Do - V3]],Tabel1[[#This Row],[Do - V4]]),"")</f>
        <v>2.6666666666666665</v>
      </c>
      <c r="FJ220" s="14" t="s">
        <v>189</v>
      </c>
      <c r="FK220" s="14">
        <v>3</v>
      </c>
      <c r="FL220" s="14" t="s">
        <v>189</v>
      </c>
      <c r="FM220" s="14">
        <f>IFERROR(AVERAGE(Tabel1[[#This Row],[Do - A1a]:[Do - A1c]]),"")</f>
        <v>3</v>
      </c>
      <c r="FN220" s="14">
        <v>3</v>
      </c>
      <c r="FO220" s="14">
        <v>5</v>
      </c>
      <c r="FP220" s="14">
        <f>IFERROR(AVERAGE(Tabel1[[#This Row],[Do - A2a]:[Do - A2b]]),"")</f>
        <v>4</v>
      </c>
      <c r="FQ220" s="14">
        <v>2</v>
      </c>
      <c r="FR220" s="14">
        <f>IFERROR(AVERAGE(Tabel1[[#This Row],[Do - A3a]:[Do - A3a]]),"")</f>
        <v>2</v>
      </c>
      <c r="FS220" s="14" t="s">
        <v>189</v>
      </c>
      <c r="FT220" s="14">
        <f>IFERROR(AVERAGE(Tabel1[[#This Row],[Do - A1]],Tabel1[[#This Row],[Do - A2]],Tabel1[[#This Row],[Do - A3]],Tabel1[[#This Row],[Do - A4]]),"")</f>
        <v>3</v>
      </c>
      <c r="FU22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2.7092592592592593</v>
      </c>
      <c r="FV220" s="14" t="s">
        <v>1194</v>
      </c>
      <c r="FW220" t="b">
        <v>1</v>
      </c>
    </row>
    <row r="221" spans="1:179" x14ac:dyDescent="0.3">
      <c r="A221" s="13">
        <v>45300.494641203702</v>
      </c>
      <c r="B221" t="b">
        <v>0</v>
      </c>
      <c r="C221" s="14" t="s">
        <v>1195</v>
      </c>
      <c r="D221" s="14" t="s">
        <v>1196</v>
      </c>
      <c r="E221" s="14" t="s">
        <v>1197</v>
      </c>
      <c r="F221" s="14" t="s">
        <v>184</v>
      </c>
      <c r="G221" s="14" t="s">
        <v>1198</v>
      </c>
      <c r="H221" s="14" t="s">
        <v>222</v>
      </c>
      <c r="I221" s="14" t="s">
        <v>195</v>
      </c>
      <c r="J221" s="14" t="s">
        <v>347</v>
      </c>
      <c r="K221" s="14" t="s">
        <v>201</v>
      </c>
      <c r="L221" s="14" t="s">
        <v>249</v>
      </c>
      <c r="M221" s="14" t="s">
        <v>198</v>
      </c>
      <c r="N221" s="14" t="s">
        <v>199</v>
      </c>
      <c r="O221" s="14"/>
      <c r="P221" s="24" t="s">
        <v>304</v>
      </c>
      <c r="Q221" s="17" t="s">
        <v>201</v>
      </c>
      <c r="R221" s="14" t="s">
        <v>201</v>
      </c>
      <c r="S221" s="14" t="s">
        <v>235</v>
      </c>
      <c r="T221" s="14" t="s">
        <v>236</v>
      </c>
      <c r="U221" s="14" t="s">
        <v>205</v>
      </c>
      <c r="V221" s="14" t="s">
        <v>224</v>
      </c>
      <c r="W221" s="14" t="s">
        <v>207</v>
      </c>
      <c r="X221" s="14" t="s">
        <v>207</v>
      </c>
      <c r="Y221" s="14">
        <v>2</v>
      </c>
      <c r="Z221" s="14">
        <v>3</v>
      </c>
      <c r="AA221" s="14">
        <v>3</v>
      </c>
      <c r="AB221" s="15">
        <f>IFERROR(AVERAGE(Tabel1[[#This Row],[Up - R1a]:[Up - R1c]]),"")</f>
        <v>2.6666666666666665</v>
      </c>
      <c r="AC221" s="14">
        <v>1</v>
      </c>
      <c r="AD221" s="14">
        <v>4</v>
      </c>
      <c r="AE221" s="14">
        <v>2</v>
      </c>
      <c r="AF221" s="14" t="s">
        <v>189</v>
      </c>
      <c r="AG221" s="14">
        <f>IFERROR(AVERAGE(Tabel1[[#This Row],[Up - R1]:[Up - R5]]),"")</f>
        <v>2.4166666666666665</v>
      </c>
      <c r="AH221" s="14">
        <v>3</v>
      </c>
      <c r="AI221" s="14">
        <v>2</v>
      </c>
      <c r="AJ221" s="14">
        <v>1</v>
      </c>
      <c r="AK221" s="14">
        <f>IFERROR(AVERAGE(Tabel1[[#This Row],[Up - C1a]:[Up - C1c]]),"")</f>
        <v>2</v>
      </c>
      <c r="AL221" s="14">
        <v>2</v>
      </c>
      <c r="AM221" s="14">
        <v>2</v>
      </c>
      <c r="AN221" s="14" t="s">
        <v>189</v>
      </c>
      <c r="AO221" s="14">
        <f>IFERROR(AVERAGE(Tabel1[[#This Row],[Up - C1]:[Up - C4]]),"")</f>
        <v>2</v>
      </c>
      <c r="AP221" s="14">
        <v>2</v>
      </c>
      <c r="AQ221" s="14">
        <f>IFERROR(AVERAGE(Tabel1[[#This Row],[Up - F1a]:[Up - F1a]]),"")</f>
        <v>2</v>
      </c>
      <c r="AR221" s="14">
        <v>3</v>
      </c>
      <c r="AS221" s="14">
        <v>4</v>
      </c>
      <c r="AT221" s="14">
        <f>IFERROR(AVERAGE(Tabel1[[#This Row],[Up - F2a]:[Up - F2b]]),"")</f>
        <v>3.5</v>
      </c>
      <c r="AU221" s="14">
        <v>3</v>
      </c>
      <c r="AV221" s="14">
        <v>2</v>
      </c>
      <c r="AW221" s="14">
        <f>IFERROR(AVERAGE(Tabel1[[#This Row],[Up - F3a]:[Up - F3b]]),"")</f>
        <v>2.5</v>
      </c>
      <c r="AX221" s="14" t="s">
        <v>189</v>
      </c>
      <c r="AY221" s="14">
        <f>IFERROR(AVERAGE(Tabel1[[#This Row],[Up - F1]],Tabel1[[#This Row],[Up - F2]],Tabel1[[#This Row],[Up - F3]],Tabel1[[#This Row],[Up - F4]]),"")</f>
        <v>2.6666666666666665</v>
      </c>
      <c r="AZ221" s="14">
        <v>2</v>
      </c>
      <c r="BA221" s="14">
        <v>2</v>
      </c>
      <c r="BB221" s="14">
        <f>IFERROR(AVERAGE(Tabel1[[#This Row],[Up - V1a]:[Up - V1b]]),"")</f>
        <v>2</v>
      </c>
      <c r="BC221" s="14">
        <v>3</v>
      </c>
      <c r="BD221" s="14">
        <v>3</v>
      </c>
      <c r="BE221" s="14">
        <v>3</v>
      </c>
      <c r="BF221" s="14">
        <f>IFERROR(AVERAGE(Tabel1[[#This Row],[Up - V2a]:[Up - V2c]]),"")</f>
        <v>3</v>
      </c>
      <c r="BG221" s="14">
        <v>2</v>
      </c>
      <c r="BH221" s="14">
        <v>3</v>
      </c>
      <c r="BI221" s="14">
        <f>IFERROR(AVERAGE(Tabel1[[#This Row],[Up - V3a]:[Up - V3b]]),"")</f>
        <v>2.5</v>
      </c>
      <c r="BJ221" s="14" t="s">
        <v>189</v>
      </c>
      <c r="BK221" s="14">
        <f>IFERROR(AVERAGE(Tabel1[[#This Row],[Up - V1]],Tabel1[[#This Row],[Up - V2]],Tabel1[[#This Row],[Up - V3]],Tabel1[[#This Row],[Up - V4]]),"")</f>
        <v>2.5</v>
      </c>
      <c r="BL221" s="14">
        <v>3</v>
      </c>
      <c r="BM221" s="14">
        <v>3</v>
      </c>
      <c r="BN221" s="14">
        <v>3</v>
      </c>
      <c r="BO221" s="14">
        <v>3</v>
      </c>
      <c r="BP221" s="14">
        <f>IFERROR(AVERAGE(Tabel1[[#This Row],[Up - A1a]:[Up - A1d]]),"")</f>
        <v>3</v>
      </c>
      <c r="BQ221" s="14">
        <v>2</v>
      </c>
      <c r="BR221" s="14">
        <v>4</v>
      </c>
      <c r="BS221" s="14">
        <f>IFERROR(AVERAGE(Tabel1[[#This Row],[Up - A2a]:[Up - A2b]]),"")</f>
        <v>3</v>
      </c>
      <c r="BT221" s="14">
        <v>3</v>
      </c>
      <c r="BU221" s="14">
        <f>IFERROR(AVERAGE(Tabel1[[#This Row],[Up - A3a]:[Up - A3a]]),"")</f>
        <v>3</v>
      </c>
      <c r="BV221" s="14" t="s">
        <v>189</v>
      </c>
      <c r="BW221" s="14">
        <f>IFERROR(AVERAGE(Tabel1[[#This Row],[Up - A1]],Tabel1[[#This Row],[Up - A2]],Tabel1[[#This Row],[Up - A3]]),"")</f>
        <v>3</v>
      </c>
      <c r="BX221" s="14">
        <v>2</v>
      </c>
      <c r="BY221" s="14">
        <v>3</v>
      </c>
      <c r="BZ221" s="14">
        <f>IFERROR(AVERAGE(Tabel1[[#This Row],[In - R1a]:[In - R1b]]),"")</f>
        <v>2.5</v>
      </c>
      <c r="CA221" s="14">
        <v>3</v>
      </c>
      <c r="CB221" s="14">
        <v>2</v>
      </c>
      <c r="CC221" s="14">
        <v>1</v>
      </c>
      <c r="CD221" s="14" t="s">
        <v>189</v>
      </c>
      <c r="CE221" s="14">
        <f>IFERROR(AVERAGE(Tabel1[[#This Row],[In - R1]:[In - R5]]),"")</f>
        <v>2.125</v>
      </c>
      <c r="CF221" s="14">
        <v>2</v>
      </c>
      <c r="CG221" s="14">
        <v>1</v>
      </c>
      <c r="CH221" s="14">
        <v>2</v>
      </c>
      <c r="CI221" s="14">
        <f>IFERROR(AVERAGE(Tabel1[[#This Row],[In - C1a]:[In - C1c]]),"")</f>
        <v>1.6666666666666667</v>
      </c>
      <c r="CJ221" s="14">
        <v>2</v>
      </c>
      <c r="CK221" s="14">
        <v>3</v>
      </c>
      <c r="CL221" s="14" t="s">
        <v>189</v>
      </c>
      <c r="CM221" s="14">
        <f>IFERROR(AVERAGE(Tabel1[[#This Row],[In - C1]:[In - C4]]),"")</f>
        <v>2.2222222222222223</v>
      </c>
      <c r="CN221" s="14">
        <v>3</v>
      </c>
      <c r="CO221" s="14">
        <v>2</v>
      </c>
      <c r="CP221" s="14">
        <v>2</v>
      </c>
      <c r="CQ221" s="14">
        <f>IFERROR(AVERAGE(Tabel1[[#This Row],[In - F1a]:[In - F1c]]),"")</f>
        <v>2.3333333333333335</v>
      </c>
      <c r="CR221" s="14">
        <v>4</v>
      </c>
      <c r="CS221" s="14">
        <v>3</v>
      </c>
      <c r="CT221" s="14">
        <f>IFERROR(AVERAGE(Tabel1[[#This Row],[In - F2a]:[In - F2b]]),"")</f>
        <v>3.5</v>
      </c>
      <c r="CU221" s="14">
        <v>3</v>
      </c>
      <c r="CV221" s="14">
        <f>IFERROR(AVERAGE(Tabel1[[#This Row],[In - F3a]:[In - F3a]]),"")</f>
        <v>3</v>
      </c>
      <c r="CW221" s="14" t="s">
        <v>189</v>
      </c>
      <c r="CX221" s="14">
        <f>IFERROR(AVERAGE(Tabel1[[#This Row],[In - F1]],Tabel1[[#This Row],[In - F2]],Tabel1[[#This Row],[In - F3]],Tabel1[[#This Row],[In - F4]]),"")</f>
        <v>2.9444444444444446</v>
      </c>
      <c r="CY221" s="14">
        <v>3</v>
      </c>
      <c r="CZ221" s="14">
        <v>2</v>
      </c>
      <c r="DA221" s="14">
        <v>2</v>
      </c>
      <c r="DB221" s="14">
        <f>IFERROR(AVERAGE(Tabel1[[#This Row],[In - V1a]:[In - V1c]]),"")</f>
        <v>2.3333333333333335</v>
      </c>
      <c r="DC221" s="14">
        <v>3</v>
      </c>
      <c r="DD221" s="14">
        <v>3</v>
      </c>
      <c r="DE221" s="14">
        <v>2</v>
      </c>
      <c r="DF221" s="14">
        <f>IFERROR(AVERAGE(Tabel1[[#This Row],[In - V2a]:[In - V2c]]),"")</f>
        <v>2.6666666666666665</v>
      </c>
      <c r="DG221" s="14">
        <v>2</v>
      </c>
      <c r="DH221" s="14">
        <v>2</v>
      </c>
      <c r="DI221" s="14">
        <f>IFERROR(AVERAGE(Tabel1[[#This Row],[In - V3a]:[In - V3b]]),"")</f>
        <v>2</v>
      </c>
      <c r="DJ221" s="14" t="s">
        <v>189</v>
      </c>
      <c r="DK221" s="14">
        <f>IFERROR(AVERAGE(Tabel1[[#This Row],[In - V1]],Tabel1[[#This Row],[In - V2]],Tabel1[[#This Row],[In - V3]],Tabel1[[#This Row],[In - V4]]),"")</f>
        <v>2.3333333333333335</v>
      </c>
      <c r="DL221" s="14">
        <v>4</v>
      </c>
      <c r="DM221" s="14">
        <v>3</v>
      </c>
      <c r="DN221" s="14">
        <f>IFERROR(AVERAGE(Tabel1[[#This Row],[In - A1a]:[In - A1b]]),"")</f>
        <v>3.5</v>
      </c>
      <c r="DO221" s="14">
        <v>3</v>
      </c>
      <c r="DP221" s="14">
        <v>3</v>
      </c>
      <c r="DQ221" s="14">
        <f>IFERROR(AVERAGE(Tabel1[[#This Row],[In - A2a]:[In - A2b]]),"")</f>
        <v>3</v>
      </c>
      <c r="DR221" s="14">
        <v>3</v>
      </c>
      <c r="DS221" s="14">
        <v>2</v>
      </c>
      <c r="DT221" s="14">
        <f>IFERROR(AVERAGE(Tabel1[[#This Row],[In - A3a]:[In - A3a]]),"")</f>
        <v>3</v>
      </c>
      <c r="DU221" s="14" t="s">
        <v>189</v>
      </c>
      <c r="DV221" s="14">
        <f>IFERROR(AVERAGE(Tabel1[[#This Row],[In - A1]],Tabel1[[#This Row],[In - A2]],Tabel1[[#This Row],[In - A3]],Tabel1[[#This Row],[In - A4]]),"")</f>
        <v>3.1666666666666665</v>
      </c>
      <c r="DW221" s="14">
        <v>2</v>
      </c>
      <c r="DX221" s="14">
        <v>4</v>
      </c>
      <c r="DY221" s="14">
        <v>3</v>
      </c>
      <c r="DZ221" s="14">
        <f>IFERROR(AVERAGE(Tabel1[[#This Row],[Do - R1a]:[Do - R1c]]),"")</f>
        <v>3</v>
      </c>
      <c r="EA221" s="14">
        <v>2</v>
      </c>
      <c r="EB221" s="14">
        <v>4</v>
      </c>
      <c r="EC221" s="14">
        <v>1</v>
      </c>
      <c r="ED221" s="14" t="s">
        <v>189</v>
      </c>
      <c r="EE221" s="14">
        <f>IFERROR(AVERAGE(Tabel1[[#This Row],[Do - R1]:[Do - R5]]),"")</f>
        <v>2.5</v>
      </c>
      <c r="EF221" s="14">
        <v>3</v>
      </c>
      <c r="EG221" s="14">
        <v>2</v>
      </c>
      <c r="EH221" s="14">
        <v>1</v>
      </c>
      <c r="EI221" s="14">
        <f>IFERROR(AVERAGE(Tabel1[[#This Row],[Do - C1a]:[Do - C1c]]),"")</f>
        <v>2</v>
      </c>
      <c r="EJ221" s="14">
        <v>1</v>
      </c>
      <c r="EK221" s="14" t="s">
        <v>189</v>
      </c>
      <c r="EL221" s="14" t="s">
        <v>189</v>
      </c>
      <c r="EM221" s="14">
        <f>IFERROR(AVERAGE(Tabel1[[#This Row],[Do - C1]:[Do - C4]]),"")</f>
        <v>1.5</v>
      </c>
      <c r="EN221" s="14">
        <v>3</v>
      </c>
      <c r="EO221" s="14">
        <v>2</v>
      </c>
      <c r="EP221" s="14">
        <v>2</v>
      </c>
      <c r="EQ221" s="14">
        <f>IFERROR(AVERAGE(Tabel1[[#This Row],[Do - F1a]:[Do - F1c]]),"")</f>
        <v>2.3333333333333335</v>
      </c>
      <c r="ER221" s="14">
        <v>2</v>
      </c>
      <c r="ES221" s="14">
        <f>IFERROR(AVERAGE(Tabel1[[#This Row],[Do - F2a]:[Do - F2a]]),"")</f>
        <v>2</v>
      </c>
      <c r="ET221" s="14">
        <v>3</v>
      </c>
      <c r="EU221" s="14">
        <v>3</v>
      </c>
      <c r="EV221" s="14">
        <f>IFERROR(AVERAGE(Tabel1[[#This Row],[Do - F3a]:[Do - F3b]]),"")</f>
        <v>3</v>
      </c>
      <c r="EW221" s="14" t="s">
        <v>189</v>
      </c>
      <c r="EX221" s="14">
        <f>IFERROR(AVERAGE(Tabel1[[#This Row],[Do - F1]],Tabel1[[#This Row],[Do - F2]],Tabel1[[#This Row],[Do - F3]],Tabel1[[#This Row],[Do - F4]]),"")</f>
        <v>2.4444444444444446</v>
      </c>
      <c r="EY221" s="14">
        <v>2</v>
      </c>
      <c r="EZ221" s="14">
        <v>3</v>
      </c>
      <c r="FA221" s="14">
        <v>2</v>
      </c>
      <c r="FB221" s="14">
        <f>IFERROR(AVERAGE(Tabel1[[#This Row],[Do - V1a]:[Do - V1c]]),"")</f>
        <v>2.3333333333333335</v>
      </c>
      <c r="FC221" s="14">
        <v>2</v>
      </c>
      <c r="FD221" s="14">
        <v>3</v>
      </c>
      <c r="FE221" s="14">
        <f>IFERROR(AVERAGE(Tabel1[[#This Row],[Do - V2a]:[Do - V2b]]),"")</f>
        <v>2.5</v>
      </c>
      <c r="FF221" s="14">
        <v>2</v>
      </c>
      <c r="FG221" s="14">
        <f>IFERROR(AVERAGE(Tabel1[[#This Row],[Do - V3a]:[Do - V3a]]),"")</f>
        <v>2</v>
      </c>
      <c r="FH221" s="14" t="s">
        <v>189</v>
      </c>
      <c r="FI221" s="14">
        <f>IFERROR(AVERAGE(Tabel1[[#This Row],[Do - V1]],Tabel1[[#This Row],[Do - V2]],Tabel1[[#This Row],[Do - V3]],Tabel1[[#This Row],[Do - V4]]),"")</f>
        <v>2.2777777777777781</v>
      </c>
      <c r="FJ221" s="14">
        <v>3</v>
      </c>
      <c r="FK221" s="14">
        <v>2</v>
      </c>
      <c r="FL221" s="14">
        <v>3</v>
      </c>
      <c r="FM221" s="14">
        <f>IFERROR(AVERAGE(Tabel1[[#This Row],[Do - A1a]:[Do - A1c]]),"")</f>
        <v>2.6666666666666665</v>
      </c>
      <c r="FN221" s="14">
        <v>3</v>
      </c>
      <c r="FO221" s="14">
        <v>4</v>
      </c>
      <c r="FP221" s="14">
        <f>IFERROR(AVERAGE(Tabel1[[#This Row],[Do - A2a]:[Do - A2b]]),"")</f>
        <v>3.5</v>
      </c>
      <c r="FQ221" s="14">
        <v>3</v>
      </c>
      <c r="FR221" s="14">
        <f>IFERROR(AVERAGE(Tabel1[[#This Row],[Do - A3a]:[Do - A3a]]),"")</f>
        <v>3</v>
      </c>
      <c r="FS221" s="14" t="s">
        <v>189</v>
      </c>
      <c r="FT221" s="14">
        <f>IFERROR(AVERAGE(Tabel1[[#This Row],[Do - A1]],Tabel1[[#This Row],[Do - A2]],Tabel1[[#This Row],[Do - A3]],Tabel1[[#This Row],[Do - A4]]),"")</f>
        <v>3.0555555555555554</v>
      </c>
      <c r="FU22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2.4768518518518521</v>
      </c>
      <c r="FV221" s="14" t="s">
        <v>1199</v>
      </c>
      <c r="FW221" t="b">
        <v>1</v>
      </c>
    </row>
    <row r="222" spans="1:179" x14ac:dyDescent="0.3">
      <c r="A222" s="13">
        <v>45309.537708333301</v>
      </c>
      <c r="B222" t="b">
        <v>0</v>
      </c>
      <c r="C222" s="14" t="s">
        <v>1200</v>
      </c>
      <c r="D222" s="14" t="s">
        <v>1201</v>
      </c>
      <c r="E222" s="14" t="s">
        <v>1202</v>
      </c>
      <c r="F222" s="14" t="s">
        <v>189</v>
      </c>
      <c r="G222" s="14" t="s">
        <v>1203</v>
      </c>
      <c r="H222" s="14" t="s">
        <v>194</v>
      </c>
      <c r="I222" s="14"/>
      <c r="J222" s="14"/>
      <c r="K222" s="14"/>
      <c r="L222" s="14"/>
      <c r="M222" s="14"/>
      <c r="N222" s="14"/>
      <c r="O222" s="14"/>
      <c r="P222" s="25"/>
      <c r="Q222" s="17"/>
      <c r="R222" s="14"/>
      <c r="S222" s="14"/>
      <c r="T222" s="14"/>
      <c r="U222" s="14"/>
      <c r="V222" s="14"/>
      <c r="W222" s="14"/>
      <c r="X222" s="14"/>
      <c r="Y222" s="14" t="s">
        <v>189</v>
      </c>
      <c r="Z222" s="14" t="s">
        <v>189</v>
      </c>
      <c r="AA222" s="14" t="s">
        <v>189</v>
      </c>
      <c r="AB222" s="15" t="str">
        <f>IFERROR(AVERAGE(Tabel1[[#This Row],[Up - R1a]:[Up - R1c]]),"")</f>
        <v/>
      </c>
      <c r="AC222" s="14" t="s">
        <v>189</v>
      </c>
      <c r="AD222" s="14" t="s">
        <v>189</v>
      </c>
      <c r="AE222" s="14" t="s">
        <v>189</v>
      </c>
      <c r="AF222" s="14" t="s">
        <v>189</v>
      </c>
      <c r="AG222" s="14" t="str">
        <f>IFERROR(AVERAGE(Tabel1[[#This Row],[Up - R1]:[Up - R5]]),"")</f>
        <v/>
      </c>
      <c r="AH222" s="14" t="s">
        <v>189</v>
      </c>
      <c r="AI222" s="14" t="s">
        <v>189</v>
      </c>
      <c r="AJ222" s="14" t="s">
        <v>189</v>
      </c>
      <c r="AK222" s="14" t="str">
        <f>IFERROR(AVERAGE(Tabel1[[#This Row],[Up - C1a]:[Up - C1c]]),"")</f>
        <v/>
      </c>
      <c r="AL222" s="14" t="s">
        <v>189</v>
      </c>
      <c r="AM222" s="14" t="s">
        <v>189</v>
      </c>
      <c r="AN222" s="14" t="s">
        <v>189</v>
      </c>
      <c r="AO222" s="14" t="str">
        <f>IFERROR(AVERAGE(Tabel1[[#This Row],[Up - C1]:[Up - C4]]),"")</f>
        <v/>
      </c>
      <c r="AP222" s="14" t="s">
        <v>189</v>
      </c>
      <c r="AQ222" s="14" t="str">
        <f>IFERROR(AVERAGE(Tabel1[[#This Row],[Up - F1a]:[Up - F1a]]),"")</f>
        <v/>
      </c>
      <c r="AR222" s="14" t="s">
        <v>189</v>
      </c>
      <c r="AS222" s="14" t="s">
        <v>189</v>
      </c>
      <c r="AT222" s="14" t="str">
        <f>IFERROR(AVERAGE(Tabel1[[#This Row],[Up - F2a]:[Up - F2b]]),"")</f>
        <v/>
      </c>
      <c r="AU222" s="14" t="s">
        <v>189</v>
      </c>
      <c r="AV222" s="14" t="s">
        <v>189</v>
      </c>
      <c r="AW222" s="14" t="str">
        <f>IFERROR(AVERAGE(Tabel1[[#This Row],[Up - F3a]:[Up - F3b]]),"")</f>
        <v/>
      </c>
      <c r="AX222" s="14" t="s">
        <v>189</v>
      </c>
      <c r="AY222" s="14" t="str">
        <f>IFERROR(AVERAGE(Tabel1[[#This Row],[Up - F1]],Tabel1[[#This Row],[Up - F2]],Tabel1[[#This Row],[Up - F3]],Tabel1[[#This Row],[Up - F4]]),"")</f>
        <v/>
      </c>
      <c r="AZ222" s="14" t="s">
        <v>189</v>
      </c>
      <c r="BA222" s="14" t="s">
        <v>189</v>
      </c>
      <c r="BB222" s="14" t="str">
        <f>IFERROR(AVERAGE(Tabel1[[#This Row],[Up - V1a]:[Up - V1b]]),"")</f>
        <v/>
      </c>
      <c r="BC222" s="14" t="s">
        <v>189</v>
      </c>
      <c r="BD222" s="14" t="s">
        <v>189</v>
      </c>
      <c r="BE222" s="14" t="s">
        <v>189</v>
      </c>
      <c r="BF222" s="14" t="str">
        <f>IFERROR(AVERAGE(Tabel1[[#This Row],[Up - V2a]:[Up - V2c]]),"")</f>
        <v/>
      </c>
      <c r="BG222" s="14" t="s">
        <v>189</v>
      </c>
      <c r="BH222" s="14" t="s">
        <v>189</v>
      </c>
      <c r="BI222" s="14" t="str">
        <f>IFERROR(AVERAGE(Tabel1[[#This Row],[Up - V3a]:[Up - V3b]]),"")</f>
        <v/>
      </c>
      <c r="BJ222" s="14" t="s">
        <v>189</v>
      </c>
      <c r="BK222" s="14" t="str">
        <f>IFERROR(AVERAGE(Tabel1[[#This Row],[Up - V1]],Tabel1[[#This Row],[Up - V2]],Tabel1[[#This Row],[Up - V3]],Tabel1[[#This Row],[Up - V4]]),"")</f>
        <v/>
      </c>
      <c r="BL222" s="14" t="s">
        <v>189</v>
      </c>
      <c r="BM222" s="14" t="s">
        <v>189</v>
      </c>
      <c r="BN222" s="14" t="s">
        <v>189</v>
      </c>
      <c r="BO222" s="14" t="s">
        <v>189</v>
      </c>
      <c r="BP222" s="14" t="str">
        <f>IFERROR(AVERAGE(Tabel1[[#This Row],[Up - A1a]:[Up - A1d]]),"")</f>
        <v/>
      </c>
      <c r="BQ222" s="14" t="s">
        <v>189</v>
      </c>
      <c r="BR222" s="14" t="s">
        <v>189</v>
      </c>
      <c r="BS222" s="14" t="str">
        <f>IFERROR(AVERAGE(Tabel1[[#This Row],[Up - A2a]:[Up - A2b]]),"")</f>
        <v/>
      </c>
      <c r="BT222" s="14" t="s">
        <v>189</v>
      </c>
      <c r="BU222" s="14" t="str">
        <f>IFERROR(AVERAGE(Tabel1[[#This Row],[Up - A3a]:[Up - A3a]]),"")</f>
        <v/>
      </c>
      <c r="BV222" s="14" t="s">
        <v>189</v>
      </c>
      <c r="BW222" s="14" t="str">
        <f>IFERROR(AVERAGE(Tabel1[[#This Row],[Up - A1]],Tabel1[[#This Row],[Up - A2]],Tabel1[[#This Row],[Up - A3]]),"")</f>
        <v/>
      </c>
      <c r="BX222" s="14" t="s">
        <v>189</v>
      </c>
      <c r="BY222" s="14" t="s">
        <v>189</v>
      </c>
      <c r="BZ222" s="14" t="str">
        <f>IFERROR(AVERAGE(Tabel1[[#This Row],[In - R1a]:[In - R1b]]),"")</f>
        <v/>
      </c>
      <c r="CA222" s="14" t="s">
        <v>189</v>
      </c>
      <c r="CB222" s="14" t="s">
        <v>189</v>
      </c>
      <c r="CC222" s="14" t="s">
        <v>189</v>
      </c>
      <c r="CD222" s="14" t="s">
        <v>189</v>
      </c>
      <c r="CE222" s="14" t="str">
        <f>IFERROR(AVERAGE(Tabel1[[#This Row],[In - R1]:[In - R5]]),"")</f>
        <v/>
      </c>
      <c r="CF222" s="14" t="s">
        <v>189</v>
      </c>
      <c r="CG222" s="14" t="s">
        <v>189</v>
      </c>
      <c r="CH222" s="14" t="s">
        <v>189</v>
      </c>
      <c r="CI222" s="14" t="str">
        <f>IFERROR(AVERAGE(Tabel1[[#This Row],[In - C1a]:[In - C1c]]),"")</f>
        <v/>
      </c>
      <c r="CJ222" s="14" t="s">
        <v>189</v>
      </c>
      <c r="CK222" s="14" t="s">
        <v>189</v>
      </c>
      <c r="CL222" s="14" t="s">
        <v>189</v>
      </c>
      <c r="CM222" s="14" t="str">
        <f>IFERROR(AVERAGE(Tabel1[[#This Row],[In - C1]:[In - C4]]),"")</f>
        <v/>
      </c>
      <c r="CN222" s="14" t="s">
        <v>189</v>
      </c>
      <c r="CO222" s="14" t="s">
        <v>189</v>
      </c>
      <c r="CP222" s="14" t="s">
        <v>189</v>
      </c>
      <c r="CQ222" s="14" t="str">
        <f>IFERROR(AVERAGE(Tabel1[[#This Row],[In - F1a]:[In - F1c]]),"")</f>
        <v/>
      </c>
      <c r="CR222" s="14" t="s">
        <v>189</v>
      </c>
      <c r="CS222" s="14" t="s">
        <v>189</v>
      </c>
      <c r="CT222" s="14" t="str">
        <f>IFERROR(AVERAGE(Tabel1[[#This Row],[In - F2a]:[In - F2b]]),"")</f>
        <v/>
      </c>
      <c r="CU222" s="14" t="s">
        <v>189</v>
      </c>
      <c r="CV222" s="14" t="str">
        <f>IFERROR(AVERAGE(Tabel1[[#This Row],[In - F3a]:[In - F3a]]),"")</f>
        <v/>
      </c>
      <c r="CW222" s="14" t="s">
        <v>189</v>
      </c>
      <c r="CX222" s="14" t="str">
        <f>IFERROR(AVERAGE(Tabel1[[#This Row],[In - F1]],Tabel1[[#This Row],[In - F2]],Tabel1[[#This Row],[In - F3]],Tabel1[[#This Row],[In - F4]]),"")</f>
        <v/>
      </c>
      <c r="CY222" s="14" t="s">
        <v>189</v>
      </c>
      <c r="CZ222" s="14" t="s">
        <v>189</v>
      </c>
      <c r="DA222" s="14" t="s">
        <v>189</v>
      </c>
      <c r="DB222" s="14" t="str">
        <f>IFERROR(AVERAGE(Tabel1[[#This Row],[In - V1a]:[In - V1c]]),"")</f>
        <v/>
      </c>
      <c r="DC222" s="14" t="s">
        <v>189</v>
      </c>
      <c r="DD222" s="14" t="s">
        <v>189</v>
      </c>
      <c r="DE222" s="14" t="s">
        <v>189</v>
      </c>
      <c r="DF222" s="14" t="str">
        <f>IFERROR(AVERAGE(Tabel1[[#This Row],[In - V2a]:[In - V2c]]),"")</f>
        <v/>
      </c>
      <c r="DG222" s="14" t="s">
        <v>189</v>
      </c>
      <c r="DH222" s="14" t="s">
        <v>189</v>
      </c>
      <c r="DI222" s="14" t="str">
        <f>IFERROR(AVERAGE(Tabel1[[#This Row],[In - V3a]:[In - V3b]]),"")</f>
        <v/>
      </c>
      <c r="DJ222" s="14" t="s">
        <v>189</v>
      </c>
      <c r="DK222" s="14" t="str">
        <f>IFERROR(AVERAGE(Tabel1[[#This Row],[In - V1]],Tabel1[[#This Row],[In - V2]],Tabel1[[#This Row],[In - V3]],Tabel1[[#This Row],[In - V4]]),"")</f>
        <v/>
      </c>
      <c r="DL222" s="14" t="s">
        <v>189</v>
      </c>
      <c r="DM222" s="14" t="s">
        <v>189</v>
      </c>
      <c r="DN222" s="14" t="str">
        <f>IFERROR(AVERAGE(Tabel1[[#This Row],[In - A1a]:[In - A1b]]),"")</f>
        <v/>
      </c>
      <c r="DO222" s="14" t="s">
        <v>189</v>
      </c>
      <c r="DP222" s="14" t="s">
        <v>189</v>
      </c>
      <c r="DQ222" s="14" t="str">
        <f>IFERROR(AVERAGE(Tabel1[[#This Row],[In - A2a]:[In - A2b]]),"")</f>
        <v/>
      </c>
      <c r="DR222" s="14" t="s">
        <v>189</v>
      </c>
      <c r="DS222" s="14" t="s">
        <v>189</v>
      </c>
      <c r="DT222" s="14" t="str">
        <f>IFERROR(AVERAGE(Tabel1[[#This Row],[In - A3a]:[In - A3a]]),"")</f>
        <v/>
      </c>
      <c r="DU222" s="14" t="s">
        <v>189</v>
      </c>
      <c r="DV222" s="14" t="str">
        <f>IFERROR(AVERAGE(Tabel1[[#This Row],[In - A1]],Tabel1[[#This Row],[In - A2]],Tabel1[[#This Row],[In - A3]],Tabel1[[#This Row],[In - A4]]),"")</f>
        <v/>
      </c>
      <c r="DW222" s="14" t="s">
        <v>189</v>
      </c>
      <c r="DX222" s="14" t="s">
        <v>189</v>
      </c>
      <c r="DY222" s="14" t="s">
        <v>189</v>
      </c>
      <c r="DZ222" s="14" t="str">
        <f>IFERROR(AVERAGE(Tabel1[[#This Row],[Do - R1a]:[Do - R1c]]),"")</f>
        <v/>
      </c>
      <c r="EA222" s="14" t="s">
        <v>189</v>
      </c>
      <c r="EB222" s="14" t="s">
        <v>189</v>
      </c>
      <c r="EC222" s="14" t="s">
        <v>189</v>
      </c>
      <c r="ED222" s="14" t="s">
        <v>189</v>
      </c>
      <c r="EE222" s="14" t="str">
        <f>IFERROR(AVERAGE(Tabel1[[#This Row],[Do - R1]:[Do - R5]]),"")</f>
        <v/>
      </c>
      <c r="EF222" s="14" t="s">
        <v>189</v>
      </c>
      <c r="EG222" s="14" t="s">
        <v>189</v>
      </c>
      <c r="EH222" s="14" t="s">
        <v>189</v>
      </c>
      <c r="EI222" s="14" t="str">
        <f>IFERROR(AVERAGE(Tabel1[[#This Row],[Do - C1a]:[Do - C1c]]),"")</f>
        <v/>
      </c>
      <c r="EJ222" s="14" t="s">
        <v>189</v>
      </c>
      <c r="EK222" s="14" t="s">
        <v>189</v>
      </c>
      <c r="EL222" s="14" t="s">
        <v>189</v>
      </c>
      <c r="EM222" s="14" t="str">
        <f>IFERROR(AVERAGE(Tabel1[[#This Row],[Do - C1]:[Do - C4]]),"")</f>
        <v/>
      </c>
      <c r="EN222" s="14" t="s">
        <v>189</v>
      </c>
      <c r="EO222" s="14" t="s">
        <v>189</v>
      </c>
      <c r="EP222" s="14" t="s">
        <v>189</v>
      </c>
      <c r="EQ222" s="14" t="str">
        <f>IFERROR(AVERAGE(Tabel1[[#This Row],[Do - F1a]:[Do - F1c]]),"")</f>
        <v/>
      </c>
      <c r="ER222" s="14" t="s">
        <v>189</v>
      </c>
      <c r="ES222" s="14" t="str">
        <f>IFERROR(AVERAGE(Tabel1[[#This Row],[Do - F2a]:[Do - F2a]]),"")</f>
        <v/>
      </c>
      <c r="ET222" s="14" t="s">
        <v>189</v>
      </c>
      <c r="EU222" s="14" t="s">
        <v>189</v>
      </c>
      <c r="EV222" s="14" t="str">
        <f>IFERROR(AVERAGE(Tabel1[[#This Row],[Do - F3a]:[Do - F3b]]),"")</f>
        <v/>
      </c>
      <c r="EW222" s="14" t="s">
        <v>189</v>
      </c>
      <c r="EX222" s="14" t="str">
        <f>IFERROR(AVERAGE(Tabel1[[#This Row],[Do - F1]],Tabel1[[#This Row],[Do - F2]],Tabel1[[#This Row],[Do - F3]],Tabel1[[#This Row],[Do - F4]]),"")</f>
        <v/>
      </c>
      <c r="EY222" s="14" t="s">
        <v>189</v>
      </c>
      <c r="EZ222" s="14" t="s">
        <v>189</v>
      </c>
      <c r="FA222" s="14" t="s">
        <v>189</v>
      </c>
      <c r="FB222" s="14" t="str">
        <f>IFERROR(AVERAGE(Tabel1[[#This Row],[Do - V1a]:[Do - V1c]]),"")</f>
        <v/>
      </c>
      <c r="FC222" s="14" t="s">
        <v>189</v>
      </c>
      <c r="FD222" s="14" t="s">
        <v>189</v>
      </c>
      <c r="FE222" s="14" t="str">
        <f>IFERROR(AVERAGE(Tabel1[[#This Row],[Do - V2a]:[Do - V2b]]),"")</f>
        <v/>
      </c>
      <c r="FF222" s="14" t="s">
        <v>189</v>
      </c>
      <c r="FG222" s="14" t="str">
        <f>IFERROR(AVERAGE(Tabel1[[#This Row],[Do - V3a]:[Do - V3a]]),"")</f>
        <v/>
      </c>
      <c r="FH222" s="14" t="s">
        <v>189</v>
      </c>
      <c r="FI222" s="14" t="str">
        <f>IFERROR(AVERAGE(Tabel1[[#This Row],[Do - V1]],Tabel1[[#This Row],[Do - V2]],Tabel1[[#This Row],[Do - V3]],Tabel1[[#This Row],[Do - V4]]),"")</f>
        <v/>
      </c>
      <c r="FJ222" s="14" t="s">
        <v>189</v>
      </c>
      <c r="FK222" s="14" t="s">
        <v>189</v>
      </c>
      <c r="FL222" s="14" t="s">
        <v>189</v>
      </c>
      <c r="FM222" s="14" t="str">
        <f>IFERROR(AVERAGE(Tabel1[[#This Row],[Do - A1a]:[Do - A1c]]),"")</f>
        <v/>
      </c>
      <c r="FN222" s="14" t="s">
        <v>189</v>
      </c>
      <c r="FO222" s="14" t="s">
        <v>189</v>
      </c>
      <c r="FP222" s="14" t="str">
        <f>IFERROR(AVERAGE(Tabel1[[#This Row],[Do - A2a]:[Do - A2b]]),"")</f>
        <v/>
      </c>
      <c r="FQ222" s="14" t="s">
        <v>189</v>
      </c>
      <c r="FR222" s="14" t="str">
        <f>IFERROR(AVERAGE(Tabel1[[#This Row],[Do - A3a]:[Do - A3a]]),"")</f>
        <v/>
      </c>
      <c r="FS222" s="14" t="s">
        <v>189</v>
      </c>
      <c r="FT222" s="14" t="str">
        <f>IFERROR(AVERAGE(Tabel1[[#This Row],[Do - A1]],Tabel1[[#This Row],[Do - A2]],Tabel1[[#This Row],[Do - A3]],Tabel1[[#This Row],[Do - A4]]),"")</f>
        <v/>
      </c>
      <c r="FU222" s="14" t="str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/>
      </c>
      <c r="FV222" s="14" t="s">
        <v>1204</v>
      </c>
      <c r="FW222" t="b">
        <v>1</v>
      </c>
    </row>
    <row r="223" spans="1:179" x14ac:dyDescent="0.3">
      <c r="A223" s="13">
        <v>45336.476238425901</v>
      </c>
      <c r="B223" t="b">
        <v>0</v>
      </c>
      <c r="C223" s="14" t="s">
        <v>1205</v>
      </c>
      <c r="D223" s="14" t="s">
        <v>1206</v>
      </c>
      <c r="E223" s="14" t="s">
        <v>1207</v>
      </c>
      <c r="F223" s="14" t="s">
        <v>184</v>
      </c>
      <c r="G223" s="14" t="s">
        <v>1208</v>
      </c>
      <c r="H223" s="14" t="s">
        <v>222</v>
      </c>
      <c r="I223" s="14" t="s">
        <v>195</v>
      </c>
      <c r="J223" s="14" t="s">
        <v>347</v>
      </c>
      <c r="K223" s="14" t="s">
        <v>203</v>
      </c>
      <c r="L223" s="14" t="s">
        <v>197</v>
      </c>
      <c r="M223" s="14" t="s">
        <v>188</v>
      </c>
      <c r="N223" s="14" t="s">
        <v>262</v>
      </c>
      <c r="O223" s="14" t="s">
        <v>200</v>
      </c>
      <c r="P223" s="24" t="s">
        <v>255</v>
      </c>
      <c r="Q223" s="17" t="s">
        <v>201</v>
      </c>
      <c r="R223" s="24" t="s">
        <v>255</v>
      </c>
      <c r="S223" s="14" t="s">
        <v>201</v>
      </c>
      <c r="T223" s="14" t="s">
        <v>380</v>
      </c>
      <c r="U223" s="14" t="s">
        <v>285</v>
      </c>
      <c r="V223" s="14" t="s">
        <v>224</v>
      </c>
      <c r="W223" s="14" t="s">
        <v>306</v>
      </c>
      <c r="X223" s="14" t="s">
        <v>207</v>
      </c>
      <c r="Y223" s="14">
        <v>2</v>
      </c>
      <c r="Z223" s="14">
        <v>2</v>
      </c>
      <c r="AA223" s="14" t="s">
        <v>189</v>
      </c>
      <c r="AB223" s="15">
        <f>IFERROR(AVERAGE(Tabel1[[#This Row],[Up - R1a]:[Up - R1c]]),"")</f>
        <v>2</v>
      </c>
      <c r="AC223" s="14">
        <v>1</v>
      </c>
      <c r="AD223" s="14">
        <v>3</v>
      </c>
      <c r="AE223" s="14">
        <v>1</v>
      </c>
      <c r="AF223" s="14">
        <v>2</v>
      </c>
      <c r="AG223" s="14">
        <f>IFERROR(AVERAGE(Tabel1[[#This Row],[Up - R1]:[Up - R5]]),"")</f>
        <v>1.8</v>
      </c>
      <c r="AH223" s="14">
        <v>4</v>
      </c>
      <c r="AI223" s="14">
        <v>4</v>
      </c>
      <c r="AJ223" s="14">
        <v>2</v>
      </c>
      <c r="AK223" s="14">
        <f>IFERROR(AVERAGE(Tabel1[[#This Row],[Up - C1a]:[Up - C1c]]),"")</f>
        <v>3.3333333333333335</v>
      </c>
      <c r="AL223" s="14">
        <v>2</v>
      </c>
      <c r="AM223" s="14">
        <v>1</v>
      </c>
      <c r="AN223" s="14">
        <v>2</v>
      </c>
      <c r="AO223" s="14">
        <f>IFERROR(AVERAGE(Tabel1[[#This Row],[Up - C1]:[Up - C4]]),"")</f>
        <v>2.0833333333333335</v>
      </c>
      <c r="AP223" s="14">
        <v>4</v>
      </c>
      <c r="AQ223" s="14">
        <f>IFERROR(AVERAGE(Tabel1[[#This Row],[Up - F1a]:[Up - F1a]]),"")</f>
        <v>4</v>
      </c>
      <c r="AR223" s="14">
        <v>2</v>
      </c>
      <c r="AS223" s="14">
        <v>2</v>
      </c>
      <c r="AT223" s="14">
        <f>IFERROR(AVERAGE(Tabel1[[#This Row],[Up - F2a]:[Up - F2b]]),"")</f>
        <v>2</v>
      </c>
      <c r="AU223" s="14">
        <v>5</v>
      </c>
      <c r="AV223" s="14">
        <v>1</v>
      </c>
      <c r="AW223" s="14">
        <f>IFERROR(AVERAGE(Tabel1[[#This Row],[Up - F3a]:[Up - F3b]]),"")</f>
        <v>3</v>
      </c>
      <c r="AX223" s="14">
        <v>3</v>
      </c>
      <c r="AY223" s="14">
        <f>IFERROR(AVERAGE(Tabel1[[#This Row],[Up - F1]],Tabel1[[#This Row],[Up - F2]],Tabel1[[#This Row],[Up - F3]],Tabel1[[#This Row],[Up - F4]]),"")</f>
        <v>3</v>
      </c>
      <c r="AZ223" s="14">
        <v>4</v>
      </c>
      <c r="BA223" s="14">
        <v>3</v>
      </c>
      <c r="BB223" s="14">
        <f>IFERROR(AVERAGE(Tabel1[[#This Row],[Up - V1a]:[Up - V1b]]),"")</f>
        <v>3.5</v>
      </c>
      <c r="BC223" s="14">
        <v>1</v>
      </c>
      <c r="BD223" s="14">
        <v>2</v>
      </c>
      <c r="BE223" s="14">
        <v>5</v>
      </c>
      <c r="BF223" s="14">
        <f>IFERROR(AVERAGE(Tabel1[[#This Row],[Up - V2a]:[Up - V2c]]),"")</f>
        <v>2.6666666666666665</v>
      </c>
      <c r="BG223" s="14">
        <v>1</v>
      </c>
      <c r="BH223" s="14">
        <v>3</v>
      </c>
      <c r="BI223" s="14">
        <f>IFERROR(AVERAGE(Tabel1[[#This Row],[Up - V3a]:[Up - V3b]]),"")</f>
        <v>2</v>
      </c>
      <c r="BJ223" s="14">
        <v>2</v>
      </c>
      <c r="BK223" s="14">
        <f>IFERROR(AVERAGE(Tabel1[[#This Row],[Up - V1]],Tabel1[[#This Row],[Up - V2]],Tabel1[[#This Row],[Up - V3]],Tabel1[[#This Row],[Up - V4]]),"")</f>
        <v>2.5416666666666665</v>
      </c>
      <c r="BL223" s="14">
        <v>2</v>
      </c>
      <c r="BM223" s="14">
        <v>3</v>
      </c>
      <c r="BN223" s="14">
        <v>3</v>
      </c>
      <c r="BO223" s="14">
        <v>3</v>
      </c>
      <c r="BP223" s="14">
        <f>IFERROR(AVERAGE(Tabel1[[#This Row],[Up - A1a]:[Up - A1d]]),"")</f>
        <v>2.75</v>
      </c>
      <c r="BQ223" s="14" t="s">
        <v>189</v>
      </c>
      <c r="BR223" s="14">
        <v>5</v>
      </c>
      <c r="BS223" s="14">
        <f>IFERROR(AVERAGE(Tabel1[[#This Row],[Up - A2a]:[Up - A2b]]),"")</f>
        <v>5</v>
      </c>
      <c r="BT223" s="14">
        <v>5</v>
      </c>
      <c r="BU223" s="14">
        <f>IFERROR(AVERAGE(Tabel1[[#This Row],[Up - A3a]:[Up - A3a]]),"")</f>
        <v>5</v>
      </c>
      <c r="BV223" s="14">
        <v>2</v>
      </c>
      <c r="BW223" s="14">
        <f>IFERROR(AVERAGE(Tabel1[[#This Row],[Up - A1]],Tabel1[[#This Row],[Up - A2]],Tabel1[[#This Row],[Up - A3]]),"")</f>
        <v>4.25</v>
      </c>
      <c r="BX223" s="14">
        <v>1</v>
      </c>
      <c r="BY223" s="14">
        <v>1</v>
      </c>
      <c r="BZ223" s="14">
        <f>IFERROR(AVERAGE(Tabel1[[#This Row],[In - R1a]:[In - R1b]]),"")</f>
        <v>1</v>
      </c>
      <c r="CA223" s="14">
        <v>3</v>
      </c>
      <c r="CB223" s="14" t="s">
        <v>189</v>
      </c>
      <c r="CC223" s="14">
        <v>4</v>
      </c>
      <c r="CD223" s="14">
        <v>5</v>
      </c>
      <c r="CE223" s="14">
        <f>IFERROR(AVERAGE(Tabel1[[#This Row],[In - R1]:[In - R5]]),"")</f>
        <v>3.25</v>
      </c>
      <c r="CF223" s="14">
        <v>5</v>
      </c>
      <c r="CG223" s="14">
        <v>5</v>
      </c>
      <c r="CH223" s="14">
        <v>5</v>
      </c>
      <c r="CI223" s="14">
        <f>IFERROR(AVERAGE(Tabel1[[#This Row],[In - C1a]:[In - C1c]]),"")</f>
        <v>5</v>
      </c>
      <c r="CJ223" s="14">
        <v>4</v>
      </c>
      <c r="CK223" s="14">
        <v>3</v>
      </c>
      <c r="CL223" s="14">
        <v>3</v>
      </c>
      <c r="CM223" s="14">
        <f>IFERROR(AVERAGE(Tabel1[[#This Row],[In - C1]:[In - C4]]),"")</f>
        <v>3.75</v>
      </c>
      <c r="CN223" s="14">
        <v>5</v>
      </c>
      <c r="CO223" s="14">
        <v>5</v>
      </c>
      <c r="CP223" s="14">
        <v>5</v>
      </c>
      <c r="CQ223" s="14">
        <f>IFERROR(AVERAGE(Tabel1[[#This Row],[In - F1a]:[In - F1c]]),"")</f>
        <v>5</v>
      </c>
      <c r="CR223" s="14">
        <v>5</v>
      </c>
      <c r="CS223" s="14">
        <v>1</v>
      </c>
      <c r="CT223" s="14">
        <f>IFERROR(AVERAGE(Tabel1[[#This Row],[In - F2a]:[In - F2b]]),"")</f>
        <v>3</v>
      </c>
      <c r="CU223" s="14">
        <v>1</v>
      </c>
      <c r="CV223" s="14">
        <f>IFERROR(AVERAGE(Tabel1[[#This Row],[In - F3a]:[In - F3a]]),"")</f>
        <v>1</v>
      </c>
      <c r="CW223" s="14">
        <v>3</v>
      </c>
      <c r="CX223" s="14">
        <f>IFERROR(AVERAGE(Tabel1[[#This Row],[In - F1]],Tabel1[[#This Row],[In - F2]],Tabel1[[#This Row],[In - F3]],Tabel1[[#This Row],[In - F4]]),"")</f>
        <v>3</v>
      </c>
      <c r="CY223" s="14">
        <v>5</v>
      </c>
      <c r="CZ223" s="14">
        <v>5</v>
      </c>
      <c r="DA223" s="14">
        <v>1</v>
      </c>
      <c r="DB223" s="14">
        <f>IFERROR(AVERAGE(Tabel1[[#This Row],[In - V1a]:[In - V1c]]),"")</f>
        <v>3.6666666666666665</v>
      </c>
      <c r="DC223" s="14">
        <v>4</v>
      </c>
      <c r="DD223" s="14">
        <v>4</v>
      </c>
      <c r="DE223" s="14">
        <v>2</v>
      </c>
      <c r="DF223" s="14">
        <f>IFERROR(AVERAGE(Tabel1[[#This Row],[In - V2a]:[In - V2c]]),"")</f>
        <v>3.3333333333333335</v>
      </c>
      <c r="DG223" s="14">
        <v>5</v>
      </c>
      <c r="DH223" s="14">
        <v>5</v>
      </c>
      <c r="DI223" s="14">
        <f>IFERROR(AVERAGE(Tabel1[[#This Row],[In - V3a]:[In - V3b]]),"")</f>
        <v>5</v>
      </c>
      <c r="DJ223" s="14">
        <v>4</v>
      </c>
      <c r="DK223" s="14">
        <f>IFERROR(AVERAGE(Tabel1[[#This Row],[In - V1]],Tabel1[[#This Row],[In - V2]],Tabel1[[#This Row],[In - V3]],Tabel1[[#This Row],[In - V4]]),"")</f>
        <v>4</v>
      </c>
      <c r="DL223" s="14">
        <v>5</v>
      </c>
      <c r="DM223" s="14">
        <v>5</v>
      </c>
      <c r="DN223" s="14">
        <f>IFERROR(AVERAGE(Tabel1[[#This Row],[In - A1a]:[In - A1b]]),"")</f>
        <v>5</v>
      </c>
      <c r="DO223" s="14">
        <v>3</v>
      </c>
      <c r="DP223" s="14">
        <v>5</v>
      </c>
      <c r="DQ223" s="14">
        <f>IFERROR(AVERAGE(Tabel1[[#This Row],[In - A2a]:[In - A2b]]),"")</f>
        <v>4</v>
      </c>
      <c r="DR223" s="14">
        <v>5</v>
      </c>
      <c r="DS223" s="14">
        <v>3</v>
      </c>
      <c r="DT223" s="14">
        <f>IFERROR(AVERAGE(Tabel1[[#This Row],[In - A3a]:[In - A3a]]),"")</f>
        <v>5</v>
      </c>
      <c r="DU223" s="14">
        <v>2</v>
      </c>
      <c r="DV223" s="14">
        <f>IFERROR(AVERAGE(Tabel1[[#This Row],[In - A1]],Tabel1[[#This Row],[In - A2]],Tabel1[[#This Row],[In - A3]],Tabel1[[#This Row],[In - A4]]),"")</f>
        <v>4</v>
      </c>
      <c r="DW223" s="14">
        <v>1</v>
      </c>
      <c r="DX223" s="14" t="s">
        <v>189</v>
      </c>
      <c r="DY223" s="14">
        <v>3</v>
      </c>
      <c r="DZ223" s="14">
        <f>IFERROR(AVERAGE(Tabel1[[#This Row],[Do - R1a]:[Do - R1c]]),"")</f>
        <v>2</v>
      </c>
      <c r="EA223" s="14" t="s">
        <v>189</v>
      </c>
      <c r="EB223" s="14" t="s">
        <v>189</v>
      </c>
      <c r="EC223" s="14">
        <v>1</v>
      </c>
      <c r="ED223" s="14">
        <v>5</v>
      </c>
      <c r="EE223" s="14">
        <f>IFERROR(AVERAGE(Tabel1[[#This Row],[Do - R1]:[Do - R5]]),"")</f>
        <v>2.6666666666666665</v>
      </c>
      <c r="EF223" s="14">
        <v>3</v>
      </c>
      <c r="EG223" s="14">
        <v>5</v>
      </c>
      <c r="EH223" s="14">
        <v>5</v>
      </c>
      <c r="EI223" s="14">
        <f>IFERROR(AVERAGE(Tabel1[[#This Row],[Do - C1a]:[Do - C1c]]),"")</f>
        <v>4.333333333333333</v>
      </c>
      <c r="EJ223" s="14">
        <v>3</v>
      </c>
      <c r="EK223" s="14">
        <v>2</v>
      </c>
      <c r="EL223" s="14">
        <v>3</v>
      </c>
      <c r="EM223" s="14">
        <f>IFERROR(AVERAGE(Tabel1[[#This Row],[Do - C1]:[Do - C4]]),"")</f>
        <v>3.083333333333333</v>
      </c>
      <c r="EN223" s="14">
        <v>4</v>
      </c>
      <c r="EO223" s="14">
        <v>1</v>
      </c>
      <c r="EP223" s="14" t="s">
        <v>189</v>
      </c>
      <c r="EQ223" s="14">
        <f>IFERROR(AVERAGE(Tabel1[[#This Row],[Do - F1a]:[Do - F1c]]),"")</f>
        <v>2.5</v>
      </c>
      <c r="ER223" s="14">
        <v>2</v>
      </c>
      <c r="ES223" s="14">
        <f>IFERROR(AVERAGE(Tabel1[[#This Row],[Do - F2a]:[Do - F2a]]),"")</f>
        <v>2</v>
      </c>
      <c r="ET223" s="14" t="s">
        <v>189</v>
      </c>
      <c r="EU223" s="14" t="s">
        <v>189</v>
      </c>
      <c r="EV223" s="14" t="str">
        <f>IFERROR(AVERAGE(Tabel1[[#This Row],[Do - F3a]:[Do - F3b]]),"")</f>
        <v/>
      </c>
      <c r="EW223" s="14">
        <v>3</v>
      </c>
      <c r="EX223" s="14">
        <f>IFERROR(AVERAGE(Tabel1[[#This Row],[Do - F1]],Tabel1[[#This Row],[Do - F2]],Tabel1[[#This Row],[Do - F3]],Tabel1[[#This Row],[Do - F4]]),"")</f>
        <v>2.5</v>
      </c>
      <c r="EY223" s="14">
        <v>3</v>
      </c>
      <c r="EZ223" s="14" t="s">
        <v>189</v>
      </c>
      <c r="FA223" s="14">
        <v>3</v>
      </c>
      <c r="FB223" s="14">
        <f>IFERROR(AVERAGE(Tabel1[[#This Row],[Do - V1a]:[Do - V1c]]),"")</f>
        <v>3</v>
      </c>
      <c r="FC223" s="14">
        <v>3</v>
      </c>
      <c r="FD223" s="14" t="s">
        <v>189</v>
      </c>
      <c r="FE223" s="14">
        <f>IFERROR(AVERAGE(Tabel1[[#This Row],[Do - V2a]:[Do - V2b]]),"")</f>
        <v>3</v>
      </c>
      <c r="FF223" s="14">
        <v>3</v>
      </c>
      <c r="FG223" s="14">
        <f>IFERROR(AVERAGE(Tabel1[[#This Row],[Do - V3a]:[Do - V3a]]),"")</f>
        <v>3</v>
      </c>
      <c r="FH223" s="14">
        <v>5</v>
      </c>
      <c r="FI223" s="14">
        <f>IFERROR(AVERAGE(Tabel1[[#This Row],[Do - V1]],Tabel1[[#This Row],[Do - V2]],Tabel1[[#This Row],[Do - V3]],Tabel1[[#This Row],[Do - V4]]),"")</f>
        <v>3.5</v>
      </c>
      <c r="FJ223" s="14">
        <v>5</v>
      </c>
      <c r="FK223" s="14">
        <v>1</v>
      </c>
      <c r="FL223" s="14">
        <v>1</v>
      </c>
      <c r="FM223" s="14">
        <f>IFERROR(AVERAGE(Tabel1[[#This Row],[Do - A1a]:[Do - A1c]]),"")</f>
        <v>2.3333333333333335</v>
      </c>
      <c r="FN223" s="14" t="s">
        <v>189</v>
      </c>
      <c r="FO223" s="14" t="s">
        <v>189</v>
      </c>
      <c r="FP223" s="14" t="str">
        <f>IFERROR(AVERAGE(Tabel1[[#This Row],[Do - A2a]:[Do - A2b]]),"")</f>
        <v/>
      </c>
      <c r="FQ223" s="14">
        <v>3</v>
      </c>
      <c r="FR223" s="14">
        <f>IFERROR(AVERAGE(Tabel1[[#This Row],[Do - A3a]:[Do - A3a]]),"")</f>
        <v>3</v>
      </c>
      <c r="FS223" s="14" t="s">
        <v>189</v>
      </c>
      <c r="FT223" s="14">
        <f>IFERROR(AVERAGE(Tabel1[[#This Row],[Do - A1]],Tabel1[[#This Row],[Do - A2]],Tabel1[[#This Row],[Do - A3]],Tabel1[[#This Row],[Do - A4]]),"")</f>
        <v>2.666666666666667</v>
      </c>
      <c r="FU22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3.0727777777777781</v>
      </c>
      <c r="FV223" s="14" t="s">
        <v>1209</v>
      </c>
      <c r="FW223" t="b">
        <v>1</v>
      </c>
    </row>
    <row r="224" spans="1:179" x14ac:dyDescent="0.3">
      <c r="A224" s="13">
        <v>45336.616747685199</v>
      </c>
      <c r="B224" t="b">
        <v>0</v>
      </c>
      <c r="C224" s="14" t="s">
        <v>1210</v>
      </c>
      <c r="D224" s="14" t="s">
        <v>421</v>
      </c>
      <c r="E224" s="14" t="s">
        <v>1211</v>
      </c>
      <c r="F224" s="14" t="s">
        <v>184</v>
      </c>
      <c r="G224" s="14" t="s">
        <v>1212</v>
      </c>
      <c r="H224" s="14" t="s">
        <v>222</v>
      </c>
      <c r="I224" s="14" t="s">
        <v>385</v>
      </c>
      <c r="J224" s="14"/>
      <c r="K224" s="14" t="s">
        <v>202</v>
      </c>
      <c r="L224" s="14" t="s">
        <v>197</v>
      </c>
      <c r="M224" s="14" t="s">
        <v>198</v>
      </c>
      <c r="N224" s="14" t="s">
        <v>316</v>
      </c>
      <c r="O224" s="14" t="s">
        <v>200</v>
      </c>
      <c r="P224" s="24" t="s">
        <v>304</v>
      </c>
      <c r="Q224" s="17" t="s">
        <v>235</v>
      </c>
      <c r="R224" s="25" t="s">
        <v>187</v>
      </c>
      <c r="S224" s="14" t="s">
        <v>187</v>
      </c>
      <c r="T224" s="14" t="s">
        <v>284</v>
      </c>
      <c r="U224" s="14" t="s">
        <v>205</v>
      </c>
      <c r="V224" s="14" t="s">
        <v>224</v>
      </c>
      <c r="W224" s="14" t="s">
        <v>207</v>
      </c>
      <c r="X224" s="14" t="s">
        <v>207</v>
      </c>
      <c r="Y224" s="14">
        <v>4</v>
      </c>
      <c r="Z224" s="14">
        <v>4</v>
      </c>
      <c r="AA224" s="14">
        <v>2</v>
      </c>
      <c r="AB224" s="15">
        <f>IFERROR(AVERAGE(Tabel1[[#This Row],[Up - R1a]:[Up - R1c]]),"")</f>
        <v>3.3333333333333335</v>
      </c>
      <c r="AC224" s="14">
        <v>2</v>
      </c>
      <c r="AD224" s="14">
        <v>2</v>
      </c>
      <c r="AE224" s="14">
        <v>2</v>
      </c>
      <c r="AF224" s="14" t="s">
        <v>189</v>
      </c>
      <c r="AG224" s="14">
        <f>IFERROR(AVERAGE(Tabel1[[#This Row],[Up - R1]:[Up - R5]]),"")</f>
        <v>2.3333333333333335</v>
      </c>
      <c r="AH224" s="14">
        <v>4</v>
      </c>
      <c r="AI224" s="14">
        <v>3</v>
      </c>
      <c r="AJ224" s="14">
        <v>2</v>
      </c>
      <c r="AK224" s="14">
        <f>IFERROR(AVERAGE(Tabel1[[#This Row],[Up - C1a]:[Up - C1c]]),"")</f>
        <v>3</v>
      </c>
      <c r="AL224" s="14">
        <v>2</v>
      </c>
      <c r="AM224" s="14">
        <v>1</v>
      </c>
      <c r="AN224" s="14">
        <v>1</v>
      </c>
      <c r="AO224" s="14">
        <f>IFERROR(AVERAGE(Tabel1[[#This Row],[Up - C1]:[Up - C4]]),"")</f>
        <v>1.75</v>
      </c>
      <c r="AP224" s="14">
        <v>3</v>
      </c>
      <c r="AQ224" s="14">
        <f>IFERROR(AVERAGE(Tabel1[[#This Row],[Up - F1a]:[Up - F1a]]),"")</f>
        <v>3</v>
      </c>
      <c r="AR224" s="14">
        <v>2</v>
      </c>
      <c r="AS224" s="14">
        <v>4</v>
      </c>
      <c r="AT224" s="14">
        <f>IFERROR(AVERAGE(Tabel1[[#This Row],[Up - F2a]:[Up - F2b]]),"")</f>
        <v>3</v>
      </c>
      <c r="AU224" s="14">
        <v>2</v>
      </c>
      <c r="AV224" s="14">
        <v>2</v>
      </c>
      <c r="AW224" s="14">
        <f>IFERROR(AVERAGE(Tabel1[[#This Row],[Up - F3a]:[Up - F3b]]),"")</f>
        <v>2</v>
      </c>
      <c r="AX224" s="14">
        <v>3</v>
      </c>
      <c r="AY224" s="14">
        <f>IFERROR(AVERAGE(Tabel1[[#This Row],[Up - F1]],Tabel1[[#This Row],[Up - F2]],Tabel1[[#This Row],[Up - F3]],Tabel1[[#This Row],[Up - F4]]),"")</f>
        <v>2.75</v>
      </c>
      <c r="AZ224" s="14">
        <v>2</v>
      </c>
      <c r="BA224" s="14">
        <v>4</v>
      </c>
      <c r="BB224" s="14">
        <f>IFERROR(AVERAGE(Tabel1[[#This Row],[Up - V1a]:[Up - V1b]]),"")</f>
        <v>3</v>
      </c>
      <c r="BC224" s="14">
        <v>3</v>
      </c>
      <c r="BD224" s="14">
        <v>4</v>
      </c>
      <c r="BE224" s="14">
        <v>2</v>
      </c>
      <c r="BF224" s="14">
        <f>IFERROR(AVERAGE(Tabel1[[#This Row],[Up - V2a]:[Up - V2c]]),"")</f>
        <v>3</v>
      </c>
      <c r="BG224" s="14" t="s">
        <v>189</v>
      </c>
      <c r="BH224" s="14">
        <v>2</v>
      </c>
      <c r="BI224" s="14">
        <f>IFERROR(AVERAGE(Tabel1[[#This Row],[Up - V3a]:[Up - V3b]]),"")</f>
        <v>2</v>
      </c>
      <c r="BJ224" s="14">
        <v>2</v>
      </c>
      <c r="BK224" s="14">
        <f>IFERROR(AVERAGE(Tabel1[[#This Row],[Up - V1]],Tabel1[[#This Row],[Up - V2]],Tabel1[[#This Row],[Up - V3]],Tabel1[[#This Row],[Up - V4]]),"")</f>
        <v>2.5</v>
      </c>
      <c r="BL224" s="14">
        <v>3</v>
      </c>
      <c r="BM224" s="14">
        <v>4</v>
      </c>
      <c r="BN224" s="14">
        <v>4</v>
      </c>
      <c r="BO224" s="14">
        <v>4</v>
      </c>
      <c r="BP224" s="14">
        <f>IFERROR(AVERAGE(Tabel1[[#This Row],[Up - A1a]:[Up - A1d]]),"")</f>
        <v>3.75</v>
      </c>
      <c r="BQ224" s="14">
        <v>3</v>
      </c>
      <c r="BR224" s="14">
        <v>3</v>
      </c>
      <c r="BS224" s="14">
        <f>IFERROR(AVERAGE(Tabel1[[#This Row],[Up - A2a]:[Up - A2b]]),"")</f>
        <v>3</v>
      </c>
      <c r="BT224" s="14">
        <v>4</v>
      </c>
      <c r="BU224" s="14">
        <f>IFERROR(AVERAGE(Tabel1[[#This Row],[Up - A3a]:[Up - A3a]]),"")</f>
        <v>4</v>
      </c>
      <c r="BV224" s="14">
        <v>2</v>
      </c>
      <c r="BW224" s="14">
        <f>IFERROR(AVERAGE(Tabel1[[#This Row],[Up - A1]],Tabel1[[#This Row],[Up - A2]],Tabel1[[#This Row],[Up - A3]]),"")</f>
        <v>3.5833333333333335</v>
      </c>
      <c r="BX224" s="14">
        <v>3</v>
      </c>
      <c r="BY224" s="14" t="s">
        <v>189</v>
      </c>
      <c r="BZ224" s="14">
        <f>IFERROR(AVERAGE(Tabel1[[#This Row],[In - R1a]:[In - R1b]]),"")</f>
        <v>3</v>
      </c>
      <c r="CA224" s="14">
        <v>5</v>
      </c>
      <c r="CB224" s="14">
        <v>4</v>
      </c>
      <c r="CC224" s="14" t="s">
        <v>189</v>
      </c>
      <c r="CD224" s="14">
        <v>3</v>
      </c>
      <c r="CE224" s="14">
        <f>IFERROR(AVERAGE(Tabel1[[#This Row],[In - R1]:[In - R5]]),"")</f>
        <v>3.75</v>
      </c>
      <c r="CF224" s="14">
        <v>4</v>
      </c>
      <c r="CG224" s="14">
        <v>3</v>
      </c>
      <c r="CH224" s="14">
        <v>4</v>
      </c>
      <c r="CI224" s="14">
        <f>IFERROR(AVERAGE(Tabel1[[#This Row],[In - C1a]:[In - C1c]]),"")</f>
        <v>3.6666666666666665</v>
      </c>
      <c r="CJ224" s="14">
        <v>2</v>
      </c>
      <c r="CK224" s="14">
        <v>2</v>
      </c>
      <c r="CL224" s="14">
        <v>2</v>
      </c>
      <c r="CM224" s="14">
        <f>IFERROR(AVERAGE(Tabel1[[#This Row],[In - C1]:[In - C4]]),"")</f>
        <v>2.4166666666666665</v>
      </c>
      <c r="CN224" s="14">
        <v>3</v>
      </c>
      <c r="CO224" s="14">
        <v>4</v>
      </c>
      <c r="CP224" s="14" t="s">
        <v>189</v>
      </c>
      <c r="CQ224" s="14">
        <f>IFERROR(AVERAGE(Tabel1[[#This Row],[In - F1a]:[In - F1c]]),"")</f>
        <v>3.5</v>
      </c>
      <c r="CR224" s="14">
        <v>4</v>
      </c>
      <c r="CS224" s="14">
        <v>1</v>
      </c>
      <c r="CT224" s="14">
        <f>IFERROR(AVERAGE(Tabel1[[#This Row],[In - F2a]:[In - F2b]]),"")</f>
        <v>2.5</v>
      </c>
      <c r="CU224" s="14">
        <v>2</v>
      </c>
      <c r="CV224" s="14">
        <f>IFERROR(AVERAGE(Tabel1[[#This Row],[In - F3a]:[In - F3a]]),"")</f>
        <v>2</v>
      </c>
      <c r="CW224" s="14">
        <v>1</v>
      </c>
      <c r="CX224" s="14">
        <f>IFERROR(AVERAGE(Tabel1[[#This Row],[In - F1]],Tabel1[[#This Row],[In - F2]],Tabel1[[#This Row],[In - F3]],Tabel1[[#This Row],[In - F4]]),"")</f>
        <v>2.25</v>
      </c>
      <c r="CY224" s="14">
        <v>4</v>
      </c>
      <c r="CZ224" s="14">
        <v>4</v>
      </c>
      <c r="DA224" s="14">
        <v>3</v>
      </c>
      <c r="DB224" s="14">
        <f>IFERROR(AVERAGE(Tabel1[[#This Row],[In - V1a]:[In - V1c]]),"")</f>
        <v>3.6666666666666665</v>
      </c>
      <c r="DC224" s="14">
        <v>3</v>
      </c>
      <c r="DD224" s="14">
        <v>4</v>
      </c>
      <c r="DE224" s="14">
        <v>4</v>
      </c>
      <c r="DF224" s="14">
        <f>IFERROR(AVERAGE(Tabel1[[#This Row],[In - V2a]:[In - V2c]]),"")</f>
        <v>3.6666666666666665</v>
      </c>
      <c r="DG224" s="14">
        <v>3</v>
      </c>
      <c r="DH224" s="14">
        <v>3</v>
      </c>
      <c r="DI224" s="14">
        <f>IFERROR(AVERAGE(Tabel1[[#This Row],[In - V3a]:[In - V3b]]),"")</f>
        <v>3</v>
      </c>
      <c r="DJ224" s="14">
        <v>4</v>
      </c>
      <c r="DK224" s="14">
        <f>IFERROR(AVERAGE(Tabel1[[#This Row],[In - V1]],Tabel1[[#This Row],[In - V2]],Tabel1[[#This Row],[In - V3]],Tabel1[[#This Row],[In - V4]]),"")</f>
        <v>3.583333333333333</v>
      </c>
      <c r="DL224" s="14">
        <v>3</v>
      </c>
      <c r="DM224" s="14">
        <v>4</v>
      </c>
      <c r="DN224" s="14">
        <f>IFERROR(AVERAGE(Tabel1[[#This Row],[In - A1a]:[In - A1b]]),"")</f>
        <v>3.5</v>
      </c>
      <c r="DO224" s="14" t="s">
        <v>189</v>
      </c>
      <c r="DP224" s="14">
        <v>4</v>
      </c>
      <c r="DQ224" s="14">
        <f>IFERROR(AVERAGE(Tabel1[[#This Row],[In - A2a]:[In - A2b]]),"")</f>
        <v>4</v>
      </c>
      <c r="DR224" s="14">
        <v>5</v>
      </c>
      <c r="DS224" s="14">
        <v>3</v>
      </c>
      <c r="DT224" s="14">
        <f>IFERROR(AVERAGE(Tabel1[[#This Row],[In - A3a]:[In - A3a]]),"")</f>
        <v>5</v>
      </c>
      <c r="DU224" s="14">
        <v>1</v>
      </c>
      <c r="DV224" s="14">
        <f>IFERROR(AVERAGE(Tabel1[[#This Row],[In - A1]],Tabel1[[#This Row],[In - A2]],Tabel1[[#This Row],[In - A3]],Tabel1[[#This Row],[In - A4]]),"")</f>
        <v>3.375</v>
      </c>
      <c r="DW224" s="14">
        <v>2</v>
      </c>
      <c r="DX224" s="14">
        <v>3</v>
      </c>
      <c r="DY224" s="14">
        <v>3</v>
      </c>
      <c r="DZ224" s="14">
        <f>IFERROR(AVERAGE(Tabel1[[#This Row],[Do - R1a]:[Do - R1c]]),"")</f>
        <v>2.6666666666666665</v>
      </c>
      <c r="EA224" s="14">
        <v>2</v>
      </c>
      <c r="EB224" s="14">
        <v>2</v>
      </c>
      <c r="EC224" s="14">
        <v>1</v>
      </c>
      <c r="ED224" s="14" t="s">
        <v>189</v>
      </c>
      <c r="EE224" s="14">
        <f>IFERROR(AVERAGE(Tabel1[[#This Row],[Do - R1]:[Do - R5]]),"")</f>
        <v>1.9166666666666665</v>
      </c>
      <c r="EF224" s="14">
        <v>3</v>
      </c>
      <c r="EG224" s="14">
        <v>3</v>
      </c>
      <c r="EH224" s="14">
        <v>2</v>
      </c>
      <c r="EI224" s="14">
        <f>IFERROR(AVERAGE(Tabel1[[#This Row],[Do - C1a]:[Do - C1c]]),"")</f>
        <v>2.6666666666666665</v>
      </c>
      <c r="EJ224" s="14">
        <v>2</v>
      </c>
      <c r="EK224" s="14">
        <v>1</v>
      </c>
      <c r="EL224" s="14">
        <v>2</v>
      </c>
      <c r="EM224" s="14">
        <f>IFERROR(AVERAGE(Tabel1[[#This Row],[Do - C1]:[Do - C4]]),"")</f>
        <v>1.9166666666666665</v>
      </c>
      <c r="EN224" s="14">
        <v>2</v>
      </c>
      <c r="EO224" s="14">
        <v>2</v>
      </c>
      <c r="EP224" s="14">
        <v>5</v>
      </c>
      <c r="EQ224" s="14">
        <f>IFERROR(AVERAGE(Tabel1[[#This Row],[Do - F1a]:[Do - F1c]]),"")</f>
        <v>3</v>
      </c>
      <c r="ER224" s="14">
        <v>3</v>
      </c>
      <c r="ES224" s="14">
        <f>IFERROR(AVERAGE(Tabel1[[#This Row],[Do - F2a]:[Do - F2a]]),"")</f>
        <v>3</v>
      </c>
      <c r="ET224" s="14">
        <v>3</v>
      </c>
      <c r="EU224" s="14">
        <v>3</v>
      </c>
      <c r="EV224" s="14">
        <f>IFERROR(AVERAGE(Tabel1[[#This Row],[Do - F3a]:[Do - F3b]]),"")</f>
        <v>3</v>
      </c>
      <c r="EW224" s="14">
        <v>2</v>
      </c>
      <c r="EX224" s="14">
        <f>IFERROR(AVERAGE(Tabel1[[#This Row],[Do - F1]],Tabel1[[#This Row],[Do - F2]],Tabel1[[#This Row],[Do - F3]],Tabel1[[#This Row],[Do - F4]]),"")</f>
        <v>2.75</v>
      </c>
      <c r="EY224" s="14">
        <v>3</v>
      </c>
      <c r="EZ224" s="14">
        <v>2</v>
      </c>
      <c r="FA224" s="14">
        <v>3</v>
      </c>
      <c r="FB224" s="14">
        <f>IFERROR(AVERAGE(Tabel1[[#This Row],[Do - V1a]:[Do - V1c]]),"")</f>
        <v>2.6666666666666665</v>
      </c>
      <c r="FC224" s="14">
        <v>4</v>
      </c>
      <c r="FD224" s="14">
        <v>3</v>
      </c>
      <c r="FE224" s="14">
        <f>IFERROR(AVERAGE(Tabel1[[#This Row],[Do - V2a]:[Do - V2b]]),"")</f>
        <v>3.5</v>
      </c>
      <c r="FF224" s="14">
        <v>2</v>
      </c>
      <c r="FG224" s="14">
        <f>IFERROR(AVERAGE(Tabel1[[#This Row],[Do - V3a]:[Do - V3a]]),"")</f>
        <v>2</v>
      </c>
      <c r="FH224" s="14">
        <v>4</v>
      </c>
      <c r="FI224" s="14">
        <f>IFERROR(AVERAGE(Tabel1[[#This Row],[Do - V1]],Tabel1[[#This Row],[Do - V2]],Tabel1[[#This Row],[Do - V3]],Tabel1[[#This Row],[Do - V4]]),"")</f>
        <v>3.0416666666666665</v>
      </c>
      <c r="FJ224" s="14">
        <v>4</v>
      </c>
      <c r="FK224" s="14">
        <v>4</v>
      </c>
      <c r="FL224" s="14">
        <v>4</v>
      </c>
      <c r="FM224" s="14">
        <f>IFERROR(AVERAGE(Tabel1[[#This Row],[Do - A1a]:[Do - A1c]]),"")</f>
        <v>4</v>
      </c>
      <c r="FN224" s="14">
        <v>5</v>
      </c>
      <c r="FO224" s="14">
        <v>2</v>
      </c>
      <c r="FP224" s="14">
        <f>IFERROR(AVERAGE(Tabel1[[#This Row],[Do - A2a]:[Do - A2b]]),"")</f>
        <v>3.5</v>
      </c>
      <c r="FQ224" s="14">
        <v>4</v>
      </c>
      <c r="FR224" s="14">
        <f>IFERROR(AVERAGE(Tabel1[[#This Row],[Do - A3a]:[Do - A3a]]),"")</f>
        <v>4</v>
      </c>
      <c r="FS224" s="14">
        <v>3</v>
      </c>
      <c r="FT224" s="14">
        <f>IFERROR(AVERAGE(Tabel1[[#This Row],[Do - A1]],Tabel1[[#This Row],[Do - A2]],Tabel1[[#This Row],[Do - A3]],Tabel1[[#This Row],[Do - A4]]),"")</f>
        <v>3.625</v>
      </c>
      <c r="FU22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2.7694444444444444</v>
      </c>
      <c r="FV224" s="14" t="s">
        <v>1213</v>
      </c>
      <c r="FW224" t="b">
        <v>1</v>
      </c>
    </row>
    <row r="225" spans="1:179" x14ac:dyDescent="0.3">
      <c r="A225" s="13">
        <v>45354.490335648101</v>
      </c>
      <c r="B225" t="b">
        <v>0</v>
      </c>
      <c r="C225" s="14" t="s">
        <v>1214</v>
      </c>
      <c r="D225" s="14" t="s">
        <v>1215</v>
      </c>
      <c r="E225" s="14" t="s">
        <v>1216</v>
      </c>
      <c r="F225" s="14" t="s">
        <v>184</v>
      </c>
      <c r="G225" s="14" t="s">
        <v>1217</v>
      </c>
      <c r="H225" s="14" t="s">
        <v>222</v>
      </c>
      <c r="I225" s="14" t="s">
        <v>195</v>
      </c>
      <c r="J225" s="14" t="s">
        <v>261</v>
      </c>
      <c r="K225" s="14" t="s">
        <v>202</v>
      </c>
      <c r="L225" s="14" t="s">
        <v>385</v>
      </c>
      <c r="M225" s="14" t="s">
        <v>281</v>
      </c>
      <c r="N225" s="14" t="s">
        <v>199</v>
      </c>
      <c r="O225" s="14" t="s">
        <v>200</v>
      </c>
      <c r="P225" s="24" t="s">
        <v>304</v>
      </c>
      <c r="Q225" s="17" t="s">
        <v>304</v>
      </c>
      <c r="R225" s="25" t="s">
        <v>202</v>
      </c>
      <c r="S225" s="14" t="s">
        <v>202</v>
      </c>
      <c r="T225" s="14" t="s">
        <v>204</v>
      </c>
      <c r="U225" s="14" t="s">
        <v>237</v>
      </c>
      <c r="V225" s="14" t="s">
        <v>610</v>
      </c>
      <c r="W225" s="14" t="s">
        <v>207</v>
      </c>
      <c r="X225" s="14" t="s">
        <v>395</v>
      </c>
      <c r="Y225" s="14">
        <v>3</v>
      </c>
      <c r="Z225" s="14">
        <v>2</v>
      </c>
      <c r="AA225" s="14">
        <v>2</v>
      </c>
      <c r="AB225" s="15">
        <f>IFERROR(AVERAGE(Tabel1[[#This Row],[Up - R1a]:[Up - R1c]]),"")</f>
        <v>2.3333333333333335</v>
      </c>
      <c r="AC225" s="14">
        <v>3</v>
      </c>
      <c r="AD225" s="14">
        <v>2</v>
      </c>
      <c r="AE225" s="14">
        <v>3</v>
      </c>
      <c r="AF225" s="14">
        <v>3</v>
      </c>
      <c r="AG225" s="14">
        <f>IFERROR(AVERAGE(Tabel1[[#This Row],[Up - R1]:[Up - R5]]),"")</f>
        <v>2.666666666666667</v>
      </c>
      <c r="AH225" s="14">
        <v>2</v>
      </c>
      <c r="AI225" s="14">
        <v>3</v>
      </c>
      <c r="AJ225" s="14">
        <v>2</v>
      </c>
      <c r="AK225" s="14">
        <f>IFERROR(AVERAGE(Tabel1[[#This Row],[Up - C1a]:[Up - C1c]]),"")</f>
        <v>2.3333333333333335</v>
      </c>
      <c r="AL225" s="14">
        <v>2</v>
      </c>
      <c r="AM225" s="14">
        <v>1</v>
      </c>
      <c r="AN225" s="14">
        <v>3</v>
      </c>
      <c r="AO225" s="14">
        <f>IFERROR(AVERAGE(Tabel1[[#This Row],[Up - C1]:[Up - C4]]),"")</f>
        <v>2.0833333333333335</v>
      </c>
      <c r="AP225" s="14">
        <v>3</v>
      </c>
      <c r="AQ225" s="14">
        <f>IFERROR(AVERAGE(Tabel1[[#This Row],[Up - F1a]:[Up - F1a]]),"")</f>
        <v>3</v>
      </c>
      <c r="AR225" s="14">
        <v>3</v>
      </c>
      <c r="AS225" s="14">
        <v>2</v>
      </c>
      <c r="AT225" s="14">
        <f>IFERROR(AVERAGE(Tabel1[[#This Row],[Up - F2a]:[Up - F2b]]),"")</f>
        <v>2.5</v>
      </c>
      <c r="AU225" s="14">
        <v>3</v>
      </c>
      <c r="AV225" s="14">
        <v>3</v>
      </c>
      <c r="AW225" s="14">
        <f>IFERROR(AVERAGE(Tabel1[[#This Row],[Up - F3a]:[Up - F3b]]),"")</f>
        <v>3</v>
      </c>
      <c r="AX225" s="14">
        <v>3</v>
      </c>
      <c r="AY225" s="14">
        <f>IFERROR(AVERAGE(Tabel1[[#This Row],[Up - F1]],Tabel1[[#This Row],[Up - F2]],Tabel1[[#This Row],[Up - F3]],Tabel1[[#This Row],[Up - F4]]),"")</f>
        <v>2.875</v>
      </c>
      <c r="AZ225" s="14">
        <v>1</v>
      </c>
      <c r="BA225" s="14">
        <v>3</v>
      </c>
      <c r="BB225" s="14">
        <f>IFERROR(AVERAGE(Tabel1[[#This Row],[Up - V1a]:[Up - V1b]]),"")</f>
        <v>2</v>
      </c>
      <c r="BC225" s="14">
        <v>2</v>
      </c>
      <c r="BD225" s="14">
        <v>1</v>
      </c>
      <c r="BE225" s="14">
        <v>3</v>
      </c>
      <c r="BF225" s="14">
        <f>IFERROR(AVERAGE(Tabel1[[#This Row],[Up - V2a]:[Up - V2c]]),"")</f>
        <v>2</v>
      </c>
      <c r="BG225" s="14">
        <v>2</v>
      </c>
      <c r="BH225" s="14">
        <v>2</v>
      </c>
      <c r="BI225" s="14">
        <f>IFERROR(AVERAGE(Tabel1[[#This Row],[Up - V3a]:[Up - V3b]]),"")</f>
        <v>2</v>
      </c>
      <c r="BJ225" s="14">
        <v>3</v>
      </c>
      <c r="BK225" s="14">
        <f>IFERROR(AVERAGE(Tabel1[[#This Row],[Up - V1]],Tabel1[[#This Row],[Up - V2]],Tabel1[[#This Row],[Up - V3]],Tabel1[[#This Row],[Up - V4]]),"")</f>
        <v>2.25</v>
      </c>
      <c r="BL225" s="14">
        <v>2</v>
      </c>
      <c r="BM225" s="14">
        <v>2</v>
      </c>
      <c r="BN225" s="14">
        <v>4</v>
      </c>
      <c r="BO225" s="14">
        <v>2</v>
      </c>
      <c r="BP225" s="14">
        <f>IFERROR(AVERAGE(Tabel1[[#This Row],[Up - A1a]:[Up - A1d]]),"")</f>
        <v>2.5</v>
      </c>
      <c r="BQ225" s="14">
        <v>3</v>
      </c>
      <c r="BR225" s="14">
        <v>2</v>
      </c>
      <c r="BS225" s="14">
        <f>IFERROR(AVERAGE(Tabel1[[#This Row],[Up - A2a]:[Up - A2b]]),"")</f>
        <v>2.5</v>
      </c>
      <c r="BT225" s="14">
        <v>3</v>
      </c>
      <c r="BU225" s="14">
        <f>IFERROR(AVERAGE(Tabel1[[#This Row],[Up - A3a]:[Up - A3a]]),"")</f>
        <v>3</v>
      </c>
      <c r="BV225" s="14" t="s">
        <v>189</v>
      </c>
      <c r="BW225" s="14">
        <f>IFERROR(AVERAGE(Tabel1[[#This Row],[Up - A1]],Tabel1[[#This Row],[Up - A2]],Tabel1[[#This Row],[Up - A3]]),"")</f>
        <v>2.6666666666666665</v>
      </c>
      <c r="BX225" s="14">
        <v>1</v>
      </c>
      <c r="BY225" s="14">
        <v>1</v>
      </c>
      <c r="BZ225" s="14">
        <f>IFERROR(AVERAGE(Tabel1[[#This Row],[In - R1a]:[In - R1b]]),"")</f>
        <v>1</v>
      </c>
      <c r="CA225" s="14">
        <v>3</v>
      </c>
      <c r="CB225" s="14">
        <v>4</v>
      </c>
      <c r="CC225" s="14">
        <v>1</v>
      </c>
      <c r="CD225" s="14">
        <v>4</v>
      </c>
      <c r="CE225" s="14">
        <f>IFERROR(AVERAGE(Tabel1[[#This Row],[In - R1]:[In - R5]]),"")</f>
        <v>2.6</v>
      </c>
      <c r="CF225" s="14">
        <v>2</v>
      </c>
      <c r="CG225" s="14">
        <v>2</v>
      </c>
      <c r="CH225" s="14" t="s">
        <v>189</v>
      </c>
      <c r="CI225" s="14">
        <f>IFERROR(AVERAGE(Tabel1[[#This Row],[In - C1a]:[In - C1c]]),"")</f>
        <v>2</v>
      </c>
      <c r="CJ225" s="14">
        <v>2</v>
      </c>
      <c r="CK225" s="14">
        <v>2</v>
      </c>
      <c r="CL225" s="14">
        <v>3</v>
      </c>
      <c r="CM225" s="14">
        <f>IFERROR(AVERAGE(Tabel1[[#This Row],[In - C1]:[In - C4]]),"")</f>
        <v>2.25</v>
      </c>
      <c r="CN225" s="14">
        <v>2</v>
      </c>
      <c r="CO225" s="14">
        <v>2</v>
      </c>
      <c r="CP225" s="14" t="s">
        <v>189</v>
      </c>
      <c r="CQ225" s="14">
        <f>IFERROR(AVERAGE(Tabel1[[#This Row],[In - F1a]:[In - F1c]]),"")</f>
        <v>2</v>
      </c>
      <c r="CR225" s="14">
        <v>3</v>
      </c>
      <c r="CS225" s="14">
        <v>4</v>
      </c>
      <c r="CT225" s="14">
        <f>IFERROR(AVERAGE(Tabel1[[#This Row],[In - F2a]:[In - F2b]]),"")</f>
        <v>3.5</v>
      </c>
      <c r="CU225" s="14">
        <v>4</v>
      </c>
      <c r="CV225" s="14">
        <f>IFERROR(AVERAGE(Tabel1[[#This Row],[In - F3a]:[In - F3a]]),"")</f>
        <v>4</v>
      </c>
      <c r="CW225" s="14">
        <v>2</v>
      </c>
      <c r="CX225" s="14">
        <f>IFERROR(AVERAGE(Tabel1[[#This Row],[In - F1]],Tabel1[[#This Row],[In - F2]],Tabel1[[#This Row],[In - F3]],Tabel1[[#This Row],[In - F4]]),"")</f>
        <v>2.875</v>
      </c>
      <c r="CY225" s="14">
        <v>3</v>
      </c>
      <c r="CZ225" s="14">
        <v>2</v>
      </c>
      <c r="DA225" s="14">
        <v>3</v>
      </c>
      <c r="DB225" s="14">
        <f>IFERROR(AVERAGE(Tabel1[[#This Row],[In - V1a]:[In - V1c]]),"")</f>
        <v>2.6666666666666665</v>
      </c>
      <c r="DC225" s="14">
        <v>1</v>
      </c>
      <c r="DD225" s="14">
        <v>2</v>
      </c>
      <c r="DE225" s="14">
        <v>1</v>
      </c>
      <c r="DF225" s="14">
        <f>IFERROR(AVERAGE(Tabel1[[#This Row],[In - V2a]:[In - V2c]]),"")</f>
        <v>1.3333333333333333</v>
      </c>
      <c r="DG225" s="14">
        <v>1</v>
      </c>
      <c r="DH225" s="14">
        <v>4</v>
      </c>
      <c r="DI225" s="14">
        <f>IFERROR(AVERAGE(Tabel1[[#This Row],[In - V3a]:[In - V3b]]),"")</f>
        <v>2.5</v>
      </c>
      <c r="DJ225" s="14">
        <v>3</v>
      </c>
      <c r="DK225" s="14">
        <f>IFERROR(AVERAGE(Tabel1[[#This Row],[In - V1]],Tabel1[[#This Row],[In - V2]],Tabel1[[#This Row],[In - V3]],Tabel1[[#This Row],[In - V4]]),"")</f>
        <v>2.375</v>
      </c>
      <c r="DL225" s="14">
        <v>2</v>
      </c>
      <c r="DM225" s="14">
        <v>1</v>
      </c>
      <c r="DN225" s="14">
        <f>IFERROR(AVERAGE(Tabel1[[#This Row],[In - A1a]:[In - A1b]]),"")</f>
        <v>1.5</v>
      </c>
      <c r="DO225" s="14">
        <v>4</v>
      </c>
      <c r="DP225" s="14">
        <v>1</v>
      </c>
      <c r="DQ225" s="14">
        <f>IFERROR(AVERAGE(Tabel1[[#This Row],[In - A2a]:[In - A2b]]),"")</f>
        <v>2.5</v>
      </c>
      <c r="DR225" s="14">
        <v>3</v>
      </c>
      <c r="DS225" s="14">
        <v>1</v>
      </c>
      <c r="DT225" s="14">
        <f>IFERROR(AVERAGE(Tabel1[[#This Row],[In - A3a]:[In - A3a]]),"")</f>
        <v>3</v>
      </c>
      <c r="DU225" s="14">
        <v>3</v>
      </c>
      <c r="DV225" s="14">
        <f>IFERROR(AVERAGE(Tabel1[[#This Row],[In - A1]],Tabel1[[#This Row],[In - A2]],Tabel1[[#This Row],[In - A3]],Tabel1[[#This Row],[In - A4]]),"")</f>
        <v>2.5</v>
      </c>
      <c r="DW225" s="14">
        <v>1</v>
      </c>
      <c r="DX225" s="14">
        <v>4</v>
      </c>
      <c r="DY225" s="14">
        <v>2</v>
      </c>
      <c r="DZ225" s="14">
        <f>IFERROR(AVERAGE(Tabel1[[#This Row],[Do - R1a]:[Do - R1c]]),"")</f>
        <v>2.3333333333333335</v>
      </c>
      <c r="EA225" s="14">
        <v>2</v>
      </c>
      <c r="EB225" s="14">
        <v>3</v>
      </c>
      <c r="EC225" s="14">
        <v>1</v>
      </c>
      <c r="ED225" s="14">
        <v>3</v>
      </c>
      <c r="EE225" s="14">
        <f>IFERROR(AVERAGE(Tabel1[[#This Row],[Do - R1]:[Do - R5]]),"")</f>
        <v>2.2666666666666666</v>
      </c>
      <c r="EF225" s="14">
        <v>3</v>
      </c>
      <c r="EG225" s="14">
        <v>3</v>
      </c>
      <c r="EH225" s="14">
        <v>3</v>
      </c>
      <c r="EI225" s="14">
        <f>IFERROR(AVERAGE(Tabel1[[#This Row],[Do - C1a]:[Do - C1c]]),"")</f>
        <v>3</v>
      </c>
      <c r="EJ225" s="14">
        <v>2</v>
      </c>
      <c r="EK225" s="14">
        <v>3</v>
      </c>
      <c r="EL225" s="14">
        <v>3</v>
      </c>
      <c r="EM225" s="14">
        <f>IFERROR(AVERAGE(Tabel1[[#This Row],[Do - C1]:[Do - C4]]),"")</f>
        <v>2.75</v>
      </c>
      <c r="EN225" s="14">
        <v>2</v>
      </c>
      <c r="EO225" s="14">
        <v>2</v>
      </c>
      <c r="EP225" s="14">
        <v>4</v>
      </c>
      <c r="EQ225" s="14">
        <f>IFERROR(AVERAGE(Tabel1[[#This Row],[Do - F1a]:[Do - F1c]]),"")</f>
        <v>2.6666666666666665</v>
      </c>
      <c r="ER225" s="14">
        <v>2</v>
      </c>
      <c r="ES225" s="14">
        <f>IFERROR(AVERAGE(Tabel1[[#This Row],[Do - F2a]:[Do - F2a]]),"")</f>
        <v>2</v>
      </c>
      <c r="ET225" s="14">
        <v>3</v>
      </c>
      <c r="EU225" s="14">
        <v>2</v>
      </c>
      <c r="EV225" s="14">
        <f>IFERROR(AVERAGE(Tabel1[[#This Row],[Do - F3a]:[Do - F3b]]),"")</f>
        <v>2.5</v>
      </c>
      <c r="EW225" s="14">
        <v>2</v>
      </c>
      <c r="EX225" s="14">
        <f>IFERROR(AVERAGE(Tabel1[[#This Row],[Do - F1]],Tabel1[[#This Row],[Do - F2]],Tabel1[[#This Row],[Do - F3]],Tabel1[[#This Row],[Do - F4]]),"")</f>
        <v>2.2916666666666665</v>
      </c>
      <c r="EY225" s="14">
        <v>2</v>
      </c>
      <c r="EZ225" s="14">
        <v>1</v>
      </c>
      <c r="FA225" s="14">
        <v>1</v>
      </c>
      <c r="FB225" s="14">
        <f>IFERROR(AVERAGE(Tabel1[[#This Row],[Do - V1a]:[Do - V1c]]),"")</f>
        <v>1.3333333333333333</v>
      </c>
      <c r="FC225" s="14">
        <v>2</v>
      </c>
      <c r="FD225" s="14">
        <v>2</v>
      </c>
      <c r="FE225" s="14">
        <f>IFERROR(AVERAGE(Tabel1[[#This Row],[Do - V2a]:[Do - V2b]]),"")</f>
        <v>2</v>
      </c>
      <c r="FF225" s="14">
        <v>3</v>
      </c>
      <c r="FG225" s="14">
        <f>IFERROR(AVERAGE(Tabel1[[#This Row],[Do - V3a]:[Do - V3a]]),"")</f>
        <v>3</v>
      </c>
      <c r="FH225" s="14">
        <v>2</v>
      </c>
      <c r="FI225" s="14">
        <f>IFERROR(AVERAGE(Tabel1[[#This Row],[Do - V1]],Tabel1[[#This Row],[Do - V2]],Tabel1[[#This Row],[Do - V3]],Tabel1[[#This Row],[Do - V4]]),"")</f>
        <v>2.083333333333333</v>
      </c>
      <c r="FJ225" s="14">
        <v>2</v>
      </c>
      <c r="FK225" s="14">
        <v>3</v>
      </c>
      <c r="FL225" s="14">
        <v>3</v>
      </c>
      <c r="FM225" s="14">
        <f>IFERROR(AVERAGE(Tabel1[[#This Row],[Do - A1a]:[Do - A1c]]),"")</f>
        <v>2.6666666666666665</v>
      </c>
      <c r="FN225" s="14">
        <v>2</v>
      </c>
      <c r="FO225" s="14">
        <v>3</v>
      </c>
      <c r="FP225" s="14">
        <f>IFERROR(AVERAGE(Tabel1[[#This Row],[Do - A2a]:[Do - A2b]]),"")</f>
        <v>2.5</v>
      </c>
      <c r="FQ225" s="14">
        <v>3</v>
      </c>
      <c r="FR225" s="14">
        <f>IFERROR(AVERAGE(Tabel1[[#This Row],[Do - A3a]:[Do - A3a]]),"")</f>
        <v>3</v>
      </c>
      <c r="FS225" s="14">
        <v>2</v>
      </c>
      <c r="FT225" s="14">
        <f>IFERROR(AVERAGE(Tabel1[[#This Row],[Do - A1]],Tabel1[[#This Row],[Do - A2]],Tabel1[[#This Row],[Do - A3]],Tabel1[[#This Row],[Do - A4]]),"")</f>
        <v>2.5416666666666665</v>
      </c>
      <c r="FU22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2.4716666666666662</v>
      </c>
      <c r="FV225" s="14" t="s">
        <v>1218</v>
      </c>
      <c r="FW225" t="b">
        <v>1</v>
      </c>
    </row>
    <row r="226" spans="1:179" x14ac:dyDescent="0.3">
      <c r="A226" s="13">
        <v>45355.516192129602</v>
      </c>
      <c r="B226" t="b">
        <v>0</v>
      </c>
      <c r="C226" t="s">
        <v>1219</v>
      </c>
      <c r="D226" t="s">
        <v>1220</v>
      </c>
      <c r="E226" t="s">
        <v>1221</v>
      </c>
      <c r="F226" s="14" t="s">
        <v>184</v>
      </c>
      <c r="G226" t="s">
        <v>1222</v>
      </c>
      <c r="H226" s="14" t="s">
        <v>194</v>
      </c>
      <c r="I226" t="s">
        <v>1223</v>
      </c>
      <c r="J226" t="s">
        <v>347</v>
      </c>
      <c r="K226" t="s">
        <v>201</v>
      </c>
      <c r="L226" t="s">
        <v>218</v>
      </c>
      <c r="M226" t="s">
        <v>198</v>
      </c>
      <c r="N226" t="s">
        <v>262</v>
      </c>
      <c r="O226" t="s">
        <v>200</v>
      </c>
      <c r="P226" s="22" t="s">
        <v>255</v>
      </c>
      <c r="Q226" s="22" t="s">
        <v>255</v>
      </c>
      <c r="R226" s="23" t="s">
        <v>202</v>
      </c>
      <c r="S226" s="22" t="s">
        <v>304</v>
      </c>
      <c r="T226" t="s">
        <v>236</v>
      </c>
      <c r="U226" t="s">
        <v>205</v>
      </c>
      <c r="V226" t="s">
        <v>359</v>
      </c>
      <c r="W226" t="s">
        <v>207</v>
      </c>
      <c r="X226" t="s">
        <v>207</v>
      </c>
      <c r="Y226">
        <v>3</v>
      </c>
      <c r="Z226">
        <v>3</v>
      </c>
      <c r="AA226">
        <v>2</v>
      </c>
      <c r="AB226">
        <f>IFERROR(AVERAGE(Tabel1[[#This Row],[Up - R1a]:[Up - R1c]]),"")</f>
        <v>2.6666666666666665</v>
      </c>
      <c r="AC226" t="s">
        <v>189</v>
      </c>
      <c r="AD226">
        <v>5</v>
      </c>
      <c r="AE226" t="s">
        <v>189</v>
      </c>
      <c r="AF226" t="s">
        <v>189</v>
      </c>
      <c r="AG226">
        <f>IFERROR(AVERAGE(Tabel1[[#This Row],[Up - R1]:[Up - R5]]),"")</f>
        <v>3.833333333333333</v>
      </c>
      <c r="AH226" t="s">
        <v>189</v>
      </c>
      <c r="AI226" t="s">
        <v>189</v>
      </c>
      <c r="AJ226">
        <v>1</v>
      </c>
      <c r="AK226">
        <f>IFERROR(AVERAGE(Tabel1[[#This Row],[Up - C1a]:[Up - C1c]]),"")</f>
        <v>1</v>
      </c>
      <c r="AL226" t="s">
        <v>189</v>
      </c>
      <c r="AM226" t="s">
        <v>189</v>
      </c>
      <c r="AN226" t="s">
        <v>189</v>
      </c>
      <c r="AO226">
        <f>IFERROR(AVERAGE(Tabel1[[#This Row],[Up - C1]:[Up - C4]]),"")</f>
        <v>1</v>
      </c>
      <c r="AP226" t="s">
        <v>189</v>
      </c>
      <c r="AQ226" t="str">
        <f>IFERROR(AVERAGE(Tabel1[[#This Row],[Up - F1a]:[Up - F1a]]),"")</f>
        <v/>
      </c>
      <c r="AR226">
        <v>2</v>
      </c>
      <c r="AS226">
        <v>1</v>
      </c>
      <c r="AT226">
        <f>IFERROR(AVERAGE(Tabel1[[#This Row],[Up - F2a]:[Up - F2b]]),"")</f>
        <v>1.5</v>
      </c>
      <c r="AU226" t="s">
        <v>189</v>
      </c>
      <c r="AV226" t="s">
        <v>189</v>
      </c>
      <c r="AW226" t="str">
        <f>IFERROR(AVERAGE(Tabel1[[#This Row],[Up - F3a]:[Up - F3b]]),"")</f>
        <v/>
      </c>
      <c r="AX226">
        <v>5</v>
      </c>
      <c r="AY226">
        <f>IFERROR(AVERAGE(Tabel1[[#This Row],[Up - F1]],Tabel1[[#This Row],[Up - F2]],Tabel1[[#This Row],[Up - F3]],Tabel1[[#This Row],[Up - F4]]),"")</f>
        <v>3.25</v>
      </c>
      <c r="AZ226" t="s">
        <v>189</v>
      </c>
      <c r="BA226">
        <v>4</v>
      </c>
      <c r="BB226">
        <f>IFERROR(AVERAGE(Tabel1[[#This Row],[Up - V1a]:[Up - V1b]]),"")</f>
        <v>4</v>
      </c>
      <c r="BC226">
        <v>4</v>
      </c>
      <c r="BD226">
        <v>5</v>
      </c>
      <c r="BE226" t="s">
        <v>189</v>
      </c>
      <c r="BF226">
        <f>IFERROR(AVERAGE(Tabel1[[#This Row],[Up - V2a]:[Up - V2c]]),"")</f>
        <v>4.5</v>
      </c>
      <c r="BG226" t="s">
        <v>189</v>
      </c>
      <c r="BH226" t="s">
        <v>189</v>
      </c>
      <c r="BI226" t="str">
        <f>IFERROR(AVERAGE(Tabel1[[#This Row],[Up - V3a]:[Up - V3b]]),"")</f>
        <v/>
      </c>
      <c r="BJ226">
        <v>4</v>
      </c>
      <c r="BK226">
        <f>IFERROR(AVERAGE(Tabel1[[#This Row],[Up - V1]],Tabel1[[#This Row],[Up - V2]],Tabel1[[#This Row],[Up - V3]],Tabel1[[#This Row],[Up - V4]]),"")</f>
        <v>4.166666666666667</v>
      </c>
      <c r="BL226" t="s">
        <v>189</v>
      </c>
      <c r="BM226" t="s">
        <v>189</v>
      </c>
      <c r="BN226" t="s">
        <v>189</v>
      </c>
      <c r="BO226" t="s">
        <v>189</v>
      </c>
      <c r="BP226" t="str">
        <f>IFERROR(AVERAGE(Tabel1[[#This Row],[Up - A1a]:[Up - A1d]]),"")</f>
        <v/>
      </c>
      <c r="BQ226" t="s">
        <v>189</v>
      </c>
      <c r="BR226">
        <v>3</v>
      </c>
      <c r="BS226">
        <f>IFERROR(AVERAGE(Tabel1[[#This Row],[Up - A2a]:[Up - A2b]]),"")</f>
        <v>3</v>
      </c>
      <c r="BT226">
        <v>4</v>
      </c>
      <c r="BU226">
        <f>IFERROR(AVERAGE(Tabel1[[#This Row],[Up - A3a]:[Up - A3a]]),"")</f>
        <v>4</v>
      </c>
      <c r="BV226">
        <v>3</v>
      </c>
      <c r="BW226">
        <f>IFERROR(AVERAGE(Tabel1[[#This Row],[Up - A1]],Tabel1[[#This Row],[Up - A2]],Tabel1[[#This Row],[Up - A3]]),"")</f>
        <v>3.5</v>
      </c>
      <c r="BX226">
        <v>1</v>
      </c>
      <c r="BY226">
        <v>3</v>
      </c>
      <c r="BZ226">
        <f>IFERROR(AVERAGE(Tabel1[[#This Row],[In - R1a]:[In - R1b]]),"")</f>
        <v>2</v>
      </c>
      <c r="CA226">
        <v>1</v>
      </c>
      <c r="CB226">
        <v>3</v>
      </c>
      <c r="CC226">
        <v>4</v>
      </c>
      <c r="CD226">
        <v>5</v>
      </c>
      <c r="CE226">
        <f>IFERROR(AVERAGE(Tabel1[[#This Row],[In - R1]:[In - R5]]),"")</f>
        <v>3</v>
      </c>
      <c r="CF226">
        <v>5</v>
      </c>
      <c r="CG226">
        <v>4</v>
      </c>
      <c r="CH226">
        <v>5</v>
      </c>
      <c r="CI226">
        <f>IFERROR(AVERAGE(Tabel1[[#This Row],[In - C1a]:[In - C1c]]),"")</f>
        <v>4.666666666666667</v>
      </c>
      <c r="CJ226">
        <v>5</v>
      </c>
      <c r="CK226">
        <v>4</v>
      </c>
      <c r="CL226">
        <v>3</v>
      </c>
      <c r="CM226">
        <f>IFERROR(AVERAGE(Tabel1[[#This Row],[In - C1]:[In - C4]]),"")</f>
        <v>4.166666666666667</v>
      </c>
      <c r="CN226">
        <v>3</v>
      </c>
      <c r="CO226">
        <v>2</v>
      </c>
      <c r="CP226">
        <v>1</v>
      </c>
      <c r="CQ226">
        <f>IFERROR(AVERAGE(Tabel1[[#This Row],[In - F1a]:[In - F1c]]),"")</f>
        <v>2</v>
      </c>
      <c r="CR226">
        <v>4</v>
      </c>
      <c r="CS226">
        <v>5</v>
      </c>
      <c r="CT226">
        <f>IFERROR(AVERAGE(Tabel1[[#This Row],[In - F2a]:[In - F2b]]),"")</f>
        <v>4.5</v>
      </c>
      <c r="CU226">
        <v>2</v>
      </c>
      <c r="CV226">
        <f>IFERROR(AVERAGE(Tabel1[[#This Row],[In - F3a]:[In - F3a]]),"")</f>
        <v>2</v>
      </c>
      <c r="CW226" t="s">
        <v>189</v>
      </c>
      <c r="CX226">
        <f>IFERROR(AVERAGE(Tabel1[[#This Row],[In - F1]],Tabel1[[#This Row],[In - F2]],Tabel1[[#This Row],[In - F3]],Tabel1[[#This Row],[In - F4]]),"")</f>
        <v>2.8333333333333335</v>
      </c>
      <c r="CY226">
        <v>5</v>
      </c>
      <c r="CZ226">
        <v>4</v>
      </c>
      <c r="DA226">
        <v>5</v>
      </c>
      <c r="DB226">
        <f>IFERROR(AVERAGE(Tabel1[[#This Row],[In - V1a]:[In - V1c]]),"")</f>
        <v>4.666666666666667</v>
      </c>
      <c r="DC226" t="s">
        <v>189</v>
      </c>
      <c r="DD226">
        <v>4</v>
      </c>
      <c r="DE226">
        <v>4</v>
      </c>
      <c r="DF226">
        <f>IFERROR(AVERAGE(Tabel1[[#This Row],[In - V2a]:[In - V2c]]),"")</f>
        <v>4</v>
      </c>
      <c r="DG226">
        <v>3</v>
      </c>
      <c r="DH226">
        <v>3</v>
      </c>
      <c r="DI226">
        <f>IFERROR(AVERAGE(Tabel1[[#This Row],[In - V3a]:[In - V3b]]),"")</f>
        <v>3</v>
      </c>
      <c r="DJ226">
        <v>4</v>
      </c>
      <c r="DK226">
        <f>IFERROR(AVERAGE(Tabel1[[#This Row],[In - V1]],Tabel1[[#This Row],[In - V2]],Tabel1[[#This Row],[In - V3]],Tabel1[[#This Row],[In - V4]]),"")</f>
        <v>3.916666666666667</v>
      </c>
      <c r="DL226">
        <v>2</v>
      </c>
      <c r="DM226" t="s">
        <v>189</v>
      </c>
      <c r="DN226">
        <f>IFERROR(AVERAGE(Tabel1[[#This Row],[In - A1a]:[In - A1b]]),"")</f>
        <v>2</v>
      </c>
      <c r="DO226">
        <v>3</v>
      </c>
      <c r="DP226">
        <v>4</v>
      </c>
      <c r="DQ226">
        <f>IFERROR(AVERAGE(Tabel1[[#This Row],[In - A2a]:[In - A2b]]),"")</f>
        <v>3.5</v>
      </c>
      <c r="DR226">
        <v>3</v>
      </c>
      <c r="DS226">
        <v>2</v>
      </c>
      <c r="DT226">
        <f>IFERROR(AVERAGE(Tabel1[[#This Row],[In - A3a]:[In - A3a]]),"")</f>
        <v>3</v>
      </c>
      <c r="DU226">
        <v>4</v>
      </c>
      <c r="DV226">
        <f>IFERROR(AVERAGE(Tabel1[[#This Row],[In - A1]],Tabel1[[#This Row],[In - A2]],Tabel1[[#This Row],[In - A3]],Tabel1[[#This Row],[In - A4]]),"")</f>
        <v>3.125</v>
      </c>
      <c r="DW226">
        <v>3</v>
      </c>
      <c r="DX226">
        <v>5</v>
      </c>
      <c r="DY226">
        <v>3</v>
      </c>
      <c r="DZ226">
        <f>IFERROR(AVERAGE(Tabel1[[#This Row],[Do - R1a]:[Do - R1c]]),"")</f>
        <v>3.6666666666666665</v>
      </c>
      <c r="EA226">
        <v>1</v>
      </c>
      <c r="EB226">
        <v>3</v>
      </c>
      <c r="EC226">
        <v>1</v>
      </c>
      <c r="ED226">
        <v>5</v>
      </c>
      <c r="EE226">
        <f>IFERROR(AVERAGE(Tabel1[[#This Row],[Do - R1]:[Do - R5]]),"")</f>
        <v>2.7333333333333334</v>
      </c>
      <c r="EF226" t="s">
        <v>189</v>
      </c>
      <c r="EG226" t="s">
        <v>189</v>
      </c>
      <c r="EH226">
        <v>3</v>
      </c>
      <c r="EI226">
        <f>IFERROR(AVERAGE(Tabel1[[#This Row],[Do - C1a]:[Do - C1c]]),"")</f>
        <v>3</v>
      </c>
      <c r="EJ226" t="s">
        <v>189</v>
      </c>
      <c r="EK226" t="s">
        <v>189</v>
      </c>
      <c r="EL226" t="s">
        <v>189</v>
      </c>
      <c r="EM226">
        <f>IFERROR(AVERAGE(Tabel1[[#This Row],[Do - C1]:[Do - C4]]),"")</f>
        <v>3</v>
      </c>
      <c r="EN226">
        <v>4</v>
      </c>
      <c r="EO226">
        <v>4</v>
      </c>
      <c r="EP226">
        <v>3</v>
      </c>
      <c r="EQ226" s="14">
        <f>IFERROR(AVERAGE(Tabel1[[#This Row],[Do - F1a]:[Do - F1c]]),"")</f>
        <v>3.6666666666666665</v>
      </c>
      <c r="ER226">
        <v>5</v>
      </c>
      <c r="ES226" s="14">
        <f>IFERROR(AVERAGE(Tabel1[[#This Row],[Do - F2a]:[Do - F2a]]),"")</f>
        <v>5</v>
      </c>
      <c r="ET226">
        <v>5</v>
      </c>
      <c r="EU226">
        <v>4</v>
      </c>
      <c r="EV226" s="14">
        <f>IFERROR(AVERAGE(Tabel1[[#This Row],[Do - F3a]:[Do - F3b]]),"")</f>
        <v>4.5</v>
      </c>
      <c r="EW226">
        <v>4</v>
      </c>
      <c r="EX226" s="14">
        <f>IFERROR(AVERAGE(Tabel1[[#This Row],[Do - F1]],Tabel1[[#This Row],[Do - F2]],Tabel1[[#This Row],[Do - F3]],Tabel1[[#This Row],[Do - F4]]),"")</f>
        <v>4.2916666666666661</v>
      </c>
      <c r="EY226">
        <v>2</v>
      </c>
      <c r="EZ226">
        <v>3</v>
      </c>
      <c r="FA226">
        <v>3</v>
      </c>
      <c r="FB226">
        <f>IFERROR(AVERAGE(Tabel1[[#This Row],[Do - V1a]:[Do - V1c]]),"")</f>
        <v>2.6666666666666665</v>
      </c>
      <c r="FC226">
        <v>5</v>
      </c>
      <c r="FD226">
        <v>5</v>
      </c>
      <c r="FE226">
        <f>IFERROR(AVERAGE(Tabel1[[#This Row],[Do - V2a]:[Do - V2b]]),"")</f>
        <v>5</v>
      </c>
      <c r="FF226">
        <v>5</v>
      </c>
      <c r="FG226">
        <f>IFERROR(AVERAGE(Tabel1[[#This Row],[Do - V3a]:[Do - V3a]]),"")</f>
        <v>5</v>
      </c>
      <c r="FH226">
        <v>5</v>
      </c>
      <c r="FI226">
        <f>IFERROR(AVERAGE(Tabel1[[#This Row],[Do - V1]],Tabel1[[#This Row],[Do - V2]],Tabel1[[#This Row],[Do - V3]],Tabel1[[#This Row],[Do - V4]]),"")</f>
        <v>4.4166666666666661</v>
      </c>
      <c r="FJ226">
        <v>2</v>
      </c>
      <c r="FK226">
        <v>4</v>
      </c>
      <c r="FL226">
        <v>3</v>
      </c>
      <c r="FM226">
        <f>IFERROR(AVERAGE(Tabel1[[#This Row],[Do - A1a]:[Do - A1c]]),"")</f>
        <v>3</v>
      </c>
      <c r="FN226">
        <v>2</v>
      </c>
      <c r="FO226">
        <v>3</v>
      </c>
      <c r="FP226">
        <f>IFERROR(AVERAGE(Tabel1[[#This Row],[Do - A2a]:[Do - A2b]]),"")</f>
        <v>2.5</v>
      </c>
      <c r="FQ226">
        <v>3</v>
      </c>
      <c r="FR226">
        <f>IFERROR(AVERAGE(Tabel1[[#This Row],[Do - A3a]:[Do - A3a]]),"")</f>
        <v>3</v>
      </c>
      <c r="FS226">
        <v>4</v>
      </c>
      <c r="FT226">
        <f>IFERROR(AVERAGE(Tabel1[[#This Row],[Do - A1]],Tabel1[[#This Row],[Do - A2]],Tabel1[[#This Row],[Do - A3]],Tabel1[[#This Row],[Do - A4]]),"")</f>
        <v>3.125</v>
      </c>
      <c r="FU22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3.3572222222222221</v>
      </c>
      <c r="FV226" t="s">
        <v>1224</v>
      </c>
      <c r="FW226" t="b">
        <v>1</v>
      </c>
    </row>
    <row r="227" spans="1:179" x14ac:dyDescent="0.3">
      <c r="A227" s="13">
        <v>45377.805173611101</v>
      </c>
      <c r="B227" t="b">
        <v>0</v>
      </c>
      <c r="C227" s="14" t="s">
        <v>1225</v>
      </c>
      <c r="D227" s="14" t="s">
        <v>1226</v>
      </c>
      <c r="E227" s="14" t="s">
        <v>1227</v>
      </c>
      <c r="F227" s="14" t="s">
        <v>184</v>
      </c>
      <c r="G227" s="14" t="s">
        <v>1228</v>
      </c>
      <c r="H227" s="14" t="s">
        <v>222</v>
      </c>
      <c r="I227" s="14" t="s">
        <v>417</v>
      </c>
      <c r="J227" s="14" t="s">
        <v>418</v>
      </c>
      <c r="K227" s="26" t="s">
        <v>304</v>
      </c>
      <c r="L227" s="14" t="s">
        <v>249</v>
      </c>
      <c r="M227" s="14" t="s">
        <v>198</v>
      </c>
      <c r="N227" s="14" t="s">
        <v>199</v>
      </c>
      <c r="O227" s="14" t="s">
        <v>256</v>
      </c>
      <c r="P227" s="24" t="s">
        <v>304</v>
      </c>
      <c r="Q227" s="17" t="s">
        <v>304</v>
      </c>
      <c r="R227" s="24" t="s">
        <v>304</v>
      </c>
      <c r="S227" s="24" t="s">
        <v>255</v>
      </c>
      <c r="T227" s="14" t="s">
        <v>348</v>
      </c>
      <c r="U227" s="14" t="s">
        <v>349</v>
      </c>
      <c r="V227" s="14" t="s">
        <v>224</v>
      </c>
      <c r="W227" s="14" t="s">
        <v>305</v>
      </c>
      <c r="X227" s="14" t="s">
        <v>306</v>
      </c>
      <c r="Y227" s="14">
        <v>2</v>
      </c>
      <c r="Z227" s="14">
        <v>4</v>
      </c>
      <c r="AA227" s="14">
        <v>5</v>
      </c>
      <c r="AB227" s="15">
        <f>IFERROR(AVERAGE(Tabel1[[#This Row],[Up - R1a]:[Up - R1c]]),"")</f>
        <v>3.6666666666666665</v>
      </c>
      <c r="AC227" s="14">
        <v>2</v>
      </c>
      <c r="AD227" s="14">
        <v>2</v>
      </c>
      <c r="AE227" s="14">
        <v>1</v>
      </c>
      <c r="AF227" s="14">
        <v>4</v>
      </c>
      <c r="AG227" s="14">
        <f>IFERROR(AVERAGE(Tabel1[[#This Row],[Up - R1]:[Up - R5]]),"")</f>
        <v>2.5333333333333332</v>
      </c>
      <c r="AH227" s="14">
        <v>5</v>
      </c>
      <c r="AI227" s="14">
        <v>3</v>
      </c>
      <c r="AJ227" s="14">
        <v>2</v>
      </c>
      <c r="AK227" s="14">
        <f>IFERROR(AVERAGE(Tabel1[[#This Row],[Up - C1a]:[Up - C1c]]),"")</f>
        <v>3.3333333333333335</v>
      </c>
      <c r="AL227" s="14">
        <v>4</v>
      </c>
      <c r="AM227" s="14">
        <v>1</v>
      </c>
      <c r="AN227" s="14">
        <v>4</v>
      </c>
      <c r="AO227" s="14">
        <f>IFERROR(AVERAGE(Tabel1[[#This Row],[Up - C1]:[Up - C4]]),"")</f>
        <v>3.0833333333333335</v>
      </c>
      <c r="AP227" s="14">
        <v>1</v>
      </c>
      <c r="AQ227" s="14">
        <f>IFERROR(AVERAGE(Tabel1[[#This Row],[Up - F1a]:[Up - F1a]]),"")</f>
        <v>1</v>
      </c>
      <c r="AR227" s="14">
        <v>1</v>
      </c>
      <c r="AS227" s="14">
        <v>2</v>
      </c>
      <c r="AT227" s="14">
        <f>IFERROR(AVERAGE(Tabel1[[#This Row],[Up - F2a]:[Up - F2b]]),"")</f>
        <v>1.5</v>
      </c>
      <c r="AU227" s="14">
        <v>1</v>
      </c>
      <c r="AV227" s="14">
        <v>1</v>
      </c>
      <c r="AW227" s="14">
        <f>IFERROR(AVERAGE(Tabel1[[#This Row],[Up - F3a]:[Up - F3b]]),"")</f>
        <v>1</v>
      </c>
      <c r="AX227" s="14">
        <v>4</v>
      </c>
      <c r="AY227" s="14">
        <f>IFERROR(AVERAGE(Tabel1[[#This Row],[Up - F1]],Tabel1[[#This Row],[Up - F2]],Tabel1[[#This Row],[Up - F3]],Tabel1[[#This Row],[Up - F4]]),"")</f>
        <v>1.875</v>
      </c>
      <c r="AZ227" s="14">
        <v>5</v>
      </c>
      <c r="BA227" s="14">
        <v>3</v>
      </c>
      <c r="BB227" s="14">
        <f>IFERROR(AVERAGE(Tabel1[[#This Row],[Up - V1a]:[Up - V1b]]),"")</f>
        <v>4</v>
      </c>
      <c r="BC227" s="14">
        <v>1</v>
      </c>
      <c r="BD227" s="14" t="s">
        <v>189</v>
      </c>
      <c r="BE227" s="14">
        <v>4</v>
      </c>
      <c r="BF227" s="14">
        <f>IFERROR(AVERAGE(Tabel1[[#This Row],[Up - V2a]:[Up - V2c]]),"")</f>
        <v>2.5</v>
      </c>
      <c r="BG227" s="14">
        <v>1</v>
      </c>
      <c r="BH227" s="14" t="s">
        <v>189</v>
      </c>
      <c r="BI227" s="14">
        <f>IFERROR(AVERAGE(Tabel1[[#This Row],[Up - V3a]:[Up - V3b]]),"")</f>
        <v>1</v>
      </c>
      <c r="BJ227" s="14">
        <v>1</v>
      </c>
      <c r="BK227" s="14">
        <f>IFERROR(AVERAGE(Tabel1[[#This Row],[Up - V1]],Tabel1[[#This Row],[Up - V2]],Tabel1[[#This Row],[Up - V3]],Tabel1[[#This Row],[Up - V4]]),"")</f>
        <v>2.125</v>
      </c>
      <c r="BL227" s="14" t="s">
        <v>189</v>
      </c>
      <c r="BM227" s="14">
        <v>4</v>
      </c>
      <c r="BN227" s="14">
        <v>4</v>
      </c>
      <c r="BO227" s="14">
        <v>4</v>
      </c>
      <c r="BP227" s="14">
        <f>IFERROR(AVERAGE(Tabel1[[#This Row],[Up - A1a]:[Up - A1d]]),"")</f>
        <v>4</v>
      </c>
      <c r="BQ227" s="14">
        <v>4</v>
      </c>
      <c r="BR227" s="14">
        <v>1</v>
      </c>
      <c r="BS227" s="14">
        <f>IFERROR(AVERAGE(Tabel1[[#This Row],[Up - A2a]:[Up - A2b]]),"")</f>
        <v>2.5</v>
      </c>
      <c r="BT227" s="14">
        <v>5</v>
      </c>
      <c r="BU227" s="14">
        <f>IFERROR(AVERAGE(Tabel1[[#This Row],[Up - A3a]:[Up - A3a]]),"")</f>
        <v>5</v>
      </c>
      <c r="BV227" s="14">
        <v>5</v>
      </c>
      <c r="BW227" s="14">
        <f>IFERROR(AVERAGE(Tabel1[[#This Row],[Up - A1]],Tabel1[[#This Row],[Up - A2]],Tabel1[[#This Row],[Up - A3]]),"")</f>
        <v>3.8333333333333335</v>
      </c>
      <c r="BX227" s="14">
        <v>2</v>
      </c>
      <c r="BY227" s="14">
        <v>1</v>
      </c>
      <c r="BZ227" s="14">
        <f>IFERROR(AVERAGE(Tabel1[[#This Row],[In - R1a]:[In - R1b]]),"")</f>
        <v>1.5</v>
      </c>
      <c r="CA227" s="14">
        <v>1</v>
      </c>
      <c r="CB227" s="14" t="s">
        <v>189</v>
      </c>
      <c r="CC227" s="14">
        <v>1</v>
      </c>
      <c r="CD227" s="14">
        <v>5</v>
      </c>
      <c r="CE227" s="14">
        <f>IFERROR(AVERAGE(Tabel1[[#This Row],[In - R1]:[In - R5]]),"")</f>
        <v>2.125</v>
      </c>
      <c r="CF227" s="14">
        <v>4</v>
      </c>
      <c r="CG227" s="14">
        <v>3</v>
      </c>
      <c r="CH227" s="14">
        <v>5</v>
      </c>
      <c r="CI227" s="14">
        <f>IFERROR(AVERAGE(Tabel1[[#This Row],[In - C1a]:[In - C1c]]),"")</f>
        <v>4</v>
      </c>
      <c r="CJ227" s="14" t="s">
        <v>189</v>
      </c>
      <c r="CK227" s="14">
        <v>1</v>
      </c>
      <c r="CL227" s="14">
        <v>3</v>
      </c>
      <c r="CM227" s="14">
        <f>IFERROR(AVERAGE(Tabel1[[#This Row],[In - C1]:[In - C4]]),"")</f>
        <v>2.6666666666666665</v>
      </c>
      <c r="CN227" s="14">
        <v>1</v>
      </c>
      <c r="CO227" s="14">
        <v>3</v>
      </c>
      <c r="CP227" s="14">
        <v>5</v>
      </c>
      <c r="CQ227" s="14">
        <f>IFERROR(AVERAGE(Tabel1[[#This Row],[In - F1a]:[In - F1c]]),"")</f>
        <v>3</v>
      </c>
      <c r="CR227" s="14" t="s">
        <v>189</v>
      </c>
      <c r="CS227" s="14">
        <v>5</v>
      </c>
      <c r="CT227" s="14">
        <f>IFERROR(AVERAGE(Tabel1[[#This Row],[In - F2a]:[In - F2b]]),"")</f>
        <v>5</v>
      </c>
      <c r="CU227" s="14">
        <v>1</v>
      </c>
      <c r="CV227" s="14">
        <f>IFERROR(AVERAGE(Tabel1[[#This Row],[In - F3a]:[In - F3a]]),"")</f>
        <v>1</v>
      </c>
      <c r="CW227" s="14">
        <v>4</v>
      </c>
      <c r="CX227" s="14">
        <f>IFERROR(AVERAGE(Tabel1[[#This Row],[In - F1]],Tabel1[[#This Row],[In - F2]],Tabel1[[#This Row],[In - F3]],Tabel1[[#This Row],[In - F4]]),"")</f>
        <v>3.25</v>
      </c>
      <c r="CY227" s="14">
        <v>4</v>
      </c>
      <c r="CZ227" s="14">
        <v>1</v>
      </c>
      <c r="DA227" s="14" t="s">
        <v>189</v>
      </c>
      <c r="DB227" s="14">
        <f>IFERROR(AVERAGE(Tabel1[[#This Row],[In - V1a]:[In - V1c]]),"")</f>
        <v>2.5</v>
      </c>
      <c r="DC227" s="14" t="s">
        <v>189</v>
      </c>
      <c r="DD227" s="14">
        <v>3</v>
      </c>
      <c r="DE227" s="14">
        <v>1</v>
      </c>
      <c r="DF227" s="14">
        <f>IFERROR(AVERAGE(Tabel1[[#This Row],[In - V2a]:[In - V2c]]),"")</f>
        <v>2</v>
      </c>
      <c r="DG227" s="14">
        <v>1</v>
      </c>
      <c r="DH227" s="14">
        <v>1</v>
      </c>
      <c r="DI227" s="14">
        <f>IFERROR(AVERAGE(Tabel1[[#This Row],[In - V3a]:[In - V3b]]),"")</f>
        <v>1</v>
      </c>
      <c r="DJ227" s="14">
        <v>2</v>
      </c>
      <c r="DK227" s="14">
        <f>IFERROR(AVERAGE(Tabel1[[#This Row],[In - V1]],Tabel1[[#This Row],[In - V2]],Tabel1[[#This Row],[In - V3]],Tabel1[[#This Row],[In - V4]]),"")</f>
        <v>1.875</v>
      </c>
      <c r="DL227" s="14">
        <v>3</v>
      </c>
      <c r="DM227" s="14" t="s">
        <v>189</v>
      </c>
      <c r="DN227" s="14">
        <f>IFERROR(AVERAGE(Tabel1[[#This Row],[In - A1a]:[In - A1b]]),"")</f>
        <v>3</v>
      </c>
      <c r="DO227" s="14" t="s">
        <v>189</v>
      </c>
      <c r="DP227" s="14">
        <v>4</v>
      </c>
      <c r="DQ227" s="14">
        <f>IFERROR(AVERAGE(Tabel1[[#This Row],[In - A2a]:[In - A2b]]),"")</f>
        <v>4</v>
      </c>
      <c r="DR227" s="14">
        <v>4</v>
      </c>
      <c r="DS227" s="14">
        <v>4</v>
      </c>
      <c r="DT227" s="14">
        <f>IFERROR(AVERAGE(Tabel1[[#This Row],[In - A3a]:[In - A3a]]),"")</f>
        <v>4</v>
      </c>
      <c r="DU227" s="14" t="s">
        <v>189</v>
      </c>
      <c r="DV227" s="14">
        <f>IFERROR(AVERAGE(Tabel1[[#This Row],[In - A1]],Tabel1[[#This Row],[In - A2]],Tabel1[[#This Row],[In - A3]],Tabel1[[#This Row],[In - A4]]),"")</f>
        <v>3.6666666666666665</v>
      </c>
      <c r="DW227" s="14">
        <v>2</v>
      </c>
      <c r="DX227" s="14">
        <v>4</v>
      </c>
      <c r="DY227" s="14">
        <v>4</v>
      </c>
      <c r="DZ227" s="14">
        <f>IFERROR(AVERAGE(Tabel1[[#This Row],[Do - R1a]:[Do - R1c]]),"")</f>
        <v>3.3333333333333335</v>
      </c>
      <c r="EA227" s="14" t="s">
        <v>189</v>
      </c>
      <c r="EB227" s="14">
        <v>1</v>
      </c>
      <c r="EC227" s="14" t="s">
        <v>189</v>
      </c>
      <c r="ED227" s="14" t="s">
        <v>189</v>
      </c>
      <c r="EE227" s="14">
        <f>IFERROR(AVERAGE(Tabel1[[#This Row],[Do - R1]:[Do - R5]]),"")</f>
        <v>2.166666666666667</v>
      </c>
      <c r="EF227" s="14">
        <v>3</v>
      </c>
      <c r="EG227" s="14">
        <v>5</v>
      </c>
      <c r="EH227" s="14">
        <v>4</v>
      </c>
      <c r="EI227" s="14">
        <f>IFERROR(AVERAGE(Tabel1[[#This Row],[Do - C1a]:[Do - C1c]]),"")</f>
        <v>4</v>
      </c>
      <c r="EJ227" s="14" t="s">
        <v>189</v>
      </c>
      <c r="EK227" s="14" t="s">
        <v>189</v>
      </c>
      <c r="EL227" s="14">
        <v>4</v>
      </c>
      <c r="EM227" s="14">
        <f>IFERROR(AVERAGE(Tabel1[[#This Row],[Do - C1]:[Do - C4]]),"")</f>
        <v>4</v>
      </c>
      <c r="EN227" s="14">
        <v>3</v>
      </c>
      <c r="EO227" s="14">
        <v>1</v>
      </c>
      <c r="EP227" s="14" t="s">
        <v>189</v>
      </c>
      <c r="EQ227" s="14">
        <f>IFERROR(AVERAGE(Tabel1[[#This Row],[Do - F1a]:[Do - F1c]]),"")</f>
        <v>2</v>
      </c>
      <c r="ER227" s="14" t="s">
        <v>189</v>
      </c>
      <c r="ES227" s="14" t="str">
        <f>IFERROR(AVERAGE(Tabel1[[#This Row],[Do - F2a]:[Do - F2a]]),"")</f>
        <v/>
      </c>
      <c r="ET227" s="14" t="s">
        <v>189</v>
      </c>
      <c r="EU227" s="14" t="s">
        <v>189</v>
      </c>
      <c r="EV227" s="14" t="str">
        <f>IFERROR(AVERAGE(Tabel1[[#This Row],[Do - F3a]:[Do - F3b]]),"")</f>
        <v/>
      </c>
      <c r="EW227" s="14">
        <v>4</v>
      </c>
      <c r="EX227" s="14">
        <f>IFERROR(AVERAGE(Tabel1[[#This Row],[Do - F1]],Tabel1[[#This Row],[Do - F2]],Tabel1[[#This Row],[Do - F3]],Tabel1[[#This Row],[Do - F4]]),"")</f>
        <v>3</v>
      </c>
      <c r="EY227" s="14">
        <v>4</v>
      </c>
      <c r="EZ227" s="14" t="s">
        <v>189</v>
      </c>
      <c r="FA227" s="14" t="s">
        <v>189</v>
      </c>
      <c r="FB227" s="14">
        <f>IFERROR(AVERAGE(Tabel1[[#This Row],[Do - V1a]:[Do - V1c]]),"")</f>
        <v>4</v>
      </c>
      <c r="FC227" s="14" t="s">
        <v>189</v>
      </c>
      <c r="FD227" s="14" t="s">
        <v>189</v>
      </c>
      <c r="FE227" s="14" t="str">
        <f>IFERROR(AVERAGE(Tabel1[[#This Row],[Do - V2a]:[Do - V2b]]),"")</f>
        <v/>
      </c>
      <c r="FF227" s="14" t="s">
        <v>189</v>
      </c>
      <c r="FG227" s="14" t="str">
        <f>IFERROR(AVERAGE(Tabel1[[#This Row],[Do - V3a]:[Do - V3a]]),"")</f>
        <v/>
      </c>
      <c r="FH227" s="14" t="s">
        <v>189</v>
      </c>
      <c r="FI227" s="14">
        <f>IFERROR(AVERAGE(Tabel1[[#This Row],[Do - V1]],Tabel1[[#This Row],[Do - V2]],Tabel1[[#This Row],[Do - V3]],Tabel1[[#This Row],[Do - V4]]),"")</f>
        <v>4</v>
      </c>
      <c r="FJ227" s="14">
        <v>1</v>
      </c>
      <c r="FK227" s="14">
        <v>4</v>
      </c>
      <c r="FL227" s="14">
        <v>4</v>
      </c>
      <c r="FM227" s="14">
        <f>IFERROR(AVERAGE(Tabel1[[#This Row],[Do - A1a]:[Do - A1c]]),"")</f>
        <v>3</v>
      </c>
      <c r="FN227" s="14" t="s">
        <v>189</v>
      </c>
      <c r="FO227" s="14">
        <v>4</v>
      </c>
      <c r="FP227" s="14">
        <f>IFERROR(AVERAGE(Tabel1[[#This Row],[Do - A2a]:[Do - A2b]]),"")</f>
        <v>4</v>
      </c>
      <c r="FQ227" s="14">
        <v>4</v>
      </c>
      <c r="FR227" s="14">
        <f>IFERROR(AVERAGE(Tabel1[[#This Row],[Do - A3a]:[Do - A3a]]),"")</f>
        <v>4</v>
      </c>
      <c r="FS227" s="14">
        <v>4</v>
      </c>
      <c r="FT227" s="14">
        <f>IFERROR(AVERAGE(Tabel1[[#This Row],[Do - A1]],Tabel1[[#This Row],[Do - A2]],Tabel1[[#This Row],[Do - A3]],Tabel1[[#This Row],[Do - A4]]),"")</f>
        <v>3.75</v>
      </c>
      <c r="FU22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2.93</v>
      </c>
      <c r="FV227" s="27" t="s">
        <v>1229</v>
      </c>
      <c r="FW227" t="b">
        <v>1</v>
      </c>
    </row>
    <row r="228" spans="1:179" x14ac:dyDescent="0.3">
      <c r="A228" s="13">
        <v>45387.331516203703</v>
      </c>
      <c r="B228" t="b">
        <v>0</v>
      </c>
      <c r="C228" s="14" t="s">
        <v>1230</v>
      </c>
      <c r="D228" s="14" t="s">
        <v>592</v>
      </c>
      <c r="E228" s="14" t="s">
        <v>1231</v>
      </c>
      <c r="F228" s="14" t="s">
        <v>184</v>
      </c>
      <c r="G228" s="14" t="s">
        <v>1232</v>
      </c>
      <c r="H228" s="14" t="s">
        <v>222</v>
      </c>
      <c r="I228" s="14" t="s">
        <v>385</v>
      </c>
      <c r="J228" s="14"/>
      <c r="K228" s="26" t="s">
        <v>304</v>
      </c>
      <c r="L228" s="14" t="s">
        <v>249</v>
      </c>
      <c r="M228" s="14" t="s">
        <v>198</v>
      </c>
      <c r="N228" s="14" t="s">
        <v>316</v>
      </c>
      <c r="O228" s="14" t="s">
        <v>200</v>
      </c>
      <c r="P228" s="24" t="s">
        <v>255</v>
      </c>
      <c r="Q228" s="17" t="s">
        <v>203</v>
      </c>
      <c r="R228" s="25" t="s">
        <v>235</v>
      </c>
      <c r="S228" s="25" t="s">
        <v>235</v>
      </c>
      <c r="T228" s="14" t="s">
        <v>284</v>
      </c>
      <c r="U228" s="14" t="s">
        <v>349</v>
      </c>
      <c r="V228" s="14" t="s">
        <v>224</v>
      </c>
      <c r="W228" s="14" t="s">
        <v>207</v>
      </c>
      <c r="X228" s="14" t="s">
        <v>395</v>
      </c>
      <c r="Y228" s="14">
        <v>3</v>
      </c>
      <c r="Z228" s="14">
        <v>4</v>
      </c>
      <c r="AA228" s="14">
        <v>1</v>
      </c>
      <c r="AB228" s="15">
        <f>IFERROR(AVERAGE(Tabel1[[#This Row],[Up - R1a]:[Up - R1c]]),"")</f>
        <v>2.6666666666666665</v>
      </c>
      <c r="AC228" s="14">
        <v>2</v>
      </c>
      <c r="AD228" s="14">
        <v>5</v>
      </c>
      <c r="AE228" s="14">
        <v>2</v>
      </c>
      <c r="AF228" s="14">
        <v>3</v>
      </c>
      <c r="AG228" s="14">
        <f>IFERROR(AVERAGE(Tabel1[[#This Row],[Up - R1]:[Up - R5]]),"")</f>
        <v>2.9333333333333331</v>
      </c>
      <c r="AH228" s="14">
        <v>4</v>
      </c>
      <c r="AI228" s="14">
        <v>3</v>
      </c>
      <c r="AJ228" s="14">
        <v>4</v>
      </c>
      <c r="AK228" s="14">
        <f>IFERROR(AVERAGE(Tabel1[[#This Row],[Up - C1a]:[Up - C1c]]),"")</f>
        <v>3.6666666666666665</v>
      </c>
      <c r="AL228" s="14">
        <v>4</v>
      </c>
      <c r="AM228" s="14">
        <v>2</v>
      </c>
      <c r="AN228" s="14">
        <v>3</v>
      </c>
      <c r="AO228" s="14">
        <f>IFERROR(AVERAGE(Tabel1[[#This Row],[Up - C1]:[Up - C4]]),"")</f>
        <v>3.1666666666666665</v>
      </c>
      <c r="AP228" s="14">
        <v>3</v>
      </c>
      <c r="AQ228" s="14">
        <f>IFERROR(AVERAGE(Tabel1[[#This Row],[Up - F1a]:[Up - F1a]]),"")</f>
        <v>3</v>
      </c>
      <c r="AR228" s="14">
        <v>1</v>
      </c>
      <c r="AS228" s="14">
        <v>4</v>
      </c>
      <c r="AT228" s="14">
        <f>IFERROR(AVERAGE(Tabel1[[#This Row],[Up - F2a]:[Up - F2b]]),"")</f>
        <v>2.5</v>
      </c>
      <c r="AU228" s="14">
        <v>4</v>
      </c>
      <c r="AV228" s="14">
        <v>2</v>
      </c>
      <c r="AW228" s="14">
        <f>IFERROR(AVERAGE(Tabel1[[#This Row],[Up - F3a]:[Up - F3b]]),"")</f>
        <v>3</v>
      </c>
      <c r="AX228" s="14">
        <v>2</v>
      </c>
      <c r="AY228" s="14">
        <f>IFERROR(AVERAGE(Tabel1[[#This Row],[Up - F1]],Tabel1[[#This Row],[Up - F2]],Tabel1[[#This Row],[Up - F3]],Tabel1[[#This Row],[Up - F4]]),"")</f>
        <v>2.625</v>
      </c>
      <c r="AZ228" s="14">
        <v>5</v>
      </c>
      <c r="BA228" s="14">
        <v>4</v>
      </c>
      <c r="BB228" s="14">
        <f>IFERROR(AVERAGE(Tabel1[[#This Row],[Up - V1a]:[Up - V1b]]),"")</f>
        <v>4.5</v>
      </c>
      <c r="BC228" s="14">
        <v>4</v>
      </c>
      <c r="BD228" s="14">
        <v>4</v>
      </c>
      <c r="BE228" s="14">
        <v>3</v>
      </c>
      <c r="BF228" s="14">
        <f>IFERROR(AVERAGE(Tabel1[[#This Row],[Up - V2a]:[Up - V2c]]),"")</f>
        <v>3.6666666666666665</v>
      </c>
      <c r="BG228" s="14">
        <v>4</v>
      </c>
      <c r="BH228" s="14">
        <v>5</v>
      </c>
      <c r="BI228" s="14">
        <f>IFERROR(AVERAGE(Tabel1[[#This Row],[Up - V3a]:[Up - V3b]]),"")</f>
        <v>4.5</v>
      </c>
      <c r="BJ228" s="14">
        <v>3</v>
      </c>
      <c r="BK228" s="14">
        <f>IFERROR(AVERAGE(Tabel1[[#This Row],[Up - V1]],Tabel1[[#This Row],[Up - V2]],Tabel1[[#This Row],[Up - V3]],Tabel1[[#This Row],[Up - V4]]),"")</f>
        <v>3.9166666666666665</v>
      </c>
      <c r="BL228" s="14">
        <v>2</v>
      </c>
      <c r="BM228" s="14">
        <v>3</v>
      </c>
      <c r="BN228" s="14">
        <v>4</v>
      </c>
      <c r="BO228" s="14">
        <v>3</v>
      </c>
      <c r="BP228" s="14">
        <f>IFERROR(AVERAGE(Tabel1[[#This Row],[Up - A1a]:[Up - A1d]]),"")</f>
        <v>3</v>
      </c>
      <c r="BQ228" s="14">
        <v>4</v>
      </c>
      <c r="BR228" s="14">
        <v>4</v>
      </c>
      <c r="BS228" s="14">
        <f>IFERROR(AVERAGE(Tabel1[[#This Row],[Up - A2a]:[Up - A2b]]),"")</f>
        <v>4</v>
      </c>
      <c r="BT228" s="14">
        <v>4</v>
      </c>
      <c r="BU228" s="14">
        <f>IFERROR(AVERAGE(Tabel1[[#This Row],[Up - A3a]:[Up - A3a]]),"")</f>
        <v>4</v>
      </c>
      <c r="BV228" s="14">
        <v>4</v>
      </c>
      <c r="BW228" s="14">
        <f>IFERROR(AVERAGE(Tabel1[[#This Row],[Up - A1]],Tabel1[[#This Row],[Up - A2]],Tabel1[[#This Row],[Up - A3]]),"")</f>
        <v>3.6666666666666665</v>
      </c>
      <c r="BX228" s="14">
        <v>5</v>
      </c>
      <c r="BY228" s="14">
        <v>5</v>
      </c>
      <c r="BZ228" s="14">
        <f>IFERROR(AVERAGE(Tabel1[[#This Row],[In - R1a]:[In - R1b]]),"")</f>
        <v>5</v>
      </c>
      <c r="CA228" s="14">
        <v>5</v>
      </c>
      <c r="CB228" s="14">
        <v>1</v>
      </c>
      <c r="CC228" s="14">
        <v>4</v>
      </c>
      <c r="CD228" s="14">
        <v>5</v>
      </c>
      <c r="CE228" s="14">
        <f>IFERROR(AVERAGE(Tabel1[[#This Row],[In - R1]:[In - R5]]),"")</f>
        <v>4</v>
      </c>
      <c r="CF228" s="14">
        <v>4</v>
      </c>
      <c r="CG228" s="14">
        <v>5</v>
      </c>
      <c r="CH228" s="14">
        <v>5</v>
      </c>
      <c r="CI228" s="14">
        <f>IFERROR(AVERAGE(Tabel1[[#This Row],[In - C1a]:[In - C1c]]),"")</f>
        <v>4.666666666666667</v>
      </c>
      <c r="CJ228" s="14">
        <v>5</v>
      </c>
      <c r="CK228" s="14">
        <v>4</v>
      </c>
      <c r="CL228" s="14">
        <v>4</v>
      </c>
      <c r="CM228" s="14">
        <f>IFERROR(AVERAGE(Tabel1[[#This Row],[In - C1]:[In - C4]]),"")</f>
        <v>4.416666666666667</v>
      </c>
      <c r="CN228" s="14">
        <v>4</v>
      </c>
      <c r="CO228" s="14">
        <v>4</v>
      </c>
      <c r="CP228" s="14">
        <v>2</v>
      </c>
      <c r="CQ228" s="14">
        <f>IFERROR(AVERAGE(Tabel1[[#This Row],[In - F1a]:[In - F1c]]),"")</f>
        <v>3.3333333333333335</v>
      </c>
      <c r="CR228" s="14">
        <v>4</v>
      </c>
      <c r="CS228" s="14">
        <v>1</v>
      </c>
      <c r="CT228" s="14">
        <f>IFERROR(AVERAGE(Tabel1[[#This Row],[In - F2a]:[In - F2b]]),"")</f>
        <v>2.5</v>
      </c>
      <c r="CU228" s="14">
        <v>4</v>
      </c>
      <c r="CV228" s="14">
        <f>IFERROR(AVERAGE(Tabel1[[#This Row],[In - F3a]:[In - F3a]]),"")</f>
        <v>4</v>
      </c>
      <c r="CW228" s="14">
        <v>4</v>
      </c>
      <c r="CX228" s="14">
        <f>IFERROR(AVERAGE(Tabel1[[#This Row],[In - F1]],Tabel1[[#This Row],[In - F2]],Tabel1[[#This Row],[In - F3]],Tabel1[[#This Row],[In - F4]]),"")</f>
        <v>3.4583333333333335</v>
      </c>
      <c r="CY228" s="14">
        <v>5</v>
      </c>
      <c r="CZ228" s="14">
        <v>5</v>
      </c>
      <c r="DA228" s="14">
        <v>4</v>
      </c>
      <c r="DB228" s="14">
        <f>IFERROR(AVERAGE(Tabel1[[#This Row],[In - V1a]:[In - V1c]]),"")</f>
        <v>4.666666666666667</v>
      </c>
      <c r="DC228" s="14">
        <v>5</v>
      </c>
      <c r="DD228" s="14">
        <v>4</v>
      </c>
      <c r="DE228" s="14">
        <v>2</v>
      </c>
      <c r="DF228" s="14">
        <f>IFERROR(AVERAGE(Tabel1[[#This Row],[In - V2a]:[In - V2c]]),"")</f>
        <v>3.6666666666666665</v>
      </c>
      <c r="DG228" s="14">
        <v>5</v>
      </c>
      <c r="DH228" s="14">
        <v>5</v>
      </c>
      <c r="DI228" s="14">
        <f>IFERROR(AVERAGE(Tabel1[[#This Row],[In - V3a]:[In - V3b]]),"")</f>
        <v>5</v>
      </c>
      <c r="DJ228" s="14">
        <v>4</v>
      </c>
      <c r="DK228" s="14">
        <f>IFERROR(AVERAGE(Tabel1[[#This Row],[In - V1]],Tabel1[[#This Row],[In - V2]],Tabel1[[#This Row],[In - V3]],Tabel1[[#This Row],[In - V4]]),"")</f>
        <v>4.3333333333333339</v>
      </c>
      <c r="DL228" s="14">
        <v>3</v>
      </c>
      <c r="DM228" s="14">
        <v>3</v>
      </c>
      <c r="DN228" s="14">
        <f>IFERROR(AVERAGE(Tabel1[[#This Row],[In - A1a]:[In - A1b]]),"")</f>
        <v>3</v>
      </c>
      <c r="DO228" s="14">
        <v>5</v>
      </c>
      <c r="DP228" s="14">
        <v>4</v>
      </c>
      <c r="DQ228" s="14">
        <f>IFERROR(AVERAGE(Tabel1[[#This Row],[In - A2a]:[In - A2b]]),"")</f>
        <v>4.5</v>
      </c>
      <c r="DR228" s="14">
        <v>5</v>
      </c>
      <c r="DS228" s="14">
        <v>5</v>
      </c>
      <c r="DT228" s="14">
        <f>IFERROR(AVERAGE(Tabel1[[#This Row],[In - A3a]:[In - A3a]]),"")</f>
        <v>5</v>
      </c>
      <c r="DU228" s="14">
        <v>4</v>
      </c>
      <c r="DV228" s="14">
        <f>IFERROR(AVERAGE(Tabel1[[#This Row],[In - A1]],Tabel1[[#This Row],[In - A2]],Tabel1[[#This Row],[In - A3]],Tabel1[[#This Row],[In - A4]]),"")</f>
        <v>4.125</v>
      </c>
      <c r="DW228" s="14">
        <v>2</v>
      </c>
      <c r="DX228" s="14">
        <v>5</v>
      </c>
      <c r="DY228" s="14">
        <v>1</v>
      </c>
      <c r="DZ228" s="14">
        <f>IFERROR(AVERAGE(Tabel1[[#This Row],[Do - R1a]:[Do - R1c]]),"")</f>
        <v>2.6666666666666665</v>
      </c>
      <c r="EA228" s="14">
        <v>1</v>
      </c>
      <c r="EB228" s="14">
        <v>3</v>
      </c>
      <c r="EC228" s="14">
        <v>1</v>
      </c>
      <c r="ED228" s="14">
        <v>4</v>
      </c>
      <c r="EE228" s="14">
        <f>IFERROR(AVERAGE(Tabel1[[#This Row],[Do - R1]:[Do - R5]]),"")</f>
        <v>2.333333333333333</v>
      </c>
      <c r="EF228" s="14">
        <v>4</v>
      </c>
      <c r="EG228" s="14" t="s">
        <v>189</v>
      </c>
      <c r="EH228" s="14" t="s">
        <v>189</v>
      </c>
      <c r="EI228" s="14">
        <f>IFERROR(AVERAGE(Tabel1[[#This Row],[Do - C1a]:[Do - C1c]]),"")</f>
        <v>4</v>
      </c>
      <c r="EJ228" s="14">
        <v>1</v>
      </c>
      <c r="EK228" s="14">
        <v>1</v>
      </c>
      <c r="EL228" s="14">
        <v>1</v>
      </c>
      <c r="EM228" s="14">
        <f>IFERROR(AVERAGE(Tabel1[[#This Row],[Do - C1]:[Do - C4]]),"")</f>
        <v>1.75</v>
      </c>
      <c r="EN228" s="14">
        <v>5</v>
      </c>
      <c r="EO228" s="14">
        <v>2</v>
      </c>
      <c r="EP228" s="14" t="s">
        <v>189</v>
      </c>
      <c r="EQ228" s="14">
        <f>IFERROR(AVERAGE(Tabel1[[#This Row],[Do - F1a]:[Do - F1c]]),"")</f>
        <v>3.5</v>
      </c>
      <c r="ER228" s="14">
        <v>2</v>
      </c>
      <c r="ES228" s="14">
        <f>IFERROR(AVERAGE(Tabel1[[#This Row],[Do - F2a]:[Do - F2a]]),"")</f>
        <v>2</v>
      </c>
      <c r="ET228" s="14">
        <v>4</v>
      </c>
      <c r="EU228" s="14">
        <v>4</v>
      </c>
      <c r="EV228" s="14">
        <f>IFERROR(AVERAGE(Tabel1[[#This Row],[Do - F3a]:[Do - F3b]]),"")</f>
        <v>4</v>
      </c>
      <c r="EW228" s="14" t="s">
        <v>189</v>
      </c>
      <c r="EX228" s="14">
        <f>IFERROR(AVERAGE(Tabel1[[#This Row],[Do - F1]],Tabel1[[#This Row],[Do - F2]],Tabel1[[#This Row],[Do - F3]],Tabel1[[#This Row],[Do - F4]]),"")</f>
        <v>3.1666666666666665</v>
      </c>
      <c r="EY228" s="14">
        <v>2</v>
      </c>
      <c r="EZ228" s="14">
        <v>1</v>
      </c>
      <c r="FA228" s="14">
        <v>5</v>
      </c>
      <c r="FB228" s="14">
        <f>IFERROR(AVERAGE(Tabel1[[#This Row],[Do - V1a]:[Do - V1c]]),"")</f>
        <v>2.6666666666666665</v>
      </c>
      <c r="FC228" s="14">
        <v>5</v>
      </c>
      <c r="FD228" s="14">
        <v>5</v>
      </c>
      <c r="FE228" s="14">
        <f>IFERROR(AVERAGE(Tabel1[[#This Row],[Do - V2a]:[Do - V2b]]),"")</f>
        <v>5</v>
      </c>
      <c r="FF228" s="14">
        <v>1</v>
      </c>
      <c r="FG228" s="14">
        <f>IFERROR(AVERAGE(Tabel1[[#This Row],[Do - V3a]:[Do - V3a]]),"")</f>
        <v>1</v>
      </c>
      <c r="FH228" s="14">
        <v>3</v>
      </c>
      <c r="FI228" s="14">
        <f>IFERROR(AVERAGE(Tabel1[[#This Row],[Do - V1]],Tabel1[[#This Row],[Do - V2]],Tabel1[[#This Row],[Do - V3]],Tabel1[[#This Row],[Do - V4]]),"")</f>
        <v>2.9166666666666665</v>
      </c>
      <c r="FJ228" s="14">
        <v>3</v>
      </c>
      <c r="FK228" s="14">
        <v>2</v>
      </c>
      <c r="FL228" s="14">
        <v>5</v>
      </c>
      <c r="FM228" s="14">
        <f>IFERROR(AVERAGE(Tabel1[[#This Row],[Do - A1a]:[Do - A1c]]),"")</f>
        <v>3.3333333333333335</v>
      </c>
      <c r="FN228" s="14">
        <v>4</v>
      </c>
      <c r="FO228" s="14">
        <v>4</v>
      </c>
      <c r="FP228" s="14">
        <f>IFERROR(AVERAGE(Tabel1[[#This Row],[Do - A2a]:[Do - A2b]]),"")</f>
        <v>4</v>
      </c>
      <c r="FQ228" s="14">
        <v>5</v>
      </c>
      <c r="FR228" s="14">
        <f>IFERROR(AVERAGE(Tabel1[[#This Row],[Do - A3a]:[Do - A3a]]),"")</f>
        <v>5</v>
      </c>
      <c r="FS228" s="14">
        <v>4</v>
      </c>
      <c r="FT228" s="14">
        <f>IFERROR(AVERAGE(Tabel1[[#This Row],[Do - A1]],Tabel1[[#This Row],[Do - A2]],Tabel1[[#This Row],[Do - A3]],Tabel1[[#This Row],[Do - A4]]),"")</f>
        <v>4.0833333333333339</v>
      </c>
      <c r="FU22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3.3927777777777779</v>
      </c>
      <c r="FV228" s="27" t="s">
        <v>1233</v>
      </c>
      <c r="FW228" t="b">
        <v>1</v>
      </c>
    </row>
    <row r="229" spans="1:179" x14ac:dyDescent="0.3">
      <c r="A229" s="13">
        <v>45387.491712962998</v>
      </c>
      <c r="B229" t="b">
        <v>0</v>
      </c>
      <c r="C229" s="14" t="s">
        <v>1234</v>
      </c>
      <c r="D229" s="14" t="s">
        <v>1235</v>
      </c>
      <c r="E229" s="14" t="s">
        <v>1236</v>
      </c>
      <c r="F229" s="14" t="s">
        <v>184</v>
      </c>
      <c r="G229" s="14" t="s">
        <v>1237</v>
      </c>
      <c r="H229" s="14" t="s">
        <v>222</v>
      </c>
      <c r="I229" s="14" t="s">
        <v>195</v>
      </c>
      <c r="J229" s="14" t="s">
        <v>268</v>
      </c>
      <c r="K229" s="26" t="s">
        <v>304</v>
      </c>
      <c r="L229" s="14" t="s">
        <v>249</v>
      </c>
      <c r="M229" s="14" t="s">
        <v>198</v>
      </c>
      <c r="N229" s="14" t="s">
        <v>316</v>
      </c>
      <c r="O229" s="14" t="s">
        <v>200</v>
      </c>
      <c r="P229" s="24" t="s">
        <v>255</v>
      </c>
      <c r="Q229" s="17" t="s">
        <v>304</v>
      </c>
      <c r="R229" s="24" t="s">
        <v>304</v>
      </c>
      <c r="S229" s="24" t="s">
        <v>304</v>
      </c>
      <c r="T229" s="14" t="s">
        <v>380</v>
      </c>
      <c r="U229" s="14" t="s">
        <v>285</v>
      </c>
      <c r="V229" s="14" t="s">
        <v>224</v>
      </c>
      <c r="W229" s="14" t="s">
        <v>395</v>
      </c>
      <c r="X229" s="14" t="s">
        <v>207</v>
      </c>
      <c r="Y229" s="14">
        <v>1</v>
      </c>
      <c r="Z229" s="14">
        <v>4</v>
      </c>
      <c r="AA229" s="14" t="s">
        <v>189</v>
      </c>
      <c r="AB229" s="15">
        <f>IFERROR(AVERAGE(Tabel1[[#This Row],[Up - R1a]:[Up - R1c]]),"")</f>
        <v>2.5</v>
      </c>
      <c r="AC229" s="14">
        <v>1</v>
      </c>
      <c r="AD229" s="14">
        <v>2</v>
      </c>
      <c r="AE229" s="14" t="s">
        <v>189</v>
      </c>
      <c r="AF229" s="14">
        <v>3</v>
      </c>
      <c r="AG229" s="14">
        <f>IFERROR(AVERAGE(Tabel1[[#This Row],[Up - R1]:[Up - R5]]),"")</f>
        <v>2.125</v>
      </c>
      <c r="AH229" s="14">
        <v>4</v>
      </c>
      <c r="AI229" s="14">
        <v>1</v>
      </c>
      <c r="AJ229" s="14">
        <v>2</v>
      </c>
      <c r="AK229" s="14">
        <f>IFERROR(AVERAGE(Tabel1[[#This Row],[Up - C1a]:[Up - C1c]]),"")</f>
        <v>2.3333333333333335</v>
      </c>
      <c r="AL229" s="14">
        <v>2</v>
      </c>
      <c r="AM229" s="14" t="s">
        <v>189</v>
      </c>
      <c r="AN229" s="14">
        <v>3</v>
      </c>
      <c r="AO229" s="14">
        <f>IFERROR(AVERAGE(Tabel1[[#This Row],[Up - C1]:[Up - C4]]),"")</f>
        <v>2.4444444444444446</v>
      </c>
      <c r="AP229" s="14">
        <v>2</v>
      </c>
      <c r="AQ229" s="14">
        <f>IFERROR(AVERAGE(Tabel1[[#This Row],[Up - F1a]:[Up - F1a]]),"")</f>
        <v>2</v>
      </c>
      <c r="AR229" s="14">
        <v>1</v>
      </c>
      <c r="AS229" s="14">
        <v>3</v>
      </c>
      <c r="AT229" s="14">
        <f>IFERROR(AVERAGE(Tabel1[[#This Row],[Up - F2a]:[Up - F2b]]),"")</f>
        <v>2</v>
      </c>
      <c r="AU229" s="14">
        <v>3</v>
      </c>
      <c r="AV229" s="14">
        <v>2</v>
      </c>
      <c r="AW229" s="14">
        <f>IFERROR(AVERAGE(Tabel1[[#This Row],[Up - F3a]:[Up - F3b]]),"")</f>
        <v>2.5</v>
      </c>
      <c r="AX229" s="14">
        <v>4</v>
      </c>
      <c r="AY229" s="14">
        <f>IFERROR(AVERAGE(Tabel1[[#This Row],[Up - F1]],Tabel1[[#This Row],[Up - F2]],Tabel1[[#This Row],[Up - F3]],Tabel1[[#This Row],[Up - F4]]),"")</f>
        <v>2.625</v>
      </c>
      <c r="AZ229" s="14">
        <v>1</v>
      </c>
      <c r="BA229" s="14">
        <v>2</v>
      </c>
      <c r="BB229" s="14">
        <f>IFERROR(AVERAGE(Tabel1[[#This Row],[Up - V1a]:[Up - V1b]]),"")</f>
        <v>1.5</v>
      </c>
      <c r="BC229" s="14">
        <v>3</v>
      </c>
      <c r="BD229" s="14">
        <v>1</v>
      </c>
      <c r="BE229" s="14" t="s">
        <v>189</v>
      </c>
      <c r="BF229" s="14">
        <f>IFERROR(AVERAGE(Tabel1[[#This Row],[Up - V2a]:[Up - V2c]]),"")</f>
        <v>2</v>
      </c>
      <c r="BG229" s="14" t="s">
        <v>189</v>
      </c>
      <c r="BH229" s="14" t="s">
        <v>189</v>
      </c>
      <c r="BI229" s="14" t="str">
        <f>IFERROR(AVERAGE(Tabel1[[#This Row],[Up - V3a]:[Up - V3b]]),"")</f>
        <v/>
      </c>
      <c r="BJ229" s="14" t="s">
        <v>189</v>
      </c>
      <c r="BK229" s="14">
        <f>IFERROR(AVERAGE(Tabel1[[#This Row],[Up - V1]],Tabel1[[#This Row],[Up - V2]],Tabel1[[#This Row],[Up - V3]],Tabel1[[#This Row],[Up - V4]]),"")</f>
        <v>1.75</v>
      </c>
      <c r="BL229" s="14">
        <v>1</v>
      </c>
      <c r="BM229" s="14">
        <v>3</v>
      </c>
      <c r="BN229" s="14">
        <v>5</v>
      </c>
      <c r="BO229" s="14">
        <v>4</v>
      </c>
      <c r="BP229" s="14">
        <f>IFERROR(AVERAGE(Tabel1[[#This Row],[Up - A1a]:[Up - A1d]]),"")</f>
        <v>3.25</v>
      </c>
      <c r="BQ229" s="14">
        <v>4</v>
      </c>
      <c r="BR229" s="14">
        <v>2</v>
      </c>
      <c r="BS229" s="14">
        <f>IFERROR(AVERAGE(Tabel1[[#This Row],[Up - A2a]:[Up - A2b]]),"")</f>
        <v>3</v>
      </c>
      <c r="BT229" s="14">
        <v>2</v>
      </c>
      <c r="BU229" s="14">
        <f>IFERROR(AVERAGE(Tabel1[[#This Row],[Up - A3a]:[Up - A3a]]),"")</f>
        <v>2</v>
      </c>
      <c r="BV229" s="14">
        <v>1</v>
      </c>
      <c r="BW229" s="14">
        <f>IFERROR(AVERAGE(Tabel1[[#This Row],[Up - A1]],Tabel1[[#This Row],[Up - A2]],Tabel1[[#This Row],[Up - A3]]),"")</f>
        <v>2.75</v>
      </c>
      <c r="BX229" s="14">
        <v>1</v>
      </c>
      <c r="BY229" s="14">
        <v>2</v>
      </c>
      <c r="BZ229" s="14">
        <f>IFERROR(AVERAGE(Tabel1[[#This Row],[In - R1a]:[In - R1b]]),"")</f>
        <v>1.5</v>
      </c>
      <c r="CA229" s="14">
        <v>3</v>
      </c>
      <c r="CB229" s="14" t="s">
        <v>189</v>
      </c>
      <c r="CC229" s="14">
        <v>2</v>
      </c>
      <c r="CD229" s="14">
        <v>5</v>
      </c>
      <c r="CE229" s="14">
        <f>IFERROR(AVERAGE(Tabel1[[#This Row],[In - R1]:[In - R5]]),"")</f>
        <v>2.875</v>
      </c>
      <c r="CF229" s="14">
        <v>2</v>
      </c>
      <c r="CG229" s="14" t="s">
        <v>189</v>
      </c>
      <c r="CH229" s="14">
        <v>4</v>
      </c>
      <c r="CI229" s="14">
        <f>IFERROR(AVERAGE(Tabel1[[#This Row],[In - C1a]:[In - C1c]]),"")</f>
        <v>3</v>
      </c>
      <c r="CJ229" s="14" t="s">
        <v>189</v>
      </c>
      <c r="CK229" s="14">
        <v>2</v>
      </c>
      <c r="CL229" s="14">
        <v>1</v>
      </c>
      <c r="CM229" s="14">
        <f>IFERROR(AVERAGE(Tabel1[[#This Row],[In - C1]:[In - C4]]),"")</f>
        <v>2</v>
      </c>
      <c r="CN229" s="14">
        <v>4</v>
      </c>
      <c r="CO229" s="14">
        <v>4</v>
      </c>
      <c r="CP229" s="14">
        <v>3</v>
      </c>
      <c r="CQ229" s="14">
        <f>IFERROR(AVERAGE(Tabel1[[#This Row],[In - F1a]:[In - F1c]]),"")</f>
        <v>3.6666666666666665</v>
      </c>
      <c r="CR229" s="14">
        <v>3</v>
      </c>
      <c r="CS229" s="14">
        <v>1</v>
      </c>
      <c r="CT229" s="14">
        <f>IFERROR(AVERAGE(Tabel1[[#This Row],[In - F2a]:[In - F2b]]),"")</f>
        <v>2</v>
      </c>
      <c r="CU229" s="14">
        <v>3</v>
      </c>
      <c r="CV229" s="14">
        <f>IFERROR(AVERAGE(Tabel1[[#This Row],[In - F3a]:[In - F3a]]),"")</f>
        <v>3</v>
      </c>
      <c r="CW229" s="14">
        <v>2</v>
      </c>
      <c r="CX229" s="14">
        <f>IFERROR(AVERAGE(Tabel1[[#This Row],[In - F1]],Tabel1[[#This Row],[In - F2]],Tabel1[[#This Row],[In - F3]],Tabel1[[#This Row],[In - F4]]),"")</f>
        <v>2.6666666666666665</v>
      </c>
      <c r="CY229" s="14">
        <v>1</v>
      </c>
      <c r="CZ229" s="14">
        <v>1</v>
      </c>
      <c r="DA229" s="14" t="s">
        <v>189</v>
      </c>
      <c r="DB229" s="14">
        <f>IFERROR(AVERAGE(Tabel1[[#This Row],[In - V1a]:[In - V1c]]),"")</f>
        <v>1</v>
      </c>
      <c r="DC229" s="14">
        <v>3</v>
      </c>
      <c r="DD229" s="14" t="s">
        <v>189</v>
      </c>
      <c r="DE229" s="14" t="s">
        <v>189</v>
      </c>
      <c r="DF229" s="14">
        <f>IFERROR(AVERAGE(Tabel1[[#This Row],[In - V2a]:[In - V2c]]),"")</f>
        <v>3</v>
      </c>
      <c r="DG229" s="14" t="s">
        <v>189</v>
      </c>
      <c r="DH229" s="14" t="s">
        <v>189</v>
      </c>
      <c r="DI229" s="14" t="str">
        <f>IFERROR(AVERAGE(Tabel1[[#This Row],[In - V3a]:[In - V3b]]),"")</f>
        <v/>
      </c>
      <c r="DJ229" s="14">
        <v>3</v>
      </c>
      <c r="DK229" s="14">
        <f>IFERROR(AVERAGE(Tabel1[[#This Row],[In - V1]],Tabel1[[#This Row],[In - V2]],Tabel1[[#This Row],[In - V3]],Tabel1[[#This Row],[In - V4]]),"")</f>
        <v>2.3333333333333335</v>
      </c>
      <c r="DL229" s="14">
        <v>1</v>
      </c>
      <c r="DM229" s="14">
        <v>2</v>
      </c>
      <c r="DN229" s="14">
        <f>IFERROR(AVERAGE(Tabel1[[#This Row],[In - A1a]:[In - A1b]]),"")</f>
        <v>1.5</v>
      </c>
      <c r="DO229" s="14">
        <v>2</v>
      </c>
      <c r="DP229" s="14">
        <v>2</v>
      </c>
      <c r="DQ229" s="14">
        <f>IFERROR(AVERAGE(Tabel1[[#This Row],[In - A2a]:[In - A2b]]),"")</f>
        <v>2</v>
      </c>
      <c r="DR229" s="14">
        <v>4</v>
      </c>
      <c r="DS229" s="14">
        <v>3</v>
      </c>
      <c r="DT229" s="14">
        <f>IFERROR(AVERAGE(Tabel1[[#This Row],[In - A3a]:[In - A3a]]),"")</f>
        <v>4</v>
      </c>
      <c r="DU229" s="14">
        <v>3</v>
      </c>
      <c r="DV229" s="14">
        <f>IFERROR(AVERAGE(Tabel1[[#This Row],[In - A1]],Tabel1[[#This Row],[In - A2]],Tabel1[[#This Row],[In - A3]],Tabel1[[#This Row],[In - A4]]),"")</f>
        <v>2.625</v>
      </c>
      <c r="DW229" s="14">
        <v>2</v>
      </c>
      <c r="DX229" s="14">
        <v>5</v>
      </c>
      <c r="DY229" s="14">
        <v>2</v>
      </c>
      <c r="DZ229" s="14">
        <f>IFERROR(AVERAGE(Tabel1[[#This Row],[Do - R1a]:[Do - R1c]]),"")</f>
        <v>3</v>
      </c>
      <c r="EA229" s="14">
        <v>1</v>
      </c>
      <c r="EB229" s="14">
        <v>3</v>
      </c>
      <c r="EC229" s="14">
        <v>3</v>
      </c>
      <c r="ED229" s="14">
        <v>3</v>
      </c>
      <c r="EE229" s="14">
        <f>IFERROR(AVERAGE(Tabel1[[#This Row],[Do - R1]:[Do - R5]]),"")</f>
        <v>2.6</v>
      </c>
      <c r="EF229" s="14">
        <v>4</v>
      </c>
      <c r="EG229" s="14">
        <v>4</v>
      </c>
      <c r="EH229" s="14">
        <v>4</v>
      </c>
      <c r="EI229" s="14">
        <f>IFERROR(AVERAGE(Tabel1[[#This Row],[Do - C1a]:[Do - C1c]]),"")</f>
        <v>4</v>
      </c>
      <c r="EJ229" s="14">
        <v>1</v>
      </c>
      <c r="EK229" s="14">
        <v>1</v>
      </c>
      <c r="EL229" s="14">
        <v>3</v>
      </c>
      <c r="EM229" s="14">
        <f>IFERROR(AVERAGE(Tabel1[[#This Row],[Do - C1]:[Do - C4]]),"")</f>
        <v>2.25</v>
      </c>
      <c r="EN229" s="14">
        <v>3</v>
      </c>
      <c r="EO229" s="14">
        <v>1</v>
      </c>
      <c r="EP229" s="14">
        <v>3</v>
      </c>
      <c r="EQ229" s="14">
        <f>IFERROR(AVERAGE(Tabel1[[#This Row],[Do - F1a]:[Do - F1c]]),"")</f>
        <v>2.3333333333333335</v>
      </c>
      <c r="ER229" s="14">
        <v>3</v>
      </c>
      <c r="ES229" s="14">
        <f>IFERROR(AVERAGE(Tabel1[[#This Row],[Do - F2a]:[Do - F2a]]),"")</f>
        <v>3</v>
      </c>
      <c r="ET229" s="14">
        <v>3</v>
      </c>
      <c r="EU229" s="14">
        <v>2</v>
      </c>
      <c r="EV229" s="14">
        <f>IFERROR(AVERAGE(Tabel1[[#This Row],[Do - F3a]:[Do - F3b]]),"")</f>
        <v>2.5</v>
      </c>
      <c r="EW229" s="14">
        <v>2</v>
      </c>
      <c r="EX229" s="14">
        <f>IFERROR(AVERAGE(Tabel1[[#This Row],[Do - F1]],Tabel1[[#This Row],[Do - F2]],Tabel1[[#This Row],[Do - F3]],Tabel1[[#This Row],[Do - F4]]),"")</f>
        <v>2.4583333333333335</v>
      </c>
      <c r="EY229" s="14">
        <v>3</v>
      </c>
      <c r="EZ229" s="14" t="s">
        <v>189</v>
      </c>
      <c r="FA229" s="14">
        <v>1</v>
      </c>
      <c r="FB229" s="14">
        <f>IFERROR(AVERAGE(Tabel1[[#This Row],[Do - V1a]:[Do - V1c]]),"")</f>
        <v>2</v>
      </c>
      <c r="FC229" s="14">
        <v>2</v>
      </c>
      <c r="FD229" s="14">
        <v>1</v>
      </c>
      <c r="FE229" s="14">
        <f>IFERROR(AVERAGE(Tabel1[[#This Row],[Do - V2a]:[Do - V2b]]),"")</f>
        <v>1.5</v>
      </c>
      <c r="FF229" s="14" t="s">
        <v>189</v>
      </c>
      <c r="FG229" s="14" t="str">
        <f>IFERROR(AVERAGE(Tabel1[[#This Row],[Do - V3a]:[Do - V3a]]),"")</f>
        <v/>
      </c>
      <c r="FH229" s="14">
        <v>1</v>
      </c>
      <c r="FI229" s="14">
        <f>IFERROR(AVERAGE(Tabel1[[#This Row],[Do - V1]],Tabel1[[#This Row],[Do - V2]],Tabel1[[#This Row],[Do - V3]],Tabel1[[#This Row],[Do - V4]]),"")</f>
        <v>1.5</v>
      </c>
      <c r="FJ229" s="14">
        <v>1</v>
      </c>
      <c r="FK229" s="14">
        <v>1</v>
      </c>
      <c r="FL229" s="14">
        <v>5</v>
      </c>
      <c r="FM229" s="14">
        <f>IFERROR(AVERAGE(Tabel1[[#This Row],[Do - A1a]:[Do - A1c]]),"")</f>
        <v>2.3333333333333335</v>
      </c>
      <c r="FN229" s="14">
        <v>4</v>
      </c>
      <c r="FO229" s="14">
        <v>4</v>
      </c>
      <c r="FP229" s="14">
        <f>IFERROR(AVERAGE(Tabel1[[#This Row],[Do - A2a]:[Do - A2b]]),"")</f>
        <v>4</v>
      </c>
      <c r="FQ229" s="14">
        <v>2</v>
      </c>
      <c r="FR229" s="14">
        <f>IFERROR(AVERAGE(Tabel1[[#This Row],[Do - A3a]:[Do - A3a]]),"")</f>
        <v>2</v>
      </c>
      <c r="FS229" s="14">
        <v>3</v>
      </c>
      <c r="FT229" s="14">
        <f>IFERROR(AVERAGE(Tabel1[[#This Row],[Do - A1]],Tabel1[[#This Row],[Do - A2]],Tabel1[[#This Row],[Do - A3]],Tabel1[[#This Row],[Do - A4]]),"")</f>
        <v>2.8333333333333335</v>
      </c>
      <c r="FU22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2.3890740740740743</v>
      </c>
      <c r="FV229" s="27" t="s">
        <v>1238</v>
      </c>
      <c r="FW229" t="b">
        <v>1</v>
      </c>
    </row>
    <row r="230" spans="1:179" x14ac:dyDescent="0.3">
      <c r="A230" s="13">
        <v>45392.401805555601</v>
      </c>
      <c r="B230" t="b">
        <v>0</v>
      </c>
      <c r="C230" s="14" t="s">
        <v>1239</v>
      </c>
      <c r="D230" s="14" t="s">
        <v>1240</v>
      </c>
      <c r="E230" s="14" t="s">
        <v>1241</v>
      </c>
      <c r="F230" s="14" t="s">
        <v>184</v>
      </c>
      <c r="G230" s="14" t="s">
        <v>1242</v>
      </c>
      <c r="H230" s="14" t="s">
        <v>222</v>
      </c>
      <c r="I230" s="14" t="s">
        <v>243</v>
      </c>
      <c r="J230" s="14" t="s">
        <v>248</v>
      </c>
      <c r="K230" s="26" t="s">
        <v>304</v>
      </c>
      <c r="L230" s="14" t="s">
        <v>249</v>
      </c>
      <c r="M230" s="14" t="s">
        <v>198</v>
      </c>
      <c r="N230" s="14" t="s">
        <v>316</v>
      </c>
      <c r="O230" s="14" t="s">
        <v>200</v>
      </c>
      <c r="P230" s="24" t="s">
        <v>255</v>
      </c>
      <c r="Q230" s="17" t="s">
        <v>255</v>
      </c>
      <c r="R230" s="25" t="s">
        <v>202</v>
      </c>
      <c r="S230" s="25" t="s">
        <v>235</v>
      </c>
      <c r="T230" s="14" t="s">
        <v>204</v>
      </c>
      <c r="U230" s="14" t="s">
        <v>349</v>
      </c>
      <c r="V230" s="14" t="s">
        <v>484</v>
      </c>
      <c r="W230" s="14" t="s">
        <v>395</v>
      </c>
      <c r="X230" s="14" t="s">
        <v>395</v>
      </c>
      <c r="Y230" s="14">
        <v>1</v>
      </c>
      <c r="Z230" s="14">
        <v>3</v>
      </c>
      <c r="AA230" s="14">
        <v>1</v>
      </c>
      <c r="AB230" s="15">
        <f>IFERROR(AVERAGE(Tabel1[[#This Row],[Up - R1a]:[Up - R1c]]),"")</f>
        <v>1.6666666666666667</v>
      </c>
      <c r="AC230" s="14">
        <v>1</v>
      </c>
      <c r="AD230" s="14">
        <v>1</v>
      </c>
      <c r="AE230" s="14">
        <v>1</v>
      </c>
      <c r="AF230" s="14">
        <v>3</v>
      </c>
      <c r="AG230" s="14">
        <f>IFERROR(AVERAGE(Tabel1[[#This Row],[Up - R1]:[Up - R5]]),"")</f>
        <v>1.5333333333333334</v>
      </c>
      <c r="AH230" s="14">
        <v>5</v>
      </c>
      <c r="AI230" s="14">
        <v>4</v>
      </c>
      <c r="AJ230" s="14">
        <v>5</v>
      </c>
      <c r="AK230" s="14">
        <f>IFERROR(AVERAGE(Tabel1[[#This Row],[Up - C1a]:[Up - C1c]]),"")</f>
        <v>4.666666666666667</v>
      </c>
      <c r="AL230" s="14">
        <v>1</v>
      </c>
      <c r="AM230" s="14">
        <v>1</v>
      </c>
      <c r="AN230" s="14">
        <v>3</v>
      </c>
      <c r="AO230" s="14">
        <f>IFERROR(AVERAGE(Tabel1[[#This Row],[Up - C1]:[Up - C4]]),"")</f>
        <v>2.416666666666667</v>
      </c>
      <c r="AP230" s="14">
        <v>1</v>
      </c>
      <c r="AQ230" s="14">
        <f>IFERROR(AVERAGE(Tabel1[[#This Row],[Up - F1a]:[Up - F1a]]),"")</f>
        <v>1</v>
      </c>
      <c r="AR230" s="14">
        <v>1</v>
      </c>
      <c r="AS230" s="14">
        <v>2</v>
      </c>
      <c r="AT230" s="14">
        <f>IFERROR(AVERAGE(Tabel1[[#This Row],[Up - F2a]:[Up - F2b]]),"")</f>
        <v>1.5</v>
      </c>
      <c r="AU230" s="14">
        <v>1</v>
      </c>
      <c r="AV230" s="14">
        <v>1</v>
      </c>
      <c r="AW230" s="14">
        <f>IFERROR(AVERAGE(Tabel1[[#This Row],[Up - F3a]:[Up - F3b]]),"")</f>
        <v>1</v>
      </c>
      <c r="AX230" s="14">
        <v>5</v>
      </c>
      <c r="AY230" s="14">
        <f>IFERROR(AVERAGE(Tabel1[[#This Row],[Up - F1]],Tabel1[[#This Row],[Up - F2]],Tabel1[[#This Row],[Up - F3]],Tabel1[[#This Row],[Up - F4]]),"")</f>
        <v>2.125</v>
      </c>
      <c r="AZ230" s="14">
        <v>4</v>
      </c>
      <c r="BA230" s="14">
        <v>4</v>
      </c>
      <c r="BB230" s="14">
        <f>IFERROR(AVERAGE(Tabel1[[#This Row],[Up - V1a]:[Up - V1b]]),"")</f>
        <v>4</v>
      </c>
      <c r="BC230" s="14">
        <v>1</v>
      </c>
      <c r="BD230" s="14" t="s">
        <v>189</v>
      </c>
      <c r="BE230" s="14" t="s">
        <v>189</v>
      </c>
      <c r="BF230" s="14">
        <f>IFERROR(AVERAGE(Tabel1[[#This Row],[Up - V2a]:[Up - V2c]]),"")</f>
        <v>1</v>
      </c>
      <c r="BG230" s="14">
        <v>4</v>
      </c>
      <c r="BH230" s="14" t="s">
        <v>189</v>
      </c>
      <c r="BI230" s="14">
        <f>IFERROR(AVERAGE(Tabel1[[#This Row],[Up - V3a]:[Up - V3b]]),"")</f>
        <v>4</v>
      </c>
      <c r="BJ230" s="14" t="s">
        <v>189</v>
      </c>
      <c r="BK230" s="14">
        <f>IFERROR(AVERAGE(Tabel1[[#This Row],[Up - V1]],Tabel1[[#This Row],[Up - V2]],Tabel1[[#This Row],[Up - V3]],Tabel1[[#This Row],[Up - V4]]),"")</f>
        <v>3</v>
      </c>
      <c r="BL230" s="14">
        <v>1</v>
      </c>
      <c r="BM230" s="14">
        <v>5</v>
      </c>
      <c r="BN230" s="14">
        <v>1</v>
      </c>
      <c r="BO230" s="14">
        <v>5</v>
      </c>
      <c r="BP230" s="14">
        <f>IFERROR(AVERAGE(Tabel1[[#This Row],[Up - A1a]:[Up - A1d]]),"")</f>
        <v>3</v>
      </c>
      <c r="BQ230" s="14">
        <v>5</v>
      </c>
      <c r="BR230" s="14">
        <v>1</v>
      </c>
      <c r="BS230" s="14">
        <f>IFERROR(AVERAGE(Tabel1[[#This Row],[Up - A2a]:[Up - A2b]]),"")</f>
        <v>3</v>
      </c>
      <c r="BT230" s="14">
        <v>5</v>
      </c>
      <c r="BU230" s="14">
        <f>IFERROR(AVERAGE(Tabel1[[#This Row],[Up - A3a]:[Up - A3a]]),"")</f>
        <v>5</v>
      </c>
      <c r="BV230" s="14">
        <v>5</v>
      </c>
      <c r="BW230" s="14">
        <f>IFERROR(AVERAGE(Tabel1[[#This Row],[Up - A1]],Tabel1[[#This Row],[Up - A2]],Tabel1[[#This Row],[Up - A3]]),"")</f>
        <v>3.6666666666666665</v>
      </c>
      <c r="BX230" s="14" t="s">
        <v>189</v>
      </c>
      <c r="BY230" s="14" t="s">
        <v>189</v>
      </c>
      <c r="BZ230" s="14" t="str">
        <f>IFERROR(AVERAGE(Tabel1[[#This Row],[In - R1a]:[In - R1b]]),"")</f>
        <v/>
      </c>
      <c r="CA230" s="14">
        <v>5</v>
      </c>
      <c r="CB230" s="14">
        <v>1</v>
      </c>
      <c r="CC230" s="14" t="s">
        <v>189</v>
      </c>
      <c r="CD230" s="14">
        <v>1</v>
      </c>
      <c r="CE230" s="14">
        <f>IFERROR(AVERAGE(Tabel1[[#This Row],[In - R1]:[In - R5]]),"")</f>
        <v>2.3333333333333335</v>
      </c>
      <c r="CF230" s="14">
        <v>4</v>
      </c>
      <c r="CG230" s="14">
        <v>5</v>
      </c>
      <c r="CH230" s="14">
        <v>5</v>
      </c>
      <c r="CI230" s="14">
        <f>IFERROR(AVERAGE(Tabel1[[#This Row],[In - C1a]:[In - C1c]]),"")</f>
        <v>4.666666666666667</v>
      </c>
      <c r="CJ230" s="14">
        <v>1</v>
      </c>
      <c r="CK230" s="14">
        <v>1</v>
      </c>
      <c r="CL230" s="14">
        <v>1</v>
      </c>
      <c r="CM230" s="14">
        <f>IFERROR(AVERAGE(Tabel1[[#This Row],[In - C1]:[In - C4]]),"")</f>
        <v>1.9166666666666667</v>
      </c>
      <c r="CN230" s="14">
        <v>3</v>
      </c>
      <c r="CO230" s="14">
        <v>1</v>
      </c>
      <c r="CP230" s="14">
        <v>5</v>
      </c>
      <c r="CQ230" s="14">
        <f>IFERROR(AVERAGE(Tabel1[[#This Row],[In - F1a]:[In - F1c]]),"")</f>
        <v>3</v>
      </c>
      <c r="CR230" s="14">
        <v>1</v>
      </c>
      <c r="CS230" s="14">
        <v>1</v>
      </c>
      <c r="CT230" s="14">
        <f>IFERROR(AVERAGE(Tabel1[[#This Row],[In - F2a]:[In - F2b]]),"")</f>
        <v>1</v>
      </c>
      <c r="CU230" s="14" t="s">
        <v>189</v>
      </c>
      <c r="CV230" s="14" t="str">
        <f>IFERROR(AVERAGE(Tabel1[[#This Row],[In - F3a]:[In - F3a]]),"")</f>
        <v/>
      </c>
      <c r="CW230" s="14" t="s">
        <v>189</v>
      </c>
      <c r="CX230" s="14">
        <f>IFERROR(AVERAGE(Tabel1[[#This Row],[In - F1]],Tabel1[[#This Row],[In - F2]],Tabel1[[#This Row],[In - F3]],Tabel1[[#This Row],[In - F4]]),"")</f>
        <v>2</v>
      </c>
      <c r="CY230" s="14">
        <v>5</v>
      </c>
      <c r="CZ230" s="14">
        <v>3</v>
      </c>
      <c r="DA230" s="14">
        <v>3</v>
      </c>
      <c r="DB230" s="14">
        <f>IFERROR(AVERAGE(Tabel1[[#This Row],[In - V1a]:[In - V1c]]),"")</f>
        <v>3.6666666666666665</v>
      </c>
      <c r="DC230" s="14">
        <v>5</v>
      </c>
      <c r="DD230" s="14">
        <v>5</v>
      </c>
      <c r="DE230" s="14">
        <v>1</v>
      </c>
      <c r="DF230" s="14">
        <f>IFERROR(AVERAGE(Tabel1[[#This Row],[In - V2a]:[In - V2c]]),"")</f>
        <v>3.6666666666666665</v>
      </c>
      <c r="DG230" s="14">
        <v>1</v>
      </c>
      <c r="DH230" s="14">
        <v>2</v>
      </c>
      <c r="DI230" s="14">
        <f>IFERROR(AVERAGE(Tabel1[[#This Row],[In - V3a]:[In - V3b]]),"")</f>
        <v>1.5</v>
      </c>
      <c r="DJ230" s="14">
        <v>4</v>
      </c>
      <c r="DK230" s="14">
        <f>IFERROR(AVERAGE(Tabel1[[#This Row],[In - V1]],Tabel1[[#This Row],[In - V2]],Tabel1[[#This Row],[In - V3]],Tabel1[[#This Row],[In - V4]]),"")</f>
        <v>3.208333333333333</v>
      </c>
      <c r="DL230" s="14" t="s">
        <v>189</v>
      </c>
      <c r="DM230" s="14" t="s">
        <v>189</v>
      </c>
      <c r="DN230" s="14" t="str">
        <f>IFERROR(AVERAGE(Tabel1[[#This Row],[In - A1a]:[In - A1b]]),"")</f>
        <v/>
      </c>
      <c r="DO230" s="14" t="s">
        <v>189</v>
      </c>
      <c r="DP230" s="14">
        <v>5</v>
      </c>
      <c r="DQ230" s="14">
        <f>IFERROR(AVERAGE(Tabel1[[#This Row],[In - A2a]:[In - A2b]]),"")</f>
        <v>5</v>
      </c>
      <c r="DR230" s="14">
        <v>5</v>
      </c>
      <c r="DS230" s="14" t="s">
        <v>189</v>
      </c>
      <c r="DT230" s="14">
        <f>IFERROR(AVERAGE(Tabel1[[#This Row],[In - A3a]:[In - A3a]]),"")</f>
        <v>5</v>
      </c>
      <c r="DU230" s="14" t="s">
        <v>189</v>
      </c>
      <c r="DV230" s="14">
        <f>IFERROR(AVERAGE(Tabel1[[#This Row],[In - A1]],Tabel1[[#This Row],[In - A2]],Tabel1[[#This Row],[In - A3]],Tabel1[[#This Row],[In - A4]]),"")</f>
        <v>5</v>
      </c>
      <c r="DW230" s="14">
        <v>2</v>
      </c>
      <c r="DX230" s="14">
        <v>4</v>
      </c>
      <c r="DY230" s="14">
        <v>2</v>
      </c>
      <c r="DZ230" s="14">
        <f>IFERROR(AVERAGE(Tabel1[[#This Row],[Do - R1a]:[Do - R1c]]),"")</f>
        <v>2.6666666666666665</v>
      </c>
      <c r="EA230" s="14">
        <v>1</v>
      </c>
      <c r="EB230" s="14">
        <v>1</v>
      </c>
      <c r="EC230" s="14">
        <v>5</v>
      </c>
      <c r="ED230" s="14">
        <v>4</v>
      </c>
      <c r="EE230" s="14">
        <f>IFERROR(AVERAGE(Tabel1[[#This Row],[Do - R1]:[Do - R5]]),"")</f>
        <v>2.7333333333333334</v>
      </c>
      <c r="EF230" s="14">
        <v>5</v>
      </c>
      <c r="EG230" s="14">
        <v>3</v>
      </c>
      <c r="EH230" s="14">
        <v>2</v>
      </c>
      <c r="EI230" s="14">
        <f>IFERROR(AVERAGE(Tabel1[[#This Row],[Do - C1a]:[Do - C1c]]),"")</f>
        <v>3.3333333333333335</v>
      </c>
      <c r="EJ230" s="14">
        <v>1</v>
      </c>
      <c r="EK230" s="14">
        <v>1</v>
      </c>
      <c r="EL230" s="14">
        <v>4</v>
      </c>
      <c r="EM230" s="14">
        <f>IFERROR(AVERAGE(Tabel1[[#This Row],[Do - C1]:[Do - C4]]),"")</f>
        <v>2.3333333333333335</v>
      </c>
      <c r="EN230" s="14">
        <v>3</v>
      </c>
      <c r="EO230" s="14">
        <v>2</v>
      </c>
      <c r="EP230" s="14">
        <v>1</v>
      </c>
      <c r="EQ230" s="14">
        <f>IFERROR(AVERAGE(Tabel1[[#This Row],[Do - F1a]:[Do - F1c]]),"")</f>
        <v>2</v>
      </c>
      <c r="ER230" s="14">
        <v>1</v>
      </c>
      <c r="ES230" s="14">
        <f>IFERROR(AVERAGE(Tabel1[[#This Row],[Do - F2a]:[Do - F2a]]),"")</f>
        <v>1</v>
      </c>
      <c r="ET230" s="14">
        <v>5</v>
      </c>
      <c r="EU230" s="14">
        <v>5</v>
      </c>
      <c r="EV230" s="14">
        <f>IFERROR(AVERAGE(Tabel1[[#This Row],[Do - F3a]:[Do - F3b]]),"")</f>
        <v>5</v>
      </c>
      <c r="EW230" s="14">
        <v>4</v>
      </c>
      <c r="EX230" s="14">
        <f>IFERROR(AVERAGE(Tabel1[[#This Row],[Do - F1]],Tabel1[[#This Row],[Do - F2]],Tabel1[[#This Row],[Do - F3]],Tabel1[[#This Row],[Do - F4]]),"")</f>
        <v>3</v>
      </c>
      <c r="EY230" s="14">
        <v>1</v>
      </c>
      <c r="EZ230" s="14">
        <v>1</v>
      </c>
      <c r="FA230" s="14">
        <v>4</v>
      </c>
      <c r="FB230" s="14">
        <f>IFERROR(AVERAGE(Tabel1[[#This Row],[Do - V1a]:[Do - V1c]]),"")</f>
        <v>2</v>
      </c>
      <c r="FC230" s="14">
        <v>3</v>
      </c>
      <c r="FD230" s="14">
        <v>3</v>
      </c>
      <c r="FE230" s="14">
        <f>IFERROR(AVERAGE(Tabel1[[#This Row],[Do - V2a]:[Do - V2b]]),"")</f>
        <v>3</v>
      </c>
      <c r="FF230" s="14">
        <v>1</v>
      </c>
      <c r="FG230" s="14">
        <f>IFERROR(AVERAGE(Tabel1[[#This Row],[Do - V3a]:[Do - V3a]]),"")</f>
        <v>1</v>
      </c>
      <c r="FH230" s="14">
        <v>4</v>
      </c>
      <c r="FI230" s="14">
        <f>IFERROR(AVERAGE(Tabel1[[#This Row],[Do - V1]],Tabel1[[#This Row],[Do - V2]],Tabel1[[#This Row],[Do - V3]],Tabel1[[#This Row],[Do - V4]]),"")</f>
        <v>2.5</v>
      </c>
      <c r="FJ230" s="14">
        <v>5</v>
      </c>
      <c r="FK230" s="14">
        <v>4</v>
      </c>
      <c r="FL230" s="14">
        <v>4</v>
      </c>
      <c r="FM230" s="14">
        <f>IFERROR(AVERAGE(Tabel1[[#This Row],[Do - A1a]:[Do - A1c]]),"")</f>
        <v>4.333333333333333</v>
      </c>
      <c r="FN230" s="14" t="s">
        <v>189</v>
      </c>
      <c r="FO230" s="14">
        <v>1</v>
      </c>
      <c r="FP230" s="14">
        <f>IFERROR(AVERAGE(Tabel1[[#This Row],[Do - A2a]:[Do - A2b]]),"")</f>
        <v>1</v>
      </c>
      <c r="FQ230" s="14">
        <v>3</v>
      </c>
      <c r="FR230" s="14">
        <f>IFERROR(AVERAGE(Tabel1[[#This Row],[Do - A3a]:[Do - A3a]]),"")</f>
        <v>3</v>
      </c>
      <c r="FS230" s="14">
        <v>5</v>
      </c>
      <c r="FT230" s="14">
        <f>IFERROR(AVERAGE(Tabel1[[#This Row],[Do - A1]],Tabel1[[#This Row],[Do - A2]],Tabel1[[#This Row],[Do - A3]],Tabel1[[#This Row],[Do - A4]]),"")</f>
        <v>3.333333333333333</v>
      </c>
      <c r="FU23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</v>
      </c>
      <c r="FV230" s="27" t="s">
        <v>1243</v>
      </c>
      <c r="FW230" t="b">
        <v>1</v>
      </c>
    </row>
    <row r="231" spans="1:179" x14ac:dyDescent="0.3">
      <c r="A231" s="13">
        <v>45392.453784722202</v>
      </c>
      <c r="B231" t="b">
        <v>0</v>
      </c>
      <c r="C231" s="14" t="s">
        <v>1244</v>
      </c>
      <c r="D231" s="14" t="s">
        <v>1245</v>
      </c>
      <c r="E231" s="14" t="s">
        <v>1246</v>
      </c>
      <c r="F231" s="14" t="s">
        <v>184</v>
      </c>
      <c r="G231" s="14" t="s">
        <v>1247</v>
      </c>
      <c r="H231" s="14" t="s">
        <v>222</v>
      </c>
      <c r="I231" s="14" t="s">
        <v>195</v>
      </c>
      <c r="J231" s="14" t="s">
        <v>347</v>
      </c>
      <c r="K231" s="28" t="s">
        <v>203</v>
      </c>
      <c r="L231" s="14" t="s">
        <v>249</v>
      </c>
      <c r="M231" s="14" t="s">
        <v>233</v>
      </c>
      <c r="N231" s="14" t="s">
        <v>199</v>
      </c>
      <c r="O231" s="14" t="s">
        <v>200</v>
      </c>
      <c r="P231" s="24" t="s">
        <v>255</v>
      </c>
      <c r="Q231" s="17"/>
      <c r="R231" s="25" t="s">
        <v>203</v>
      </c>
      <c r="S231" s="25" t="s">
        <v>235</v>
      </c>
      <c r="T231" s="14" t="s">
        <v>348</v>
      </c>
      <c r="U231" s="14" t="s">
        <v>205</v>
      </c>
      <c r="V231" s="14" t="s">
        <v>359</v>
      </c>
      <c r="W231" s="14" t="s">
        <v>306</v>
      </c>
      <c r="X231" s="14" t="s">
        <v>207</v>
      </c>
      <c r="Y231" s="14">
        <v>4</v>
      </c>
      <c r="Z231" s="14">
        <v>3</v>
      </c>
      <c r="AA231" s="14">
        <v>3</v>
      </c>
      <c r="AB231" s="15">
        <f>IFERROR(AVERAGE(Tabel1[[#This Row],[Up - R1a]:[Up - R1c]]),"")</f>
        <v>3.3333333333333335</v>
      </c>
      <c r="AC231" s="14">
        <v>2</v>
      </c>
      <c r="AD231" s="14">
        <v>4</v>
      </c>
      <c r="AE231" s="14">
        <v>1</v>
      </c>
      <c r="AF231" s="14" t="s">
        <v>189</v>
      </c>
      <c r="AG231" s="14">
        <f>IFERROR(AVERAGE(Tabel1[[#This Row],[Up - R1]:[Up - R5]]),"")</f>
        <v>2.5833333333333335</v>
      </c>
      <c r="AH231" s="14">
        <v>3</v>
      </c>
      <c r="AI231" s="14">
        <v>3</v>
      </c>
      <c r="AJ231" s="14">
        <v>1</v>
      </c>
      <c r="AK231" s="14">
        <f>IFERROR(AVERAGE(Tabel1[[#This Row],[Up - C1a]:[Up - C1c]]),"")</f>
        <v>2.3333333333333335</v>
      </c>
      <c r="AL231" s="14">
        <v>3</v>
      </c>
      <c r="AM231" s="14">
        <v>1</v>
      </c>
      <c r="AN231" s="14">
        <v>1</v>
      </c>
      <c r="AO231" s="14">
        <f>IFERROR(AVERAGE(Tabel1[[#This Row],[Up - C1]:[Up - C4]]),"")</f>
        <v>1.8333333333333335</v>
      </c>
      <c r="AP231" s="14">
        <v>1</v>
      </c>
      <c r="AQ231" s="14">
        <f>IFERROR(AVERAGE(Tabel1[[#This Row],[Up - F1a]:[Up - F1a]]),"")</f>
        <v>1</v>
      </c>
      <c r="AR231" s="14">
        <v>2</v>
      </c>
      <c r="AS231" s="14">
        <v>3</v>
      </c>
      <c r="AT231" s="14">
        <f>IFERROR(AVERAGE(Tabel1[[#This Row],[Up - F2a]:[Up - F2b]]),"")</f>
        <v>2.5</v>
      </c>
      <c r="AU231" s="14">
        <v>2</v>
      </c>
      <c r="AV231" s="14">
        <v>2</v>
      </c>
      <c r="AW231" s="14">
        <f>IFERROR(AVERAGE(Tabel1[[#This Row],[Up - F3a]:[Up - F3b]]),"")</f>
        <v>2</v>
      </c>
      <c r="AX231" s="14">
        <v>3</v>
      </c>
      <c r="AY231" s="14">
        <f>IFERROR(AVERAGE(Tabel1[[#This Row],[Up - F1]],Tabel1[[#This Row],[Up - F2]],Tabel1[[#This Row],[Up - F3]],Tabel1[[#This Row],[Up - F4]]),"")</f>
        <v>2.125</v>
      </c>
      <c r="AZ231" s="14">
        <v>2</v>
      </c>
      <c r="BA231" s="14">
        <v>4</v>
      </c>
      <c r="BB231" s="14">
        <f>IFERROR(AVERAGE(Tabel1[[#This Row],[Up - V1a]:[Up - V1b]]),"")</f>
        <v>3</v>
      </c>
      <c r="BC231" s="14">
        <v>3</v>
      </c>
      <c r="BD231" s="14">
        <v>3</v>
      </c>
      <c r="BE231" s="14">
        <v>1</v>
      </c>
      <c r="BF231" s="14">
        <f>IFERROR(AVERAGE(Tabel1[[#This Row],[Up - V2a]:[Up - V2c]]),"")</f>
        <v>2.3333333333333335</v>
      </c>
      <c r="BG231" s="14">
        <v>2</v>
      </c>
      <c r="BH231" s="14">
        <v>1</v>
      </c>
      <c r="BI231" s="14">
        <f>IFERROR(AVERAGE(Tabel1[[#This Row],[Up - V3a]:[Up - V3b]]),"")</f>
        <v>1.5</v>
      </c>
      <c r="BJ231" s="14">
        <v>1</v>
      </c>
      <c r="BK231" s="14">
        <f>IFERROR(AVERAGE(Tabel1[[#This Row],[Up - V1]],Tabel1[[#This Row],[Up - V2]],Tabel1[[#This Row],[Up - V3]],Tabel1[[#This Row],[Up - V4]]),"")</f>
        <v>1.9583333333333335</v>
      </c>
      <c r="BL231" s="14">
        <v>3</v>
      </c>
      <c r="BM231" s="14">
        <v>4</v>
      </c>
      <c r="BN231" s="14">
        <v>4</v>
      </c>
      <c r="BO231" s="14">
        <v>3</v>
      </c>
      <c r="BP231" s="14">
        <f>IFERROR(AVERAGE(Tabel1[[#This Row],[Up - A1a]:[Up - A1d]]),"")</f>
        <v>3.5</v>
      </c>
      <c r="BQ231" s="14">
        <v>3</v>
      </c>
      <c r="BR231" s="14" t="s">
        <v>189</v>
      </c>
      <c r="BS231" s="14">
        <f>IFERROR(AVERAGE(Tabel1[[#This Row],[Up - A2a]:[Up - A2b]]),"")</f>
        <v>3</v>
      </c>
      <c r="BT231" s="14">
        <v>5</v>
      </c>
      <c r="BU231" s="14">
        <f>IFERROR(AVERAGE(Tabel1[[#This Row],[Up - A3a]:[Up - A3a]]),"")</f>
        <v>5</v>
      </c>
      <c r="BV231" s="14">
        <v>5</v>
      </c>
      <c r="BW231" s="14">
        <f>IFERROR(AVERAGE(Tabel1[[#This Row],[Up - A1]],Tabel1[[#This Row],[Up - A2]],Tabel1[[#This Row],[Up - A3]]),"")</f>
        <v>3.8333333333333335</v>
      </c>
      <c r="BX231" s="14">
        <v>2</v>
      </c>
      <c r="BY231" s="14">
        <v>1</v>
      </c>
      <c r="BZ231" s="14">
        <f>IFERROR(AVERAGE(Tabel1[[#This Row],[In - R1a]:[In - R1b]]),"")</f>
        <v>1.5</v>
      </c>
      <c r="CA231" s="14">
        <v>5</v>
      </c>
      <c r="CB231" s="14">
        <v>1</v>
      </c>
      <c r="CC231" s="14">
        <v>1</v>
      </c>
      <c r="CD231" s="14">
        <v>5</v>
      </c>
      <c r="CE231" s="14">
        <f>IFERROR(AVERAGE(Tabel1[[#This Row],[In - R1]:[In - R5]]),"")</f>
        <v>2.7</v>
      </c>
      <c r="CF231" s="14">
        <v>4</v>
      </c>
      <c r="CG231" s="14">
        <v>4</v>
      </c>
      <c r="CH231" s="14">
        <v>3</v>
      </c>
      <c r="CI231" s="14">
        <f>IFERROR(AVERAGE(Tabel1[[#This Row],[In - C1a]:[In - C1c]]),"")</f>
        <v>3.6666666666666665</v>
      </c>
      <c r="CJ231" s="14">
        <v>4</v>
      </c>
      <c r="CK231" s="14">
        <v>3</v>
      </c>
      <c r="CL231" s="14">
        <v>3</v>
      </c>
      <c r="CM231" s="14">
        <f>IFERROR(AVERAGE(Tabel1[[#This Row],[In - C1]:[In - C4]]),"")</f>
        <v>3.4166666666666665</v>
      </c>
      <c r="CN231" s="14">
        <v>4</v>
      </c>
      <c r="CO231" s="14">
        <v>3</v>
      </c>
      <c r="CP231" s="14">
        <v>2</v>
      </c>
      <c r="CQ231" s="14">
        <f>IFERROR(AVERAGE(Tabel1[[#This Row],[In - F1a]:[In - F1c]]),"")</f>
        <v>3</v>
      </c>
      <c r="CR231" s="14">
        <v>4</v>
      </c>
      <c r="CS231" s="14">
        <v>4</v>
      </c>
      <c r="CT231" s="14">
        <f>IFERROR(AVERAGE(Tabel1[[#This Row],[In - F2a]:[In - F2b]]),"")</f>
        <v>4</v>
      </c>
      <c r="CU231" s="14">
        <v>1</v>
      </c>
      <c r="CV231" s="14">
        <f>IFERROR(AVERAGE(Tabel1[[#This Row],[In - F3a]:[In - F3a]]),"")</f>
        <v>1</v>
      </c>
      <c r="CW231" s="14">
        <v>2</v>
      </c>
      <c r="CX231" s="14">
        <f>IFERROR(AVERAGE(Tabel1[[#This Row],[In - F1]],Tabel1[[#This Row],[In - F2]],Tabel1[[#This Row],[In - F3]],Tabel1[[#This Row],[In - F4]]),"")</f>
        <v>2.5</v>
      </c>
      <c r="CY231" s="14">
        <v>4</v>
      </c>
      <c r="CZ231" s="14">
        <v>4</v>
      </c>
      <c r="DA231" s="14">
        <v>4</v>
      </c>
      <c r="DB231" s="14">
        <f>IFERROR(AVERAGE(Tabel1[[#This Row],[In - V1a]:[In - V1c]]),"")</f>
        <v>4</v>
      </c>
      <c r="DC231" s="14">
        <v>5</v>
      </c>
      <c r="DD231" s="14">
        <v>4</v>
      </c>
      <c r="DE231" s="14">
        <v>4</v>
      </c>
      <c r="DF231" s="14">
        <f>IFERROR(AVERAGE(Tabel1[[#This Row],[In - V2a]:[In - V2c]]),"")</f>
        <v>4.333333333333333</v>
      </c>
      <c r="DG231" s="14">
        <v>3</v>
      </c>
      <c r="DH231" s="14">
        <v>4</v>
      </c>
      <c r="DI231" s="14">
        <f>IFERROR(AVERAGE(Tabel1[[#This Row],[In - V3a]:[In - V3b]]),"")</f>
        <v>3.5</v>
      </c>
      <c r="DJ231" s="14">
        <v>3</v>
      </c>
      <c r="DK231" s="14">
        <f>IFERROR(AVERAGE(Tabel1[[#This Row],[In - V1]],Tabel1[[#This Row],[In - V2]],Tabel1[[#This Row],[In - V3]],Tabel1[[#This Row],[In - V4]]),"")</f>
        <v>3.708333333333333</v>
      </c>
      <c r="DL231" s="14">
        <v>1</v>
      </c>
      <c r="DM231" s="14">
        <v>1</v>
      </c>
      <c r="DN231" s="14">
        <f>IFERROR(AVERAGE(Tabel1[[#This Row],[In - A1a]:[In - A1b]]),"")</f>
        <v>1</v>
      </c>
      <c r="DO231" s="14">
        <v>2</v>
      </c>
      <c r="DP231" s="14">
        <v>3</v>
      </c>
      <c r="DQ231" s="14">
        <f>IFERROR(AVERAGE(Tabel1[[#This Row],[In - A2a]:[In - A2b]]),"")</f>
        <v>2.5</v>
      </c>
      <c r="DR231" s="14">
        <v>5</v>
      </c>
      <c r="DS231" s="14">
        <v>2</v>
      </c>
      <c r="DT231" s="14">
        <f>IFERROR(AVERAGE(Tabel1[[#This Row],[In - A3a]:[In - A3a]]),"")</f>
        <v>5</v>
      </c>
      <c r="DU231" s="14">
        <v>2</v>
      </c>
      <c r="DV231" s="14">
        <f>IFERROR(AVERAGE(Tabel1[[#This Row],[In - A1]],Tabel1[[#This Row],[In - A2]],Tabel1[[#This Row],[In - A3]],Tabel1[[#This Row],[In - A4]]),"")</f>
        <v>2.625</v>
      </c>
      <c r="DW231" s="14" t="s">
        <v>189</v>
      </c>
      <c r="DX231" s="14">
        <v>5</v>
      </c>
      <c r="DY231" s="14">
        <v>1</v>
      </c>
      <c r="DZ231" s="14">
        <f>IFERROR(AVERAGE(Tabel1[[#This Row],[Do - R1a]:[Do - R1c]]),"")</f>
        <v>3</v>
      </c>
      <c r="EA231" s="14" t="s">
        <v>189</v>
      </c>
      <c r="EB231" s="14">
        <v>4</v>
      </c>
      <c r="EC231" s="14">
        <v>1</v>
      </c>
      <c r="ED231" s="14">
        <v>4</v>
      </c>
      <c r="EE231" s="14">
        <f>IFERROR(AVERAGE(Tabel1[[#This Row],[Do - R1]:[Do - R5]]),"")</f>
        <v>3</v>
      </c>
      <c r="EF231" s="14">
        <v>3</v>
      </c>
      <c r="EG231" s="14">
        <v>3</v>
      </c>
      <c r="EH231" s="14">
        <v>4</v>
      </c>
      <c r="EI231" s="14">
        <f>IFERROR(AVERAGE(Tabel1[[#This Row],[Do - C1a]:[Do - C1c]]),"")</f>
        <v>3.3333333333333335</v>
      </c>
      <c r="EJ231" s="14">
        <v>3</v>
      </c>
      <c r="EK231" s="14">
        <v>1</v>
      </c>
      <c r="EL231" s="14">
        <v>3</v>
      </c>
      <c r="EM231" s="14">
        <f>IFERROR(AVERAGE(Tabel1[[#This Row],[Do - C1]:[Do - C4]]),"")</f>
        <v>2.5833333333333335</v>
      </c>
      <c r="EN231" s="14">
        <v>3</v>
      </c>
      <c r="EO231" s="14">
        <v>1</v>
      </c>
      <c r="EP231" s="14">
        <v>2</v>
      </c>
      <c r="EQ231" s="14">
        <f>IFERROR(AVERAGE(Tabel1[[#This Row],[Do - F1a]:[Do - F1c]]),"")</f>
        <v>2</v>
      </c>
      <c r="ER231" s="14">
        <v>4</v>
      </c>
      <c r="ES231" s="14">
        <f>IFERROR(AVERAGE(Tabel1[[#This Row],[Do - F2a]:[Do - F2a]]),"")</f>
        <v>4</v>
      </c>
      <c r="ET231" s="14">
        <v>3</v>
      </c>
      <c r="EU231" s="14">
        <v>1</v>
      </c>
      <c r="EV231" s="14">
        <f>IFERROR(AVERAGE(Tabel1[[#This Row],[Do - F3a]:[Do - F3b]]),"")</f>
        <v>2</v>
      </c>
      <c r="EW231" s="14">
        <v>3</v>
      </c>
      <c r="EX231" s="14">
        <f>IFERROR(AVERAGE(Tabel1[[#This Row],[Do - F1]],Tabel1[[#This Row],[Do - F2]],Tabel1[[#This Row],[Do - F3]],Tabel1[[#This Row],[Do - F4]]),"")</f>
        <v>2.75</v>
      </c>
      <c r="EY231" s="14">
        <v>2</v>
      </c>
      <c r="EZ231" s="14">
        <v>1</v>
      </c>
      <c r="FA231" s="14">
        <v>4</v>
      </c>
      <c r="FB231" s="14">
        <f>IFERROR(AVERAGE(Tabel1[[#This Row],[Do - V1a]:[Do - V1c]]),"")</f>
        <v>2.3333333333333335</v>
      </c>
      <c r="FC231" s="14">
        <v>1</v>
      </c>
      <c r="FD231" s="14">
        <v>4</v>
      </c>
      <c r="FE231" s="14">
        <f>IFERROR(AVERAGE(Tabel1[[#This Row],[Do - V2a]:[Do - V2b]]),"")</f>
        <v>2.5</v>
      </c>
      <c r="FF231" s="14">
        <v>3</v>
      </c>
      <c r="FG231" s="14">
        <f>IFERROR(AVERAGE(Tabel1[[#This Row],[Do - V3a]:[Do - V3a]]),"")</f>
        <v>3</v>
      </c>
      <c r="FH231" s="14">
        <v>3</v>
      </c>
      <c r="FI231" s="14">
        <f>IFERROR(AVERAGE(Tabel1[[#This Row],[Do - V1]],Tabel1[[#This Row],[Do - V2]],Tabel1[[#This Row],[Do - V3]],Tabel1[[#This Row],[Do - V4]]),"")</f>
        <v>2.7083333333333335</v>
      </c>
      <c r="FJ231" s="14">
        <v>1</v>
      </c>
      <c r="FK231" s="14">
        <v>1</v>
      </c>
      <c r="FL231" s="14">
        <v>4</v>
      </c>
      <c r="FM231" s="14">
        <f>IFERROR(AVERAGE(Tabel1[[#This Row],[Do - A1a]:[Do - A1c]]),"")</f>
        <v>2</v>
      </c>
      <c r="FN231" s="14">
        <v>3</v>
      </c>
      <c r="FO231" s="14">
        <v>3</v>
      </c>
      <c r="FP231" s="14">
        <f>IFERROR(AVERAGE(Tabel1[[#This Row],[Do - A2a]:[Do - A2b]]),"")</f>
        <v>3</v>
      </c>
      <c r="FQ231" s="14">
        <v>3</v>
      </c>
      <c r="FR231" s="14">
        <f>IFERROR(AVERAGE(Tabel1[[#This Row],[Do - A3a]:[Do - A3a]]),"")</f>
        <v>3</v>
      </c>
      <c r="FS231" s="14">
        <v>3</v>
      </c>
      <c r="FT231" s="14">
        <f>IFERROR(AVERAGE(Tabel1[[#This Row],[Do - A1]],Tabel1[[#This Row],[Do - A2]],Tabel1[[#This Row],[Do - A3]],Tabel1[[#This Row],[Do - A4]]),"")</f>
        <v>2.75</v>
      </c>
      <c r="FU23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2.7383333333333337</v>
      </c>
      <c r="FV231" s="27" t="s">
        <v>1248</v>
      </c>
      <c r="FW231" t="b">
        <v>1</v>
      </c>
    </row>
    <row r="232" spans="1:179" x14ac:dyDescent="0.3">
      <c r="A232" s="13">
        <v>45392.494537036997</v>
      </c>
      <c r="B232" t="b">
        <v>0</v>
      </c>
      <c r="C232" s="14" t="s">
        <v>1249</v>
      </c>
      <c r="D232" s="14" t="s">
        <v>1250</v>
      </c>
      <c r="E232" s="14" t="s">
        <v>1251</v>
      </c>
      <c r="F232" s="14" t="s">
        <v>184</v>
      </c>
      <c r="G232" s="14" t="s">
        <v>1252</v>
      </c>
      <c r="H232" s="14" t="s">
        <v>222</v>
      </c>
      <c r="I232" s="14" t="s">
        <v>195</v>
      </c>
      <c r="J232" s="14" t="s">
        <v>347</v>
      </c>
      <c r="K232" s="28" t="s">
        <v>201</v>
      </c>
      <c r="L232" s="14" t="s">
        <v>385</v>
      </c>
      <c r="M232" s="14" t="s">
        <v>198</v>
      </c>
      <c r="N232" s="14" t="s">
        <v>316</v>
      </c>
      <c r="O232" s="14" t="s">
        <v>200</v>
      </c>
      <c r="P232" s="24" t="s">
        <v>255</v>
      </c>
      <c r="Q232" s="17" t="s">
        <v>203</v>
      </c>
      <c r="R232" s="24" t="s">
        <v>304</v>
      </c>
      <c r="S232" s="25" t="s">
        <v>235</v>
      </c>
      <c r="T232" s="14" t="s">
        <v>348</v>
      </c>
      <c r="U232" s="14" t="s">
        <v>349</v>
      </c>
      <c r="V232" s="14" t="s">
        <v>224</v>
      </c>
      <c r="W232" s="14" t="s">
        <v>395</v>
      </c>
      <c r="X232" s="14" t="s">
        <v>207</v>
      </c>
      <c r="Y232" s="14">
        <v>3</v>
      </c>
      <c r="Z232" s="14">
        <v>4</v>
      </c>
      <c r="AA232" s="14" t="s">
        <v>189</v>
      </c>
      <c r="AB232" s="15">
        <f>IFERROR(AVERAGE(Tabel1[[#This Row],[Up - R1a]:[Up - R1c]]),"")</f>
        <v>3.5</v>
      </c>
      <c r="AC232" s="14">
        <v>2</v>
      </c>
      <c r="AD232" s="14">
        <v>4</v>
      </c>
      <c r="AE232" s="14">
        <v>2</v>
      </c>
      <c r="AF232" s="14" t="s">
        <v>189</v>
      </c>
      <c r="AG232" s="14">
        <f>IFERROR(AVERAGE(Tabel1[[#This Row],[Up - R1]:[Up - R5]]),"")</f>
        <v>2.875</v>
      </c>
      <c r="AH232" s="14">
        <v>4</v>
      </c>
      <c r="AI232" s="14">
        <v>2</v>
      </c>
      <c r="AJ232" s="14">
        <v>4</v>
      </c>
      <c r="AK232" s="14">
        <f>IFERROR(AVERAGE(Tabel1[[#This Row],[Up - C1a]:[Up - C1c]]),"")</f>
        <v>3.3333333333333335</v>
      </c>
      <c r="AL232" s="14">
        <v>2</v>
      </c>
      <c r="AM232" s="14">
        <v>2</v>
      </c>
      <c r="AN232" s="14">
        <v>2</v>
      </c>
      <c r="AO232" s="14">
        <f>IFERROR(AVERAGE(Tabel1[[#This Row],[Up - C1]:[Up - C4]]),"")</f>
        <v>2.3333333333333335</v>
      </c>
      <c r="AP232" s="14">
        <v>2</v>
      </c>
      <c r="AQ232" s="14">
        <f>IFERROR(AVERAGE(Tabel1[[#This Row],[Up - F1a]:[Up - F1a]]),"")</f>
        <v>2</v>
      </c>
      <c r="AR232" s="14">
        <v>2</v>
      </c>
      <c r="AS232" s="14">
        <v>4</v>
      </c>
      <c r="AT232" s="14">
        <f>IFERROR(AVERAGE(Tabel1[[#This Row],[Up - F2a]:[Up - F2b]]),"")</f>
        <v>3</v>
      </c>
      <c r="AU232" s="14">
        <v>2</v>
      </c>
      <c r="AV232" s="14">
        <v>1</v>
      </c>
      <c r="AW232" s="14">
        <f>IFERROR(AVERAGE(Tabel1[[#This Row],[Up - F3a]:[Up - F3b]]),"")</f>
        <v>1.5</v>
      </c>
      <c r="AX232" s="14">
        <v>3</v>
      </c>
      <c r="AY232" s="14">
        <f>IFERROR(AVERAGE(Tabel1[[#This Row],[Up - F1]],Tabel1[[#This Row],[Up - F2]],Tabel1[[#This Row],[Up - F3]],Tabel1[[#This Row],[Up - F4]]),"")</f>
        <v>2.375</v>
      </c>
      <c r="AZ232" s="14">
        <v>2</v>
      </c>
      <c r="BA232" s="14">
        <v>4</v>
      </c>
      <c r="BB232" s="14">
        <f>IFERROR(AVERAGE(Tabel1[[#This Row],[Up - V1a]:[Up - V1b]]),"")</f>
        <v>3</v>
      </c>
      <c r="BC232" s="14">
        <v>3</v>
      </c>
      <c r="BD232" s="14">
        <v>4</v>
      </c>
      <c r="BE232" s="14">
        <v>2</v>
      </c>
      <c r="BF232" s="14">
        <f>IFERROR(AVERAGE(Tabel1[[#This Row],[Up - V2a]:[Up - V2c]]),"")</f>
        <v>3</v>
      </c>
      <c r="BG232" s="14">
        <v>4</v>
      </c>
      <c r="BH232" s="14">
        <v>1</v>
      </c>
      <c r="BI232" s="14">
        <f>IFERROR(AVERAGE(Tabel1[[#This Row],[Up - V3a]:[Up - V3b]]),"")</f>
        <v>2.5</v>
      </c>
      <c r="BJ232" s="14">
        <v>2</v>
      </c>
      <c r="BK232" s="14">
        <f>IFERROR(AVERAGE(Tabel1[[#This Row],[Up - V1]],Tabel1[[#This Row],[Up - V2]],Tabel1[[#This Row],[Up - V3]],Tabel1[[#This Row],[Up - V4]]),"")</f>
        <v>2.625</v>
      </c>
      <c r="BL232" s="14">
        <v>3</v>
      </c>
      <c r="BM232" s="14">
        <v>4</v>
      </c>
      <c r="BN232" s="14">
        <v>4</v>
      </c>
      <c r="BO232" s="14">
        <v>3</v>
      </c>
      <c r="BP232" s="14">
        <f>IFERROR(AVERAGE(Tabel1[[#This Row],[Up - A1a]:[Up - A1d]]),"")</f>
        <v>3.5</v>
      </c>
      <c r="BQ232" s="14">
        <v>4</v>
      </c>
      <c r="BR232" s="14">
        <v>4</v>
      </c>
      <c r="BS232" s="14">
        <f>IFERROR(AVERAGE(Tabel1[[#This Row],[Up - A2a]:[Up - A2b]]),"")</f>
        <v>4</v>
      </c>
      <c r="BT232" s="14">
        <v>4</v>
      </c>
      <c r="BU232" s="14">
        <f>IFERROR(AVERAGE(Tabel1[[#This Row],[Up - A3a]:[Up - A3a]]),"")</f>
        <v>4</v>
      </c>
      <c r="BV232" s="14">
        <v>4</v>
      </c>
      <c r="BW232" s="14">
        <f>IFERROR(AVERAGE(Tabel1[[#This Row],[Up - A1]],Tabel1[[#This Row],[Up - A2]],Tabel1[[#This Row],[Up - A3]]),"")</f>
        <v>3.8333333333333335</v>
      </c>
      <c r="BX232" s="14">
        <v>1</v>
      </c>
      <c r="BY232" s="14">
        <v>2</v>
      </c>
      <c r="BZ232" s="14">
        <f>IFERROR(AVERAGE(Tabel1[[#This Row],[In - R1a]:[In - R1b]]),"")</f>
        <v>1.5</v>
      </c>
      <c r="CA232" s="14">
        <v>4</v>
      </c>
      <c r="CB232" s="14">
        <v>3</v>
      </c>
      <c r="CC232" s="14">
        <v>3</v>
      </c>
      <c r="CD232" s="14">
        <v>5</v>
      </c>
      <c r="CE232" s="14">
        <f>IFERROR(AVERAGE(Tabel1[[#This Row],[In - R1]:[In - R5]]),"")</f>
        <v>3.3</v>
      </c>
      <c r="CF232" s="14">
        <v>4</v>
      </c>
      <c r="CG232" s="14">
        <v>2</v>
      </c>
      <c r="CH232" s="14">
        <v>3</v>
      </c>
      <c r="CI232" s="14">
        <f>IFERROR(AVERAGE(Tabel1[[#This Row],[In - C1a]:[In - C1c]]),"")</f>
        <v>3</v>
      </c>
      <c r="CJ232" s="14">
        <v>3</v>
      </c>
      <c r="CK232" s="14">
        <v>2</v>
      </c>
      <c r="CL232" s="14">
        <v>2</v>
      </c>
      <c r="CM232" s="14">
        <f>IFERROR(AVERAGE(Tabel1[[#This Row],[In - C1]:[In - C4]]),"")</f>
        <v>2.5</v>
      </c>
      <c r="CN232" s="14">
        <v>4</v>
      </c>
      <c r="CO232" s="14">
        <v>4</v>
      </c>
      <c r="CP232" s="14">
        <v>3</v>
      </c>
      <c r="CQ232" s="14">
        <f>IFERROR(AVERAGE(Tabel1[[#This Row],[In - F1a]:[In - F1c]]),"")</f>
        <v>3.6666666666666665</v>
      </c>
      <c r="CR232" s="14">
        <v>4</v>
      </c>
      <c r="CS232" s="14">
        <v>3</v>
      </c>
      <c r="CT232" s="14">
        <f>IFERROR(AVERAGE(Tabel1[[#This Row],[In - F2a]:[In - F2b]]),"")</f>
        <v>3.5</v>
      </c>
      <c r="CU232" s="14">
        <v>4</v>
      </c>
      <c r="CV232" s="14">
        <f>IFERROR(AVERAGE(Tabel1[[#This Row],[In - F3a]:[In - F3a]]),"")</f>
        <v>4</v>
      </c>
      <c r="CW232" s="14">
        <v>1</v>
      </c>
      <c r="CX232" s="14">
        <f>IFERROR(AVERAGE(Tabel1[[#This Row],[In - F1]],Tabel1[[#This Row],[In - F2]],Tabel1[[#This Row],[In - F3]],Tabel1[[#This Row],[In - F4]]),"")</f>
        <v>3.0416666666666665</v>
      </c>
      <c r="CY232" s="14">
        <v>5</v>
      </c>
      <c r="CZ232" s="14">
        <v>2</v>
      </c>
      <c r="DA232" s="14">
        <v>3</v>
      </c>
      <c r="DB232" s="14">
        <f>IFERROR(AVERAGE(Tabel1[[#This Row],[In - V1a]:[In - V1c]]),"")</f>
        <v>3.3333333333333335</v>
      </c>
      <c r="DC232" s="14">
        <v>2</v>
      </c>
      <c r="DD232" s="14">
        <v>3</v>
      </c>
      <c r="DE232" s="14">
        <v>2</v>
      </c>
      <c r="DF232" s="14">
        <f>IFERROR(AVERAGE(Tabel1[[#This Row],[In - V2a]:[In - V2c]]),"")</f>
        <v>2.3333333333333335</v>
      </c>
      <c r="DG232" s="14">
        <v>1</v>
      </c>
      <c r="DH232" s="14">
        <v>4</v>
      </c>
      <c r="DI232" s="14">
        <f>IFERROR(AVERAGE(Tabel1[[#This Row],[In - V3a]:[In - V3b]]),"")</f>
        <v>2.5</v>
      </c>
      <c r="DJ232" s="14">
        <v>2</v>
      </c>
      <c r="DK232" s="14">
        <f>IFERROR(AVERAGE(Tabel1[[#This Row],[In - V1]],Tabel1[[#This Row],[In - V2]],Tabel1[[#This Row],[In - V3]],Tabel1[[#This Row],[In - V4]]),"")</f>
        <v>2.541666666666667</v>
      </c>
      <c r="DL232" s="14">
        <v>3</v>
      </c>
      <c r="DM232" s="14">
        <v>3</v>
      </c>
      <c r="DN232" s="14">
        <f>IFERROR(AVERAGE(Tabel1[[#This Row],[In - A1a]:[In - A1b]]),"")</f>
        <v>3</v>
      </c>
      <c r="DO232" s="14">
        <v>4</v>
      </c>
      <c r="DP232" s="14">
        <v>3</v>
      </c>
      <c r="DQ232" s="14">
        <f>IFERROR(AVERAGE(Tabel1[[#This Row],[In - A2a]:[In - A2b]]),"")</f>
        <v>3.5</v>
      </c>
      <c r="DR232" s="14">
        <v>4</v>
      </c>
      <c r="DS232" s="14">
        <v>3</v>
      </c>
      <c r="DT232" s="14">
        <f>IFERROR(AVERAGE(Tabel1[[#This Row],[In - A3a]:[In - A3a]]),"")</f>
        <v>4</v>
      </c>
      <c r="DU232" s="14">
        <v>3</v>
      </c>
      <c r="DV232" s="14">
        <f>IFERROR(AVERAGE(Tabel1[[#This Row],[In - A1]],Tabel1[[#This Row],[In - A2]],Tabel1[[#This Row],[In - A3]],Tabel1[[#This Row],[In - A4]]),"")</f>
        <v>3.375</v>
      </c>
      <c r="DW232" s="14">
        <v>3</v>
      </c>
      <c r="DX232" s="14">
        <v>4</v>
      </c>
      <c r="DY232" s="14">
        <v>3</v>
      </c>
      <c r="DZ232" s="14">
        <f>IFERROR(AVERAGE(Tabel1[[#This Row],[Do - R1a]:[Do - R1c]]),"")</f>
        <v>3.3333333333333335</v>
      </c>
      <c r="EA232" s="14" t="s">
        <v>189</v>
      </c>
      <c r="EB232" s="14">
        <v>4</v>
      </c>
      <c r="EC232" s="14">
        <v>1</v>
      </c>
      <c r="ED232" s="14">
        <v>4</v>
      </c>
      <c r="EE232" s="14">
        <f>IFERROR(AVERAGE(Tabel1[[#This Row],[Do - R1]:[Do - R5]]),"")</f>
        <v>3.0833333333333335</v>
      </c>
      <c r="EF232" s="14">
        <v>4</v>
      </c>
      <c r="EG232" s="14">
        <v>3</v>
      </c>
      <c r="EH232" s="14">
        <v>4</v>
      </c>
      <c r="EI232" s="14">
        <f>IFERROR(AVERAGE(Tabel1[[#This Row],[Do - C1a]:[Do - C1c]]),"")</f>
        <v>3.6666666666666665</v>
      </c>
      <c r="EJ232" s="14">
        <v>4</v>
      </c>
      <c r="EK232" s="14">
        <v>2</v>
      </c>
      <c r="EL232" s="14">
        <v>2</v>
      </c>
      <c r="EM232" s="14">
        <f>IFERROR(AVERAGE(Tabel1[[#This Row],[Do - C1]:[Do - C4]]),"")</f>
        <v>2.9166666666666665</v>
      </c>
      <c r="EN232" s="14">
        <v>2</v>
      </c>
      <c r="EO232" s="14">
        <v>2</v>
      </c>
      <c r="EP232" s="14">
        <v>3</v>
      </c>
      <c r="EQ232" s="14">
        <f>IFERROR(AVERAGE(Tabel1[[#This Row],[Do - F1a]:[Do - F1c]]),"")</f>
        <v>2.3333333333333335</v>
      </c>
      <c r="ER232" s="14">
        <v>4</v>
      </c>
      <c r="ES232" s="14">
        <f>IFERROR(AVERAGE(Tabel1[[#This Row],[Do - F2a]:[Do - F2a]]),"")</f>
        <v>4</v>
      </c>
      <c r="ET232" s="14">
        <v>3</v>
      </c>
      <c r="EU232" s="14">
        <v>1</v>
      </c>
      <c r="EV232" s="14">
        <f>IFERROR(AVERAGE(Tabel1[[#This Row],[Do - F3a]:[Do - F3b]]),"")</f>
        <v>2</v>
      </c>
      <c r="EW232" s="14">
        <v>2</v>
      </c>
      <c r="EX232" s="14">
        <f>IFERROR(AVERAGE(Tabel1[[#This Row],[Do - F1]],Tabel1[[#This Row],[Do - F2]],Tabel1[[#This Row],[Do - F3]],Tabel1[[#This Row],[Do - F4]]),"")</f>
        <v>2.5833333333333335</v>
      </c>
      <c r="EY232" s="14">
        <v>4</v>
      </c>
      <c r="EZ232" s="14">
        <v>2</v>
      </c>
      <c r="FA232" s="14">
        <v>3</v>
      </c>
      <c r="FB232" s="14">
        <f>IFERROR(AVERAGE(Tabel1[[#This Row],[Do - V1a]:[Do - V1c]]),"")</f>
        <v>3</v>
      </c>
      <c r="FC232" s="14">
        <v>3</v>
      </c>
      <c r="FD232" s="14">
        <v>4</v>
      </c>
      <c r="FE232" s="14">
        <f>IFERROR(AVERAGE(Tabel1[[#This Row],[Do - V2a]:[Do - V2b]]),"")</f>
        <v>3.5</v>
      </c>
      <c r="FF232" s="14">
        <v>3</v>
      </c>
      <c r="FG232" s="14">
        <f>IFERROR(AVERAGE(Tabel1[[#This Row],[Do - V3a]:[Do - V3a]]),"")</f>
        <v>3</v>
      </c>
      <c r="FH232" s="14">
        <v>2</v>
      </c>
      <c r="FI232" s="14">
        <f>IFERROR(AVERAGE(Tabel1[[#This Row],[Do - V1]],Tabel1[[#This Row],[Do - V2]],Tabel1[[#This Row],[Do - V3]],Tabel1[[#This Row],[Do - V4]]),"")</f>
        <v>2.875</v>
      </c>
      <c r="FJ232" s="14">
        <v>4</v>
      </c>
      <c r="FK232" s="14">
        <v>3</v>
      </c>
      <c r="FL232" s="14">
        <v>4</v>
      </c>
      <c r="FM232" s="14">
        <f>IFERROR(AVERAGE(Tabel1[[#This Row],[Do - A1a]:[Do - A1c]]),"")</f>
        <v>3.6666666666666665</v>
      </c>
      <c r="FN232" s="14">
        <v>4</v>
      </c>
      <c r="FO232" s="14">
        <v>4</v>
      </c>
      <c r="FP232" s="14">
        <f>IFERROR(AVERAGE(Tabel1[[#This Row],[Do - A2a]:[Do - A2b]]),"")</f>
        <v>4</v>
      </c>
      <c r="FQ232" s="14">
        <v>4</v>
      </c>
      <c r="FR232" s="14">
        <f>IFERROR(AVERAGE(Tabel1[[#This Row],[Do - A3a]:[Do - A3a]]),"")</f>
        <v>4</v>
      </c>
      <c r="FS232" s="14">
        <v>4</v>
      </c>
      <c r="FT232" s="14">
        <f>IFERROR(AVERAGE(Tabel1[[#This Row],[Do - A1]],Tabel1[[#This Row],[Do - A2]],Tabel1[[#This Row],[Do - A3]],Tabel1[[#This Row],[Do - A4]]),"")</f>
        <v>3.9166666666666665</v>
      </c>
      <c r="FU23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2.9450000000000003</v>
      </c>
      <c r="FV232" s="27" t="s">
        <v>1253</v>
      </c>
      <c r="FW232" t="b">
        <v>1</v>
      </c>
    </row>
    <row r="233" spans="1:179" x14ac:dyDescent="0.3">
      <c r="A233" s="13">
        <v>45392.495821759301</v>
      </c>
      <c r="B233" t="b">
        <v>0</v>
      </c>
      <c r="C233" s="14" t="s">
        <v>1254</v>
      </c>
      <c r="D233" s="14" t="s">
        <v>1255</v>
      </c>
      <c r="E233" s="14" t="s">
        <v>1256</v>
      </c>
      <c r="F233" s="14" t="s">
        <v>184</v>
      </c>
      <c r="G233" s="14" t="s">
        <v>1257</v>
      </c>
      <c r="H233" s="14" t="s">
        <v>222</v>
      </c>
      <c r="I233" s="14" t="s">
        <v>243</v>
      </c>
      <c r="J233" s="14" t="s">
        <v>248</v>
      </c>
      <c r="K233" s="28" t="s">
        <v>201</v>
      </c>
      <c r="L233" s="14" t="s">
        <v>385</v>
      </c>
      <c r="M233" s="14" t="s">
        <v>233</v>
      </c>
      <c r="N233" s="14" t="s">
        <v>199</v>
      </c>
      <c r="O233" s="14" t="s">
        <v>200</v>
      </c>
      <c r="P233" s="24" t="s">
        <v>255</v>
      </c>
      <c r="Q233" s="17" t="s">
        <v>203</v>
      </c>
      <c r="R233" s="25" t="s">
        <v>202</v>
      </c>
      <c r="S233" s="25" t="s">
        <v>235</v>
      </c>
      <c r="T233" s="14" t="s">
        <v>284</v>
      </c>
      <c r="U233" s="14" t="s">
        <v>285</v>
      </c>
      <c r="V233" s="14" t="s">
        <v>359</v>
      </c>
      <c r="W233" s="14" t="s">
        <v>207</v>
      </c>
      <c r="X233" s="14" t="s">
        <v>207</v>
      </c>
      <c r="Y233" s="14">
        <v>1</v>
      </c>
      <c r="Z233" s="14">
        <v>1</v>
      </c>
      <c r="AA233" s="14" t="s">
        <v>189</v>
      </c>
      <c r="AB233" s="15">
        <f>IFERROR(AVERAGE(Tabel1[[#This Row],[Up - R1a]:[Up - R1c]]),"")</f>
        <v>1</v>
      </c>
      <c r="AC233" s="14">
        <v>1</v>
      </c>
      <c r="AD233" s="14">
        <v>3</v>
      </c>
      <c r="AE233" s="14">
        <v>1</v>
      </c>
      <c r="AF233" s="14" t="s">
        <v>189</v>
      </c>
      <c r="AG233" s="14">
        <f>IFERROR(AVERAGE(Tabel1[[#This Row],[Up - R1]:[Up - R5]]),"")</f>
        <v>1.5</v>
      </c>
      <c r="AH233" s="14">
        <v>3</v>
      </c>
      <c r="AI233" s="14">
        <v>3</v>
      </c>
      <c r="AJ233" s="14">
        <v>2</v>
      </c>
      <c r="AK233" s="14">
        <f>IFERROR(AVERAGE(Tabel1[[#This Row],[Up - C1a]:[Up - C1c]]),"")</f>
        <v>2.6666666666666665</v>
      </c>
      <c r="AL233" s="14">
        <v>1</v>
      </c>
      <c r="AM233" s="14">
        <v>1</v>
      </c>
      <c r="AN233" s="14">
        <v>1</v>
      </c>
      <c r="AO233" s="14">
        <f>IFERROR(AVERAGE(Tabel1[[#This Row],[Up - C1]:[Up - C4]]),"")</f>
        <v>1.4166666666666665</v>
      </c>
      <c r="AP233" s="14" t="s">
        <v>189</v>
      </c>
      <c r="AQ233" s="14" t="str">
        <f>IFERROR(AVERAGE(Tabel1[[#This Row],[Up - F1a]:[Up - F1a]]),"")</f>
        <v/>
      </c>
      <c r="AR233" s="14">
        <v>1</v>
      </c>
      <c r="AS233" s="14">
        <v>2</v>
      </c>
      <c r="AT233" s="14">
        <f>IFERROR(AVERAGE(Tabel1[[#This Row],[Up - F2a]:[Up - F2b]]),"")</f>
        <v>1.5</v>
      </c>
      <c r="AU233" s="14">
        <v>1</v>
      </c>
      <c r="AV233" s="14">
        <v>1</v>
      </c>
      <c r="AW233" s="14">
        <f>IFERROR(AVERAGE(Tabel1[[#This Row],[Up - F3a]:[Up - F3b]]),"")</f>
        <v>1</v>
      </c>
      <c r="AX233" s="14">
        <v>3</v>
      </c>
      <c r="AY233" s="14">
        <f>IFERROR(AVERAGE(Tabel1[[#This Row],[Up - F1]],Tabel1[[#This Row],[Up - F2]],Tabel1[[#This Row],[Up - F3]],Tabel1[[#This Row],[Up - F4]]),"")</f>
        <v>1.8333333333333333</v>
      </c>
      <c r="AZ233" s="14">
        <v>1</v>
      </c>
      <c r="BA233" s="14">
        <v>3</v>
      </c>
      <c r="BB233" s="14">
        <f>IFERROR(AVERAGE(Tabel1[[#This Row],[Up - V1a]:[Up - V1b]]),"")</f>
        <v>2</v>
      </c>
      <c r="BC233" s="14">
        <v>2</v>
      </c>
      <c r="BD233" s="14">
        <v>3</v>
      </c>
      <c r="BE233" s="14">
        <v>2</v>
      </c>
      <c r="BF233" s="14">
        <f>IFERROR(AVERAGE(Tabel1[[#This Row],[Up - V2a]:[Up - V2c]]),"")</f>
        <v>2.3333333333333335</v>
      </c>
      <c r="BG233" s="14">
        <v>1</v>
      </c>
      <c r="BH233" s="14">
        <v>1</v>
      </c>
      <c r="BI233" s="14">
        <f>IFERROR(AVERAGE(Tabel1[[#This Row],[Up - V3a]:[Up - V3b]]),"")</f>
        <v>1</v>
      </c>
      <c r="BJ233" s="14">
        <v>4</v>
      </c>
      <c r="BK233" s="14">
        <f>IFERROR(AVERAGE(Tabel1[[#This Row],[Up - V1]],Tabel1[[#This Row],[Up - V2]],Tabel1[[#This Row],[Up - V3]],Tabel1[[#This Row],[Up - V4]]),"")</f>
        <v>2.3333333333333335</v>
      </c>
      <c r="BL233" s="14">
        <v>2</v>
      </c>
      <c r="BM233" s="14">
        <v>3</v>
      </c>
      <c r="BN233" s="14">
        <v>1</v>
      </c>
      <c r="BO233" s="14">
        <v>1</v>
      </c>
      <c r="BP233" s="14">
        <f>IFERROR(AVERAGE(Tabel1[[#This Row],[Up - A1a]:[Up - A1d]]),"")</f>
        <v>1.75</v>
      </c>
      <c r="BQ233" s="14">
        <v>1</v>
      </c>
      <c r="BR233" s="14">
        <v>3</v>
      </c>
      <c r="BS233" s="14">
        <f>IFERROR(AVERAGE(Tabel1[[#This Row],[Up - A2a]:[Up - A2b]]),"")</f>
        <v>2</v>
      </c>
      <c r="BT233" s="14">
        <v>1</v>
      </c>
      <c r="BU233" s="14">
        <f>IFERROR(AVERAGE(Tabel1[[#This Row],[Up - A3a]:[Up - A3a]]),"")</f>
        <v>1</v>
      </c>
      <c r="BV233" s="14" t="s">
        <v>189</v>
      </c>
      <c r="BW233" s="14">
        <f>IFERROR(AVERAGE(Tabel1[[#This Row],[Up - A1]],Tabel1[[#This Row],[Up - A2]],Tabel1[[#This Row],[Up - A3]]),"")</f>
        <v>1.5833333333333333</v>
      </c>
      <c r="BX233" s="14">
        <v>1</v>
      </c>
      <c r="BY233" s="14">
        <v>1</v>
      </c>
      <c r="BZ233" s="14">
        <f>IFERROR(AVERAGE(Tabel1[[#This Row],[In - R1a]:[In - R1b]]),"")</f>
        <v>1</v>
      </c>
      <c r="CA233" s="14">
        <v>4</v>
      </c>
      <c r="CB233" s="14">
        <v>1</v>
      </c>
      <c r="CC233" s="14">
        <v>4</v>
      </c>
      <c r="CD233" s="14">
        <v>5</v>
      </c>
      <c r="CE233" s="14">
        <f>IFERROR(AVERAGE(Tabel1[[#This Row],[In - R1]:[In - R5]]),"")</f>
        <v>3</v>
      </c>
      <c r="CF233" s="14">
        <v>4</v>
      </c>
      <c r="CG233" s="14">
        <v>1</v>
      </c>
      <c r="CH233" s="14">
        <v>3</v>
      </c>
      <c r="CI233" s="14">
        <f>IFERROR(AVERAGE(Tabel1[[#This Row],[In - C1a]:[In - C1c]]),"")</f>
        <v>2.6666666666666665</v>
      </c>
      <c r="CJ233" s="14">
        <v>1</v>
      </c>
      <c r="CK233" s="14">
        <v>2</v>
      </c>
      <c r="CL233" s="14">
        <v>1</v>
      </c>
      <c r="CM233" s="14">
        <f>IFERROR(AVERAGE(Tabel1[[#This Row],[In - C1]:[In - C4]]),"")</f>
        <v>1.6666666666666665</v>
      </c>
      <c r="CN233" s="14">
        <v>4</v>
      </c>
      <c r="CO233" s="14">
        <v>3</v>
      </c>
      <c r="CP233" s="14">
        <v>2</v>
      </c>
      <c r="CQ233" s="14">
        <f>IFERROR(AVERAGE(Tabel1[[#This Row],[In - F1a]:[In - F1c]]),"")</f>
        <v>3</v>
      </c>
      <c r="CR233" s="14">
        <v>1</v>
      </c>
      <c r="CS233" s="14">
        <v>2</v>
      </c>
      <c r="CT233" s="14">
        <f>IFERROR(AVERAGE(Tabel1[[#This Row],[In - F2a]:[In - F2b]]),"")</f>
        <v>1.5</v>
      </c>
      <c r="CU233" s="14">
        <v>2</v>
      </c>
      <c r="CV233" s="14">
        <f>IFERROR(AVERAGE(Tabel1[[#This Row],[In - F3a]:[In - F3a]]),"")</f>
        <v>2</v>
      </c>
      <c r="CW233" s="14">
        <v>5</v>
      </c>
      <c r="CX233" s="14">
        <f>IFERROR(AVERAGE(Tabel1[[#This Row],[In - F1]],Tabel1[[#This Row],[In - F2]],Tabel1[[#This Row],[In - F3]],Tabel1[[#This Row],[In - F4]]),"")</f>
        <v>2.875</v>
      </c>
      <c r="CY233" s="14">
        <v>4</v>
      </c>
      <c r="CZ233" s="14">
        <v>1</v>
      </c>
      <c r="DA233" s="14">
        <v>1</v>
      </c>
      <c r="DB233" s="14">
        <f>IFERROR(AVERAGE(Tabel1[[#This Row],[In - V1a]:[In - V1c]]),"")</f>
        <v>2</v>
      </c>
      <c r="DC233" s="14">
        <v>3</v>
      </c>
      <c r="DD233" s="14">
        <v>3</v>
      </c>
      <c r="DE233" s="14">
        <v>2</v>
      </c>
      <c r="DF233" s="14">
        <f>IFERROR(AVERAGE(Tabel1[[#This Row],[In - V2a]:[In - V2c]]),"")</f>
        <v>2.6666666666666665</v>
      </c>
      <c r="DG233" s="14">
        <v>2</v>
      </c>
      <c r="DH233" s="14">
        <v>3</v>
      </c>
      <c r="DI233" s="14">
        <f>IFERROR(AVERAGE(Tabel1[[#This Row],[In - V3a]:[In - V3b]]),"")</f>
        <v>2.5</v>
      </c>
      <c r="DJ233" s="14">
        <v>3</v>
      </c>
      <c r="DK233" s="14">
        <f>IFERROR(AVERAGE(Tabel1[[#This Row],[In - V1]],Tabel1[[#This Row],[In - V2]],Tabel1[[#This Row],[In - V3]],Tabel1[[#This Row],[In - V4]]),"")</f>
        <v>2.5416666666666665</v>
      </c>
      <c r="DL233" s="14">
        <v>5</v>
      </c>
      <c r="DM233" s="14">
        <v>3</v>
      </c>
      <c r="DN233" s="14">
        <f>IFERROR(AVERAGE(Tabel1[[#This Row],[In - A1a]:[In - A1b]]),"")</f>
        <v>4</v>
      </c>
      <c r="DO233" s="14">
        <v>5</v>
      </c>
      <c r="DP233" s="14">
        <v>4</v>
      </c>
      <c r="DQ233" s="14">
        <f>IFERROR(AVERAGE(Tabel1[[#This Row],[In - A2a]:[In - A2b]]),"")</f>
        <v>4.5</v>
      </c>
      <c r="DR233" s="14">
        <v>5</v>
      </c>
      <c r="DS233" s="14">
        <v>2</v>
      </c>
      <c r="DT233" s="14">
        <f>IFERROR(AVERAGE(Tabel1[[#This Row],[In - A3a]:[In - A3a]]),"")</f>
        <v>5</v>
      </c>
      <c r="DU233" s="14" t="s">
        <v>189</v>
      </c>
      <c r="DV233" s="14">
        <f>IFERROR(AVERAGE(Tabel1[[#This Row],[In - A1]],Tabel1[[#This Row],[In - A2]],Tabel1[[#This Row],[In - A3]],Tabel1[[#This Row],[In - A4]]),"")</f>
        <v>4.5</v>
      </c>
      <c r="DW233" s="14">
        <v>3</v>
      </c>
      <c r="DX233" s="14">
        <v>5</v>
      </c>
      <c r="DY233" s="14">
        <v>3</v>
      </c>
      <c r="DZ233" s="14">
        <f>IFERROR(AVERAGE(Tabel1[[#This Row],[Do - R1a]:[Do - R1c]]),"")</f>
        <v>3.6666666666666665</v>
      </c>
      <c r="EA233" s="14">
        <v>1</v>
      </c>
      <c r="EB233" s="14">
        <v>4</v>
      </c>
      <c r="EC233" s="14">
        <v>1</v>
      </c>
      <c r="ED233" s="14">
        <v>5</v>
      </c>
      <c r="EE233" s="14">
        <f>IFERROR(AVERAGE(Tabel1[[#This Row],[Do - R1]:[Do - R5]]),"")</f>
        <v>2.9333333333333331</v>
      </c>
      <c r="EF233" s="14">
        <v>4</v>
      </c>
      <c r="EG233" s="14">
        <v>3</v>
      </c>
      <c r="EH233" s="14">
        <v>2</v>
      </c>
      <c r="EI233" s="14">
        <f>IFERROR(AVERAGE(Tabel1[[#This Row],[Do - C1a]:[Do - C1c]]),"")</f>
        <v>3</v>
      </c>
      <c r="EJ233" s="14">
        <v>1</v>
      </c>
      <c r="EK233" s="14">
        <v>1</v>
      </c>
      <c r="EL233" s="14">
        <v>1</v>
      </c>
      <c r="EM233" s="14">
        <f>IFERROR(AVERAGE(Tabel1[[#This Row],[Do - C1]:[Do - C4]]),"")</f>
        <v>1.5</v>
      </c>
      <c r="EN233" s="14">
        <v>2</v>
      </c>
      <c r="EO233" s="14">
        <v>1</v>
      </c>
      <c r="EP233" s="14" t="s">
        <v>189</v>
      </c>
      <c r="EQ233" s="14">
        <f>IFERROR(AVERAGE(Tabel1[[#This Row],[Do - F1a]:[Do - F1c]]),"")</f>
        <v>1.5</v>
      </c>
      <c r="ER233" s="14">
        <v>3</v>
      </c>
      <c r="ES233" s="14">
        <f>IFERROR(AVERAGE(Tabel1[[#This Row],[Do - F2a]:[Do - F2a]]),"")</f>
        <v>3</v>
      </c>
      <c r="ET233" s="14">
        <v>3</v>
      </c>
      <c r="EU233" s="14">
        <v>3</v>
      </c>
      <c r="EV233" s="14">
        <f>IFERROR(AVERAGE(Tabel1[[#This Row],[Do - F3a]:[Do - F3b]]),"")</f>
        <v>3</v>
      </c>
      <c r="EW233" s="14">
        <v>3</v>
      </c>
      <c r="EX233" s="14">
        <f>IFERROR(AVERAGE(Tabel1[[#This Row],[Do - F1]],Tabel1[[#This Row],[Do - F2]],Tabel1[[#This Row],[Do - F3]],Tabel1[[#This Row],[Do - F4]]),"")</f>
        <v>2.625</v>
      </c>
      <c r="EY233" s="14">
        <v>1</v>
      </c>
      <c r="EZ233" s="14">
        <v>1</v>
      </c>
      <c r="FA233" s="14">
        <v>4</v>
      </c>
      <c r="FB233" s="14">
        <f>IFERROR(AVERAGE(Tabel1[[#This Row],[Do - V1a]:[Do - V1c]]),"")</f>
        <v>2</v>
      </c>
      <c r="FC233" s="14">
        <v>3</v>
      </c>
      <c r="FD233" s="14">
        <v>4</v>
      </c>
      <c r="FE233" s="14">
        <f>IFERROR(AVERAGE(Tabel1[[#This Row],[Do - V2a]:[Do - V2b]]),"")</f>
        <v>3.5</v>
      </c>
      <c r="FF233" s="14">
        <v>2</v>
      </c>
      <c r="FG233" s="14">
        <f>IFERROR(AVERAGE(Tabel1[[#This Row],[Do - V3a]:[Do - V3a]]),"")</f>
        <v>2</v>
      </c>
      <c r="FH233" s="14">
        <v>4</v>
      </c>
      <c r="FI233" s="14">
        <f>IFERROR(AVERAGE(Tabel1[[#This Row],[Do - V1]],Tabel1[[#This Row],[Do - V2]],Tabel1[[#This Row],[Do - V3]],Tabel1[[#This Row],[Do - V4]]),"")</f>
        <v>2.875</v>
      </c>
      <c r="FJ233" s="14">
        <v>3</v>
      </c>
      <c r="FK233" s="14">
        <v>1</v>
      </c>
      <c r="FL233" s="14">
        <v>5</v>
      </c>
      <c r="FM233" s="14">
        <f>IFERROR(AVERAGE(Tabel1[[#This Row],[Do - A1a]:[Do - A1c]]),"")</f>
        <v>3</v>
      </c>
      <c r="FN233" s="14">
        <v>3</v>
      </c>
      <c r="FO233" s="14">
        <v>4</v>
      </c>
      <c r="FP233" s="14">
        <f>IFERROR(AVERAGE(Tabel1[[#This Row],[Do - A2a]:[Do - A2b]]),"")</f>
        <v>3.5</v>
      </c>
      <c r="FQ233" s="14">
        <v>4</v>
      </c>
      <c r="FR233" s="14">
        <f>IFERROR(AVERAGE(Tabel1[[#This Row],[Do - A3a]:[Do - A3a]]),"")</f>
        <v>4</v>
      </c>
      <c r="FS233" s="14">
        <v>3</v>
      </c>
      <c r="FT233" s="14">
        <f>IFERROR(AVERAGE(Tabel1[[#This Row],[Do - A1]],Tabel1[[#This Row],[Do - A2]],Tabel1[[#This Row],[Do - A3]],Tabel1[[#This Row],[Do - A4]]),"")</f>
        <v>3.375</v>
      </c>
      <c r="FU23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2.4372222222222226</v>
      </c>
      <c r="FV233" s="27" t="s">
        <v>1258</v>
      </c>
      <c r="FW233" t="b">
        <v>1</v>
      </c>
    </row>
    <row r="234" spans="1:179" x14ac:dyDescent="0.3">
      <c r="A234" s="13">
        <v>45392.5229398148</v>
      </c>
      <c r="B234" t="b">
        <v>0</v>
      </c>
      <c r="C234" s="14" t="s">
        <v>1259</v>
      </c>
      <c r="D234" s="14" t="s">
        <v>1180</v>
      </c>
      <c r="E234" s="14" t="s">
        <v>1260</v>
      </c>
      <c r="F234" s="14" t="s">
        <v>184</v>
      </c>
      <c r="G234" s="14" t="s">
        <v>1261</v>
      </c>
      <c r="H234" s="14" t="s">
        <v>222</v>
      </c>
      <c r="I234" s="14" t="s">
        <v>243</v>
      </c>
      <c r="J234" s="14" t="s">
        <v>248</v>
      </c>
      <c r="K234" s="28" t="s">
        <v>201</v>
      </c>
      <c r="L234" s="14" t="s">
        <v>249</v>
      </c>
      <c r="M234" s="14" t="s">
        <v>281</v>
      </c>
      <c r="N234" s="14" t="s">
        <v>262</v>
      </c>
      <c r="O234" s="14" t="s">
        <v>200</v>
      </c>
      <c r="P234" s="24" t="s">
        <v>255</v>
      </c>
      <c r="Q234" s="17" t="s">
        <v>201</v>
      </c>
      <c r="R234" s="25" t="s">
        <v>202</v>
      </c>
      <c r="S234" s="25" t="s">
        <v>187</v>
      </c>
      <c r="T234" s="14" t="s">
        <v>284</v>
      </c>
      <c r="U234" s="14" t="s">
        <v>285</v>
      </c>
      <c r="V234" s="14" t="s">
        <v>359</v>
      </c>
      <c r="W234" s="14" t="s">
        <v>306</v>
      </c>
      <c r="X234" s="14" t="s">
        <v>306</v>
      </c>
      <c r="Y234" s="14">
        <v>2</v>
      </c>
      <c r="Z234" s="14">
        <v>2</v>
      </c>
      <c r="AA234" s="14">
        <v>4</v>
      </c>
      <c r="AB234" s="15">
        <f>IFERROR(AVERAGE(Tabel1[[#This Row],[Up - R1a]:[Up - R1c]]),"")</f>
        <v>2.6666666666666665</v>
      </c>
      <c r="AC234" s="14">
        <v>2</v>
      </c>
      <c r="AD234" s="14">
        <v>4</v>
      </c>
      <c r="AE234" s="14">
        <v>2</v>
      </c>
      <c r="AF234" s="14">
        <v>4</v>
      </c>
      <c r="AG234" s="14">
        <f>IFERROR(AVERAGE(Tabel1[[#This Row],[Up - R1]:[Up - R5]]),"")</f>
        <v>2.9333333333333331</v>
      </c>
      <c r="AH234" s="14">
        <v>4</v>
      </c>
      <c r="AI234" s="14">
        <v>4</v>
      </c>
      <c r="AJ234" s="14">
        <v>4</v>
      </c>
      <c r="AK234" s="14">
        <f>IFERROR(AVERAGE(Tabel1[[#This Row],[Up - C1a]:[Up - C1c]]),"")</f>
        <v>4</v>
      </c>
      <c r="AL234" s="14">
        <v>4</v>
      </c>
      <c r="AM234" s="14">
        <v>4</v>
      </c>
      <c r="AN234" s="14">
        <v>3</v>
      </c>
      <c r="AO234" s="14">
        <f>IFERROR(AVERAGE(Tabel1[[#This Row],[Up - C1]:[Up - C4]]),"")</f>
        <v>3.75</v>
      </c>
      <c r="AP234" s="14">
        <v>2</v>
      </c>
      <c r="AQ234" s="14">
        <f>IFERROR(AVERAGE(Tabel1[[#This Row],[Up - F1a]:[Up - F1a]]),"")</f>
        <v>2</v>
      </c>
      <c r="AR234" s="14">
        <v>2</v>
      </c>
      <c r="AS234" s="14">
        <v>2</v>
      </c>
      <c r="AT234" s="14">
        <f>IFERROR(AVERAGE(Tabel1[[#This Row],[Up - F2a]:[Up - F2b]]),"")</f>
        <v>2</v>
      </c>
      <c r="AU234" s="14">
        <v>4</v>
      </c>
      <c r="AV234" s="14">
        <v>2</v>
      </c>
      <c r="AW234" s="14">
        <f>IFERROR(AVERAGE(Tabel1[[#This Row],[Up - F3a]:[Up - F3b]]),"")</f>
        <v>3</v>
      </c>
      <c r="AX234" s="14">
        <v>3</v>
      </c>
      <c r="AY234" s="14">
        <f>IFERROR(AVERAGE(Tabel1[[#This Row],[Up - F1]],Tabel1[[#This Row],[Up - F2]],Tabel1[[#This Row],[Up - F3]],Tabel1[[#This Row],[Up - F4]]),"")</f>
        <v>2.5</v>
      </c>
      <c r="AZ234" s="14">
        <v>1</v>
      </c>
      <c r="BA234" s="14">
        <v>3</v>
      </c>
      <c r="BB234" s="14">
        <f>IFERROR(AVERAGE(Tabel1[[#This Row],[Up - V1a]:[Up - V1b]]),"")</f>
        <v>2</v>
      </c>
      <c r="BC234" s="14">
        <v>5</v>
      </c>
      <c r="BD234" s="14">
        <v>3</v>
      </c>
      <c r="BE234" s="14">
        <v>3</v>
      </c>
      <c r="BF234" s="14">
        <f>IFERROR(AVERAGE(Tabel1[[#This Row],[Up - V2a]:[Up - V2c]]),"")</f>
        <v>3.6666666666666665</v>
      </c>
      <c r="BG234" s="14">
        <v>2</v>
      </c>
      <c r="BH234" s="14">
        <v>1</v>
      </c>
      <c r="BI234" s="14">
        <f>IFERROR(AVERAGE(Tabel1[[#This Row],[Up - V3a]:[Up - V3b]]),"")</f>
        <v>1.5</v>
      </c>
      <c r="BJ234" s="14">
        <v>2</v>
      </c>
      <c r="BK234" s="14">
        <f>IFERROR(AVERAGE(Tabel1[[#This Row],[Up - V1]],Tabel1[[#This Row],[Up - V2]],Tabel1[[#This Row],[Up - V3]],Tabel1[[#This Row],[Up - V4]]),"")</f>
        <v>2.2916666666666665</v>
      </c>
      <c r="BL234" s="14">
        <v>3</v>
      </c>
      <c r="BM234" s="14">
        <v>4</v>
      </c>
      <c r="BN234" s="14">
        <v>4</v>
      </c>
      <c r="BO234" s="14">
        <v>4</v>
      </c>
      <c r="BP234" s="14">
        <f>IFERROR(AVERAGE(Tabel1[[#This Row],[Up - A1a]:[Up - A1d]]),"")</f>
        <v>3.75</v>
      </c>
      <c r="BQ234" s="14">
        <v>4</v>
      </c>
      <c r="BR234" s="14">
        <v>3</v>
      </c>
      <c r="BS234" s="14">
        <f>IFERROR(AVERAGE(Tabel1[[#This Row],[Up - A2a]:[Up - A2b]]),"")</f>
        <v>3.5</v>
      </c>
      <c r="BT234" s="14">
        <v>3</v>
      </c>
      <c r="BU234" s="14">
        <f>IFERROR(AVERAGE(Tabel1[[#This Row],[Up - A3a]:[Up - A3a]]),"")</f>
        <v>3</v>
      </c>
      <c r="BV234" s="14">
        <v>3</v>
      </c>
      <c r="BW234" s="14">
        <f>IFERROR(AVERAGE(Tabel1[[#This Row],[Up - A1]],Tabel1[[#This Row],[Up - A2]],Tabel1[[#This Row],[Up - A3]]),"")</f>
        <v>3.4166666666666665</v>
      </c>
      <c r="BX234" s="14">
        <v>1</v>
      </c>
      <c r="BY234" s="14">
        <v>1</v>
      </c>
      <c r="BZ234" s="14">
        <f>IFERROR(AVERAGE(Tabel1[[#This Row],[In - R1a]:[In - R1b]]),"")</f>
        <v>1</v>
      </c>
      <c r="CA234" s="14">
        <v>4</v>
      </c>
      <c r="CB234" s="14">
        <v>4</v>
      </c>
      <c r="CC234" s="14">
        <v>2</v>
      </c>
      <c r="CD234" s="14">
        <v>5</v>
      </c>
      <c r="CE234" s="14">
        <f>IFERROR(AVERAGE(Tabel1[[#This Row],[In - R1]:[In - R5]]),"")</f>
        <v>3.2</v>
      </c>
      <c r="CF234" s="14">
        <v>4</v>
      </c>
      <c r="CG234" s="14">
        <v>4</v>
      </c>
      <c r="CH234" s="14">
        <v>3</v>
      </c>
      <c r="CI234" s="14">
        <f>IFERROR(AVERAGE(Tabel1[[#This Row],[In - C1a]:[In - C1c]]),"")</f>
        <v>3.6666666666666665</v>
      </c>
      <c r="CJ234" s="14">
        <v>5</v>
      </c>
      <c r="CK234" s="14">
        <v>2</v>
      </c>
      <c r="CL234" s="14">
        <v>1</v>
      </c>
      <c r="CM234" s="14">
        <f>IFERROR(AVERAGE(Tabel1[[#This Row],[In - C1]:[In - C4]]),"")</f>
        <v>2.9166666666666665</v>
      </c>
      <c r="CN234" s="14">
        <v>3</v>
      </c>
      <c r="CO234" s="14">
        <v>3</v>
      </c>
      <c r="CP234" s="14">
        <v>2</v>
      </c>
      <c r="CQ234" s="14">
        <f>IFERROR(AVERAGE(Tabel1[[#This Row],[In - F1a]:[In - F1c]]),"")</f>
        <v>2.6666666666666665</v>
      </c>
      <c r="CR234" s="14">
        <v>2</v>
      </c>
      <c r="CS234" s="14">
        <v>1</v>
      </c>
      <c r="CT234" s="14">
        <f>IFERROR(AVERAGE(Tabel1[[#This Row],[In - F2a]:[In - F2b]]),"")</f>
        <v>1.5</v>
      </c>
      <c r="CU234" s="14">
        <v>1</v>
      </c>
      <c r="CV234" s="14">
        <f>IFERROR(AVERAGE(Tabel1[[#This Row],[In - F3a]:[In - F3a]]),"")</f>
        <v>1</v>
      </c>
      <c r="CW234" s="14" t="s">
        <v>189</v>
      </c>
      <c r="CX234" s="14">
        <f>IFERROR(AVERAGE(Tabel1[[#This Row],[In - F1]],Tabel1[[#This Row],[In - F2]],Tabel1[[#This Row],[In - F3]],Tabel1[[#This Row],[In - F4]]),"")</f>
        <v>1.7222222222222221</v>
      </c>
      <c r="CY234" s="14">
        <v>5</v>
      </c>
      <c r="CZ234" s="14">
        <v>5</v>
      </c>
      <c r="DA234" s="14">
        <v>2</v>
      </c>
      <c r="DB234" s="14">
        <f>IFERROR(AVERAGE(Tabel1[[#This Row],[In - V1a]:[In - V1c]]),"")</f>
        <v>4</v>
      </c>
      <c r="DC234" s="14" t="s">
        <v>189</v>
      </c>
      <c r="DD234" s="14">
        <v>3</v>
      </c>
      <c r="DE234" s="14">
        <v>1</v>
      </c>
      <c r="DF234" s="14">
        <f>IFERROR(AVERAGE(Tabel1[[#This Row],[In - V2a]:[In - V2c]]),"")</f>
        <v>2</v>
      </c>
      <c r="DG234" s="14">
        <v>1</v>
      </c>
      <c r="DH234" s="14">
        <v>5</v>
      </c>
      <c r="DI234" s="14">
        <f>IFERROR(AVERAGE(Tabel1[[#This Row],[In - V3a]:[In - V3b]]),"")</f>
        <v>3</v>
      </c>
      <c r="DJ234" s="14">
        <v>4</v>
      </c>
      <c r="DK234" s="14">
        <f>IFERROR(AVERAGE(Tabel1[[#This Row],[In - V1]],Tabel1[[#This Row],[In - V2]],Tabel1[[#This Row],[In - V3]],Tabel1[[#This Row],[In - V4]]),"")</f>
        <v>3.25</v>
      </c>
      <c r="DL234" s="14">
        <v>4</v>
      </c>
      <c r="DM234" s="14">
        <v>2</v>
      </c>
      <c r="DN234" s="14">
        <f>IFERROR(AVERAGE(Tabel1[[#This Row],[In - A1a]:[In - A1b]]),"")</f>
        <v>3</v>
      </c>
      <c r="DO234" s="14" t="s">
        <v>189</v>
      </c>
      <c r="DP234" s="14">
        <v>1</v>
      </c>
      <c r="DQ234" s="14">
        <f>IFERROR(AVERAGE(Tabel1[[#This Row],[In - A2a]:[In - A2b]]),"")</f>
        <v>1</v>
      </c>
      <c r="DR234" s="14">
        <v>3</v>
      </c>
      <c r="DS234" s="14">
        <v>1</v>
      </c>
      <c r="DT234" s="14">
        <f>IFERROR(AVERAGE(Tabel1[[#This Row],[In - A3a]:[In - A3a]]),"")</f>
        <v>3</v>
      </c>
      <c r="DU234" s="14" t="s">
        <v>189</v>
      </c>
      <c r="DV234" s="14">
        <f>IFERROR(AVERAGE(Tabel1[[#This Row],[In - A1]],Tabel1[[#This Row],[In - A2]],Tabel1[[#This Row],[In - A3]],Tabel1[[#This Row],[In - A4]]),"")</f>
        <v>2.3333333333333335</v>
      </c>
      <c r="DW234" s="14">
        <v>3</v>
      </c>
      <c r="DX234" s="14">
        <v>3</v>
      </c>
      <c r="DY234" s="14">
        <v>2</v>
      </c>
      <c r="DZ234" s="14">
        <f>IFERROR(AVERAGE(Tabel1[[#This Row],[Do - R1a]:[Do - R1c]]),"")</f>
        <v>2.6666666666666665</v>
      </c>
      <c r="EA234" s="14">
        <v>4</v>
      </c>
      <c r="EB234" s="14">
        <v>4</v>
      </c>
      <c r="EC234" s="14">
        <v>1</v>
      </c>
      <c r="ED234" s="14">
        <v>4</v>
      </c>
      <c r="EE234" s="14">
        <f>IFERROR(AVERAGE(Tabel1[[#This Row],[Do - R1]:[Do - R5]]),"")</f>
        <v>3.1333333333333333</v>
      </c>
      <c r="EF234" s="14">
        <v>3</v>
      </c>
      <c r="EG234" s="14">
        <v>4</v>
      </c>
      <c r="EH234" s="14">
        <v>4</v>
      </c>
      <c r="EI234" s="14">
        <f>IFERROR(AVERAGE(Tabel1[[#This Row],[Do - C1a]:[Do - C1c]]),"")</f>
        <v>3.6666666666666665</v>
      </c>
      <c r="EJ234" s="14">
        <v>4</v>
      </c>
      <c r="EK234" s="14">
        <v>2</v>
      </c>
      <c r="EL234" s="14">
        <v>3</v>
      </c>
      <c r="EM234" s="14">
        <f>IFERROR(AVERAGE(Tabel1[[#This Row],[Do - C1]:[Do - C4]]),"")</f>
        <v>3.1666666666666665</v>
      </c>
      <c r="EN234" s="14">
        <v>2</v>
      </c>
      <c r="EO234" s="14">
        <v>1</v>
      </c>
      <c r="EP234" s="14">
        <v>1</v>
      </c>
      <c r="EQ234" s="14">
        <f>IFERROR(AVERAGE(Tabel1[[#This Row],[Do - F1a]:[Do - F1c]]),"")</f>
        <v>1.3333333333333333</v>
      </c>
      <c r="ER234" s="14">
        <v>3</v>
      </c>
      <c r="ES234" s="14">
        <f>IFERROR(AVERAGE(Tabel1[[#This Row],[Do - F2a]:[Do - F2a]]),"")</f>
        <v>3</v>
      </c>
      <c r="ET234" s="14">
        <v>2</v>
      </c>
      <c r="EU234" s="14">
        <v>4</v>
      </c>
      <c r="EV234" s="14">
        <f>IFERROR(AVERAGE(Tabel1[[#This Row],[Do - F3a]:[Do - F3b]]),"")</f>
        <v>3</v>
      </c>
      <c r="EW234" s="14">
        <v>4</v>
      </c>
      <c r="EX234" s="14">
        <f>IFERROR(AVERAGE(Tabel1[[#This Row],[Do - F1]],Tabel1[[#This Row],[Do - F2]],Tabel1[[#This Row],[Do - F3]],Tabel1[[#This Row],[Do - F4]]),"")</f>
        <v>2.833333333333333</v>
      </c>
      <c r="EY234" s="14">
        <v>3</v>
      </c>
      <c r="EZ234" s="14">
        <v>2</v>
      </c>
      <c r="FA234" s="14">
        <v>2</v>
      </c>
      <c r="FB234" s="14">
        <f>IFERROR(AVERAGE(Tabel1[[#This Row],[Do - V1a]:[Do - V1c]]),"")</f>
        <v>2.3333333333333335</v>
      </c>
      <c r="FC234" s="14">
        <v>1</v>
      </c>
      <c r="FD234" s="14">
        <v>1</v>
      </c>
      <c r="FE234" s="14">
        <f>IFERROR(AVERAGE(Tabel1[[#This Row],[Do - V2a]:[Do - V2b]]),"")</f>
        <v>1</v>
      </c>
      <c r="FF234" s="14">
        <v>2</v>
      </c>
      <c r="FG234" s="14">
        <f>IFERROR(AVERAGE(Tabel1[[#This Row],[Do - V3a]:[Do - V3a]]),"")</f>
        <v>2</v>
      </c>
      <c r="FH234" s="14">
        <v>1</v>
      </c>
      <c r="FI234" s="14">
        <f>IFERROR(AVERAGE(Tabel1[[#This Row],[Do - V1]],Tabel1[[#This Row],[Do - V2]],Tabel1[[#This Row],[Do - V3]],Tabel1[[#This Row],[Do - V4]]),"")</f>
        <v>1.5833333333333335</v>
      </c>
      <c r="FJ234" s="14">
        <v>3</v>
      </c>
      <c r="FK234" s="14">
        <v>2</v>
      </c>
      <c r="FL234" s="14">
        <v>4</v>
      </c>
      <c r="FM234" s="14">
        <f>IFERROR(AVERAGE(Tabel1[[#This Row],[Do - A1a]:[Do - A1c]]),"")</f>
        <v>3</v>
      </c>
      <c r="FN234" s="14">
        <v>5</v>
      </c>
      <c r="FO234" s="14">
        <v>3</v>
      </c>
      <c r="FP234" s="14">
        <f>IFERROR(AVERAGE(Tabel1[[#This Row],[Do - A2a]:[Do - A2b]]),"")</f>
        <v>4</v>
      </c>
      <c r="FQ234" s="14">
        <v>3</v>
      </c>
      <c r="FR234" s="14">
        <f>IFERROR(AVERAGE(Tabel1[[#This Row],[Do - A3a]:[Do - A3a]]),"")</f>
        <v>3</v>
      </c>
      <c r="FS234" s="14">
        <v>3</v>
      </c>
      <c r="FT234" s="14">
        <f>IFERROR(AVERAGE(Tabel1[[#This Row],[Do - A1]],Tabel1[[#This Row],[Do - A2]],Tabel1[[#This Row],[Do - A3]],Tabel1[[#This Row],[Do - A4]]),"")</f>
        <v>3.25</v>
      </c>
      <c r="FU23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2.8187037037037039</v>
      </c>
      <c r="FV234" s="27" t="s">
        <v>1262</v>
      </c>
      <c r="FW234" t="b">
        <v>1</v>
      </c>
    </row>
    <row r="235" spans="1:179" x14ac:dyDescent="0.3">
      <c r="A235" s="13">
        <v>45392.587881944397</v>
      </c>
      <c r="B235" t="b">
        <v>0</v>
      </c>
      <c r="C235" s="14" t="s">
        <v>1263</v>
      </c>
      <c r="D235" s="14" t="s">
        <v>1264</v>
      </c>
      <c r="E235" s="14" t="s">
        <v>1265</v>
      </c>
      <c r="F235" s="14" t="s">
        <v>184</v>
      </c>
      <c r="G235" s="14" t="s">
        <v>1266</v>
      </c>
      <c r="H235" s="14" t="s">
        <v>222</v>
      </c>
      <c r="I235" s="14" t="s">
        <v>385</v>
      </c>
      <c r="J235" s="14"/>
      <c r="K235" s="28" t="s">
        <v>201</v>
      </c>
      <c r="L235" s="14" t="s">
        <v>218</v>
      </c>
      <c r="M235" s="14" t="s">
        <v>233</v>
      </c>
      <c r="N235" s="14" t="s">
        <v>316</v>
      </c>
      <c r="O235" s="14" t="s">
        <v>200</v>
      </c>
      <c r="P235" s="24" t="s">
        <v>304</v>
      </c>
      <c r="Q235" s="17" t="s">
        <v>201</v>
      </c>
      <c r="R235" s="25" t="s">
        <v>202</v>
      </c>
      <c r="S235" s="25" t="s">
        <v>187</v>
      </c>
      <c r="T235" s="14" t="s">
        <v>284</v>
      </c>
      <c r="U235" s="14" t="s">
        <v>349</v>
      </c>
      <c r="V235" s="14" t="s">
        <v>224</v>
      </c>
      <c r="W235" s="14" t="s">
        <v>207</v>
      </c>
      <c r="X235" s="14" t="s">
        <v>207</v>
      </c>
      <c r="Y235" s="14">
        <v>4</v>
      </c>
      <c r="Z235" s="14">
        <v>3</v>
      </c>
      <c r="AA235" s="14">
        <v>4</v>
      </c>
      <c r="AB235" s="15">
        <f>IFERROR(AVERAGE(Tabel1[[#This Row],[Up - R1a]:[Up - R1c]]),"")</f>
        <v>3.6666666666666665</v>
      </c>
      <c r="AC235" s="14">
        <v>2</v>
      </c>
      <c r="AD235" s="14">
        <v>4</v>
      </c>
      <c r="AE235" s="14">
        <v>3</v>
      </c>
      <c r="AF235" s="14">
        <v>3</v>
      </c>
      <c r="AG235" s="14">
        <f>IFERROR(AVERAGE(Tabel1[[#This Row],[Up - R1]:[Up - R5]]),"")</f>
        <v>3.1333333333333333</v>
      </c>
      <c r="AH235" s="14">
        <v>4</v>
      </c>
      <c r="AI235" s="14">
        <v>3</v>
      </c>
      <c r="AJ235" s="14">
        <v>4</v>
      </c>
      <c r="AK235" s="14">
        <f>IFERROR(AVERAGE(Tabel1[[#This Row],[Up - C1a]:[Up - C1c]]),"")</f>
        <v>3.6666666666666665</v>
      </c>
      <c r="AL235" s="14">
        <v>1</v>
      </c>
      <c r="AM235" s="14">
        <v>1</v>
      </c>
      <c r="AN235" s="14">
        <v>3</v>
      </c>
      <c r="AO235" s="14">
        <f>IFERROR(AVERAGE(Tabel1[[#This Row],[Up - C1]:[Up - C4]]),"")</f>
        <v>2.1666666666666665</v>
      </c>
      <c r="AP235" s="14">
        <v>4</v>
      </c>
      <c r="AQ235" s="14">
        <f>IFERROR(AVERAGE(Tabel1[[#This Row],[Up - F1a]:[Up - F1a]]),"")</f>
        <v>4</v>
      </c>
      <c r="AR235" s="14">
        <v>4</v>
      </c>
      <c r="AS235" s="14">
        <v>4</v>
      </c>
      <c r="AT235" s="14">
        <f>IFERROR(AVERAGE(Tabel1[[#This Row],[Up - F2a]:[Up - F2b]]),"")</f>
        <v>4</v>
      </c>
      <c r="AU235" s="14">
        <v>4</v>
      </c>
      <c r="AV235" s="14">
        <v>1</v>
      </c>
      <c r="AW235" s="14">
        <f>IFERROR(AVERAGE(Tabel1[[#This Row],[Up - F3a]:[Up - F3b]]),"")</f>
        <v>2.5</v>
      </c>
      <c r="AX235" s="14">
        <v>4</v>
      </c>
      <c r="AY235" s="14">
        <f>IFERROR(AVERAGE(Tabel1[[#This Row],[Up - F1]],Tabel1[[#This Row],[Up - F2]],Tabel1[[#This Row],[Up - F3]],Tabel1[[#This Row],[Up - F4]]),"")</f>
        <v>3.625</v>
      </c>
      <c r="AZ235" s="14">
        <v>3</v>
      </c>
      <c r="BA235" s="14">
        <v>4</v>
      </c>
      <c r="BB235" s="14">
        <f>IFERROR(AVERAGE(Tabel1[[#This Row],[Up - V1a]:[Up - V1b]]),"")</f>
        <v>3.5</v>
      </c>
      <c r="BC235" s="14">
        <v>4</v>
      </c>
      <c r="BD235" s="14">
        <v>2</v>
      </c>
      <c r="BE235" s="14" t="s">
        <v>189</v>
      </c>
      <c r="BF235" s="14">
        <f>IFERROR(AVERAGE(Tabel1[[#This Row],[Up - V2a]:[Up - V2c]]),"")</f>
        <v>3</v>
      </c>
      <c r="BG235" s="14">
        <v>1</v>
      </c>
      <c r="BH235" s="14">
        <v>1</v>
      </c>
      <c r="BI235" s="14">
        <f>IFERROR(AVERAGE(Tabel1[[#This Row],[Up - V3a]:[Up - V3b]]),"")</f>
        <v>1</v>
      </c>
      <c r="BJ235" s="14">
        <v>1</v>
      </c>
      <c r="BK235" s="14">
        <f>IFERROR(AVERAGE(Tabel1[[#This Row],[Up - V1]],Tabel1[[#This Row],[Up - V2]],Tabel1[[#This Row],[Up - V3]],Tabel1[[#This Row],[Up - V4]]),"")</f>
        <v>2.125</v>
      </c>
      <c r="BL235" s="14">
        <v>4</v>
      </c>
      <c r="BM235" s="14">
        <v>4</v>
      </c>
      <c r="BN235" s="14">
        <v>4</v>
      </c>
      <c r="BO235" s="14">
        <v>4</v>
      </c>
      <c r="BP235" s="14">
        <f>IFERROR(AVERAGE(Tabel1[[#This Row],[Up - A1a]:[Up - A1d]]),"")</f>
        <v>4</v>
      </c>
      <c r="BQ235" s="14">
        <v>4</v>
      </c>
      <c r="BR235" s="14">
        <v>4</v>
      </c>
      <c r="BS235" s="14">
        <f>IFERROR(AVERAGE(Tabel1[[#This Row],[Up - A2a]:[Up - A2b]]),"")</f>
        <v>4</v>
      </c>
      <c r="BT235" s="14">
        <v>4</v>
      </c>
      <c r="BU235" s="14">
        <f>IFERROR(AVERAGE(Tabel1[[#This Row],[Up - A3a]:[Up - A3a]]),"")</f>
        <v>4</v>
      </c>
      <c r="BV235" s="14">
        <v>3</v>
      </c>
      <c r="BW235" s="14">
        <f>IFERROR(AVERAGE(Tabel1[[#This Row],[Up - A1]],Tabel1[[#This Row],[Up - A2]],Tabel1[[#This Row],[Up - A3]]),"")</f>
        <v>4</v>
      </c>
      <c r="BX235" s="14">
        <v>3</v>
      </c>
      <c r="BY235" s="14">
        <v>2</v>
      </c>
      <c r="BZ235" s="14">
        <f>IFERROR(AVERAGE(Tabel1[[#This Row],[In - R1a]:[In - R1b]]),"")</f>
        <v>2.5</v>
      </c>
      <c r="CA235" s="14">
        <v>3</v>
      </c>
      <c r="CB235" s="14">
        <v>2</v>
      </c>
      <c r="CC235" s="14">
        <v>4</v>
      </c>
      <c r="CD235" s="14">
        <v>5</v>
      </c>
      <c r="CE235" s="14">
        <f>IFERROR(AVERAGE(Tabel1[[#This Row],[In - R1]:[In - R5]]),"")</f>
        <v>3.3</v>
      </c>
      <c r="CF235" s="14">
        <v>4</v>
      </c>
      <c r="CG235" s="14">
        <v>4</v>
      </c>
      <c r="CH235" s="14">
        <v>4</v>
      </c>
      <c r="CI235" s="14">
        <f>IFERROR(AVERAGE(Tabel1[[#This Row],[In - C1a]:[In - C1c]]),"")</f>
        <v>4</v>
      </c>
      <c r="CJ235" s="14">
        <v>2</v>
      </c>
      <c r="CK235" s="14">
        <v>2</v>
      </c>
      <c r="CL235" s="14">
        <v>3</v>
      </c>
      <c r="CM235" s="14">
        <f>IFERROR(AVERAGE(Tabel1[[#This Row],[In - C1]:[In - C4]]),"")</f>
        <v>2.75</v>
      </c>
      <c r="CN235" s="14">
        <v>4</v>
      </c>
      <c r="CO235" s="14">
        <v>2</v>
      </c>
      <c r="CP235" s="14">
        <v>1</v>
      </c>
      <c r="CQ235" s="14">
        <f>IFERROR(AVERAGE(Tabel1[[#This Row],[In - F1a]:[In - F1c]]),"")</f>
        <v>2.3333333333333335</v>
      </c>
      <c r="CR235" s="14">
        <v>4</v>
      </c>
      <c r="CS235" s="14" t="s">
        <v>189</v>
      </c>
      <c r="CT235" s="14">
        <f>IFERROR(AVERAGE(Tabel1[[#This Row],[In - F2a]:[In - F2b]]),"")</f>
        <v>4</v>
      </c>
      <c r="CU235" s="14" t="s">
        <v>189</v>
      </c>
      <c r="CV235" s="14" t="str">
        <f>IFERROR(AVERAGE(Tabel1[[#This Row],[In - F3a]:[In - F3a]]),"")</f>
        <v/>
      </c>
      <c r="CW235" s="14">
        <v>2</v>
      </c>
      <c r="CX235" s="14">
        <f>IFERROR(AVERAGE(Tabel1[[#This Row],[In - F1]],Tabel1[[#This Row],[In - F2]],Tabel1[[#This Row],[In - F3]],Tabel1[[#This Row],[In - F4]]),"")</f>
        <v>2.7777777777777781</v>
      </c>
      <c r="CY235" s="14">
        <v>4</v>
      </c>
      <c r="CZ235" s="14">
        <v>3</v>
      </c>
      <c r="DA235" s="14">
        <v>2</v>
      </c>
      <c r="DB235" s="14">
        <f>IFERROR(AVERAGE(Tabel1[[#This Row],[In - V1a]:[In - V1c]]),"")</f>
        <v>3</v>
      </c>
      <c r="DC235" s="14">
        <v>3</v>
      </c>
      <c r="DD235" s="14">
        <v>2</v>
      </c>
      <c r="DE235" s="14">
        <v>3</v>
      </c>
      <c r="DF235" s="14">
        <f>IFERROR(AVERAGE(Tabel1[[#This Row],[In - V2a]:[In - V2c]]),"")</f>
        <v>2.6666666666666665</v>
      </c>
      <c r="DG235" s="14">
        <v>1</v>
      </c>
      <c r="DH235" s="14">
        <v>3</v>
      </c>
      <c r="DI235" s="14">
        <f>IFERROR(AVERAGE(Tabel1[[#This Row],[In - V3a]:[In - V3b]]),"")</f>
        <v>2</v>
      </c>
      <c r="DJ235" s="14">
        <v>3</v>
      </c>
      <c r="DK235" s="14">
        <f>IFERROR(AVERAGE(Tabel1[[#This Row],[In - V1]],Tabel1[[#This Row],[In - V2]],Tabel1[[#This Row],[In - V3]],Tabel1[[#This Row],[In - V4]]),"")</f>
        <v>2.6666666666666665</v>
      </c>
      <c r="DL235" s="14">
        <v>4</v>
      </c>
      <c r="DM235" s="14">
        <v>4</v>
      </c>
      <c r="DN235" s="14">
        <f>IFERROR(AVERAGE(Tabel1[[#This Row],[In - A1a]:[In - A1b]]),"")</f>
        <v>4</v>
      </c>
      <c r="DO235" s="14">
        <v>4</v>
      </c>
      <c r="DP235" s="14">
        <v>4</v>
      </c>
      <c r="DQ235" s="14">
        <f>IFERROR(AVERAGE(Tabel1[[#This Row],[In - A2a]:[In - A2b]]),"")</f>
        <v>4</v>
      </c>
      <c r="DR235" s="14">
        <v>4</v>
      </c>
      <c r="DS235" s="14">
        <v>4</v>
      </c>
      <c r="DT235" s="14">
        <f>IFERROR(AVERAGE(Tabel1[[#This Row],[In - A3a]:[In - A3a]]),"")</f>
        <v>4</v>
      </c>
      <c r="DU235" s="14">
        <v>3</v>
      </c>
      <c r="DV235" s="14">
        <f>IFERROR(AVERAGE(Tabel1[[#This Row],[In - A1]],Tabel1[[#This Row],[In - A2]],Tabel1[[#This Row],[In - A3]],Tabel1[[#This Row],[In - A4]]),"")</f>
        <v>3.75</v>
      </c>
      <c r="DW235" s="14">
        <v>4</v>
      </c>
      <c r="DX235" s="14">
        <v>5</v>
      </c>
      <c r="DY235" s="14">
        <v>4</v>
      </c>
      <c r="DZ235" s="14">
        <f>IFERROR(AVERAGE(Tabel1[[#This Row],[Do - R1a]:[Do - R1c]]),"")</f>
        <v>4.333333333333333</v>
      </c>
      <c r="EA235" s="14">
        <v>3</v>
      </c>
      <c r="EB235" s="14">
        <v>4</v>
      </c>
      <c r="EC235" s="14">
        <v>3</v>
      </c>
      <c r="ED235" s="14">
        <v>3</v>
      </c>
      <c r="EE235" s="14">
        <f>IFERROR(AVERAGE(Tabel1[[#This Row],[Do - R1]:[Do - R5]]),"")</f>
        <v>3.4666666666666663</v>
      </c>
      <c r="EF235" s="14">
        <v>4</v>
      </c>
      <c r="EG235" s="14">
        <v>4</v>
      </c>
      <c r="EH235" s="14">
        <v>4</v>
      </c>
      <c r="EI235" s="14">
        <f>IFERROR(AVERAGE(Tabel1[[#This Row],[Do - C1a]:[Do - C1c]]),"")</f>
        <v>4</v>
      </c>
      <c r="EJ235" s="14">
        <v>1</v>
      </c>
      <c r="EK235" s="14">
        <v>1</v>
      </c>
      <c r="EL235" s="14">
        <v>3</v>
      </c>
      <c r="EM235" s="14">
        <f>IFERROR(AVERAGE(Tabel1[[#This Row],[Do - C1]:[Do - C4]]),"")</f>
        <v>2.25</v>
      </c>
      <c r="EN235" s="14">
        <v>2</v>
      </c>
      <c r="EO235" s="14">
        <v>3</v>
      </c>
      <c r="EP235" s="14">
        <v>3</v>
      </c>
      <c r="EQ235" s="14">
        <f>IFERROR(AVERAGE(Tabel1[[#This Row],[Do - F1a]:[Do - F1c]]),"")</f>
        <v>2.6666666666666665</v>
      </c>
      <c r="ER235" s="14">
        <v>3</v>
      </c>
      <c r="ES235" s="14">
        <f>IFERROR(AVERAGE(Tabel1[[#This Row],[Do - F2a]:[Do - F2a]]),"")</f>
        <v>3</v>
      </c>
      <c r="ET235" s="14" t="s">
        <v>189</v>
      </c>
      <c r="EU235" s="14">
        <v>3</v>
      </c>
      <c r="EV235" s="14">
        <f>IFERROR(AVERAGE(Tabel1[[#This Row],[Do - F3a]:[Do - F3b]]),"")</f>
        <v>3</v>
      </c>
      <c r="EW235" s="14">
        <v>3</v>
      </c>
      <c r="EX235" s="14">
        <f>IFERROR(AVERAGE(Tabel1[[#This Row],[Do - F1]],Tabel1[[#This Row],[Do - F2]],Tabel1[[#This Row],[Do - F3]],Tabel1[[#This Row],[Do - F4]]),"")</f>
        <v>2.9166666666666665</v>
      </c>
      <c r="EY235" s="14">
        <v>1</v>
      </c>
      <c r="EZ235" s="14">
        <v>3</v>
      </c>
      <c r="FA235" s="14">
        <v>4</v>
      </c>
      <c r="FB235" s="14">
        <f>IFERROR(AVERAGE(Tabel1[[#This Row],[Do - V1a]:[Do - V1c]]),"")</f>
        <v>2.6666666666666665</v>
      </c>
      <c r="FC235" s="14">
        <v>4</v>
      </c>
      <c r="FD235" s="14">
        <v>1</v>
      </c>
      <c r="FE235" s="14">
        <f>IFERROR(AVERAGE(Tabel1[[#This Row],[Do - V2a]:[Do - V2b]]),"")</f>
        <v>2.5</v>
      </c>
      <c r="FF235" s="14">
        <v>1</v>
      </c>
      <c r="FG235" s="14">
        <f>IFERROR(AVERAGE(Tabel1[[#This Row],[Do - V3a]:[Do - V3a]]),"")</f>
        <v>1</v>
      </c>
      <c r="FH235" s="14">
        <v>4</v>
      </c>
      <c r="FI235" s="14">
        <f>IFERROR(AVERAGE(Tabel1[[#This Row],[Do - V1]],Tabel1[[#This Row],[Do - V2]],Tabel1[[#This Row],[Do - V3]],Tabel1[[#This Row],[Do - V4]]),"")</f>
        <v>2.5416666666666665</v>
      </c>
      <c r="FJ235" s="14">
        <v>4</v>
      </c>
      <c r="FK235" s="14">
        <v>4</v>
      </c>
      <c r="FL235" s="14">
        <v>3</v>
      </c>
      <c r="FM235" s="14">
        <f>IFERROR(AVERAGE(Tabel1[[#This Row],[Do - A1a]:[Do - A1c]]),"")</f>
        <v>3.6666666666666665</v>
      </c>
      <c r="FN235" s="14">
        <v>2</v>
      </c>
      <c r="FO235" s="14">
        <v>4</v>
      </c>
      <c r="FP235" s="14">
        <f>IFERROR(AVERAGE(Tabel1[[#This Row],[Do - A2a]:[Do - A2b]]),"")</f>
        <v>3</v>
      </c>
      <c r="FQ235" s="14">
        <v>4</v>
      </c>
      <c r="FR235" s="14">
        <f>IFERROR(AVERAGE(Tabel1[[#This Row],[Do - A3a]:[Do - A3a]]),"")</f>
        <v>4</v>
      </c>
      <c r="FS235" s="14">
        <v>3</v>
      </c>
      <c r="FT235" s="14">
        <f>IFERROR(AVERAGE(Tabel1[[#This Row],[Do - A1]],Tabel1[[#This Row],[Do - A2]],Tabel1[[#This Row],[Do - A3]],Tabel1[[#This Row],[Do - A4]]),"")</f>
        <v>3.4166666666666665</v>
      </c>
      <c r="FU23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2.992407407407407</v>
      </c>
      <c r="FV235" s="27" t="s">
        <v>1267</v>
      </c>
      <c r="FW235" t="b">
        <v>1</v>
      </c>
    </row>
    <row r="236" spans="1:179" x14ac:dyDescent="0.3">
      <c r="A236" s="13">
        <v>45392.596655092602</v>
      </c>
      <c r="B236" t="b">
        <v>0</v>
      </c>
      <c r="C236" s="14" t="s">
        <v>1268</v>
      </c>
      <c r="D236" s="14" t="s">
        <v>1269</v>
      </c>
      <c r="E236" s="14" t="s">
        <v>1270</v>
      </c>
      <c r="F236" s="14" t="s">
        <v>184</v>
      </c>
      <c r="G236" s="14" t="s">
        <v>1271</v>
      </c>
      <c r="H236" s="14" t="s">
        <v>222</v>
      </c>
      <c r="I236" s="14" t="s">
        <v>195</v>
      </c>
      <c r="J236" s="14" t="s">
        <v>1272</v>
      </c>
      <c r="K236" s="28" t="s">
        <v>201</v>
      </c>
      <c r="L236" s="14" t="s">
        <v>249</v>
      </c>
      <c r="M236" s="14" t="s">
        <v>188</v>
      </c>
      <c r="N236" s="14" t="s">
        <v>262</v>
      </c>
      <c r="O236" s="14" t="s">
        <v>200</v>
      </c>
      <c r="P236" s="24" t="s">
        <v>304</v>
      </c>
      <c r="Q236" s="17" t="s">
        <v>203</v>
      </c>
      <c r="R236" s="25" t="s">
        <v>201</v>
      </c>
      <c r="S236" s="25" t="s">
        <v>203</v>
      </c>
      <c r="T236" s="14" t="s">
        <v>236</v>
      </c>
      <c r="U236" s="14" t="s">
        <v>349</v>
      </c>
      <c r="V236" s="14" t="s">
        <v>224</v>
      </c>
      <c r="W236" s="14" t="s">
        <v>395</v>
      </c>
      <c r="X236" s="14" t="s">
        <v>207</v>
      </c>
      <c r="Y236" s="14">
        <v>3</v>
      </c>
      <c r="Z236" s="14">
        <v>2</v>
      </c>
      <c r="AA236" s="14">
        <v>3</v>
      </c>
      <c r="AB236" s="15">
        <f>IFERROR(AVERAGE(Tabel1[[#This Row],[Up - R1a]:[Up - R1c]]),"")</f>
        <v>2.6666666666666665</v>
      </c>
      <c r="AC236" s="14">
        <v>2</v>
      </c>
      <c r="AD236" s="14">
        <v>3</v>
      </c>
      <c r="AE236" s="14">
        <v>3</v>
      </c>
      <c r="AF236" s="14" t="s">
        <v>189</v>
      </c>
      <c r="AG236" s="14">
        <f>IFERROR(AVERAGE(Tabel1[[#This Row],[Up - R1]:[Up - R5]]),"")</f>
        <v>2.6666666666666665</v>
      </c>
      <c r="AH236" s="14">
        <v>4</v>
      </c>
      <c r="AI236" s="14">
        <v>3</v>
      </c>
      <c r="AJ236" s="14">
        <v>3</v>
      </c>
      <c r="AK236" s="14">
        <f>IFERROR(AVERAGE(Tabel1[[#This Row],[Up - C1a]:[Up - C1c]]),"")</f>
        <v>3.3333333333333335</v>
      </c>
      <c r="AL236" s="14">
        <v>3</v>
      </c>
      <c r="AM236" s="14">
        <v>3</v>
      </c>
      <c r="AN236" s="14">
        <v>3</v>
      </c>
      <c r="AO236" s="14">
        <f>IFERROR(AVERAGE(Tabel1[[#This Row],[Up - C1]:[Up - C4]]),"")</f>
        <v>3.0833333333333335</v>
      </c>
      <c r="AP236" s="14">
        <v>3</v>
      </c>
      <c r="AQ236" s="14">
        <f>IFERROR(AVERAGE(Tabel1[[#This Row],[Up - F1a]:[Up - F1a]]),"")</f>
        <v>3</v>
      </c>
      <c r="AR236" s="14">
        <v>1</v>
      </c>
      <c r="AS236" s="14">
        <v>2</v>
      </c>
      <c r="AT236" s="14">
        <f>IFERROR(AVERAGE(Tabel1[[#This Row],[Up - F2a]:[Up - F2b]]),"")</f>
        <v>1.5</v>
      </c>
      <c r="AU236" s="14">
        <v>3</v>
      </c>
      <c r="AV236" s="14">
        <v>1</v>
      </c>
      <c r="AW236" s="14">
        <f>IFERROR(AVERAGE(Tabel1[[#This Row],[Up - F3a]:[Up - F3b]]),"")</f>
        <v>2</v>
      </c>
      <c r="AX236" s="14">
        <v>3</v>
      </c>
      <c r="AY236" s="14">
        <f>IFERROR(AVERAGE(Tabel1[[#This Row],[Up - F1]],Tabel1[[#This Row],[Up - F2]],Tabel1[[#This Row],[Up - F3]],Tabel1[[#This Row],[Up - F4]]),"")</f>
        <v>2.375</v>
      </c>
      <c r="AZ236" s="14">
        <v>3</v>
      </c>
      <c r="BA236" s="14">
        <v>3</v>
      </c>
      <c r="BB236" s="14">
        <f>IFERROR(AVERAGE(Tabel1[[#This Row],[Up - V1a]:[Up - V1b]]),"")</f>
        <v>3</v>
      </c>
      <c r="BC236" s="14">
        <v>3</v>
      </c>
      <c r="BD236" s="14" t="s">
        <v>189</v>
      </c>
      <c r="BE236" s="14">
        <v>3</v>
      </c>
      <c r="BF236" s="14">
        <f>IFERROR(AVERAGE(Tabel1[[#This Row],[Up - V2a]:[Up - V2c]]),"")</f>
        <v>3</v>
      </c>
      <c r="BG236" s="14" t="s">
        <v>189</v>
      </c>
      <c r="BH236" s="14">
        <v>3</v>
      </c>
      <c r="BI236" s="14">
        <f>IFERROR(AVERAGE(Tabel1[[#This Row],[Up - V3a]:[Up - V3b]]),"")</f>
        <v>3</v>
      </c>
      <c r="BJ236" s="14">
        <v>3</v>
      </c>
      <c r="BK236" s="14">
        <f>IFERROR(AVERAGE(Tabel1[[#This Row],[Up - V1]],Tabel1[[#This Row],[Up - V2]],Tabel1[[#This Row],[Up - V3]],Tabel1[[#This Row],[Up - V4]]),"")</f>
        <v>3</v>
      </c>
      <c r="BL236" s="14">
        <v>3</v>
      </c>
      <c r="BM236" s="14">
        <v>3</v>
      </c>
      <c r="BN236" s="14">
        <v>4</v>
      </c>
      <c r="BO236" s="14">
        <v>2</v>
      </c>
      <c r="BP236" s="14">
        <f>IFERROR(AVERAGE(Tabel1[[#This Row],[Up - A1a]:[Up - A1d]]),"")</f>
        <v>3</v>
      </c>
      <c r="BQ236" s="14">
        <v>2</v>
      </c>
      <c r="BR236" s="14">
        <v>3</v>
      </c>
      <c r="BS236" s="14">
        <f>IFERROR(AVERAGE(Tabel1[[#This Row],[Up - A2a]:[Up - A2b]]),"")</f>
        <v>2.5</v>
      </c>
      <c r="BT236" s="14">
        <v>3</v>
      </c>
      <c r="BU236" s="14">
        <f>IFERROR(AVERAGE(Tabel1[[#This Row],[Up - A3a]:[Up - A3a]]),"")</f>
        <v>3</v>
      </c>
      <c r="BV236" s="14">
        <v>3</v>
      </c>
      <c r="BW236" s="14">
        <f>IFERROR(AVERAGE(Tabel1[[#This Row],[Up - A1]],Tabel1[[#This Row],[Up - A2]],Tabel1[[#This Row],[Up - A3]]),"")</f>
        <v>2.8333333333333335</v>
      </c>
      <c r="BX236" s="14">
        <v>2</v>
      </c>
      <c r="BY236" s="14">
        <v>1</v>
      </c>
      <c r="BZ236" s="14">
        <f>IFERROR(AVERAGE(Tabel1[[#This Row],[In - R1a]:[In - R1b]]),"")</f>
        <v>1.5</v>
      </c>
      <c r="CA236" s="14">
        <v>2</v>
      </c>
      <c r="CB236" s="14">
        <v>3</v>
      </c>
      <c r="CC236" s="14">
        <v>3</v>
      </c>
      <c r="CD236" s="14">
        <v>4</v>
      </c>
      <c r="CE236" s="14">
        <f>IFERROR(AVERAGE(Tabel1[[#This Row],[In - R1]:[In - R5]]),"")</f>
        <v>2.7</v>
      </c>
      <c r="CF236" s="14">
        <v>4</v>
      </c>
      <c r="CG236" s="14">
        <v>2</v>
      </c>
      <c r="CH236" s="14">
        <v>4</v>
      </c>
      <c r="CI236" s="14">
        <f>IFERROR(AVERAGE(Tabel1[[#This Row],[In - C1a]:[In - C1c]]),"")</f>
        <v>3.3333333333333335</v>
      </c>
      <c r="CJ236" s="14">
        <v>2</v>
      </c>
      <c r="CK236" s="14">
        <v>5</v>
      </c>
      <c r="CL236" s="14">
        <v>3</v>
      </c>
      <c r="CM236" s="14">
        <f>IFERROR(AVERAGE(Tabel1[[#This Row],[In - C1]:[In - C4]]),"")</f>
        <v>3.3333333333333335</v>
      </c>
      <c r="CN236" s="14">
        <v>3</v>
      </c>
      <c r="CO236" s="14">
        <v>3</v>
      </c>
      <c r="CP236" s="14">
        <v>1</v>
      </c>
      <c r="CQ236" s="14">
        <f>IFERROR(AVERAGE(Tabel1[[#This Row],[In - F1a]:[In - F1c]]),"")</f>
        <v>2.3333333333333335</v>
      </c>
      <c r="CR236" s="14">
        <v>3</v>
      </c>
      <c r="CS236" s="14">
        <v>2</v>
      </c>
      <c r="CT236" s="14">
        <f>IFERROR(AVERAGE(Tabel1[[#This Row],[In - F2a]:[In - F2b]]),"")</f>
        <v>2.5</v>
      </c>
      <c r="CU236" s="14">
        <v>2</v>
      </c>
      <c r="CV236" s="14">
        <f>IFERROR(AVERAGE(Tabel1[[#This Row],[In - F3a]:[In - F3a]]),"")</f>
        <v>2</v>
      </c>
      <c r="CW236" s="14" t="s">
        <v>189</v>
      </c>
      <c r="CX236" s="14">
        <f>IFERROR(AVERAGE(Tabel1[[#This Row],[In - F1]],Tabel1[[#This Row],[In - F2]],Tabel1[[#This Row],[In - F3]],Tabel1[[#This Row],[In - F4]]),"")</f>
        <v>2.2777777777777781</v>
      </c>
      <c r="CY236" s="14">
        <v>2</v>
      </c>
      <c r="CZ236" s="14">
        <v>3</v>
      </c>
      <c r="DA236" s="14">
        <v>3</v>
      </c>
      <c r="DB236" s="14">
        <f>IFERROR(AVERAGE(Tabel1[[#This Row],[In - V1a]:[In - V1c]]),"")</f>
        <v>2.6666666666666665</v>
      </c>
      <c r="DC236" s="14">
        <v>3</v>
      </c>
      <c r="DD236" s="14">
        <v>3</v>
      </c>
      <c r="DE236" s="14">
        <v>2</v>
      </c>
      <c r="DF236" s="14">
        <f>IFERROR(AVERAGE(Tabel1[[#This Row],[In - V2a]:[In - V2c]]),"")</f>
        <v>2.6666666666666665</v>
      </c>
      <c r="DG236" s="14" t="s">
        <v>189</v>
      </c>
      <c r="DH236" s="14">
        <v>2</v>
      </c>
      <c r="DI236" s="14">
        <f>IFERROR(AVERAGE(Tabel1[[#This Row],[In - V3a]:[In - V3b]]),"")</f>
        <v>2</v>
      </c>
      <c r="DJ236" s="14">
        <v>2</v>
      </c>
      <c r="DK236" s="14">
        <f>IFERROR(AVERAGE(Tabel1[[#This Row],[In - V1]],Tabel1[[#This Row],[In - V2]],Tabel1[[#This Row],[In - V3]],Tabel1[[#This Row],[In - V4]]),"")</f>
        <v>2.333333333333333</v>
      </c>
      <c r="DL236" s="14">
        <v>3</v>
      </c>
      <c r="DM236" s="14">
        <v>3</v>
      </c>
      <c r="DN236" s="14">
        <f>IFERROR(AVERAGE(Tabel1[[#This Row],[In - A1a]:[In - A1b]]),"")</f>
        <v>3</v>
      </c>
      <c r="DO236" s="14">
        <v>3</v>
      </c>
      <c r="DP236" s="14">
        <v>2</v>
      </c>
      <c r="DQ236" s="14">
        <f>IFERROR(AVERAGE(Tabel1[[#This Row],[In - A2a]:[In - A2b]]),"")</f>
        <v>2.5</v>
      </c>
      <c r="DR236" s="14">
        <v>4</v>
      </c>
      <c r="DS236" s="14">
        <v>4</v>
      </c>
      <c r="DT236" s="14">
        <f>IFERROR(AVERAGE(Tabel1[[#This Row],[In - A3a]:[In - A3a]]),"")</f>
        <v>4</v>
      </c>
      <c r="DU236" s="14">
        <v>4</v>
      </c>
      <c r="DV236" s="14">
        <f>IFERROR(AVERAGE(Tabel1[[#This Row],[In - A1]],Tabel1[[#This Row],[In - A2]],Tabel1[[#This Row],[In - A3]],Tabel1[[#This Row],[In - A4]]),"")</f>
        <v>3.375</v>
      </c>
      <c r="DW236" s="14">
        <v>2</v>
      </c>
      <c r="DX236" s="14">
        <v>4</v>
      </c>
      <c r="DY236" s="14">
        <v>3</v>
      </c>
      <c r="DZ236" s="14">
        <f>IFERROR(AVERAGE(Tabel1[[#This Row],[Do - R1a]:[Do - R1c]]),"")</f>
        <v>3</v>
      </c>
      <c r="EA236" s="14">
        <v>2</v>
      </c>
      <c r="EB236" s="14">
        <v>4</v>
      </c>
      <c r="EC236" s="14">
        <v>2</v>
      </c>
      <c r="ED236" s="14" t="s">
        <v>189</v>
      </c>
      <c r="EE236" s="14">
        <f>IFERROR(AVERAGE(Tabel1[[#This Row],[Do - R1]:[Do - R5]]),"")</f>
        <v>2.75</v>
      </c>
      <c r="EF236" s="14">
        <v>5</v>
      </c>
      <c r="EG236" s="14">
        <v>4</v>
      </c>
      <c r="EH236" s="14">
        <v>4</v>
      </c>
      <c r="EI236" s="14">
        <f>IFERROR(AVERAGE(Tabel1[[#This Row],[Do - C1a]:[Do - C1c]]),"")</f>
        <v>4.333333333333333</v>
      </c>
      <c r="EJ236" s="14">
        <v>4</v>
      </c>
      <c r="EK236" s="14">
        <v>3</v>
      </c>
      <c r="EL236" s="14">
        <v>3</v>
      </c>
      <c r="EM236" s="14">
        <f>IFERROR(AVERAGE(Tabel1[[#This Row],[Do - C1]:[Do - C4]]),"")</f>
        <v>3.583333333333333</v>
      </c>
      <c r="EN236" s="14">
        <v>4</v>
      </c>
      <c r="EO236" s="14">
        <v>2</v>
      </c>
      <c r="EP236" s="14">
        <v>3</v>
      </c>
      <c r="EQ236" s="14">
        <f>IFERROR(AVERAGE(Tabel1[[#This Row],[Do - F1a]:[Do - F1c]]),"")</f>
        <v>3</v>
      </c>
      <c r="ER236" s="14">
        <v>1</v>
      </c>
      <c r="ES236" s="14">
        <f>IFERROR(AVERAGE(Tabel1[[#This Row],[Do - F2a]:[Do - F2a]]),"")</f>
        <v>1</v>
      </c>
      <c r="ET236" s="14">
        <v>4</v>
      </c>
      <c r="EU236" s="14">
        <v>4</v>
      </c>
      <c r="EV236" s="14">
        <f>IFERROR(AVERAGE(Tabel1[[#This Row],[Do - F3a]:[Do - F3b]]),"")</f>
        <v>4</v>
      </c>
      <c r="EW236" s="14">
        <v>3</v>
      </c>
      <c r="EX236" s="14">
        <f>IFERROR(AVERAGE(Tabel1[[#This Row],[Do - F1]],Tabel1[[#This Row],[Do - F2]],Tabel1[[#This Row],[Do - F3]],Tabel1[[#This Row],[Do - F4]]),"")</f>
        <v>2.75</v>
      </c>
      <c r="EY236" s="14">
        <v>2</v>
      </c>
      <c r="EZ236" s="14">
        <v>1</v>
      </c>
      <c r="FA236" s="14">
        <v>2</v>
      </c>
      <c r="FB236" s="14">
        <f>IFERROR(AVERAGE(Tabel1[[#This Row],[Do - V1a]:[Do - V1c]]),"")</f>
        <v>1.6666666666666667</v>
      </c>
      <c r="FC236" s="14">
        <v>4</v>
      </c>
      <c r="FD236" s="14">
        <v>4</v>
      </c>
      <c r="FE236" s="14">
        <f>IFERROR(AVERAGE(Tabel1[[#This Row],[Do - V2a]:[Do - V2b]]),"")</f>
        <v>4</v>
      </c>
      <c r="FF236" s="14">
        <v>4</v>
      </c>
      <c r="FG236" s="14">
        <f>IFERROR(AVERAGE(Tabel1[[#This Row],[Do - V3a]:[Do - V3a]]),"")</f>
        <v>4</v>
      </c>
      <c r="FH236" s="14">
        <v>3</v>
      </c>
      <c r="FI236" s="14">
        <f>IFERROR(AVERAGE(Tabel1[[#This Row],[Do - V1]],Tabel1[[#This Row],[Do - V2]],Tabel1[[#This Row],[Do - V3]],Tabel1[[#This Row],[Do - V4]]),"")</f>
        <v>3.166666666666667</v>
      </c>
      <c r="FJ236" s="14">
        <v>4</v>
      </c>
      <c r="FK236" s="14">
        <v>2</v>
      </c>
      <c r="FL236" s="14">
        <v>2</v>
      </c>
      <c r="FM236" s="14">
        <f>IFERROR(AVERAGE(Tabel1[[#This Row],[Do - A1a]:[Do - A1c]]),"")</f>
        <v>2.6666666666666665</v>
      </c>
      <c r="FN236" s="14">
        <v>3</v>
      </c>
      <c r="FO236" s="14">
        <v>3</v>
      </c>
      <c r="FP236" s="14">
        <f>IFERROR(AVERAGE(Tabel1[[#This Row],[Do - A2a]:[Do - A2b]]),"")</f>
        <v>3</v>
      </c>
      <c r="FQ236" s="14">
        <v>4</v>
      </c>
      <c r="FR236" s="14">
        <f>IFERROR(AVERAGE(Tabel1[[#This Row],[Do - A3a]:[Do - A3a]]),"")</f>
        <v>4</v>
      </c>
      <c r="FS236" s="14">
        <v>4</v>
      </c>
      <c r="FT236" s="14">
        <f>IFERROR(AVERAGE(Tabel1[[#This Row],[Do - A1]],Tabel1[[#This Row],[Do - A2]],Tabel1[[#This Row],[Do - A3]],Tabel1[[#This Row],[Do - A4]]),"")</f>
        <v>3.4166666666666665</v>
      </c>
      <c r="FU23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2.9096296296296291</v>
      </c>
      <c r="FV236" s="27" t="s">
        <v>1273</v>
      </c>
      <c r="FW236" t="b">
        <v>1</v>
      </c>
    </row>
    <row r="237" spans="1:179" x14ac:dyDescent="0.3">
      <c r="A237" s="13">
        <v>45393.412187499998</v>
      </c>
      <c r="B237" t="b">
        <v>0</v>
      </c>
      <c r="C237" s="14" t="s">
        <v>1274</v>
      </c>
      <c r="D237" s="14" t="s">
        <v>252</v>
      </c>
      <c r="E237" s="14" t="s">
        <v>1275</v>
      </c>
      <c r="F237" s="14" t="s">
        <v>184</v>
      </c>
      <c r="G237" s="14" t="s">
        <v>1276</v>
      </c>
      <c r="H237" s="14" t="s">
        <v>222</v>
      </c>
      <c r="I237" s="14" t="s">
        <v>385</v>
      </c>
      <c r="J237" s="14"/>
      <c r="K237" s="28" t="s">
        <v>701</v>
      </c>
      <c r="L237" s="14" t="s">
        <v>385</v>
      </c>
      <c r="M237" s="14" t="s">
        <v>198</v>
      </c>
      <c r="N237" s="14" t="s">
        <v>331</v>
      </c>
      <c r="O237" s="14" t="s">
        <v>200</v>
      </c>
      <c r="P237" s="25" t="s">
        <v>203</v>
      </c>
      <c r="Q237" s="17" t="s">
        <v>255</v>
      </c>
      <c r="R237" s="25" t="s">
        <v>201</v>
      </c>
      <c r="S237" s="25" t="s">
        <v>203</v>
      </c>
      <c r="T237" s="14" t="s">
        <v>284</v>
      </c>
      <c r="U237" s="14" t="s">
        <v>285</v>
      </c>
      <c r="V237" s="14" t="s">
        <v>610</v>
      </c>
      <c r="W237" s="14" t="s">
        <v>305</v>
      </c>
      <c r="X237" s="14" t="s">
        <v>305</v>
      </c>
      <c r="Y237" s="14">
        <v>5</v>
      </c>
      <c r="Z237" s="14">
        <v>5</v>
      </c>
      <c r="AA237" s="14">
        <v>5</v>
      </c>
      <c r="AB237" s="15">
        <f>IFERROR(AVERAGE(Tabel1[[#This Row],[Up - R1a]:[Up - R1c]]),"")</f>
        <v>5</v>
      </c>
      <c r="AC237" s="14">
        <v>5</v>
      </c>
      <c r="AD237" s="14">
        <v>5</v>
      </c>
      <c r="AE237" s="14">
        <v>4</v>
      </c>
      <c r="AF237" s="14" t="s">
        <v>189</v>
      </c>
      <c r="AG237" s="14">
        <f>IFERROR(AVERAGE(Tabel1[[#This Row],[Up - R1]:[Up - R5]]),"")</f>
        <v>4.75</v>
      </c>
      <c r="AH237" s="14">
        <v>5</v>
      </c>
      <c r="AI237" s="14">
        <v>5</v>
      </c>
      <c r="AJ237" s="14">
        <v>4</v>
      </c>
      <c r="AK237" s="14">
        <f>IFERROR(AVERAGE(Tabel1[[#This Row],[Up - C1a]:[Up - C1c]]),"")</f>
        <v>4.666666666666667</v>
      </c>
      <c r="AL237" s="14" t="s">
        <v>189</v>
      </c>
      <c r="AM237" s="14" t="s">
        <v>189</v>
      </c>
      <c r="AN237" s="14">
        <v>3</v>
      </c>
      <c r="AO237" s="14">
        <f>IFERROR(AVERAGE(Tabel1[[#This Row],[Up - C1]:[Up - C4]]),"")</f>
        <v>3.8333333333333335</v>
      </c>
      <c r="AP237" s="14" t="s">
        <v>189</v>
      </c>
      <c r="AQ237" s="14" t="str">
        <f>IFERROR(AVERAGE(Tabel1[[#This Row],[Up - F1a]:[Up - F1a]]),"")</f>
        <v/>
      </c>
      <c r="AR237" s="14">
        <v>2</v>
      </c>
      <c r="AS237" s="14">
        <v>5</v>
      </c>
      <c r="AT237" s="14">
        <f>IFERROR(AVERAGE(Tabel1[[#This Row],[Up - F2a]:[Up - F2b]]),"")</f>
        <v>3.5</v>
      </c>
      <c r="AU237" s="14">
        <v>1</v>
      </c>
      <c r="AV237" s="14">
        <v>5</v>
      </c>
      <c r="AW237" s="14">
        <f>IFERROR(AVERAGE(Tabel1[[#This Row],[Up - F3a]:[Up - F3b]]),"")</f>
        <v>3</v>
      </c>
      <c r="AX237" s="14">
        <v>4</v>
      </c>
      <c r="AY237" s="14">
        <f>IFERROR(AVERAGE(Tabel1[[#This Row],[Up - F1]],Tabel1[[#This Row],[Up - F2]],Tabel1[[#This Row],[Up - F3]],Tabel1[[#This Row],[Up - F4]]),"")</f>
        <v>3.5</v>
      </c>
      <c r="AZ237" s="14">
        <v>1</v>
      </c>
      <c r="BA237" s="14">
        <v>1</v>
      </c>
      <c r="BB237" s="14">
        <f>IFERROR(AVERAGE(Tabel1[[#This Row],[Up - V1a]:[Up - V1b]]),"")</f>
        <v>1</v>
      </c>
      <c r="BC237" s="14">
        <v>5</v>
      </c>
      <c r="BD237" s="14">
        <v>5</v>
      </c>
      <c r="BE237" s="14">
        <v>3</v>
      </c>
      <c r="BF237" s="14">
        <f>IFERROR(AVERAGE(Tabel1[[#This Row],[Up - V2a]:[Up - V2c]]),"")</f>
        <v>4.333333333333333</v>
      </c>
      <c r="BG237" s="14" t="s">
        <v>189</v>
      </c>
      <c r="BH237" s="14" t="s">
        <v>189</v>
      </c>
      <c r="BI237" s="14" t="str">
        <f>IFERROR(AVERAGE(Tabel1[[#This Row],[Up - V3a]:[Up - V3b]]),"")</f>
        <v/>
      </c>
      <c r="BJ237" s="14">
        <v>1</v>
      </c>
      <c r="BK237" s="14">
        <f>IFERROR(AVERAGE(Tabel1[[#This Row],[Up - V1]],Tabel1[[#This Row],[Up - V2]],Tabel1[[#This Row],[Up - V3]],Tabel1[[#This Row],[Up - V4]]),"")</f>
        <v>2.1111111111111112</v>
      </c>
      <c r="BL237" s="14">
        <v>5</v>
      </c>
      <c r="BM237" s="14">
        <v>5</v>
      </c>
      <c r="BN237" s="14">
        <v>5</v>
      </c>
      <c r="BO237" s="14" t="s">
        <v>189</v>
      </c>
      <c r="BP237" s="14">
        <f>IFERROR(AVERAGE(Tabel1[[#This Row],[Up - A1a]:[Up - A1d]]),"")</f>
        <v>5</v>
      </c>
      <c r="BQ237" s="14" t="s">
        <v>189</v>
      </c>
      <c r="BR237" s="14" t="s">
        <v>189</v>
      </c>
      <c r="BS237" s="14" t="str">
        <f>IFERROR(AVERAGE(Tabel1[[#This Row],[Up - A2a]:[Up - A2b]]),"")</f>
        <v/>
      </c>
      <c r="BT237" s="14">
        <v>5</v>
      </c>
      <c r="BU237" s="14">
        <f>IFERROR(AVERAGE(Tabel1[[#This Row],[Up - A3a]:[Up - A3a]]),"")</f>
        <v>5</v>
      </c>
      <c r="BV237" s="14" t="s">
        <v>189</v>
      </c>
      <c r="BW237" s="14">
        <f>IFERROR(AVERAGE(Tabel1[[#This Row],[Up - A1]],Tabel1[[#This Row],[Up - A2]],Tabel1[[#This Row],[Up - A3]]),"")</f>
        <v>5</v>
      </c>
      <c r="BX237" s="14" t="s">
        <v>189</v>
      </c>
      <c r="BY237" s="14" t="s">
        <v>189</v>
      </c>
      <c r="BZ237" s="14" t="str">
        <f>IFERROR(AVERAGE(Tabel1[[#This Row],[In - R1a]:[In - R1b]]),"")</f>
        <v/>
      </c>
      <c r="CA237" s="14">
        <v>4</v>
      </c>
      <c r="CB237" s="14" t="s">
        <v>189</v>
      </c>
      <c r="CC237" s="14">
        <v>4</v>
      </c>
      <c r="CD237" s="14">
        <v>5</v>
      </c>
      <c r="CE237" s="14">
        <f>IFERROR(AVERAGE(Tabel1[[#This Row],[In - R1]:[In - R5]]),"")</f>
        <v>4.333333333333333</v>
      </c>
      <c r="CF237" s="14" t="s">
        <v>189</v>
      </c>
      <c r="CG237" s="14">
        <v>4</v>
      </c>
      <c r="CH237" s="14">
        <v>5</v>
      </c>
      <c r="CI237" s="14">
        <f>IFERROR(AVERAGE(Tabel1[[#This Row],[In - C1a]:[In - C1c]]),"")</f>
        <v>4.5</v>
      </c>
      <c r="CJ237" s="14" t="s">
        <v>189</v>
      </c>
      <c r="CK237" s="14" t="s">
        <v>189</v>
      </c>
      <c r="CL237" s="14">
        <v>3</v>
      </c>
      <c r="CM237" s="14">
        <f>IFERROR(AVERAGE(Tabel1[[#This Row],[In - C1]:[In - C4]]),"")</f>
        <v>3.75</v>
      </c>
      <c r="CN237" s="14" t="s">
        <v>189</v>
      </c>
      <c r="CO237" s="14">
        <v>5</v>
      </c>
      <c r="CP237" s="14" t="s">
        <v>189</v>
      </c>
      <c r="CQ237" s="14">
        <f>IFERROR(AVERAGE(Tabel1[[#This Row],[In - F1a]:[In - F1c]]),"")</f>
        <v>5</v>
      </c>
      <c r="CR237" s="14" t="s">
        <v>189</v>
      </c>
      <c r="CS237" s="14">
        <v>1</v>
      </c>
      <c r="CT237" s="14">
        <f>IFERROR(AVERAGE(Tabel1[[#This Row],[In - F2a]:[In - F2b]]),"")</f>
        <v>1</v>
      </c>
      <c r="CU237" s="14">
        <v>1</v>
      </c>
      <c r="CV237" s="14">
        <f>IFERROR(AVERAGE(Tabel1[[#This Row],[In - F3a]:[In - F3a]]),"")</f>
        <v>1</v>
      </c>
      <c r="CW237" s="14" t="s">
        <v>189</v>
      </c>
      <c r="CX237" s="14">
        <f>IFERROR(AVERAGE(Tabel1[[#This Row],[In - F1]],Tabel1[[#This Row],[In - F2]],Tabel1[[#This Row],[In - F3]],Tabel1[[#This Row],[In - F4]]),"")</f>
        <v>2.3333333333333335</v>
      </c>
      <c r="CY237" s="14">
        <v>5</v>
      </c>
      <c r="CZ237" s="14">
        <v>2</v>
      </c>
      <c r="DA237" s="14">
        <v>3</v>
      </c>
      <c r="DB237" s="14">
        <f>IFERROR(AVERAGE(Tabel1[[#This Row],[In - V1a]:[In - V1c]]),"")</f>
        <v>3.3333333333333335</v>
      </c>
      <c r="DC237" s="14">
        <v>1</v>
      </c>
      <c r="DD237" s="14">
        <v>1</v>
      </c>
      <c r="DE237" s="14">
        <v>1</v>
      </c>
      <c r="DF237" s="14">
        <f>IFERROR(AVERAGE(Tabel1[[#This Row],[In - V2a]:[In - V2c]]),"")</f>
        <v>1</v>
      </c>
      <c r="DG237" s="14">
        <v>1</v>
      </c>
      <c r="DH237" s="14">
        <v>3</v>
      </c>
      <c r="DI237" s="14">
        <f>IFERROR(AVERAGE(Tabel1[[#This Row],[In - V3a]:[In - V3b]]),"")</f>
        <v>2</v>
      </c>
      <c r="DJ237" s="14">
        <v>1</v>
      </c>
      <c r="DK237" s="14">
        <f>IFERROR(AVERAGE(Tabel1[[#This Row],[In - V1]],Tabel1[[#This Row],[In - V2]],Tabel1[[#This Row],[In - V3]],Tabel1[[#This Row],[In - V4]]),"")</f>
        <v>1.8333333333333335</v>
      </c>
      <c r="DL237" s="14">
        <v>5</v>
      </c>
      <c r="DM237" s="14">
        <v>3</v>
      </c>
      <c r="DN237" s="14">
        <f>IFERROR(AVERAGE(Tabel1[[#This Row],[In - A1a]:[In - A1b]]),"")</f>
        <v>4</v>
      </c>
      <c r="DO237" s="14" t="s">
        <v>189</v>
      </c>
      <c r="DP237" s="14">
        <v>1</v>
      </c>
      <c r="DQ237" s="14">
        <f>IFERROR(AVERAGE(Tabel1[[#This Row],[In - A2a]:[In - A2b]]),"")</f>
        <v>1</v>
      </c>
      <c r="DR237" s="14">
        <v>1</v>
      </c>
      <c r="DS237" s="14">
        <v>5</v>
      </c>
      <c r="DT237" s="14">
        <f>IFERROR(AVERAGE(Tabel1[[#This Row],[In - A3a]:[In - A3a]]),"")</f>
        <v>1</v>
      </c>
      <c r="DU237" s="14">
        <v>4</v>
      </c>
      <c r="DV237" s="14">
        <f>IFERROR(AVERAGE(Tabel1[[#This Row],[In - A1]],Tabel1[[#This Row],[In - A2]],Tabel1[[#This Row],[In - A3]],Tabel1[[#This Row],[In - A4]]),"")</f>
        <v>2.5</v>
      </c>
      <c r="DW237" s="14">
        <v>4</v>
      </c>
      <c r="DX237" s="14">
        <v>5</v>
      </c>
      <c r="DY237" s="14">
        <v>3</v>
      </c>
      <c r="DZ237" s="14">
        <f>IFERROR(AVERAGE(Tabel1[[#This Row],[Do - R1a]:[Do - R1c]]),"")</f>
        <v>4</v>
      </c>
      <c r="EA237" s="14">
        <v>1</v>
      </c>
      <c r="EB237" s="14">
        <v>3</v>
      </c>
      <c r="EC237" s="14" t="s">
        <v>189</v>
      </c>
      <c r="ED237" s="14" t="s">
        <v>189</v>
      </c>
      <c r="EE237" s="14">
        <f>IFERROR(AVERAGE(Tabel1[[#This Row],[Do - R1]:[Do - R5]]),"")</f>
        <v>2.6666666666666665</v>
      </c>
      <c r="EF237" s="14">
        <v>5</v>
      </c>
      <c r="EG237" s="14">
        <v>5</v>
      </c>
      <c r="EH237" s="14">
        <v>4</v>
      </c>
      <c r="EI237" s="14">
        <f>IFERROR(AVERAGE(Tabel1[[#This Row],[Do - C1a]:[Do - C1c]]),"")</f>
        <v>4.666666666666667</v>
      </c>
      <c r="EJ237" s="14" t="s">
        <v>189</v>
      </c>
      <c r="EK237" s="14" t="s">
        <v>189</v>
      </c>
      <c r="EL237" s="14" t="s">
        <v>189</v>
      </c>
      <c r="EM237" s="14">
        <f>IFERROR(AVERAGE(Tabel1[[#This Row],[Do - C1]:[Do - C4]]),"")</f>
        <v>4.666666666666667</v>
      </c>
      <c r="EN237" s="14" t="s">
        <v>189</v>
      </c>
      <c r="EO237" s="14" t="s">
        <v>189</v>
      </c>
      <c r="EP237" s="14" t="s">
        <v>189</v>
      </c>
      <c r="EQ237" s="14" t="str">
        <f>IFERROR(AVERAGE(Tabel1[[#This Row],[Do - F1a]:[Do - F1c]]),"")</f>
        <v/>
      </c>
      <c r="ER237" s="14">
        <v>5</v>
      </c>
      <c r="ES237" s="14">
        <f>IFERROR(AVERAGE(Tabel1[[#This Row],[Do - F2a]:[Do - F2a]]),"")</f>
        <v>5</v>
      </c>
      <c r="ET237" s="14" t="s">
        <v>189</v>
      </c>
      <c r="EU237" s="14" t="s">
        <v>189</v>
      </c>
      <c r="EV237" s="14" t="str">
        <f>IFERROR(AVERAGE(Tabel1[[#This Row],[Do - F3a]:[Do - F3b]]),"")</f>
        <v/>
      </c>
      <c r="EW237" s="14">
        <v>1</v>
      </c>
      <c r="EX237" s="14">
        <f>IFERROR(AVERAGE(Tabel1[[#This Row],[Do - F1]],Tabel1[[#This Row],[Do - F2]],Tabel1[[#This Row],[Do - F3]],Tabel1[[#This Row],[Do - F4]]),"")</f>
        <v>3</v>
      </c>
      <c r="EY237" s="14">
        <v>1</v>
      </c>
      <c r="EZ237" s="14">
        <v>1</v>
      </c>
      <c r="FA237" s="14">
        <v>3</v>
      </c>
      <c r="FB237" s="14">
        <f>IFERROR(AVERAGE(Tabel1[[#This Row],[Do - V1a]:[Do - V1c]]),"")</f>
        <v>1.6666666666666667</v>
      </c>
      <c r="FC237" s="14">
        <v>5</v>
      </c>
      <c r="FD237" s="14">
        <v>5</v>
      </c>
      <c r="FE237" s="14">
        <f>IFERROR(AVERAGE(Tabel1[[#This Row],[Do - V2a]:[Do - V2b]]),"")</f>
        <v>5</v>
      </c>
      <c r="FF237" s="14">
        <v>5</v>
      </c>
      <c r="FG237" s="14">
        <f>IFERROR(AVERAGE(Tabel1[[#This Row],[Do - V3a]:[Do - V3a]]),"")</f>
        <v>5</v>
      </c>
      <c r="FH237" s="14">
        <v>1</v>
      </c>
      <c r="FI237" s="14">
        <f>IFERROR(AVERAGE(Tabel1[[#This Row],[Do - V1]],Tabel1[[#This Row],[Do - V2]],Tabel1[[#This Row],[Do - V3]],Tabel1[[#This Row],[Do - V4]]),"")</f>
        <v>3.166666666666667</v>
      </c>
      <c r="FJ237" s="14">
        <v>5</v>
      </c>
      <c r="FK237" s="14">
        <v>5</v>
      </c>
      <c r="FL237" s="14">
        <v>5</v>
      </c>
      <c r="FM237" s="14">
        <f>IFERROR(AVERAGE(Tabel1[[#This Row],[Do - A1a]:[Do - A1c]]),"")</f>
        <v>5</v>
      </c>
      <c r="FN237" s="14">
        <v>5</v>
      </c>
      <c r="FO237" s="14">
        <v>3</v>
      </c>
      <c r="FP237" s="14">
        <f>IFERROR(AVERAGE(Tabel1[[#This Row],[Do - A2a]:[Do - A2b]]),"")</f>
        <v>4</v>
      </c>
      <c r="FQ237" s="14">
        <v>5</v>
      </c>
      <c r="FR237" s="14">
        <f>IFERROR(AVERAGE(Tabel1[[#This Row],[Do - A3a]:[Do - A3a]]),"")</f>
        <v>5</v>
      </c>
      <c r="FS237" s="14">
        <v>5</v>
      </c>
      <c r="FT237" s="14">
        <f>IFERROR(AVERAGE(Tabel1[[#This Row],[Do - A1]],Tabel1[[#This Row],[Do - A2]],Tabel1[[#This Row],[Do - A3]],Tabel1[[#This Row],[Do - A4]]),"")</f>
        <v>4.75</v>
      </c>
      <c r="FU23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3.479629629629629</v>
      </c>
      <c r="FV237" s="27" t="s">
        <v>1277</v>
      </c>
      <c r="FW237" t="b">
        <v>1</v>
      </c>
    </row>
    <row r="238" spans="1:179" x14ac:dyDescent="0.3">
      <c r="A238" s="13">
        <v>45393.492511574099</v>
      </c>
      <c r="B238" t="b">
        <v>0</v>
      </c>
      <c r="C238" s="14" t="s">
        <v>1278</v>
      </c>
      <c r="D238" s="14" t="s">
        <v>1279</v>
      </c>
      <c r="E238" s="14" t="s">
        <v>1280</v>
      </c>
      <c r="F238" s="14" t="s">
        <v>184</v>
      </c>
      <c r="G238" s="14" t="s">
        <v>1281</v>
      </c>
      <c r="H238" s="14" t="s">
        <v>222</v>
      </c>
      <c r="I238" s="14" t="s">
        <v>572</v>
      </c>
      <c r="J238" s="14" t="s">
        <v>573</v>
      </c>
      <c r="K238" s="28" t="s">
        <v>235</v>
      </c>
      <c r="L238" s="14" t="s">
        <v>218</v>
      </c>
      <c r="M238" s="14" t="s">
        <v>233</v>
      </c>
      <c r="N238" s="14" t="s">
        <v>316</v>
      </c>
      <c r="O238" s="14" t="s">
        <v>200</v>
      </c>
      <c r="P238" s="24" t="s">
        <v>255</v>
      </c>
      <c r="Q238" s="17" t="s">
        <v>255</v>
      </c>
      <c r="R238" s="25" t="s">
        <v>235</v>
      </c>
      <c r="S238" s="25" t="s">
        <v>202</v>
      </c>
      <c r="T238" s="14" t="s">
        <v>204</v>
      </c>
      <c r="U238" s="14" t="s">
        <v>285</v>
      </c>
      <c r="V238" s="14" t="s">
        <v>359</v>
      </c>
      <c r="W238" s="14" t="s">
        <v>207</v>
      </c>
      <c r="X238" s="14" t="s">
        <v>207</v>
      </c>
      <c r="Y238" s="14">
        <v>4</v>
      </c>
      <c r="Z238" s="14">
        <v>3</v>
      </c>
      <c r="AA238" s="14" t="s">
        <v>189</v>
      </c>
      <c r="AB238" s="15">
        <f>IFERROR(AVERAGE(Tabel1[[#This Row],[Up - R1a]:[Up - R1c]]),"")</f>
        <v>3.5</v>
      </c>
      <c r="AC238" s="14" t="s">
        <v>189</v>
      </c>
      <c r="AD238" s="14">
        <v>4</v>
      </c>
      <c r="AE238" s="14" t="s">
        <v>189</v>
      </c>
      <c r="AF238" s="14" t="s">
        <v>189</v>
      </c>
      <c r="AG238" s="14">
        <f>IFERROR(AVERAGE(Tabel1[[#This Row],[Up - R1]:[Up - R5]]),"")</f>
        <v>3.75</v>
      </c>
      <c r="AH238" s="14">
        <v>3</v>
      </c>
      <c r="AI238" s="14" t="s">
        <v>189</v>
      </c>
      <c r="AJ238" s="14">
        <v>4</v>
      </c>
      <c r="AK238" s="14">
        <f>IFERROR(AVERAGE(Tabel1[[#This Row],[Up - C1a]:[Up - C1c]]),"")</f>
        <v>3.5</v>
      </c>
      <c r="AL238" s="14">
        <v>3</v>
      </c>
      <c r="AM238" s="14">
        <v>3</v>
      </c>
      <c r="AN238" s="14" t="s">
        <v>189</v>
      </c>
      <c r="AO238" s="14">
        <f>IFERROR(AVERAGE(Tabel1[[#This Row],[Up - C1]:[Up - C4]]),"")</f>
        <v>3.1666666666666665</v>
      </c>
      <c r="AP238" s="14" t="s">
        <v>189</v>
      </c>
      <c r="AQ238" s="14" t="str">
        <f>IFERROR(AVERAGE(Tabel1[[#This Row],[Up - F1a]:[Up - F1a]]),"")</f>
        <v/>
      </c>
      <c r="AR238" s="14">
        <v>1</v>
      </c>
      <c r="AS238" s="14">
        <v>4</v>
      </c>
      <c r="AT238" s="14">
        <f>IFERROR(AVERAGE(Tabel1[[#This Row],[Up - F2a]:[Up - F2b]]),"")</f>
        <v>2.5</v>
      </c>
      <c r="AU238" s="14">
        <v>3</v>
      </c>
      <c r="AV238" s="14">
        <v>2</v>
      </c>
      <c r="AW238" s="14">
        <f>IFERROR(AVERAGE(Tabel1[[#This Row],[Up - F3a]:[Up - F3b]]),"")</f>
        <v>2.5</v>
      </c>
      <c r="AX238" s="14" t="s">
        <v>189</v>
      </c>
      <c r="AY238" s="14">
        <f>IFERROR(AVERAGE(Tabel1[[#This Row],[Up - F1]],Tabel1[[#This Row],[Up - F2]],Tabel1[[#This Row],[Up - F3]],Tabel1[[#This Row],[Up - F4]]),"")</f>
        <v>2.5</v>
      </c>
      <c r="AZ238" s="14" t="s">
        <v>189</v>
      </c>
      <c r="BA238" s="14">
        <v>4</v>
      </c>
      <c r="BB238" s="14">
        <f>IFERROR(AVERAGE(Tabel1[[#This Row],[Up - V1a]:[Up - V1b]]),"")</f>
        <v>4</v>
      </c>
      <c r="BC238" s="14" t="s">
        <v>189</v>
      </c>
      <c r="BD238" s="14">
        <v>4</v>
      </c>
      <c r="BE238" s="14">
        <v>4</v>
      </c>
      <c r="BF238" s="14">
        <f>IFERROR(AVERAGE(Tabel1[[#This Row],[Up - V2a]:[Up - V2c]]),"")</f>
        <v>4</v>
      </c>
      <c r="BG238" s="14" t="s">
        <v>189</v>
      </c>
      <c r="BH238" s="14">
        <v>5</v>
      </c>
      <c r="BI238" s="14">
        <f>IFERROR(AVERAGE(Tabel1[[#This Row],[Up - V3a]:[Up - V3b]]),"")</f>
        <v>5</v>
      </c>
      <c r="BJ238" s="14" t="s">
        <v>189</v>
      </c>
      <c r="BK238" s="14">
        <f>IFERROR(AVERAGE(Tabel1[[#This Row],[Up - V1]],Tabel1[[#This Row],[Up - V2]],Tabel1[[#This Row],[Up - V3]],Tabel1[[#This Row],[Up - V4]]),"")</f>
        <v>4.333333333333333</v>
      </c>
      <c r="BL238" s="14">
        <v>4</v>
      </c>
      <c r="BM238" s="14">
        <v>4</v>
      </c>
      <c r="BN238" s="14">
        <v>2</v>
      </c>
      <c r="BO238" s="14" t="s">
        <v>189</v>
      </c>
      <c r="BP238" s="14">
        <f>IFERROR(AVERAGE(Tabel1[[#This Row],[Up - A1a]:[Up - A1d]]),"")</f>
        <v>3.3333333333333335</v>
      </c>
      <c r="BQ238" s="14" t="s">
        <v>189</v>
      </c>
      <c r="BR238" s="14">
        <v>4</v>
      </c>
      <c r="BS238" s="14">
        <f>IFERROR(AVERAGE(Tabel1[[#This Row],[Up - A2a]:[Up - A2b]]),"")</f>
        <v>4</v>
      </c>
      <c r="BT238" s="14">
        <v>4</v>
      </c>
      <c r="BU238" s="14">
        <f>IFERROR(AVERAGE(Tabel1[[#This Row],[Up - A3a]:[Up - A3a]]),"")</f>
        <v>4</v>
      </c>
      <c r="BV238" s="14" t="s">
        <v>189</v>
      </c>
      <c r="BW238" s="14">
        <f>IFERROR(AVERAGE(Tabel1[[#This Row],[Up - A1]],Tabel1[[#This Row],[Up - A2]],Tabel1[[#This Row],[Up - A3]]),"")</f>
        <v>3.7777777777777781</v>
      </c>
      <c r="BX238" s="14">
        <v>3</v>
      </c>
      <c r="BY238" s="14">
        <v>4</v>
      </c>
      <c r="BZ238" s="14">
        <f>IFERROR(AVERAGE(Tabel1[[#This Row],[In - R1a]:[In - R1b]]),"")</f>
        <v>3.5</v>
      </c>
      <c r="CA238" s="14">
        <v>5</v>
      </c>
      <c r="CB238" s="14">
        <v>5</v>
      </c>
      <c r="CC238" s="14">
        <v>3</v>
      </c>
      <c r="CD238" s="14" t="s">
        <v>189</v>
      </c>
      <c r="CE238" s="14">
        <f>IFERROR(AVERAGE(Tabel1[[#This Row],[In - R1]:[In - R5]]),"")</f>
        <v>4.125</v>
      </c>
      <c r="CF238" s="14">
        <v>3</v>
      </c>
      <c r="CG238" s="14">
        <v>4</v>
      </c>
      <c r="CH238" s="14">
        <v>4</v>
      </c>
      <c r="CI238" s="14">
        <f>IFERROR(AVERAGE(Tabel1[[#This Row],[In - C1a]:[In - C1c]]),"")</f>
        <v>3.6666666666666665</v>
      </c>
      <c r="CJ238" s="14">
        <v>3</v>
      </c>
      <c r="CK238" s="14">
        <v>4</v>
      </c>
      <c r="CL238" s="14" t="s">
        <v>189</v>
      </c>
      <c r="CM238" s="14">
        <f>IFERROR(AVERAGE(Tabel1[[#This Row],[In - C1]:[In - C4]]),"")</f>
        <v>3.5555555555555554</v>
      </c>
      <c r="CN238" s="14">
        <v>4</v>
      </c>
      <c r="CO238" s="14">
        <v>4</v>
      </c>
      <c r="CP238" s="14">
        <v>2</v>
      </c>
      <c r="CQ238" s="14">
        <f>IFERROR(AVERAGE(Tabel1[[#This Row],[In - F1a]:[In - F1c]]),"")</f>
        <v>3.3333333333333335</v>
      </c>
      <c r="CR238" s="14">
        <v>4</v>
      </c>
      <c r="CS238" s="14">
        <v>1</v>
      </c>
      <c r="CT238" s="14">
        <f>IFERROR(AVERAGE(Tabel1[[#This Row],[In - F2a]:[In - F2b]]),"")</f>
        <v>2.5</v>
      </c>
      <c r="CU238" s="14">
        <v>1</v>
      </c>
      <c r="CV238" s="14">
        <f>IFERROR(AVERAGE(Tabel1[[#This Row],[In - F3a]:[In - F3a]]),"")</f>
        <v>1</v>
      </c>
      <c r="CW238" s="14" t="s">
        <v>189</v>
      </c>
      <c r="CX238" s="14">
        <f>IFERROR(AVERAGE(Tabel1[[#This Row],[In - F1]],Tabel1[[#This Row],[In - F2]],Tabel1[[#This Row],[In - F3]],Tabel1[[#This Row],[In - F4]]),"")</f>
        <v>2.2777777777777781</v>
      </c>
      <c r="CY238" s="14">
        <v>4</v>
      </c>
      <c r="CZ238" s="14">
        <v>4</v>
      </c>
      <c r="DA238" s="14">
        <v>4</v>
      </c>
      <c r="DB238" s="14">
        <f>IFERROR(AVERAGE(Tabel1[[#This Row],[In - V1a]:[In - V1c]]),"")</f>
        <v>4</v>
      </c>
      <c r="DC238" s="14">
        <v>3</v>
      </c>
      <c r="DD238" s="14">
        <v>4</v>
      </c>
      <c r="DE238" s="14">
        <v>4</v>
      </c>
      <c r="DF238" s="14">
        <f>IFERROR(AVERAGE(Tabel1[[#This Row],[In - V2a]:[In - V2c]]),"")</f>
        <v>3.6666666666666665</v>
      </c>
      <c r="DG238" s="14">
        <v>3</v>
      </c>
      <c r="DH238" s="14">
        <v>3</v>
      </c>
      <c r="DI238" s="14">
        <f>IFERROR(AVERAGE(Tabel1[[#This Row],[In - V3a]:[In - V3b]]),"")</f>
        <v>3</v>
      </c>
      <c r="DJ238" s="14" t="s">
        <v>189</v>
      </c>
      <c r="DK238" s="14">
        <f>IFERROR(AVERAGE(Tabel1[[#This Row],[In - V1]],Tabel1[[#This Row],[In - V2]],Tabel1[[#This Row],[In - V3]],Tabel1[[#This Row],[In - V4]]),"")</f>
        <v>3.5555555555555554</v>
      </c>
      <c r="DL238" s="14">
        <v>4</v>
      </c>
      <c r="DM238" s="14">
        <v>4</v>
      </c>
      <c r="DN238" s="14">
        <f>IFERROR(AVERAGE(Tabel1[[#This Row],[In - A1a]:[In - A1b]]),"")</f>
        <v>4</v>
      </c>
      <c r="DO238" s="14">
        <v>4</v>
      </c>
      <c r="DP238" s="14">
        <v>3</v>
      </c>
      <c r="DQ238" s="14">
        <f>IFERROR(AVERAGE(Tabel1[[#This Row],[In - A2a]:[In - A2b]]),"")</f>
        <v>3.5</v>
      </c>
      <c r="DR238" s="14">
        <v>4</v>
      </c>
      <c r="DS238" s="14">
        <v>4</v>
      </c>
      <c r="DT238" s="14">
        <f>IFERROR(AVERAGE(Tabel1[[#This Row],[In - A3a]:[In - A3a]]),"")</f>
        <v>4</v>
      </c>
      <c r="DU238" s="14">
        <v>2</v>
      </c>
      <c r="DV238" s="14">
        <f>IFERROR(AVERAGE(Tabel1[[#This Row],[In - A1]],Tabel1[[#This Row],[In - A2]],Tabel1[[#This Row],[In - A3]],Tabel1[[#This Row],[In - A4]]),"")</f>
        <v>3.375</v>
      </c>
      <c r="DW238" s="14">
        <v>2</v>
      </c>
      <c r="DX238" s="14">
        <v>5</v>
      </c>
      <c r="DY238" s="14">
        <v>2</v>
      </c>
      <c r="DZ238" s="14">
        <f>IFERROR(AVERAGE(Tabel1[[#This Row],[Do - R1a]:[Do - R1c]]),"")</f>
        <v>3</v>
      </c>
      <c r="EA238" s="14">
        <v>3</v>
      </c>
      <c r="EB238" s="14">
        <v>4</v>
      </c>
      <c r="EC238" s="14" t="s">
        <v>189</v>
      </c>
      <c r="ED238" s="14" t="s">
        <v>189</v>
      </c>
      <c r="EE238" s="14">
        <f>IFERROR(AVERAGE(Tabel1[[#This Row],[Do - R1]:[Do - R5]]),"")</f>
        <v>3.3333333333333335</v>
      </c>
      <c r="EF238" s="14">
        <v>3</v>
      </c>
      <c r="EG238" s="14">
        <v>4</v>
      </c>
      <c r="EH238" s="14">
        <v>4</v>
      </c>
      <c r="EI238" s="14">
        <f>IFERROR(AVERAGE(Tabel1[[#This Row],[Do - C1a]:[Do - C1c]]),"")</f>
        <v>3.6666666666666665</v>
      </c>
      <c r="EJ238" s="14">
        <v>3</v>
      </c>
      <c r="EK238" s="14">
        <v>3</v>
      </c>
      <c r="EL238" s="14" t="s">
        <v>189</v>
      </c>
      <c r="EM238" s="14">
        <f>IFERROR(AVERAGE(Tabel1[[#This Row],[Do - C1]:[Do - C4]]),"")</f>
        <v>3.2222222222222219</v>
      </c>
      <c r="EN238" s="14">
        <v>2</v>
      </c>
      <c r="EO238" s="14">
        <v>2</v>
      </c>
      <c r="EP238" s="14" t="s">
        <v>189</v>
      </c>
      <c r="EQ238" s="14">
        <f>IFERROR(AVERAGE(Tabel1[[#This Row],[Do - F1a]:[Do - F1c]]),"")</f>
        <v>2</v>
      </c>
      <c r="ER238" s="14">
        <v>2</v>
      </c>
      <c r="ES238" s="14">
        <f>IFERROR(AVERAGE(Tabel1[[#This Row],[Do - F2a]:[Do - F2a]]),"")</f>
        <v>2</v>
      </c>
      <c r="ET238" s="14">
        <v>4</v>
      </c>
      <c r="EU238" s="14">
        <v>1</v>
      </c>
      <c r="EV238" s="14">
        <f>IFERROR(AVERAGE(Tabel1[[#This Row],[Do - F3a]:[Do - F3b]]),"")</f>
        <v>2.5</v>
      </c>
      <c r="EW238" s="14" t="s">
        <v>189</v>
      </c>
      <c r="EX238" s="14">
        <f>IFERROR(AVERAGE(Tabel1[[#This Row],[Do - F1]],Tabel1[[#This Row],[Do - F2]],Tabel1[[#This Row],[Do - F3]],Tabel1[[#This Row],[Do - F4]]),"")</f>
        <v>2.1666666666666665</v>
      </c>
      <c r="EY238" s="14">
        <v>4</v>
      </c>
      <c r="EZ238" s="14">
        <v>3</v>
      </c>
      <c r="FA238" s="14">
        <v>4</v>
      </c>
      <c r="FB238" s="14">
        <f>IFERROR(AVERAGE(Tabel1[[#This Row],[Do - V1a]:[Do - V1c]]),"")</f>
        <v>3.6666666666666665</v>
      </c>
      <c r="FC238" s="14">
        <v>4</v>
      </c>
      <c r="FD238" s="14">
        <v>4</v>
      </c>
      <c r="FE238" s="14">
        <f>IFERROR(AVERAGE(Tabel1[[#This Row],[Do - V2a]:[Do - V2b]]),"")</f>
        <v>4</v>
      </c>
      <c r="FF238" s="14">
        <v>4</v>
      </c>
      <c r="FG238" s="14">
        <f>IFERROR(AVERAGE(Tabel1[[#This Row],[Do - V3a]:[Do - V3a]]),"")</f>
        <v>4</v>
      </c>
      <c r="FH238" s="14" t="s">
        <v>189</v>
      </c>
      <c r="FI238" s="14">
        <f>IFERROR(AVERAGE(Tabel1[[#This Row],[Do - V1]],Tabel1[[#This Row],[Do - V2]],Tabel1[[#This Row],[Do - V3]],Tabel1[[#This Row],[Do - V4]]),"")</f>
        <v>3.8888888888888888</v>
      </c>
      <c r="FJ238" s="14">
        <v>5</v>
      </c>
      <c r="FK238" s="14">
        <v>4</v>
      </c>
      <c r="FL238" s="14">
        <v>5</v>
      </c>
      <c r="FM238" s="14">
        <f>IFERROR(AVERAGE(Tabel1[[#This Row],[Do - A1a]:[Do - A1c]]),"")</f>
        <v>4.666666666666667</v>
      </c>
      <c r="FN238" s="14">
        <v>4</v>
      </c>
      <c r="FO238" s="14">
        <v>4</v>
      </c>
      <c r="FP238" s="14">
        <f>IFERROR(AVERAGE(Tabel1[[#This Row],[Do - A2a]:[Do - A2b]]),"")</f>
        <v>4</v>
      </c>
      <c r="FQ238" s="14">
        <v>4</v>
      </c>
      <c r="FR238" s="14">
        <f>IFERROR(AVERAGE(Tabel1[[#This Row],[Do - A3a]:[Do - A3a]]),"")</f>
        <v>4</v>
      </c>
      <c r="FS238" s="14">
        <v>5</v>
      </c>
      <c r="FT238" s="14">
        <f>IFERROR(AVERAGE(Tabel1[[#This Row],[Do - A1]],Tabel1[[#This Row],[Do - A2]],Tabel1[[#This Row],[Do - A3]],Tabel1[[#This Row],[Do - A4]]),"")</f>
        <v>4.416666666666667</v>
      </c>
      <c r="FU23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3.4296296296296296</v>
      </c>
      <c r="FV238" s="27" t="s">
        <v>1282</v>
      </c>
      <c r="FW238" t="b">
        <v>1</v>
      </c>
    </row>
    <row r="239" spans="1:179" x14ac:dyDescent="0.3">
      <c r="A239" s="13">
        <v>45393.617222222201</v>
      </c>
      <c r="B239" t="b">
        <v>0</v>
      </c>
      <c r="C239" s="14" t="s">
        <v>1283</v>
      </c>
      <c r="D239" s="14" t="s">
        <v>1284</v>
      </c>
      <c r="E239" s="14" t="s">
        <v>1285</v>
      </c>
      <c r="F239" s="14" t="s">
        <v>184</v>
      </c>
      <c r="G239" s="14" t="s">
        <v>1286</v>
      </c>
      <c r="H239" s="14" t="s">
        <v>222</v>
      </c>
      <c r="I239" s="14" t="s">
        <v>195</v>
      </c>
      <c r="J239" s="14" t="s">
        <v>212</v>
      </c>
      <c r="K239" s="28" t="s">
        <v>201</v>
      </c>
      <c r="L239" s="14" t="s">
        <v>218</v>
      </c>
      <c r="M239" s="14" t="s">
        <v>188</v>
      </c>
      <c r="N239" s="14" t="s">
        <v>262</v>
      </c>
      <c r="O239" s="14" t="s">
        <v>200</v>
      </c>
      <c r="P239" s="24" t="s">
        <v>255</v>
      </c>
      <c r="Q239" s="17" t="s">
        <v>203</v>
      </c>
      <c r="R239" s="25" t="s">
        <v>201</v>
      </c>
      <c r="S239" s="25" t="s">
        <v>235</v>
      </c>
      <c r="T239" s="14" t="s">
        <v>380</v>
      </c>
      <c r="U239" s="14" t="s">
        <v>285</v>
      </c>
      <c r="V239" s="14" t="s">
        <v>359</v>
      </c>
      <c r="W239" s="14" t="s">
        <v>395</v>
      </c>
      <c r="X239" s="14" t="s">
        <v>395</v>
      </c>
      <c r="Y239" s="14">
        <v>4</v>
      </c>
      <c r="Z239" s="14">
        <v>4</v>
      </c>
      <c r="AA239" s="14">
        <v>4</v>
      </c>
      <c r="AB239" s="15">
        <f>IFERROR(AVERAGE(Tabel1[[#This Row],[Up - R1a]:[Up - R1c]]),"")</f>
        <v>4</v>
      </c>
      <c r="AC239" s="14">
        <v>2</v>
      </c>
      <c r="AD239" s="14">
        <v>3</v>
      </c>
      <c r="AE239" s="14">
        <v>2</v>
      </c>
      <c r="AF239" s="14">
        <v>4</v>
      </c>
      <c r="AG239" s="14">
        <f>IFERROR(AVERAGE(Tabel1[[#This Row],[Up - R1]:[Up - R5]]),"")</f>
        <v>3</v>
      </c>
      <c r="AH239" s="14">
        <v>4</v>
      </c>
      <c r="AI239" s="14">
        <v>3</v>
      </c>
      <c r="AJ239" s="14">
        <v>4</v>
      </c>
      <c r="AK239" s="14">
        <f>IFERROR(AVERAGE(Tabel1[[#This Row],[Up - C1a]:[Up - C1c]]),"")</f>
        <v>3.6666666666666665</v>
      </c>
      <c r="AL239" s="14">
        <v>2</v>
      </c>
      <c r="AM239" s="14">
        <v>1</v>
      </c>
      <c r="AN239" s="14">
        <v>4</v>
      </c>
      <c r="AO239" s="14">
        <f>IFERROR(AVERAGE(Tabel1[[#This Row],[Up - C1]:[Up - C4]]),"")</f>
        <v>2.6666666666666665</v>
      </c>
      <c r="AP239" s="14">
        <v>4</v>
      </c>
      <c r="AQ239" s="14">
        <f>IFERROR(AVERAGE(Tabel1[[#This Row],[Up - F1a]:[Up - F1a]]),"")</f>
        <v>4</v>
      </c>
      <c r="AR239" s="14">
        <v>2</v>
      </c>
      <c r="AS239" s="14">
        <v>4</v>
      </c>
      <c r="AT239" s="14">
        <f>IFERROR(AVERAGE(Tabel1[[#This Row],[Up - F2a]:[Up - F2b]]),"")</f>
        <v>3</v>
      </c>
      <c r="AU239" s="14">
        <v>4</v>
      </c>
      <c r="AV239" s="14">
        <v>2</v>
      </c>
      <c r="AW239" s="14">
        <f>IFERROR(AVERAGE(Tabel1[[#This Row],[Up - F3a]:[Up - F3b]]),"")</f>
        <v>3</v>
      </c>
      <c r="AX239" s="14">
        <v>2</v>
      </c>
      <c r="AY239" s="14">
        <f>IFERROR(AVERAGE(Tabel1[[#This Row],[Up - F1]],Tabel1[[#This Row],[Up - F2]],Tabel1[[#This Row],[Up - F3]],Tabel1[[#This Row],[Up - F4]]),"")</f>
        <v>3</v>
      </c>
      <c r="AZ239" s="14">
        <v>1</v>
      </c>
      <c r="BA239" s="14">
        <v>4</v>
      </c>
      <c r="BB239" s="14">
        <f>IFERROR(AVERAGE(Tabel1[[#This Row],[Up - V1a]:[Up - V1b]]),"")</f>
        <v>2.5</v>
      </c>
      <c r="BC239" s="14">
        <v>1</v>
      </c>
      <c r="BD239" s="14">
        <v>2</v>
      </c>
      <c r="BE239" s="14">
        <v>4</v>
      </c>
      <c r="BF239" s="14">
        <f>IFERROR(AVERAGE(Tabel1[[#This Row],[Up - V2a]:[Up - V2c]]),"")</f>
        <v>2.3333333333333335</v>
      </c>
      <c r="BG239" s="14">
        <v>1</v>
      </c>
      <c r="BH239" s="14">
        <v>2</v>
      </c>
      <c r="BI239" s="14">
        <f>IFERROR(AVERAGE(Tabel1[[#This Row],[Up - V3a]:[Up - V3b]]),"")</f>
        <v>1.5</v>
      </c>
      <c r="BJ239" s="14">
        <v>2</v>
      </c>
      <c r="BK239" s="14">
        <f>IFERROR(AVERAGE(Tabel1[[#This Row],[Up - V1]],Tabel1[[#This Row],[Up - V2]],Tabel1[[#This Row],[Up - V3]],Tabel1[[#This Row],[Up - V4]]),"")</f>
        <v>2.0833333333333335</v>
      </c>
      <c r="BL239" s="14">
        <v>4</v>
      </c>
      <c r="BM239" s="14">
        <v>3</v>
      </c>
      <c r="BN239" s="14">
        <v>4</v>
      </c>
      <c r="BO239" s="14">
        <v>4</v>
      </c>
      <c r="BP239" s="14">
        <f>IFERROR(AVERAGE(Tabel1[[#This Row],[Up - A1a]:[Up - A1d]]),"")</f>
        <v>3.75</v>
      </c>
      <c r="BQ239" s="14">
        <v>3</v>
      </c>
      <c r="BR239" s="14">
        <v>2</v>
      </c>
      <c r="BS239" s="14">
        <f>IFERROR(AVERAGE(Tabel1[[#This Row],[Up - A2a]:[Up - A2b]]),"")</f>
        <v>2.5</v>
      </c>
      <c r="BT239" s="14">
        <v>4</v>
      </c>
      <c r="BU239" s="14">
        <f>IFERROR(AVERAGE(Tabel1[[#This Row],[Up - A3a]:[Up - A3a]]),"")</f>
        <v>4</v>
      </c>
      <c r="BV239" s="14">
        <v>2</v>
      </c>
      <c r="BW239" s="14">
        <f>IFERROR(AVERAGE(Tabel1[[#This Row],[Up - A1]],Tabel1[[#This Row],[Up - A2]],Tabel1[[#This Row],[Up - A3]]),"")</f>
        <v>3.4166666666666665</v>
      </c>
      <c r="BX239" s="14">
        <v>1</v>
      </c>
      <c r="BY239" s="14" t="s">
        <v>189</v>
      </c>
      <c r="BZ239" s="14">
        <f>IFERROR(AVERAGE(Tabel1[[#This Row],[In - R1a]:[In - R1b]]),"")</f>
        <v>1</v>
      </c>
      <c r="CA239" s="14">
        <v>4</v>
      </c>
      <c r="CB239" s="14" t="s">
        <v>189</v>
      </c>
      <c r="CC239" s="14">
        <v>2</v>
      </c>
      <c r="CD239" s="14">
        <v>2</v>
      </c>
      <c r="CE239" s="14">
        <f>IFERROR(AVERAGE(Tabel1[[#This Row],[In - R1]:[In - R5]]),"")</f>
        <v>2.25</v>
      </c>
      <c r="CF239" s="14">
        <v>2</v>
      </c>
      <c r="CG239" s="14">
        <v>4</v>
      </c>
      <c r="CH239" s="14">
        <v>2</v>
      </c>
      <c r="CI239" s="14">
        <f>IFERROR(AVERAGE(Tabel1[[#This Row],[In - C1a]:[In - C1c]]),"")</f>
        <v>2.6666666666666665</v>
      </c>
      <c r="CJ239" s="14">
        <v>1</v>
      </c>
      <c r="CK239" s="14">
        <v>2</v>
      </c>
      <c r="CL239" s="14">
        <v>1</v>
      </c>
      <c r="CM239" s="14">
        <f>IFERROR(AVERAGE(Tabel1[[#This Row],[In - C1]:[In - C4]]),"")</f>
        <v>1.6666666666666665</v>
      </c>
      <c r="CN239" s="14">
        <v>4</v>
      </c>
      <c r="CO239" s="14">
        <v>5</v>
      </c>
      <c r="CP239" s="14">
        <v>2</v>
      </c>
      <c r="CQ239" s="14">
        <f>IFERROR(AVERAGE(Tabel1[[#This Row],[In - F1a]:[In - F1c]]),"")</f>
        <v>3.6666666666666665</v>
      </c>
      <c r="CR239" s="14">
        <v>4</v>
      </c>
      <c r="CS239" s="14">
        <v>2</v>
      </c>
      <c r="CT239" s="14">
        <f>IFERROR(AVERAGE(Tabel1[[#This Row],[In - F2a]:[In - F2b]]),"")</f>
        <v>3</v>
      </c>
      <c r="CU239" s="14">
        <v>3</v>
      </c>
      <c r="CV239" s="14">
        <f>IFERROR(AVERAGE(Tabel1[[#This Row],[In - F3a]:[In - F3a]]),"")</f>
        <v>3</v>
      </c>
      <c r="CW239" s="14">
        <v>3</v>
      </c>
      <c r="CX239" s="14">
        <f>IFERROR(AVERAGE(Tabel1[[#This Row],[In - F1]],Tabel1[[#This Row],[In - F2]],Tabel1[[#This Row],[In - F3]],Tabel1[[#This Row],[In - F4]]),"")</f>
        <v>3.1666666666666665</v>
      </c>
      <c r="CY239" s="14">
        <v>4</v>
      </c>
      <c r="CZ239" s="14">
        <v>4</v>
      </c>
      <c r="DA239" s="14">
        <v>1</v>
      </c>
      <c r="DB239" s="14">
        <f>IFERROR(AVERAGE(Tabel1[[#This Row],[In - V1a]:[In - V1c]]),"")</f>
        <v>3</v>
      </c>
      <c r="DC239" s="14">
        <v>2</v>
      </c>
      <c r="DD239" s="14">
        <v>2</v>
      </c>
      <c r="DE239" s="14">
        <v>3</v>
      </c>
      <c r="DF239" s="14">
        <f>IFERROR(AVERAGE(Tabel1[[#This Row],[In - V2a]:[In - V2c]]),"")</f>
        <v>2.3333333333333335</v>
      </c>
      <c r="DG239" s="14">
        <v>1</v>
      </c>
      <c r="DH239" s="14">
        <v>4</v>
      </c>
      <c r="DI239" s="14">
        <f>IFERROR(AVERAGE(Tabel1[[#This Row],[In - V3a]:[In - V3b]]),"")</f>
        <v>2.5</v>
      </c>
      <c r="DJ239" s="14">
        <v>4</v>
      </c>
      <c r="DK239" s="14">
        <f>IFERROR(AVERAGE(Tabel1[[#This Row],[In - V1]],Tabel1[[#This Row],[In - V2]],Tabel1[[#This Row],[In - V3]],Tabel1[[#This Row],[In - V4]]),"")</f>
        <v>2.9583333333333335</v>
      </c>
      <c r="DL239" s="14">
        <v>3</v>
      </c>
      <c r="DM239" s="14">
        <v>2</v>
      </c>
      <c r="DN239" s="14">
        <f>IFERROR(AVERAGE(Tabel1[[#This Row],[In - A1a]:[In - A1b]]),"")</f>
        <v>2.5</v>
      </c>
      <c r="DO239" s="14">
        <v>4</v>
      </c>
      <c r="DP239" s="14">
        <v>2</v>
      </c>
      <c r="DQ239" s="14">
        <f>IFERROR(AVERAGE(Tabel1[[#This Row],[In - A2a]:[In - A2b]]),"")</f>
        <v>3</v>
      </c>
      <c r="DR239" s="14">
        <v>3</v>
      </c>
      <c r="DS239" s="14">
        <v>2</v>
      </c>
      <c r="DT239" s="14">
        <f>IFERROR(AVERAGE(Tabel1[[#This Row],[In - A3a]:[In - A3a]]),"")</f>
        <v>3</v>
      </c>
      <c r="DU239" s="14">
        <v>2</v>
      </c>
      <c r="DV239" s="14">
        <f>IFERROR(AVERAGE(Tabel1[[#This Row],[In - A1]],Tabel1[[#This Row],[In - A2]],Tabel1[[#This Row],[In - A3]],Tabel1[[#This Row],[In - A4]]),"")</f>
        <v>2.625</v>
      </c>
      <c r="DW239" s="14">
        <v>2</v>
      </c>
      <c r="DX239" s="14">
        <v>3</v>
      </c>
      <c r="DY239" s="14">
        <v>1</v>
      </c>
      <c r="DZ239" s="14">
        <f>IFERROR(AVERAGE(Tabel1[[#This Row],[Do - R1a]:[Do - R1c]]),"")</f>
        <v>2</v>
      </c>
      <c r="EA239" s="14">
        <v>3</v>
      </c>
      <c r="EB239" s="14">
        <v>2</v>
      </c>
      <c r="EC239" s="14">
        <v>1</v>
      </c>
      <c r="ED239" s="14">
        <v>4</v>
      </c>
      <c r="EE239" s="14">
        <f>IFERROR(AVERAGE(Tabel1[[#This Row],[Do - R1]:[Do - R5]]),"")</f>
        <v>2.4</v>
      </c>
      <c r="EF239" s="14">
        <v>3</v>
      </c>
      <c r="EG239" s="14">
        <v>2</v>
      </c>
      <c r="EH239" s="14">
        <v>1</v>
      </c>
      <c r="EI239" s="14">
        <f>IFERROR(AVERAGE(Tabel1[[#This Row],[Do - C1a]:[Do - C1c]]),"")</f>
        <v>2</v>
      </c>
      <c r="EJ239" s="14">
        <v>1</v>
      </c>
      <c r="EK239" s="14">
        <v>1</v>
      </c>
      <c r="EL239" s="14">
        <v>2</v>
      </c>
      <c r="EM239" s="14">
        <f>IFERROR(AVERAGE(Tabel1[[#This Row],[Do - C1]:[Do - C4]]),"")</f>
        <v>1.5</v>
      </c>
      <c r="EN239" s="14">
        <v>3</v>
      </c>
      <c r="EO239" s="14">
        <v>1</v>
      </c>
      <c r="EP239" s="14">
        <v>1</v>
      </c>
      <c r="EQ239" s="14">
        <f>IFERROR(AVERAGE(Tabel1[[#This Row],[Do - F1a]:[Do - F1c]]),"")</f>
        <v>1.6666666666666667</v>
      </c>
      <c r="ER239" s="14">
        <v>2</v>
      </c>
      <c r="ES239" s="14">
        <f>IFERROR(AVERAGE(Tabel1[[#This Row],[Do - F2a]:[Do - F2a]]),"")</f>
        <v>2</v>
      </c>
      <c r="ET239" s="14">
        <v>4</v>
      </c>
      <c r="EU239" s="14">
        <v>1</v>
      </c>
      <c r="EV239" s="14">
        <f>IFERROR(AVERAGE(Tabel1[[#This Row],[Do - F3a]:[Do - F3b]]),"")</f>
        <v>2.5</v>
      </c>
      <c r="EW239" s="14">
        <v>2</v>
      </c>
      <c r="EX239" s="14">
        <f>IFERROR(AVERAGE(Tabel1[[#This Row],[Do - F1]],Tabel1[[#This Row],[Do - F2]],Tabel1[[#This Row],[Do - F3]],Tabel1[[#This Row],[Do - F4]]),"")</f>
        <v>2.041666666666667</v>
      </c>
      <c r="EY239" s="14">
        <v>1</v>
      </c>
      <c r="EZ239" s="14">
        <v>1</v>
      </c>
      <c r="FA239" s="14">
        <v>2</v>
      </c>
      <c r="FB239" s="14">
        <f>IFERROR(AVERAGE(Tabel1[[#This Row],[Do - V1a]:[Do - V1c]]),"")</f>
        <v>1.3333333333333333</v>
      </c>
      <c r="FC239" s="14">
        <v>2</v>
      </c>
      <c r="FD239" s="14">
        <v>1</v>
      </c>
      <c r="FE239" s="14">
        <f>IFERROR(AVERAGE(Tabel1[[#This Row],[Do - V2a]:[Do - V2b]]),"")</f>
        <v>1.5</v>
      </c>
      <c r="FF239" s="14">
        <v>1</v>
      </c>
      <c r="FG239" s="14">
        <f>IFERROR(AVERAGE(Tabel1[[#This Row],[Do - V3a]:[Do - V3a]]),"")</f>
        <v>1</v>
      </c>
      <c r="FH239" s="14">
        <v>4</v>
      </c>
      <c r="FI239" s="14">
        <f>IFERROR(AVERAGE(Tabel1[[#This Row],[Do - V1]],Tabel1[[#This Row],[Do - V2]],Tabel1[[#This Row],[Do - V3]],Tabel1[[#This Row],[Do - V4]]),"")</f>
        <v>1.9583333333333333</v>
      </c>
      <c r="FJ239" s="14">
        <v>4</v>
      </c>
      <c r="FK239" s="14">
        <v>2</v>
      </c>
      <c r="FL239" s="14">
        <v>4</v>
      </c>
      <c r="FM239" s="14">
        <f>IFERROR(AVERAGE(Tabel1[[#This Row],[Do - A1a]:[Do - A1c]]),"")</f>
        <v>3.3333333333333335</v>
      </c>
      <c r="FN239" s="14" t="s">
        <v>189</v>
      </c>
      <c r="FO239" s="14">
        <v>2</v>
      </c>
      <c r="FP239" s="14">
        <f>IFERROR(AVERAGE(Tabel1[[#This Row],[Do - A2a]:[Do - A2b]]),"")</f>
        <v>2</v>
      </c>
      <c r="FQ239" s="14">
        <v>2</v>
      </c>
      <c r="FR239" s="14">
        <f>IFERROR(AVERAGE(Tabel1[[#This Row],[Do - A3a]:[Do - A3a]]),"")</f>
        <v>2</v>
      </c>
      <c r="FS239" s="14">
        <v>2</v>
      </c>
      <c r="FT239" s="14">
        <f>IFERROR(AVERAGE(Tabel1[[#This Row],[Do - A1]],Tabel1[[#This Row],[Do - A2]],Tabel1[[#This Row],[Do - A3]],Tabel1[[#This Row],[Do - A4]]),"")</f>
        <v>2.3333333333333335</v>
      </c>
      <c r="FU23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2.4711111111111115</v>
      </c>
      <c r="FV239" s="27" t="s">
        <v>1287</v>
      </c>
      <c r="FW239" t="b">
        <v>1</v>
      </c>
    </row>
    <row r="240" spans="1:179" x14ac:dyDescent="0.3">
      <c r="A240" s="13">
        <v>45393.619814814803</v>
      </c>
      <c r="B240" t="b">
        <v>0</v>
      </c>
      <c r="C240" s="14" t="s">
        <v>1288</v>
      </c>
      <c r="D240" s="14" t="s">
        <v>629</v>
      </c>
      <c r="E240" s="14" t="s">
        <v>1289</v>
      </c>
      <c r="F240" s="14" t="s">
        <v>184</v>
      </c>
      <c r="G240" s="14" t="s">
        <v>1290</v>
      </c>
      <c r="H240" s="14" t="s">
        <v>222</v>
      </c>
      <c r="I240" s="14" t="s">
        <v>195</v>
      </c>
      <c r="J240" s="14" t="s">
        <v>212</v>
      </c>
      <c r="K240" s="28" t="s">
        <v>201</v>
      </c>
      <c r="L240" s="14" t="s">
        <v>385</v>
      </c>
      <c r="M240" s="14" t="s">
        <v>233</v>
      </c>
      <c r="N240" s="14" t="s">
        <v>199</v>
      </c>
      <c r="O240" s="14" t="s">
        <v>200</v>
      </c>
      <c r="P240" s="24" t="s">
        <v>255</v>
      </c>
      <c r="Q240" s="17" t="s">
        <v>304</v>
      </c>
      <c r="R240" s="25" t="s">
        <v>203</v>
      </c>
      <c r="S240" s="25" t="s">
        <v>187</v>
      </c>
      <c r="T240" s="14" t="s">
        <v>284</v>
      </c>
      <c r="U240" s="14" t="s">
        <v>285</v>
      </c>
      <c r="V240" s="14" t="s">
        <v>484</v>
      </c>
      <c r="W240" s="14" t="s">
        <v>207</v>
      </c>
      <c r="X240" s="14" t="s">
        <v>306</v>
      </c>
      <c r="Y240" s="14">
        <v>2</v>
      </c>
      <c r="Z240" s="14">
        <v>3</v>
      </c>
      <c r="AA240" s="14" t="s">
        <v>189</v>
      </c>
      <c r="AB240" s="15">
        <f>IFERROR(AVERAGE(Tabel1[[#This Row],[Up - R1a]:[Up - R1c]]),"")</f>
        <v>2.5</v>
      </c>
      <c r="AC240" s="14">
        <v>2</v>
      </c>
      <c r="AD240" s="14">
        <v>2</v>
      </c>
      <c r="AE240" s="14">
        <v>1</v>
      </c>
      <c r="AF240" s="14">
        <v>3</v>
      </c>
      <c r="AG240" s="14">
        <f>IFERROR(AVERAGE(Tabel1[[#This Row],[Up - R1]:[Up - R5]]),"")</f>
        <v>2.1</v>
      </c>
      <c r="AH240" s="14">
        <v>4</v>
      </c>
      <c r="AI240" s="14">
        <v>3</v>
      </c>
      <c r="AJ240" s="14">
        <v>3</v>
      </c>
      <c r="AK240" s="14">
        <f>IFERROR(AVERAGE(Tabel1[[#This Row],[Up - C1a]:[Up - C1c]]),"")</f>
        <v>3.3333333333333335</v>
      </c>
      <c r="AL240" s="14">
        <v>3</v>
      </c>
      <c r="AM240" s="14">
        <v>3</v>
      </c>
      <c r="AN240" s="14" t="s">
        <v>189</v>
      </c>
      <c r="AO240" s="14">
        <f>IFERROR(AVERAGE(Tabel1[[#This Row],[Up - C1]:[Up - C4]]),"")</f>
        <v>3.1111111111111112</v>
      </c>
      <c r="AP240" s="14">
        <v>1</v>
      </c>
      <c r="AQ240" s="14">
        <f>IFERROR(AVERAGE(Tabel1[[#This Row],[Up - F1a]:[Up - F1a]]),"")</f>
        <v>1</v>
      </c>
      <c r="AR240" s="14">
        <v>2</v>
      </c>
      <c r="AS240" s="14">
        <v>4</v>
      </c>
      <c r="AT240" s="14">
        <f>IFERROR(AVERAGE(Tabel1[[#This Row],[Up - F2a]:[Up - F2b]]),"")</f>
        <v>3</v>
      </c>
      <c r="AU240" s="14">
        <v>3</v>
      </c>
      <c r="AV240" s="14">
        <v>3</v>
      </c>
      <c r="AW240" s="14">
        <f>IFERROR(AVERAGE(Tabel1[[#This Row],[Up - F3a]:[Up - F3b]]),"")</f>
        <v>3</v>
      </c>
      <c r="AX240" s="14">
        <v>2</v>
      </c>
      <c r="AY240" s="14">
        <f>IFERROR(AVERAGE(Tabel1[[#This Row],[Up - F1]],Tabel1[[#This Row],[Up - F2]],Tabel1[[#This Row],[Up - F3]],Tabel1[[#This Row],[Up - F4]]),"")</f>
        <v>2.25</v>
      </c>
      <c r="AZ240" s="14">
        <v>3</v>
      </c>
      <c r="BA240" s="14">
        <v>4</v>
      </c>
      <c r="BB240" s="14">
        <f>IFERROR(AVERAGE(Tabel1[[#This Row],[Up - V1a]:[Up - V1b]]),"")</f>
        <v>3.5</v>
      </c>
      <c r="BC240" s="14">
        <v>4</v>
      </c>
      <c r="BD240" s="14">
        <v>3</v>
      </c>
      <c r="BE240" s="14">
        <v>4</v>
      </c>
      <c r="BF240" s="14">
        <f>IFERROR(AVERAGE(Tabel1[[#This Row],[Up - V2a]:[Up - V2c]]),"")</f>
        <v>3.6666666666666665</v>
      </c>
      <c r="BG240" s="14">
        <v>3</v>
      </c>
      <c r="BH240" s="14">
        <v>5</v>
      </c>
      <c r="BI240" s="14">
        <f>IFERROR(AVERAGE(Tabel1[[#This Row],[Up - V3a]:[Up - V3b]]),"")</f>
        <v>4</v>
      </c>
      <c r="BJ240" s="14">
        <v>4</v>
      </c>
      <c r="BK240" s="14">
        <f>IFERROR(AVERAGE(Tabel1[[#This Row],[Up - V1]],Tabel1[[#This Row],[Up - V2]],Tabel1[[#This Row],[Up - V3]],Tabel1[[#This Row],[Up - V4]]),"")</f>
        <v>3.7916666666666665</v>
      </c>
      <c r="BL240" s="14">
        <v>4</v>
      </c>
      <c r="BM240" s="14">
        <v>4</v>
      </c>
      <c r="BN240" s="14">
        <v>3</v>
      </c>
      <c r="BO240" s="14" t="s">
        <v>189</v>
      </c>
      <c r="BP240" s="14">
        <f>IFERROR(AVERAGE(Tabel1[[#This Row],[Up - A1a]:[Up - A1d]]),"")</f>
        <v>3.6666666666666665</v>
      </c>
      <c r="BQ240" s="14">
        <v>3</v>
      </c>
      <c r="BR240" s="14">
        <v>3</v>
      </c>
      <c r="BS240" s="14">
        <f>IFERROR(AVERAGE(Tabel1[[#This Row],[Up - A2a]:[Up - A2b]]),"")</f>
        <v>3</v>
      </c>
      <c r="BT240" s="14">
        <v>4</v>
      </c>
      <c r="BU240" s="14">
        <f>IFERROR(AVERAGE(Tabel1[[#This Row],[Up - A3a]:[Up - A3a]]),"")</f>
        <v>4</v>
      </c>
      <c r="BV240" s="14">
        <v>4</v>
      </c>
      <c r="BW240" s="14">
        <f>IFERROR(AVERAGE(Tabel1[[#This Row],[Up - A1]],Tabel1[[#This Row],[Up - A2]],Tabel1[[#This Row],[Up - A3]]),"")</f>
        <v>3.5555555555555554</v>
      </c>
      <c r="BX240" s="14">
        <v>1</v>
      </c>
      <c r="BY240" s="14">
        <v>3</v>
      </c>
      <c r="BZ240" s="14">
        <f>IFERROR(AVERAGE(Tabel1[[#This Row],[In - R1a]:[In - R1b]]),"")</f>
        <v>2</v>
      </c>
      <c r="CA240" s="14">
        <v>3</v>
      </c>
      <c r="CB240" s="14">
        <v>2</v>
      </c>
      <c r="CC240" s="14">
        <v>3</v>
      </c>
      <c r="CD240" s="14">
        <v>4</v>
      </c>
      <c r="CE240" s="14">
        <f>IFERROR(AVERAGE(Tabel1[[#This Row],[In - R1]:[In - R5]]),"")</f>
        <v>2.8</v>
      </c>
      <c r="CF240" s="14">
        <v>4</v>
      </c>
      <c r="CG240" s="14">
        <v>4</v>
      </c>
      <c r="CH240" s="14">
        <v>3</v>
      </c>
      <c r="CI240" s="14">
        <f>IFERROR(AVERAGE(Tabel1[[#This Row],[In - C1a]:[In - C1c]]),"")</f>
        <v>3.6666666666666665</v>
      </c>
      <c r="CJ240" s="14">
        <v>3</v>
      </c>
      <c r="CK240" s="14">
        <v>3</v>
      </c>
      <c r="CL240" s="14">
        <v>3</v>
      </c>
      <c r="CM240" s="14">
        <f>IFERROR(AVERAGE(Tabel1[[#This Row],[In - C1]:[In - C4]]),"")</f>
        <v>3.1666666666666665</v>
      </c>
      <c r="CN240" s="14">
        <v>3</v>
      </c>
      <c r="CO240" s="14">
        <v>3</v>
      </c>
      <c r="CP240" s="14">
        <v>3</v>
      </c>
      <c r="CQ240" s="14">
        <f>IFERROR(AVERAGE(Tabel1[[#This Row],[In - F1a]:[In - F1c]]),"")</f>
        <v>3</v>
      </c>
      <c r="CR240" s="14">
        <v>3</v>
      </c>
      <c r="CS240" s="14">
        <v>3</v>
      </c>
      <c r="CT240" s="14">
        <f>IFERROR(AVERAGE(Tabel1[[#This Row],[In - F2a]:[In - F2b]]),"")</f>
        <v>3</v>
      </c>
      <c r="CU240" s="14">
        <v>2</v>
      </c>
      <c r="CV240" s="14">
        <f>IFERROR(AVERAGE(Tabel1[[#This Row],[In - F3a]:[In - F3a]]),"")</f>
        <v>2</v>
      </c>
      <c r="CW240" s="14">
        <v>4</v>
      </c>
      <c r="CX240" s="14">
        <f>IFERROR(AVERAGE(Tabel1[[#This Row],[In - F1]],Tabel1[[#This Row],[In - F2]],Tabel1[[#This Row],[In - F3]],Tabel1[[#This Row],[In - F4]]),"")</f>
        <v>3</v>
      </c>
      <c r="CY240" s="14">
        <v>4</v>
      </c>
      <c r="CZ240" s="14">
        <v>4</v>
      </c>
      <c r="DA240" s="14">
        <v>3</v>
      </c>
      <c r="DB240" s="14">
        <f>IFERROR(AVERAGE(Tabel1[[#This Row],[In - V1a]:[In - V1c]]),"")</f>
        <v>3.6666666666666665</v>
      </c>
      <c r="DC240" s="14">
        <v>4</v>
      </c>
      <c r="DD240" s="14">
        <v>4</v>
      </c>
      <c r="DE240" s="14">
        <v>4</v>
      </c>
      <c r="DF240" s="14">
        <f>IFERROR(AVERAGE(Tabel1[[#This Row],[In - V2a]:[In - V2c]]),"")</f>
        <v>4</v>
      </c>
      <c r="DG240" s="14">
        <v>3</v>
      </c>
      <c r="DH240" s="14">
        <v>5</v>
      </c>
      <c r="DI240" s="14">
        <f>IFERROR(AVERAGE(Tabel1[[#This Row],[In - V3a]:[In - V3b]]),"")</f>
        <v>4</v>
      </c>
      <c r="DJ240" s="14">
        <v>4</v>
      </c>
      <c r="DK240" s="14">
        <f>IFERROR(AVERAGE(Tabel1[[#This Row],[In - V1]],Tabel1[[#This Row],[In - V2]],Tabel1[[#This Row],[In - V3]],Tabel1[[#This Row],[In - V4]]),"")</f>
        <v>3.9166666666666665</v>
      </c>
      <c r="DL240" s="14">
        <v>4</v>
      </c>
      <c r="DM240" s="14">
        <v>4</v>
      </c>
      <c r="DN240" s="14">
        <f>IFERROR(AVERAGE(Tabel1[[#This Row],[In - A1a]:[In - A1b]]),"")</f>
        <v>4</v>
      </c>
      <c r="DO240" s="14">
        <v>4</v>
      </c>
      <c r="DP240" s="14">
        <v>4</v>
      </c>
      <c r="DQ240" s="14">
        <f>IFERROR(AVERAGE(Tabel1[[#This Row],[In - A2a]:[In - A2b]]),"")</f>
        <v>4</v>
      </c>
      <c r="DR240" s="14">
        <v>4</v>
      </c>
      <c r="DS240" s="14">
        <v>3</v>
      </c>
      <c r="DT240" s="14">
        <f>IFERROR(AVERAGE(Tabel1[[#This Row],[In - A3a]:[In - A3a]]),"")</f>
        <v>4</v>
      </c>
      <c r="DU240" s="14">
        <v>4</v>
      </c>
      <c r="DV240" s="14">
        <f>IFERROR(AVERAGE(Tabel1[[#This Row],[In - A1]],Tabel1[[#This Row],[In - A2]],Tabel1[[#This Row],[In - A3]],Tabel1[[#This Row],[In - A4]]),"")</f>
        <v>4</v>
      </c>
      <c r="DW240" s="14">
        <v>1</v>
      </c>
      <c r="DX240" s="14">
        <v>3</v>
      </c>
      <c r="DY240" s="14">
        <v>1</v>
      </c>
      <c r="DZ240" s="14">
        <f>IFERROR(AVERAGE(Tabel1[[#This Row],[Do - R1a]:[Do - R1c]]),"")</f>
        <v>1.6666666666666667</v>
      </c>
      <c r="EA240" s="14">
        <v>4</v>
      </c>
      <c r="EB240" s="14">
        <v>4</v>
      </c>
      <c r="EC240" s="14">
        <v>1</v>
      </c>
      <c r="ED240" s="14">
        <v>3</v>
      </c>
      <c r="EE240" s="14">
        <f>IFERROR(AVERAGE(Tabel1[[#This Row],[Do - R1]:[Do - R5]]),"")</f>
        <v>2.7333333333333334</v>
      </c>
      <c r="EF240" s="14">
        <v>4</v>
      </c>
      <c r="EG240" s="14">
        <v>4</v>
      </c>
      <c r="EH240" s="14">
        <v>3</v>
      </c>
      <c r="EI240" s="14">
        <f>IFERROR(AVERAGE(Tabel1[[#This Row],[Do - C1a]:[Do - C1c]]),"")</f>
        <v>3.6666666666666665</v>
      </c>
      <c r="EJ240" s="14">
        <v>3</v>
      </c>
      <c r="EK240" s="14">
        <v>3</v>
      </c>
      <c r="EL240" s="14" t="s">
        <v>189</v>
      </c>
      <c r="EM240" s="14">
        <f>IFERROR(AVERAGE(Tabel1[[#This Row],[Do - C1]:[Do - C4]]),"")</f>
        <v>3.2222222222222219</v>
      </c>
      <c r="EN240" s="14">
        <v>4</v>
      </c>
      <c r="EO240" s="14">
        <v>2</v>
      </c>
      <c r="EP240" s="14">
        <v>2</v>
      </c>
      <c r="EQ240" s="14">
        <f>IFERROR(AVERAGE(Tabel1[[#This Row],[Do - F1a]:[Do - F1c]]),"")</f>
        <v>2.6666666666666665</v>
      </c>
      <c r="ER240" s="14">
        <v>1</v>
      </c>
      <c r="ES240" s="14">
        <f>IFERROR(AVERAGE(Tabel1[[#This Row],[Do - F2a]:[Do - F2a]]),"")</f>
        <v>1</v>
      </c>
      <c r="ET240" s="14" t="s">
        <v>189</v>
      </c>
      <c r="EU240" s="14">
        <v>4</v>
      </c>
      <c r="EV240" s="14">
        <f>IFERROR(AVERAGE(Tabel1[[#This Row],[Do - F3a]:[Do - F3b]]),"")</f>
        <v>4</v>
      </c>
      <c r="EW240" s="14">
        <v>4</v>
      </c>
      <c r="EX240" s="14">
        <f>IFERROR(AVERAGE(Tabel1[[#This Row],[Do - F1]],Tabel1[[#This Row],[Do - F2]],Tabel1[[#This Row],[Do - F3]],Tabel1[[#This Row],[Do - F4]]),"")</f>
        <v>2.9166666666666665</v>
      </c>
      <c r="EY240" s="14">
        <v>3</v>
      </c>
      <c r="EZ240" s="14">
        <v>3</v>
      </c>
      <c r="FA240" s="14">
        <v>3</v>
      </c>
      <c r="FB240" s="14">
        <f>IFERROR(AVERAGE(Tabel1[[#This Row],[Do - V1a]:[Do - V1c]]),"")</f>
        <v>3</v>
      </c>
      <c r="FC240" s="14">
        <v>4</v>
      </c>
      <c r="FD240" s="14">
        <v>4</v>
      </c>
      <c r="FE240" s="14">
        <f>IFERROR(AVERAGE(Tabel1[[#This Row],[Do - V2a]:[Do - V2b]]),"")</f>
        <v>4</v>
      </c>
      <c r="FF240" s="14">
        <v>3</v>
      </c>
      <c r="FG240" s="14">
        <f>IFERROR(AVERAGE(Tabel1[[#This Row],[Do - V3a]:[Do - V3a]]),"")</f>
        <v>3</v>
      </c>
      <c r="FH240" s="14">
        <v>4</v>
      </c>
      <c r="FI240" s="14">
        <f>IFERROR(AVERAGE(Tabel1[[#This Row],[Do - V1]],Tabel1[[#This Row],[Do - V2]],Tabel1[[#This Row],[Do - V3]],Tabel1[[#This Row],[Do - V4]]),"")</f>
        <v>3.5</v>
      </c>
      <c r="FJ240" s="14">
        <v>4</v>
      </c>
      <c r="FK240" s="14">
        <v>4</v>
      </c>
      <c r="FL240" s="14">
        <v>4</v>
      </c>
      <c r="FM240" s="14">
        <f>IFERROR(AVERAGE(Tabel1[[#This Row],[Do - A1a]:[Do - A1c]]),"")</f>
        <v>4</v>
      </c>
      <c r="FN240" s="14">
        <v>4</v>
      </c>
      <c r="FO240" s="14" t="s">
        <v>189</v>
      </c>
      <c r="FP240" s="14">
        <f>IFERROR(AVERAGE(Tabel1[[#This Row],[Do - A2a]:[Do - A2b]]),"")</f>
        <v>4</v>
      </c>
      <c r="FQ240" s="14">
        <v>4</v>
      </c>
      <c r="FR240" s="14">
        <f>IFERROR(AVERAGE(Tabel1[[#This Row],[Do - A3a]:[Do - A3a]]),"")</f>
        <v>4</v>
      </c>
      <c r="FS240" s="14">
        <v>4</v>
      </c>
      <c r="FT240" s="14">
        <f>IFERROR(AVERAGE(Tabel1[[#This Row],[Do - A1]],Tabel1[[#This Row],[Do - A2]],Tabel1[[#This Row],[Do - A3]],Tabel1[[#This Row],[Do - A4]]),"")</f>
        <v>4</v>
      </c>
      <c r="FU24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3.2042592592592594</v>
      </c>
      <c r="FV240" s="27" t="s">
        <v>1291</v>
      </c>
      <c r="FW240" t="b">
        <v>1</v>
      </c>
    </row>
    <row r="241" spans="1:179" x14ac:dyDescent="0.3">
      <c r="A241" s="13">
        <v>45394.365682870397</v>
      </c>
      <c r="B241" t="b">
        <v>0</v>
      </c>
      <c r="C241" s="14" t="s">
        <v>1292</v>
      </c>
      <c r="D241" s="14" t="s">
        <v>613</v>
      </c>
      <c r="E241" s="14" t="s">
        <v>1293</v>
      </c>
      <c r="F241" s="14" t="s">
        <v>184</v>
      </c>
      <c r="G241" s="14" t="s">
        <v>1294</v>
      </c>
      <c r="H241" s="14" t="s">
        <v>222</v>
      </c>
      <c r="I241" s="14" t="s">
        <v>195</v>
      </c>
      <c r="J241" s="14" t="s">
        <v>261</v>
      </c>
      <c r="K241" s="28" t="s">
        <v>203</v>
      </c>
      <c r="L241" s="14" t="s">
        <v>197</v>
      </c>
      <c r="M241" s="14" t="s">
        <v>233</v>
      </c>
      <c r="N241" s="14" t="s">
        <v>199</v>
      </c>
      <c r="O241" s="14" t="s">
        <v>200</v>
      </c>
      <c r="P241" s="24" t="s">
        <v>304</v>
      </c>
      <c r="Q241" s="17" t="s">
        <v>201</v>
      </c>
      <c r="R241" s="25" t="s">
        <v>201</v>
      </c>
      <c r="S241" s="25" t="s">
        <v>202</v>
      </c>
      <c r="T241" s="14" t="s">
        <v>204</v>
      </c>
      <c r="U241" s="14" t="s">
        <v>285</v>
      </c>
      <c r="V241" s="14" t="s">
        <v>359</v>
      </c>
      <c r="W241" s="14" t="s">
        <v>207</v>
      </c>
      <c r="X241" s="14" t="s">
        <v>395</v>
      </c>
      <c r="Y241" s="14">
        <v>1</v>
      </c>
      <c r="Z241" s="14">
        <v>3</v>
      </c>
      <c r="AA241" s="14" t="s">
        <v>189</v>
      </c>
      <c r="AB241" s="15">
        <f>IFERROR(AVERAGE(Tabel1[[#This Row],[Up - R1a]:[Up - R1c]]),"")</f>
        <v>2</v>
      </c>
      <c r="AC241" s="14">
        <v>2</v>
      </c>
      <c r="AD241" s="14">
        <v>3</v>
      </c>
      <c r="AE241" s="14">
        <v>2</v>
      </c>
      <c r="AF241" s="14" t="s">
        <v>189</v>
      </c>
      <c r="AG241" s="14">
        <f>IFERROR(AVERAGE(Tabel1[[#This Row],[Up - R1]:[Up - R5]]),"")</f>
        <v>2.25</v>
      </c>
      <c r="AH241" s="14">
        <v>3</v>
      </c>
      <c r="AI241" s="14">
        <v>2</v>
      </c>
      <c r="AJ241" s="14">
        <v>2</v>
      </c>
      <c r="AK241" s="14">
        <f>IFERROR(AVERAGE(Tabel1[[#This Row],[Up - C1a]:[Up - C1c]]),"")</f>
        <v>2.3333333333333335</v>
      </c>
      <c r="AL241" s="14">
        <v>4</v>
      </c>
      <c r="AM241" s="14" t="s">
        <v>189</v>
      </c>
      <c r="AN241" s="14" t="s">
        <v>189</v>
      </c>
      <c r="AO241" s="14">
        <f>IFERROR(AVERAGE(Tabel1[[#This Row],[Up - C1]:[Up - C4]]),"")</f>
        <v>3.166666666666667</v>
      </c>
      <c r="AP241" s="14">
        <v>3</v>
      </c>
      <c r="AQ241" s="14">
        <f>IFERROR(AVERAGE(Tabel1[[#This Row],[Up - F1a]:[Up - F1a]]),"")</f>
        <v>3</v>
      </c>
      <c r="AR241" s="14">
        <v>2</v>
      </c>
      <c r="AS241" s="14">
        <v>2</v>
      </c>
      <c r="AT241" s="14">
        <f>IFERROR(AVERAGE(Tabel1[[#This Row],[Up - F2a]:[Up - F2b]]),"")</f>
        <v>2</v>
      </c>
      <c r="AU241" s="14">
        <v>2</v>
      </c>
      <c r="AV241" s="14" t="s">
        <v>189</v>
      </c>
      <c r="AW241" s="14">
        <f>IFERROR(AVERAGE(Tabel1[[#This Row],[Up - F3a]:[Up - F3b]]),"")</f>
        <v>2</v>
      </c>
      <c r="AX241" s="14" t="s">
        <v>189</v>
      </c>
      <c r="AY241" s="14">
        <f>IFERROR(AVERAGE(Tabel1[[#This Row],[Up - F1]],Tabel1[[#This Row],[Up - F2]],Tabel1[[#This Row],[Up - F3]],Tabel1[[#This Row],[Up - F4]]),"")</f>
        <v>2.3333333333333335</v>
      </c>
      <c r="AZ241" s="14">
        <v>3</v>
      </c>
      <c r="BA241" s="14">
        <v>3</v>
      </c>
      <c r="BB241" s="14">
        <f>IFERROR(AVERAGE(Tabel1[[#This Row],[Up - V1a]:[Up - V1b]]),"")</f>
        <v>3</v>
      </c>
      <c r="BC241" s="14">
        <v>3</v>
      </c>
      <c r="BD241" s="14" t="s">
        <v>189</v>
      </c>
      <c r="BE241" s="14">
        <v>3</v>
      </c>
      <c r="BF241" s="14">
        <f>IFERROR(AVERAGE(Tabel1[[#This Row],[Up - V2a]:[Up - V2c]]),"")</f>
        <v>3</v>
      </c>
      <c r="BG241" s="14">
        <v>2</v>
      </c>
      <c r="BH241" s="14">
        <v>4</v>
      </c>
      <c r="BI241" s="14">
        <f>IFERROR(AVERAGE(Tabel1[[#This Row],[Up - V3a]:[Up - V3b]]),"")</f>
        <v>3</v>
      </c>
      <c r="BJ241" s="14" t="s">
        <v>189</v>
      </c>
      <c r="BK241" s="14">
        <f>IFERROR(AVERAGE(Tabel1[[#This Row],[Up - V1]],Tabel1[[#This Row],[Up - V2]],Tabel1[[#This Row],[Up - V3]],Tabel1[[#This Row],[Up - V4]]),"")</f>
        <v>3</v>
      </c>
      <c r="BL241" s="14">
        <v>3</v>
      </c>
      <c r="BM241" s="14">
        <v>3</v>
      </c>
      <c r="BN241" s="14">
        <v>3</v>
      </c>
      <c r="BO241" s="14" t="s">
        <v>189</v>
      </c>
      <c r="BP241" s="14">
        <f>IFERROR(AVERAGE(Tabel1[[#This Row],[Up - A1a]:[Up - A1d]]),"")</f>
        <v>3</v>
      </c>
      <c r="BQ241" s="14">
        <v>3</v>
      </c>
      <c r="BR241" s="14">
        <v>2</v>
      </c>
      <c r="BS241" s="14">
        <f>IFERROR(AVERAGE(Tabel1[[#This Row],[Up - A2a]:[Up - A2b]]),"")</f>
        <v>2.5</v>
      </c>
      <c r="BT241" s="14">
        <v>3</v>
      </c>
      <c r="BU241" s="14">
        <f>IFERROR(AVERAGE(Tabel1[[#This Row],[Up - A3a]:[Up - A3a]]),"")</f>
        <v>3</v>
      </c>
      <c r="BV241" s="14">
        <v>2</v>
      </c>
      <c r="BW241" s="14">
        <f>IFERROR(AVERAGE(Tabel1[[#This Row],[Up - A1]],Tabel1[[#This Row],[Up - A2]],Tabel1[[#This Row],[Up - A3]]),"")</f>
        <v>2.8333333333333335</v>
      </c>
      <c r="BX241" s="14">
        <v>2</v>
      </c>
      <c r="BY241" s="14">
        <v>3</v>
      </c>
      <c r="BZ241" s="14">
        <f>IFERROR(AVERAGE(Tabel1[[#This Row],[In - R1a]:[In - R1b]]),"")</f>
        <v>2.5</v>
      </c>
      <c r="CA241" s="14">
        <v>3</v>
      </c>
      <c r="CB241" s="14">
        <v>1</v>
      </c>
      <c r="CC241" s="14">
        <v>1</v>
      </c>
      <c r="CD241" s="14">
        <v>4</v>
      </c>
      <c r="CE241" s="14">
        <f>IFERROR(AVERAGE(Tabel1[[#This Row],[In - R1]:[In - R5]]),"")</f>
        <v>2.2999999999999998</v>
      </c>
      <c r="CF241" s="14">
        <v>4</v>
      </c>
      <c r="CG241" s="14">
        <v>3</v>
      </c>
      <c r="CH241" s="14">
        <v>4</v>
      </c>
      <c r="CI241" s="14">
        <f>IFERROR(AVERAGE(Tabel1[[#This Row],[In - C1a]:[In - C1c]]),"")</f>
        <v>3.6666666666666665</v>
      </c>
      <c r="CJ241" s="14">
        <v>3</v>
      </c>
      <c r="CK241" s="14">
        <v>4</v>
      </c>
      <c r="CL241" s="14">
        <v>2</v>
      </c>
      <c r="CM241" s="14">
        <f>IFERROR(AVERAGE(Tabel1[[#This Row],[In - C1]:[In - C4]]),"")</f>
        <v>3.1666666666666665</v>
      </c>
      <c r="CN241" s="14">
        <v>4</v>
      </c>
      <c r="CO241" s="14">
        <v>2</v>
      </c>
      <c r="CP241" s="14">
        <v>2</v>
      </c>
      <c r="CQ241" s="14">
        <f>IFERROR(AVERAGE(Tabel1[[#This Row],[In - F1a]:[In - F1c]]),"")</f>
        <v>2.6666666666666665</v>
      </c>
      <c r="CR241" s="14">
        <v>4</v>
      </c>
      <c r="CS241" s="14">
        <v>2</v>
      </c>
      <c r="CT241" s="14">
        <f>IFERROR(AVERAGE(Tabel1[[#This Row],[In - F2a]:[In - F2b]]),"")</f>
        <v>3</v>
      </c>
      <c r="CU241" s="14">
        <v>2</v>
      </c>
      <c r="CV241" s="14">
        <f>IFERROR(AVERAGE(Tabel1[[#This Row],[In - F3a]:[In - F3a]]),"")</f>
        <v>2</v>
      </c>
      <c r="CW241" s="14" t="s">
        <v>189</v>
      </c>
      <c r="CX241" s="14">
        <f>IFERROR(AVERAGE(Tabel1[[#This Row],[In - F1]],Tabel1[[#This Row],[In - F2]],Tabel1[[#This Row],[In - F3]],Tabel1[[#This Row],[In - F4]]),"")</f>
        <v>2.5555555555555554</v>
      </c>
      <c r="CY241" s="14">
        <v>4</v>
      </c>
      <c r="CZ241" s="14">
        <v>2</v>
      </c>
      <c r="DA241" s="14">
        <v>2</v>
      </c>
      <c r="DB241" s="14">
        <f>IFERROR(AVERAGE(Tabel1[[#This Row],[In - V1a]:[In - V1c]]),"")</f>
        <v>2.6666666666666665</v>
      </c>
      <c r="DC241" s="14">
        <v>2</v>
      </c>
      <c r="DD241" s="14" t="s">
        <v>189</v>
      </c>
      <c r="DE241" s="14">
        <v>2</v>
      </c>
      <c r="DF241" s="14">
        <f>IFERROR(AVERAGE(Tabel1[[#This Row],[In - V2a]:[In - V2c]]),"")</f>
        <v>2</v>
      </c>
      <c r="DG241" s="14">
        <v>3</v>
      </c>
      <c r="DH241" s="14">
        <v>4</v>
      </c>
      <c r="DI241" s="14">
        <f>IFERROR(AVERAGE(Tabel1[[#This Row],[In - V3a]:[In - V3b]]),"")</f>
        <v>3.5</v>
      </c>
      <c r="DJ241" s="14" t="s">
        <v>189</v>
      </c>
      <c r="DK241" s="14">
        <f>IFERROR(AVERAGE(Tabel1[[#This Row],[In - V1]],Tabel1[[#This Row],[In - V2]],Tabel1[[#This Row],[In - V3]],Tabel1[[#This Row],[In - V4]]),"")</f>
        <v>2.7222222222222219</v>
      </c>
      <c r="DL241" s="14">
        <v>5</v>
      </c>
      <c r="DM241" s="14">
        <v>4</v>
      </c>
      <c r="DN241" s="14">
        <f>IFERROR(AVERAGE(Tabel1[[#This Row],[In - A1a]:[In - A1b]]),"")</f>
        <v>4.5</v>
      </c>
      <c r="DO241" s="14">
        <v>5</v>
      </c>
      <c r="DP241" s="14">
        <v>4</v>
      </c>
      <c r="DQ241" s="14">
        <f>IFERROR(AVERAGE(Tabel1[[#This Row],[In - A2a]:[In - A2b]]),"")</f>
        <v>4.5</v>
      </c>
      <c r="DR241" s="14">
        <v>5</v>
      </c>
      <c r="DS241" s="14">
        <v>3</v>
      </c>
      <c r="DT241" s="14">
        <f>IFERROR(AVERAGE(Tabel1[[#This Row],[In - A3a]:[In - A3a]]),"")</f>
        <v>5</v>
      </c>
      <c r="DU241" s="14">
        <v>3</v>
      </c>
      <c r="DV241" s="14">
        <f>IFERROR(AVERAGE(Tabel1[[#This Row],[In - A1]],Tabel1[[#This Row],[In - A2]],Tabel1[[#This Row],[In - A3]],Tabel1[[#This Row],[In - A4]]),"")</f>
        <v>4.25</v>
      </c>
      <c r="DW241" s="14">
        <v>2</v>
      </c>
      <c r="DX241" s="14">
        <v>4</v>
      </c>
      <c r="DY241" s="14">
        <v>2</v>
      </c>
      <c r="DZ241" s="14">
        <f>IFERROR(AVERAGE(Tabel1[[#This Row],[Do - R1a]:[Do - R1c]]),"")</f>
        <v>2.6666666666666665</v>
      </c>
      <c r="EA241" s="14">
        <v>3</v>
      </c>
      <c r="EB241" s="14">
        <v>1</v>
      </c>
      <c r="EC241" s="14">
        <v>1</v>
      </c>
      <c r="ED241" s="14" t="s">
        <v>189</v>
      </c>
      <c r="EE241" s="14">
        <f>IFERROR(AVERAGE(Tabel1[[#This Row],[Do - R1]:[Do - R5]]),"")</f>
        <v>1.9166666666666665</v>
      </c>
      <c r="EF241" s="14">
        <v>4</v>
      </c>
      <c r="EG241" s="14">
        <v>2</v>
      </c>
      <c r="EH241" s="14">
        <v>3</v>
      </c>
      <c r="EI241" s="14">
        <f>IFERROR(AVERAGE(Tabel1[[#This Row],[Do - C1a]:[Do - C1c]]),"")</f>
        <v>3</v>
      </c>
      <c r="EJ241" s="14">
        <v>3</v>
      </c>
      <c r="EK241" s="14">
        <v>3</v>
      </c>
      <c r="EL241" s="14">
        <v>1</v>
      </c>
      <c r="EM241" s="14">
        <f>IFERROR(AVERAGE(Tabel1[[#This Row],[Do - C1]:[Do - C4]]),"")</f>
        <v>2.5</v>
      </c>
      <c r="EN241" s="14">
        <v>1</v>
      </c>
      <c r="EO241" s="14">
        <v>2</v>
      </c>
      <c r="EP241" s="14">
        <v>5</v>
      </c>
      <c r="EQ241" s="14">
        <f>IFERROR(AVERAGE(Tabel1[[#This Row],[Do - F1a]:[Do - F1c]]),"")</f>
        <v>2.6666666666666665</v>
      </c>
      <c r="ER241" s="14">
        <v>3</v>
      </c>
      <c r="ES241" s="14">
        <f>IFERROR(AVERAGE(Tabel1[[#This Row],[Do - F2a]:[Do - F2a]]),"")</f>
        <v>3</v>
      </c>
      <c r="ET241" s="14">
        <v>1</v>
      </c>
      <c r="EU241" s="14">
        <v>2</v>
      </c>
      <c r="EV241" s="14">
        <f>IFERROR(AVERAGE(Tabel1[[#This Row],[Do - F3a]:[Do - F3b]]),"")</f>
        <v>1.5</v>
      </c>
      <c r="EW241" s="14">
        <v>2</v>
      </c>
      <c r="EX241" s="14">
        <f>IFERROR(AVERAGE(Tabel1[[#This Row],[Do - F1]],Tabel1[[#This Row],[Do - F2]],Tabel1[[#This Row],[Do - F3]],Tabel1[[#This Row],[Do - F4]]),"")</f>
        <v>2.2916666666666665</v>
      </c>
      <c r="EY241" s="14">
        <v>3</v>
      </c>
      <c r="EZ241" s="14">
        <v>1</v>
      </c>
      <c r="FA241" s="14">
        <v>3</v>
      </c>
      <c r="FB241" s="14">
        <f>IFERROR(AVERAGE(Tabel1[[#This Row],[Do - V1a]:[Do - V1c]]),"")</f>
        <v>2.3333333333333335</v>
      </c>
      <c r="FC241" s="14">
        <v>4</v>
      </c>
      <c r="FD241" s="14">
        <v>3</v>
      </c>
      <c r="FE241" s="14">
        <f>IFERROR(AVERAGE(Tabel1[[#This Row],[Do - V2a]:[Do - V2b]]),"")</f>
        <v>3.5</v>
      </c>
      <c r="FF241" s="14">
        <v>3</v>
      </c>
      <c r="FG241" s="14">
        <f>IFERROR(AVERAGE(Tabel1[[#This Row],[Do - V3a]:[Do - V3a]]),"")</f>
        <v>3</v>
      </c>
      <c r="FH241" s="14" t="s">
        <v>189</v>
      </c>
      <c r="FI241" s="14">
        <f>IFERROR(AVERAGE(Tabel1[[#This Row],[Do - V1]],Tabel1[[#This Row],[Do - V2]],Tabel1[[#This Row],[Do - V3]],Tabel1[[#This Row],[Do - V4]]),"")</f>
        <v>2.9444444444444446</v>
      </c>
      <c r="FJ241" s="14">
        <v>4</v>
      </c>
      <c r="FK241" s="14">
        <v>3</v>
      </c>
      <c r="FL241" s="14">
        <v>4</v>
      </c>
      <c r="FM241" s="14">
        <f>IFERROR(AVERAGE(Tabel1[[#This Row],[Do - A1a]:[Do - A1c]]),"")</f>
        <v>3.6666666666666665</v>
      </c>
      <c r="FN241" s="14">
        <v>4</v>
      </c>
      <c r="FO241" s="14">
        <v>1</v>
      </c>
      <c r="FP241" s="14">
        <f>IFERROR(AVERAGE(Tabel1[[#This Row],[Do - A2a]:[Do - A2b]]),"")</f>
        <v>2.5</v>
      </c>
      <c r="FQ241" s="14">
        <v>4</v>
      </c>
      <c r="FR241" s="14">
        <f>IFERROR(AVERAGE(Tabel1[[#This Row],[Do - A3a]:[Do - A3a]]),"")</f>
        <v>4</v>
      </c>
      <c r="FS241" s="14">
        <v>3</v>
      </c>
      <c r="FT241" s="14">
        <f>IFERROR(AVERAGE(Tabel1[[#This Row],[Do - A1]],Tabel1[[#This Row],[Do - A2]],Tabel1[[#This Row],[Do - A3]],Tabel1[[#This Row],[Do - A4]]),"")</f>
        <v>3.2916666666666665</v>
      </c>
      <c r="FU24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2.7681481481481476</v>
      </c>
      <c r="FV241" s="27" t="s">
        <v>1295</v>
      </c>
      <c r="FW241" t="b">
        <v>1</v>
      </c>
    </row>
    <row r="242" spans="1:179" x14ac:dyDescent="0.3">
      <c r="A242" s="13">
        <v>45397.4444560185</v>
      </c>
      <c r="B242" t="b">
        <v>0</v>
      </c>
      <c r="C242" s="14" t="s">
        <v>1296</v>
      </c>
      <c r="D242" s="14" t="s">
        <v>1297</v>
      </c>
      <c r="E242" s="14" t="s">
        <v>1298</v>
      </c>
      <c r="F242" s="14" t="s">
        <v>184</v>
      </c>
      <c r="G242" s="14" t="s">
        <v>1299</v>
      </c>
      <c r="H242" s="14" t="s">
        <v>222</v>
      </c>
      <c r="I242" s="14" t="s">
        <v>195</v>
      </c>
      <c r="J242" s="14" t="s">
        <v>1154</v>
      </c>
      <c r="K242" s="28" t="s">
        <v>201</v>
      </c>
      <c r="L242" s="14" t="s">
        <v>218</v>
      </c>
      <c r="M242" s="14" t="s">
        <v>198</v>
      </c>
      <c r="N242" s="14" t="s">
        <v>199</v>
      </c>
      <c r="O242" s="14" t="s">
        <v>200</v>
      </c>
      <c r="P242" s="25" t="s">
        <v>701</v>
      </c>
      <c r="Q242" s="17" t="s">
        <v>304</v>
      </c>
      <c r="R242" s="25" t="s">
        <v>201</v>
      </c>
      <c r="S242" s="25" t="s">
        <v>235</v>
      </c>
      <c r="T242" s="14" t="s">
        <v>236</v>
      </c>
      <c r="U242" s="14" t="s">
        <v>285</v>
      </c>
      <c r="V242" s="14" t="s">
        <v>224</v>
      </c>
      <c r="W242" s="14" t="s">
        <v>395</v>
      </c>
      <c r="X242" s="14" t="s">
        <v>306</v>
      </c>
      <c r="Y242" s="14">
        <v>3</v>
      </c>
      <c r="Z242" s="14">
        <v>1</v>
      </c>
      <c r="AA242" s="14">
        <v>4</v>
      </c>
      <c r="AB242" s="15">
        <f>IFERROR(AVERAGE(Tabel1[[#This Row],[Up - R1a]:[Up - R1c]]),"")</f>
        <v>2.6666666666666665</v>
      </c>
      <c r="AC242" s="14">
        <v>2</v>
      </c>
      <c r="AD242" s="14">
        <v>3</v>
      </c>
      <c r="AE242" s="14">
        <v>2</v>
      </c>
      <c r="AF242" s="14">
        <v>4</v>
      </c>
      <c r="AG242" s="14">
        <f>IFERROR(AVERAGE(Tabel1[[#This Row],[Up - R1]:[Up - R5]]),"")</f>
        <v>2.7333333333333334</v>
      </c>
      <c r="AH242" s="14">
        <v>4</v>
      </c>
      <c r="AI242" s="14">
        <v>4</v>
      </c>
      <c r="AJ242" s="14">
        <v>4</v>
      </c>
      <c r="AK242" s="14">
        <f>IFERROR(AVERAGE(Tabel1[[#This Row],[Up - C1a]:[Up - C1c]]),"")</f>
        <v>4</v>
      </c>
      <c r="AL242" s="14">
        <v>5</v>
      </c>
      <c r="AM242" s="14">
        <v>2</v>
      </c>
      <c r="AN242" s="14">
        <v>5</v>
      </c>
      <c r="AO242" s="14">
        <f>IFERROR(AVERAGE(Tabel1[[#This Row],[Up - C1]:[Up - C4]]),"")</f>
        <v>4</v>
      </c>
      <c r="AP242" s="14">
        <v>3</v>
      </c>
      <c r="AQ242" s="14">
        <f>IFERROR(AVERAGE(Tabel1[[#This Row],[Up - F1a]:[Up - F1a]]),"")</f>
        <v>3</v>
      </c>
      <c r="AR242" s="14">
        <v>2</v>
      </c>
      <c r="AS242" s="14">
        <v>3</v>
      </c>
      <c r="AT242" s="14">
        <f>IFERROR(AVERAGE(Tabel1[[#This Row],[Up - F2a]:[Up - F2b]]),"")</f>
        <v>2.5</v>
      </c>
      <c r="AU242" s="14">
        <v>2</v>
      </c>
      <c r="AV242" s="14">
        <v>3</v>
      </c>
      <c r="AW242" s="14">
        <f>IFERROR(AVERAGE(Tabel1[[#This Row],[Up - F3a]:[Up - F3b]]),"")</f>
        <v>2.5</v>
      </c>
      <c r="AX242" s="14">
        <v>3</v>
      </c>
      <c r="AY242" s="14">
        <f>IFERROR(AVERAGE(Tabel1[[#This Row],[Up - F1]],Tabel1[[#This Row],[Up - F2]],Tabel1[[#This Row],[Up - F3]],Tabel1[[#This Row],[Up - F4]]),"")</f>
        <v>2.75</v>
      </c>
      <c r="AZ242" s="14">
        <v>3</v>
      </c>
      <c r="BA242" s="14">
        <v>3</v>
      </c>
      <c r="BB242" s="14">
        <f>IFERROR(AVERAGE(Tabel1[[#This Row],[Up - V1a]:[Up - V1b]]),"")</f>
        <v>3</v>
      </c>
      <c r="BC242" s="14">
        <v>4</v>
      </c>
      <c r="BD242" s="14">
        <v>3</v>
      </c>
      <c r="BE242" s="14">
        <v>3</v>
      </c>
      <c r="BF242" s="14">
        <f>IFERROR(AVERAGE(Tabel1[[#This Row],[Up - V2a]:[Up - V2c]]),"")</f>
        <v>3.3333333333333335</v>
      </c>
      <c r="BG242" s="14">
        <v>2</v>
      </c>
      <c r="BH242" s="14">
        <v>3</v>
      </c>
      <c r="BI242" s="14">
        <f>IFERROR(AVERAGE(Tabel1[[#This Row],[Up - V3a]:[Up - V3b]]),"")</f>
        <v>2.5</v>
      </c>
      <c r="BJ242" s="14">
        <v>3</v>
      </c>
      <c r="BK242" s="14">
        <f>IFERROR(AVERAGE(Tabel1[[#This Row],[Up - V1]],Tabel1[[#This Row],[Up - V2]],Tabel1[[#This Row],[Up - V3]],Tabel1[[#This Row],[Up - V4]]),"")</f>
        <v>2.9583333333333335</v>
      </c>
      <c r="BL242" s="14">
        <v>4</v>
      </c>
      <c r="BM242" s="14">
        <v>4</v>
      </c>
      <c r="BN242" s="14">
        <v>3</v>
      </c>
      <c r="BO242" s="14">
        <v>3</v>
      </c>
      <c r="BP242" s="14">
        <f>IFERROR(AVERAGE(Tabel1[[#This Row],[Up - A1a]:[Up - A1d]]),"")</f>
        <v>3.5</v>
      </c>
      <c r="BQ242" s="14">
        <v>3</v>
      </c>
      <c r="BR242" s="14">
        <v>3</v>
      </c>
      <c r="BS242" s="14">
        <f>IFERROR(AVERAGE(Tabel1[[#This Row],[Up - A2a]:[Up - A2b]]),"")</f>
        <v>3</v>
      </c>
      <c r="BT242" s="14">
        <v>4</v>
      </c>
      <c r="BU242" s="14">
        <f>IFERROR(AVERAGE(Tabel1[[#This Row],[Up - A3a]:[Up - A3a]]),"")</f>
        <v>4</v>
      </c>
      <c r="BV242" s="14">
        <v>4</v>
      </c>
      <c r="BW242" s="14">
        <f>IFERROR(AVERAGE(Tabel1[[#This Row],[Up - A1]],Tabel1[[#This Row],[Up - A2]],Tabel1[[#This Row],[Up - A3]]),"")</f>
        <v>3.5</v>
      </c>
      <c r="BX242" s="14">
        <v>1</v>
      </c>
      <c r="BY242" s="14">
        <v>1</v>
      </c>
      <c r="BZ242" s="14">
        <f>IFERROR(AVERAGE(Tabel1[[#This Row],[In - R1a]:[In - R1b]]),"")</f>
        <v>1</v>
      </c>
      <c r="CA242" s="14">
        <v>4</v>
      </c>
      <c r="CB242" s="14" t="s">
        <v>189</v>
      </c>
      <c r="CC242" s="14">
        <v>2</v>
      </c>
      <c r="CD242" s="14">
        <v>4</v>
      </c>
      <c r="CE242" s="14">
        <f>IFERROR(AVERAGE(Tabel1[[#This Row],[In - R1]:[In - R5]]),"")</f>
        <v>2.75</v>
      </c>
      <c r="CF242" s="14">
        <v>5</v>
      </c>
      <c r="CG242" s="14">
        <v>5</v>
      </c>
      <c r="CH242" s="14">
        <v>4</v>
      </c>
      <c r="CI242" s="14">
        <f>IFERROR(AVERAGE(Tabel1[[#This Row],[In - C1a]:[In - C1c]]),"")</f>
        <v>4.666666666666667</v>
      </c>
      <c r="CJ242" s="14">
        <v>4</v>
      </c>
      <c r="CK242" s="14">
        <v>4</v>
      </c>
      <c r="CL242" s="14">
        <v>5</v>
      </c>
      <c r="CM242" s="14">
        <f>IFERROR(AVERAGE(Tabel1[[#This Row],[In - C1]:[In - C4]]),"")</f>
        <v>4.416666666666667</v>
      </c>
      <c r="CN242" s="14">
        <v>3</v>
      </c>
      <c r="CO242" s="14">
        <v>3</v>
      </c>
      <c r="CP242" s="14">
        <v>1</v>
      </c>
      <c r="CQ242" s="14">
        <f>IFERROR(AVERAGE(Tabel1[[#This Row],[In - F1a]:[In - F1c]]),"")</f>
        <v>2.3333333333333335</v>
      </c>
      <c r="CR242" s="14">
        <v>4</v>
      </c>
      <c r="CS242" s="14">
        <v>4</v>
      </c>
      <c r="CT242" s="14">
        <f>IFERROR(AVERAGE(Tabel1[[#This Row],[In - F2a]:[In - F2b]]),"")</f>
        <v>4</v>
      </c>
      <c r="CU242" s="14">
        <v>2</v>
      </c>
      <c r="CV242" s="14">
        <f>IFERROR(AVERAGE(Tabel1[[#This Row],[In - F3a]:[In - F3a]]),"")</f>
        <v>2</v>
      </c>
      <c r="CW242" s="14">
        <v>4</v>
      </c>
      <c r="CX242" s="14">
        <f>IFERROR(AVERAGE(Tabel1[[#This Row],[In - F1]],Tabel1[[#This Row],[In - F2]],Tabel1[[#This Row],[In - F3]],Tabel1[[#This Row],[In - F4]]),"")</f>
        <v>3.0833333333333335</v>
      </c>
      <c r="CY242" s="14">
        <v>4</v>
      </c>
      <c r="CZ242" s="14">
        <v>4</v>
      </c>
      <c r="DA242" s="14">
        <v>3</v>
      </c>
      <c r="DB242" s="14">
        <f>IFERROR(AVERAGE(Tabel1[[#This Row],[In - V1a]:[In - V1c]]),"")</f>
        <v>3.6666666666666665</v>
      </c>
      <c r="DC242" s="14">
        <v>3</v>
      </c>
      <c r="DD242" s="14">
        <v>4</v>
      </c>
      <c r="DE242" s="14">
        <v>3</v>
      </c>
      <c r="DF242" s="14">
        <f>IFERROR(AVERAGE(Tabel1[[#This Row],[In - V2a]:[In - V2c]]),"")</f>
        <v>3.3333333333333335</v>
      </c>
      <c r="DG242" s="14">
        <v>4</v>
      </c>
      <c r="DH242" s="14">
        <v>4</v>
      </c>
      <c r="DI242" s="14">
        <f>IFERROR(AVERAGE(Tabel1[[#This Row],[In - V3a]:[In - V3b]]),"")</f>
        <v>4</v>
      </c>
      <c r="DJ242" s="14">
        <v>4</v>
      </c>
      <c r="DK242" s="14">
        <f>IFERROR(AVERAGE(Tabel1[[#This Row],[In - V1]],Tabel1[[#This Row],[In - V2]],Tabel1[[#This Row],[In - V3]],Tabel1[[#This Row],[In - V4]]),"")</f>
        <v>3.75</v>
      </c>
      <c r="DL242" s="14">
        <v>4</v>
      </c>
      <c r="DM242" s="14">
        <v>4</v>
      </c>
      <c r="DN242" s="14">
        <f>IFERROR(AVERAGE(Tabel1[[#This Row],[In - A1a]:[In - A1b]]),"")</f>
        <v>4</v>
      </c>
      <c r="DO242" s="14">
        <v>4</v>
      </c>
      <c r="DP242" s="14">
        <v>4</v>
      </c>
      <c r="DQ242" s="14">
        <f>IFERROR(AVERAGE(Tabel1[[#This Row],[In - A2a]:[In - A2b]]),"")</f>
        <v>4</v>
      </c>
      <c r="DR242" s="14">
        <v>4</v>
      </c>
      <c r="DS242" s="14">
        <v>3</v>
      </c>
      <c r="DT242" s="14">
        <f>IFERROR(AVERAGE(Tabel1[[#This Row],[In - A3a]:[In - A3a]]),"")</f>
        <v>4</v>
      </c>
      <c r="DU242" s="14">
        <v>4</v>
      </c>
      <c r="DV242" s="14">
        <f>IFERROR(AVERAGE(Tabel1[[#This Row],[In - A1]],Tabel1[[#This Row],[In - A2]],Tabel1[[#This Row],[In - A3]],Tabel1[[#This Row],[In - A4]]),"")</f>
        <v>4</v>
      </c>
      <c r="DW242" s="14">
        <v>2</v>
      </c>
      <c r="DX242" s="14">
        <v>5</v>
      </c>
      <c r="DY242" s="14">
        <v>2</v>
      </c>
      <c r="DZ242" s="14">
        <f>IFERROR(AVERAGE(Tabel1[[#This Row],[Do - R1a]:[Do - R1c]]),"")</f>
        <v>3</v>
      </c>
      <c r="EA242" s="14" t="s">
        <v>189</v>
      </c>
      <c r="EB242" s="14">
        <v>3</v>
      </c>
      <c r="EC242" s="14">
        <v>1</v>
      </c>
      <c r="ED242" s="14">
        <v>4</v>
      </c>
      <c r="EE242" s="14">
        <f>IFERROR(AVERAGE(Tabel1[[#This Row],[Do - R1]:[Do - R5]]),"")</f>
        <v>2.75</v>
      </c>
      <c r="EF242" s="14">
        <v>4</v>
      </c>
      <c r="EG242" s="14">
        <v>4</v>
      </c>
      <c r="EH242" s="14">
        <v>4</v>
      </c>
      <c r="EI242" s="14">
        <f>IFERROR(AVERAGE(Tabel1[[#This Row],[Do - C1a]:[Do - C1c]]),"")</f>
        <v>4</v>
      </c>
      <c r="EJ242" s="14">
        <v>4</v>
      </c>
      <c r="EK242" s="14">
        <v>3</v>
      </c>
      <c r="EL242" s="14">
        <v>4</v>
      </c>
      <c r="EM242" s="14">
        <f>IFERROR(AVERAGE(Tabel1[[#This Row],[Do - C1]:[Do - C4]]),"")</f>
        <v>3.75</v>
      </c>
      <c r="EN242" s="14">
        <v>3</v>
      </c>
      <c r="EO242" s="14">
        <v>2</v>
      </c>
      <c r="EP242" s="14">
        <v>3</v>
      </c>
      <c r="EQ242" s="14">
        <f>IFERROR(AVERAGE(Tabel1[[#This Row],[Do - F1a]:[Do - F1c]]),"")</f>
        <v>2.6666666666666665</v>
      </c>
      <c r="ER242" s="14">
        <v>3</v>
      </c>
      <c r="ES242" s="14">
        <f>IFERROR(AVERAGE(Tabel1[[#This Row],[Do - F2a]:[Do - F2a]]),"")</f>
        <v>3</v>
      </c>
      <c r="ET242" s="14">
        <v>3</v>
      </c>
      <c r="EU242" s="14">
        <v>3</v>
      </c>
      <c r="EV242" s="14">
        <f>IFERROR(AVERAGE(Tabel1[[#This Row],[Do - F3a]:[Do - F3b]]),"")</f>
        <v>3</v>
      </c>
      <c r="EW242" s="14">
        <v>3</v>
      </c>
      <c r="EX242" s="14">
        <f>IFERROR(AVERAGE(Tabel1[[#This Row],[Do - F1]],Tabel1[[#This Row],[Do - F2]],Tabel1[[#This Row],[Do - F3]],Tabel1[[#This Row],[Do - F4]]),"")</f>
        <v>2.9166666666666665</v>
      </c>
      <c r="EY242" s="14">
        <v>4</v>
      </c>
      <c r="EZ242" s="14">
        <v>3</v>
      </c>
      <c r="FA242" s="14">
        <v>4</v>
      </c>
      <c r="FB242" s="14">
        <f>IFERROR(AVERAGE(Tabel1[[#This Row],[Do - V1a]:[Do - V1c]]),"")</f>
        <v>3.6666666666666665</v>
      </c>
      <c r="FC242" s="14">
        <v>4</v>
      </c>
      <c r="FD242" s="14">
        <v>3</v>
      </c>
      <c r="FE242" s="14">
        <f>IFERROR(AVERAGE(Tabel1[[#This Row],[Do - V2a]:[Do - V2b]]),"")</f>
        <v>3.5</v>
      </c>
      <c r="FF242" s="14">
        <v>3</v>
      </c>
      <c r="FG242" s="14">
        <f>IFERROR(AVERAGE(Tabel1[[#This Row],[Do - V3a]:[Do - V3a]]),"")</f>
        <v>3</v>
      </c>
      <c r="FH242" s="14">
        <v>3</v>
      </c>
      <c r="FI242" s="14">
        <f>IFERROR(AVERAGE(Tabel1[[#This Row],[Do - V1]],Tabel1[[#This Row],[Do - V2]],Tabel1[[#This Row],[Do - V3]],Tabel1[[#This Row],[Do - V4]]),"")</f>
        <v>3.2916666666666665</v>
      </c>
      <c r="FJ242" s="14">
        <v>4</v>
      </c>
      <c r="FK242" s="14">
        <v>4</v>
      </c>
      <c r="FL242" s="14">
        <v>3</v>
      </c>
      <c r="FM242" s="14">
        <f>IFERROR(AVERAGE(Tabel1[[#This Row],[Do - A1a]:[Do - A1c]]),"")</f>
        <v>3.6666666666666665</v>
      </c>
      <c r="FN242" s="14" t="s">
        <v>189</v>
      </c>
      <c r="FO242" s="14">
        <v>4</v>
      </c>
      <c r="FP242" s="14">
        <f>IFERROR(AVERAGE(Tabel1[[#This Row],[Do - A2a]:[Do - A2b]]),"")</f>
        <v>4</v>
      </c>
      <c r="FQ242" s="14">
        <v>4</v>
      </c>
      <c r="FR242" s="14">
        <f>IFERROR(AVERAGE(Tabel1[[#This Row],[Do - A3a]:[Do - A3a]]),"")</f>
        <v>4</v>
      </c>
      <c r="FS242" s="14">
        <v>4</v>
      </c>
      <c r="FT242" s="14">
        <f>IFERROR(AVERAGE(Tabel1[[#This Row],[Do - A1]],Tabel1[[#This Row],[Do - A2]],Tabel1[[#This Row],[Do - A3]],Tabel1[[#This Row],[Do - A4]]),"")</f>
        <v>3.9166666666666665</v>
      </c>
      <c r="FU24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3.3711111111111109</v>
      </c>
      <c r="FV242" s="27" t="s">
        <v>1300</v>
      </c>
      <c r="FW242" t="b">
        <v>1</v>
      </c>
    </row>
    <row r="243" spans="1:179" x14ac:dyDescent="0.3">
      <c r="A243" s="13">
        <v>45397.601041666698</v>
      </c>
      <c r="B243" t="b">
        <v>0</v>
      </c>
      <c r="C243" s="14" t="s">
        <v>1301</v>
      </c>
      <c r="D243" s="14" t="s">
        <v>1302</v>
      </c>
      <c r="E243" s="14" t="s">
        <v>1303</v>
      </c>
      <c r="F243" s="14" t="s">
        <v>184</v>
      </c>
      <c r="G243" s="14" t="s">
        <v>1304</v>
      </c>
      <c r="H243" s="14" t="s">
        <v>222</v>
      </c>
      <c r="I243" s="14" t="s">
        <v>195</v>
      </c>
      <c r="J243" s="14" t="s">
        <v>1305</v>
      </c>
      <c r="K243" s="28" t="s">
        <v>202</v>
      </c>
      <c r="L243" s="14" t="s">
        <v>249</v>
      </c>
      <c r="M243" s="14" t="s">
        <v>233</v>
      </c>
      <c r="N243" s="14" t="s">
        <v>331</v>
      </c>
      <c r="O243" s="14" t="s">
        <v>200</v>
      </c>
      <c r="P243" s="24" t="s">
        <v>255</v>
      </c>
      <c r="Q243" s="17" t="s">
        <v>203</v>
      </c>
      <c r="R243" s="25" t="s">
        <v>235</v>
      </c>
      <c r="S243" s="24" t="s">
        <v>304</v>
      </c>
      <c r="T243" s="14" t="s">
        <v>236</v>
      </c>
      <c r="U243" s="14" t="s">
        <v>237</v>
      </c>
      <c r="V243" s="14" t="s">
        <v>224</v>
      </c>
      <c r="W243" s="14" t="s">
        <v>207</v>
      </c>
      <c r="X243" s="14" t="s">
        <v>207</v>
      </c>
      <c r="Y243" s="14">
        <v>2</v>
      </c>
      <c r="Z243" s="14">
        <v>2</v>
      </c>
      <c r="AA243" s="14">
        <v>1</v>
      </c>
      <c r="AB243" s="15">
        <f>IFERROR(AVERAGE(Tabel1[[#This Row],[Up - R1a]:[Up - R1c]]),"")</f>
        <v>1.6666666666666667</v>
      </c>
      <c r="AC243" s="14">
        <v>1</v>
      </c>
      <c r="AD243" s="14">
        <v>1</v>
      </c>
      <c r="AE243" s="14">
        <v>1</v>
      </c>
      <c r="AF243" s="14">
        <v>4</v>
      </c>
      <c r="AG243" s="14">
        <f>IFERROR(AVERAGE(Tabel1[[#This Row],[Up - R1]:[Up - R5]]),"")</f>
        <v>1.7333333333333336</v>
      </c>
      <c r="AH243" s="14">
        <v>5</v>
      </c>
      <c r="AI243" s="14">
        <v>5</v>
      </c>
      <c r="AJ243" s="14">
        <v>5</v>
      </c>
      <c r="AK243" s="14">
        <f>IFERROR(AVERAGE(Tabel1[[#This Row],[Up - C1a]:[Up - C1c]]),"")</f>
        <v>5</v>
      </c>
      <c r="AL243" s="14">
        <v>3</v>
      </c>
      <c r="AM243" s="14">
        <v>4</v>
      </c>
      <c r="AN243" s="14">
        <v>2</v>
      </c>
      <c r="AO243" s="14">
        <f>IFERROR(AVERAGE(Tabel1[[#This Row],[Up - C1]:[Up - C4]]),"")</f>
        <v>3.5</v>
      </c>
      <c r="AP243" s="14">
        <v>1</v>
      </c>
      <c r="AQ243" s="14">
        <f>IFERROR(AVERAGE(Tabel1[[#This Row],[Up - F1a]:[Up - F1a]]),"")</f>
        <v>1</v>
      </c>
      <c r="AR243" s="14">
        <v>1</v>
      </c>
      <c r="AS243" s="14">
        <v>1</v>
      </c>
      <c r="AT243" s="14">
        <f>IFERROR(AVERAGE(Tabel1[[#This Row],[Up - F2a]:[Up - F2b]]),"")</f>
        <v>1</v>
      </c>
      <c r="AU243" s="14">
        <v>1</v>
      </c>
      <c r="AV243" s="14">
        <v>1</v>
      </c>
      <c r="AW243" s="14">
        <f>IFERROR(AVERAGE(Tabel1[[#This Row],[Up - F3a]:[Up - F3b]]),"")</f>
        <v>1</v>
      </c>
      <c r="AX243" s="14">
        <v>1</v>
      </c>
      <c r="AY243" s="14">
        <f>IFERROR(AVERAGE(Tabel1[[#This Row],[Up - F1]],Tabel1[[#This Row],[Up - F2]],Tabel1[[#This Row],[Up - F3]],Tabel1[[#This Row],[Up - F4]]),"")</f>
        <v>1</v>
      </c>
      <c r="AZ243" s="14">
        <v>5</v>
      </c>
      <c r="BA243" s="14">
        <v>5</v>
      </c>
      <c r="BB243" s="14">
        <f>IFERROR(AVERAGE(Tabel1[[#This Row],[Up - V1a]:[Up - V1b]]),"")</f>
        <v>5</v>
      </c>
      <c r="BC243" s="14">
        <v>1</v>
      </c>
      <c r="BD243" s="14">
        <v>1</v>
      </c>
      <c r="BE243" s="14">
        <v>5</v>
      </c>
      <c r="BF243" s="14">
        <f>IFERROR(AVERAGE(Tabel1[[#This Row],[Up - V2a]:[Up - V2c]]),"")</f>
        <v>2.3333333333333335</v>
      </c>
      <c r="BG243" s="14">
        <v>1</v>
      </c>
      <c r="BH243" s="14">
        <v>5</v>
      </c>
      <c r="BI243" s="14">
        <f>IFERROR(AVERAGE(Tabel1[[#This Row],[Up - V3a]:[Up - V3b]]),"")</f>
        <v>3</v>
      </c>
      <c r="BJ243" s="14">
        <v>5</v>
      </c>
      <c r="BK243" s="14">
        <f>IFERROR(AVERAGE(Tabel1[[#This Row],[Up - V1]],Tabel1[[#This Row],[Up - V2]],Tabel1[[#This Row],[Up - V3]],Tabel1[[#This Row],[Up - V4]]),"")</f>
        <v>3.8333333333333335</v>
      </c>
      <c r="BL243" s="14">
        <v>5</v>
      </c>
      <c r="BM243" s="14">
        <v>5</v>
      </c>
      <c r="BN243" s="14">
        <v>2</v>
      </c>
      <c r="BO243" s="14">
        <v>1</v>
      </c>
      <c r="BP243" s="14">
        <f>IFERROR(AVERAGE(Tabel1[[#This Row],[Up - A1a]:[Up - A1d]]),"")</f>
        <v>3.25</v>
      </c>
      <c r="BQ243" s="14">
        <v>1</v>
      </c>
      <c r="BR243" s="14">
        <v>1</v>
      </c>
      <c r="BS243" s="14">
        <f>IFERROR(AVERAGE(Tabel1[[#This Row],[Up - A2a]:[Up - A2b]]),"")</f>
        <v>1</v>
      </c>
      <c r="BT243" s="14">
        <v>5</v>
      </c>
      <c r="BU243" s="14">
        <f>IFERROR(AVERAGE(Tabel1[[#This Row],[Up - A3a]:[Up - A3a]]),"")</f>
        <v>5</v>
      </c>
      <c r="BV243" s="14">
        <v>1</v>
      </c>
      <c r="BW243" s="14">
        <f>IFERROR(AVERAGE(Tabel1[[#This Row],[Up - A1]],Tabel1[[#This Row],[Up - A2]],Tabel1[[#This Row],[Up - A3]]),"")</f>
        <v>3.0833333333333335</v>
      </c>
      <c r="BX243" s="14">
        <v>1</v>
      </c>
      <c r="BY243" s="14">
        <v>4</v>
      </c>
      <c r="BZ243" s="14">
        <f>IFERROR(AVERAGE(Tabel1[[#This Row],[In - R1a]:[In - R1b]]),"")</f>
        <v>2.5</v>
      </c>
      <c r="CA243" s="14">
        <v>1</v>
      </c>
      <c r="CB243" s="14">
        <v>1</v>
      </c>
      <c r="CC243" s="14">
        <v>1</v>
      </c>
      <c r="CD243" s="14">
        <v>4</v>
      </c>
      <c r="CE243" s="14">
        <f>IFERROR(AVERAGE(Tabel1[[#This Row],[In - R1]:[In - R5]]),"")</f>
        <v>1.9</v>
      </c>
      <c r="CF243" s="14">
        <v>4</v>
      </c>
      <c r="CG243" s="14">
        <v>4</v>
      </c>
      <c r="CH243" s="14">
        <v>1</v>
      </c>
      <c r="CI243" s="14">
        <f>IFERROR(AVERAGE(Tabel1[[#This Row],[In - C1a]:[In - C1c]]),"")</f>
        <v>3</v>
      </c>
      <c r="CJ243" s="14">
        <v>4</v>
      </c>
      <c r="CK243" s="14">
        <v>5</v>
      </c>
      <c r="CL243" s="14">
        <v>4</v>
      </c>
      <c r="CM243" s="14">
        <f>IFERROR(AVERAGE(Tabel1[[#This Row],[In - C1]:[In - C4]]),"")</f>
        <v>4</v>
      </c>
      <c r="CN243" s="14">
        <v>3</v>
      </c>
      <c r="CO243" s="14">
        <v>4</v>
      </c>
      <c r="CP243" s="14">
        <v>1</v>
      </c>
      <c r="CQ243" s="14">
        <f>IFERROR(AVERAGE(Tabel1[[#This Row],[In - F1a]:[In - F1c]]),"")</f>
        <v>2.6666666666666665</v>
      </c>
      <c r="CR243" s="14">
        <v>2</v>
      </c>
      <c r="CS243" s="14">
        <v>1</v>
      </c>
      <c r="CT243" s="14">
        <f>IFERROR(AVERAGE(Tabel1[[#This Row],[In - F2a]:[In - F2b]]),"")</f>
        <v>1.5</v>
      </c>
      <c r="CU243" s="14">
        <v>1</v>
      </c>
      <c r="CV243" s="14">
        <f>IFERROR(AVERAGE(Tabel1[[#This Row],[In - F3a]:[In - F3a]]),"")</f>
        <v>1</v>
      </c>
      <c r="CW243" s="14">
        <v>1</v>
      </c>
      <c r="CX243" s="14">
        <f>IFERROR(AVERAGE(Tabel1[[#This Row],[In - F1]],Tabel1[[#This Row],[In - F2]],Tabel1[[#This Row],[In - F3]],Tabel1[[#This Row],[In - F4]]),"")</f>
        <v>1.5416666666666665</v>
      </c>
      <c r="CY243" s="14">
        <v>1</v>
      </c>
      <c r="CZ243" s="14">
        <v>4</v>
      </c>
      <c r="DA243" s="14">
        <v>5</v>
      </c>
      <c r="DB243" s="14">
        <f>IFERROR(AVERAGE(Tabel1[[#This Row],[In - V1a]:[In - V1c]]),"")</f>
        <v>3.3333333333333335</v>
      </c>
      <c r="DC243" s="14">
        <v>2</v>
      </c>
      <c r="DD243" s="14">
        <v>1</v>
      </c>
      <c r="DE243" s="14">
        <v>3</v>
      </c>
      <c r="DF243" s="14">
        <f>IFERROR(AVERAGE(Tabel1[[#This Row],[In - V2a]:[In - V2c]]),"")</f>
        <v>2</v>
      </c>
      <c r="DG243" s="14">
        <v>1</v>
      </c>
      <c r="DH243" s="14">
        <v>5</v>
      </c>
      <c r="DI243" s="14">
        <f>IFERROR(AVERAGE(Tabel1[[#This Row],[In - V3a]:[In - V3b]]),"")</f>
        <v>3</v>
      </c>
      <c r="DJ243" s="14">
        <v>5</v>
      </c>
      <c r="DK243" s="14">
        <f>IFERROR(AVERAGE(Tabel1[[#This Row],[In - V1]],Tabel1[[#This Row],[In - V2]],Tabel1[[#This Row],[In - V3]],Tabel1[[#This Row],[In - V4]]),"")</f>
        <v>3.3333333333333335</v>
      </c>
      <c r="DL243" s="14">
        <v>5</v>
      </c>
      <c r="DM243" s="14">
        <v>1</v>
      </c>
      <c r="DN243" s="14">
        <f>IFERROR(AVERAGE(Tabel1[[#This Row],[In - A1a]:[In - A1b]]),"")</f>
        <v>3</v>
      </c>
      <c r="DO243" s="14">
        <v>1</v>
      </c>
      <c r="DP243" s="14">
        <v>1</v>
      </c>
      <c r="DQ243" s="14">
        <f>IFERROR(AVERAGE(Tabel1[[#This Row],[In - A2a]:[In - A2b]]),"")</f>
        <v>1</v>
      </c>
      <c r="DR243" s="14">
        <v>5</v>
      </c>
      <c r="DS243" s="14">
        <v>1</v>
      </c>
      <c r="DT243" s="14">
        <f>IFERROR(AVERAGE(Tabel1[[#This Row],[In - A3a]:[In - A3a]]),"")</f>
        <v>5</v>
      </c>
      <c r="DU243" s="14">
        <v>1</v>
      </c>
      <c r="DV243" s="14">
        <f>IFERROR(AVERAGE(Tabel1[[#This Row],[In - A1]],Tabel1[[#This Row],[In - A2]],Tabel1[[#This Row],[In - A3]],Tabel1[[#This Row],[In - A4]]),"")</f>
        <v>2.5</v>
      </c>
      <c r="DW243" s="14">
        <v>1</v>
      </c>
      <c r="DX243" s="14">
        <v>5</v>
      </c>
      <c r="DY243" s="14">
        <v>1</v>
      </c>
      <c r="DZ243" s="14">
        <f>IFERROR(AVERAGE(Tabel1[[#This Row],[Do - R1a]:[Do - R1c]]),"")</f>
        <v>2.3333333333333335</v>
      </c>
      <c r="EA243" s="14">
        <v>1</v>
      </c>
      <c r="EB243" s="14">
        <v>3</v>
      </c>
      <c r="EC243" s="14">
        <v>1</v>
      </c>
      <c r="ED243" s="14">
        <v>4</v>
      </c>
      <c r="EE243" s="14">
        <f>IFERROR(AVERAGE(Tabel1[[#This Row],[Do - R1]:[Do - R5]]),"")</f>
        <v>2.2666666666666666</v>
      </c>
      <c r="EF243" s="14">
        <v>5</v>
      </c>
      <c r="EG243" s="14">
        <v>5</v>
      </c>
      <c r="EH243" s="14">
        <v>5</v>
      </c>
      <c r="EI243" s="14">
        <f>IFERROR(AVERAGE(Tabel1[[#This Row],[Do - C1a]:[Do - C1c]]),"")</f>
        <v>5</v>
      </c>
      <c r="EJ243" s="14">
        <v>4</v>
      </c>
      <c r="EK243" s="14">
        <v>3</v>
      </c>
      <c r="EL243" s="14">
        <v>3</v>
      </c>
      <c r="EM243" s="14">
        <f>IFERROR(AVERAGE(Tabel1[[#This Row],[Do - C1]:[Do - C4]]),"")</f>
        <v>3.75</v>
      </c>
      <c r="EN243" s="14">
        <v>3</v>
      </c>
      <c r="EO243" s="14">
        <v>1</v>
      </c>
      <c r="EP243" s="14">
        <v>1</v>
      </c>
      <c r="EQ243" s="14">
        <f>IFERROR(AVERAGE(Tabel1[[#This Row],[Do - F1a]:[Do - F1c]]),"")</f>
        <v>1.6666666666666667</v>
      </c>
      <c r="ER243" s="14">
        <v>5</v>
      </c>
      <c r="ES243" s="14">
        <f>IFERROR(AVERAGE(Tabel1[[#This Row],[Do - F2a]:[Do - F2a]]),"")</f>
        <v>5</v>
      </c>
      <c r="ET243" s="14">
        <v>1</v>
      </c>
      <c r="EU243" s="14">
        <v>1</v>
      </c>
      <c r="EV243" s="14">
        <f>IFERROR(AVERAGE(Tabel1[[#This Row],[Do - F3a]:[Do - F3b]]),"")</f>
        <v>1</v>
      </c>
      <c r="EW243" s="14">
        <v>1</v>
      </c>
      <c r="EX243" s="14">
        <f>IFERROR(AVERAGE(Tabel1[[#This Row],[Do - F1]],Tabel1[[#This Row],[Do - F2]],Tabel1[[#This Row],[Do - F3]],Tabel1[[#This Row],[Do - F4]]),"")</f>
        <v>2.166666666666667</v>
      </c>
      <c r="EY243" s="14">
        <v>5</v>
      </c>
      <c r="EZ243" s="14">
        <v>3</v>
      </c>
      <c r="FA243" s="14">
        <v>5</v>
      </c>
      <c r="FB243" s="14">
        <f>IFERROR(AVERAGE(Tabel1[[#This Row],[Do - V1a]:[Do - V1c]]),"")</f>
        <v>4.333333333333333</v>
      </c>
      <c r="FC243" s="14">
        <v>2</v>
      </c>
      <c r="FD243" s="14">
        <v>1</v>
      </c>
      <c r="FE243" s="14">
        <f>IFERROR(AVERAGE(Tabel1[[#This Row],[Do - V2a]:[Do - V2b]]),"")</f>
        <v>1.5</v>
      </c>
      <c r="FF243" s="14">
        <v>3</v>
      </c>
      <c r="FG243" s="14">
        <f>IFERROR(AVERAGE(Tabel1[[#This Row],[Do - V3a]:[Do - V3a]]),"")</f>
        <v>3</v>
      </c>
      <c r="FH243" s="14">
        <v>5</v>
      </c>
      <c r="FI243" s="14">
        <f>IFERROR(AVERAGE(Tabel1[[#This Row],[Do - V1]],Tabel1[[#This Row],[Do - V2]],Tabel1[[#This Row],[Do - V3]],Tabel1[[#This Row],[Do - V4]]),"")</f>
        <v>3.458333333333333</v>
      </c>
      <c r="FJ243" s="14">
        <v>5</v>
      </c>
      <c r="FK243" s="14">
        <v>1</v>
      </c>
      <c r="FL243" s="14">
        <v>2</v>
      </c>
      <c r="FM243" s="14">
        <f>IFERROR(AVERAGE(Tabel1[[#This Row],[Do - A1a]:[Do - A1c]]),"")</f>
        <v>2.6666666666666665</v>
      </c>
      <c r="FN243" s="14">
        <v>1</v>
      </c>
      <c r="FO243" s="14">
        <v>1</v>
      </c>
      <c r="FP243" s="14">
        <f>IFERROR(AVERAGE(Tabel1[[#This Row],[Do - A2a]:[Do - A2b]]),"")</f>
        <v>1</v>
      </c>
      <c r="FQ243" s="14">
        <v>5</v>
      </c>
      <c r="FR243" s="14">
        <f>IFERROR(AVERAGE(Tabel1[[#This Row],[Do - A3a]:[Do - A3a]]),"")</f>
        <v>5</v>
      </c>
      <c r="FS243" s="14">
        <v>1</v>
      </c>
      <c r="FT243" s="14">
        <f>IFERROR(AVERAGE(Tabel1[[#This Row],[Do - A1]],Tabel1[[#This Row],[Do - A2]],Tabel1[[#This Row],[Do - A3]],Tabel1[[#This Row],[Do - A4]]),"")</f>
        <v>2.4166666666666665</v>
      </c>
      <c r="FU24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2.6988888888888884</v>
      </c>
      <c r="FV243" s="27" t="s">
        <v>1306</v>
      </c>
      <c r="FW243" t="b">
        <v>1</v>
      </c>
    </row>
    <row r="244" spans="1:179" x14ac:dyDescent="0.3">
      <c r="A244" s="13">
        <v>45398.498287037</v>
      </c>
      <c r="B244" t="b">
        <v>0</v>
      </c>
      <c r="C244" s="14" t="s">
        <v>1307</v>
      </c>
      <c r="D244" s="14" t="s">
        <v>1308</v>
      </c>
      <c r="E244" s="14" t="s">
        <v>1309</v>
      </c>
      <c r="F244" s="14" t="s">
        <v>184</v>
      </c>
      <c r="G244" s="14" t="s">
        <v>1310</v>
      </c>
      <c r="H244" s="14" t="s">
        <v>222</v>
      </c>
      <c r="I244" s="14" t="s">
        <v>186</v>
      </c>
      <c r="J244" s="14" t="s">
        <v>186</v>
      </c>
      <c r="K244" s="28" t="s">
        <v>235</v>
      </c>
      <c r="L244" s="14" t="s">
        <v>218</v>
      </c>
      <c r="M244" s="14" t="s">
        <v>198</v>
      </c>
      <c r="N244" s="14" t="s">
        <v>479</v>
      </c>
      <c r="O244" s="14" t="s">
        <v>200</v>
      </c>
      <c r="P244" s="24" t="s">
        <v>255</v>
      </c>
      <c r="Q244" s="17" t="s">
        <v>304</v>
      </c>
      <c r="R244" s="24" t="s">
        <v>304</v>
      </c>
      <c r="S244" s="24" t="s">
        <v>255</v>
      </c>
      <c r="T244" s="14" t="s">
        <v>348</v>
      </c>
      <c r="U244" s="14" t="s">
        <v>237</v>
      </c>
      <c r="V244" s="14" t="s">
        <v>484</v>
      </c>
      <c r="W244" s="14" t="s">
        <v>395</v>
      </c>
      <c r="X244" s="14" t="s">
        <v>306</v>
      </c>
      <c r="Y244" s="14">
        <v>4</v>
      </c>
      <c r="Z244" s="14">
        <v>4</v>
      </c>
      <c r="AA244" s="14">
        <v>3</v>
      </c>
      <c r="AB244" s="15">
        <f>IFERROR(AVERAGE(Tabel1[[#This Row],[Up - R1a]:[Up - R1c]]),"")</f>
        <v>3.6666666666666665</v>
      </c>
      <c r="AC244" s="14">
        <v>2</v>
      </c>
      <c r="AD244" s="14">
        <v>2</v>
      </c>
      <c r="AE244" s="14">
        <v>3</v>
      </c>
      <c r="AF244" s="14">
        <v>4</v>
      </c>
      <c r="AG244" s="14">
        <f>IFERROR(AVERAGE(Tabel1[[#This Row],[Up - R1]:[Up - R5]]),"")</f>
        <v>2.9333333333333331</v>
      </c>
      <c r="AH244" s="14">
        <v>4</v>
      </c>
      <c r="AI244" s="14">
        <v>4</v>
      </c>
      <c r="AJ244" s="14">
        <v>3</v>
      </c>
      <c r="AK244" s="14">
        <f>IFERROR(AVERAGE(Tabel1[[#This Row],[Up - C1a]:[Up - C1c]]),"")</f>
        <v>3.6666666666666665</v>
      </c>
      <c r="AL244" s="14">
        <v>3</v>
      </c>
      <c r="AM244" s="14">
        <v>4</v>
      </c>
      <c r="AN244" s="14">
        <v>4</v>
      </c>
      <c r="AO244" s="14">
        <f>IFERROR(AVERAGE(Tabel1[[#This Row],[Up - C1]:[Up - C4]]),"")</f>
        <v>3.6666666666666665</v>
      </c>
      <c r="AP244" s="14">
        <v>2</v>
      </c>
      <c r="AQ244" s="14">
        <f>IFERROR(AVERAGE(Tabel1[[#This Row],[Up - F1a]:[Up - F1a]]),"")</f>
        <v>2</v>
      </c>
      <c r="AR244" s="14">
        <v>2</v>
      </c>
      <c r="AS244" s="14">
        <v>2</v>
      </c>
      <c r="AT244" s="14">
        <f>IFERROR(AVERAGE(Tabel1[[#This Row],[Up - F2a]:[Up - F2b]]),"")</f>
        <v>2</v>
      </c>
      <c r="AU244" s="14">
        <v>3</v>
      </c>
      <c r="AV244" s="14">
        <v>3</v>
      </c>
      <c r="AW244" s="14">
        <f>IFERROR(AVERAGE(Tabel1[[#This Row],[Up - F3a]:[Up - F3b]]),"")</f>
        <v>3</v>
      </c>
      <c r="AX244" s="14">
        <v>3</v>
      </c>
      <c r="AY244" s="14">
        <f>IFERROR(AVERAGE(Tabel1[[#This Row],[Up - F1]],Tabel1[[#This Row],[Up - F2]],Tabel1[[#This Row],[Up - F3]],Tabel1[[#This Row],[Up - F4]]),"")</f>
        <v>2.5</v>
      </c>
      <c r="AZ244" s="14">
        <v>4</v>
      </c>
      <c r="BA244" s="14">
        <v>4</v>
      </c>
      <c r="BB244" s="14">
        <f>IFERROR(AVERAGE(Tabel1[[#This Row],[Up - V1a]:[Up - V1b]]),"")</f>
        <v>4</v>
      </c>
      <c r="BC244" s="14">
        <v>3</v>
      </c>
      <c r="BD244" s="14">
        <v>4</v>
      </c>
      <c r="BE244" s="14">
        <v>5</v>
      </c>
      <c r="BF244" s="14">
        <f>IFERROR(AVERAGE(Tabel1[[#This Row],[Up - V2a]:[Up - V2c]]),"")</f>
        <v>4</v>
      </c>
      <c r="BG244" s="14">
        <v>5</v>
      </c>
      <c r="BH244" s="14">
        <v>3</v>
      </c>
      <c r="BI244" s="14">
        <f>IFERROR(AVERAGE(Tabel1[[#This Row],[Up - V3a]:[Up - V3b]]),"")</f>
        <v>4</v>
      </c>
      <c r="BJ244" s="14">
        <v>5</v>
      </c>
      <c r="BK244" s="14">
        <f>IFERROR(AVERAGE(Tabel1[[#This Row],[Up - V1]],Tabel1[[#This Row],[Up - V2]],Tabel1[[#This Row],[Up - V3]],Tabel1[[#This Row],[Up - V4]]),"")</f>
        <v>4.25</v>
      </c>
      <c r="BL244" s="14">
        <v>3</v>
      </c>
      <c r="BM244" s="14">
        <v>4</v>
      </c>
      <c r="BN244" s="14">
        <v>2</v>
      </c>
      <c r="BO244" s="14">
        <v>3</v>
      </c>
      <c r="BP244" s="14">
        <f>IFERROR(AVERAGE(Tabel1[[#This Row],[Up - A1a]:[Up - A1d]]),"")</f>
        <v>3</v>
      </c>
      <c r="BQ244" s="14">
        <v>4</v>
      </c>
      <c r="BR244" s="14">
        <v>2</v>
      </c>
      <c r="BS244" s="14">
        <f>IFERROR(AVERAGE(Tabel1[[#This Row],[Up - A2a]:[Up - A2b]]),"")</f>
        <v>3</v>
      </c>
      <c r="BT244" s="14">
        <v>3</v>
      </c>
      <c r="BU244" s="14">
        <f>IFERROR(AVERAGE(Tabel1[[#This Row],[Up - A3a]:[Up - A3a]]),"")</f>
        <v>3</v>
      </c>
      <c r="BV244" s="14">
        <v>4</v>
      </c>
      <c r="BW244" s="14">
        <f>IFERROR(AVERAGE(Tabel1[[#This Row],[Up - A1]],Tabel1[[#This Row],[Up - A2]],Tabel1[[#This Row],[Up - A3]]),"")</f>
        <v>3</v>
      </c>
      <c r="BX244" s="14">
        <v>4</v>
      </c>
      <c r="BY244" s="14">
        <v>5</v>
      </c>
      <c r="BZ244" s="14">
        <f>IFERROR(AVERAGE(Tabel1[[#This Row],[In - R1a]:[In - R1b]]),"")</f>
        <v>4.5</v>
      </c>
      <c r="CA244" s="14">
        <v>2</v>
      </c>
      <c r="CB244" s="14">
        <v>3</v>
      </c>
      <c r="CC244" s="14">
        <v>1</v>
      </c>
      <c r="CD244" s="14">
        <v>4</v>
      </c>
      <c r="CE244" s="14">
        <f>IFERROR(AVERAGE(Tabel1[[#This Row],[In - R1]:[In - R5]]),"")</f>
        <v>2.9</v>
      </c>
      <c r="CF244" s="14">
        <v>4</v>
      </c>
      <c r="CG244" s="14">
        <v>4</v>
      </c>
      <c r="CH244" s="14">
        <v>3</v>
      </c>
      <c r="CI244" s="14">
        <f>IFERROR(AVERAGE(Tabel1[[#This Row],[In - C1a]:[In - C1c]]),"")</f>
        <v>3.6666666666666665</v>
      </c>
      <c r="CJ244" s="14">
        <v>3</v>
      </c>
      <c r="CK244" s="14">
        <v>3</v>
      </c>
      <c r="CL244" s="14">
        <v>4</v>
      </c>
      <c r="CM244" s="14">
        <f>IFERROR(AVERAGE(Tabel1[[#This Row],[In - C1]:[In - C4]]),"")</f>
        <v>3.4166666666666665</v>
      </c>
      <c r="CN244" s="14">
        <v>2</v>
      </c>
      <c r="CO244" s="14">
        <v>2</v>
      </c>
      <c r="CP244" s="14">
        <v>1</v>
      </c>
      <c r="CQ244" s="14">
        <f>IFERROR(AVERAGE(Tabel1[[#This Row],[In - F1a]:[In - F1c]]),"")</f>
        <v>1.6666666666666667</v>
      </c>
      <c r="CR244" s="14">
        <v>2</v>
      </c>
      <c r="CS244" s="14">
        <v>2</v>
      </c>
      <c r="CT244" s="14">
        <f>IFERROR(AVERAGE(Tabel1[[#This Row],[In - F2a]:[In - F2b]]),"")</f>
        <v>2</v>
      </c>
      <c r="CU244" s="14">
        <v>2</v>
      </c>
      <c r="CV244" s="14">
        <f>IFERROR(AVERAGE(Tabel1[[#This Row],[In - F3a]:[In - F3a]]),"")</f>
        <v>2</v>
      </c>
      <c r="CW244" s="14">
        <v>3</v>
      </c>
      <c r="CX244" s="14">
        <f>IFERROR(AVERAGE(Tabel1[[#This Row],[In - F1]],Tabel1[[#This Row],[In - F2]],Tabel1[[#This Row],[In - F3]],Tabel1[[#This Row],[In - F4]]),"")</f>
        <v>2.166666666666667</v>
      </c>
      <c r="CY244" s="14">
        <v>4</v>
      </c>
      <c r="CZ244" s="14">
        <v>4</v>
      </c>
      <c r="DA244" s="14">
        <v>3</v>
      </c>
      <c r="DB244" s="14">
        <f>IFERROR(AVERAGE(Tabel1[[#This Row],[In - V1a]:[In - V1c]]),"")</f>
        <v>3.6666666666666665</v>
      </c>
      <c r="DC244" s="14">
        <v>3</v>
      </c>
      <c r="DD244" s="14">
        <v>3</v>
      </c>
      <c r="DE244" s="14">
        <v>3</v>
      </c>
      <c r="DF244" s="14">
        <f>IFERROR(AVERAGE(Tabel1[[#This Row],[In - V2a]:[In - V2c]]),"")</f>
        <v>3</v>
      </c>
      <c r="DG244" s="14">
        <v>3</v>
      </c>
      <c r="DH244" s="14">
        <v>5</v>
      </c>
      <c r="DI244" s="14">
        <f>IFERROR(AVERAGE(Tabel1[[#This Row],[In - V3a]:[In - V3b]]),"")</f>
        <v>4</v>
      </c>
      <c r="DJ244" s="14">
        <v>4</v>
      </c>
      <c r="DK244" s="14">
        <f>IFERROR(AVERAGE(Tabel1[[#This Row],[In - V1]],Tabel1[[#This Row],[In - V2]],Tabel1[[#This Row],[In - V3]],Tabel1[[#This Row],[In - V4]]),"")</f>
        <v>3.6666666666666665</v>
      </c>
      <c r="DL244" s="14">
        <v>3</v>
      </c>
      <c r="DM244" s="14">
        <v>2</v>
      </c>
      <c r="DN244" s="14">
        <f>IFERROR(AVERAGE(Tabel1[[#This Row],[In - A1a]:[In - A1b]]),"")</f>
        <v>2.5</v>
      </c>
      <c r="DO244" s="14">
        <v>3</v>
      </c>
      <c r="DP244" s="14">
        <v>2</v>
      </c>
      <c r="DQ244" s="14">
        <f>IFERROR(AVERAGE(Tabel1[[#This Row],[In - A2a]:[In - A2b]]),"")</f>
        <v>2.5</v>
      </c>
      <c r="DR244" s="14">
        <v>3</v>
      </c>
      <c r="DS244" s="14">
        <v>2</v>
      </c>
      <c r="DT244" s="14">
        <f>IFERROR(AVERAGE(Tabel1[[#This Row],[In - A3a]:[In - A3a]]),"")</f>
        <v>3</v>
      </c>
      <c r="DU244" s="14">
        <v>3</v>
      </c>
      <c r="DV244" s="14">
        <f>IFERROR(AVERAGE(Tabel1[[#This Row],[In - A1]],Tabel1[[#This Row],[In - A2]],Tabel1[[#This Row],[In - A3]],Tabel1[[#This Row],[In - A4]]),"")</f>
        <v>2.75</v>
      </c>
      <c r="DW244" s="14">
        <v>2</v>
      </c>
      <c r="DX244" s="14">
        <v>4</v>
      </c>
      <c r="DY244" s="14">
        <v>2</v>
      </c>
      <c r="DZ244" s="14">
        <f>IFERROR(AVERAGE(Tabel1[[#This Row],[Do - R1a]:[Do - R1c]]),"")</f>
        <v>2.6666666666666665</v>
      </c>
      <c r="EA244" s="14">
        <v>2</v>
      </c>
      <c r="EB244" s="14">
        <v>2</v>
      </c>
      <c r="EC244" s="14">
        <v>3</v>
      </c>
      <c r="ED244" s="14">
        <v>3</v>
      </c>
      <c r="EE244" s="14">
        <f>IFERROR(AVERAGE(Tabel1[[#This Row],[Do - R1]:[Do - R5]]),"")</f>
        <v>2.5333333333333332</v>
      </c>
      <c r="EF244" s="14">
        <v>4</v>
      </c>
      <c r="EG244" s="14">
        <v>3</v>
      </c>
      <c r="EH244" s="14">
        <v>3</v>
      </c>
      <c r="EI244" s="14">
        <f>IFERROR(AVERAGE(Tabel1[[#This Row],[Do - C1a]:[Do - C1c]]),"")</f>
        <v>3.3333333333333335</v>
      </c>
      <c r="EJ244" s="14">
        <v>3</v>
      </c>
      <c r="EK244" s="14">
        <v>3</v>
      </c>
      <c r="EL244" s="14">
        <v>3</v>
      </c>
      <c r="EM244" s="14">
        <f>IFERROR(AVERAGE(Tabel1[[#This Row],[Do - C1]:[Do - C4]]),"")</f>
        <v>3.0833333333333335</v>
      </c>
      <c r="EN244" s="14">
        <v>3</v>
      </c>
      <c r="EO244" s="14" t="s">
        <v>189</v>
      </c>
      <c r="EP244" s="14">
        <v>2</v>
      </c>
      <c r="EQ244" s="14">
        <f>IFERROR(AVERAGE(Tabel1[[#This Row],[Do - F1a]:[Do - F1c]]),"")</f>
        <v>2.5</v>
      </c>
      <c r="ER244" s="14">
        <v>1</v>
      </c>
      <c r="ES244" s="14">
        <f>IFERROR(AVERAGE(Tabel1[[#This Row],[Do - F2a]:[Do - F2a]]),"")</f>
        <v>1</v>
      </c>
      <c r="ET244" s="14">
        <v>2</v>
      </c>
      <c r="EU244" s="14">
        <v>2</v>
      </c>
      <c r="EV244" s="14">
        <f>IFERROR(AVERAGE(Tabel1[[#This Row],[Do - F3a]:[Do - F3b]]),"")</f>
        <v>2</v>
      </c>
      <c r="EW244" s="14">
        <v>3</v>
      </c>
      <c r="EX244" s="14">
        <f>IFERROR(AVERAGE(Tabel1[[#This Row],[Do - F1]],Tabel1[[#This Row],[Do - F2]],Tabel1[[#This Row],[Do - F3]],Tabel1[[#This Row],[Do - F4]]),"")</f>
        <v>2.125</v>
      </c>
      <c r="EY244" s="14">
        <v>4</v>
      </c>
      <c r="EZ244" s="14">
        <v>4</v>
      </c>
      <c r="FA244" s="14">
        <v>3</v>
      </c>
      <c r="FB244" s="14">
        <f>IFERROR(AVERAGE(Tabel1[[#This Row],[Do - V1a]:[Do - V1c]]),"")</f>
        <v>3.6666666666666665</v>
      </c>
      <c r="FC244" s="14">
        <v>2</v>
      </c>
      <c r="FD244" s="14">
        <v>2</v>
      </c>
      <c r="FE244" s="14">
        <f>IFERROR(AVERAGE(Tabel1[[#This Row],[Do - V2a]:[Do - V2b]]),"")</f>
        <v>2</v>
      </c>
      <c r="FF244" s="14">
        <v>3</v>
      </c>
      <c r="FG244" s="14">
        <f>IFERROR(AVERAGE(Tabel1[[#This Row],[Do - V3a]:[Do - V3a]]),"")</f>
        <v>3</v>
      </c>
      <c r="FH244" s="14">
        <v>3</v>
      </c>
      <c r="FI244" s="14">
        <f>IFERROR(AVERAGE(Tabel1[[#This Row],[Do - V1]],Tabel1[[#This Row],[Do - V2]],Tabel1[[#This Row],[Do - V3]],Tabel1[[#This Row],[Do - V4]]),"")</f>
        <v>2.9166666666666665</v>
      </c>
      <c r="FJ244" s="14">
        <v>3</v>
      </c>
      <c r="FK244" s="14">
        <v>2</v>
      </c>
      <c r="FL244" s="14">
        <v>2</v>
      </c>
      <c r="FM244" s="14">
        <f>IFERROR(AVERAGE(Tabel1[[#This Row],[Do - A1a]:[Do - A1c]]),"")</f>
        <v>2.3333333333333335</v>
      </c>
      <c r="FN244" s="14">
        <v>1</v>
      </c>
      <c r="FO244" s="14">
        <v>2</v>
      </c>
      <c r="FP244" s="14">
        <f>IFERROR(AVERAGE(Tabel1[[#This Row],[Do - A2a]:[Do - A2b]]),"")</f>
        <v>1.5</v>
      </c>
      <c r="FQ244" s="14">
        <v>2</v>
      </c>
      <c r="FR244" s="14">
        <f>IFERROR(AVERAGE(Tabel1[[#This Row],[Do - A3a]:[Do - A3a]]),"")</f>
        <v>2</v>
      </c>
      <c r="FS244" s="14">
        <v>3</v>
      </c>
      <c r="FT244" s="14">
        <f>IFERROR(AVERAGE(Tabel1[[#This Row],[Do - A1]],Tabel1[[#This Row],[Do - A2]],Tabel1[[#This Row],[Do - A3]],Tabel1[[#This Row],[Do - A4]]),"")</f>
        <v>2.2083333333333335</v>
      </c>
      <c r="FU24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2.9411111111111117</v>
      </c>
      <c r="FV244" s="27" t="s">
        <v>1311</v>
      </c>
      <c r="FW244" t="b">
        <v>1</v>
      </c>
    </row>
    <row r="245" spans="1:179" x14ac:dyDescent="0.3">
      <c r="A245" s="13">
        <v>45398.543449074103</v>
      </c>
      <c r="B245" t="b">
        <v>0</v>
      </c>
      <c r="C245" s="14" t="s">
        <v>1312</v>
      </c>
      <c r="D245" s="14" t="s">
        <v>1313</v>
      </c>
      <c r="E245" s="14" t="s">
        <v>293</v>
      </c>
      <c r="F245" s="14" t="s">
        <v>184</v>
      </c>
      <c r="G245" s="14" t="s">
        <v>1314</v>
      </c>
      <c r="H245" s="14" t="s">
        <v>222</v>
      </c>
      <c r="I245" s="14" t="s">
        <v>195</v>
      </c>
      <c r="J245" s="14" t="s">
        <v>261</v>
      </c>
      <c r="K245" s="28" t="s">
        <v>235</v>
      </c>
      <c r="L245" s="14" t="s">
        <v>218</v>
      </c>
      <c r="M245" s="14" t="s">
        <v>281</v>
      </c>
      <c r="N245" s="14" t="s">
        <v>262</v>
      </c>
      <c r="O245" s="14" t="s">
        <v>200</v>
      </c>
      <c r="P245" s="24" t="s">
        <v>255</v>
      </c>
      <c r="Q245" s="17" t="s">
        <v>235</v>
      </c>
      <c r="R245" s="25" t="s">
        <v>202</v>
      </c>
      <c r="S245" s="25" t="s">
        <v>235</v>
      </c>
      <c r="T245" s="14" t="s">
        <v>204</v>
      </c>
      <c r="U245" s="14" t="s">
        <v>237</v>
      </c>
      <c r="V245" s="14" t="s">
        <v>206</v>
      </c>
      <c r="W245" s="14" t="s">
        <v>395</v>
      </c>
      <c r="X245" s="14" t="s">
        <v>207</v>
      </c>
      <c r="Y245" s="14">
        <v>4</v>
      </c>
      <c r="Z245" s="14">
        <v>3</v>
      </c>
      <c r="AA245" s="14">
        <v>1</v>
      </c>
      <c r="AB245" s="15">
        <f>IFERROR(AVERAGE(Tabel1[[#This Row],[Up - R1a]:[Up - R1c]]),"")</f>
        <v>2.6666666666666665</v>
      </c>
      <c r="AC245" s="14">
        <v>3</v>
      </c>
      <c r="AD245" s="14">
        <v>4</v>
      </c>
      <c r="AE245" s="14">
        <v>1</v>
      </c>
      <c r="AF245" s="14">
        <v>4</v>
      </c>
      <c r="AG245" s="14">
        <f>IFERROR(AVERAGE(Tabel1[[#This Row],[Up - R1]:[Up - R5]]),"")</f>
        <v>2.9333333333333331</v>
      </c>
      <c r="AH245" s="14">
        <v>3</v>
      </c>
      <c r="AI245" s="14">
        <v>2</v>
      </c>
      <c r="AJ245" s="14">
        <v>4</v>
      </c>
      <c r="AK245" s="14">
        <f>IFERROR(AVERAGE(Tabel1[[#This Row],[Up - C1a]:[Up - C1c]]),"")</f>
        <v>3</v>
      </c>
      <c r="AL245" s="14">
        <v>4</v>
      </c>
      <c r="AM245" s="14">
        <v>2</v>
      </c>
      <c r="AN245" s="14">
        <v>3</v>
      </c>
      <c r="AO245" s="14">
        <f>IFERROR(AVERAGE(Tabel1[[#This Row],[Up - C1]:[Up - C4]]),"")</f>
        <v>3</v>
      </c>
      <c r="AP245" s="14">
        <v>4</v>
      </c>
      <c r="AQ245" s="14">
        <f>IFERROR(AVERAGE(Tabel1[[#This Row],[Up - F1a]:[Up - F1a]]),"")</f>
        <v>4</v>
      </c>
      <c r="AR245" s="14">
        <v>1</v>
      </c>
      <c r="AS245" s="14">
        <v>1</v>
      </c>
      <c r="AT245" s="14">
        <f>IFERROR(AVERAGE(Tabel1[[#This Row],[Up - F2a]:[Up - F2b]]),"")</f>
        <v>1</v>
      </c>
      <c r="AU245" s="14">
        <v>1</v>
      </c>
      <c r="AV245" s="14">
        <v>1</v>
      </c>
      <c r="AW245" s="14">
        <f>IFERROR(AVERAGE(Tabel1[[#This Row],[Up - F3a]:[Up - F3b]]),"")</f>
        <v>1</v>
      </c>
      <c r="AX245" s="14">
        <v>1</v>
      </c>
      <c r="AY245" s="14">
        <f>IFERROR(AVERAGE(Tabel1[[#This Row],[Up - F1]],Tabel1[[#This Row],[Up - F2]],Tabel1[[#This Row],[Up - F3]],Tabel1[[#This Row],[Up - F4]]),"")</f>
        <v>1.75</v>
      </c>
      <c r="AZ245" s="14">
        <v>3</v>
      </c>
      <c r="BA245" s="14">
        <v>5</v>
      </c>
      <c r="BB245" s="14">
        <f>IFERROR(AVERAGE(Tabel1[[#This Row],[Up - V1a]:[Up - V1b]]),"")</f>
        <v>4</v>
      </c>
      <c r="BC245" s="14">
        <v>3</v>
      </c>
      <c r="BD245" s="14">
        <v>2</v>
      </c>
      <c r="BE245" s="14">
        <v>4</v>
      </c>
      <c r="BF245" s="14">
        <f>IFERROR(AVERAGE(Tabel1[[#This Row],[Up - V2a]:[Up - V2c]]),"")</f>
        <v>3</v>
      </c>
      <c r="BG245" s="14">
        <v>3</v>
      </c>
      <c r="BH245" s="14">
        <v>4</v>
      </c>
      <c r="BI245" s="14">
        <f>IFERROR(AVERAGE(Tabel1[[#This Row],[Up - V3a]:[Up - V3b]]),"")</f>
        <v>3.5</v>
      </c>
      <c r="BJ245" s="14">
        <v>4</v>
      </c>
      <c r="BK245" s="14">
        <f>IFERROR(AVERAGE(Tabel1[[#This Row],[Up - V1]],Tabel1[[#This Row],[Up - V2]],Tabel1[[#This Row],[Up - V3]],Tabel1[[#This Row],[Up - V4]]),"")</f>
        <v>3.625</v>
      </c>
      <c r="BL245" s="14">
        <v>3</v>
      </c>
      <c r="BM245" s="14">
        <v>3</v>
      </c>
      <c r="BN245" s="14">
        <v>1</v>
      </c>
      <c r="BO245" s="14">
        <v>3</v>
      </c>
      <c r="BP245" s="14">
        <f>IFERROR(AVERAGE(Tabel1[[#This Row],[Up - A1a]:[Up - A1d]]),"")</f>
        <v>2.5</v>
      </c>
      <c r="BQ245" s="14">
        <v>2</v>
      </c>
      <c r="BR245" s="14">
        <v>3</v>
      </c>
      <c r="BS245" s="14">
        <f>IFERROR(AVERAGE(Tabel1[[#This Row],[Up - A2a]:[Up - A2b]]),"")</f>
        <v>2.5</v>
      </c>
      <c r="BT245" s="14">
        <v>3</v>
      </c>
      <c r="BU245" s="14">
        <f>IFERROR(AVERAGE(Tabel1[[#This Row],[Up - A3a]:[Up - A3a]]),"")</f>
        <v>3</v>
      </c>
      <c r="BV245" s="14">
        <v>3</v>
      </c>
      <c r="BW245" s="14">
        <f>IFERROR(AVERAGE(Tabel1[[#This Row],[Up - A1]],Tabel1[[#This Row],[Up - A2]],Tabel1[[#This Row],[Up - A3]]),"")</f>
        <v>2.6666666666666665</v>
      </c>
      <c r="BX245" s="14">
        <v>2</v>
      </c>
      <c r="BY245" s="14">
        <v>2</v>
      </c>
      <c r="BZ245" s="14">
        <f>IFERROR(AVERAGE(Tabel1[[#This Row],[In - R1a]:[In - R1b]]),"")</f>
        <v>2</v>
      </c>
      <c r="CA245" s="14">
        <v>5</v>
      </c>
      <c r="CB245" s="14">
        <v>4</v>
      </c>
      <c r="CC245" s="14">
        <v>1</v>
      </c>
      <c r="CD245" s="14">
        <v>5</v>
      </c>
      <c r="CE245" s="14">
        <f>IFERROR(AVERAGE(Tabel1[[#This Row],[In - R1]:[In - R5]]),"")</f>
        <v>3.4</v>
      </c>
      <c r="CF245" s="14">
        <v>5</v>
      </c>
      <c r="CG245" s="14">
        <v>3</v>
      </c>
      <c r="CH245" s="14">
        <v>3</v>
      </c>
      <c r="CI245" s="14">
        <f>IFERROR(AVERAGE(Tabel1[[#This Row],[In - C1a]:[In - C1c]]),"")</f>
        <v>3.6666666666666665</v>
      </c>
      <c r="CJ245" s="14">
        <v>5</v>
      </c>
      <c r="CK245" s="14">
        <v>5</v>
      </c>
      <c r="CL245" s="14">
        <v>4</v>
      </c>
      <c r="CM245" s="14">
        <f>IFERROR(AVERAGE(Tabel1[[#This Row],[In - C1]:[In - C4]]),"")</f>
        <v>4.4166666666666661</v>
      </c>
      <c r="CN245" s="14">
        <v>2</v>
      </c>
      <c r="CO245" s="14">
        <v>2</v>
      </c>
      <c r="CP245" s="14">
        <v>2</v>
      </c>
      <c r="CQ245" s="14">
        <f>IFERROR(AVERAGE(Tabel1[[#This Row],[In - F1a]:[In - F1c]]),"")</f>
        <v>2</v>
      </c>
      <c r="CR245" s="14">
        <v>5</v>
      </c>
      <c r="CS245" s="14">
        <v>1</v>
      </c>
      <c r="CT245" s="14">
        <f>IFERROR(AVERAGE(Tabel1[[#This Row],[In - F2a]:[In - F2b]]),"")</f>
        <v>3</v>
      </c>
      <c r="CU245" s="14">
        <v>1</v>
      </c>
      <c r="CV245" s="14">
        <f>IFERROR(AVERAGE(Tabel1[[#This Row],[In - F3a]:[In - F3a]]),"")</f>
        <v>1</v>
      </c>
      <c r="CW245" s="14">
        <v>1</v>
      </c>
      <c r="CX245" s="14">
        <f>IFERROR(AVERAGE(Tabel1[[#This Row],[In - F1]],Tabel1[[#This Row],[In - F2]],Tabel1[[#This Row],[In - F3]],Tabel1[[#This Row],[In - F4]]),"")</f>
        <v>1.75</v>
      </c>
      <c r="CY245" s="14">
        <v>5</v>
      </c>
      <c r="CZ245" s="14">
        <v>4</v>
      </c>
      <c r="DA245" s="14">
        <v>5</v>
      </c>
      <c r="DB245" s="14">
        <f>IFERROR(AVERAGE(Tabel1[[#This Row],[In - V1a]:[In - V1c]]),"")</f>
        <v>4.666666666666667</v>
      </c>
      <c r="DC245" s="14">
        <v>3</v>
      </c>
      <c r="DD245" s="14">
        <v>5</v>
      </c>
      <c r="DE245" s="14">
        <v>5</v>
      </c>
      <c r="DF245" s="14">
        <f>IFERROR(AVERAGE(Tabel1[[#This Row],[In - V2a]:[In - V2c]]),"")</f>
        <v>4.333333333333333</v>
      </c>
      <c r="DG245" s="14">
        <v>4</v>
      </c>
      <c r="DH245" s="14">
        <v>3</v>
      </c>
      <c r="DI245" s="14">
        <f>IFERROR(AVERAGE(Tabel1[[#This Row],[In - V3a]:[In - V3b]]),"")</f>
        <v>3.5</v>
      </c>
      <c r="DJ245" s="14">
        <v>3</v>
      </c>
      <c r="DK245" s="14">
        <f>IFERROR(AVERAGE(Tabel1[[#This Row],[In - V1]],Tabel1[[#This Row],[In - V2]],Tabel1[[#This Row],[In - V3]],Tabel1[[#This Row],[In - V4]]),"")</f>
        <v>3.875</v>
      </c>
      <c r="DL245" s="14">
        <v>2</v>
      </c>
      <c r="DM245" s="14">
        <v>5</v>
      </c>
      <c r="DN245" s="14">
        <f>IFERROR(AVERAGE(Tabel1[[#This Row],[In - A1a]:[In - A1b]]),"")</f>
        <v>3.5</v>
      </c>
      <c r="DO245" s="14">
        <v>1</v>
      </c>
      <c r="DP245" s="14">
        <v>5</v>
      </c>
      <c r="DQ245" s="14">
        <f>IFERROR(AVERAGE(Tabel1[[#This Row],[In - A2a]:[In - A2b]]),"")</f>
        <v>3</v>
      </c>
      <c r="DR245" s="14">
        <v>4</v>
      </c>
      <c r="DS245" s="14">
        <v>3</v>
      </c>
      <c r="DT245" s="14">
        <f>IFERROR(AVERAGE(Tabel1[[#This Row],[In - A3a]:[In - A3a]]),"")</f>
        <v>4</v>
      </c>
      <c r="DU245" s="14">
        <v>1</v>
      </c>
      <c r="DV245" s="14">
        <f>IFERROR(AVERAGE(Tabel1[[#This Row],[In - A1]],Tabel1[[#This Row],[In - A2]],Tabel1[[#This Row],[In - A3]],Tabel1[[#This Row],[In - A4]]),"")</f>
        <v>2.875</v>
      </c>
      <c r="DW245" s="14">
        <v>1</v>
      </c>
      <c r="DX245" s="14">
        <v>5</v>
      </c>
      <c r="DY245" s="14">
        <v>2</v>
      </c>
      <c r="DZ245" s="14">
        <f>IFERROR(AVERAGE(Tabel1[[#This Row],[Do - R1a]:[Do - R1c]]),"")</f>
        <v>2.6666666666666665</v>
      </c>
      <c r="EA245" s="14">
        <v>4</v>
      </c>
      <c r="EB245" s="14">
        <v>5</v>
      </c>
      <c r="EC245" s="14">
        <v>1</v>
      </c>
      <c r="ED245" s="14">
        <v>2</v>
      </c>
      <c r="EE245" s="14">
        <f>IFERROR(AVERAGE(Tabel1[[#This Row],[Do - R1]:[Do - R5]]),"")</f>
        <v>2.9333333333333331</v>
      </c>
      <c r="EF245" s="14">
        <v>4</v>
      </c>
      <c r="EG245" s="14">
        <v>2</v>
      </c>
      <c r="EH245" s="14">
        <v>4</v>
      </c>
      <c r="EI245" s="14">
        <f>IFERROR(AVERAGE(Tabel1[[#This Row],[Do - C1a]:[Do - C1c]]),"")</f>
        <v>3.3333333333333335</v>
      </c>
      <c r="EJ245" s="14">
        <v>5</v>
      </c>
      <c r="EK245" s="14">
        <v>3</v>
      </c>
      <c r="EL245" s="14">
        <v>3</v>
      </c>
      <c r="EM245" s="14">
        <f>IFERROR(AVERAGE(Tabel1[[#This Row],[Do - C1]:[Do - C4]]),"")</f>
        <v>3.5833333333333335</v>
      </c>
      <c r="EN245" s="14">
        <v>3</v>
      </c>
      <c r="EO245" s="14">
        <v>1</v>
      </c>
      <c r="EP245" s="14">
        <v>1</v>
      </c>
      <c r="EQ245" s="14">
        <f>IFERROR(AVERAGE(Tabel1[[#This Row],[Do - F1a]:[Do - F1c]]),"")</f>
        <v>1.6666666666666667</v>
      </c>
      <c r="ER245" s="14">
        <v>4</v>
      </c>
      <c r="ES245" s="14">
        <f>IFERROR(AVERAGE(Tabel1[[#This Row],[Do - F2a]:[Do - F2a]]),"")</f>
        <v>4</v>
      </c>
      <c r="ET245" s="14">
        <v>1</v>
      </c>
      <c r="EU245" s="14">
        <v>1</v>
      </c>
      <c r="EV245" s="14">
        <f>IFERROR(AVERAGE(Tabel1[[#This Row],[Do - F3a]:[Do - F3b]]),"")</f>
        <v>1</v>
      </c>
      <c r="EW245" s="14">
        <v>1</v>
      </c>
      <c r="EX245" s="14">
        <f>IFERROR(AVERAGE(Tabel1[[#This Row],[Do - F1]],Tabel1[[#This Row],[Do - F2]],Tabel1[[#This Row],[Do - F3]],Tabel1[[#This Row],[Do - F4]]),"")</f>
        <v>1.9166666666666667</v>
      </c>
      <c r="EY245" s="14">
        <v>4</v>
      </c>
      <c r="EZ245" s="14">
        <v>4</v>
      </c>
      <c r="FA245" s="14">
        <v>3</v>
      </c>
      <c r="FB245" s="14">
        <f>IFERROR(AVERAGE(Tabel1[[#This Row],[Do - V1a]:[Do - V1c]]),"")</f>
        <v>3.6666666666666665</v>
      </c>
      <c r="FC245" s="14">
        <v>3</v>
      </c>
      <c r="FD245" s="14">
        <v>3</v>
      </c>
      <c r="FE245" s="14">
        <f>IFERROR(AVERAGE(Tabel1[[#This Row],[Do - V2a]:[Do - V2b]]),"")</f>
        <v>3</v>
      </c>
      <c r="FF245" s="14">
        <v>2</v>
      </c>
      <c r="FG245" s="14">
        <f>IFERROR(AVERAGE(Tabel1[[#This Row],[Do - V3a]:[Do - V3a]]),"")</f>
        <v>2</v>
      </c>
      <c r="FH245" s="14">
        <v>2</v>
      </c>
      <c r="FI245" s="14">
        <f>IFERROR(AVERAGE(Tabel1[[#This Row],[Do - V1]],Tabel1[[#This Row],[Do - V2]],Tabel1[[#This Row],[Do - V3]],Tabel1[[#This Row],[Do - V4]]),"")</f>
        <v>2.6666666666666665</v>
      </c>
      <c r="FJ245" s="14">
        <v>3</v>
      </c>
      <c r="FK245" s="14">
        <v>1</v>
      </c>
      <c r="FL245" s="14">
        <v>1</v>
      </c>
      <c r="FM245" s="14">
        <f>IFERROR(AVERAGE(Tabel1[[#This Row],[Do - A1a]:[Do - A1c]]),"")</f>
        <v>1.6666666666666667</v>
      </c>
      <c r="FN245" s="14">
        <v>4</v>
      </c>
      <c r="FO245" s="14">
        <v>4</v>
      </c>
      <c r="FP245" s="14">
        <f>IFERROR(AVERAGE(Tabel1[[#This Row],[Do - A2a]:[Do - A2b]]),"")</f>
        <v>4</v>
      </c>
      <c r="FQ245" s="14">
        <v>3</v>
      </c>
      <c r="FR245" s="14">
        <f>IFERROR(AVERAGE(Tabel1[[#This Row],[Do - A3a]:[Do - A3a]]),"")</f>
        <v>3</v>
      </c>
      <c r="FS245" s="14">
        <v>3</v>
      </c>
      <c r="FT245" s="14">
        <f>IFERROR(AVERAGE(Tabel1[[#This Row],[Do - A1]],Tabel1[[#This Row],[Do - A2]],Tabel1[[#This Row],[Do - A3]],Tabel1[[#This Row],[Do - A4]]),"")</f>
        <v>2.916666666666667</v>
      </c>
      <c r="FU24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2.9538888888888883</v>
      </c>
      <c r="FV245" s="27" t="s">
        <v>1315</v>
      </c>
      <c r="FW245" t="b">
        <v>1</v>
      </c>
    </row>
    <row r="246" spans="1:179" x14ac:dyDescent="0.3">
      <c r="A246" s="13">
        <v>45398.581516203703</v>
      </c>
      <c r="B246" t="b">
        <v>0</v>
      </c>
      <c r="C246" s="14" t="s">
        <v>1316</v>
      </c>
      <c r="D246" s="14" t="s">
        <v>1317</v>
      </c>
      <c r="E246" s="14" t="s">
        <v>1318</v>
      </c>
      <c r="F246" s="14" t="s">
        <v>184</v>
      </c>
      <c r="G246" s="14" t="s">
        <v>1319</v>
      </c>
      <c r="H246" s="14" t="s">
        <v>222</v>
      </c>
      <c r="I246" s="14" t="s">
        <v>385</v>
      </c>
      <c r="J246" s="14"/>
      <c r="K246" s="28" t="s">
        <v>202</v>
      </c>
      <c r="L246" s="14" t="s">
        <v>385</v>
      </c>
      <c r="M246" s="14" t="s">
        <v>198</v>
      </c>
      <c r="N246" s="14" t="s">
        <v>199</v>
      </c>
      <c r="O246" s="14" t="s">
        <v>256</v>
      </c>
      <c r="P246" s="25" t="s">
        <v>201</v>
      </c>
      <c r="Q246" s="17" t="s">
        <v>201</v>
      </c>
      <c r="R246" s="25" t="s">
        <v>202</v>
      </c>
      <c r="S246" s="25" t="s">
        <v>187</v>
      </c>
      <c r="T246" s="14" t="s">
        <v>284</v>
      </c>
      <c r="U246" s="14" t="s">
        <v>205</v>
      </c>
      <c r="V246" s="14" t="s">
        <v>224</v>
      </c>
      <c r="W246" s="14" t="s">
        <v>207</v>
      </c>
      <c r="X246" s="14" t="s">
        <v>207</v>
      </c>
      <c r="Y246" s="14">
        <v>1</v>
      </c>
      <c r="Z246" s="14">
        <v>4</v>
      </c>
      <c r="AA246" s="14" t="s">
        <v>189</v>
      </c>
      <c r="AB246" s="15">
        <f>IFERROR(AVERAGE(Tabel1[[#This Row],[Up - R1a]:[Up - R1c]]),"")</f>
        <v>2.5</v>
      </c>
      <c r="AC246" s="14" t="s">
        <v>189</v>
      </c>
      <c r="AD246" s="14">
        <v>5</v>
      </c>
      <c r="AE246" s="14">
        <v>1</v>
      </c>
      <c r="AF246" s="14">
        <v>2</v>
      </c>
      <c r="AG246" s="14">
        <f>IFERROR(AVERAGE(Tabel1[[#This Row],[Up - R1]:[Up - R5]]),"")</f>
        <v>2.625</v>
      </c>
      <c r="AH246" s="14">
        <v>2</v>
      </c>
      <c r="AI246" s="14">
        <v>3</v>
      </c>
      <c r="AJ246" s="14">
        <v>2</v>
      </c>
      <c r="AK246" s="14">
        <f>IFERROR(AVERAGE(Tabel1[[#This Row],[Up - C1a]:[Up - C1c]]),"")</f>
        <v>2.3333333333333335</v>
      </c>
      <c r="AL246" s="14">
        <v>3</v>
      </c>
      <c r="AM246" s="14">
        <v>2</v>
      </c>
      <c r="AN246" s="14">
        <v>3</v>
      </c>
      <c r="AO246" s="14">
        <f>IFERROR(AVERAGE(Tabel1[[#This Row],[Up - C1]:[Up - C4]]),"")</f>
        <v>2.5833333333333335</v>
      </c>
      <c r="AP246" s="14">
        <v>4</v>
      </c>
      <c r="AQ246" s="14">
        <f>IFERROR(AVERAGE(Tabel1[[#This Row],[Up - F1a]:[Up - F1a]]),"")</f>
        <v>4</v>
      </c>
      <c r="AR246" s="14" t="s">
        <v>189</v>
      </c>
      <c r="AS246" s="14">
        <v>1</v>
      </c>
      <c r="AT246" s="14">
        <f>IFERROR(AVERAGE(Tabel1[[#This Row],[Up - F2a]:[Up - F2b]]),"")</f>
        <v>1</v>
      </c>
      <c r="AU246" s="14">
        <v>2</v>
      </c>
      <c r="AV246" s="14">
        <v>1</v>
      </c>
      <c r="AW246" s="14">
        <f>IFERROR(AVERAGE(Tabel1[[#This Row],[Up - F3a]:[Up - F3b]]),"")</f>
        <v>1.5</v>
      </c>
      <c r="AX246" s="14" t="s">
        <v>189</v>
      </c>
      <c r="AY246" s="14">
        <f>IFERROR(AVERAGE(Tabel1[[#This Row],[Up - F1]],Tabel1[[#This Row],[Up - F2]],Tabel1[[#This Row],[Up - F3]],Tabel1[[#This Row],[Up - F4]]),"")</f>
        <v>2.1666666666666665</v>
      </c>
      <c r="AZ246" s="14">
        <v>1</v>
      </c>
      <c r="BA246" s="14" t="s">
        <v>189</v>
      </c>
      <c r="BB246" s="14">
        <f>IFERROR(AVERAGE(Tabel1[[#This Row],[Up - V1a]:[Up - V1b]]),"")</f>
        <v>1</v>
      </c>
      <c r="BC246" s="14">
        <v>1</v>
      </c>
      <c r="BD246" s="14">
        <v>3</v>
      </c>
      <c r="BE246" s="14" t="s">
        <v>189</v>
      </c>
      <c r="BF246" s="14">
        <f>IFERROR(AVERAGE(Tabel1[[#This Row],[Up - V2a]:[Up - V2c]]),"")</f>
        <v>2</v>
      </c>
      <c r="BG246" s="14">
        <v>4</v>
      </c>
      <c r="BH246" s="14">
        <v>4</v>
      </c>
      <c r="BI246" s="14">
        <f>IFERROR(AVERAGE(Tabel1[[#This Row],[Up - V3a]:[Up - V3b]]),"")</f>
        <v>4</v>
      </c>
      <c r="BJ246" s="14">
        <v>2</v>
      </c>
      <c r="BK246" s="14">
        <f>IFERROR(AVERAGE(Tabel1[[#This Row],[Up - V1]],Tabel1[[#This Row],[Up - V2]],Tabel1[[#This Row],[Up - V3]],Tabel1[[#This Row],[Up - V4]]),"")</f>
        <v>2.25</v>
      </c>
      <c r="BL246" s="14">
        <v>1</v>
      </c>
      <c r="BM246" s="14">
        <v>3</v>
      </c>
      <c r="BN246" s="14">
        <v>1</v>
      </c>
      <c r="BO246" s="14">
        <v>3</v>
      </c>
      <c r="BP246" s="14">
        <f>IFERROR(AVERAGE(Tabel1[[#This Row],[Up - A1a]:[Up - A1d]]),"")</f>
        <v>2</v>
      </c>
      <c r="BQ246" s="14">
        <v>2</v>
      </c>
      <c r="BR246" s="14">
        <v>4</v>
      </c>
      <c r="BS246" s="14">
        <f>IFERROR(AVERAGE(Tabel1[[#This Row],[Up - A2a]:[Up - A2b]]),"")</f>
        <v>3</v>
      </c>
      <c r="BT246" s="14">
        <v>2</v>
      </c>
      <c r="BU246" s="14">
        <f>IFERROR(AVERAGE(Tabel1[[#This Row],[Up - A3a]:[Up - A3a]]),"")</f>
        <v>2</v>
      </c>
      <c r="BV246" s="14">
        <v>3</v>
      </c>
      <c r="BW246" s="14">
        <f>IFERROR(AVERAGE(Tabel1[[#This Row],[Up - A1]],Tabel1[[#This Row],[Up - A2]],Tabel1[[#This Row],[Up - A3]]),"")</f>
        <v>2.3333333333333335</v>
      </c>
      <c r="BX246" s="14" t="s">
        <v>189</v>
      </c>
      <c r="BY246" s="14" t="s">
        <v>189</v>
      </c>
      <c r="BZ246" s="14" t="str">
        <f>IFERROR(AVERAGE(Tabel1[[#This Row],[In - R1a]:[In - R1b]]),"")</f>
        <v/>
      </c>
      <c r="CA246" s="14">
        <v>4</v>
      </c>
      <c r="CB246" s="14">
        <v>2</v>
      </c>
      <c r="CC246" s="14" t="s">
        <v>189</v>
      </c>
      <c r="CD246" s="14">
        <v>5</v>
      </c>
      <c r="CE246" s="14">
        <f>IFERROR(AVERAGE(Tabel1[[#This Row],[In - R1]:[In - R5]]),"")</f>
        <v>3.6666666666666665</v>
      </c>
      <c r="CF246" s="14">
        <v>4</v>
      </c>
      <c r="CG246" s="14">
        <v>3</v>
      </c>
      <c r="CH246" s="14">
        <v>4</v>
      </c>
      <c r="CI246" s="14">
        <f>IFERROR(AVERAGE(Tabel1[[#This Row],[In - C1a]:[In - C1c]]),"")</f>
        <v>3.6666666666666665</v>
      </c>
      <c r="CJ246" s="14">
        <v>3</v>
      </c>
      <c r="CK246" s="14">
        <v>3</v>
      </c>
      <c r="CL246" s="14">
        <v>1</v>
      </c>
      <c r="CM246" s="14">
        <f>IFERROR(AVERAGE(Tabel1[[#This Row],[In - C1]:[In - C4]]),"")</f>
        <v>2.6666666666666665</v>
      </c>
      <c r="CN246" s="14">
        <v>1</v>
      </c>
      <c r="CO246" s="14">
        <v>3</v>
      </c>
      <c r="CP246" s="14" t="s">
        <v>189</v>
      </c>
      <c r="CQ246" s="14">
        <f>IFERROR(AVERAGE(Tabel1[[#This Row],[In - F1a]:[In - F1c]]),"")</f>
        <v>2</v>
      </c>
      <c r="CR246" s="14" t="s">
        <v>189</v>
      </c>
      <c r="CS246" s="14">
        <v>1</v>
      </c>
      <c r="CT246" s="14">
        <f>IFERROR(AVERAGE(Tabel1[[#This Row],[In - F2a]:[In - F2b]]),"")</f>
        <v>1</v>
      </c>
      <c r="CU246" s="14" t="s">
        <v>189</v>
      </c>
      <c r="CV246" s="14" t="str">
        <f>IFERROR(AVERAGE(Tabel1[[#This Row],[In - F3a]:[In - F3a]]),"")</f>
        <v/>
      </c>
      <c r="CW246" s="14" t="s">
        <v>189</v>
      </c>
      <c r="CX246" s="14">
        <f>IFERROR(AVERAGE(Tabel1[[#This Row],[In - F1]],Tabel1[[#This Row],[In - F2]],Tabel1[[#This Row],[In - F3]],Tabel1[[#This Row],[In - F4]]),"")</f>
        <v>1.5</v>
      </c>
      <c r="CY246" s="14">
        <v>4</v>
      </c>
      <c r="CZ246" s="14">
        <v>3</v>
      </c>
      <c r="DA246" s="14">
        <v>2</v>
      </c>
      <c r="DB246" s="14">
        <f>IFERROR(AVERAGE(Tabel1[[#This Row],[In - V1a]:[In - V1c]]),"")</f>
        <v>3</v>
      </c>
      <c r="DC246" s="14">
        <v>4</v>
      </c>
      <c r="DD246" s="14">
        <v>3</v>
      </c>
      <c r="DE246" s="14">
        <v>3</v>
      </c>
      <c r="DF246" s="14">
        <f>IFERROR(AVERAGE(Tabel1[[#This Row],[In - V2a]:[In - V2c]]),"")</f>
        <v>3.3333333333333335</v>
      </c>
      <c r="DG246" s="14">
        <v>2</v>
      </c>
      <c r="DH246" s="14">
        <v>4</v>
      </c>
      <c r="DI246" s="14">
        <f>IFERROR(AVERAGE(Tabel1[[#This Row],[In - V3a]:[In - V3b]]),"")</f>
        <v>3</v>
      </c>
      <c r="DJ246" s="14">
        <v>2</v>
      </c>
      <c r="DK246" s="14">
        <f>IFERROR(AVERAGE(Tabel1[[#This Row],[In - V1]],Tabel1[[#This Row],[In - V2]],Tabel1[[#This Row],[In - V3]],Tabel1[[#This Row],[In - V4]]),"")</f>
        <v>2.8333333333333335</v>
      </c>
      <c r="DL246" s="14">
        <v>2</v>
      </c>
      <c r="DM246" s="14" t="s">
        <v>189</v>
      </c>
      <c r="DN246" s="14">
        <f>IFERROR(AVERAGE(Tabel1[[#This Row],[In - A1a]:[In - A1b]]),"")</f>
        <v>2</v>
      </c>
      <c r="DO246" s="14" t="s">
        <v>189</v>
      </c>
      <c r="DP246" s="14" t="s">
        <v>189</v>
      </c>
      <c r="DQ246" s="14" t="str">
        <f>IFERROR(AVERAGE(Tabel1[[#This Row],[In - A2a]:[In - A2b]]),"")</f>
        <v/>
      </c>
      <c r="DR246" s="14">
        <v>3</v>
      </c>
      <c r="DS246" s="14">
        <v>3</v>
      </c>
      <c r="DT246" s="14">
        <f>IFERROR(AVERAGE(Tabel1[[#This Row],[In - A3a]:[In - A3a]]),"")</f>
        <v>3</v>
      </c>
      <c r="DU246" s="14">
        <v>3</v>
      </c>
      <c r="DV246" s="14">
        <f>IFERROR(AVERAGE(Tabel1[[#This Row],[In - A1]],Tabel1[[#This Row],[In - A2]],Tabel1[[#This Row],[In - A3]],Tabel1[[#This Row],[In - A4]]),"")</f>
        <v>2.6666666666666665</v>
      </c>
      <c r="DW246" s="14">
        <v>1</v>
      </c>
      <c r="DX246" s="14">
        <v>5</v>
      </c>
      <c r="DY246" s="14">
        <v>1</v>
      </c>
      <c r="DZ246" s="14">
        <f>IFERROR(AVERAGE(Tabel1[[#This Row],[Do - R1a]:[Do - R1c]]),"")</f>
        <v>2.3333333333333335</v>
      </c>
      <c r="EA246" s="14">
        <v>2</v>
      </c>
      <c r="EB246" s="14">
        <v>3</v>
      </c>
      <c r="EC246" s="14" t="s">
        <v>189</v>
      </c>
      <c r="ED246" s="14">
        <v>3</v>
      </c>
      <c r="EE246" s="14">
        <f>IFERROR(AVERAGE(Tabel1[[#This Row],[Do - R1]:[Do - R5]]),"")</f>
        <v>2.5833333333333335</v>
      </c>
      <c r="EF246" s="14">
        <v>3</v>
      </c>
      <c r="EG246" s="14">
        <v>3</v>
      </c>
      <c r="EH246" s="14">
        <v>3</v>
      </c>
      <c r="EI246" s="14">
        <f>IFERROR(AVERAGE(Tabel1[[#This Row],[Do - C1a]:[Do - C1c]]),"")</f>
        <v>3</v>
      </c>
      <c r="EJ246" s="14">
        <v>4</v>
      </c>
      <c r="EK246" s="14" t="s">
        <v>189</v>
      </c>
      <c r="EL246" s="14" t="s">
        <v>189</v>
      </c>
      <c r="EM246" s="14">
        <f>IFERROR(AVERAGE(Tabel1[[#This Row],[Do - C1]:[Do - C4]]),"")</f>
        <v>3.5</v>
      </c>
      <c r="EN246" s="14">
        <v>1</v>
      </c>
      <c r="EO246" s="14">
        <v>3</v>
      </c>
      <c r="EP246" s="14">
        <v>4</v>
      </c>
      <c r="EQ246" s="14">
        <f>IFERROR(AVERAGE(Tabel1[[#This Row],[Do - F1a]:[Do - F1c]]),"")</f>
        <v>2.6666666666666665</v>
      </c>
      <c r="ER246" s="14">
        <v>1</v>
      </c>
      <c r="ES246" s="14">
        <f>IFERROR(AVERAGE(Tabel1[[#This Row],[Do - F2a]:[Do - F2a]]),"")</f>
        <v>1</v>
      </c>
      <c r="ET246" s="14">
        <v>1</v>
      </c>
      <c r="EU246" s="14">
        <v>2</v>
      </c>
      <c r="EV246" s="14">
        <f>IFERROR(AVERAGE(Tabel1[[#This Row],[Do - F3a]:[Do - F3b]]),"")</f>
        <v>1.5</v>
      </c>
      <c r="EW246" s="14" t="s">
        <v>189</v>
      </c>
      <c r="EX246" s="14">
        <f>IFERROR(AVERAGE(Tabel1[[#This Row],[Do - F1]],Tabel1[[#This Row],[Do - F2]],Tabel1[[#This Row],[Do - F3]],Tabel1[[#This Row],[Do - F4]]),"")</f>
        <v>1.7222222222222221</v>
      </c>
      <c r="EY246" s="14">
        <v>2</v>
      </c>
      <c r="EZ246" s="14">
        <v>4</v>
      </c>
      <c r="FA246" s="14">
        <v>4</v>
      </c>
      <c r="FB246" s="14">
        <f>IFERROR(AVERAGE(Tabel1[[#This Row],[Do - V1a]:[Do - V1c]]),"")</f>
        <v>3.3333333333333335</v>
      </c>
      <c r="FC246" s="14">
        <v>2</v>
      </c>
      <c r="FD246" s="14">
        <v>4</v>
      </c>
      <c r="FE246" s="14">
        <f>IFERROR(AVERAGE(Tabel1[[#This Row],[Do - V2a]:[Do - V2b]]),"")</f>
        <v>3</v>
      </c>
      <c r="FF246" s="14">
        <v>2</v>
      </c>
      <c r="FG246" s="14">
        <f>IFERROR(AVERAGE(Tabel1[[#This Row],[Do - V3a]:[Do - V3a]]),"")</f>
        <v>2</v>
      </c>
      <c r="FH246" s="14">
        <v>3</v>
      </c>
      <c r="FI246" s="14">
        <f>IFERROR(AVERAGE(Tabel1[[#This Row],[Do - V1]],Tabel1[[#This Row],[Do - V2]],Tabel1[[#This Row],[Do - V3]],Tabel1[[#This Row],[Do - V4]]),"")</f>
        <v>2.8333333333333335</v>
      </c>
      <c r="FJ246" s="14">
        <v>2</v>
      </c>
      <c r="FK246" s="14">
        <v>2</v>
      </c>
      <c r="FL246" s="14">
        <v>2</v>
      </c>
      <c r="FM246" s="14">
        <f>IFERROR(AVERAGE(Tabel1[[#This Row],[Do - A1a]:[Do - A1c]]),"")</f>
        <v>2</v>
      </c>
      <c r="FN246" s="14" t="s">
        <v>189</v>
      </c>
      <c r="FO246" s="14">
        <v>2</v>
      </c>
      <c r="FP246" s="14">
        <f>IFERROR(AVERAGE(Tabel1[[#This Row],[Do - A2a]:[Do - A2b]]),"")</f>
        <v>2</v>
      </c>
      <c r="FQ246" s="14">
        <v>2</v>
      </c>
      <c r="FR246" s="14">
        <f>IFERROR(AVERAGE(Tabel1[[#This Row],[Do - A3a]:[Do - A3a]]),"")</f>
        <v>2</v>
      </c>
      <c r="FS246" s="14">
        <v>4</v>
      </c>
      <c r="FT246" s="14">
        <f>IFERROR(AVERAGE(Tabel1[[#This Row],[Do - A1]],Tabel1[[#This Row],[Do - A2]],Tabel1[[#This Row],[Do - A3]],Tabel1[[#This Row],[Do - A4]]),"")</f>
        <v>2.5</v>
      </c>
      <c r="FU24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2.5620370370370371</v>
      </c>
      <c r="FV246" s="27" t="s">
        <v>1320</v>
      </c>
      <c r="FW246" t="b">
        <v>1</v>
      </c>
    </row>
    <row r="247" spans="1:179" x14ac:dyDescent="0.3">
      <c r="A247" s="13">
        <v>45399.3743287037</v>
      </c>
      <c r="B247" t="b">
        <v>0</v>
      </c>
      <c r="C247" s="14" t="s">
        <v>1321</v>
      </c>
      <c r="D247" s="14" t="s">
        <v>1322</v>
      </c>
      <c r="E247" s="14" t="s">
        <v>1323</v>
      </c>
      <c r="F247" s="14" t="s">
        <v>184</v>
      </c>
      <c r="G247" s="14" t="s">
        <v>1324</v>
      </c>
      <c r="H247" s="14" t="s">
        <v>222</v>
      </c>
      <c r="I247" s="14" t="s">
        <v>243</v>
      </c>
      <c r="J247" s="14" t="s">
        <v>248</v>
      </c>
      <c r="K247" s="28" t="s">
        <v>201</v>
      </c>
      <c r="L247" s="14" t="s">
        <v>249</v>
      </c>
      <c r="M247" s="14" t="s">
        <v>198</v>
      </c>
      <c r="N247" s="14" t="s">
        <v>316</v>
      </c>
      <c r="O247" s="14" t="s">
        <v>200</v>
      </c>
      <c r="P247" s="25" t="s">
        <v>203</v>
      </c>
      <c r="Q247" s="17" t="s">
        <v>203</v>
      </c>
      <c r="R247" s="25" t="s">
        <v>187</v>
      </c>
      <c r="S247" s="25" t="s">
        <v>235</v>
      </c>
      <c r="T247" s="14" t="s">
        <v>204</v>
      </c>
      <c r="U247" s="14" t="s">
        <v>285</v>
      </c>
      <c r="V247" s="14" t="s">
        <v>224</v>
      </c>
      <c r="W247" s="14" t="s">
        <v>207</v>
      </c>
      <c r="X247" s="14" t="s">
        <v>207</v>
      </c>
      <c r="Y247" s="14">
        <v>3</v>
      </c>
      <c r="Z247" s="14">
        <v>3</v>
      </c>
      <c r="AA247" s="14">
        <v>3</v>
      </c>
      <c r="AB247" s="15">
        <f>IFERROR(AVERAGE(Tabel1[[#This Row],[Up - R1a]:[Up - R1c]]),"")</f>
        <v>3</v>
      </c>
      <c r="AC247" s="14">
        <v>3</v>
      </c>
      <c r="AD247" s="14">
        <v>2</v>
      </c>
      <c r="AE247" s="14">
        <v>2</v>
      </c>
      <c r="AF247" s="14">
        <v>3</v>
      </c>
      <c r="AG247" s="14">
        <f>IFERROR(AVERAGE(Tabel1[[#This Row],[Up - R1]:[Up - R5]]),"")</f>
        <v>2.6</v>
      </c>
      <c r="AH247" s="14">
        <v>4</v>
      </c>
      <c r="AI247" s="14">
        <v>2</v>
      </c>
      <c r="AJ247" s="14">
        <v>4</v>
      </c>
      <c r="AK247" s="14">
        <f>IFERROR(AVERAGE(Tabel1[[#This Row],[Up - C1a]:[Up - C1c]]),"")</f>
        <v>3.3333333333333335</v>
      </c>
      <c r="AL247" s="14">
        <v>2</v>
      </c>
      <c r="AM247" s="14">
        <v>1</v>
      </c>
      <c r="AN247" s="14">
        <v>3</v>
      </c>
      <c r="AO247" s="14">
        <f>IFERROR(AVERAGE(Tabel1[[#This Row],[Up - C1]:[Up - C4]]),"")</f>
        <v>2.3333333333333335</v>
      </c>
      <c r="AP247" s="14">
        <v>2</v>
      </c>
      <c r="AQ247" s="14">
        <f>IFERROR(AVERAGE(Tabel1[[#This Row],[Up - F1a]:[Up - F1a]]),"")</f>
        <v>2</v>
      </c>
      <c r="AR247" s="14">
        <v>2</v>
      </c>
      <c r="AS247" s="14">
        <v>3</v>
      </c>
      <c r="AT247" s="14">
        <f>IFERROR(AVERAGE(Tabel1[[#This Row],[Up - F2a]:[Up - F2b]]),"")</f>
        <v>2.5</v>
      </c>
      <c r="AU247" s="14">
        <v>2</v>
      </c>
      <c r="AV247" s="14">
        <v>3</v>
      </c>
      <c r="AW247" s="14">
        <f>IFERROR(AVERAGE(Tabel1[[#This Row],[Up - F3a]:[Up - F3b]]),"")</f>
        <v>2.5</v>
      </c>
      <c r="AX247" s="14">
        <v>3</v>
      </c>
      <c r="AY247" s="14">
        <f>IFERROR(AVERAGE(Tabel1[[#This Row],[Up - F1]],Tabel1[[#This Row],[Up - F2]],Tabel1[[#This Row],[Up - F3]],Tabel1[[#This Row],[Up - F4]]),"")</f>
        <v>2.5</v>
      </c>
      <c r="AZ247" s="14">
        <v>4</v>
      </c>
      <c r="BA247" s="14">
        <v>2</v>
      </c>
      <c r="BB247" s="14">
        <f>IFERROR(AVERAGE(Tabel1[[#This Row],[Up - V1a]:[Up - V1b]]),"")</f>
        <v>3</v>
      </c>
      <c r="BC247" s="14">
        <v>3</v>
      </c>
      <c r="BD247" s="14">
        <v>4</v>
      </c>
      <c r="BE247" s="14">
        <v>3</v>
      </c>
      <c r="BF247" s="14">
        <f>IFERROR(AVERAGE(Tabel1[[#This Row],[Up - V2a]:[Up - V2c]]),"")</f>
        <v>3.3333333333333335</v>
      </c>
      <c r="BG247" s="14">
        <v>2</v>
      </c>
      <c r="BH247" s="14">
        <v>2</v>
      </c>
      <c r="BI247" s="14">
        <f>IFERROR(AVERAGE(Tabel1[[#This Row],[Up - V3a]:[Up - V3b]]),"")</f>
        <v>2</v>
      </c>
      <c r="BJ247" s="14">
        <v>4</v>
      </c>
      <c r="BK247" s="14">
        <f>IFERROR(AVERAGE(Tabel1[[#This Row],[Up - V1]],Tabel1[[#This Row],[Up - V2]],Tabel1[[#This Row],[Up - V3]],Tabel1[[#This Row],[Up - V4]]),"")</f>
        <v>3.0833333333333335</v>
      </c>
      <c r="BL247" s="14">
        <v>3</v>
      </c>
      <c r="BM247" s="14">
        <v>2</v>
      </c>
      <c r="BN247" s="14">
        <v>2</v>
      </c>
      <c r="BO247" s="14">
        <v>3</v>
      </c>
      <c r="BP247" s="14">
        <f>IFERROR(AVERAGE(Tabel1[[#This Row],[Up - A1a]:[Up - A1d]]),"")</f>
        <v>2.5</v>
      </c>
      <c r="BQ247" s="14">
        <v>2</v>
      </c>
      <c r="BR247" s="14">
        <v>2</v>
      </c>
      <c r="BS247" s="14">
        <f>IFERROR(AVERAGE(Tabel1[[#This Row],[Up - A2a]:[Up - A2b]]),"")</f>
        <v>2</v>
      </c>
      <c r="BT247" s="14">
        <v>4</v>
      </c>
      <c r="BU247" s="14">
        <f>IFERROR(AVERAGE(Tabel1[[#This Row],[Up - A3a]:[Up - A3a]]),"")</f>
        <v>4</v>
      </c>
      <c r="BV247" s="14">
        <v>4</v>
      </c>
      <c r="BW247" s="14">
        <f>IFERROR(AVERAGE(Tabel1[[#This Row],[Up - A1]],Tabel1[[#This Row],[Up - A2]],Tabel1[[#This Row],[Up - A3]]),"")</f>
        <v>2.8333333333333335</v>
      </c>
      <c r="BX247" s="14" t="s">
        <v>189</v>
      </c>
      <c r="BY247" s="14" t="s">
        <v>189</v>
      </c>
      <c r="BZ247" s="14" t="str">
        <f>IFERROR(AVERAGE(Tabel1[[#This Row],[In - R1a]:[In - R1b]]),"")</f>
        <v/>
      </c>
      <c r="CA247" s="14">
        <v>3</v>
      </c>
      <c r="CB247" s="14">
        <v>4</v>
      </c>
      <c r="CC247" s="14" t="s">
        <v>189</v>
      </c>
      <c r="CD247" s="14">
        <v>5</v>
      </c>
      <c r="CE247" s="14">
        <f>IFERROR(AVERAGE(Tabel1[[#This Row],[In - R1]:[In - R5]]),"")</f>
        <v>4</v>
      </c>
      <c r="CF247" s="14">
        <v>3</v>
      </c>
      <c r="CG247" s="14">
        <v>2</v>
      </c>
      <c r="CH247" s="14">
        <v>2</v>
      </c>
      <c r="CI247" s="14">
        <f>IFERROR(AVERAGE(Tabel1[[#This Row],[In - C1a]:[In - C1c]]),"")</f>
        <v>2.3333333333333335</v>
      </c>
      <c r="CJ247" s="14">
        <v>2</v>
      </c>
      <c r="CK247" s="14">
        <v>2</v>
      </c>
      <c r="CL247" s="14">
        <v>2</v>
      </c>
      <c r="CM247" s="14">
        <f>IFERROR(AVERAGE(Tabel1[[#This Row],[In - C1]:[In - C4]]),"")</f>
        <v>2.0833333333333335</v>
      </c>
      <c r="CN247" s="14">
        <v>2</v>
      </c>
      <c r="CO247" s="14">
        <v>2</v>
      </c>
      <c r="CP247" s="14" t="s">
        <v>189</v>
      </c>
      <c r="CQ247" s="14">
        <f>IFERROR(AVERAGE(Tabel1[[#This Row],[In - F1a]:[In - F1c]]),"")</f>
        <v>2</v>
      </c>
      <c r="CR247" s="14">
        <v>3</v>
      </c>
      <c r="CS247" s="14">
        <v>3</v>
      </c>
      <c r="CT247" s="14">
        <f>IFERROR(AVERAGE(Tabel1[[#This Row],[In - F2a]:[In - F2b]]),"")</f>
        <v>3</v>
      </c>
      <c r="CU247" s="14" t="s">
        <v>189</v>
      </c>
      <c r="CV247" s="14" t="str">
        <f>IFERROR(AVERAGE(Tabel1[[#This Row],[In - F3a]:[In - F3a]]),"")</f>
        <v/>
      </c>
      <c r="CW247" s="14">
        <v>3</v>
      </c>
      <c r="CX247" s="14">
        <f>IFERROR(AVERAGE(Tabel1[[#This Row],[In - F1]],Tabel1[[#This Row],[In - F2]],Tabel1[[#This Row],[In - F3]],Tabel1[[#This Row],[In - F4]]),"")</f>
        <v>2.6666666666666665</v>
      </c>
      <c r="CY247" s="14">
        <v>4</v>
      </c>
      <c r="CZ247" s="14">
        <v>2</v>
      </c>
      <c r="DA247" s="14">
        <v>2</v>
      </c>
      <c r="DB247" s="14">
        <f>IFERROR(AVERAGE(Tabel1[[#This Row],[In - V1a]:[In - V1c]]),"")</f>
        <v>2.6666666666666665</v>
      </c>
      <c r="DC247" s="14">
        <v>4</v>
      </c>
      <c r="DD247" s="14">
        <v>3</v>
      </c>
      <c r="DE247" s="14">
        <v>3</v>
      </c>
      <c r="DF247" s="14">
        <f>IFERROR(AVERAGE(Tabel1[[#This Row],[In - V2a]:[In - V2c]]),"")</f>
        <v>3.3333333333333335</v>
      </c>
      <c r="DG247" s="14">
        <v>2</v>
      </c>
      <c r="DH247" s="14">
        <v>4</v>
      </c>
      <c r="DI247" s="14">
        <f>IFERROR(AVERAGE(Tabel1[[#This Row],[In - V3a]:[In - V3b]]),"")</f>
        <v>3</v>
      </c>
      <c r="DJ247" s="14">
        <v>3</v>
      </c>
      <c r="DK247" s="14">
        <f>IFERROR(AVERAGE(Tabel1[[#This Row],[In - V1]],Tabel1[[#This Row],[In - V2]],Tabel1[[#This Row],[In - V3]],Tabel1[[#This Row],[In - V4]]),"")</f>
        <v>3</v>
      </c>
      <c r="DL247" s="14">
        <v>2</v>
      </c>
      <c r="DM247" s="14" t="s">
        <v>189</v>
      </c>
      <c r="DN247" s="14">
        <f>IFERROR(AVERAGE(Tabel1[[#This Row],[In - A1a]:[In - A1b]]),"")</f>
        <v>2</v>
      </c>
      <c r="DO247" s="14" t="s">
        <v>189</v>
      </c>
      <c r="DP247" s="14">
        <v>3</v>
      </c>
      <c r="DQ247" s="14">
        <f>IFERROR(AVERAGE(Tabel1[[#This Row],[In - A2a]:[In - A2b]]),"")</f>
        <v>3</v>
      </c>
      <c r="DR247" s="14">
        <v>4</v>
      </c>
      <c r="DS247" s="14">
        <v>4</v>
      </c>
      <c r="DT247" s="14">
        <f>IFERROR(AVERAGE(Tabel1[[#This Row],[In - A3a]:[In - A3a]]),"")</f>
        <v>4</v>
      </c>
      <c r="DU247" s="14">
        <v>3</v>
      </c>
      <c r="DV247" s="14">
        <f>IFERROR(AVERAGE(Tabel1[[#This Row],[In - A1]],Tabel1[[#This Row],[In - A2]],Tabel1[[#This Row],[In - A3]],Tabel1[[#This Row],[In - A4]]),"")</f>
        <v>3</v>
      </c>
      <c r="DW247" s="14">
        <v>3</v>
      </c>
      <c r="DX247" s="14">
        <v>4</v>
      </c>
      <c r="DY247" s="14">
        <v>4</v>
      </c>
      <c r="DZ247" s="14">
        <f>IFERROR(AVERAGE(Tabel1[[#This Row],[Do - R1a]:[Do - R1c]]),"")</f>
        <v>3.6666666666666665</v>
      </c>
      <c r="EA247" s="14">
        <v>2</v>
      </c>
      <c r="EB247" s="14">
        <v>3</v>
      </c>
      <c r="EC247" s="14">
        <v>1</v>
      </c>
      <c r="ED247" s="14">
        <v>3</v>
      </c>
      <c r="EE247" s="14">
        <f>IFERROR(AVERAGE(Tabel1[[#This Row],[Do - R1]:[Do - R5]]),"")</f>
        <v>2.5333333333333332</v>
      </c>
      <c r="EF247" s="14">
        <v>4</v>
      </c>
      <c r="EG247" s="14">
        <v>2</v>
      </c>
      <c r="EH247" s="14">
        <v>4</v>
      </c>
      <c r="EI247" s="14">
        <f>IFERROR(AVERAGE(Tabel1[[#This Row],[Do - C1a]:[Do - C1c]]),"")</f>
        <v>3.3333333333333335</v>
      </c>
      <c r="EJ247" s="14">
        <v>2</v>
      </c>
      <c r="EK247" s="14">
        <v>2</v>
      </c>
      <c r="EL247" s="14">
        <v>2</v>
      </c>
      <c r="EM247" s="14">
        <f>IFERROR(AVERAGE(Tabel1[[#This Row],[Do - C1]:[Do - C4]]),"")</f>
        <v>2.3333333333333335</v>
      </c>
      <c r="EN247" s="14">
        <v>2</v>
      </c>
      <c r="EO247" s="14">
        <v>2</v>
      </c>
      <c r="EP247" s="14">
        <v>3</v>
      </c>
      <c r="EQ247" s="14">
        <f>IFERROR(AVERAGE(Tabel1[[#This Row],[Do - F1a]:[Do - F1c]]),"")</f>
        <v>2.3333333333333335</v>
      </c>
      <c r="ER247" s="14">
        <v>1</v>
      </c>
      <c r="ES247" s="14">
        <f>IFERROR(AVERAGE(Tabel1[[#This Row],[Do - F2a]:[Do - F2a]]),"")</f>
        <v>1</v>
      </c>
      <c r="ET247" s="14">
        <v>2</v>
      </c>
      <c r="EU247" s="14">
        <v>2</v>
      </c>
      <c r="EV247" s="14">
        <f>IFERROR(AVERAGE(Tabel1[[#This Row],[Do - F3a]:[Do - F3b]]),"")</f>
        <v>2</v>
      </c>
      <c r="EW247" s="14">
        <v>3</v>
      </c>
      <c r="EX247" s="14">
        <f>IFERROR(AVERAGE(Tabel1[[#This Row],[Do - F1]],Tabel1[[#This Row],[Do - F2]],Tabel1[[#This Row],[Do - F3]],Tabel1[[#This Row],[Do - F4]]),"")</f>
        <v>2.0833333333333335</v>
      </c>
      <c r="EY247" s="14">
        <v>2</v>
      </c>
      <c r="EZ247" s="14">
        <v>2</v>
      </c>
      <c r="FA247" s="14">
        <v>2</v>
      </c>
      <c r="FB247" s="14">
        <f>IFERROR(AVERAGE(Tabel1[[#This Row],[Do - V1a]:[Do - V1c]]),"")</f>
        <v>2</v>
      </c>
      <c r="FC247" s="14">
        <v>3</v>
      </c>
      <c r="FD247" s="14">
        <v>4</v>
      </c>
      <c r="FE247" s="14">
        <f>IFERROR(AVERAGE(Tabel1[[#This Row],[Do - V2a]:[Do - V2b]]),"")</f>
        <v>3.5</v>
      </c>
      <c r="FF247" s="14">
        <v>2</v>
      </c>
      <c r="FG247" s="14">
        <f>IFERROR(AVERAGE(Tabel1[[#This Row],[Do - V3a]:[Do - V3a]]),"")</f>
        <v>2</v>
      </c>
      <c r="FH247" s="14">
        <v>4</v>
      </c>
      <c r="FI247" s="14">
        <f>IFERROR(AVERAGE(Tabel1[[#This Row],[Do - V1]],Tabel1[[#This Row],[Do - V2]],Tabel1[[#This Row],[Do - V3]],Tabel1[[#This Row],[Do - V4]]),"")</f>
        <v>2.875</v>
      </c>
      <c r="FJ247" s="14">
        <v>4</v>
      </c>
      <c r="FK247" s="14">
        <v>2</v>
      </c>
      <c r="FL247" s="14">
        <v>4</v>
      </c>
      <c r="FM247" s="14">
        <f>IFERROR(AVERAGE(Tabel1[[#This Row],[Do - A1a]:[Do - A1c]]),"")</f>
        <v>3.3333333333333335</v>
      </c>
      <c r="FN247" s="14">
        <v>2</v>
      </c>
      <c r="FO247" s="14">
        <v>4</v>
      </c>
      <c r="FP247" s="14">
        <f>IFERROR(AVERAGE(Tabel1[[#This Row],[Do - A2a]:[Do - A2b]]),"")</f>
        <v>3</v>
      </c>
      <c r="FQ247" s="14">
        <v>4</v>
      </c>
      <c r="FR247" s="14">
        <f>IFERROR(AVERAGE(Tabel1[[#This Row],[Do - A3a]:[Do - A3a]]),"")</f>
        <v>4</v>
      </c>
      <c r="FS247" s="14">
        <v>4</v>
      </c>
      <c r="FT247" s="14">
        <f>IFERROR(AVERAGE(Tabel1[[#This Row],[Do - A1]],Tabel1[[#This Row],[Do - A2]],Tabel1[[#This Row],[Do - A3]],Tabel1[[#This Row],[Do - A4]]),"")</f>
        <v>3.5833333333333335</v>
      </c>
      <c r="FU24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2.7672222222222227</v>
      </c>
      <c r="FV247" s="27" t="s">
        <v>1325</v>
      </c>
      <c r="FW247" t="b">
        <v>1</v>
      </c>
    </row>
    <row r="248" spans="1:179" x14ac:dyDescent="0.3">
      <c r="A248" s="13">
        <v>45399.825578703698</v>
      </c>
      <c r="B248" t="b">
        <v>0</v>
      </c>
      <c r="C248" s="14" t="s">
        <v>1326</v>
      </c>
      <c r="D248" s="14" t="s">
        <v>539</v>
      </c>
      <c r="E248" s="14" t="s">
        <v>1327</v>
      </c>
      <c r="F248" s="14" t="s">
        <v>184</v>
      </c>
      <c r="G248" s="14" t="s">
        <v>1328</v>
      </c>
      <c r="H248" s="14" t="s">
        <v>222</v>
      </c>
      <c r="I248" s="14" t="s">
        <v>385</v>
      </c>
      <c r="J248" s="14"/>
      <c r="K248" s="28" t="s">
        <v>201</v>
      </c>
      <c r="L248" s="14" t="s">
        <v>218</v>
      </c>
      <c r="M248" s="14" t="s">
        <v>188</v>
      </c>
      <c r="N248" s="14" t="s">
        <v>316</v>
      </c>
      <c r="O248" s="14" t="s">
        <v>200</v>
      </c>
      <c r="P248" s="24" t="s">
        <v>255</v>
      </c>
      <c r="Q248" s="17" t="s">
        <v>201</v>
      </c>
      <c r="R248" s="24" t="s">
        <v>304</v>
      </c>
      <c r="S248" s="25" t="s">
        <v>235</v>
      </c>
      <c r="T248" s="14" t="s">
        <v>236</v>
      </c>
      <c r="U248" s="14" t="s">
        <v>349</v>
      </c>
      <c r="V248" s="14" t="s">
        <v>359</v>
      </c>
      <c r="W248" s="14" t="s">
        <v>306</v>
      </c>
      <c r="X248" s="14" t="s">
        <v>395</v>
      </c>
      <c r="Y248" s="14">
        <v>2</v>
      </c>
      <c r="Z248" s="14">
        <v>3</v>
      </c>
      <c r="AA248" s="14">
        <v>4</v>
      </c>
      <c r="AB248" s="15">
        <f>IFERROR(AVERAGE(Tabel1[[#This Row],[Up - R1a]:[Up - R1c]]),"")</f>
        <v>3</v>
      </c>
      <c r="AC248" s="14">
        <v>1</v>
      </c>
      <c r="AD248" s="14">
        <v>1</v>
      </c>
      <c r="AE248" s="14">
        <v>2</v>
      </c>
      <c r="AF248" s="14">
        <v>3</v>
      </c>
      <c r="AG248" s="14">
        <f>IFERROR(AVERAGE(Tabel1[[#This Row],[Up - R1]:[Up - R5]]),"")</f>
        <v>2</v>
      </c>
      <c r="AH248" s="14">
        <v>3</v>
      </c>
      <c r="AI248" s="14">
        <v>3</v>
      </c>
      <c r="AJ248" s="14">
        <v>3</v>
      </c>
      <c r="AK248" s="14">
        <f>IFERROR(AVERAGE(Tabel1[[#This Row],[Up - C1a]:[Up - C1c]]),"")</f>
        <v>3</v>
      </c>
      <c r="AL248" s="14">
        <v>4</v>
      </c>
      <c r="AM248" s="14">
        <v>1</v>
      </c>
      <c r="AN248" s="14">
        <v>3</v>
      </c>
      <c r="AO248" s="14">
        <f>IFERROR(AVERAGE(Tabel1[[#This Row],[Up - C1]:[Up - C4]]),"")</f>
        <v>2.75</v>
      </c>
      <c r="AP248" s="14">
        <v>2</v>
      </c>
      <c r="AQ248" s="14">
        <f>IFERROR(AVERAGE(Tabel1[[#This Row],[Up - F1a]:[Up - F1a]]),"")</f>
        <v>2</v>
      </c>
      <c r="AR248" s="14">
        <v>1</v>
      </c>
      <c r="AS248" s="14">
        <v>4</v>
      </c>
      <c r="AT248" s="14">
        <f>IFERROR(AVERAGE(Tabel1[[#This Row],[Up - F2a]:[Up - F2b]]),"")</f>
        <v>2.5</v>
      </c>
      <c r="AU248" s="14">
        <v>2</v>
      </c>
      <c r="AV248" s="14">
        <v>4</v>
      </c>
      <c r="AW248" s="14">
        <f>IFERROR(AVERAGE(Tabel1[[#This Row],[Up - F3a]:[Up - F3b]]),"")</f>
        <v>3</v>
      </c>
      <c r="AX248" s="14">
        <v>3</v>
      </c>
      <c r="AY248" s="14">
        <f>IFERROR(AVERAGE(Tabel1[[#This Row],[Up - F1]],Tabel1[[#This Row],[Up - F2]],Tabel1[[#This Row],[Up - F3]],Tabel1[[#This Row],[Up - F4]]),"")</f>
        <v>2.625</v>
      </c>
      <c r="AZ248" s="14">
        <v>1</v>
      </c>
      <c r="BA248" s="14">
        <v>2</v>
      </c>
      <c r="BB248" s="14">
        <f>IFERROR(AVERAGE(Tabel1[[#This Row],[Up - V1a]:[Up - V1b]]),"")</f>
        <v>1.5</v>
      </c>
      <c r="BC248" s="14">
        <v>1</v>
      </c>
      <c r="BD248" s="14">
        <v>1</v>
      </c>
      <c r="BE248" s="14">
        <v>3</v>
      </c>
      <c r="BF248" s="14">
        <f>IFERROR(AVERAGE(Tabel1[[#This Row],[Up - V2a]:[Up - V2c]]),"")</f>
        <v>1.6666666666666667</v>
      </c>
      <c r="BG248" s="14">
        <v>1</v>
      </c>
      <c r="BH248" s="14">
        <v>1</v>
      </c>
      <c r="BI248" s="14">
        <f>IFERROR(AVERAGE(Tabel1[[#This Row],[Up - V3a]:[Up - V3b]]),"")</f>
        <v>1</v>
      </c>
      <c r="BJ248" s="14">
        <v>1</v>
      </c>
      <c r="BK248" s="14">
        <f>IFERROR(AVERAGE(Tabel1[[#This Row],[Up - V1]],Tabel1[[#This Row],[Up - V2]],Tabel1[[#This Row],[Up - V3]],Tabel1[[#This Row],[Up - V4]]),"")</f>
        <v>1.2916666666666667</v>
      </c>
      <c r="BL248" s="14">
        <v>2</v>
      </c>
      <c r="BM248" s="14">
        <v>4</v>
      </c>
      <c r="BN248" s="14">
        <v>5</v>
      </c>
      <c r="BO248" s="14">
        <v>2</v>
      </c>
      <c r="BP248" s="14">
        <f>IFERROR(AVERAGE(Tabel1[[#This Row],[Up - A1a]:[Up - A1d]]),"")</f>
        <v>3.25</v>
      </c>
      <c r="BQ248" s="14">
        <v>2</v>
      </c>
      <c r="BR248" s="14" t="s">
        <v>189</v>
      </c>
      <c r="BS248" s="14">
        <f>IFERROR(AVERAGE(Tabel1[[#This Row],[Up - A2a]:[Up - A2b]]),"")</f>
        <v>2</v>
      </c>
      <c r="BT248" s="14">
        <v>5</v>
      </c>
      <c r="BU248" s="14">
        <f>IFERROR(AVERAGE(Tabel1[[#This Row],[Up - A3a]:[Up - A3a]]),"")</f>
        <v>5</v>
      </c>
      <c r="BV248" s="14">
        <v>3</v>
      </c>
      <c r="BW248" s="14">
        <f>IFERROR(AVERAGE(Tabel1[[#This Row],[Up - A1]],Tabel1[[#This Row],[Up - A2]],Tabel1[[#This Row],[Up - A3]]),"")</f>
        <v>3.4166666666666665</v>
      </c>
      <c r="BX248" s="14">
        <v>5</v>
      </c>
      <c r="BY248" s="14">
        <v>1</v>
      </c>
      <c r="BZ248" s="14">
        <f>IFERROR(AVERAGE(Tabel1[[#This Row],[In - R1a]:[In - R1b]]),"")</f>
        <v>3</v>
      </c>
      <c r="CA248" s="14">
        <v>5</v>
      </c>
      <c r="CB248" s="14">
        <v>3</v>
      </c>
      <c r="CC248" s="14">
        <v>4</v>
      </c>
      <c r="CD248" s="14">
        <v>3</v>
      </c>
      <c r="CE248" s="14">
        <f>IFERROR(AVERAGE(Tabel1[[#This Row],[In - R1]:[In - R5]]),"")</f>
        <v>3.6</v>
      </c>
      <c r="CF248" s="14">
        <v>4</v>
      </c>
      <c r="CG248" s="14">
        <v>3</v>
      </c>
      <c r="CH248" s="14">
        <v>4</v>
      </c>
      <c r="CI248" s="14">
        <f>IFERROR(AVERAGE(Tabel1[[#This Row],[In - C1a]:[In - C1c]]),"")</f>
        <v>3.6666666666666665</v>
      </c>
      <c r="CJ248" s="14">
        <v>2</v>
      </c>
      <c r="CK248" s="14">
        <v>2</v>
      </c>
      <c r="CL248" s="14">
        <v>1</v>
      </c>
      <c r="CM248" s="14">
        <f>IFERROR(AVERAGE(Tabel1[[#This Row],[In - C1]:[In - C4]]),"")</f>
        <v>2.1666666666666665</v>
      </c>
      <c r="CN248" s="14">
        <v>4</v>
      </c>
      <c r="CO248" s="14">
        <v>3</v>
      </c>
      <c r="CP248" s="14">
        <v>5</v>
      </c>
      <c r="CQ248" s="14">
        <f>IFERROR(AVERAGE(Tabel1[[#This Row],[In - F1a]:[In - F1c]]),"")</f>
        <v>4</v>
      </c>
      <c r="CR248" s="14">
        <v>1</v>
      </c>
      <c r="CS248" s="14">
        <v>1</v>
      </c>
      <c r="CT248" s="14">
        <f>IFERROR(AVERAGE(Tabel1[[#This Row],[In - F2a]:[In - F2b]]),"")</f>
        <v>1</v>
      </c>
      <c r="CU248" s="14">
        <v>3</v>
      </c>
      <c r="CV248" s="14">
        <f>IFERROR(AVERAGE(Tabel1[[#This Row],[In - F3a]:[In - F3a]]),"")</f>
        <v>3</v>
      </c>
      <c r="CW248" s="14">
        <v>4</v>
      </c>
      <c r="CX248" s="14">
        <f>IFERROR(AVERAGE(Tabel1[[#This Row],[In - F1]],Tabel1[[#This Row],[In - F2]],Tabel1[[#This Row],[In - F3]],Tabel1[[#This Row],[In - F4]]),"")</f>
        <v>3</v>
      </c>
      <c r="CY248" s="14">
        <v>5</v>
      </c>
      <c r="CZ248" s="14">
        <v>4</v>
      </c>
      <c r="DA248" s="14">
        <v>4</v>
      </c>
      <c r="DB248" s="14">
        <f>IFERROR(AVERAGE(Tabel1[[#This Row],[In - V1a]:[In - V1c]]),"")</f>
        <v>4.333333333333333</v>
      </c>
      <c r="DC248" s="14">
        <v>3</v>
      </c>
      <c r="DD248" s="14">
        <v>4</v>
      </c>
      <c r="DE248" s="14">
        <v>2</v>
      </c>
      <c r="DF248" s="14">
        <f>IFERROR(AVERAGE(Tabel1[[#This Row],[In - V2a]:[In - V2c]]),"")</f>
        <v>3</v>
      </c>
      <c r="DG248" s="14">
        <v>2</v>
      </c>
      <c r="DH248" s="14">
        <v>2</v>
      </c>
      <c r="DI248" s="14">
        <f>IFERROR(AVERAGE(Tabel1[[#This Row],[In - V3a]:[In - V3b]]),"")</f>
        <v>2</v>
      </c>
      <c r="DJ248" s="14">
        <v>3</v>
      </c>
      <c r="DK248" s="14">
        <f>IFERROR(AVERAGE(Tabel1[[#This Row],[In - V1]],Tabel1[[#This Row],[In - V2]],Tabel1[[#This Row],[In - V3]],Tabel1[[#This Row],[In - V4]]),"")</f>
        <v>3.083333333333333</v>
      </c>
      <c r="DL248" s="14">
        <v>1</v>
      </c>
      <c r="DM248" s="14">
        <v>3</v>
      </c>
      <c r="DN248" s="14">
        <f>IFERROR(AVERAGE(Tabel1[[#This Row],[In - A1a]:[In - A1b]]),"")</f>
        <v>2</v>
      </c>
      <c r="DO248" s="14">
        <v>4</v>
      </c>
      <c r="DP248" s="14">
        <v>4</v>
      </c>
      <c r="DQ248" s="14">
        <f>IFERROR(AVERAGE(Tabel1[[#This Row],[In - A2a]:[In - A2b]]),"")</f>
        <v>4</v>
      </c>
      <c r="DR248" s="14">
        <v>5</v>
      </c>
      <c r="DS248" s="14">
        <v>2</v>
      </c>
      <c r="DT248" s="14">
        <f>IFERROR(AVERAGE(Tabel1[[#This Row],[In - A3a]:[In - A3a]]),"")</f>
        <v>5</v>
      </c>
      <c r="DU248" s="14">
        <v>1</v>
      </c>
      <c r="DV248" s="14">
        <f>IFERROR(AVERAGE(Tabel1[[#This Row],[In - A1]],Tabel1[[#This Row],[In - A2]],Tabel1[[#This Row],[In - A3]],Tabel1[[#This Row],[In - A4]]),"")</f>
        <v>3</v>
      </c>
      <c r="DW248" s="14">
        <v>1</v>
      </c>
      <c r="DX248" s="14">
        <v>5</v>
      </c>
      <c r="DY248" s="14">
        <v>1</v>
      </c>
      <c r="DZ248" s="14">
        <f>IFERROR(AVERAGE(Tabel1[[#This Row],[Do - R1a]:[Do - R1c]]),"")</f>
        <v>2.3333333333333335</v>
      </c>
      <c r="EA248" s="14">
        <v>1</v>
      </c>
      <c r="EB248" s="14">
        <v>1</v>
      </c>
      <c r="EC248" s="14">
        <v>1</v>
      </c>
      <c r="ED248" s="14">
        <v>5</v>
      </c>
      <c r="EE248" s="14">
        <f>IFERROR(AVERAGE(Tabel1[[#This Row],[Do - R1]:[Do - R5]]),"")</f>
        <v>2.0666666666666669</v>
      </c>
      <c r="EF248" s="14">
        <v>5</v>
      </c>
      <c r="EG248" s="14">
        <v>5</v>
      </c>
      <c r="EH248" s="14">
        <v>4</v>
      </c>
      <c r="EI248" s="14">
        <f>IFERROR(AVERAGE(Tabel1[[#This Row],[Do - C1a]:[Do - C1c]]),"")</f>
        <v>4.666666666666667</v>
      </c>
      <c r="EJ248" s="14">
        <v>5</v>
      </c>
      <c r="EK248" s="14">
        <v>3</v>
      </c>
      <c r="EL248" s="14">
        <v>5</v>
      </c>
      <c r="EM248" s="14">
        <f>IFERROR(AVERAGE(Tabel1[[#This Row],[Do - C1]:[Do - C4]]),"")</f>
        <v>4.416666666666667</v>
      </c>
      <c r="EN248" s="14">
        <v>1</v>
      </c>
      <c r="EO248" s="14">
        <v>1</v>
      </c>
      <c r="EP248" s="14">
        <v>1</v>
      </c>
      <c r="EQ248" s="14">
        <f>IFERROR(AVERAGE(Tabel1[[#This Row],[Do - F1a]:[Do - F1c]]),"")</f>
        <v>1</v>
      </c>
      <c r="ER248" s="14">
        <v>3</v>
      </c>
      <c r="ES248" s="14">
        <f>IFERROR(AVERAGE(Tabel1[[#This Row],[Do - F2a]:[Do - F2a]]),"")</f>
        <v>3</v>
      </c>
      <c r="ET248" s="14">
        <v>1</v>
      </c>
      <c r="EU248" s="14">
        <v>5</v>
      </c>
      <c r="EV248" s="14">
        <f>IFERROR(AVERAGE(Tabel1[[#This Row],[Do - F3a]:[Do - F3b]]),"")</f>
        <v>3</v>
      </c>
      <c r="EW248" s="14">
        <v>5</v>
      </c>
      <c r="EX248" s="14">
        <f>IFERROR(AVERAGE(Tabel1[[#This Row],[Do - F1]],Tabel1[[#This Row],[Do - F2]],Tabel1[[#This Row],[Do - F3]],Tabel1[[#This Row],[Do - F4]]),"")</f>
        <v>3</v>
      </c>
      <c r="EY248" s="14">
        <v>5</v>
      </c>
      <c r="EZ248" s="14">
        <v>5</v>
      </c>
      <c r="FA248" s="14">
        <v>1</v>
      </c>
      <c r="FB248" s="14">
        <f>IFERROR(AVERAGE(Tabel1[[#This Row],[Do - V1a]:[Do - V1c]]),"")</f>
        <v>3.6666666666666665</v>
      </c>
      <c r="FC248" s="14">
        <v>3</v>
      </c>
      <c r="FD248" s="14">
        <v>3</v>
      </c>
      <c r="FE248" s="14">
        <f>IFERROR(AVERAGE(Tabel1[[#This Row],[Do - V2a]:[Do - V2b]]),"")</f>
        <v>3</v>
      </c>
      <c r="FF248" s="14">
        <v>4</v>
      </c>
      <c r="FG248" s="14">
        <f>IFERROR(AVERAGE(Tabel1[[#This Row],[Do - V3a]:[Do - V3a]]),"")</f>
        <v>4</v>
      </c>
      <c r="FH248" s="14" t="s">
        <v>189</v>
      </c>
      <c r="FI248" s="14">
        <f>IFERROR(AVERAGE(Tabel1[[#This Row],[Do - V1]],Tabel1[[#This Row],[Do - V2]],Tabel1[[#This Row],[Do - V3]],Tabel1[[#This Row],[Do - V4]]),"")</f>
        <v>3.5555555555555554</v>
      </c>
      <c r="FJ248" s="14">
        <v>4</v>
      </c>
      <c r="FK248" s="14">
        <v>5</v>
      </c>
      <c r="FL248" s="14">
        <v>2</v>
      </c>
      <c r="FM248" s="14">
        <f>IFERROR(AVERAGE(Tabel1[[#This Row],[Do - A1a]:[Do - A1c]]),"")</f>
        <v>3.6666666666666665</v>
      </c>
      <c r="FN248" s="14">
        <v>4</v>
      </c>
      <c r="FO248" s="14" t="s">
        <v>189</v>
      </c>
      <c r="FP248" s="14">
        <f>IFERROR(AVERAGE(Tabel1[[#This Row],[Do - A2a]:[Do - A2b]]),"")</f>
        <v>4</v>
      </c>
      <c r="FQ248" s="14">
        <v>5</v>
      </c>
      <c r="FR248" s="14">
        <f>IFERROR(AVERAGE(Tabel1[[#This Row],[Do - A3a]:[Do - A3a]]),"")</f>
        <v>5</v>
      </c>
      <c r="FS248" s="14">
        <v>4</v>
      </c>
      <c r="FT248" s="14">
        <f>IFERROR(AVERAGE(Tabel1[[#This Row],[Do - A1]],Tabel1[[#This Row],[Do - A2]],Tabel1[[#This Row],[Do - A3]],Tabel1[[#This Row],[Do - A4]]),"")</f>
        <v>4.1666666666666661</v>
      </c>
      <c r="FU24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2.9425925925925922</v>
      </c>
      <c r="FV248" s="27" t="s">
        <v>1329</v>
      </c>
      <c r="FW248" t="b">
        <v>1</v>
      </c>
    </row>
    <row r="249" spans="1:179" x14ac:dyDescent="0.3">
      <c r="A249" s="13">
        <v>45400.780451388899</v>
      </c>
      <c r="B249" t="b">
        <v>0</v>
      </c>
      <c r="C249" s="14" t="s">
        <v>1330</v>
      </c>
      <c r="D249" s="14" t="s">
        <v>1331</v>
      </c>
      <c r="E249" s="14" t="s">
        <v>1332</v>
      </c>
      <c r="F249" s="14" t="s">
        <v>184</v>
      </c>
      <c r="G249" s="14" t="s">
        <v>1333</v>
      </c>
      <c r="H249" s="14" t="s">
        <v>222</v>
      </c>
      <c r="I249" s="14" t="s">
        <v>195</v>
      </c>
      <c r="J249" s="14" t="s">
        <v>533</v>
      </c>
      <c r="K249" s="28" t="s">
        <v>201</v>
      </c>
      <c r="L249" s="14" t="s">
        <v>249</v>
      </c>
      <c r="M249" s="14" t="s">
        <v>233</v>
      </c>
      <c r="N249" s="14" t="s">
        <v>262</v>
      </c>
      <c r="O249" s="14" t="s">
        <v>200</v>
      </c>
      <c r="P249" s="24" t="s">
        <v>255</v>
      </c>
      <c r="Q249" s="17" t="s">
        <v>201</v>
      </c>
      <c r="R249" s="25" t="s">
        <v>202</v>
      </c>
      <c r="S249" s="25" t="s">
        <v>235</v>
      </c>
      <c r="T249" s="14" t="s">
        <v>204</v>
      </c>
      <c r="U249" s="14" t="s">
        <v>285</v>
      </c>
      <c r="V249" s="14" t="s">
        <v>359</v>
      </c>
      <c r="W249" s="14" t="s">
        <v>207</v>
      </c>
      <c r="X249" s="14" t="s">
        <v>207</v>
      </c>
      <c r="Y249" s="14">
        <v>2</v>
      </c>
      <c r="Z249" s="14">
        <v>1</v>
      </c>
      <c r="AA249" s="14">
        <v>2</v>
      </c>
      <c r="AB249" s="15">
        <f>IFERROR(AVERAGE(Tabel1[[#This Row],[Up - R1a]:[Up - R1c]]),"")</f>
        <v>1.6666666666666667</v>
      </c>
      <c r="AC249" s="14">
        <v>4</v>
      </c>
      <c r="AD249" s="14">
        <v>4</v>
      </c>
      <c r="AE249" s="14">
        <v>2</v>
      </c>
      <c r="AF249" s="14">
        <v>3</v>
      </c>
      <c r="AG249" s="14">
        <f>IFERROR(AVERAGE(Tabel1[[#This Row],[Up - R1]:[Up - R5]]),"")</f>
        <v>2.9333333333333336</v>
      </c>
      <c r="AH249" s="14">
        <v>4</v>
      </c>
      <c r="AI249" s="14">
        <v>4</v>
      </c>
      <c r="AJ249" s="14">
        <v>4</v>
      </c>
      <c r="AK249" s="14">
        <f>IFERROR(AVERAGE(Tabel1[[#This Row],[Up - C1a]:[Up - C1c]]),"")</f>
        <v>4</v>
      </c>
      <c r="AL249" s="14">
        <v>3</v>
      </c>
      <c r="AM249" s="14">
        <v>2</v>
      </c>
      <c r="AN249" s="14" t="s">
        <v>189</v>
      </c>
      <c r="AO249" s="14">
        <f>IFERROR(AVERAGE(Tabel1[[#This Row],[Up - C1]:[Up - C4]]),"")</f>
        <v>3</v>
      </c>
      <c r="AP249" s="14">
        <v>2</v>
      </c>
      <c r="AQ249" s="14">
        <f>IFERROR(AVERAGE(Tabel1[[#This Row],[Up - F1a]:[Up - F1a]]),"")</f>
        <v>2</v>
      </c>
      <c r="AR249" s="14">
        <v>1</v>
      </c>
      <c r="AS249" s="14">
        <v>1</v>
      </c>
      <c r="AT249" s="14">
        <f>IFERROR(AVERAGE(Tabel1[[#This Row],[Up - F2a]:[Up - F2b]]),"")</f>
        <v>1</v>
      </c>
      <c r="AU249" s="14">
        <v>3</v>
      </c>
      <c r="AV249" s="14">
        <v>1</v>
      </c>
      <c r="AW249" s="14">
        <f>IFERROR(AVERAGE(Tabel1[[#This Row],[Up - F3a]:[Up - F3b]]),"")</f>
        <v>2</v>
      </c>
      <c r="AX249" s="14" t="s">
        <v>189</v>
      </c>
      <c r="AY249" s="14">
        <f>IFERROR(AVERAGE(Tabel1[[#This Row],[Up - F1]],Tabel1[[#This Row],[Up - F2]],Tabel1[[#This Row],[Up - F3]],Tabel1[[#This Row],[Up - F4]]),"")</f>
        <v>1.6666666666666667</v>
      </c>
      <c r="AZ249" s="14">
        <v>2</v>
      </c>
      <c r="BA249" s="14">
        <v>3</v>
      </c>
      <c r="BB249" s="14">
        <f>IFERROR(AVERAGE(Tabel1[[#This Row],[Up - V1a]:[Up - V1b]]),"")</f>
        <v>2.5</v>
      </c>
      <c r="BC249" s="14">
        <v>1</v>
      </c>
      <c r="BD249" s="14">
        <v>3</v>
      </c>
      <c r="BE249" s="14">
        <v>4</v>
      </c>
      <c r="BF249" s="14">
        <f>IFERROR(AVERAGE(Tabel1[[#This Row],[Up - V2a]:[Up - V2c]]),"")</f>
        <v>2.6666666666666665</v>
      </c>
      <c r="BG249" s="14">
        <v>4</v>
      </c>
      <c r="BH249" s="14" t="s">
        <v>189</v>
      </c>
      <c r="BI249" s="14">
        <f>IFERROR(AVERAGE(Tabel1[[#This Row],[Up - V3a]:[Up - V3b]]),"")</f>
        <v>4</v>
      </c>
      <c r="BJ249" s="14" t="s">
        <v>189</v>
      </c>
      <c r="BK249" s="14">
        <f>IFERROR(AVERAGE(Tabel1[[#This Row],[Up - V1]],Tabel1[[#This Row],[Up - V2]],Tabel1[[#This Row],[Up - V3]],Tabel1[[#This Row],[Up - V4]]),"")</f>
        <v>3.0555555555555554</v>
      </c>
      <c r="BL249" s="14">
        <v>4</v>
      </c>
      <c r="BM249" s="14">
        <v>4</v>
      </c>
      <c r="BN249" s="14">
        <v>4</v>
      </c>
      <c r="BO249" s="14" t="s">
        <v>189</v>
      </c>
      <c r="BP249" s="14">
        <f>IFERROR(AVERAGE(Tabel1[[#This Row],[Up - A1a]:[Up - A1d]]),"")</f>
        <v>4</v>
      </c>
      <c r="BQ249" s="14">
        <v>2</v>
      </c>
      <c r="BR249" s="14">
        <v>4</v>
      </c>
      <c r="BS249" s="14">
        <f>IFERROR(AVERAGE(Tabel1[[#This Row],[Up - A2a]:[Up - A2b]]),"")</f>
        <v>3</v>
      </c>
      <c r="BT249" s="14">
        <v>5</v>
      </c>
      <c r="BU249" s="14">
        <f>IFERROR(AVERAGE(Tabel1[[#This Row],[Up - A3a]:[Up - A3a]]),"")</f>
        <v>5</v>
      </c>
      <c r="BV249" s="14" t="s">
        <v>189</v>
      </c>
      <c r="BW249" s="14">
        <f>IFERROR(AVERAGE(Tabel1[[#This Row],[Up - A1]],Tabel1[[#This Row],[Up - A2]],Tabel1[[#This Row],[Up - A3]]),"")</f>
        <v>4</v>
      </c>
      <c r="BX249" s="14">
        <v>1</v>
      </c>
      <c r="BY249" s="14" t="s">
        <v>189</v>
      </c>
      <c r="BZ249" s="14">
        <f>IFERROR(AVERAGE(Tabel1[[#This Row],[In - R1a]:[In - R1b]]),"")</f>
        <v>1</v>
      </c>
      <c r="CA249" s="14">
        <v>4</v>
      </c>
      <c r="CB249" s="14" t="s">
        <v>189</v>
      </c>
      <c r="CC249" s="14">
        <v>1</v>
      </c>
      <c r="CD249" s="14">
        <v>4</v>
      </c>
      <c r="CE249" s="14">
        <f>IFERROR(AVERAGE(Tabel1[[#This Row],[In - R1]:[In - R5]]),"")</f>
        <v>2.5</v>
      </c>
      <c r="CF249" s="14">
        <v>4</v>
      </c>
      <c r="CG249" s="14">
        <v>4</v>
      </c>
      <c r="CH249" s="14">
        <v>4</v>
      </c>
      <c r="CI249" s="14">
        <f>IFERROR(AVERAGE(Tabel1[[#This Row],[In - C1a]:[In - C1c]]),"")</f>
        <v>4</v>
      </c>
      <c r="CJ249" s="14">
        <v>2</v>
      </c>
      <c r="CK249" s="14">
        <v>4</v>
      </c>
      <c r="CL249" s="14">
        <v>2</v>
      </c>
      <c r="CM249" s="14">
        <f>IFERROR(AVERAGE(Tabel1[[#This Row],[In - C1]:[In - C4]]),"")</f>
        <v>3</v>
      </c>
      <c r="CN249" s="14">
        <v>4</v>
      </c>
      <c r="CO249" s="14">
        <v>4</v>
      </c>
      <c r="CP249" s="14" t="s">
        <v>189</v>
      </c>
      <c r="CQ249" s="14">
        <f>IFERROR(AVERAGE(Tabel1[[#This Row],[In - F1a]:[In - F1c]]),"")</f>
        <v>4</v>
      </c>
      <c r="CR249" s="14">
        <v>4</v>
      </c>
      <c r="CS249" s="14">
        <v>3</v>
      </c>
      <c r="CT249" s="14">
        <f>IFERROR(AVERAGE(Tabel1[[#This Row],[In - F2a]:[In - F2b]]),"")</f>
        <v>3.5</v>
      </c>
      <c r="CU249" s="14">
        <v>4</v>
      </c>
      <c r="CV249" s="14">
        <f>IFERROR(AVERAGE(Tabel1[[#This Row],[In - F3a]:[In - F3a]]),"")</f>
        <v>4</v>
      </c>
      <c r="CW249" s="14">
        <v>4</v>
      </c>
      <c r="CX249" s="14">
        <f>IFERROR(AVERAGE(Tabel1[[#This Row],[In - F1]],Tabel1[[#This Row],[In - F2]],Tabel1[[#This Row],[In - F3]],Tabel1[[#This Row],[In - F4]]),"")</f>
        <v>3.875</v>
      </c>
      <c r="CY249" s="14">
        <v>5</v>
      </c>
      <c r="CZ249" s="14">
        <v>4</v>
      </c>
      <c r="DA249" s="14">
        <v>3</v>
      </c>
      <c r="DB249" s="14">
        <f>IFERROR(AVERAGE(Tabel1[[#This Row],[In - V1a]:[In - V1c]]),"")</f>
        <v>4</v>
      </c>
      <c r="DC249" s="14">
        <v>3</v>
      </c>
      <c r="DD249" s="14">
        <v>4</v>
      </c>
      <c r="DE249" s="14">
        <v>5</v>
      </c>
      <c r="DF249" s="14">
        <f>IFERROR(AVERAGE(Tabel1[[#This Row],[In - V2a]:[In - V2c]]),"")</f>
        <v>4</v>
      </c>
      <c r="DG249" s="14">
        <v>4</v>
      </c>
      <c r="DH249" s="14">
        <v>5</v>
      </c>
      <c r="DI249" s="14">
        <f>IFERROR(AVERAGE(Tabel1[[#This Row],[In - V3a]:[In - V3b]]),"")</f>
        <v>4.5</v>
      </c>
      <c r="DJ249" s="14" t="s">
        <v>189</v>
      </c>
      <c r="DK249" s="14">
        <f>IFERROR(AVERAGE(Tabel1[[#This Row],[In - V1]],Tabel1[[#This Row],[In - V2]],Tabel1[[#This Row],[In - V3]],Tabel1[[#This Row],[In - V4]]),"")</f>
        <v>4.166666666666667</v>
      </c>
      <c r="DL249" s="14">
        <v>2</v>
      </c>
      <c r="DM249" s="14" t="s">
        <v>189</v>
      </c>
      <c r="DN249" s="14">
        <f>IFERROR(AVERAGE(Tabel1[[#This Row],[In - A1a]:[In - A1b]]),"")</f>
        <v>2</v>
      </c>
      <c r="DO249" s="14">
        <v>5</v>
      </c>
      <c r="DP249" s="14">
        <v>4</v>
      </c>
      <c r="DQ249" s="14">
        <f>IFERROR(AVERAGE(Tabel1[[#This Row],[In - A2a]:[In - A2b]]),"")</f>
        <v>4.5</v>
      </c>
      <c r="DR249" s="14">
        <v>5</v>
      </c>
      <c r="DS249" s="14">
        <v>4</v>
      </c>
      <c r="DT249" s="14">
        <f>IFERROR(AVERAGE(Tabel1[[#This Row],[In - A3a]:[In - A3a]]),"")</f>
        <v>5</v>
      </c>
      <c r="DU249" s="14" t="s">
        <v>189</v>
      </c>
      <c r="DV249" s="14">
        <f>IFERROR(AVERAGE(Tabel1[[#This Row],[In - A1]],Tabel1[[#This Row],[In - A2]],Tabel1[[#This Row],[In - A3]],Tabel1[[#This Row],[In - A4]]),"")</f>
        <v>3.8333333333333335</v>
      </c>
      <c r="DW249" s="14">
        <v>3</v>
      </c>
      <c r="DX249" s="14">
        <v>5</v>
      </c>
      <c r="DY249" s="14">
        <v>2</v>
      </c>
      <c r="DZ249" s="14">
        <f>IFERROR(AVERAGE(Tabel1[[#This Row],[Do - R1a]:[Do - R1c]]),"")</f>
        <v>3.3333333333333335</v>
      </c>
      <c r="EA249" s="14">
        <v>3</v>
      </c>
      <c r="EB249" s="14">
        <v>3</v>
      </c>
      <c r="EC249" s="14" t="s">
        <v>189</v>
      </c>
      <c r="ED249" s="14" t="s">
        <v>189</v>
      </c>
      <c r="EE249" s="14">
        <f>IFERROR(AVERAGE(Tabel1[[#This Row],[Do - R1]:[Do - R5]]),"")</f>
        <v>3.1111111111111112</v>
      </c>
      <c r="EF249" s="14">
        <v>5</v>
      </c>
      <c r="EG249" s="14">
        <v>4</v>
      </c>
      <c r="EH249" s="14">
        <v>3</v>
      </c>
      <c r="EI249" s="14">
        <f>IFERROR(AVERAGE(Tabel1[[#This Row],[Do - C1a]:[Do - C1c]]),"")</f>
        <v>4</v>
      </c>
      <c r="EJ249" s="14">
        <v>3</v>
      </c>
      <c r="EK249" s="14" t="s">
        <v>189</v>
      </c>
      <c r="EL249" s="14" t="s">
        <v>189</v>
      </c>
      <c r="EM249" s="14">
        <f>IFERROR(AVERAGE(Tabel1[[#This Row],[Do - C1]:[Do - C4]]),"")</f>
        <v>3.5</v>
      </c>
      <c r="EN249" s="14" t="s">
        <v>189</v>
      </c>
      <c r="EO249" s="14">
        <v>1</v>
      </c>
      <c r="EP249" s="14">
        <v>3</v>
      </c>
      <c r="EQ249" s="14">
        <f>IFERROR(AVERAGE(Tabel1[[#This Row],[Do - F1a]:[Do - F1c]]),"")</f>
        <v>2</v>
      </c>
      <c r="ER249" s="14">
        <v>4</v>
      </c>
      <c r="ES249" s="14">
        <f>IFERROR(AVERAGE(Tabel1[[#This Row],[Do - F2a]:[Do - F2a]]),"")</f>
        <v>4</v>
      </c>
      <c r="ET249" s="14" t="s">
        <v>189</v>
      </c>
      <c r="EU249" s="14">
        <v>4</v>
      </c>
      <c r="EV249" s="14">
        <f>IFERROR(AVERAGE(Tabel1[[#This Row],[Do - F3a]:[Do - F3b]]),"")</f>
        <v>4</v>
      </c>
      <c r="EW249" s="14" t="s">
        <v>189</v>
      </c>
      <c r="EX249" s="14">
        <f>IFERROR(AVERAGE(Tabel1[[#This Row],[Do - F1]],Tabel1[[#This Row],[Do - F2]],Tabel1[[#This Row],[Do - F3]],Tabel1[[#This Row],[Do - F4]]),"")</f>
        <v>3.3333333333333335</v>
      </c>
      <c r="EY249" s="14">
        <v>2</v>
      </c>
      <c r="EZ249" s="14">
        <v>2</v>
      </c>
      <c r="FA249" s="14">
        <v>5</v>
      </c>
      <c r="FB249" s="14">
        <f>IFERROR(AVERAGE(Tabel1[[#This Row],[Do - V1a]:[Do - V1c]]),"")</f>
        <v>3</v>
      </c>
      <c r="FC249" s="14">
        <v>3</v>
      </c>
      <c r="FD249" s="14" t="s">
        <v>189</v>
      </c>
      <c r="FE249" s="14">
        <f>IFERROR(AVERAGE(Tabel1[[#This Row],[Do - V2a]:[Do - V2b]]),"")</f>
        <v>3</v>
      </c>
      <c r="FF249" s="14" t="s">
        <v>189</v>
      </c>
      <c r="FG249" s="14" t="str">
        <f>IFERROR(AVERAGE(Tabel1[[#This Row],[Do - V3a]:[Do - V3a]]),"")</f>
        <v/>
      </c>
      <c r="FH249" s="14" t="s">
        <v>189</v>
      </c>
      <c r="FI249" s="14">
        <f>IFERROR(AVERAGE(Tabel1[[#This Row],[Do - V1]],Tabel1[[#This Row],[Do - V2]],Tabel1[[#This Row],[Do - V3]],Tabel1[[#This Row],[Do - V4]]),"")</f>
        <v>3</v>
      </c>
      <c r="FJ249" s="14">
        <v>3</v>
      </c>
      <c r="FK249" s="14">
        <v>5</v>
      </c>
      <c r="FL249" s="14">
        <v>5</v>
      </c>
      <c r="FM249" s="14">
        <f>IFERROR(AVERAGE(Tabel1[[#This Row],[Do - A1a]:[Do - A1c]]),"")</f>
        <v>4.333333333333333</v>
      </c>
      <c r="FN249" s="14">
        <v>2</v>
      </c>
      <c r="FO249" s="14" t="s">
        <v>189</v>
      </c>
      <c r="FP249" s="14">
        <f>IFERROR(AVERAGE(Tabel1[[#This Row],[Do - A2a]:[Do - A2b]]),"")</f>
        <v>2</v>
      </c>
      <c r="FQ249" s="14">
        <v>4</v>
      </c>
      <c r="FR249" s="14">
        <f>IFERROR(AVERAGE(Tabel1[[#This Row],[Do - A3a]:[Do - A3a]]),"")</f>
        <v>4</v>
      </c>
      <c r="FS249" s="14" t="s">
        <v>189</v>
      </c>
      <c r="FT249" s="14">
        <f>IFERROR(AVERAGE(Tabel1[[#This Row],[Do - A1]],Tabel1[[#This Row],[Do - A2]],Tabel1[[#This Row],[Do - A3]],Tabel1[[#This Row],[Do - A4]]),"")</f>
        <v>3.4444444444444442</v>
      </c>
      <c r="FU24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3.2279629629629634</v>
      </c>
      <c r="FV249" s="27" t="s">
        <v>1334</v>
      </c>
      <c r="FW249" t="b">
        <v>1</v>
      </c>
    </row>
    <row r="250" spans="1:179" x14ac:dyDescent="0.3">
      <c r="A250" s="13">
        <v>45401.592372685183</v>
      </c>
      <c r="B250" t="b">
        <v>0</v>
      </c>
      <c r="C250" t="s">
        <v>1335</v>
      </c>
      <c r="D250" t="s">
        <v>192</v>
      </c>
      <c r="E250" t="s">
        <v>1336</v>
      </c>
      <c r="F250" s="14" t="s">
        <v>184</v>
      </c>
      <c r="G250" s="3" t="s">
        <v>1337</v>
      </c>
      <c r="H250" t="s">
        <v>222</v>
      </c>
      <c r="I250" t="s">
        <v>385</v>
      </c>
      <c r="J250" t="s">
        <v>324</v>
      </c>
      <c r="K250" t="s">
        <v>255</v>
      </c>
      <c r="L250" t="s">
        <v>249</v>
      </c>
      <c r="M250" t="s">
        <v>188</v>
      </c>
      <c r="N250" t="s">
        <v>316</v>
      </c>
      <c r="O250" t="s">
        <v>200</v>
      </c>
      <c r="P250" t="s">
        <v>255</v>
      </c>
      <c r="Q250" t="s">
        <v>304</v>
      </c>
      <c r="R250" t="s">
        <v>304</v>
      </c>
      <c r="S250" t="s">
        <v>187</v>
      </c>
      <c r="T250" t="s">
        <v>284</v>
      </c>
      <c r="U250" t="s">
        <v>285</v>
      </c>
      <c r="V250" t="s">
        <v>359</v>
      </c>
      <c r="W250" t="s">
        <v>306</v>
      </c>
      <c r="X250" t="s">
        <v>306</v>
      </c>
      <c r="Y250">
        <v>4</v>
      </c>
      <c r="Z250">
        <v>4</v>
      </c>
      <c r="AA250">
        <v>3</v>
      </c>
      <c r="AB250">
        <f>IFERROR(AVERAGE(Tabel1[[#This Row],[Up - R1a]:[Up - R1c]]),"")</f>
        <v>3.6666666666666665</v>
      </c>
      <c r="AC250" t="s">
        <v>189</v>
      </c>
      <c r="AD250">
        <v>1</v>
      </c>
      <c r="AE250">
        <v>2</v>
      </c>
      <c r="AF250" t="s">
        <v>189</v>
      </c>
      <c r="AG250">
        <f>IFERROR(AVERAGE(Tabel1[[#This Row],[Up - R1]:[Up - R5]]),"")</f>
        <v>2.2222222222222219</v>
      </c>
      <c r="AH250">
        <v>4</v>
      </c>
      <c r="AI250">
        <v>3</v>
      </c>
      <c r="AJ250">
        <v>4</v>
      </c>
      <c r="AK250">
        <f>IFERROR(AVERAGE(Tabel1[[#This Row],[Up - C1a]:[Up - C1c]]),"")</f>
        <v>3.6666666666666665</v>
      </c>
      <c r="AL250">
        <v>2</v>
      </c>
      <c r="AM250" t="s">
        <v>189</v>
      </c>
      <c r="AN250" t="s">
        <v>189</v>
      </c>
      <c r="AO250">
        <f>IFERROR(AVERAGE(Tabel1[[#This Row],[Up - C1]:[Up - C4]]),"")</f>
        <v>2.833333333333333</v>
      </c>
      <c r="AP250" t="s">
        <v>189</v>
      </c>
      <c r="AQ250" s="14" t="str">
        <f>IFERROR(AVERAGE(Tabel1[[#This Row],[Up - F1a]:[Up - F1a]]),"")</f>
        <v/>
      </c>
      <c r="AR250">
        <v>2</v>
      </c>
      <c r="AS250">
        <v>3</v>
      </c>
      <c r="AT250">
        <f>IFERROR(AVERAGE(Tabel1[[#This Row],[Up - F2a]:[Up - F2b]]),"")</f>
        <v>2.5</v>
      </c>
      <c r="AU250">
        <v>2</v>
      </c>
      <c r="AV250">
        <v>1</v>
      </c>
      <c r="AW250">
        <f>IFERROR(AVERAGE(Tabel1[[#This Row],[Up - F3a]:[Up - F3b]]),"")</f>
        <v>1.5</v>
      </c>
      <c r="AX250">
        <v>3</v>
      </c>
      <c r="AY250">
        <f>IFERROR(AVERAGE(Tabel1[[#This Row],[Up - F1]],Tabel1[[#This Row],[Up - F2]],Tabel1[[#This Row],[Up - F3]],Tabel1[[#This Row],[Up - F4]]),"")</f>
        <v>2.3333333333333335</v>
      </c>
      <c r="AZ250">
        <v>3</v>
      </c>
      <c r="BA250">
        <v>3</v>
      </c>
      <c r="BB250">
        <f>IFERROR(AVERAGE(Tabel1[[#This Row],[Up - V1a]:[Up - V1b]]),"")</f>
        <v>3</v>
      </c>
      <c r="BC250">
        <v>3</v>
      </c>
      <c r="BD250">
        <v>3</v>
      </c>
      <c r="BE250" t="s">
        <v>189</v>
      </c>
      <c r="BF250">
        <f>IFERROR(AVERAGE(Tabel1[[#This Row],[Up - V2a]:[Up - V2c]]),"")</f>
        <v>3</v>
      </c>
      <c r="BG250" t="s">
        <v>189</v>
      </c>
      <c r="BH250" t="s">
        <v>189</v>
      </c>
      <c r="BI250" s="14" t="str">
        <f>IFERROR(AVERAGE(Tabel1[[#This Row],[Up - V3a]:[Up - V3b]]),"")</f>
        <v/>
      </c>
      <c r="BJ250" t="s">
        <v>189</v>
      </c>
      <c r="BK250">
        <f>IFERROR(AVERAGE(Tabel1[[#This Row],[Up - V1]],Tabel1[[#This Row],[Up - V2]],Tabel1[[#This Row],[Up - V3]],Tabel1[[#This Row],[Up - V4]]),"")</f>
        <v>3</v>
      </c>
      <c r="BL250">
        <v>4</v>
      </c>
      <c r="BM250">
        <v>3</v>
      </c>
      <c r="BN250">
        <v>4</v>
      </c>
      <c r="BO250" t="s">
        <v>189</v>
      </c>
      <c r="BP250">
        <f>IFERROR(AVERAGE(Tabel1[[#This Row],[Up - A1a]:[Up - A1d]]),"")</f>
        <v>3.6666666666666665</v>
      </c>
      <c r="BQ250" t="s">
        <v>189</v>
      </c>
      <c r="BR250">
        <v>1</v>
      </c>
      <c r="BS250">
        <f>IFERROR(AVERAGE(Tabel1[[#This Row],[Up - A2a]:[Up - A2b]]),"")</f>
        <v>1</v>
      </c>
      <c r="BT250">
        <v>5</v>
      </c>
      <c r="BU250">
        <f>IFERROR(AVERAGE(Tabel1[[#This Row],[Up - A3a]:[Up - A3a]]),"")</f>
        <v>5</v>
      </c>
      <c r="BV250">
        <v>2</v>
      </c>
      <c r="BW250">
        <f>IFERROR(AVERAGE(Tabel1[[#This Row],[Up - A1]],Tabel1[[#This Row],[Up - A2]],Tabel1[[#This Row],[Up - A3]]),"")</f>
        <v>3.2222222222222219</v>
      </c>
      <c r="BX250">
        <v>3</v>
      </c>
      <c r="BY250">
        <v>3</v>
      </c>
      <c r="BZ250">
        <f>IFERROR(AVERAGE(Tabel1[[#This Row],[In - R1a]:[In - R1b]]),"")</f>
        <v>3</v>
      </c>
      <c r="CA250">
        <v>3</v>
      </c>
      <c r="CB250" t="s">
        <v>189</v>
      </c>
      <c r="CC250" t="s">
        <v>189</v>
      </c>
      <c r="CD250">
        <v>4</v>
      </c>
      <c r="CE250">
        <f>IFERROR(AVERAGE(Tabel1[[#This Row],[In - R1]:[In - R5]]),"")</f>
        <v>3.3333333333333335</v>
      </c>
      <c r="CF250">
        <v>3</v>
      </c>
      <c r="CG250">
        <v>1</v>
      </c>
      <c r="CH250">
        <v>4</v>
      </c>
      <c r="CI250">
        <f>IFERROR(AVERAGE(Tabel1[[#This Row],[In - C1a]:[In - C1c]]),"")</f>
        <v>2.6666666666666665</v>
      </c>
      <c r="CJ250">
        <v>1</v>
      </c>
      <c r="CK250">
        <v>1</v>
      </c>
      <c r="CL250">
        <v>1</v>
      </c>
      <c r="CM250">
        <f>IFERROR(AVERAGE(Tabel1[[#This Row],[In - C1]:[In - C4]]),"")</f>
        <v>1.4166666666666665</v>
      </c>
      <c r="CN250">
        <v>3</v>
      </c>
      <c r="CO250">
        <v>3</v>
      </c>
      <c r="CP250">
        <v>2</v>
      </c>
      <c r="CQ250">
        <f>IFERROR(AVERAGE(Tabel1[[#This Row],[In - F1a]:[In - F1c]]),"")</f>
        <v>2.6666666666666665</v>
      </c>
      <c r="CR250">
        <v>4</v>
      </c>
      <c r="CS250">
        <v>4</v>
      </c>
      <c r="CT250">
        <f>IFERROR(AVERAGE(Tabel1[[#This Row],[In - F2a]:[In - F2b]]),"")</f>
        <v>4</v>
      </c>
      <c r="CU250">
        <v>3</v>
      </c>
      <c r="CV250">
        <f>IFERROR(AVERAGE(Tabel1[[#This Row],[In - F3a]:[In - F3a]]),"")</f>
        <v>3</v>
      </c>
      <c r="CW250" t="s">
        <v>189</v>
      </c>
      <c r="CX250">
        <f>IFERROR(AVERAGE(Tabel1[[#This Row],[In - F1]],Tabel1[[#This Row],[In - F2]],Tabel1[[#This Row],[In - F3]],Tabel1[[#This Row],[In - F4]]),"")</f>
        <v>3.2222222222222219</v>
      </c>
      <c r="CY250">
        <v>4</v>
      </c>
      <c r="CZ250">
        <v>2</v>
      </c>
      <c r="DA250">
        <v>3</v>
      </c>
      <c r="DB250">
        <f>IFERROR(AVERAGE(Tabel1[[#This Row],[In - V1a]:[In - V1c]]),"")</f>
        <v>3</v>
      </c>
      <c r="DC250" t="s">
        <v>189</v>
      </c>
      <c r="DD250" t="s">
        <v>189</v>
      </c>
      <c r="DE250">
        <v>1</v>
      </c>
      <c r="DF250">
        <f>IFERROR(AVERAGE(Tabel1[[#This Row],[In - V2a]:[In - V2c]]),"")</f>
        <v>1</v>
      </c>
      <c r="DG250">
        <v>1</v>
      </c>
      <c r="DH250">
        <v>1</v>
      </c>
      <c r="DI250">
        <f>IFERROR(AVERAGE(Tabel1[[#This Row],[In - V3a]:[In - V3b]]),"")</f>
        <v>1</v>
      </c>
      <c r="DJ250" t="s">
        <v>189</v>
      </c>
      <c r="DK250">
        <f>IFERROR(AVERAGE(Tabel1[[#This Row],[In - V1]],Tabel1[[#This Row],[In - V2]],Tabel1[[#This Row],[In - V3]],Tabel1[[#This Row],[In - V4]]),"")</f>
        <v>1.6666666666666667</v>
      </c>
      <c r="DL250">
        <v>3</v>
      </c>
      <c r="DM250">
        <v>3</v>
      </c>
      <c r="DN250">
        <f>IFERROR(AVERAGE(Tabel1[[#This Row],[In - A1a]:[In - A1b]]),"")</f>
        <v>3</v>
      </c>
      <c r="DO250" t="s">
        <v>189</v>
      </c>
      <c r="DP250">
        <v>2</v>
      </c>
      <c r="DQ250">
        <f>IFERROR(AVERAGE(Tabel1[[#This Row],[In - A2a]:[In - A2b]]),"")</f>
        <v>2</v>
      </c>
      <c r="DR250">
        <v>4</v>
      </c>
      <c r="DS250">
        <v>3</v>
      </c>
      <c r="DT250">
        <f>IFERROR(AVERAGE(Tabel1[[#This Row],[In - A3a]:[In - A3a]]),"")</f>
        <v>4</v>
      </c>
      <c r="DU250">
        <v>3</v>
      </c>
      <c r="DV250">
        <f>IFERROR(AVERAGE(Tabel1[[#This Row],[In - A1]],Tabel1[[#This Row],[In - A2]],Tabel1[[#This Row],[In - A3]],Tabel1[[#This Row],[In - A4]]),"")</f>
        <v>3</v>
      </c>
      <c r="DW250">
        <v>2</v>
      </c>
      <c r="DX250">
        <v>2</v>
      </c>
      <c r="DY250">
        <v>3</v>
      </c>
      <c r="DZ250">
        <f>IFERROR(AVERAGE(Tabel1[[#This Row],[Do - R1a]:[Do - R1c]]),"")</f>
        <v>2.3333333333333335</v>
      </c>
      <c r="EA250" t="s">
        <v>189</v>
      </c>
      <c r="EB250">
        <v>2</v>
      </c>
      <c r="EC250" t="s">
        <v>189</v>
      </c>
      <c r="ED250" t="s">
        <v>189</v>
      </c>
      <c r="EE250">
        <f>IFERROR(AVERAGE(Tabel1[[#This Row],[Do - R1]:[Do - R5]]),"")</f>
        <v>2.166666666666667</v>
      </c>
      <c r="EF250">
        <v>4</v>
      </c>
      <c r="EG250">
        <v>4</v>
      </c>
      <c r="EH250">
        <v>4</v>
      </c>
      <c r="EI250">
        <f>IFERROR(AVERAGE(Tabel1[[#This Row],[Do - C1a]:[Do - C1c]]),"")</f>
        <v>4</v>
      </c>
      <c r="EJ250" t="s">
        <v>189</v>
      </c>
      <c r="EK250" t="s">
        <v>189</v>
      </c>
      <c r="EL250" t="s">
        <v>189</v>
      </c>
      <c r="EM250">
        <f>IFERROR(AVERAGE(Tabel1[[#This Row],[Do - C1]:[Do - C4]]),"")</f>
        <v>4</v>
      </c>
      <c r="EN250">
        <v>4</v>
      </c>
      <c r="EO250">
        <v>3</v>
      </c>
      <c r="EP250">
        <v>5</v>
      </c>
      <c r="EQ250" s="14">
        <f>IFERROR(AVERAGE(Tabel1[[#This Row],[Do - F1a]:[Do - F1c]]),"")</f>
        <v>4</v>
      </c>
      <c r="ER250">
        <v>4</v>
      </c>
      <c r="ES250" s="14">
        <f>IFERROR(AVERAGE(Tabel1[[#This Row],[Do - F2a]:[Do - F2a]]),"")</f>
        <v>4</v>
      </c>
      <c r="ET250">
        <v>3</v>
      </c>
      <c r="EU250">
        <v>4</v>
      </c>
      <c r="EV250" s="14">
        <f>IFERROR(AVERAGE(Tabel1[[#This Row],[Do - F3a]:[Do - F3b]]),"")</f>
        <v>3.5</v>
      </c>
      <c r="EW250">
        <v>4</v>
      </c>
      <c r="EX250" s="14">
        <f>IFERROR(AVERAGE(Tabel1[[#This Row],[Do - F1]],Tabel1[[#This Row],[Do - F2]],Tabel1[[#This Row],[Do - F3]],Tabel1[[#This Row],[Do - F4]]),"")</f>
        <v>3.875</v>
      </c>
      <c r="EY250">
        <v>2</v>
      </c>
      <c r="EZ250">
        <v>1</v>
      </c>
      <c r="FA250">
        <v>4</v>
      </c>
      <c r="FB250" s="14">
        <f>IFERROR(AVERAGE(Tabel1[[#This Row],[Do - V1a]:[Do - V1c]]),"")</f>
        <v>2.3333333333333335</v>
      </c>
      <c r="FC250">
        <v>4</v>
      </c>
      <c r="FD250">
        <v>4</v>
      </c>
      <c r="FE250">
        <f>IFERROR(AVERAGE(Tabel1[[#This Row],[Do - V2a]:[Do - V2b]]),"")</f>
        <v>4</v>
      </c>
      <c r="FF250">
        <v>4</v>
      </c>
      <c r="FG250">
        <f>IFERROR(AVERAGE(Tabel1[[#This Row],[Do - V3a]:[Do - V3a]]),"")</f>
        <v>4</v>
      </c>
      <c r="FH250" t="s">
        <v>189</v>
      </c>
      <c r="FI250">
        <f>IFERROR(AVERAGE(Tabel1[[#This Row],[Do - V1]],Tabel1[[#This Row],[Do - V2]],Tabel1[[#This Row],[Do - V3]],Tabel1[[#This Row],[Do - V4]]),"")</f>
        <v>3.4444444444444446</v>
      </c>
      <c r="FJ250">
        <v>3</v>
      </c>
      <c r="FK250">
        <v>4</v>
      </c>
      <c r="FL250">
        <v>3</v>
      </c>
      <c r="FM250">
        <f>IFERROR(AVERAGE(Tabel1[[#This Row],[Do - A1a]:[Do - A1c]]),"")</f>
        <v>3.3333333333333335</v>
      </c>
      <c r="FN250">
        <v>1</v>
      </c>
      <c r="FO250">
        <v>1</v>
      </c>
      <c r="FP250">
        <f>IFERROR(AVERAGE(Tabel1[[#This Row],[Do - A2a]:[Do - A2b]]),"")</f>
        <v>1</v>
      </c>
      <c r="FQ250">
        <v>3</v>
      </c>
      <c r="FR250">
        <f>IFERROR(AVERAGE(Tabel1[[#This Row],[Do - A3a]:[Do - A3a]]),"")</f>
        <v>3</v>
      </c>
      <c r="FS250">
        <v>3</v>
      </c>
      <c r="FT250">
        <f>IFERROR(AVERAGE(Tabel1[[#This Row],[Do - A1]],Tabel1[[#This Row],[Do - A2]],Tabel1[[#This Row],[Do - A3]],Tabel1[[#This Row],[Do - A4]]),"")</f>
        <v>2.5833333333333335</v>
      </c>
      <c r="FU25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2.8212962962962966</v>
      </c>
      <c r="FV250" s="16" t="s">
        <v>1338</v>
      </c>
      <c r="FW250" t="b">
        <v>1</v>
      </c>
    </row>
    <row r="251" spans="1:179" x14ac:dyDescent="0.3">
      <c r="A251" s="13">
        <v>45404.785659722198</v>
      </c>
      <c r="B251" t="b">
        <v>0</v>
      </c>
      <c r="C251" s="14" t="s">
        <v>1339</v>
      </c>
      <c r="D251" s="14" t="s">
        <v>613</v>
      </c>
      <c r="E251" s="14" t="s">
        <v>1340</v>
      </c>
      <c r="F251" s="14" t="s">
        <v>184</v>
      </c>
      <c r="G251" s="14" t="s">
        <v>1341</v>
      </c>
      <c r="H251" s="14" t="s">
        <v>222</v>
      </c>
      <c r="I251" s="14" t="s">
        <v>385</v>
      </c>
      <c r="J251" s="14"/>
      <c r="K251" s="26" t="s">
        <v>304</v>
      </c>
      <c r="L251" s="14" t="s">
        <v>385</v>
      </c>
      <c r="M251" s="14" t="s">
        <v>188</v>
      </c>
      <c r="N251" s="14" t="s">
        <v>316</v>
      </c>
      <c r="O251" s="14" t="s">
        <v>200</v>
      </c>
      <c r="P251" s="25"/>
      <c r="Q251" s="17" t="s">
        <v>304</v>
      </c>
      <c r="R251" s="24" t="s">
        <v>304</v>
      </c>
      <c r="S251" s="25" t="s">
        <v>202</v>
      </c>
      <c r="T251" s="14" t="s">
        <v>284</v>
      </c>
      <c r="U251" s="14" t="s">
        <v>349</v>
      </c>
      <c r="V251" s="14" t="s">
        <v>224</v>
      </c>
      <c r="W251" s="14" t="s">
        <v>207</v>
      </c>
      <c r="X251" s="14" t="s">
        <v>395</v>
      </c>
      <c r="Y251" s="14">
        <v>1</v>
      </c>
      <c r="Z251" s="14">
        <v>1</v>
      </c>
      <c r="AA251" s="14" t="s">
        <v>189</v>
      </c>
      <c r="AB251" s="15">
        <f>IFERROR(AVERAGE(Tabel1[[#This Row],[Up - R1a]:[Up - R1c]]),"")</f>
        <v>1</v>
      </c>
      <c r="AC251" s="14" t="s">
        <v>189</v>
      </c>
      <c r="AD251" s="14">
        <v>4</v>
      </c>
      <c r="AE251" s="14">
        <v>2</v>
      </c>
      <c r="AF251" s="14" t="s">
        <v>189</v>
      </c>
      <c r="AG251" s="14">
        <f>IFERROR(AVERAGE(Tabel1[[#This Row],[Up - R1]:[Up - R5]]),"")</f>
        <v>2.3333333333333335</v>
      </c>
      <c r="AH251" s="14">
        <v>3</v>
      </c>
      <c r="AI251" s="14">
        <v>2</v>
      </c>
      <c r="AJ251" s="14">
        <v>3</v>
      </c>
      <c r="AK251" s="14">
        <f>IFERROR(AVERAGE(Tabel1[[#This Row],[Up - C1a]:[Up - C1c]]),"")</f>
        <v>2.6666666666666665</v>
      </c>
      <c r="AL251" s="14">
        <v>1</v>
      </c>
      <c r="AM251" s="14">
        <v>1</v>
      </c>
      <c r="AN251" s="14">
        <v>1</v>
      </c>
      <c r="AO251" s="14">
        <f>IFERROR(AVERAGE(Tabel1[[#This Row],[Up - C1]:[Up - C4]]),"")</f>
        <v>1.4166666666666665</v>
      </c>
      <c r="AP251" s="14">
        <v>1</v>
      </c>
      <c r="AQ251" s="14">
        <f>IFERROR(AVERAGE(Tabel1[[#This Row],[Up - F1a]:[Up - F1a]]),"")</f>
        <v>1</v>
      </c>
      <c r="AR251" s="14">
        <v>1</v>
      </c>
      <c r="AS251" s="14">
        <v>1</v>
      </c>
      <c r="AT251" s="14">
        <f>IFERROR(AVERAGE(Tabel1[[#This Row],[Up - F2a]:[Up - F2b]]),"")</f>
        <v>1</v>
      </c>
      <c r="AU251" s="14">
        <v>2</v>
      </c>
      <c r="AV251" s="14">
        <v>1</v>
      </c>
      <c r="AW251" s="14">
        <f>IFERROR(AVERAGE(Tabel1[[#This Row],[Up - F3a]:[Up - F3b]]),"")</f>
        <v>1.5</v>
      </c>
      <c r="AX251" s="14">
        <v>2</v>
      </c>
      <c r="AY251" s="14">
        <f>IFERROR(AVERAGE(Tabel1[[#This Row],[Up - F1]],Tabel1[[#This Row],[Up - F2]],Tabel1[[#This Row],[Up - F3]],Tabel1[[#This Row],[Up - F4]]),"")</f>
        <v>1.375</v>
      </c>
      <c r="AZ251" s="14">
        <v>1</v>
      </c>
      <c r="BA251" s="14">
        <v>3</v>
      </c>
      <c r="BB251" s="14">
        <f>IFERROR(AVERAGE(Tabel1[[#This Row],[Up - V1a]:[Up - V1b]]),"")</f>
        <v>2</v>
      </c>
      <c r="BC251" s="14">
        <v>1</v>
      </c>
      <c r="BD251" s="14">
        <v>1</v>
      </c>
      <c r="BE251" s="14">
        <v>2</v>
      </c>
      <c r="BF251" s="14">
        <f>IFERROR(AVERAGE(Tabel1[[#This Row],[Up - V2a]:[Up - V2c]]),"")</f>
        <v>1.3333333333333333</v>
      </c>
      <c r="BG251" s="14">
        <v>3</v>
      </c>
      <c r="BH251" s="14">
        <v>3</v>
      </c>
      <c r="BI251" s="14">
        <f>IFERROR(AVERAGE(Tabel1[[#This Row],[Up - V3a]:[Up - V3b]]),"")</f>
        <v>3</v>
      </c>
      <c r="BJ251" s="14">
        <v>3</v>
      </c>
      <c r="BK251" s="14">
        <f>IFERROR(AVERAGE(Tabel1[[#This Row],[Up - V1]],Tabel1[[#This Row],[Up - V2]],Tabel1[[#This Row],[Up - V3]],Tabel1[[#This Row],[Up - V4]]),"")</f>
        <v>2.333333333333333</v>
      </c>
      <c r="BL251" s="14">
        <v>1</v>
      </c>
      <c r="BM251" s="14">
        <v>4</v>
      </c>
      <c r="BN251" s="14">
        <v>5</v>
      </c>
      <c r="BO251" s="14">
        <v>4</v>
      </c>
      <c r="BP251" s="14">
        <f>IFERROR(AVERAGE(Tabel1[[#This Row],[Up - A1a]:[Up - A1d]]),"")</f>
        <v>3.5</v>
      </c>
      <c r="BQ251" s="14">
        <v>4</v>
      </c>
      <c r="BR251" s="14">
        <v>4</v>
      </c>
      <c r="BS251" s="14">
        <f>IFERROR(AVERAGE(Tabel1[[#This Row],[Up - A2a]:[Up - A2b]]),"")</f>
        <v>4</v>
      </c>
      <c r="BT251" s="14">
        <v>5</v>
      </c>
      <c r="BU251" s="14">
        <f>IFERROR(AVERAGE(Tabel1[[#This Row],[Up - A3a]:[Up - A3a]]),"")</f>
        <v>5</v>
      </c>
      <c r="BV251" s="14" t="s">
        <v>189</v>
      </c>
      <c r="BW251" s="14">
        <f>IFERROR(AVERAGE(Tabel1[[#This Row],[Up - A1]],Tabel1[[#This Row],[Up - A2]],Tabel1[[#This Row],[Up - A3]]),"")</f>
        <v>4.166666666666667</v>
      </c>
      <c r="BX251" s="14">
        <v>1</v>
      </c>
      <c r="BY251" s="14">
        <v>1</v>
      </c>
      <c r="BZ251" s="14">
        <f>IFERROR(AVERAGE(Tabel1[[#This Row],[In - R1a]:[In - R1b]]),"")</f>
        <v>1</v>
      </c>
      <c r="CA251" s="14">
        <v>3</v>
      </c>
      <c r="CB251" s="14">
        <v>1</v>
      </c>
      <c r="CC251" s="14">
        <v>1</v>
      </c>
      <c r="CD251" s="14" t="s">
        <v>189</v>
      </c>
      <c r="CE251" s="14">
        <f>IFERROR(AVERAGE(Tabel1[[#This Row],[In - R1]:[In - R5]]),"")</f>
        <v>1.5</v>
      </c>
      <c r="CF251" s="14">
        <v>4</v>
      </c>
      <c r="CG251" s="14">
        <v>2</v>
      </c>
      <c r="CH251" s="14">
        <v>3</v>
      </c>
      <c r="CI251" s="14">
        <f>IFERROR(AVERAGE(Tabel1[[#This Row],[In - C1a]:[In - C1c]]),"")</f>
        <v>3</v>
      </c>
      <c r="CJ251" s="14">
        <v>1</v>
      </c>
      <c r="CK251" s="14">
        <v>1</v>
      </c>
      <c r="CL251" s="14">
        <v>1</v>
      </c>
      <c r="CM251" s="14">
        <f>IFERROR(AVERAGE(Tabel1[[#This Row],[In - C1]:[In - C4]]),"")</f>
        <v>1.5</v>
      </c>
      <c r="CN251" s="14">
        <v>3</v>
      </c>
      <c r="CO251" s="14">
        <v>2</v>
      </c>
      <c r="CP251" s="14">
        <v>2</v>
      </c>
      <c r="CQ251" s="14">
        <f>IFERROR(AVERAGE(Tabel1[[#This Row],[In - F1a]:[In - F1c]]),"")</f>
        <v>2.3333333333333335</v>
      </c>
      <c r="CR251" s="14">
        <v>3</v>
      </c>
      <c r="CS251" s="14">
        <v>1</v>
      </c>
      <c r="CT251" s="14">
        <f>IFERROR(AVERAGE(Tabel1[[#This Row],[In - F2a]:[In - F2b]]),"")</f>
        <v>2</v>
      </c>
      <c r="CU251" s="14">
        <v>3</v>
      </c>
      <c r="CV251" s="14">
        <f>IFERROR(AVERAGE(Tabel1[[#This Row],[In - F3a]:[In - F3a]]),"")</f>
        <v>3</v>
      </c>
      <c r="CW251" s="14">
        <v>2</v>
      </c>
      <c r="CX251" s="14">
        <f>IFERROR(AVERAGE(Tabel1[[#This Row],[In - F1]],Tabel1[[#This Row],[In - F2]],Tabel1[[#This Row],[In - F3]],Tabel1[[#This Row],[In - F4]]),"")</f>
        <v>2.3333333333333335</v>
      </c>
      <c r="CY251" s="14">
        <v>3</v>
      </c>
      <c r="CZ251" s="14">
        <v>1</v>
      </c>
      <c r="DA251" s="14">
        <v>2</v>
      </c>
      <c r="DB251" s="14">
        <f>IFERROR(AVERAGE(Tabel1[[#This Row],[In - V1a]:[In - V1c]]),"")</f>
        <v>2</v>
      </c>
      <c r="DC251" s="14">
        <v>1</v>
      </c>
      <c r="DD251" s="14">
        <v>2</v>
      </c>
      <c r="DE251" s="14">
        <v>1</v>
      </c>
      <c r="DF251" s="14">
        <f>IFERROR(AVERAGE(Tabel1[[#This Row],[In - V2a]:[In - V2c]]),"")</f>
        <v>1.3333333333333333</v>
      </c>
      <c r="DG251" s="14">
        <v>1</v>
      </c>
      <c r="DH251" s="14" t="s">
        <v>189</v>
      </c>
      <c r="DI251" s="14">
        <f>IFERROR(AVERAGE(Tabel1[[#This Row],[In - V3a]:[In - V3b]]),"")</f>
        <v>1</v>
      </c>
      <c r="DJ251" s="14" t="s">
        <v>189</v>
      </c>
      <c r="DK251" s="14">
        <f>IFERROR(AVERAGE(Tabel1[[#This Row],[In - V1]],Tabel1[[#This Row],[In - V2]],Tabel1[[#This Row],[In - V3]],Tabel1[[#This Row],[In - V4]]),"")</f>
        <v>1.4444444444444444</v>
      </c>
      <c r="DL251" s="14">
        <v>3</v>
      </c>
      <c r="DM251" s="14">
        <v>2</v>
      </c>
      <c r="DN251" s="14">
        <f>IFERROR(AVERAGE(Tabel1[[#This Row],[In - A1a]:[In - A1b]]),"")</f>
        <v>2.5</v>
      </c>
      <c r="DO251" s="14" t="s">
        <v>189</v>
      </c>
      <c r="DP251" s="14">
        <v>3</v>
      </c>
      <c r="DQ251" s="14">
        <f>IFERROR(AVERAGE(Tabel1[[#This Row],[In - A2a]:[In - A2b]]),"")</f>
        <v>3</v>
      </c>
      <c r="DR251" s="14">
        <v>4</v>
      </c>
      <c r="DS251" s="14" t="s">
        <v>189</v>
      </c>
      <c r="DT251" s="14">
        <f>IFERROR(AVERAGE(Tabel1[[#This Row],[In - A3a]:[In - A3a]]),"")</f>
        <v>4</v>
      </c>
      <c r="DU251" s="14" t="s">
        <v>189</v>
      </c>
      <c r="DV251" s="14">
        <f>IFERROR(AVERAGE(Tabel1[[#This Row],[In - A1]],Tabel1[[#This Row],[In - A2]],Tabel1[[#This Row],[In - A3]],Tabel1[[#This Row],[In - A4]]),"")</f>
        <v>3.1666666666666665</v>
      </c>
      <c r="DW251" s="14">
        <v>2</v>
      </c>
      <c r="DX251" s="14">
        <v>2</v>
      </c>
      <c r="DY251" s="14" t="s">
        <v>189</v>
      </c>
      <c r="DZ251" s="14">
        <f>IFERROR(AVERAGE(Tabel1[[#This Row],[Do - R1a]:[Do - R1c]]),"")</f>
        <v>2</v>
      </c>
      <c r="EA251" s="14">
        <v>3</v>
      </c>
      <c r="EB251" s="14">
        <v>1</v>
      </c>
      <c r="EC251" s="14">
        <v>1</v>
      </c>
      <c r="ED251" s="14">
        <v>3</v>
      </c>
      <c r="EE251" s="14">
        <f>IFERROR(AVERAGE(Tabel1[[#This Row],[Do - R1]:[Do - R5]]),"")</f>
        <v>2</v>
      </c>
      <c r="EF251" s="14">
        <v>3</v>
      </c>
      <c r="EG251" s="14">
        <v>4</v>
      </c>
      <c r="EH251" s="14">
        <v>4</v>
      </c>
      <c r="EI251" s="14">
        <f>IFERROR(AVERAGE(Tabel1[[#This Row],[Do - C1a]:[Do - C1c]]),"")</f>
        <v>3.6666666666666665</v>
      </c>
      <c r="EJ251" s="14">
        <v>2</v>
      </c>
      <c r="EK251" s="14">
        <v>1</v>
      </c>
      <c r="EL251" s="14">
        <v>1</v>
      </c>
      <c r="EM251" s="14">
        <f>IFERROR(AVERAGE(Tabel1[[#This Row],[Do - C1]:[Do - C4]]),"")</f>
        <v>1.9166666666666665</v>
      </c>
      <c r="EN251" s="14">
        <v>3</v>
      </c>
      <c r="EO251" s="14">
        <v>1</v>
      </c>
      <c r="EP251" s="14">
        <v>1</v>
      </c>
      <c r="EQ251" s="14">
        <f>IFERROR(AVERAGE(Tabel1[[#This Row],[Do - F1a]:[Do - F1c]]),"")</f>
        <v>1.6666666666666667</v>
      </c>
      <c r="ER251" s="14">
        <v>2</v>
      </c>
      <c r="ES251" s="14">
        <f>IFERROR(AVERAGE(Tabel1[[#This Row],[Do - F2a]:[Do - F2a]]),"")</f>
        <v>2</v>
      </c>
      <c r="ET251" s="14">
        <v>3</v>
      </c>
      <c r="EU251" s="14">
        <v>3</v>
      </c>
      <c r="EV251" s="14">
        <f>IFERROR(AVERAGE(Tabel1[[#This Row],[Do - F3a]:[Do - F3b]]),"")</f>
        <v>3</v>
      </c>
      <c r="EW251" s="14">
        <v>2</v>
      </c>
      <c r="EX251" s="14">
        <f>IFERROR(AVERAGE(Tabel1[[#This Row],[Do - F1]],Tabel1[[#This Row],[Do - F2]],Tabel1[[#This Row],[Do - F3]],Tabel1[[#This Row],[Do - F4]]),"")</f>
        <v>2.166666666666667</v>
      </c>
      <c r="EY251" s="14">
        <v>3</v>
      </c>
      <c r="EZ251" s="14">
        <v>3</v>
      </c>
      <c r="FA251" s="14">
        <v>2</v>
      </c>
      <c r="FB251" s="14">
        <f>IFERROR(AVERAGE(Tabel1[[#This Row],[Do - V1a]:[Do - V1c]]),"")</f>
        <v>2.6666666666666665</v>
      </c>
      <c r="FC251" s="14">
        <v>1</v>
      </c>
      <c r="FD251" s="14">
        <v>3</v>
      </c>
      <c r="FE251" s="14">
        <f>IFERROR(AVERAGE(Tabel1[[#This Row],[Do - V2a]:[Do - V2b]]),"")</f>
        <v>2</v>
      </c>
      <c r="FF251" s="14">
        <v>3</v>
      </c>
      <c r="FG251" s="14">
        <f>IFERROR(AVERAGE(Tabel1[[#This Row],[Do - V3a]:[Do - V3a]]),"")</f>
        <v>3</v>
      </c>
      <c r="FH251" s="14">
        <v>3</v>
      </c>
      <c r="FI251" s="14">
        <f>IFERROR(AVERAGE(Tabel1[[#This Row],[Do - V1]],Tabel1[[#This Row],[Do - V2]],Tabel1[[#This Row],[Do - V3]],Tabel1[[#This Row],[Do - V4]]),"")</f>
        <v>2.6666666666666665</v>
      </c>
      <c r="FJ251" s="14">
        <v>5</v>
      </c>
      <c r="FK251" s="14">
        <v>3</v>
      </c>
      <c r="FL251" s="14">
        <v>4</v>
      </c>
      <c r="FM251" s="14">
        <f>IFERROR(AVERAGE(Tabel1[[#This Row],[Do - A1a]:[Do - A1c]]),"")</f>
        <v>4</v>
      </c>
      <c r="FN251" s="14">
        <v>4</v>
      </c>
      <c r="FO251" s="14">
        <v>4</v>
      </c>
      <c r="FP251" s="14">
        <f>IFERROR(AVERAGE(Tabel1[[#This Row],[Do - A2a]:[Do - A2b]]),"")</f>
        <v>4</v>
      </c>
      <c r="FQ251" s="14">
        <v>3</v>
      </c>
      <c r="FR251" s="14">
        <f>IFERROR(AVERAGE(Tabel1[[#This Row],[Do - A3a]:[Do - A3a]]),"")</f>
        <v>3</v>
      </c>
      <c r="FS251" s="14" t="s">
        <v>189</v>
      </c>
      <c r="FT251" s="14">
        <f>IFERROR(AVERAGE(Tabel1[[#This Row],[Do - A1]],Tabel1[[#This Row],[Do - A2]],Tabel1[[#This Row],[Do - A3]],Tabel1[[#This Row],[Do - A4]]),"")</f>
        <v>3.6666666666666665</v>
      </c>
      <c r="FU25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2.2657407407407408</v>
      </c>
      <c r="FV251" s="27" t="s">
        <v>1342</v>
      </c>
      <c r="FW251" t="b">
        <v>1</v>
      </c>
    </row>
    <row r="252" spans="1:179" x14ac:dyDescent="0.3">
      <c r="A252" s="13">
        <v>45405.488553240699</v>
      </c>
      <c r="B252" t="b">
        <v>0</v>
      </c>
      <c r="C252" s="14" t="s">
        <v>1343</v>
      </c>
      <c r="D252" s="14" t="s">
        <v>1344</v>
      </c>
      <c r="E252" s="14" t="s">
        <v>1345</v>
      </c>
      <c r="F252" s="14" t="s">
        <v>184</v>
      </c>
      <c r="G252" s="14" t="s">
        <v>1346</v>
      </c>
      <c r="H252" s="14" t="s">
        <v>222</v>
      </c>
      <c r="I252" s="14" t="s">
        <v>243</v>
      </c>
      <c r="J252" s="14" t="s">
        <v>248</v>
      </c>
      <c r="K252" s="28" t="s">
        <v>235</v>
      </c>
      <c r="L252" s="14" t="s">
        <v>218</v>
      </c>
      <c r="M252" s="14" t="s">
        <v>233</v>
      </c>
      <c r="N252" s="14" t="s">
        <v>316</v>
      </c>
      <c r="O252" s="14" t="s">
        <v>200</v>
      </c>
      <c r="P252" s="25" t="s">
        <v>235</v>
      </c>
      <c r="Q252" s="17" t="s">
        <v>235</v>
      </c>
      <c r="R252" s="25" t="s">
        <v>187</v>
      </c>
      <c r="S252" s="25" t="s">
        <v>187</v>
      </c>
      <c r="T252" s="14" t="s">
        <v>284</v>
      </c>
      <c r="U252" s="14" t="s">
        <v>285</v>
      </c>
      <c r="V252" s="14" t="s">
        <v>224</v>
      </c>
      <c r="W252" s="14" t="s">
        <v>306</v>
      </c>
      <c r="X252" s="14" t="s">
        <v>306</v>
      </c>
      <c r="Y252" s="14">
        <v>3</v>
      </c>
      <c r="Z252" s="14">
        <v>3</v>
      </c>
      <c r="AA252" s="14">
        <v>2</v>
      </c>
      <c r="AB252" s="15">
        <f>IFERROR(AVERAGE(Tabel1[[#This Row],[Up - R1a]:[Up - R1c]]),"")</f>
        <v>2.6666666666666665</v>
      </c>
      <c r="AC252" s="14">
        <v>2</v>
      </c>
      <c r="AD252" s="14">
        <v>2</v>
      </c>
      <c r="AE252" s="14">
        <v>2</v>
      </c>
      <c r="AF252" s="14">
        <v>2</v>
      </c>
      <c r="AG252" s="14">
        <f>IFERROR(AVERAGE(Tabel1[[#This Row],[Up - R1]:[Up - R5]]),"")</f>
        <v>2.1333333333333333</v>
      </c>
      <c r="AH252" s="14">
        <v>4</v>
      </c>
      <c r="AI252" s="14">
        <v>3</v>
      </c>
      <c r="AJ252" s="14">
        <v>3</v>
      </c>
      <c r="AK252" s="14">
        <f>IFERROR(AVERAGE(Tabel1[[#This Row],[Up - C1a]:[Up - C1c]]),"")</f>
        <v>3.3333333333333335</v>
      </c>
      <c r="AL252" s="14">
        <v>2</v>
      </c>
      <c r="AM252" s="14">
        <v>1</v>
      </c>
      <c r="AN252" s="14">
        <v>1</v>
      </c>
      <c r="AO252" s="14">
        <f>IFERROR(AVERAGE(Tabel1[[#This Row],[Up - C1]:[Up - C4]]),"")</f>
        <v>1.8333333333333335</v>
      </c>
      <c r="AP252" s="14">
        <v>3</v>
      </c>
      <c r="AQ252" s="14">
        <f>IFERROR(AVERAGE(Tabel1[[#This Row],[Up - F1a]:[Up - F1a]]),"")</f>
        <v>3</v>
      </c>
      <c r="AR252" s="14">
        <v>1</v>
      </c>
      <c r="AS252" s="14">
        <v>3</v>
      </c>
      <c r="AT252" s="14">
        <f>IFERROR(AVERAGE(Tabel1[[#This Row],[Up - F2a]:[Up - F2b]]),"")</f>
        <v>2</v>
      </c>
      <c r="AU252" s="14">
        <v>1</v>
      </c>
      <c r="AV252" s="14">
        <v>2</v>
      </c>
      <c r="AW252" s="14">
        <f>IFERROR(AVERAGE(Tabel1[[#This Row],[Up - F3a]:[Up - F3b]]),"")</f>
        <v>1.5</v>
      </c>
      <c r="AX252" s="14">
        <v>3</v>
      </c>
      <c r="AY252" s="14">
        <f>IFERROR(AVERAGE(Tabel1[[#This Row],[Up - F1]],Tabel1[[#This Row],[Up - F2]],Tabel1[[#This Row],[Up - F3]],Tabel1[[#This Row],[Up - F4]]),"")</f>
        <v>2.375</v>
      </c>
      <c r="AZ252" s="14" t="s">
        <v>189</v>
      </c>
      <c r="BA252" s="14">
        <v>3</v>
      </c>
      <c r="BB252" s="14">
        <f>IFERROR(AVERAGE(Tabel1[[#This Row],[Up - V1a]:[Up - V1b]]),"")</f>
        <v>3</v>
      </c>
      <c r="BC252" s="14">
        <v>2</v>
      </c>
      <c r="BD252" s="14">
        <v>2</v>
      </c>
      <c r="BE252" s="14">
        <v>3</v>
      </c>
      <c r="BF252" s="14">
        <f>IFERROR(AVERAGE(Tabel1[[#This Row],[Up - V2a]:[Up - V2c]]),"")</f>
        <v>2.3333333333333335</v>
      </c>
      <c r="BG252" s="14">
        <v>4</v>
      </c>
      <c r="BH252" s="14">
        <v>2</v>
      </c>
      <c r="BI252" s="14">
        <f>IFERROR(AVERAGE(Tabel1[[#This Row],[Up - V3a]:[Up - V3b]]),"")</f>
        <v>3</v>
      </c>
      <c r="BJ252" s="14">
        <v>3</v>
      </c>
      <c r="BK252" s="14">
        <f>IFERROR(AVERAGE(Tabel1[[#This Row],[Up - V1]],Tabel1[[#This Row],[Up - V2]],Tabel1[[#This Row],[Up - V3]],Tabel1[[#This Row],[Up - V4]]),"")</f>
        <v>2.8333333333333335</v>
      </c>
      <c r="BL252" s="14">
        <v>2</v>
      </c>
      <c r="BM252" s="14">
        <v>3</v>
      </c>
      <c r="BN252" s="14">
        <v>3</v>
      </c>
      <c r="BO252" s="14">
        <v>4</v>
      </c>
      <c r="BP252" s="14">
        <f>IFERROR(AVERAGE(Tabel1[[#This Row],[Up - A1a]:[Up - A1d]]),"")</f>
        <v>3</v>
      </c>
      <c r="BQ252" s="14">
        <v>3</v>
      </c>
      <c r="BR252" s="14">
        <v>2</v>
      </c>
      <c r="BS252" s="14">
        <f>IFERROR(AVERAGE(Tabel1[[#This Row],[Up - A2a]:[Up - A2b]]),"")</f>
        <v>2.5</v>
      </c>
      <c r="BT252" s="14">
        <v>2</v>
      </c>
      <c r="BU252" s="14">
        <f>IFERROR(AVERAGE(Tabel1[[#This Row],[Up - A3a]:[Up - A3a]]),"")</f>
        <v>2</v>
      </c>
      <c r="BV252" s="14">
        <v>2</v>
      </c>
      <c r="BW252" s="14">
        <f>IFERROR(AVERAGE(Tabel1[[#This Row],[Up - A1]],Tabel1[[#This Row],[Up - A2]],Tabel1[[#This Row],[Up - A3]]),"")</f>
        <v>2.5</v>
      </c>
      <c r="BX252" s="14">
        <v>2</v>
      </c>
      <c r="BY252" s="14">
        <v>3</v>
      </c>
      <c r="BZ252" s="14">
        <f>IFERROR(AVERAGE(Tabel1[[#This Row],[In - R1a]:[In - R1b]]),"")</f>
        <v>2.5</v>
      </c>
      <c r="CA252" s="14">
        <v>4</v>
      </c>
      <c r="CB252" s="14">
        <v>5</v>
      </c>
      <c r="CC252" s="14">
        <v>2</v>
      </c>
      <c r="CD252" s="14">
        <v>4</v>
      </c>
      <c r="CE252" s="14">
        <f>IFERROR(AVERAGE(Tabel1[[#This Row],[In - R1]:[In - R5]]),"")</f>
        <v>3.5</v>
      </c>
      <c r="CF252" s="14">
        <v>4</v>
      </c>
      <c r="CG252" s="14">
        <v>3</v>
      </c>
      <c r="CH252" s="14">
        <v>3</v>
      </c>
      <c r="CI252" s="14">
        <f>IFERROR(AVERAGE(Tabel1[[#This Row],[In - C1a]:[In - C1c]]),"")</f>
        <v>3.3333333333333335</v>
      </c>
      <c r="CJ252" s="14">
        <v>2</v>
      </c>
      <c r="CK252" s="14">
        <v>4</v>
      </c>
      <c r="CL252" s="14">
        <v>2</v>
      </c>
      <c r="CM252" s="14">
        <f>IFERROR(AVERAGE(Tabel1[[#This Row],[In - C1]:[In - C4]]),"")</f>
        <v>2.8333333333333335</v>
      </c>
      <c r="CN252" s="14">
        <v>3</v>
      </c>
      <c r="CO252" s="14">
        <v>3</v>
      </c>
      <c r="CP252" s="14">
        <v>1</v>
      </c>
      <c r="CQ252" s="14">
        <f>IFERROR(AVERAGE(Tabel1[[#This Row],[In - F1a]:[In - F1c]]),"")</f>
        <v>2.3333333333333335</v>
      </c>
      <c r="CR252" s="14">
        <v>4</v>
      </c>
      <c r="CS252" s="14">
        <v>2</v>
      </c>
      <c r="CT252" s="14">
        <f>IFERROR(AVERAGE(Tabel1[[#This Row],[In - F2a]:[In - F2b]]),"")</f>
        <v>3</v>
      </c>
      <c r="CU252" s="14" t="s">
        <v>189</v>
      </c>
      <c r="CV252" s="14" t="str">
        <f>IFERROR(AVERAGE(Tabel1[[#This Row],[In - F3a]:[In - F3a]]),"")</f>
        <v/>
      </c>
      <c r="CW252" s="14" t="s">
        <v>189</v>
      </c>
      <c r="CX252" s="14">
        <f>IFERROR(AVERAGE(Tabel1[[#This Row],[In - F1]],Tabel1[[#This Row],[In - F2]],Tabel1[[#This Row],[In - F3]],Tabel1[[#This Row],[In - F4]]),"")</f>
        <v>2.666666666666667</v>
      </c>
      <c r="CY252" s="14">
        <v>3</v>
      </c>
      <c r="CZ252" s="14">
        <v>4</v>
      </c>
      <c r="DA252" s="14">
        <v>2</v>
      </c>
      <c r="DB252" s="14">
        <f>IFERROR(AVERAGE(Tabel1[[#This Row],[In - V1a]:[In - V1c]]),"")</f>
        <v>3</v>
      </c>
      <c r="DC252" s="14">
        <v>4</v>
      </c>
      <c r="DD252" s="14">
        <v>4</v>
      </c>
      <c r="DE252" s="14">
        <v>4</v>
      </c>
      <c r="DF252" s="14">
        <f>IFERROR(AVERAGE(Tabel1[[#This Row],[In - V2a]:[In - V2c]]),"")</f>
        <v>4</v>
      </c>
      <c r="DG252" s="14">
        <v>3</v>
      </c>
      <c r="DH252" s="14">
        <v>5</v>
      </c>
      <c r="DI252" s="14">
        <f>IFERROR(AVERAGE(Tabel1[[#This Row],[In - V3a]:[In - V3b]]),"")</f>
        <v>4</v>
      </c>
      <c r="DJ252" s="14">
        <v>4</v>
      </c>
      <c r="DK252" s="14">
        <f>IFERROR(AVERAGE(Tabel1[[#This Row],[In - V1]],Tabel1[[#This Row],[In - V2]],Tabel1[[#This Row],[In - V3]],Tabel1[[#This Row],[In - V4]]),"")</f>
        <v>3.75</v>
      </c>
      <c r="DL252" s="14">
        <v>5</v>
      </c>
      <c r="DM252" s="14">
        <v>3</v>
      </c>
      <c r="DN252" s="14">
        <f>IFERROR(AVERAGE(Tabel1[[#This Row],[In - A1a]:[In - A1b]]),"")</f>
        <v>4</v>
      </c>
      <c r="DO252" s="14" t="s">
        <v>189</v>
      </c>
      <c r="DP252" s="14">
        <v>3</v>
      </c>
      <c r="DQ252" s="14">
        <f>IFERROR(AVERAGE(Tabel1[[#This Row],[In - A2a]:[In - A2b]]),"")</f>
        <v>3</v>
      </c>
      <c r="DR252" s="14">
        <v>4</v>
      </c>
      <c r="DS252" s="14">
        <v>2</v>
      </c>
      <c r="DT252" s="14">
        <f>IFERROR(AVERAGE(Tabel1[[#This Row],[In - A3a]:[In - A3a]]),"")</f>
        <v>4</v>
      </c>
      <c r="DU252" s="14">
        <v>2</v>
      </c>
      <c r="DV252" s="14">
        <f>IFERROR(AVERAGE(Tabel1[[#This Row],[In - A1]],Tabel1[[#This Row],[In - A2]],Tabel1[[#This Row],[In - A3]],Tabel1[[#This Row],[In - A4]]),"")</f>
        <v>3.25</v>
      </c>
      <c r="DW252" s="14">
        <v>1</v>
      </c>
      <c r="DX252" s="14">
        <v>4</v>
      </c>
      <c r="DY252" s="14">
        <v>3</v>
      </c>
      <c r="DZ252" s="14">
        <f>IFERROR(AVERAGE(Tabel1[[#This Row],[Do - R1a]:[Do - R1c]]),"")</f>
        <v>2.6666666666666665</v>
      </c>
      <c r="EA252" s="14">
        <v>2</v>
      </c>
      <c r="EB252" s="14">
        <v>2</v>
      </c>
      <c r="EC252" s="14" t="s">
        <v>189</v>
      </c>
      <c r="ED252" s="14" t="s">
        <v>189</v>
      </c>
      <c r="EE252" s="14">
        <f>IFERROR(AVERAGE(Tabel1[[#This Row],[Do - R1]:[Do - R5]]),"")</f>
        <v>2.2222222222222219</v>
      </c>
      <c r="EF252" s="14">
        <v>4</v>
      </c>
      <c r="EG252" s="14">
        <v>3</v>
      </c>
      <c r="EH252" s="14">
        <v>3</v>
      </c>
      <c r="EI252" s="14">
        <f>IFERROR(AVERAGE(Tabel1[[#This Row],[Do - C1a]:[Do - C1c]]),"")</f>
        <v>3.3333333333333335</v>
      </c>
      <c r="EJ252" s="14">
        <v>2</v>
      </c>
      <c r="EK252" s="14">
        <v>1</v>
      </c>
      <c r="EL252" s="14">
        <v>3</v>
      </c>
      <c r="EM252" s="14">
        <f>IFERROR(AVERAGE(Tabel1[[#This Row],[Do - C1]:[Do - C4]]),"")</f>
        <v>2.3333333333333335</v>
      </c>
      <c r="EN252" s="14">
        <v>3</v>
      </c>
      <c r="EO252" s="14">
        <v>2</v>
      </c>
      <c r="EP252" s="14">
        <v>3</v>
      </c>
      <c r="EQ252" s="14">
        <f>IFERROR(AVERAGE(Tabel1[[#This Row],[Do - F1a]:[Do - F1c]]),"")</f>
        <v>2.6666666666666665</v>
      </c>
      <c r="ER252" s="14">
        <v>2</v>
      </c>
      <c r="ES252" s="14">
        <f>IFERROR(AVERAGE(Tabel1[[#This Row],[Do - F2a]:[Do - F2a]]),"")</f>
        <v>2</v>
      </c>
      <c r="ET252" s="14">
        <v>2</v>
      </c>
      <c r="EU252" s="14">
        <v>2</v>
      </c>
      <c r="EV252" s="14">
        <f>IFERROR(AVERAGE(Tabel1[[#This Row],[Do - F3a]:[Do - F3b]]),"")</f>
        <v>2</v>
      </c>
      <c r="EW252" s="14">
        <v>4</v>
      </c>
      <c r="EX252" s="14">
        <f>IFERROR(AVERAGE(Tabel1[[#This Row],[Do - F1]],Tabel1[[#This Row],[Do - F2]],Tabel1[[#This Row],[Do - F3]],Tabel1[[#This Row],[Do - F4]]),"")</f>
        <v>2.6666666666666665</v>
      </c>
      <c r="EY252" s="14">
        <v>2</v>
      </c>
      <c r="EZ252" s="14">
        <v>1</v>
      </c>
      <c r="FA252" s="14">
        <v>3</v>
      </c>
      <c r="FB252" s="14">
        <f>IFERROR(AVERAGE(Tabel1[[#This Row],[Do - V1a]:[Do - V1c]]),"")</f>
        <v>2</v>
      </c>
      <c r="FC252" s="14">
        <v>2</v>
      </c>
      <c r="FD252" s="14">
        <v>3</v>
      </c>
      <c r="FE252" s="14">
        <f>IFERROR(AVERAGE(Tabel1[[#This Row],[Do - V2a]:[Do - V2b]]),"")</f>
        <v>2.5</v>
      </c>
      <c r="FF252" s="14">
        <v>3</v>
      </c>
      <c r="FG252" s="14">
        <f>IFERROR(AVERAGE(Tabel1[[#This Row],[Do - V3a]:[Do - V3a]]),"")</f>
        <v>3</v>
      </c>
      <c r="FH252" s="14">
        <v>4</v>
      </c>
      <c r="FI252" s="14">
        <f>IFERROR(AVERAGE(Tabel1[[#This Row],[Do - V1]],Tabel1[[#This Row],[Do - V2]],Tabel1[[#This Row],[Do - V3]],Tabel1[[#This Row],[Do - V4]]),"")</f>
        <v>2.875</v>
      </c>
      <c r="FJ252" s="14">
        <v>5</v>
      </c>
      <c r="FK252" s="14">
        <v>4</v>
      </c>
      <c r="FL252" s="14">
        <v>4</v>
      </c>
      <c r="FM252" s="14">
        <f>IFERROR(AVERAGE(Tabel1[[#This Row],[Do - A1a]:[Do - A1c]]),"")</f>
        <v>4.333333333333333</v>
      </c>
      <c r="FN252" s="14">
        <v>4</v>
      </c>
      <c r="FO252" s="14">
        <v>2</v>
      </c>
      <c r="FP252" s="14">
        <f>IFERROR(AVERAGE(Tabel1[[#This Row],[Do - A2a]:[Do - A2b]]),"")</f>
        <v>3</v>
      </c>
      <c r="FQ252" s="14">
        <v>4</v>
      </c>
      <c r="FR252" s="14">
        <f>IFERROR(AVERAGE(Tabel1[[#This Row],[Do - A3a]:[Do - A3a]]),"")</f>
        <v>4</v>
      </c>
      <c r="FS252" s="14">
        <v>2</v>
      </c>
      <c r="FT252" s="14">
        <f>IFERROR(AVERAGE(Tabel1[[#This Row],[Do - A1]],Tabel1[[#This Row],[Do - A2]],Tabel1[[#This Row],[Do - A3]],Tabel1[[#This Row],[Do - A4]]),"")</f>
        <v>3.333333333333333</v>
      </c>
      <c r="FU25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2.7403703703703703</v>
      </c>
      <c r="FV252" s="27" t="s">
        <v>1347</v>
      </c>
      <c r="FW252" t="b">
        <v>1</v>
      </c>
    </row>
    <row r="253" spans="1:179" x14ac:dyDescent="0.3">
      <c r="A253" s="13">
        <v>45405.558391203696</v>
      </c>
      <c r="B253" t="b">
        <v>0</v>
      </c>
      <c r="C253" s="14" t="s">
        <v>1348</v>
      </c>
      <c r="D253" s="14" t="s">
        <v>1180</v>
      </c>
      <c r="E253" s="14" t="s">
        <v>1349</v>
      </c>
      <c r="F253" s="14" t="s">
        <v>184</v>
      </c>
      <c r="G253" s="14" t="s">
        <v>1350</v>
      </c>
      <c r="H253" s="14" t="s">
        <v>222</v>
      </c>
      <c r="I253" s="14" t="s">
        <v>195</v>
      </c>
      <c r="J253" s="14" t="s">
        <v>273</v>
      </c>
      <c r="K253" s="28" t="s">
        <v>203</v>
      </c>
      <c r="L253" s="14" t="s">
        <v>218</v>
      </c>
      <c r="M253" s="14" t="s">
        <v>188</v>
      </c>
      <c r="N253" s="14" t="s">
        <v>262</v>
      </c>
      <c r="O253" s="14" t="s">
        <v>200</v>
      </c>
      <c r="P253" s="24" t="s">
        <v>255</v>
      </c>
      <c r="Q253" s="17" t="s">
        <v>203</v>
      </c>
      <c r="R253" s="25" t="s">
        <v>203</v>
      </c>
      <c r="S253" s="25" t="s">
        <v>235</v>
      </c>
      <c r="T253" s="14" t="s">
        <v>380</v>
      </c>
      <c r="U253" s="14" t="s">
        <v>285</v>
      </c>
      <c r="V253" s="14" t="s">
        <v>224</v>
      </c>
      <c r="W253" s="14" t="s">
        <v>207</v>
      </c>
      <c r="X253" s="14" t="s">
        <v>207</v>
      </c>
      <c r="Y253" s="14">
        <v>3</v>
      </c>
      <c r="Z253" s="14">
        <v>4</v>
      </c>
      <c r="AA253" s="14">
        <v>4</v>
      </c>
      <c r="AB253" s="15">
        <f>IFERROR(AVERAGE(Tabel1[[#This Row],[Up - R1a]:[Up - R1c]]),"")</f>
        <v>3.6666666666666665</v>
      </c>
      <c r="AC253" s="14">
        <v>2</v>
      </c>
      <c r="AD253" s="14">
        <v>5</v>
      </c>
      <c r="AE253" s="14">
        <v>1</v>
      </c>
      <c r="AF253" s="14">
        <v>3</v>
      </c>
      <c r="AG253" s="14">
        <f>IFERROR(AVERAGE(Tabel1[[#This Row],[Up - R1]:[Up - R5]]),"")</f>
        <v>2.9333333333333331</v>
      </c>
      <c r="AH253" s="14">
        <v>4</v>
      </c>
      <c r="AI253" s="14">
        <v>4</v>
      </c>
      <c r="AJ253" s="14">
        <v>2</v>
      </c>
      <c r="AK253" s="14">
        <f>IFERROR(AVERAGE(Tabel1[[#This Row],[Up - C1a]:[Up - C1c]]),"")</f>
        <v>3.3333333333333335</v>
      </c>
      <c r="AL253" s="14">
        <v>2</v>
      </c>
      <c r="AM253" s="14">
        <v>3</v>
      </c>
      <c r="AN253" s="14">
        <v>1</v>
      </c>
      <c r="AO253" s="14">
        <f>IFERROR(AVERAGE(Tabel1[[#This Row],[Up - C1]:[Up - C4]]),"")</f>
        <v>2.3333333333333335</v>
      </c>
      <c r="AP253" s="14">
        <v>1</v>
      </c>
      <c r="AQ253" s="14">
        <f>IFERROR(AVERAGE(Tabel1[[#This Row],[Up - F1a]:[Up - F1a]]),"")</f>
        <v>1</v>
      </c>
      <c r="AR253" s="14">
        <v>1</v>
      </c>
      <c r="AS253" s="14">
        <v>1</v>
      </c>
      <c r="AT253" s="14">
        <f>IFERROR(AVERAGE(Tabel1[[#This Row],[Up - F2a]:[Up - F2b]]),"")</f>
        <v>1</v>
      </c>
      <c r="AU253" s="14">
        <v>4</v>
      </c>
      <c r="AV253" s="14">
        <v>2</v>
      </c>
      <c r="AW253" s="14">
        <f>IFERROR(AVERAGE(Tabel1[[#This Row],[Up - F3a]:[Up - F3b]]),"")</f>
        <v>3</v>
      </c>
      <c r="AX253" s="14">
        <v>1</v>
      </c>
      <c r="AY253" s="14">
        <f>IFERROR(AVERAGE(Tabel1[[#This Row],[Up - F1]],Tabel1[[#This Row],[Up - F2]],Tabel1[[#This Row],[Up - F3]],Tabel1[[#This Row],[Up - F4]]),"")</f>
        <v>1.5</v>
      </c>
      <c r="AZ253" s="14">
        <v>5</v>
      </c>
      <c r="BA253" s="14">
        <v>2</v>
      </c>
      <c r="BB253" s="14">
        <f>IFERROR(AVERAGE(Tabel1[[#This Row],[Up - V1a]:[Up - V1b]]),"")</f>
        <v>3.5</v>
      </c>
      <c r="BC253" s="14">
        <v>1</v>
      </c>
      <c r="BD253" s="14">
        <v>1</v>
      </c>
      <c r="BE253" s="14">
        <v>3</v>
      </c>
      <c r="BF253" s="14">
        <f>IFERROR(AVERAGE(Tabel1[[#This Row],[Up - V2a]:[Up - V2c]]),"")</f>
        <v>1.6666666666666667</v>
      </c>
      <c r="BG253" s="14">
        <v>2</v>
      </c>
      <c r="BH253" s="14">
        <v>4</v>
      </c>
      <c r="BI253" s="14">
        <f>IFERROR(AVERAGE(Tabel1[[#This Row],[Up - V3a]:[Up - V3b]]),"")</f>
        <v>3</v>
      </c>
      <c r="BJ253" s="14">
        <v>4</v>
      </c>
      <c r="BK253" s="14">
        <f>IFERROR(AVERAGE(Tabel1[[#This Row],[Up - V1]],Tabel1[[#This Row],[Up - V2]],Tabel1[[#This Row],[Up - V3]],Tabel1[[#This Row],[Up - V4]]),"")</f>
        <v>3.041666666666667</v>
      </c>
      <c r="BL253" s="14">
        <v>3</v>
      </c>
      <c r="BM253" s="14">
        <v>4</v>
      </c>
      <c r="BN253" s="14">
        <v>4</v>
      </c>
      <c r="BO253" s="14">
        <v>2</v>
      </c>
      <c r="BP253" s="14">
        <f>IFERROR(AVERAGE(Tabel1[[#This Row],[Up - A1a]:[Up - A1d]]),"")</f>
        <v>3.25</v>
      </c>
      <c r="BQ253" s="14">
        <v>3</v>
      </c>
      <c r="BR253" s="14">
        <v>5</v>
      </c>
      <c r="BS253" s="14">
        <f>IFERROR(AVERAGE(Tabel1[[#This Row],[Up - A2a]:[Up - A2b]]),"")</f>
        <v>4</v>
      </c>
      <c r="BT253" s="14">
        <v>5</v>
      </c>
      <c r="BU253" s="14">
        <f>IFERROR(AVERAGE(Tabel1[[#This Row],[Up - A3a]:[Up - A3a]]),"")</f>
        <v>5</v>
      </c>
      <c r="BV253" s="14">
        <v>2</v>
      </c>
      <c r="BW253" s="14">
        <f>IFERROR(AVERAGE(Tabel1[[#This Row],[Up - A1]],Tabel1[[#This Row],[Up - A2]],Tabel1[[#This Row],[Up - A3]]),"")</f>
        <v>4.083333333333333</v>
      </c>
      <c r="BX253" s="14">
        <v>2</v>
      </c>
      <c r="BY253" s="14">
        <v>2</v>
      </c>
      <c r="BZ253" s="14">
        <f>IFERROR(AVERAGE(Tabel1[[#This Row],[In - R1a]:[In - R1b]]),"")</f>
        <v>2</v>
      </c>
      <c r="CA253" s="14">
        <v>3</v>
      </c>
      <c r="CB253" s="14">
        <v>1</v>
      </c>
      <c r="CC253" s="14">
        <v>1</v>
      </c>
      <c r="CD253" s="14">
        <v>3</v>
      </c>
      <c r="CE253" s="14">
        <f>IFERROR(AVERAGE(Tabel1[[#This Row],[In - R1]:[In - R5]]),"")</f>
        <v>2</v>
      </c>
      <c r="CF253" s="14">
        <v>4</v>
      </c>
      <c r="CG253" s="14">
        <v>5</v>
      </c>
      <c r="CH253" s="14">
        <v>4</v>
      </c>
      <c r="CI253" s="14">
        <f>IFERROR(AVERAGE(Tabel1[[#This Row],[In - C1a]:[In - C1c]]),"")</f>
        <v>4.333333333333333</v>
      </c>
      <c r="CJ253" s="14">
        <v>4</v>
      </c>
      <c r="CK253" s="14">
        <v>3</v>
      </c>
      <c r="CL253" s="14">
        <v>4</v>
      </c>
      <c r="CM253" s="14">
        <f>IFERROR(AVERAGE(Tabel1[[#This Row],[In - C1]:[In - C4]]),"")</f>
        <v>3.833333333333333</v>
      </c>
      <c r="CN253" s="14">
        <v>4</v>
      </c>
      <c r="CO253" s="14">
        <v>2</v>
      </c>
      <c r="CP253" s="14">
        <v>2</v>
      </c>
      <c r="CQ253" s="14">
        <f>IFERROR(AVERAGE(Tabel1[[#This Row],[In - F1a]:[In - F1c]]),"")</f>
        <v>2.6666666666666665</v>
      </c>
      <c r="CR253" s="14">
        <v>4</v>
      </c>
      <c r="CS253" s="14">
        <v>1</v>
      </c>
      <c r="CT253" s="14">
        <f>IFERROR(AVERAGE(Tabel1[[#This Row],[In - F2a]:[In - F2b]]),"")</f>
        <v>2.5</v>
      </c>
      <c r="CU253" s="14">
        <v>1</v>
      </c>
      <c r="CV253" s="14">
        <f>IFERROR(AVERAGE(Tabel1[[#This Row],[In - F3a]:[In - F3a]]),"")</f>
        <v>1</v>
      </c>
      <c r="CW253" s="14">
        <v>2</v>
      </c>
      <c r="CX253" s="14">
        <f>IFERROR(AVERAGE(Tabel1[[#This Row],[In - F1]],Tabel1[[#This Row],[In - F2]],Tabel1[[#This Row],[In - F3]],Tabel1[[#This Row],[In - F4]]),"")</f>
        <v>2.0416666666666665</v>
      </c>
      <c r="CY253" s="14">
        <v>5</v>
      </c>
      <c r="CZ253" s="14">
        <v>4</v>
      </c>
      <c r="DA253" s="14">
        <v>2</v>
      </c>
      <c r="DB253" s="14">
        <f>IFERROR(AVERAGE(Tabel1[[#This Row],[In - V1a]:[In - V1c]]),"")</f>
        <v>3.6666666666666665</v>
      </c>
      <c r="DC253" s="14">
        <v>4</v>
      </c>
      <c r="DD253" s="14">
        <v>4</v>
      </c>
      <c r="DE253" s="14">
        <v>2</v>
      </c>
      <c r="DF253" s="14">
        <f>IFERROR(AVERAGE(Tabel1[[#This Row],[In - V2a]:[In - V2c]]),"")</f>
        <v>3.3333333333333335</v>
      </c>
      <c r="DG253" s="14">
        <v>4</v>
      </c>
      <c r="DH253" s="14">
        <v>5</v>
      </c>
      <c r="DI253" s="14">
        <f>IFERROR(AVERAGE(Tabel1[[#This Row],[In - V3a]:[In - V3b]]),"")</f>
        <v>4.5</v>
      </c>
      <c r="DJ253" s="14">
        <v>3</v>
      </c>
      <c r="DK253" s="14">
        <f>IFERROR(AVERAGE(Tabel1[[#This Row],[In - V1]],Tabel1[[#This Row],[In - V2]],Tabel1[[#This Row],[In - V3]],Tabel1[[#This Row],[In - V4]]),"")</f>
        <v>3.625</v>
      </c>
      <c r="DL253" s="14">
        <v>2</v>
      </c>
      <c r="DM253" s="14">
        <v>3</v>
      </c>
      <c r="DN253" s="14">
        <f>IFERROR(AVERAGE(Tabel1[[#This Row],[In - A1a]:[In - A1b]]),"")</f>
        <v>2.5</v>
      </c>
      <c r="DO253" s="14">
        <v>5</v>
      </c>
      <c r="DP253" s="14">
        <v>3</v>
      </c>
      <c r="DQ253" s="14">
        <f>IFERROR(AVERAGE(Tabel1[[#This Row],[In - A2a]:[In - A2b]]),"")</f>
        <v>4</v>
      </c>
      <c r="DR253" s="14">
        <v>4</v>
      </c>
      <c r="DS253" s="14">
        <v>4</v>
      </c>
      <c r="DT253" s="14">
        <f>IFERROR(AVERAGE(Tabel1[[#This Row],[In - A3a]:[In - A3a]]),"")</f>
        <v>4</v>
      </c>
      <c r="DU253" s="14">
        <v>3</v>
      </c>
      <c r="DV253" s="14">
        <f>IFERROR(AVERAGE(Tabel1[[#This Row],[In - A1]],Tabel1[[#This Row],[In - A2]],Tabel1[[#This Row],[In - A3]],Tabel1[[#This Row],[In - A4]]),"")</f>
        <v>3.375</v>
      </c>
      <c r="DW253" s="14">
        <v>1</v>
      </c>
      <c r="DX253" s="14">
        <v>4</v>
      </c>
      <c r="DY253" s="14">
        <v>2</v>
      </c>
      <c r="DZ253" s="14">
        <f>IFERROR(AVERAGE(Tabel1[[#This Row],[Do - R1a]:[Do - R1c]]),"")</f>
        <v>2.3333333333333335</v>
      </c>
      <c r="EA253" s="14">
        <v>2</v>
      </c>
      <c r="EB253" s="14">
        <v>5</v>
      </c>
      <c r="EC253" s="14">
        <v>1</v>
      </c>
      <c r="ED253" s="14">
        <v>3</v>
      </c>
      <c r="EE253" s="14">
        <f>IFERROR(AVERAGE(Tabel1[[#This Row],[Do - R1]:[Do - R5]]),"")</f>
        <v>2.666666666666667</v>
      </c>
      <c r="EF253" s="14">
        <v>5</v>
      </c>
      <c r="EG253" s="14">
        <v>4</v>
      </c>
      <c r="EH253" s="14">
        <v>3</v>
      </c>
      <c r="EI253" s="14">
        <f>IFERROR(AVERAGE(Tabel1[[#This Row],[Do - C1a]:[Do - C1c]]),"")</f>
        <v>4</v>
      </c>
      <c r="EJ253" s="14">
        <v>4</v>
      </c>
      <c r="EK253" s="14">
        <v>3</v>
      </c>
      <c r="EL253" s="14">
        <v>1</v>
      </c>
      <c r="EM253" s="14">
        <f>IFERROR(AVERAGE(Tabel1[[#This Row],[Do - C1]:[Do - C4]]),"")</f>
        <v>3</v>
      </c>
      <c r="EN253" s="14">
        <v>1</v>
      </c>
      <c r="EO253" s="14">
        <v>1</v>
      </c>
      <c r="EP253" s="14">
        <v>2</v>
      </c>
      <c r="EQ253" s="14">
        <f>IFERROR(AVERAGE(Tabel1[[#This Row],[Do - F1a]:[Do - F1c]]),"")</f>
        <v>1.3333333333333333</v>
      </c>
      <c r="ER253" s="14">
        <v>1</v>
      </c>
      <c r="ES253" s="14">
        <f>IFERROR(AVERAGE(Tabel1[[#This Row],[Do - F2a]:[Do - F2a]]),"")</f>
        <v>1</v>
      </c>
      <c r="ET253" s="14">
        <v>4</v>
      </c>
      <c r="EU253" s="14">
        <v>2</v>
      </c>
      <c r="EV253" s="14">
        <f>IFERROR(AVERAGE(Tabel1[[#This Row],[Do - F3a]:[Do - F3b]]),"")</f>
        <v>3</v>
      </c>
      <c r="EW253" s="14">
        <v>1</v>
      </c>
      <c r="EX253" s="14">
        <f>IFERROR(AVERAGE(Tabel1[[#This Row],[Do - F1]],Tabel1[[#This Row],[Do - F2]],Tabel1[[#This Row],[Do - F3]],Tabel1[[#This Row],[Do - F4]]),"")</f>
        <v>1.5833333333333333</v>
      </c>
      <c r="EY253" s="14">
        <v>4</v>
      </c>
      <c r="EZ253" s="14" t="s">
        <v>189</v>
      </c>
      <c r="FA253" s="14">
        <v>3</v>
      </c>
      <c r="FB253" s="14">
        <f>IFERROR(AVERAGE(Tabel1[[#This Row],[Do - V1a]:[Do - V1c]]),"")</f>
        <v>3.5</v>
      </c>
      <c r="FC253" s="14">
        <v>3</v>
      </c>
      <c r="FD253" s="14">
        <v>2</v>
      </c>
      <c r="FE253" s="14">
        <f>IFERROR(AVERAGE(Tabel1[[#This Row],[Do - V2a]:[Do - V2b]]),"")</f>
        <v>2.5</v>
      </c>
      <c r="FF253" s="14">
        <v>3</v>
      </c>
      <c r="FG253" s="14">
        <f>IFERROR(AVERAGE(Tabel1[[#This Row],[Do - V3a]:[Do - V3a]]),"")</f>
        <v>3</v>
      </c>
      <c r="FH253" s="14">
        <v>4</v>
      </c>
      <c r="FI253" s="14">
        <f>IFERROR(AVERAGE(Tabel1[[#This Row],[Do - V1]],Tabel1[[#This Row],[Do - V2]],Tabel1[[#This Row],[Do - V3]],Tabel1[[#This Row],[Do - V4]]),"")</f>
        <v>3.25</v>
      </c>
      <c r="FJ253" s="14">
        <v>4</v>
      </c>
      <c r="FK253" s="14">
        <v>1</v>
      </c>
      <c r="FL253" s="14">
        <v>3</v>
      </c>
      <c r="FM253" s="14">
        <f>IFERROR(AVERAGE(Tabel1[[#This Row],[Do - A1a]:[Do - A1c]]),"")</f>
        <v>2.6666666666666665</v>
      </c>
      <c r="FN253" s="14" t="s">
        <v>189</v>
      </c>
      <c r="FO253" s="14">
        <v>5</v>
      </c>
      <c r="FP253" s="14">
        <f>IFERROR(AVERAGE(Tabel1[[#This Row],[Do - A2a]:[Do - A2b]]),"")</f>
        <v>5</v>
      </c>
      <c r="FQ253" s="14">
        <v>5</v>
      </c>
      <c r="FR253" s="14">
        <f>IFERROR(AVERAGE(Tabel1[[#This Row],[Do - A3a]:[Do - A3a]]),"")</f>
        <v>5</v>
      </c>
      <c r="FS253" s="14">
        <v>3</v>
      </c>
      <c r="FT253" s="14">
        <f>IFERROR(AVERAGE(Tabel1[[#This Row],[Do - A1]],Tabel1[[#This Row],[Do - A2]],Tabel1[[#This Row],[Do - A3]],Tabel1[[#This Row],[Do - A4]]),"")</f>
        <v>3.9166666666666665</v>
      </c>
      <c r="FU25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2.8788888888888891</v>
      </c>
      <c r="FV253" s="27" t="s">
        <v>1351</v>
      </c>
      <c r="FW253" t="b">
        <v>1</v>
      </c>
    </row>
    <row r="254" spans="1:179" x14ac:dyDescent="0.3">
      <c r="A254" s="13">
        <v>45405.610833333303</v>
      </c>
      <c r="B254" t="b">
        <v>0</v>
      </c>
      <c r="C254" s="14" t="s">
        <v>1352</v>
      </c>
      <c r="D254" s="14" t="s">
        <v>1353</v>
      </c>
      <c r="E254" s="14" t="s">
        <v>1354</v>
      </c>
      <c r="F254" s="14" t="s">
        <v>184</v>
      </c>
      <c r="G254" s="14" t="s">
        <v>1355</v>
      </c>
      <c r="H254" s="14" t="s">
        <v>222</v>
      </c>
      <c r="I254" s="14" t="s">
        <v>385</v>
      </c>
      <c r="J254" s="14"/>
      <c r="K254" s="28" t="s">
        <v>187</v>
      </c>
      <c r="L254" s="14" t="s">
        <v>197</v>
      </c>
      <c r="M254" s="14" t="s">
        <v>198</v>
      </c>
      <c r="N254" s="14" t="s">
        <v>199</v>
      </c>
      <c r="O254" s="14" t="s">
        <v>256</v>
      </c>
      <c r="P254" s="24" t="s">
        <v>255</v>
      </c>
      <c r="Q254" s="17" t="s">
        <v>202</v>
      </c>
      <c r="R254" s="25" t="s">
        <v>187</v>
      </c>
      <c r="S254" s="25" t="s">
        <v>187</v>
      </c>
      <c r="T254" s="14" t="s">
        <v>284</v>
      </c>
      <c r="U254" s="14" t="s">
        <v>285</v>
      </c>
      <c r="V254" s="14" t="s">
        <v>359</v>
      </c>
      <c r="W254" s="14" t="s">
        <v>207</v>
      </c>
      <c r="X254" s="14" t="s">
        <v>306</v>
      </c>
      <c r="Y254" s="14">
        <v>3</v>
      </c>
      <c r="Z254" s="14">
        <v>4</v>
      </c>
      <c r="AA254" s="14">
        <v>3</v>
      </c>
      <c r="AB254" s="15">
        <f>IFERROR(AVERAGE(Tabel1[[#This Row],[Up - R1a]:[Up - R1c]]),"")</f>
        <v>3.3333333333333335</v>
      </c>
      <c r="AC254" s="14">
        <v>3</v>
      </c>
      <c r="AD254" s="14">
        <v>3</v>
      </c>
      <c r="AE254" s="14">
        <v>2</v>
      </c>
      <c r="AF254" s="14">
        <v>4</v>
      </c>
      <c r="AG254" s="14">
        <f>IFERROR(AVERAGE(Tabel1[[#This Row],[Up - R1]:[Up - R5]]),"")</f>
        <v>3.0666666666666669</v>
      </c>
      <c r="AH254" s="14">
        <v>3</v>
      </c>
      <c r="AI254" s="14">
        <v>3</v>
      </c>
      <c r="AJ254" s="14">
        <v>3</v>
      </c>
      <c r="AK254" s="14">
        <f>IFERROR(AVERAGE(Tabel1[[#This Row],[Up - C1a]:[Up - C1c]]),"")</f>
        <v>3</v>
      </c>
      <c r="AL254" s="14">
        <v>4</v>
      </c>
      <c r="AM254" s="14">
        <v>2</v>
      </c>
      <c r="AN254" s="14" t="s">
        <v>189</v>
      </c>
      <c r="AO254" s="14">
        <f>IFERROR(AVERAGE(Tabel1[[#This Row],[Up - C1]:[Up - C4]]),"")</f>
        <v>3</v>
      </c>
      <c r="AP254" s="14">
        <v>4</v>
      </c>
      <c r="AQ254" s="14">
        <f>IFERROR(AVERAGE(Tabel1[[#This Row],[Up - F1a]:[Up - F1a]]),"")</f>
        <v>4</v>
      </c>
      <c r="AR254" s="14">
        <v>2</v>
      </c>
      <c r="AS254" s="14">
        <v>3</v>
      </c>
      <c r="AT254" s="14">
        <f>IFERROR(AVERAGE(Tabel1[[#This Row],[Up - F2a]:[Up - F2b]]),"")</f>
        <v>2.5</v>
      </c>
      <c r="AU254" s="14">
        <v>3</v>
      </c>
      <c r="AV254" s="14">
        <v>2</v>
      </c>
      <c r="AW254" s="14">
        <f>IFERROR(AVERAGE(Tabel1[[#This Row],[Up - F3a]:[Up - F3b]]),"")</f>
        <v>2.5</v>
      </c>
      <c r="AX254" s="14">
        <v>2</v>
      </c>
      <c r="AY254" s="14">
        <f>IFERROR(AVERAGE(Tabel1[[#This Row],[Up - F1]],Tabel1[[#This Row],[Up - F2]],Tabel1[[#This Row],[Up - F3]],Tabel1[[#This Row],[Up - F4]]),"")</f>
        <v>2.75</v>
      </c>
      <c r="AZ254" s="14">
        <v>5</v>
      </c>
      <c r="BA254" s="14">
        <v>4</v>
      </c>
      <c r="BB254" s="14">
        <f>IFERROR(AVERAGE(Tabel1[[#This Row],[Up - V1a]:[Up - V1b]]),"")</f>
        <v>4.5</v>
      </c>
      <c r="BC254" s="14">
        <v>4</v>
      </c>
      <c r="BD254" s="14">
        <v>4</v>
      </c>
      <c r="BE254" s="14">
        <v>4</v>
      </c>
      <c r="BF254" s="14">
        <f>IFERROR(AVERAGE(Tabel1[[#This Row],[Up - V2a]:[Up - V2c]]),"")</f>
        <v>4</v>
      </c>
      <c r="BG254" s="14">
        <v>4</v>
      </c>
      <c r="BH254" s="14">
        <v>5</v>
      </c>
      <c r="BI254" s="14">
        <f>IFERROR(AVERAGE(Tabel1[[#This Row],[Up - V3a]:[Up - V3b]]),"")</f>
        <v>4.5</v>
      </c>
      <c r="BJ254" s="14">
        <v>5</v>
      </c>
      <c r="BK254" s="14">
        <f>IFERROR(AVERAGE(Tabel1[[#This Row],[Up - V1]],Tabel1[[#This Row],[Up - V2]],Tabel1[[#This Row],[Up - V3]],Tabel1[[#This Row],[Up - V4]]),"")</f>
        <v>4.5</v>
      </c>
      <c r="BL254" s="14">
        <v>4</v>
      </c>
      <c r="BM254" s="14">
        <v>4</v>
      </c>
      <c r="BN254" s="14">
        <v>5</v>
      </c>
      <c r="BO254" s="14">
        <v>2</v>
      </c>
      <c r="BP254" s="14">
        <f>IFERROR(AVERAGE(Tabel1[[#This Row],[Up - A1a]:[Up - A1d]]),"")</f>
        <v>3.75</v>
      </c>
      <c r="BQ254" s="14">
        <v>4</v>
      </c>
      <c r="BR254" s="14">
        <v>4</v>
      </c>
      <c r="BS254" s="14">
        <f>IFERROR(AVERAGE(Tabel1[[#This Row],[Up - A2a]:[Up - A2b]]),"")</f>
        <v>4</v>
      </c>
      <c r="BT254" s="14">
        <v>5</v>
      </c>
      <c r="BU254" s="14">
        <f>IFERROR(AVERAGE(Tabel1[[#This Row],[Up - A3a]:[Up - A3a]]),"")</f>
        <v>5</v>
      </c>
      <c r="BV254" s="14">
        <v>3</v>
      </c>
      <c r="BW254" s="14">
        <f>IFERROR(AVERAGE(Tabel1[[#This Row],[Up - A1]],Tabel1[[#This Row],[Up - A2]],Tabel1[[#This Row],[Up - A3]]),"")</f>
        <v>4.25</v>
      </c>
      <c r="BX254" s="14" t="s">
        <v>189</v>
      </c>
      <c r="BY254" s="14" t="s">
        <v>189</v>
      </c>
      <c r="BZ254" s="14" t="str">
        <f>IFERROR(AVERAGE(Tabel1[[#This Row],[In - R1a]:[In - R1b]]),"")</f>
        <v/>
      </c>
      <c r="CA254" s="14">
        <v>3</v>
      </c>
      <c r="CB254" s="14">
        <v>4</v>
      </c>
      <c r="CC254" s="14">
        <v>2</v>
      </c>
      <c r="CD254" s="14">
        <v>1</v>
      </c>
      <c r="CE254" s="14">
        <f>IFERROR(AVERAGE(Tabel1[[#This Row],[In - R1]:[In - R5]]),"")</f>
        <v>2.5</v>
      </c>
      <c r="CF254" s="14">
        <v>4</v>
      </c>
      <c r="CG254" s="14">
        <v>4</v>
      </c>
      <c r="CH254" s="14">
        <v>3</v>
      </c>
      <c r="CI254" s="14">
        <f>IFERROR(AVERAGE(Tabel1[[#This Row],[In - C1a]:[In - C1c]]),"")</f>
        <v>3.6666666666666665</v>
      </c>
      <c r="CJ254" s="14">
        <v>3</v>
      </c>
      <c r="CK254" s="14">
        <v>3</v>
      </c>
      <c r="CL254" s="14">
        <v>4</v>
      </c>
      <c r="CM254" s="14">
        <f>IFERROR(AVERAGE(Tabel1[[#This Row],[In - C1]:[In - C4]]),"")</f>
        <v>3.4166666666666665</v>
      </c>
      <c r="CN254" s="14">
        <v>4</v>
      </c>
      <c r="CO254" s="14">
        <v>4</v>
      </c>
      <c r="CP254" s="14">
        <v>3</v>
      </c>
      <c r="CQ254" s="14">
        <f>IFERROR(AVERAGE(Tabel1[[#This Row],[In - F1a]:[In - F1c]]),"")</f>
        <v>3.6666666666666665</v>
      </c>
      <c r="CR254" s="14" t="s">
        <v>189</v>
      </c>
      <c r="CS254" s="14">
        <v>3</v>
      </c>
      <c r="CT254" s="14">
        <f>IFERROR(AVERAGE(Tabel1[[#This Row],[In - F2a]:[In - F2b]]),"")</f>
        <v>3</v>
      </c>
      <c r="CU254" s="14">
        <v>3</v>
      </c>
      <c r="CV254" s="14">
        <f>IFERROR(AVERAGE(Tabel1[[#This Row],[In - F3a]:[In - F3a]]),"")</f>
        <v>3</v>
      </c>
      <c r="CW254" s="14">
        <v>2</v>
      </c>
      <c r="CX254" s="14">
        <f>IFERROR(AVERAGE(Tabel1[[#This Row],[In - F1]],Tabel1[[#This Row],[In - F2]],Tabel1[[#This Row],[In - F3]],Tabel1[[#This Row],[In - F4]]),"")</f>
        <v>2.9166666666666665</v>
      </c>
      <c r="CY254" s="14">
        <v>5</v>
      </c>
      <c r="CZ254" s="14">
        <v>4</v>
      </c>
      <c r="DA254" s="14">
        <v>4</v>
      </c>
      <c r="DB254" s="14">
        <f>IFERROR(AVERAGE(Tabel1[[#This Row],[In - V1a]:[In - V1c]]),"")</f>
        <v>4.333333333333333</v>
      </c>
      <c r="DC254" s="14">
        <v>4</v>
      </c>
      <c r="DD254" s="14">
        <v>4</v>
      </c>
      <c r="DE254" s="14">
        <v>4</v>
      </c>
      <c r="DF254" s="14">
        <f>IFERROR(AVERAGE(Tabel1[[#This Row],[In - V2a]:[In - V2c]]),"")</f>
        <v>4</v>
      </c>
      <c r="DG254" s="14">
        <v>4</v>
      </c>
      <c r="DH254" s="14">
        <v>5</v>
      </c>
      <c r="DI254" s="14">
        <f>IFERROR(AVERAGE(Tabel1[[#This Row],[In - V3a]:[In - V3b]]),"")</f>
        <v>4.5</v>
      </c>
      <c r="DJ254" s="14">
        <v>4</v>
      </c>
      <c r="DK254" s="14">
        <f>IFERROR(AVERAGE(Tabel1[[#This Row],[In - V1]],Tabel1[[#This Row],[In - V2]],Tabel1[[#This Row],[In - V3]],Tabel1[[#This Row],[In - V4]]),"")</f>
        <v>4.208333333333333</v>
      </c>
      <c r="DL254" s="14">
        <v>4</v>
      </c>
      <c r="DM254" s="14">
        <v>4</v>
      </c>
      <c r="DN254" s="14">
        <f>IFERROR(AVERAGE(Tabel1[[#This Row],[In - A1a]:[In - A1b]]),"")</f>
        <v>4</v>
      </c>
      <c r="DO254" s="14">
        <v>4</v>
      </c>
      <c r="DP254" s="14">
        <v>3</v>
      </c>
      <c r="DQ254" s="14">
        <f>IFERROR(AVERAGE(Tabel1[[#This Row],[In - A2a]:[In - A2b]]),"")</f>
        <v>3.5</v>
      </c>
      <c r="DR254" s="14">
        <v>5</v>
      </c>
      <c r="DS254" s="14">
        <v>4</v>
      </c>
      <c r="DT254" s="14">
        <f>IFERROR(AVERAGE(Tabel1[[#This Row],[In - A3a]:[In - A3a]]),"")</f>
        <v>5</v>
      </c>
      <c r="DU254" s="14">
        <v>3</v>
      </c>
      <c r="DV254" s="14">
        <f>IFERROR(AVERAGE(Tabel1[[#This Row],[In - A1]],Tabel1[[#This Row],[In - A2]],Tabel1[[#This Row],[In - A3]],Tabel1[[#This Row],[In - A4]]),"")</f>
        <v>3.875</v>
      </c>
      <c r="DW254" s="14">
        <v>1</v>
      </c>
      <c r="DX254" s="14">
        <v>4</v>
      </c>
      <c r="DY254" s="14">
        <v>2</v>
      </c>
      <c r="DZ254" s="14">
        <f>IFERROR(AVERAGE(Tabel1[[#This Row],[Do - R1a]:[Do - R1c]]),"")</f>
        <v>2.3333333333333335</v>
      </c>
      <c r="EA254" s="14">
        <v>2</v>
      </c>
      <c r="EB254" s="14">
        <v>1</v>
      </c>
      <c r="EC254" s="14">
        <v>2</v>
      </c>
      <c r="ED254" s="14">
        <v>1</v>
      </c>
      <c r="EE254" s="14">
        <f>IFERROR(AVERAGE(Tabel1[[#This Row],[Do - R1]:[Do - R5]]),"")</f>
        <v>1.6666666666666667</v>
      </c>
      <c r="EF254" s="14">
        <v>2</v>
      </c>
      <c r="EG254" s="14" t="s">
        <v>189</v>
      </c>
      <c r="EH254" s="14">
        <v>3</v>
      </c>
      <c r="EI254" s="14">
        <f>IFERROR(AVERAGE(Tabel1[[#This Row],[Do - C1a]:[Do - C1c]]),"")</f>
        <v>2.5</v>
      </c>
      <c r="EJ254" s="14">
        <v>4</v>
      </c>
      <c r="EK254" s="14">
        <v>3</v>
      </c>
      <c r="EL254" s="14" t="s">
        <v>189</v>
      </c>
      <c r="EM254" s="14">
        <f>IFERROR(AVERAGE(Tabel1[[#This Row],[Do - C1]:[Do - C4]]),"")</f>
        <v>3.1666666666666665</v>
      </c>
      <c r="EN254" s="14">
        <v>2</v>
      </c>
      <c r="EO254" s="14">
        <v>3</v>
      </c>
      <c r="EP254" s="14">
        <v>1</v>
      </c>
      <c r="EQ254" s="14">
        <f>IFERROR(AVERAGE(Tabel1[[#This Row],[Do - F1a]:[Do - F1c]]),"")</f>
        <v>2</v>
      </c>
      <c r="ER254" s="14">
        <v>3</v>
      </c>
      <c r="ES254" s="14">
        <f>IFERROR(AVERAGE(Tabel1[[#This Row],[Do - F2a]:[Do - F2a]]),"")</f>
        <v>3</v>
      </c>
      <c r="ET254" s="14">
        <v>1</v>
      </c>
      <c r="EU254" s="14" t="s">
        <v>189</v>
      </c>
      <c r="EV254" s="14">
        <f>IFERROR(AVERAGE(Tabel1[[#This Row],[Do - F3a]:[Do - F3b]]),"")</f>
        <v>1</v>
      </c>
      <c r="EW254" s="14">
        <v>1</v>
      </c>
      <c r="EX254" s="14">
        <f>IFERROR(AVERAGE(Tabel1[[#This Row],[Do - F1]],Tabel1[[#This Row],[Do - F2]],Tabel1[[#This Row],[Do - F3]],Tabel1[[#This Row],[Do - F4]]),"")</f>
        <v>1.75</v>
      </c>
      <c r="EY254" s="14">
        <v>3</v>
      </c>
      <c r="EZ254" s="14">
        <v>4</v>
      </c>
      <c r="FA254" s="14">
        <v>4</v>
      </c>
      <c r="FB254" s="14">
        <f>IFERROR(AVERAGE(Tabel1[[#This Row],[Do - V1a]:[Do - V1c]]),"")</f>
        <v>3.6666666666666665</v>
      </c>
      <c r="FC254" s="14" t="s">
        <v>189</v>
      </c>
      <c r="FD254" s="14" t="s">
        <v>189</v>
      </c>
      <c r="FE254" s="14" t="str">
        <f>IFERROR(AVERAGE(Tabel1[[#This Row],[Do - V2a]:[Do - V2b]]),"")</f>
        <v/>
      </c>
      <c r="FF254" s="14" t="s">
        <v>189</v>
      </c>
      <c r="FG254" s="14" t="str">
        <f>IFERROR(AVERAGE(Tabel1[[#This Row],[Do - V3a]:[Do - V3a]]),"")</f>
        <v/>
      </c>
      <c r="FH254" s="14" t="s">
        <v>189</v>
      </c>
      <c r="FI254" s="14">
        <f>IFERROR(AVERAGE(Tabel1[[#This Row],[Do - V1]],Tabel1[[#This Row],[Do - V2]],Tabel1[[#This Row],[Do - V3]],Tabel1[[#This Row],[Do - V4]]),"")</f>
        <v>3.6666666666666665</v>
      </c>
      <c r="FJ254" s="14">
        <v>4</v>
      </c>
      <c r="FK254" s="14">
        <v>4</v>
      </c>
      <c r="FL254" s="14">
        <v>4</v>
      </c>
      <c r="FM254" s="14">
        <f>IFERROR(AVERAGE(Tabel1[[#This Row],[Do - A1a]:[Do - A1c]]),"")</f>
        <v>4</v>
      </c>
      <c r="FN254" s="14">
        <v>5</v>
      </c>
      <c r="FO254" s="14">
        <v>1</v>
      </c>
      <c r="FP254" s="14">
        <f>IFERROR(AVERAGE(Tabel1[[#This Row],[Do - A2a]:[Do - A2b]]),"")</f>
        <v>3</v>
      </c>
      <c r="FQ254" s="14">
        <v>4</v>
      </c>
      <c r="FR254" s="14">
        <f>IFERROR(AVERAGE(Tabel1[[#This Row],[Do - A3a]:[Do - A3a]]),"")</f>
        <v>4</v>
      </c>
      <c r="FS254" s="14" t="s">
        <v>189</v>
      </c>
      <c r="FT254" s="14">
        <f>IFERROR(AVERAGE(Tabel1[[#This Row],[Do - A1]],Tabel1[[#This Row],[Do - A2]],Tabel1[[#This Row],[Do - A3]],Tabel1[[#This Row],[Do - A4]]),"")</f>
        <v>3.6666666666666665</v>
      </c>
      <c r="FU25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3.2266666666666661</v>
      </c>
      <c r="FV254" s="27" t="s">
        <v>1356</v>
      </c>
      <c r="FW254" t="b">
        <v>1</v>
      </c>
    </row>
    <row r="255" spans="1:179" x14ac:dyDescent="0.3">
      <c r="A255" s="13">
        <v>45405.661087963003</v>
      </c>
      <c r="B255" t="b">
        <v>0</v>
      </c>
      <c r="C255" s="14" t="s">
        <v>1357</v>
      </c>
      <c r="D255" s="14" t="s">
        <v>1358</v>
      </c>
      <c r="E255" s="14" t="s">
        <v>1359</v>
      </c>
      <c r="F255" s="14" t="s">
        <v>184</v>
      </c>
      <c r="G255" s="14" t="s">
        <v>1360</v>
      </c>
      <c r="H255" s="14" t="s">
        <v>222</v>
      </c>
      <c r="I255" s="14" t="s">
        <v>195</v>
      </c>
      <c r="J255" s="14" t="s">
        <v>273</v>
      </c>
      <c r="K255" s="28" t="s">
        <v>202</v>
      </c>
      <c r="L255" s="14" t="s">
        <v>249</v>
      </c>
      <c r="M255" s="14" t="s">
        <v>198</v>
      </c>
      <c r="N255" s="14" t="s">
        <v>199</v>
      </c>
      <c r="O255" s="14" t="s">
        <v>200</v>
      </c>
      <c r="P255" s="24" t="s">
        <v>255</v>
      </c>
      <c r="Q255" s="17" t="s">
        <v>201</v>
      </c>
      <c r="R255" s="25" t="s">
        <v>235</v>
      </c>
      <c r="S255" s="25" t="s">
        <v>201</v>
      </c>
      <c r="T255" s="14" t="s">
        <v>204</v>
      </c>
      <c r="U255" s="14" t="s">
        <v>285</v>
      </c>
      <c r="V255" s="14" t="s">
        <v>359</v>
      </c>
      <c r="W255" s="14" t="s">
        <v>395</v>
      </c>
      <c r="X255" s="14" t="s">
        <v>305</v>
      </c>
      <c r="Y255" s="14">
        <v>1</v>
      </c>
      <c r="Z255" s="14">
        <v>2</v>
      </c>
      <c r="AA255" s="14" t="s">
        <v>189</v>
      </c>
      <c r="AB255" s="15">
        <f>IFERROR(AVERAGE(Tabel1[[#This Row],[Up - R1a]:[Up - R1c]]),"")</f>
        <v>1.5</v>
      </c>
      <c r="AC255" s="14">
        <v>4</v>
      </c>
      <c r="AD255" s="14">
        <v>2</v>
      </c>
      <c r="AE255" s="14">
        <v>3</v>
      </c>
      <c r="AF255" s="14" t="s">
        <v>189</v>
      </c>
      <c r="AG255" s="14">
        <f>IFERROR(AVERAGE(Tabel1[[#This Row],[Up - R1]:[Up - R5]]),"")</f>
        <v>2.625</v>
      </c>
      <c r="AH255" s="14">
        <v>4</v>
      </c>
      <c r="AI255" s="14" t="s">
        <v>189</v>
      </c>
      <c r="AJ255" s="14">
        <v>4</v>
      </c>
      <c r="AK255" s="14">
        <f>IFERROR(AVERAGE(Tabel1[[#This Row],[Up - C1a]:[Up - C1c]]),"")</f>
        <v>4</v>
      </c>
      <c r="AL255" s="14">
        <v>3</v>
      </c>
      <c r="AM255" s="14" t="s">
        <v>189</v>
      </c>
      <c r="AN255" s="14">
        <v>4</v>
      </c>
      <c r="AO255" s="14">
        <f>IFERROR(AVERAGE(Tabel1[[#This Row],[Up - C1]:[Up - C4]]),"")</f>
        <v>3.6666666666666665</v>
      </c>
      <c r="AP255" s="14" t="s">
        <v>189</v>
      </c>
      <c r="AQ255" s="14" t="str">
        <f>IFERROR(AVERAGE(Tabel1[[#This Row],[Up - F1a]:[Up - F1a]]),"")</f>
        <v/>
      </c>
      <c r="AR255" s="14">
        <v>3</v>
      </c>
      <c r="AS255" s="14">
        <v>3</v>
      </c>
      <c r="AT255" s="14">
        <f>IFERROR(AVERAGE(Tabel1[[#This Row],[Up - F2a]:[Up - F2b]]),"")</f>
        <v>3</v>
      </c>
      <c r="AU255" s="14">
        <v>4</v>
      </c>
      <c r="AV255" s="14">
        <v>4</v>
      </c>
      <c r="AW255" s="14">
        <f>IFERROR(AVERAGE(Tabel1[[#This Row],[Up - F3a]:[Up - F3b]]),"")</f>
        <v>4</v>
      </c>
      <c r="AX255" s="14">
        <v>3</v>
      </c>
      <c r="AY255" s="14">
        <f>IFERROR(AVERAGE(Tabel1[[#This Row],[Up - F1]],Tabel1[[#This Row],[Up - F2]],Tabel1[[#This Row],[Up - F3]],Tabel1[[#This Row],[Up - F4]]),"")</f>
        <v>3.3333333333333335</v>
      </c>
      <c r="AZ255" s="14" t="s">
        <v>189</v>
      </c>
      <c r="BA255" s="14">
        <v>4</v>
      </c>
      <c r="BB255" s="14">
        <f>IFERROR(AVERAGE(Tabel1[[#This Row],[Up - V1a]:[Up - V1b]]),"")</f>
        <v>4</v>
      </c>
      <c r="BC255" s="14">
        <v>2</v>
      </c>
      <c r="BD255" s="14">
        <v>3</v>
      </c>
      <c r="BE255" s="14">
        <v>5</v>
      </c>
      <c r="BF255" s="14">
        <f>IFERROR(AVERAGE(Tabel1[[#This Row],[Up - V2a]:[Up - V2c]]),"")</f>
        <v>3.3333333333333335</v>
      </c>
      <c r="BG255" s="14" t="s">
        <v>189</v>
      </c>
      <c r="BH255" s="14" t="s">
        <v>189</v>
      </c>
      <c r="BI255" s="14" t="str">
        <f>IFERROR(AVERAGE(Tabel1[[#This Row],[Up - V3a]:[Up - V3b]]),"")</f>
        <v/>
      </c>
      <c r="BJ255" s="14" t="s">
        <v>189</v>
      </c>
      <c r="BK255" s="14">
        <f>IFERROR(AVERAGE(Tabel1[[#This Row],[Up - V1]],Tabel1[[#This Row],[Up - V2]],Tabel1[[#This Row],[Up - V3]],Tabel1[[#This Row],[Up - V4]]),"")</f>
        <v>3.666666666666667</v>
      </c>
      <c r="BL255" s="14">
        <v>3</v>
      </c>
      <c r="BM255" s="14">
        <v>2</v>
      </c>
      <c r="BN255" s="14">
        <v>3</v>
      </c>
      <c r="BO255" s="14" t="s">
        <v>189</v>
      </c>
      <c r="BP255" s="14">
        <f>IFERROR(AVERAGE(Tabel1[[#This Row],[Up - A1a]:[Up - A1d]]),"")</f>
        <v>2.6666666666666665</v>
      </c>
      <c r="BQ255" s="14" t="s">
        <v>189</v>
      </c>
      <c r="BR255" s="14">
        <v>5</v>
      </c>
      <c r="BS255" s="14">
        <f>IFERROR(AVERAGE(Tabel1[[#This Row],[Up - A2a]:[Up - A2b]]),"")</f>
        <v>5</v>
      </c>
      <c r="BT255" s="14">
        <v>4</v>
      </c>
      <c r="BU255" s="14">
        <f>IFERROR(AVERAGE(Tabel1[[#This Row],[Up - A3a]:[Up - A3a]]),"")</f>
        <v>4</v>
      </c>
      <c r="BV255" s="14">
        <v>3</v>
      </c>
      <c r="BW255" s="14">
        <f>IFERROR(AVERAGE(Tabel1[[#This Row],[Up - A1]],Tabel1[[#This Row],[Up - A2]],Tabel1[[#This Row],[Up - A3]]),"")</f>
        <v>3.8888888888888888</v>
      </c>
      <c r="BX255" s="14">
        <v>4</v>
      </c>
      <c r="BY255" s="14">
        <v>1</v>
      </c>
      <c r="BZ255" s="14">
        <f>IFERROR(AVERAGE(Tabel1[[#This Row],[In - R1a]:[In - R1b]]),"")</f>
        <v>2.5</v>
      </c>
      <c r="CA255" s="14">
        <v>5</v>
      </c>
      <c r="CB255" s="14">
        <v>2</v>
      </c>
      <c r="CC255" s="14">
        <v>3</v>
      </c>
      <c r="CD255" s="14">
        <v>5</v>
      </c>
      <c r="CE255" s="14">
        <f>IFERROR(AVERAGE(Tabel1[[#This Row],[In - R1]:[In - R5]]),"")</f>
        <v>3.5</v>
      </c>
      <c r="CF255" s="14">
        <v>4</v>
      </c>
      <c r="CG255" s="14">
        <v>3</v>
      </c>
      <c r="CH255" s="14">
        <v>5</v>
      </c>
      <c r="CI255" s="14">
        <f>IFERROR(AVERAGE(Tabel1[[#This Row],[In - C1a]:[In - C1c]]),"")</f>
        <v>4</v>
      </c>
      <c r="CJ255" s="14">
        <v>2</v>
      </c>
      <c r="CK255" s="14" t="s">
        <v>189</v>
      </c>
      <c r="CL255" s="14" t="s">
        <v>189</v>
      </c>
      <c r="CM255" s="14">
        <f>IFERROR(AVERAGE(Tabel1[[#This Row],[In - C1]:[In - C4]]),"")</f>
        <v>3</v>
      </c>
      <c r="CN255" s="14">
        <v>3</v>
      </c>
      <c r="CO255" s="14">
        <v>4</v>
      </c>
      <c r="CP255" s="14">
        <v>1</v>
      </c>
      <c r="CQ255" s="14">
        <f>IFERROR(AVERAGE(Tabel1[[#This Row],[In - F1a]:[In - F1c]]),"")</f>
        <v>2.6666666666666665</v>
      </c>
      <c r="CR255" s="14">
        <v>4</v>
      </c>
      <c r="CS255" s="14">
        <v>2</v>
      </c>
      <c r="CT255" s="14">
        <f>IFERROR(AVERAGE(Tabel1[[#This Row],[In - F2a]:[In - F2b]]),"")</f>
        <v>3</v>
      </c>
      <c r="CU255" s="14" t="s">
        <v>189</v>
      </c>
      <c r="CV255" s="14" t="str">
        <f>IFERROR(AVERAGE(Tabel1[[#This Row],[In - F3a]:[In - F3a]]),"")</f>
        <v/>
      </c>
      <c r="CW255" s="14">
        <v>5</v>
      </c>
      <c r="CX255" s="14">
        <f>IFERROR(AVERAGE(Tabel1[[#This Row],[In - F1]],Tabel1[[#This Row],[In - F2]],Tabel1[[#This Row],[In - F3]],Tabel1[[#This Row],[In - F4]]),"")</f>
        <v>3.5555555555555554</v>
      </c>
      <c r="CY255" s="14">
        <v>4</v>
      </c>
      <c r="CZ255" s="14">
        <v>1</v>
      </c>
      <c r="DA255" s="14">
        <v>3</v>
      </c>
      <c r="DB255" s="14">
        <f>IFERROR(AVERAGE(Tabel1[[#This Row],[In - V1a]:[In - V1c]]),"")</f>
        <v>2.6666666666666665</v>
      </c>
      <c r="DC255" s="14">
        <v>3</v>
      </c>
      <c r="DD255" s="14">
        <v>4</v>
      </c>
      <c r="DE255" s="14">
        <v>3</v>
      </c>
      <c r="DF255" s="14">
        <f>IFERROR(AVERAGE(Tabel1[[#This Row],[In - V2a]:[In - V2c]]),"")</f>
        <v>3.3333333333333335</v>
      </c>
      <c r="DG255" s="14" t="s">
        <v>189</v>
      </c>
      <c r="DH255" s="14">
        <v>3</v>
      </c>
      <c r="DI255" s="14">
        <f>IFERROR(AVERAGE(Tabel1[[#This Row],[In - V3a]:[In - V3b]]),"")</f>
        <v>3</v>
      </c>
      <c r="DJ255" s="14">
        <v>3</v>
      </c>
      <c r="DK255" s="14">
        <f>IFERROR(AVERAGE(Tabel1[[#This Row],[In - V1]],Tabel1[[#This Row],[In - V2]],Tabel1[[#This Row],[In - V3]],Tabel1[[#This Row],[In - V4]]),"")</f>
        <v>3</v>
      </c>
      <c r="DL255" s="14">
        <v>5</v>
      </c>
      <c r="DM255" s="14">
        <v>4</v>
      </c>
      <c r="DN255" s="14">
        <f>IFERROR(AVERAGE(Tabel1[[#This Row],[In - A1a]:[In - A1b]]),"")</f>
        <v>4.5</v>
      </c>
      <c r="DO255" s="14">
        <v>4</v>
      </c>
      <c r="DP255" s="14">
        <v>5</v>
      </c>
      <c r="DQ255" s="14">
        <f>IFERROR(AVERAGE(Tabel1[[#This Row],[In - A2a]:[In - A2b]]),"")</f>
        <v>4.5</v>
      </c>
      <c r="DR255" s="14">
        <v>4</v>
      </c>
      <c r="DS255" s="14">
        <v>4</v>
      </c>
      <c r="DT255" s="14">
        <f>IFERROR(AVERAGE(Tabel1[[#This Row],[In - A3a]:[In - A3a]]),"")</f>
        <v>4</v>
      </c>
      <c r="DU255" s="14">
        <v>3</v>
      </c>
      <c r="DV255" s="14">
        <f>IFERROR(AVERAGE(Tabel1[[#This Row],[In - A1]],Tabel1[[#This Row],[In - A2]],Tabel1[[#This Row],[In - A3]],Tabel1[[#This Row],[In - A4]]),"")</f>
        <v>4</v>
      </c>
      <c r="DW255" s="14">
        <v>3</v>
      </c>
      <c r="DX255" s="14">
        <v>5</v>
      </c>
      <c r="DY255" s="14">
        <v>4</v>
      </c>
      <c r="DZ255" s="14">
        <f>IFERROR(AVERAGE(Tabel1[[#This Row],[Do - R1a]:[Do - R1c]]),"")</f>
        <v>4</v>
      </c>
      <c r="EA255" s="14">
        <v>2</v>
      </c>
      <c r="EB255" s="14">
        <v>4</v>
      </c>
      <c r="EC255" s="14">
        <v>4</v>
      </c>
      <c r="ED255" s="14" t="s">
        <v>189</v>
      </c>
      <c r="EE255" s="14">
        <f>IFERROR(AVERAGE(Tabel1[[#This Row],[Do - R1]:[Do - R5]]),"")</f>
        <v>3.5</v>
      </c>
      <c r="EF255" s="14">
        <v>4</v>
      </c>
      <c r="EG255" s="14" t="s">
        <v>189</v>
      </c>
      <c r="EH255" s="14" t="s">
        <v>189</v>
      </c>
      <c r="EI255" s="14">
        <f>IFERROR(AVERAGE(Tabel1[[#This Row],[Do - C1a]:[Do - C1c]]),"")</f>
        <v>4</v>
      </c>
      <c r="EJ255" s="14">
        <v>2</v>
      </c>
      <c r="EK255" s="14" t="s">
        <v>189</v>
      </c>
      <c r="EL255" s="14" t="s">
        <v>189</v>
      </c>
      <c r="EM255" s="14">
        <f>IFERROR(AVERAGE(Tabel1[[#This Row],[Do - C1]:[Do - C4]]),"")</f>
        <v>3</v>
      </c>
      <c r="EN255" s="14">
        <v>4</v>
      </c>
      <c r="EO255" s="14">
        <v>3</v>
      </c>
      <c r="EP255" s="14">
        <v>3</v>
      </c>
      <c r="EQ255" s="14">
        <f>IFERROR(AVERAGE(Tabel1[[#This Row],[Do - F1a]:[Do - F1c]]),"")</f>
        <v>3.3333333333333335</v>
      </c>
      <c r="ER255" s="14">
        <v>1</v>
      </c>
      <c r="ES255" s="14">
        <f>IFERROR(AVERAGE(Tabel1[[#This Row],[Do - F2a]:[Do - F2a]]),"")</f>
        <v>1</v>
      </c>
      <c r="ET255" s="14">
        <v>5</v>
      </c>
      <c r="EU255" s="14">
        <v>3</v>
      </c>
      <c r="EV255" s="14">
        <f>IFERROR(AVERAGE(Tabel1[[#This Row],[Do - F3a]:[Do - F3b]]),"")</f>
        <v>4</v>
      </c>
      <c r="EW255" s="14">
        <v>3</v>
      </c>
      <c r="EX255" s="14">
        <f>IFERROR(AVERAGE(Tabel1[[#This Row],[Do - F1]],Tabel1[[#This Row],[Do - F2]],Tabel1[[#This Row],[Do - F3]],Tabel1[[#This Row],[Do - F4]]),"")</f>
        <v>2.8333333333333335</v>
      </c>
      <c r="EY255" s="14">
        <v>3</v>
      </c>
      <c r="EZ255" s="14">
        <v>3</v>
      </c>
      <c r="FA255" s="14">
        <v>5</v>
      </c>
      <c r="FB255" s="14">
        <f>IFERROR(AVERAGE(Tabel1[[#This Row],[Do - V1a]:[Do - V1c]]),"")</f>
        <v>3.6666666666666665</v>
      </c>
      <c r="FC255" s="14">
        <v>3</v>
      </c>
      <c r="FD255" s="14">
        <v>3</v>
      </c>
      <c r="FE255" s="14">
        <f>IFERROR(AVERAGE(Tabel1[[#This Row],[Do - V2a]:[Do - V2b]]),"")</f>
        <v>3</v>
      </c>
      <c r="FF255" s="14" t="s">
        <v>189</v>
      </c>
      <c r="FG255" s="14" t="str">
        <f>IFERROR(AVERAGE(Tabel1[[#This Row],[Do - V3a]:[Do - V3a]]),"")</f>
        <v/>
      </c>
      <c r="FH255" s="14">
        <v>3</v>
      </c>
      <c r="FI255" s="14">
        <f>IFERROR(AVERAGE(Tabel1[[#This Row],[Do - V1]],Tabel1[[#This Row],[Do - V2]],Tabel1[[#This Row],[Do - V3]],Tabel1[[#This Row],[Do - V4]]),"")</f>
        <v>3.2222222222222219</v>
      </c>
      <c r="FJ255" s="14">
        <v>4</v>
      </c>
      <c r="FK255" s="14">
        <v>3</v>
      </c>
      <c r="FL255" s="14">
        <v>5</v>
      </c>
      <c r="FM255" s="14">
        <f>IFERROR(AVERAGE(Tabel1[[#This Row],[Do - A1a]:[Do - A1c]]),"")</f>
        <v>4</v>
      </c>
      <c r="FN255" s="14">
        <v>5</v>
      </c>
      <c r="FO255" s="14">
        <v>5</v>
      </c>
      <c r="FP255" s="14">
        <f>IFERROR(AVERAGE(Tabel1[[#This Row],[Do - A2a]:[Do - A2b]]),"")</f>
        <v>5</v>
      </c>
      <c r="FQ255" s="14">
        <v>3</v>
      </c>
      <c r="FR255" s="14">
        <f>IFERROR(AVERAGE(Tabel1[[#This Row],[Do - A3a]:[Do - A3a]]),"")</f>
        <v>3</v>
      </c>
      <c r="FS255" s="14">
        <v>3</v>
      </c>
      <c r="FT255" s="14">
        <f>IFERROR(AVERAGE(Tabel1[[#This Row],[Do - A1]],Tabel1[[#This Row],[Do - A2]],Tabel1[[#This Row],[Do - A3]],Tabel1[[#This Row],[Do - A4]]),"")</f>
        <v>3.75</v>
      </c>
      <c r="FU25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3.3694444444444449</v>
      </c>
      <c r="FV255" s="27" t="s">
        <v>1361</v>
      </c>
      <c r="FW255" t="b">
        <v>1</v>
      </c>
    </row>
    <row r="256" spans="1:179" x14ac:dyDescent="0.3">
      <c r="A256" s="13">
        <v>45406.319120370397</v>
      </c>
      <c r="B256" t="b">
        <v>0</v>
      </c>
      <c r="C256" s="14" t="s">
        <v>1362</v>
      </c>
      <c r="D256" s="14" t="s">
        <v>1363</v>
      </c>
      <c r="E256" s="14" t="s">
        <v>1364</v>
      </c>
      <c r="F256" s="14" t="s">
        <v>184</v>
      </c>
      <c r="G256" s="14" t="s">
        <v>1365</v>
      </c>
      <c r="H256" s="14" t="s">
        <v>222</v>
      </c>
      <c r="I256" s="14" t="s">
        <v>243</v>
      </c>
      <c r="J256" s="14" t="s">
        <v>248</v>
      </c>
      <c r="K256" s="28" t="s">
        <v>203</v>
      </c>
      <c r="L256" s="14" t="s">
        <v>218</v>
      </c>
      <c r="M256" s="14" t="s">
        <v>188</v>
      </c>
      <c r="N256" s="14" t="s">
        <v>316</v>
      </c>
      <c r="O256" s="14" t="s">
        <v>200</v>
      </c>
      <c r="P256" s="24" t="s">
        <v>304</v>
      </c>
      <c r="Q256" s="17" t="s">
        <v>203</v>
      </c>
      <c r="R256" s="25" t="s">
        <v>235</v>
      </c>
      <c r="S256" s="25" t="s">
        <v>235</v>
      </c>
      <c r="T256" s="14" t="s">
        <v>284</v>
      </c>
      <c r="U256" s="14" t="s">
        <v>349</v>
      </c>
      <c r="V256" s="14" t="s">
        <v>359</v>
      </c>
      <c r="W256" s="14" t="s">
        <v>395</v>
      </c>
      <c r="X256" s="14" t="s">
        <v>207</v>
      </c>
      <c r="Y256" s="14">
        <v>2</v>
      </c>
      <c r="Z256" s="14">
        <v>3</v>
      </c>
      <c r="AA256" s="14" t="s">
        <v>189</v>
      </c>
      <c r="AB256" s="15">
        <f>IFERROR(AVERAGE(Tabel1[[#This Row],[Up - R1a]:[Up - R1c]]),"")</f>
        <v>2.5</v>
      </c>
      <c r="AC256" s="14" t="s">
        <v>189</v>
      </c>
      <c r="AD256" s="14">
        <v>1</v>
      </c>
      <c r="AE256" s="14">
        <v>1</v>
      </c>
      <c r="AF256" s="14">
        <v>1</v>
      </c>
      <c r="AG256" s="14">
        <f>IFERROR(AVERAGE(Tabel1[[#This Row],[Up - R1]:[Up - R5]]),"")</f>
        <v>1.375</v>
      </c>
      <c r="AH256" s="14">
        <v>5</v>
      </c>
      <c r="AI256" s="14">
        <v>4</v>
      </c>
      <c r="AJ256" s="14">
        <v>4</v>
      </c>
      <c r="AK256" s="14">
        <f>IFERROR(AVERAGE(Tabel1[[#This Row],[Up - C1a]:[Up - C1c]]),"")</f>
        <v>4.333333333333333</v>
      </c>
      <c r="AL256" s="14">
        <v>2</v>
      </c>
      <c r="AM256" s="14">
        <v>2</v>
      </c>
      <c r="AN256" s="14">
        <v>4</v>
      </c>
      <c r="AO256" s="14">
        <f>IFERROR(AVERAGE(Tabel1[[#This Row],[Up - C1]:[Up - C4]]),"")</f>
        <v>3.083333333333333</v>
      </c>
      <c r="AP256" s="14">
        <v>4</v>
      </c>
      <c r="AQ256" s="14">
        <f>IFERROR(AVERAGE(Tabel1[[#This Row],[Up - F1a]:[Up - F1a]]),"")</f>
        <v>4</v>
      </c>
      <c r="AR256" s="14">
        <v>1</v>
      </c>
      <c r="AS256" s="14">
        <v>1</v>
      </c>
      <c r="AT256" s="14">
        <f>IFERROR(AVERAGE(Tabel1[[#This Row],[Up - F2a]:[Up - F2b]]),"")</f>
        <v>1</v>
      </c>
      <c r="AU256" s="14">
        <v>2</v>
      </c>
      <c r="AV256" s="14">
        <v>1</v>
      </c>
      <c r="AW256" s="14">
        <f>IFERROR(AVERAGE(Tabel1[[#This Row],[Up - F3a]:[Up - F3b]]),"")</f>
        <v>1.5</v>
      </c>
      <c r="AX256" s="14">
        <v>1</v>
      </c>
      <c r="AY256" s="14">
        <f>IFERROR(AVERAGE(Tabel1[[#This Row],[Up - F1]],Tabel1[[#This Row],[Up - F2]],Tabel1[[#This Row],[Up - F3]],Tabel1[[#This Row],[Up - F4]]),"")</f>
        <v>1.875</v>
      </c>
      <c r="AZ256" s="14">
        <v>1</v>
      </c>
      <c r="BA256" s="14">
        <v>2</v>
      </c>
      <c r="BB256" s="14">
        <f>IFERROR(AVERAGE(Tabel1[[#This Row],[Up - V1a]:[Up - V1b]]),"")</f>
        <v>1.5</v>
      </c>
      <c r="BC256" s="14">
        <v>1</v>
      </c>
      <c r="BD256" s="14">
        <v>2</v>
      </c>
      <c r="BE256" s="14">
        <v>3</v>
      </c>
      <c r="BF256" s="14">
        <f>IFERROR(AVERAGE(Tabel1[[#This Row],[Up - V2a]:[Up - V2c]]),"")</f>
        <v>2</v>
      </c>
      <c r="BG256" s="14">
        <v>1</v>
      </c>
      <c r="BH256" s="14">
        <v>1</v>
      </c>
      <c r="BI256" s="14">
        <f>IFERROR(AVERAGE(Tabel1[[#This Row],[Up - V3a]:[Up - V3b]]),"")</f>
        <v>1</v>
      </c>
      <c r="BJ256" s="14">
        <v>2</v>
      </c>
      <c r="BK256" s="14">
        <f>IFERROR(AVERAGE(Tabel1[[#This Row],[Up - V1]],Tabel1[[#This Row],[Up - V2]],Tabel1[[#This Row],[Up - V3]],Tabel1[[#This Row],[Up - V4]]),"")</f>
        <v>1.625</v>
      </c>
      <c r="BL256" s="14">
        <v>3</v>
      </c>
      <c r="BM256" s="14">
        <v>3</v>
      </c>
      <c r="BN256" s="14">
        <v>4</v>
      </c>
      <c r="BO256" s="14">
        <v>4</v>
      </c>
      <c r="BP256" s="14">
        <f>IFERROR(AVERAGE(Tabel1[[#This Row],[Up - A1a]:[Up - A1d]]),"")</f>
        <v>3.5</v>
      </c>
      <c r="BQ256" s="14">
        <v>4</v>
      </c>
      <c r="BR256" s="14">
        <v>1</v>
      </c>
      <c r="BS256" s="14">
        <f>IFERROR(AVERAGE(Tabel1[[#This Row],[Up - A2a]:[Up - A2b]]),"")</f>
        <v>2.5</v>
      </c>
      <c r="BT256" s="14">
        <v>2</v>
      </c>
      <c r="BU256" s="14">
        <f>IFERROR(AVERAGE(Tabel1[[#This Row],[Up - A3a]:[Up - A3a]]),"")</f>
        <v>2</v>
      </c>
      <c r="BV256" s="14">
        <v>2</v>
      </c>
      <c r="BW256" s="14">
        <f>IFERROR(AVERAGE(Tabel1[[#This Row],[Up - A1]],Tabel1[[#This Row],[Up - A2]],Tabel1[[#This Row],[Up - A3]]),"")</f>
        <v>2.6666666666666665</v>
      </c>
      <c r="BX256" s="14" t="s">
        <v>189</v>
      </c>
      <c r="BY256" s="14">
        <v>2</v>
      </c>
      <c r="BZ256" s="14">
        <f>IFERROR(AVERAGE(Tabel1[[#This Row],[In - R1a]:[In - R1b]]),"")</f>
        <v>2</v>
      </c>
      <c r="CA256" s="14" t="s">
        <v>189</v>
      </c>
      <c r="CB256" s="14">
        <v>1</v>
      </c>
      <c r="CC256" s="14">
        <v>5</v>
      </c>
      <c r="CD256" s="14">
        <v>1</v>
      </c>
      <c r="CE256" s="14">
        <f>IFERROR(AVERAGE(Tabel1[[#This Row],[In - R1]:[In - R5]]),"")</f>
        <v>2.25</v>
      </c>
      <c r="CF256" s="14">
        <v>2</v>
      </c>
      <c r="CG256" s="14">
        <v>3</v>
      </c>
      <c r="CH256" s="14">
        <v>4</v>
      </c>
      <c r="CI256" s="14">
        <f>IFERROR(AVERAGE(Tabel1[[#This Row],[In - C1a]:[In - C1c]]),"")</f>
        <v>3</v>
      </c>
      <c r="CJ256" s="14">
        <v>4</v>
      </c>
      <c r="CK256" s="14" t="s">
        <v>189</v>
      </c>
      <c r="CL256" s="14">
        <v>4</v>
      </c>
      <c r="CM256" s="14">
        <f>IFERROR(AVERAGE(Tabel1[[#This Row],[In - C1]:[In - C4]]),"")</f>
        <v>3.6666666666666665</v>
      </c>
      <c r="CN256" s="14">
        <v>1</v>
      </c>
      <c r="CO256" s="14">
        <v>1</v>
      </c>
      <c r="CP256" s="14" t="s">
        <v>189</v>
      </c>
      <c r="CQ256" s="14">
        <f>IFERROR(AVERAGE(Tabel1[[#This Row],[In - F1a]:[In - F1c]]),"")</f>
        <v>1</v>
      </c>
      <c r="CR256" s="14">
        <v>1</v>
      </c>
      <c r="CS256" s="14">
        <v>1</v>
      </c>
      <c r="CT256" s="14">
        <f>IFERROR(AVERAGE(Tabel1[[#This Row],[In - F2a]:[In - F2b]]),"")</f>
        <v>1</v>
      </c>
      <c r="CU256" s="14">
        <v>1</v>
      </c>
      <c r="CV256" s="14">
        <f>IFERROR(AVERAGE(Tabel1[[#This Row],[In - F3a]:[In - F3a]]),"")</f>
        <v>1</v>
      </c>
      <c r="CW256" s="14">
        <v>2</v>
      </c>
      <c r="CX256" s="14">
        <f>IFERROR(AVERAGE(Tabel1[[#This Row],[In - F1]],Tabel1[[#This Row],[In - F2]],Tabel1[[#This Row],[In - F3]],Tabel1[[#This Row],[In - F4]]),"")</f>
        <v>1.25</v>
      </c>
      <c r="CY256" s="14">
        <v>1</v>
      </c>
      <c r="CZ256" s="14">
        <v>2</v>
      </c>
      <c r="DA256" s="14">
        <v>2</v>
      </c>
      <c r="DB256" s="14">
        <f>IFERROR(AVERAGE(Tabel1[[#This Row],[In - V1a]:[In - V1c]]),"")</f>
        <v>1.6666666666666667</v>
      </c>
      <c r="DC256" s="14">
        <v>3</v>
      </c>
      <c r="DD256" s="14">
        <v>2</v>
      </c>
      <c r="DE256" s="14">
        <v>2</v>
      </c>
      <c r="DF256" s="14">
        <f>IFERROR(AVERAGE(Tabel1[[#This Row],[In - V2a]:[In - V2c]]),"")</f>
        <v>2.3333333333333335</v>
      </c>
      <c r="DG256" s="14">
        <v>1</v>
      </c>
      <c r="DH256" s="14">
        <v>5</v>
      </c>
      <c r="DI256" s="14">
        <f>IFERROR(AVERAGE(Tabel1[[#This Row],[In - V3a]:[In - V3b]]),"")</f>
        <v>3</v>
      </c>
      <c r="DJ256" s="14">
        <v>4</v>
      </c>
      <c r="DK256" s="14">
        <f>IFERROR(AVERAGE(Tabel1[[#This Row],[In - V1]],Tabel1[[#This Row],[In - V2]],Tabel1[[#This Row],[In - V3]],Tabel1[[#This Row],[In - V4]]),"")</f>
        <v>2.75</v>
      </c>
      <c r="DL256" s="14">
        <v>1</v>
      </c>
      <c r="DM256" s="14">
        <v>4</v>
      </c>
      <c r="DN256" s="14">
        <f>IFERROR(AVERAGE(Tabel1[[#This Row],[In - A1a]:[In - A1b]]),"")</f>
        <v>2.5</v>
      </c>
      <c r="DO256" s="14">
        <v>3</v>
      </c>
      <c r="DP256" s="14">
        <v>2</v>
      </c>
      <c r="DQ256" s="14">
        <f>IFERROR(AVERAGE(Tabel1[[#This Row],[In - A2a]:[In - A2b]]),"")</f>
        <v>2.5</v>
      </c>
      <c r="DR256" s="14">
        <v>5</v>
      </c>
      <c r="DS256" s="14">
        <v>2</v>
      </c>
      <c r="DT256" s="14">
        <f>IFERROR(AVERAGE(Tabel1[[#This Row],[In - A3a]:[In - A3a]]),"")</f>
        <v>5</v>
      </c>
      <c r="DU256" s="14">
        <v>3</v>
      </c>
      <c r="DV256" s="14">
        <f>IFERROR(AVERAGE(Tabel1[[#This Row],[In - A1]],Tabel1[[#This Row],[In - A2]],Tabel1[[#This Row],[In - A3]],Tabel1[[#This Row],[In - A4]]),"")</f>
        <v>3.25</v>
      </c>
      <c r="DW256" s="14">
        <v>2</v>
      </c>
      <c r="DX256" s="14">
        <v>5</v>
      </c>
      <c r="DY256" s="14">
        <v>1</v>
      </c>
      <c r="DZ256" s="14">
        <f>IFERROR(AVERAGE(Tabel1[[#This Row],[Do - R1a]:[Do - R1c]]),"")</f>
        <v>2.6666666666666665</v>
      </c>
      <c r="EA256" s="14">
        <v>1</v>
      </c>
      <c r="EB256" s="14">
        <v>4</v>
      </c>
      <c r="EC256" s="14">
        <v>4</v>
      </c>
      <c r="ED256" s="14">
        <v>1</v>
      </c>
      <c r="EE256" s="14">
        <f>IFERROR(AVERAGE(Tabel1[[#This Row],[Do - R1]:[Do - R5]]),"")</f>
        <v>2.5333333333333332</v>
      </c>
      <c r="EF256" s="14">
        <v>2</v>
      </c>
      <c r="EG256" s="14">
        <v>3</v>
      </c>
      <c r="EH256" s="14">
        <v>3</v>
      </c>
      <c r="EI256" s="14">
        <f>IFERROR(AVERAGE(Tabel1[[#This Row],[Do - C1a]:[Do - C1c]]),"")</f>
        <v>2.6666666666666665</v>
      </c>
      <c r="EJ256" s="14">
        <v>2</v>
      </c>
      <c r="EK256" s="14" t="s">
        <v>189</v>
      </c>
      <c r="EL256" s="14">
        <v>2</v>
      </c>
      <c r="EM256" s="14">
        <f>IFERROR(AVERAGE(Tabel1[[#This Row],[Do - C1]:[Do - C4]]),"")</f>
        <v>2.2222222222222219</v>
      </c>
      <c r="EN256" s="14">
        <v>3</v>
      </c>
      <c r="EO256" s="14">
        <v>1</v>
      </c>
      <c r="EP256" s="14">
        <v>5</v>
      </c>
      <c r="EQ256" s="14">
        <f>IFERROR(AVERAGE(Tabel1[[#This Row],[Do - F1a]:[Do - F1c]]),"")</f>
        <v>3</v>
      </c>
      <c r="ER256" s="14">
        <v>1</v>
      </c>
      <c r="ES256" s="14">
        <f>IFERROR(AVERAGE(Tabel1[[#This Row],[Do - F2a]:[Do - F2a]]),"")</f>
        <v>1</v>
      </c>
      <c r="ET256" s="14">
        <v>1</v>
      </c>
      <c r="EU256" s="14">
        <v>1</v>
      </c>
      <c r="EV256" s="14">
        <f>IFERROR(AVERAGE(Tabel1[[#This Row],[Do - F3a]:[Do - F3b]]),"")</f>
        <v>1</v>
      </c>
      <c r="EW256" s="14">
        <v>1</v>
      </c>
      <c r="EX256" s="14">
        <f>IFERROR(AVERAGE(Tabel1[[#This Row],[Do - F1]],Tabel1[[#This Row],[Do - F2]],Tabel1[[#This Row],[Do - F3]],Tabel1[[#This Row],[Do - F4]]),"")</f>
        <v>1.5</v>
      </c>
      <c r="EY256" s="14">
        <v>1</v>
      </c>
      <c r="EZ256" s="14">
        <v>4</v>
      </c>
      <c r="FA256" s="14">
        <v>3</v>
      </c>
      <c r="FB256" s="14">
        <f>IFERROR(AVERAGE(Tabel1[[#This Row],[Do - V1a]:[Do - V1c]]),"")</f>
        <v>2.6666666666666665</v>
      </c>
      <c r="FC256" s="14">
        <v>3</v>
      </c>
      <c r="FD256" s="14">
        <v>2</v>
      </c>
      <c r="FE256" s="14">
        <f>IFERROR(AVERAGE(Tabel1[[#This Row],[Do - V2a]:[Do - V2b]]),"")</f>
        <v>2.5</v>
      </c>
      <c r="FF256" s="14">
        <v>1</v>
      </c>
      <c r="FG256" s="14">
        <f>IFERROR(AVERAGE(Tabel1[[#This Row],[Do - V3a]:[Do - V3a]]),"")</f>
        <v>1</v>
      </c>
      <c r="FH256" s="14">
        <v>3</v>
      </c>
      <c r="FI256" s="14">
        <f>IFERROR(AVERAGE(Tabel1[[#This Row],[Do - V1]],Tabel1[[#This Row],[Do - V2]],Tabel1[[#This Row],[Do - V3]],Tabel1[[#This Row],[Do - V4]]),"")</f>
        <v>2.2916666666666665</v>
      </c>
      <c r="FJ256" s="14">
        <v>5</v>
      </c>
      <c r="FK256" s="14">
        <v>2</v>
      </c>
      <c r="FL256" s="14">
        <v>4</v>
      </c>
      <c r="FM256" s="14">
        <f>IFERROR(AVERAGE(Tabel1[[#This Row],[Do - A1a]:[Do - A1c]]),"")</f>
        <v>3.6666666666666665</v>
      </c>
      <c r="FN256" s="14">
        <v>4</v>
      </c>
      <c r="FO256" s="14">
        <v>5</v>
      </c>
      <c r="FP256" s="14">
        <f>IFERROR(AVERAGE(Tabel1[[#This Row],[Do - A2a]:[Do - A2b]]),"")</f>
        <v>4.5</v>
      </c>
      <c r="FQ256" s="14">
        <v>4</v>
      </c>
      <c r="FR256" s="14">
        <f>IFERROR(AVERAGE(Tabel1[[#This Row],[Do - A3a]:[Do - A3a]]),"")</f>
        <v>4</v>
      </c>
      <c r="FS256" s="14">
        <v>3</v>
      </c>
      <c r="FT256" s="14">
        <f>IFERROR(AVERAGE(Tabel1[[#This Row],[Do - A1]],Tabel1[[#This Row],[Do - A2]],Tabel1[[#This Row],[Do - A3]],Tabel1[[#This Row],[Do - A4]]),"")</f>
        <v>3.7916666666666665</v>
      </c>
      <c r="FU25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2.4087037037037033</v>
      </c>
      <c r="FV256" s="27" t="s">
        <v>1366</v>
      </c>
      <c r="FW256" t="b">
        <v>1</v>
      </c>
    </row>
    <row r="257" spans="1:179" x14ac:dyDescent="0.3">
      <c r="A257" s="13">
        <v>45406.353530092601</v>
      </c>
      <c r="B257" t="b">
        <v>0</v>
      </c>
      <c r="C257" s="14" t="s">
        <v>1367</v>
      </c>
      <c r="D257" s="14" t="s">
        <v>1368</v>
      </c>
      <c r="E257" s="14" t="s">
        <v>1369</v>
      </c>
      <c r="F257" s="14" t="s">
        <v>184</v>
      </c>
      <c r="G257" s="14" t="s">
        <v>1370</v>
      </c>
      <c r="H257" s="14" t="s">
        <v>222</v>
      </c>
      <c r="I257" s="14" t="s">
        <v>385</v>
      </c>
      <c r="J257" s="14"/>
      <c r="K257" s="26" t="s">
        <v>304</v>
      </c>
      <c r="L257" s="14" t="s">
        <v>249</v>
      </c>
      <c r="M257" s="14" t="s">
        <v>188</v>
      </c>
      <c r="N257" s="14" t="s">
        <v>331</v>
      </c>
      <c r="O257" s="14" t="s">
        <v>200</v>
      </c>
      <c r="P257" s="24" t="s">
        <v>304</v>
      </c>
      <c r="Q257" s="17" t="s">
        <v>304</v>
      </c>
      <c r="R257" s="24" t="s">
        <v>304</v>
      </c>
      <c r="S257" s="25" t="s">
        <v>202</v>
      </c>
      <c r="T257" s="14" t="s">
        <v>380</v>
      </c>
      <c r="U257" s="14" t="s">
        <v>349</v>
      </c>
      <c r="V257" s="14" t="s">
        <v>359</v>
      </c>
      <c r="W257" s="14" t="s">
        <v>306</v>
      </c>
      <c r="X257" s="14" t="s">
        <v>395</v>
      </c>
      <c r="Y257" s="14">
        <v>3</v>
      </c>
      <c r="Z257" s="14">
        <v>4</v>
      </c>
      <c r="AA257" s="14">
        <v>4</v>
      </c>
      <c r="AB257" s="15">
        <f>IFERROR(AVERAGE(Tabel1[[#This Row],[Up - R1a]:[Up - R1c]]),"")</f>
        <v>3.6666666666666665</v>
      </c>
      <c r="AC257" s="14">
        <v>2</v>
      </c>
      <c r="AD257" s="14">
        <v>4</v>
      </c>
      <c r="AE257" s="14">
        <v>1</v>
      </c>
      <c r="AF257" s="14">
        <v>2</v>
      </c>
      <c r="AG257" s="14">
        <f>IFERROR(AVERAGE(Tabel1[[#This Row],[Up - R1]:[Up - R5]]),"")</f>
        <v>2.5333333333333332</v>
      </c>
      <c r="AH257" s="14">
        <v>5</v>
      </c>
      <c r="AI257" s="14">
        <v>4</v>
      </c>
      <c r="AJ257" s="14">
        <v>2</v>
      </c>
      <c r="AK257" s="14">
        <f>IFERROR(AVERAGE(Tabel1[[#This Row],[Up - C1a]:[Up - C1c]]),"")</f>
        <v>3.6666666666666665</v>
      </c>
      <c r="AL257" s="14">
        <v>2</v>
      </c>
      <c r="AM257" s="14">
        <v>1</v>
      </c>
      <c r="AN257" s="14">
        <v>2</v>
      </c>
      <c r="AO257" s="14">
        <f>IFERROR(AVERAGE(Tabel1[[#This Row],[Up - C1]:[Up - C4]]),"")</f>
        <v>2.1666666666666665</v>
      </c>
      <c r="AP257" s="14">
        <v>3</v>
      </c>
      <c r="AQ257" s="14">
        <f>IFERROR(AVERAGE(Tabel1[[#This Row],[Up - F1a]:[Up - F1a]]),"")</f>
        <v>3</v>
      </c>
      <c r="AR257" s="14">
        <v>2</v>
      </c>
      <c r="AS257" s="14">
        <v>3</v>
      </c>
      <c r="AT257" s="14">
        <f>IFERROR(AVERAGE(Tabel1[[#This Row],[Up - F2a]:[Up - F2b]]),"")</f>
        <v>2.5</v>
      </c>
      <c r="AU257" s="14">
        <v>4</v>
      </c>
      <c r="AV257" s="14">
        <v>2</v>
      </c>
      <c r="AW257" s="14">
        <f>IFERROR(AVERAGE(Tabel1[[#This Row],[Up - F3a]:[Up - F3b]]),"")</f>
        <v>3</v>
      </c>
      <c r="AX257" s="14">
        <v>3</v>
      </c>
      <c r="AY257" s="14">
        <f>IFERROR(AVERAGE(Tabel1[[#This Row],[Up - F1]],Tabel1[[#This Row],[Up - F2]],Tabel1[[#This Row],[Up - F3]],Tabel1[[#This Row],[Up - F4]]),"")</f>
        <v>2.875</v>
      </c>
      <c r="AZ257" s="14">
        <v>2</v>
      </c>
      <c r="BA257" s="14">
        <v>2</v>
      </c>
      <c r="BB257" s="14">
        <f>IFERROR(AVERAGE(Tabel1[[#This Row],[Up - V1a]:[Up - V1b]]),"")</f>
        <v>2</v>
      </c>
      <c r="BC257" s="14">
        <v>4</v>
      </c>
      <c r="BD257" s="14">
        <v>3</v>
      </c>
      <c r="BE257" s="14">
        <v>1</v>
      </c>
      <c r="BF257" s="14">
        <f>IFERROR(AVERAGE(Tabel1[[#This Row],[Up - V2a]:[Up - V2c]]),"")</f>
        <v>2.6666666666666665</v>
      </c>
      <c r="BG257" s="14">
        <v>3</v>
      </c>
      <c r="BH257" s="14">
        <v>2</v>
      </c>
      <c r="BI257" s="14">
        <f>IFERROR(AVERAGE(Tabel1[[#This Row],[Up - V3a]:[Up - V3b]]),"")</f>
        <v>2.5</v>
      </c>
      <c r="BJ257" s="14">
        <v>3</v>
      </c>
      <c r="BK257" s="14">
        <f>IFERROR(AVERAGE(Tabel1[[#This Row],[Up - V1]],Tabel1[[#This Row],[Up - V2]],Tabel1[[#This Row],[Up - V3]],Tabel1[[#This Row],[Up - V4]]),"")</f>
        <v>2.5416666666666665</v>
      </c>
      <c r="BL257" s="14">
        <v>2</v>
      </c>
      <c r="BM257" s="14">
        <v>2</v>
      </c>
      <c r="BN257" s="14">
        <v>4</v>
      </c>
      <c r="BO257" s="14">
        <v>3</v>
      </c>
      <c r="BP257" s="14">
        <f>IFERROR(AVERAGE(Tabel1[[#This Row],[Up - A1a]:[Up - A1d]]),"")</f>
        <v>2.75</v>
      </c>
      <c r="BQ257" s="14">
        <v>5</v>
      </c>
      <c r="BR257" s="14">
        <v>3</v>
      </c>
      <c r="BS257" s="14">
        <f>IFERROR(AVERAGE(Tabel1[[#This Row],[Up - A2a]:[Up - A2b]]),"")</f>
        <v>4</v>
      </c>
      <c r="BT257" s="14">
        <v>4</v>
      </c>
      <c r="BU257" s="14">
        <f>IFERROR(AVERAGE(Tabel1[[#This Row],[Up - A3a]:[Up - A3a]]),"")</f>
        <v>4</v>
      </c>
      <c r="BV257" s="14">
        <v>2</v>
      </c>
      <c r="BW257" s="14">
        <f>IFERROR(AVERAGE(Tabel1[[#This Row],[Up - A1]],Tabel1[[#This Row],[Up - A2]],Tabel1[[#This Row],[Up - A3]]),"")</f>
        <v>3.5833333333333335</v>
      </c>
      <c r="BX257" s="14" t="s">
        <v>189</v>
      </c>
      <c r="BY257" s="14">
        <v>3</v>
      </c>
      <c r="BZ257" s="14">
        <f>IFERROR(AVERAGE(Tabel1[[#This Row],[In - R1a]:[In - R1b]]),"")</f>
        <v>3</v>
      </c>
      <c r="CA257" s="14">
        <v>3</v>
      </c>
      <c r="CB257" s="14">
        <v>3</v>
      </c>
      <c r="CC257" s="14" t="s">
        <v>189</v>
      </c>
      <c r="CD257" s="14">
        <v>2</v>
      </c>
      <c r="CE257" s="14">
        <f>IFERROR(AVERAGE(Tabel1[[#This Row],[In - R1]:[In - R5]]),"")</f>
        <v>2.75</v>
      </c>
      <c r="CF257" s="14">
        <v>3</v>
      </c>
      <c r="CG257" s="14">
        <v>2</v>
      </c>
      <c r="CH257" s="14">
        <v>2</v>
      </c>
      <c r="CI257" s="14">
        <f>IFERROR(AVERAGE(Tabel1[[#This Row],[In - C1a]:[In - C1c]]),"")</f>
        <v>2.3333333333333335</v>
      </c>
      <c r="CJ257" s="14">
        <v>2</v>
      </c>
      <c r="CK257" s="14">
        <v>1</v>
      </c>
      <c r="CL257" s="14">
        <v>2</v>
      </c>
      <c r="CM257" s="14">
        <f>IFERROR(AVERAGE(Tabel1[[#This Row],[In - C1]:[In - C4]]),"")</f>
        <v>1.8333333333333335</v>
      </c>
      <c r="CN257" s="14">
        <v>4</v>
      </c>
      <c r="CO257" s="14">
        <v>3</v>
      </c>
      <c r="CP257" s="14" t="s">
        <v>189</v>
      </c>
      <c r="CQ257" s="14">
        <f>IFERROR(AVERAGE(Tabel1[[#This Row],[In - F1a]:[In - F1c]]),"")</f>
        <v>3.5</v>
      </c>
      <c r="CR257" s="14">
        <v>4</v>
      </c>
      <c r="CS257" s="14">
        <v>2</v>
      </c>
      <c r="CT257" s="14">
        <f>IFERROR(AVERAGE(Tabel1[[#This Row],[In - F2a]:[In - F2b]]),"")</f>
        <v>3</v>
      </c>
      <c r="CU257" s="14">
        <v>3</v>
      </c>
      <c r="CV257" s="14">
        <f>IFERROR(AVERAGE(Tabel1[[#This Row],[In - F3a]:[In - F3a]]),"")</f>
        <v>3</v>
      </c>
      <c r="CW257" s="14">
        <v>3</v>
      </c>
      <c r="CX257" s="14">
        <f>IFERROR(AVERAGE(Tabel1[[#This Row],[In - F1]],Tabel1[[#This Row],[In - F2]],Tabel1[[#This Row],[In - F3]],Tabel1[[#This Row],[In - F4]]),"")</f>
        <v>3.125</v>
      </c>
      <c r="CY257" s="14">
        <v>3</v>
      </c>
      <c r="CZ257" s="14">
        <v>2</v>
      </c>
      <c r="DA257" s="14">
        <v>1</v>
      </c>
      <c r="DB257" s="14">
        <f>IFERROR(AVERAGE(Tabel1[[#This Row],[In - V1a]:[In - V1c]]),"")</f>
        <v>2</v>
      </c>
      <c r="DC257" s="14">
        <v>3</v>
      </c>
      <c r="DD257" s="14">
        <v>2</v>
      </c>
      <c r="DE257" s="14">
        <v>2</v>
      </c>
      <c r="DF257" s="14">
        <f>IFERROR(AVERAGE(Tabel1[[#This Row],[In - V2a]:[In - V2c]]),"")</f>
        <v>2.3333333333333335</v>
      </c>
      <c r="DG257" s="14">
        <v>2</v>
      </c>
      <c r="DH257" s="14">
        <v>2</v>
      </c>
      <c r="DI257" s="14">
        <f>IFERROR(AVERAGE(Tabel1[[#This Row],[In - V3a]:[In - V3b]]),"")</f>
        <v>2</v>
      </c>
      <c r="DJ257" s="14">
        <v>2</v>
      </c>
      <c r="DK257" s="14">
        <f>IFERROR(AVERAGE(Tabel1[[#This Row],[In - V1]],Tabel1[[#This Row],[In - V2]],Tabel1[[#This Row],[In - V3]],Tabel1[[#This Row],[In - V4]]),"")</f>
        <v>2.0833333333333335</v>
      </c>
      <c r="DL257" s="14">
        <v>3</v>
      </c>
      <c r="DM257" s="14">
        <v>2</v>
      </c>
      <c r="DN257" s="14">
        <f>IFERROR(AVERAGE(Tabel1[[#This Row],[In - A1a]:[In - A1b]]),"")</f>
        <v>2.5</v>
      </c>
      <c r="DO257" s="14" t="s">
        <v>189</v>
      </c>
      <c r="DP257" s="14">
        <v>2</v>
      </c>
      <c r="DQ257" s="14">
        <f>IFERROR(AVERAGE(Tabel1[[#This Row],[In - A2a]:[In - A2b]]),"")</f>
        <v>2</v>
      </c>
      <c r="DR257" s="14">
        <v>5</v>
      </c>
      <c r="DS257" s="14">
        <v>5</v>
      </c>
      <c r="DT257" s="14">
        <f>IFERROR(AVERAGE(Tabel1[[#This Row],[In - A3a]:[In - A3a]]),"")</f>
        <v>5</v>
      </c>
      <c r="DU257" s="14">
        <v>2</v>
      </c>
      <c r="DV257" s="14">
        <f>IFERROR(AVERAGE(Tabel1[[#This Row],[In - A1]],Tabel1[[#This Row],[In - A2]],Tabel1[[#This Row],[In - A3]],Tabel1[[#This Row],[In - A4]]),"")</f>
        <v>2.875</v>
      </c>
      <c r="DW257" s="14">
        <v>3</v>
      </c>
      <c r="DX257" s="14">
        <v>2</v>
      </c>
      <c r="DY257" s="14">
        <v>2</v>
      </c>
      <c r="DZ257" s="14">
        <f>IFERROR(AVERAGE(Tabel1[[#This Row],[Do - R1a]:[Do - R1c]]),"")</f>
        <v>2.3333333333333335</v>
      </c>
      <c r="EA257" s="14">
        <v>1</v>
      </c>
      <c r="EB257" s="14">
        <v>4</v>
      </c>
      <c r="EC257" s="14">
        <v>1</v>
      </c>
      <c r="ED257" s="14">
        <v>4</v>
      </c>
      <c r="EE257" s="14">
        <f>IFERROR(AVERAGE(Tabel1[[#This Row],[Do - R1]:[Do - R5]]),"")</f>
        <v>2.4666666666666668</v>
      </c>
      <c r="EF257" s="14">
        <v>4</v>
      </c>
      <c r="EG257" s="14">
        <v>3</v>
      </c>
      <c r="EH257" s="14">
        <v>2</v>
      </c>
      <c r="EI257" s="14">
        <f>IFERROR(AVERAGE(Tabel1[[#This Row],[Do - C1a]:[Do - C1c]]),"")</f>
        <v>3</v>
      </c>
      <c r="EJ257" s="14">
        <v>3</v>
      </c>
      <c r="EK257" s="14">
        <v>1</v>
      </c>
      <c r="EL257" s="14">
        <v>3</v>
      </c>
      <c r="EM257" s="14">
        <f>IFERROR(AVERAGE(Tabel1[[#This Row],[Do - C1]:[Do - C4]]),"")</f>
        <v>2.5</v>
      </c>
      <c r="EN257" s="14">
        <v>2</v>
      </c>
      <c r="EO257" s="14">
        <v>2</v>
      </c>
      <c r="EP257" s="14">
        <v>3</v>
      </c>
      <c r="EQ257" s="14">
        <f>IFERROR(AVERAGE(Tabel1[[#This Row],[Do - F1a]:[Do - F1c]]),"")</f>
        <v>2.3333333333333335</v>
      </c>
      <c r="ER257" s="14">
        <v>2</v>
      </c>
      <c r="ES257" s="14">
        <f>IFERROR(AVERAGE(Tabel1[[#This Row],[Do - F2a]:[Do - F2a]]),"")</f>
        <v>2</v>
      </c>
      <c r="ET257" s="14">
        <v>2</v>
      </c>
      <c r="EU257" s="14">
        <v>4</v>
      </c>
      <c r="EV257" s="14">
        <f>IFERROR(AVERAGE(Tabel1[[#This Row],[Do - F3a]:[Do - F3b]]),"")</f>
        <v>3</v>
      </c>
      <c r="EW257" s="14">
        <v>2</v>
      </c>
      <c r="EX257" s="14">
        <f>IFERROR(AVERAGE(Tabel1[[#This Row],[Do - F1]],Tabel1[[#This Row],[Do - F2]],Tabel1[[#This Row],[Do - F3]],Tabel1[[#This Row],[Do - F4]]),"")</f>
        <v>2.3333333333333335</v>
      </c>
      <c r="EY257" s="14">
        <v>3</v>
      </c>
      <c r="EZ257" s="14">
        <v>3</v>
      </c>
      <c r="FA257" s="14">
        <v>3</v>
      </c>
      <c r="FB257" s="14">
        <f>IFERROR(AVERAGE(Tabel1[[#This Row],[Do - V1a]:[Do - V1c]]),"")</f>
        <v>3</v>
      </c>
      <c r="FC257" s="14">
        <v>3</v>
      </c>
      <c r="FD257" s="14">
        <v>2</v>
      </c>
      <c r="FE257" s="14">
        <f>IFERROR(AVERAGE(Tabel1[[#This Row],[Do - V2a]:[Do - V2b]]),"")</f>
        <v>2.5</v>
      </c>
      <c r="FF257" s="14">
        <v>3</v>
      </c>
      <c r="FG257" s="14">
        <f>IFERROR(AVERAGE(Tabel1[[#This Row],[Do - V3a]:[Do - V3a]]),"")</f>
        <v>3</v>
      </c>
      <c r="FH257" s="14">
        <v>3</v>
      </c>
      <c r="FI257" s="14">
        <f>IFERROR(AVERAGE(Tabel1[[#This Row],[Do - V1]],Tabel1[[#This Row],[Do - V2]],Tabel1[[#This Row],[Do - V3]],Tabel1[[#This Row],[Do - V4]]),"")</f>
        <v>2.875</v>
      </c>
      <c r="FJ257" s="14">
        <v>3</v>
      </c>
      <c r="FK257" s="14">
        <v>4</v>
      </c>
      <c r="FL257" s="14">
        <v>5</v>
      </c>
      <c r="FM257" s="14">
        <f>IFERROR(AVERAGE(Tabel1[[#This Row],[Do - A1a]:[Do - A1c]]),"")</f>
        <v>4</v>
      </c>
      <c r="FN257" s="14">
        <v>3</v>
      </c>
      <c r="FO257" s="14">
        <v>4</v>
      </c>
      <c r="FP257" s="14">
        <f>IFERROR(AVERAGE(Tabel1[[#This Row],[Do - A2a]:[Do - A2b]]),"")</f>
        <v>3.5</v>
      </c>
      <c r="FQ257" s="14">
        <v>4</v>
      </c>
      <c r="FR257" s="14">
        <f>IFERROR(AVERAGE(Tabel1[[#This Row],[Do - A3a]:[Do - A3a]]),"")</f>
        <v>4</v>
      </c>
      <c r="FS257" s="14">
        <v>4</v>
      </c>
      <c r="FT257" s="14">
        <f>IFERROR(AVERAGE(Tabel1[[#This Row],[Do - A1]],Tabel1[[#This Row],[Do - A2]],Tabel1[[#This Row],[Do - A3]],Tabel1[[#This Row],[Do - A4]]),"")</f>
        <v>3.875</v>
      </c>
      <c r="FU25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2.6944444444444442</v>
      </c>
      <c r="FV257" s="27" t="s">
        <v>1371</v>
      </c>
      <c r="FW257" t="b">
        <v>1</v>
      </c>
    </row>
    <row r="258" spans="1:179" x14ac:dyDescent="0.3">
      <c r="A258" s="13">
        <v>45407.35</v>
      </c>
      <c r="B258" t="b">
        <v>0</v>
      </c>
      <c r="C258" s="14" t="s">
        <v>1372</v>
      </c>
      <c r="D258" s="14" t="s">
        <v>1373</v>
      </c>
      <c r="E258" s="14" t="s">
        <v>1374</v>
      </c>
      <c r="F258" s="14" t="s">
        <v>184</v>
      </c>
      <c r="G258" s="14" t="s">
        <v>1375</v>
      </c>
      <c r="H258" s="14" t="s">
        <v>222</v>
      </c>
      <c r="I258" s="14" t="s">
        <v>195</v>
      </c>
      <c r="J258" s="14" t="s">
        <v>273</v>
      </c>
      <c r="K258" s="28" t="s">
        <v>201</v>
      </c>
      <c r="L258" s="14" t="s">
        <v>249</v>
      </c>
      <c r="M258" s="14" t="s">
        <v>233</v>
      </c>
      <c r="N258" s="14" t="s">
        <v>262</v>
      </c>
      <c r="O258" s="14" t="s">
        <v>200</v>
      </c>
      <c r="P258" s="25" t="s">
        <v>203</v>
      </c>
      <c r="Q258" s="17" t="s">
        <v>202</v>
      </c>
      <c r="R258" s="25" t="s">
        <v>201</v>
      </c>
      <c r="S258" s="25" t="s">
        <v>187</v>
      </c>
      <c r="T258" s="14" t="s">
        <v>380</v>
      </c>
      <c r="U258" s="14" t="s">
        <v>285</v>
      </c>
      <c r="V258" s="14" t="s">
        <v>224</v>
      </c>
      <c r="W258" s="14" t="s">
        <v>207</v>
      </c>
      <c r="X258" s="14" t="s">
        <v>207</v>
      </c>
      <c r="Y258" s="14">
        <v>4</v>
      </c>
      <c r="Z258" s="14">
        <v>4</v>
      </c>
      <c r="AA258" s="14">
        <v>3</v>
      </c>
      <c r="AB258" s="15">
        <f>IFERROR(AVERAGE(Tabel1[[#This Row],[Up - R1a]:[Up - R1c]]),"")</f>
        <v>3.6666666666666665</v>
      </c>
      <c r="AC258" s="14">
        <v>3</v>
      </c>
      <c r="AD258" s="14">
        <v>5</v>
      </c>
      <c r="AE258" s="14">
        <v>3</v>
      </c>
      <c r="AF258" s="14">
        <v>3</v>
      </c>
      <c r="AG258" s="14">
        <f>IFERROR(AVERAGE(Tabel1[[#This Row],[Up - R1]:[Up - R5]]),"")</f>
        <v>3.5333333333333328</v>
      </c>
      <c r="AH258" s="14">
        <v>5</v>
      </c>
      <c r="AI258" s="14">
        <v>4</v>
      </c>
      <c r="AJ258" s="14">
        <v>4</v>
      </c>
      <c r="AK258" s="14">
        <f>IFERROR(AVERAGE(Tabel1[[#This Row],[Up - C1a]:[Up - C1c]]),"")</f>
        <v>4.333333333333333</v>
      </c>
      <c r="AL258" s="14">
        <v>4</v>
      </c>
      <c r="AM258" s="14">
        <v>4</v>
      </c>
      <c r="AN258" s="14">
        <v>2</v>
      </c>
      <c r="AO258" s="14">
        <f>IFERROR(AVERAGE(Tabel1[[#This Row],[Up - C1]:[Up - C4]]),"")</f>
        <v>3.583333333333333</v>
      </c>
      <c r="AP258" s="14">
        <v>4</v>
      </c>
      <c r="AQ258" s="14">
        <f>IFERROR(AVERAGE(Tabel1[[#This Row],[Up - F1a]:[Up - F1a]]),"")</f>
        <v>4</v>
      </c>
      <c r="AR258" s="14">
        <v>3</v>
      </c>
      <c r="AS258" s="14">
        <v>4</v>
      </c>
      <c r="AT258" s="14">
        <f>IFERROR(AVERAGE(Tabel1[[#This Row],[Up - F2a]:[Up - F2b]]),"")</f>
        <v>3.5</v>
      </c>
      <c r="AU258" s="14">
        <v>4</v>
      </c>
      <c r="AV258" s="14">
        <v>3</v>
      </c>
      <c r="AW258" s="14">
        <f>IFERROR(AVERAGE(Tabel1[[#This Row],[Up - F3a]:[Up - F3b]]),"")</f>
        <v>3.5</v>
      </c>
      <c r="AX258" s="14">
        <v>4</v>
      </c>
      <c r="AY258" s="14">
        <f>IFERROR(AVERAGE(Tabel1[[#This Row],[Up - F1]],Tabel1[[#This Row],[Up - F2]],Tabel1[[#This Row],[Up - F3]],Tabel1[[#This Row],[Up - F4]]),"")</f>
        <v>3.75</v>
      </c>
      <c r="AZ258" s="14">
        <v>3</v>
      </c>
      <c r="BA258" s="14">
        <v>4</v>
      </c>
      <c r="BB258" s="14">
        <f>IFERROR(AVERAGE(Tabel1[[#This Row],[Up - V1a]:[Up - V1b]]),"")</f>
        <v>3.5</v>
      </c>
      <c r="BC258" s="14">
        <v>2</v>
      </c>
      <c r="BD258" s="14">
        <v>3</v>
      </c>
      <c r="BE258" s="14">
        <v>4</v>
      </c>
      <c r="BF258" s="14">
        <f>IFERROR(AVERAGE(Tabel1[[#This Row],[Up - V2a]:[Up - V2c]]),"")</f>
        <v>3</v>
      </c>
      <c r="BG258" s="14">
        <v>4</v>
      </c>
      <c r="BH258" s="14">
        <v>4</v>
      </c>
      <c r="BI258" s="14">
        <f>IFERROR(AVERAGE(Tabel1[[#This Row],[Up - V3a]:[Up - V3b]]),"")</f>
        <v>4</v>
      </c>
      <c r="BJ258" s="14">
        <v>4</v>
      </c>
      <c r="BK258" s="14">
        <f>IFERROR(AVERAGE(Tabel1[[#This Row],[Up - V1]],Tabel1[[#This Row],[Up - V2]],Tabel1[[#This Row],[Up - V3]],Tabel1[[#This Row],[Up - V4]]),"")</f>
        <v>3.625</v>
      </c>
      <c r="BL258" s="14">
        <v>4</v>
      </c>
      <c r="BM258" s="14">
        <v>3</v>
      </c>
      <c r="BN258" s="14">
        <v>4</v>
      </c>
      <c r="BO258" s="14">
        <v>4</v>
      </c>
      <c r="BP258" s="14">
        <f>IFERROR(AVERAGE(Tabel1[[#This Row],[Up - A1a]:[Up - A1d]]),"")</f>
        <v>3.75</v>
      </c>
      <c r="BQ258" s="14">
        <v>4</v>
      </c>
      <c r="BR258" s="14">
        <v>5</v>
      </c>
      <c r="BS258" s="14">
        <f>IFERROR(AVERAGE(Tabel1[[#This Row],[Up - A2a]:[Up - A2b]]),"")</f>
        <v>4.5</v>
      </c>
      <c r="BT258" s="14">
        <v>4</v>
      </c>
      <c r="BU258" s="14">
        <f>IFERROR(AVERAGE(Tabel1[[#This Row],[Up - A3a]:[Up - A3a]]),"")</f>
        <v>4</v>
      </c>
      <c r="BV258" s="14" t="s">
        <v>189</v>
      </c>
      <c r="BW258" s="14">
        <f>IFERROR(AVERAGE(Tabel1[[#This Row],[Up - A1]],Tabel1[[#This Row],[Up - A2]],Tabel1[[#This Row],[Up - A3]]),"")</f>
        <v>4.083333333333333</v>
      </c>
      <c r="BX258" s="14">
        <v>3</v>
      </c>
      <c r="BY258" s="14">
        <v>2</v>
      </c>
      <c r="BZ258" s="14">
        <f>IFERROR(AVERAGE(Tabel1[[#This Row],[In - R1a]:[In - R1b]]),"")</f>
        <v>2.5</v>
      </c>
      <c r="CA258" s="14">
        <v>3</v>
      </c>
      <c r="CB258" s="14">
        <v>3</v>
      </c>
      <c r="CC258" s="14">
        <v>2</v>
      </c>
      <c r="CD258" s="14">
        <v>5</v>
      </c>
      <c r="CE258" s="14">
        <f>IFERROR(AVERAGE(Tabel1[[#This Row],[In - R1]:[In - R5]]),"")</f>
        <v>3.1</v>
      </c>
      <c r="CF258" s="14">
        <v>3</v>
      </c>
      <c r="CG258" s="14">
        <v>4</v>
      </c>
      <c r="CH258" s="14">
        <v>4</v>
      </c>
      <c r="CI258" s="14">
        <f>IFERROR(AVERAGE(Tabel1[[#This Row],[In - C1a]:[In - C1c]]),"")</f>
        <v>3.6666666666666665</v>
      </c>
      <c r="CJ258" s="14">
        <v>3</v>
      </c>
      <c r="CK258" s="14">
        <v>3</v>
      </c>
      <c r="CL258" s="14">
        <v>4</v>
      </c>
      <c r="CM258" s="14">
        <f>IFERROR(AVERAGE(Tabel1[[#This Row],[In - C1]:[In - C4]]),"")</f>
        <v>3.4166666666666665</v>
      </c>
      <c r="CN258" s="14">
        <v>2</v>
      </c>
      <c r="CO258" s="14">
        <v>2</v>
      </c>
      <c r="CP258" s="14">
        <v>3</v>
      </c>
      <c r="CQ258" s="14">
        <f>IFERROR(AVERAGE(Tabel1[[#This Row],[In - F1a]:[In - F1c]]),"")</f>
        <v>2.3333333333333335</v>
      </c>
      <c r="CR258" s="14">
        <v>5</v>
      </c>
      <c r="CS258" s="14">
        <v>5</v>
      </c>
      <c r="CT258" s="14">
        <f>IFERROR(AVERAGE(Tabel1[[#This Row],[In - F2a]:[In - F2b]]),"")</f>
        <v>5</v>
      </c>
      <c r="CU258" s="14">
        <v>3</v>
      </c>
      <c r="CV258" s="14">
        <f>IFERROR(AVERAGE(Tabel1[[#This Row],[In - F3a]:[In - F3a]]),"")</f>
        <v>3</v>
      </c>
      <c r="CW258" s="14" t="s">
        <v>189</v>
      </c>
      <c r="CX258" s="14">
        <f>IFERROR(AVERAGE(Tabel1[[#This Row],[In - F1]],Tabel1[[#This Row],[In - F2]],Tabel1[[#This Row],[In - F3]],Tabel1[[#This Row],[In - F4]]),"")</f>
        <v>3.4444444444444446</v>
      </c>
      <c r="CY258" s="14">
        <v>4</v>
      </c>
      <c r="CZ258" s="14">
        <v>4</v>
      </c>
      <c r="DA258" s="14">
        <v>1</v>
      </c>
      <c r="DB258" s="14">
        <f>IFERROR(AVERAGE(Tabel1[[#This Row],[In - V1a]:[In - V1c]]),"")</f>
        <v>3</v>
      </c>
      <c r="DC258" s="14">
        <v>2</v>
      </c>
      <c r="DD258" s="14">
        <v>3</v>
      </c>
      <c r="DE258" s="14">
        <v>2</v>
      </c>
      <c r="DF258" s="14">
        <f>IFERROR(AVERAGE(Tabel1[[#This Row],[In - V2a]:[In - V2c]]),"")</f>
        <v>2.3333333333333335</v>
      </c>
      <c r="DG258" s="14">
        <v>3</v>
      </c>
      <c r="DH258" s="14">
        <v>4</v>
      </c>
      <c r="DI258" s="14">
        <f>IFERROR(AVERAGE(Tabel1[[#This Row],[In - V3a]:[In - V3b]]),"")</f>
        <v>3.5</v>
      </c>
      <c r="DJ258" s="14">
        <v>3</v>
      </c>
      <c r="DK258" s="14">
        <f>IFERROR(AVERAGE(Tabel1[[#This Row],[In - V1]],Tabel1[[#This Row],[In - V2]],Tabel1[[#This Row],[In - V3]],Tabel1[[#This Row],[In - V4]]),"")</f>
        <v>2.9583333333333335</v>
      </c>
      <c r="DL258" s="14">
        <v>3</v>
      </c>
      <c r="DM258" s="14">
        <v>3</v>
      </c>
      <c r="DN258" s="14">
        <f>IFERROR(AVERAGE(Tabel1[[#This Row],[In - A1a]:[In - A1b]]),"")</f>
        <v>3</v>
      </c>
      <c r="DO258" s="14">
        <v>4</v>
      </c>
      <c r="DP258" s="14">
        <v>4</v>
      </c>
      <c r="DQ258" s="14">
        <f>IFERROR(AVERAGE(Tabel1[[#This Row],[In - A2a]:[In - A2b]]),"")</f>
        <v>4</v>
      </c>
      <c r="DR258" s="14">
        <v>3</v>
      </c>
      <c r="DS258" s="14">
        <v>3</v>
      </c>
      <c r="DT258" s="14">
        <f>IFERROR(AVERAGE(Tabel1[[#This Row],[In - A3a]:[In - A3a]]),"")</f>
        <v>3</v>
      </c>
      <c r="DU258" s="14">
        <v>2</v>
      </c>
      <c r="DV258" s="14">
        <f>IFERROR(AVERAGE(Tabel1[[#This Row],[In - A1]],Tabel1[[#This Row],[In - A2]],Tabel1[[#This Row],[In - A3]],Tabel1[[#This Row],[In - A4]]),"")</f>
        <v>3</v>
      </c>
      <c r="DW258" s="14">
        <v>2</v>
      </c>
      <c r="DX258" s="14">
        <v>4</v>
      </c>
      <c r="DY258" s="14">
        <v>2</v>
      </c>
      <c r="DZ258" s="14">
        <f>IFERROR(AVERAGE(Tabel1[[#This Row],[Do - R1a]:[Do - R1c]]),"")</f>
        <v>2.6666666666666665</v>
      </c>
      <c r="EA258" s="14">
        <v>4</v>
      </c>
      <c r="EB258" s="14">
        <v>5</v>
      </c>
      <c r="EC258" s="14">
        <v>1</v>
      </c>
      <c r="ED258" s="14">
        <v>5</v>
      </c>
      <c r="EE258" s="14">
        <f>IFERROR(AVERAGE(Tabel1[[#This Row],[Do - R1]:[Do - R5]]),"")</f>
        <v>3.5333333333333328</v>
      </c>
      <c r="EF258" s="14">
        <v>5</v>
      </c>
      <c r="EG258" s="14">
        <v>3</v>
      </c>
      <c r="EH258" s="14">
        <v>4</v>
      </c>
      <c r="EI258" s="14">
        <f>IFERROR(AVERAGE(Tabel1[[#This Row],[Do - C1a]:[Do - C1c]]),"")</f>
        <v>4</v>
      </c>
      <c r="EJ258" s="14">
        <v>2</v>
      </c>
      <c r="EK258" s="14">
        <v>4</v>
      </c>
      <c r="EL258" s="14">
        <v>3</v>
      </c>
      <c r="EM258" s="14">
        <f>IFERROR(AVERAGE(Tabel1[[#This Row],[Do - C1]:[Do - C4]]),"")</f>
        <v>3.25</v>
      </c>
      <c r="EN258" s="14">
        <v>4</v>
      </c>
      <c r="EO258" s="14">
        <v>2</v>
      </c>
      <c r="EP258" s="14">
        <v>2</v>
      </c>
      <c r="EQ258" s="14">
        <f>IFERROR(AVERAGE(Tabel1[[#This Row],[Do - F1a]:[Do - F1c]]),"")</f>
        <v>2.6666666666666665</v>
      </c>
      <c r="ER258" s="14">
        <v>4</v>
      </c>
      <c r="ES258" s="14">
        <f>IFERROR(AVERAGE(Tabel1[[#This Row],[Do - F2a]:[Do - F2a]]),"")</f>
        <v>4</v>
      </c>
      <c r="ET258" s="14">
        <v>5</v>
      </c>
      <c r="EU258" s="14">
        <v>4</v>
      </c>
      <c r="EV258" s="14">
        <f>IFERROR(AVERAGE(Tabel1[[#This Row],[Do - F3a]:[Do - F3b]]),"")</f>
        <v>4.5</v>
      </c>
      <c r="EW258" s="14">
        <v>4</v>
      </c>
      <c r="EX258" s="14">
        <f>IFERROR(AVERAGE(Tabel1[[#This Row],[Do - F1]],Tabel1[[#This Row],[Do - F2]],Tabel1[[#This Row],[Do - F3]],Tabel1[[#This Row],[Do - F4]]),"")</f>
        <v>3.7916666666666665</v>
      </c>
      <c r="EY258" s="14">
        <v>3</v>
      </c>
      <c r="EZ258" s="14">
        <v>1</v>
      </c>
      <c r="FA258" s="14">
        <v>3</v>
      </c>
      <c r="FB258" s="14">
        <f>IFERROR(AVERAGE(Tabel1[[#This Row],[Do - V1a]:[Do - V1c]]),"")</f>
        <v>2.3333333333333335</v>
      </c>
      <c r="FC258" s="14">
        <v>2</v>
      </c>
      <c r="FD258" s="14">
        <v>4</v>
      </c>
      <c r="FE258" s="14">
        <f>IFERROR(AVERAGE(Tabel1[[#This Row],[Do - V2a]:[Do - V2b]]),"")</f>
        <v>3</v>
      </c>
      <c r="FF258" s="14">
        <v>2</v>
      </c>
      <c r="FG258" s="14">
        <f>IFERROR(AVERAGE(Tabel1[[#This Row],[Do - V3a]:[Do - V3a]]),"")</f>
        <v>2</v>
      </c>
      <c r="FH258" s="14">
        <v>4</v>
      </c>
      <c r="FI258" s="14">
        <f>IFERROR(AVERAGE(Tabel1[[#This Row],[Do - V1]],Tabel1[[#This Row],[Do - V2]],Tabel1[[#This Row],[Do - V3]],Tabel1[[#This Row],[Do - V4]]),"")</f>
        <v>2.8333333333333335</v>
      </c>
      <c r="FJ258" s="14">
        <v>4</v>
      </c>
      <c r="FK258" s="14">
        <v>2</v>
      </c>
      <c r="FL258" s="14">
        <v>3</v>
      </c>
      <c r="FM258" s="14">
        <f>IFERROR(AVERAGE(Tabel1[[#This Row],[Do - A1a]:[Do - A1c]]),"")</f>
        <v>3</v>
      </c>
      <c r="FN258" s="14">
        <v>4</v>
      </c>
      <c r="FO258" s="14">
        <v>5</v>
      </c>
      <c r="FP258" s="14">
        <f>IFERROR(AVERAGE(Tabel1[[#This Row],[Do - A2a]:[Do - A2b]]),"")</f>
        <v>4.5</v>
      </c>
      <c r="FQ258" s="14">
        <v>3</v>
      </c>
      <c r="FR258" s="14">
        <f>IFERROR(AVERAGE(Tabel1[[#This Row],[Do - A3a]:[Do - A3a]]),"")</f>
        <v>3</v>
      </c>
      <c r="FS258" s="14" t="s">
        <v>189</v>
      </c>
      <c r="FT258" s="14">
        <f>IFERROR(AVERAGE(Tabel1[[#This Row],[Do - A1]],Tabel1[[#This Row],[Do - A2]],Tabel1[[#This Row],[Do - A3]],Tabel1[[#This Row],[Do - A4]]),"")</f>
        <v>3.5</v>
      </c>
      <c r="FU25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3.4268518518518514</v>
      </c>
      <c r="FV258" s="27" t="s">
        <v>1376</v>
      </c>
      <c r="FW258" t="b">
        <v>1</v>
      </c>
    </row>
    <row r="259" spans="1:179" x14ac:dyDescent="0.3">
      <c r="A259" s="13">
        <v>45407.5626388889</v>
      </c>
      <c r="B259" t="b">
        <v>0</v>
      </c>
      <c r="C259" s="14" t="s">
        <v>1377</v>
      </c>
      <c r="D259" s="14" t="s">
        <v>215</v>
      </c>
      <c r="E259" s="14" t="s">
        <v>1378</v>
      </c>
      <c r="F259" s="14" t="s">
        <v>184</v>
      </c>
      <c r="G259" s="14" t="s">
        <v>1379</v>
      </c>
      <c r="H259" s="14" t="s">
        <v>222</v>
      </c>
      <c r="I259" s="14" t="s">
        <v>243</v>
      </c>
      <c r="J259" s="14" t="s">
        <v>248</v>
      </c>
      <c r="K259" s="28" t="s">
        <v>235</v>
      </c>
      <c r="L259" s="14" t="s">
        <v>218</v>
      </c>
      <c r="M259" s="14" t="s">
        <v>198</v>
      </c>
      <c r="N259" s="14" t="s">
        <v>316</v>
      </c>
      <c r="O259" s="14" t="s">
        <v>200</v>
      </c>
      <c r="P259" s="24" t="s">
        <v>255</v>
      </c>
      <c r="Q259" s="17"/>
      <c r="R259" s="25" t="s">
        <v>187</v>
      </c>
      <c r="S259" s="25" t="s">
        <v>187</v>
      </c>
      <c r="T259" s="14" t="s">
        <v>284</v>
      </c>
      <c r="U259" s="14" t="s">
        <v>285</v>
      </c>
      <c r="V259" s="14" t="s">
        <v>224</v>
      </c>
      <c r="W259" s="14" t="s">
        <v>395</v>
      </c>
      <c r="X259" s="14" t="s">
        <v>306</v>
      </c>
      <c r="Y259" s="14">
        <v>3</v>
      </c>
      <c r="Z259" s="14">
        <v>2</v>
      </c>
      <c r="AA259" s="14" t="s">
        <v>189</v>
      </c>
      <c r="AB259" s="15">
        <f>IFERROR(AVERAGE(Tabel1[[#This Row],[Up - R1a]:[Up - R1c]]),"")</f>
        <v>2.5</v>
      </c>
      <c r="AC259" s="14">
        <v>4</v>
      </c>
      <c r="AD259" s="14">
        <v>4</v>
      </c>
      <c r="AE259" s="14">
        <v>2</v>
      </c>
      <c r="AF259" s="14">
        <v>3</v>
      </c>
      <c r="AG259" s="14">
        <f>IFERROR(AVERAGE(Tabel1[[#This Row],[Up - R1]:[Up - R5]]),"")</f>
        <v>3.1</v>
      </c>
      <c r="AH259" s="14">
        <v>4</v>
      </c>
      <c r="AI259" s="14">
        <v>3</v>
      </c>
      <c r="AJ259" s="14">
        <v>4</v>
      </c>
      <c r="AK259" s="14">
        <f>IFERROR(AVERAGE(Tabel1[[#This Row],[Up - C1a]:[Up - C1c]]),"")</f>
        <v>3.6666666666666665</v>
      </c>
      <c r="AL259" s="14">
        <v>3</v>
      </c>
      <c r="AM259" s="14">
        <v>3</v>
      </c>
      <c r="AN259" s="14">
        <v>4</v>
      </c>
      <c r="AO259" s="14">
        <f>IFERROR(AVERAGE(Tabel1[[#This Row],[Up - C1]:[Up - C4]]),"")</f>
        <v>3.4166666666666665</v>
      </c>
      <c r="AP259" s="14">
        <v>3</v>
      </c>
      <c r="AQ259" s="14">
        <f>IFERROR(AVERAGE(Tabel1[[#This Row],[Up - F1a]:[Up - F1a]]),"")</f>
        <v>3</v>
      </c>
      <c r="AR259" s="14">
        <v>2</v>
      </c>
      <c r="AS259" s="14">
        <v>3</v>
      </c>
      <c r="AT259" s="14">
        <f>IFERROR(AVERAGE(Tabel1[[#This Row],[Up - F2a]:[Up - F2b]]),"")</f>
        <v>2.5</v>
      </c>
      <c r="AU259" s="14">
        <v>4</v>
      </c>
      <c r="AV259" s="14">
        <v>2</v>
      </c>
      <c r="AW259" s="14">
        <f>IFERROR(AVERAGE(Tabel1[[#This Row],[Up - F3a]:[Up - F3b]]),"")</f>
        <v>3</v>
      </c>
      <c r="AX259" s="14">
        <v>3</v>
      </c>
      <c r="AY259" s="14">
        <f>IFERROR(AVERAGE(Tabel1[[#This Row],[Up - F1]],Tabel1[[#This Row],[Up - F2]],Tabel1[[#This Row],[Up - F3]],Tabel1[[#This Row],[Up - F4]]),"")</f>
        <v>2.875</v>
      </c>
      <c r="AZ259" s="14">
        <v>1</v>
      </c>
      <c r="BA259" s="14">
        <v>4</v>
      </c>
      <c r="BB259" s="14">
        <f>IFERROR(AVERAGE(Tabel1[[#This Row],[Up - V1a]:[Up - V1b]]),"")</f>
        <v>2.5</v>
      </c>
      <c r="BC259" s="14">
        <v>4</v>
      </c>
      <c r="BD259" s="14">
        <v>2</v>
      </c>
      <c r="BE259" s="14">
        <v>3</v>
      </c>
      <c r="BF259" s="14">
        <f>IFERROR(AVERAGE(Tabel1[[#This Row],[Up - V2a]:[Up - V2c]]),"")</f>
        <v>3</v>
      </c>
      <c r="BG259" s="14">
        <v>2</v>
      </c>
      <c r="BH259" s="14">
        <v>1</v>
      </c>
      <c r="BI259" s="14">
        <f>IFERROR(AVERAGE(Tabel1[[#This Row],[Up - V3a]:[Up - V3b]]),"")</f>
        <v>1.5</v>
      </c>
      <c r="BJ259" s="14">
        <v>3</v>
      </c>
      <c r="BK259" s="14">
        <f>IFERROR(AVERAGE(Tabel1[[#This Row],[Up - V1]],Tabel1[[#This Row],[Up - V2]],Tabel1[[#This Row],[Up - V3]],Tabel1[[#This Row],[Up - V4]]),"")</f>
        <v>2.5</v>
      </c>
      <c r="BL259" s="14">
        <v>4</v>
      </c>
      <c r="BM259" s="14">
        <v>4</v>
      </c>
      <c r="BN259" s="14">
        <v>4</v>
      </c>
      <c r="BO259" s="14">
        <v>4</v>
      </c>
      <c r="BP259" s="14">
        <f>IFERROR(AVERAGE(Tabel1[[#This Row],[Up - A1a]:[Up - A1d]]),"")</f>
        <v>4</v>
      </c>
      <c r="BQ259" s="14">
        <v>4</v>
      </c>
      <c r="BR259" s="14">
        <v>4</v>
      </c>
      <c r="BS259" s="14">
        <f>IFERROR(AVERAGE(Tabel1[[#This Row],[Up - A2a]:[Up - A2b]]),"")</f>
        <v>4</v>
      </c>
      <c r="BT259" s="14">
        <v>4</v>
      </c>
      <c r="BU259" s="14">
        <f>IFERROR(AVERAGE(Tabel1[[#This Row],[Up - A3a]:[Up - A3a]]),"")</f>
        <v>4</v>
      </c>
      <c r="BV259" s="14">
        <v>3</v>
      </c>
      <c r="BW259" s="14">
        <f>IFERROR(AVERAGE(Tabel1[[#This Row],[Up - A1]],Tabel1[[#This Row],[Up - A2]],Tabel1[[#This Row],[Up - A3]]),"")</f>
        <v>4</v>
      </c>
      <c r="BX259" s="14" t="s">
        <v>189</v>
      </c>
      <c r="BY259" s="14" t="s">
        <v>189</v>
      </c>
      <c r="BZ259" s="14" t="str">
        <f>IFERROR(AVERAGE(Tabel1[[#This Row],[In - R1a]:[In - R1b]]),"")</f>
        <v/>
      </c>
      <c r="CA259" s="14">
        <v>4</v>
      </c>
      <c r="CB259" s="14">
        <v>3</v>
      </c>
      <c r="CC259" s="14" t="s">
        <v>189</v>
      </c>
      <c r="CD259" s="14">
        <v>4</v>
      </c>
      <c r="CE259" s="14">
        <f>IFERROR(AVERAGE(Tabel1[[#This Row],[In - R1]:[In - R5]]),"")</f>
        <v>3.6666666666666665</v>
      </c>
      <c r="CF259" s="14">
        <v>4</v>
      </c>
      <c r="CG259" s="14">
        <v>3</v>
      </c>
      <c r="CH259" s="14">
        <v>3</v>
      </c>
      <c r="CI259" s="14">
        <f>IFERROR(AVERAGE(Tabel1[[#This Row],[In - C1a]:[In - C1c]]),"")</f>
        <v>3.3333333333333335</v>
      </c>
      <c r="CJ259" s="14">
        <v>2</v>
      </c>
      <c r="CK259" s="14">
        <v>4</v>
      </c>
      <c r="CL259" s="14">
        <v>3</v>
      </c>
      <c r="CM259" s="14">
        <f>IFERROR(AVERAGE(Tabel1[[#This Row],[In - C1]:[In - C4]]),"")</f>
        <v>3.0833333333333335</v>
      </c>
      <c r="CN259" s="14">
        <v>4</v>
      </c>
      <c r="CO259" s="14">
        <v>2</v>
      </c>
      <c r="CP259" s="14" t="s">
        <v>189</v>
      </c>
      <c r="CQ259" s="14">
        <f>IFERROR(AVERAGE(Tabel1[[#This Row],[In - F1a]:[In - F1c]]),"")</f>
        <v>3</v>
      </c>
      <c r="CR259" s="14" t="s">
        <v>189</v>
      </c>
      <c r="CS259" s="14" t="s">
        <v>189</v>
      </c>
      <c r="CT259" s="14" t="str">
        <f>IFERROR(AVERAGE(Tabel1[[#This Row],[In - F2a]:[In - F2b]]),"")</f>
        <v/>
      </c>
      <c r="CU259" s="14" t="s">
        <v>189</v>
      </c>
      <c r="CV259" s="14" t="str">
        <f>IFERROR(AVERAGE(Tabel1[[#This Row],[In - F3a]:[In - F3a]]),"")</f>
        <v/>
      </c>
      <c r="CW259" s="14" t="s">
        <v>189</v>
      </c>
      <c r="CX259" s="14">
        <f>IFERROR(AVERAGE(Tabel1[[#This Row],[In - F1]],Tabel1[[#This Row],[In - F2]],Tabel1[[#This Row],[In - F3]],Tabel1[[#This Row],[In - F4]]),"")</f>
        <v>3</v>
      </c>
      <c r="CY259" s="14">
        <v>4</v>
      </c>
      <c r="CZ259" s="14">
        <v>3</v>
      </c>
      <c r="DA259" s="14" t="s">
        <v>189</v>
      </c>
      <c r="DB259" s="14">
        <f>IFERROR(AVERAGE(Tabel1[[#This Row],[In - V1a]:[In - V1c]]),"")</f>
        <v>3.5</v>
      </c>
      <c r="DC259" s="14">
        <v>4</v>
      </c>
      <c r="DD259" s="14">
        <v>4</v>
      </c>
      <c r="DE259" s="14">
        <v>4</v>
      </c>
      <c r="DF259" s="14">
        <f>IFERROR(AVERAGE(Tabel1[[#This Row],[In - V2a]:[In - V2c]]),"")</f>
        <v>4</v>
      </c>
      <c r="DG259" s="14">
        <v>5</v>
      </c>
      <c r="DH259" s="14">
        <v>4</v>
      </c>
      <c r="DI259" s="14">
        <f>IFERROR(AVERAGE(Tabel1[[#This Row],[In - V3a]:[In - V3b]]),"")</f>
        <v>4.5</v>
      </c>
      <c r="DJ259" s="14">
        <v>3</v>
      </c>
      <c r="DK259" s="14">
        <f>IFERROR(AVERAGE(Tabel1[[#This Row],[In - V1]],Tabel1[[#This Row],[In - V2]],Tabel1[[#This Row],[In - V3]],Tabel1[[#This Row],[In - V4]]),"")</f>
        <v>3.75</v>
      </c>
      <c r="DL259" s="14">
        <v>4</v>
      </c>
      <c r="DM259" s="14" t="s">
        <v>189</v>
      </c>
      <c r="DN259" s="14">
        <f>IFERROR(AVERAGE(Tabel1[[#This Row],[In - A1a]:[In - A1b]]),"")</f>
        <v>4</v>
      </c>
      <c r="DO259" s="14" t="s">
        <v>189</v>
      </c>
      <c r="DP259" s="14">
        <v>2</v>
      </c>
      <c r="DQ259" s="14">
        <f>IFERROR(AVERAGE(Tabel1[[#This Row],[In - A2a]:[In - A2b]]),"")</f>
        <v>2</v>
      </c>
      <c r="DR259" s="14">
        <v>2</v>
      </c>
      <c r="DS259" s="14">
        <v>2</v>
      </c>
      <c r="DT259" s="14">
        <f>IFERROR(AVERAGE(Tabel1[[#This Row],[In - A3a]:[In - A3a]]),"")</f>
        <v>2</v>
      </c>
      <c r="DU259" s="14" t="s">
        <v>189</v>
      </c>
      <c r="DV259" s="14">
        <f>IFERROR(AVERAGE(Tabel1[[#This Row],[In - A1]],Tabel1[[#This Row],[In - A2]],Tabel1[[#This Row],[In - A3]],Tabel1[[#This Row],[In - A4]]),"")</f>
        <v>2.6666666666666665</v>
      </c>
      <c r="DW259" s="14">
        <v>2</v>
      </c>
      <c r="DX259" s="14">
        <v>4</v>
      </c>
      <c r="DY259" s="14">
        <v>3</v>
      </c>
      <c r="DZ259" s="14">
        <f>IFERROR(AVERAGE(Tabel1[[#This Row],[Do - R1a]:[Do - R1c]]),"")</f>
        <v>3</v>
      </c>
      <c r="EA259" s="14">
        <v>2</v>
      </c>
      <c r="EB259" s="14">
        <v>4</v>
      </c>
      <c r="EC259" s="14">
        <v>2</v>
      </c>
      <c r="ED259" s="14" t="s">
        <v>189</v>
      </c>
      <c r="EE259" s="14">
        <f>IFERROR(AVERAGE(Tabel1[[#This Row],[Do - R1]:[Do - R5]]),"")</f>
        <v>2.75</v>
      </c>
      <c r="EF259" s="14">
        <v>4</v>
      </c>
      <c r="EG259" s="14">
        <v>4</v>
      </c>
      <c r="EH259" s="14">
        <v>4</v>
      </c>
      <c r="EI259" s="14">
        <f>IFERROR(AVERAGE(Tabel1[[#This Row],[Do - C1a]:[Do - C1c]]),"")</f>
        <v>4</v>
      </c>
      <c r="EJ259" s="14">
        <v>2</v>
      </c>
      <c r="EK259" s="14">
        <v>3</v>
      </c>
      <c r="EL259" s="14">
        <v>3</v>
      </c>
      <c r="EM259" s="14">
        <f>IFERROR(AVERAGE(Tabel1[[#This Row],[Do - C1]:[Do - C4]]),"")</f>
        <v>3</v>
      </c>
      <c r="EN259" s="14">
        <v>3</v>
      </c>
      <c r="EO259" s="14">
        <v>4</v>
      </c>
      <c r="EP259" s="14">
        <v>4</v>
      </c>
      <c r="EQ259" s="14">
        <f>IFERROR(AVERAGE(Tabel1[[#This Row],[Do - F1a]:[Do - F1c]]),"")</f>
        <v>3.6666666666666665</v>
      </c>
      <c r="ER259" s="14">
        <v>2</v>
      </c>
      <c r="ES259" s="14">
        <f>IFERROR(AVERAGE(Tabel1[[#This Row],[Do - F2a]:[Do - F2a]]),"")</f>
        <v>2</v>
      </c>
      <c r="ET259" s="14">
        <v>4</v>
      </c>
      <c r="EU259" s="14">
        <v>4</v>
      </c>
      <c r="EV259" s="14">
        <f>IFERROR(AVERAGE(Tabel1[[#This Row],[Do - F3a]:[Do - F3b]]),"")</f>
        <v>4</v>
      </c>
      <c r="EW259" s="14">
        <v>3</v>
      </c>
      <c r="EX259" s="14">
        <f>IFERROR(AVERAGE(Tabel1[[#This Row],[Do - F1]],Tabel1[[#This Row],[Do - F2]],Tabel1[[#This Row],[Do - F3]],Tabel1[[#This Row],[Do - F4]]),"")</f>
        <v>3.1666666666666665</v>
      </c>
      <c r="EY259" s="14">
        <v>4</v>
      </c>
      <c r="EZ259" s="14">
        <v>2</v>
      </c>
      <c r="FA259" s="14">
        <v>4</v>
      </c>
      <c r="FB259" s="14">
        <f>IFERROR(AVERAGE(Tabel1[[#This Row],[Do - V1a]:[Do - V1c]]),"")</f>
        <v>3.3333333333333335</v>
      </c>
      <c r="FC259" s="14">
        <v>4</v>
      </c>
      <c r="FD259" s="14">
        <v>2</v>
      </c>
      <c r="FE259" s="14">
        <f>IFERROR(AVERAGE(Tabel1[[#This Row],[Do - V2a]:[Do - V2b]]),"")</f>
        <v>3</v>
      </c>
      <c r="FF259" s="14">
        <v>3</v>
      </c>
      <c r="FG259" s="14">
        <f>IFERROR(AVERAGE(Tabel1[[#This Row],[Do - V3a]:[Do - V3a]]),"")</f>
        <v>3</v>
      </c>
      <c r="FH259" s="14">
        <v>4</v>
      </c>
      <c r="FI259" s="14">
        <f>IFERROR(AVERAGE(Tabel1[[#This Row],[Do - V1]],Tabel1[[#This Row],[Do - V2]],Tabel1[[#This Row],[Do - V3]],Tabel1[[#This Row],[Do - V4]]),"")</f>
        <v>3.3333333333333335</v>
      </c>
      <c r="FJ259" s="14">
        <v>5</v>
      </c>
      <c r="FK259" s="14">
        <v>4</v>
      </c>
      <c r="FL259" s="14">
        <v>4</v>
      </c>
      <c r="FM259" s="14">
        <f>IFERROR(AVERAGE(Tabel1[[#This Row],[Do - A1a]:[Do - A1c]]),"")</f>
        <v>4.333333333333333</v>
      </c>
      <c r="FN259" s="14">
        <v>5</v>
      </c>
      <c r="FO259" s="14">
        <v>4</v>
      </c>
      <c r="FP259" s="14">
        <f>IFERROR(AVERAGE(Tabel1[[#This Row],[Do - A2a]:[Do - A2b]]),"")</f>
        <v>4.5</v>
      </c>
      <c r="FQ259" s="14">
        <v>4</v>
      </c>
      <c r="FR259" s="14">
        <f>IFERROR(AVERAGE(Tabel1[[#This Row],[Do - A3a]:[Do - A3a]]),"")</f>
        <v>4</v>
      </c>
      <c r="FS259" s="14" t="s">
        <v>189</v>
      </c>
      <c r="FT259" s="14">
        <f>IFERROR(AVERAGE(Tabel1[[#This Row],[Do - A1]],Tabel1[[#This Row],[Do - A2]],Tabel1[[#This Row],[Do - A3]],Tabel1[[#This Row],[Do - A4]]),"")</f>
        <v>4.2777777777777777</v>
      </c>
      <c r="FU25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3.239074074074074</v>
      </c>
      <c r="FV259" s="27" t="s">
        <v>1380</v>
      </c>
      <c r="FW259" t="b">
        <v>1</v>
      </c>
    </row>
    <row r="260" spans="1:179" x14ac:dyDescent="0.3">
      <c r="A260" s="13">
        <v>45408.323333333297</v>
      </c>
      <c r="B260" t="b">
        <v>0</v>
      </c>
      <c r="C260" s="14" t="s">
        <v>1381</v>
      </c>
      <c r="D260" s="14" t="s">
        <v>1382</v>
      </c>
      <c r="E260" s="14" t="s">
        <v>1383</v>
      </c>
      <c r="F260" s="14" t="s">
        <v>184</v>
      </c>
      <c r="G260" s="14" t="s">
        <v>1384</v>
      </c>
      <c r="H260" s="14" t="s">
        <v>222</v>
      </c>
      <c r="I260" s="14" t="s">
        <v>195</v>
      </c>
      <c r="J260" s="14" t="s">
        <v>589</v>
      </c>
      <c r="K260" s="28" t="s">
        <v>187</v>
      </c>
      <c r="L260" s="14" t="s">
        <v>249</v>
      </c>
      <c r="M260" s="14" t="s">
        <v>233</v>
      </c>
      <c r="N260" s="14" t="s">
        <v>199</v>
      </c>
      <c r="O260" s="14" t="s">
        <v>200</v>
      </c>
      <c r="P260" s="24" t="s">
        <v>304</v>
      </c>
      <c r="Q260" s="17" t="s">
        <v>235</v>
      </c>
      <c r="R260" s="25" t="s">
        <v>235</v>
      </c>
      <c r="S260" s="25" t="s">
        <v>187</v>
      </c>
      <c r="T260" s="14" t="s">
        <v>204</v>
      </c>
      <c r="U260" s="14" t="s">
        <v>237</v>
      </c>
      <c r="V260" s="14" t="s">
        <v>224</v>
      </c>
      <c r="W260" s="14" t="s">
        <v>207</v>
      </c>
      <c r="X260" s="14" t="s">
        <v>207</v>
      </c>
      <c r="Y260" s="14">
        <v>3</v>
      </c>
      <c r="Z260" s="14">
        <v>5</v>
      </c>
      <c r="AA260" s="14">
        <v>2</v>
      </c>
      <c r="AB260" s="15">
        <f>IFERROR(AVERAGE(Tabel1[[#This Row],[Up - R1a]:[Up - R1c]]),"")</f>
        <v>3.3333333333333335</v>
      </c>
      <c r="AC260" s="14">
        <v>2</v>
      </c>
      <c r="AD260" s="14">
        <v>4</v>
      </c>
      <c r="AE260" s="14">
        <v>2</v>
      </c>
      <c r="AF260" s="14">
        <v>4</v>
      </c>
      <c r="AG260" s="14">
        <f>IFERROR(AVERAGE(Tabel1[[#This Row],[Up - R1]:[Up - R5]]),"")</f>
        <v>3.0666666666666669</v>
      </c>
      <c r="AH260" s="14">
        <v>5</v>
      </c>
      <c r="AI260" s="14">
        <v>5</v>
      </c>
      <c r="AJ260" s="14">
        <v>3</v>
      </c>
      <c r="AK260" s="14">
        <f>IFERROR(AVERAGE(Tabel1[[#This Row],[Up - C1a]:[Up - C1c]]),"")</f>
        <v>4.333333333333333</v>
      </c>
      <c r="AL260" s="14">
        <v>5</v>
      </c>
      <c r="AM260" s="14">
        <v>3</v>
      </c>
      <c r="AN260" s="14">
        <v>4</v>
      </c>
      <c r="AO260" s="14">
        <f>IFERROR(AVERAGE(Tabel1[[#This Row],[Up - C1]:[Up - C4]]),"")</f>
        <v>4.083333333333333</v>
      </c>
      <c r="AP260" s="14">
        <v>4</v>
      </c>
      <c r="AQ260" s="14">
        <f>IFERROR(AVERAGE(Tabel1[[#This Row],[Up - F1a]:[Up - F1a]]),"")</f>
        <v>4</v>
      </c>
      <c r="AR260" s="14">
        <v>3</v>
      </c>
      <c r="AS260" s="14">
        <v>3</v>
      </c>
      <c r="AT260" s="14">
        <f>IFERROR(AVERAGE(Tabel1[[#This Row],[Up - F2a]:[Up - F2b]]),"")</f>
        <v>3</v>
      </c>
      <c r="AU260" s="14">
        <v>3</v>
      </c>
      <c r="AV260" s="14">
        <v>4</v>
      </c>
      <c r="AW260" s="14">
        <f>IFERROR(AVERAGE(Tabel1[[#This Row],[Up - F3a]:[Up - F3b]]),"")</f>
        <v>3.5</v>
      </c>
      <c r="AX260" s="14">
        <v>3</v>
      </c>
      <c r="AY260" s="14">
        <f>IFERROR(AVERAGE(Tabel1[[#This Row],[Up - F1]],Tabel1[[#This Row],[Up - F2]],Tabel1[[#This Row],[Up - F3]],Tabel1[[#This Row],[Up - F4]]),"")</f>
        <v>3.375</v>
      </c>
      <c r="AZ260" s="14">
        <v>4</v>
      </c>
      <c r="BA260" s="14">
        <v>4</v>
      </c>
      <c r="BB260" s="14">
        <f>IFERROR(AVERAGE(Tabel1[[#This Row],[Up - V1a]:[Up - V1b]]),"")</f>
        <v>4</v>
      </c>
      <c r="BC260" s="14">
        <v>4</v>
      </c>
      <c r="BD260" s="14">
        <v>4</v>
      </c>
      <c r="BE260" s="14">
        <v>5</v>
      </c>
      <c r="BF260" s="14">
        <f>IFERROR(AVERAGE(Tabel1[[#This Row],[Up - V2a]:[Up - V2c]]),"")</f>
        <v>4.333333333333333</v>
      </c>
      <c r="BG260" s="14">
        <v>2</v>
      </c>
      <c r="BH260" s="14">
        <v>2</v>
      </c>
      <c r="BI260" s="14">
        <f>IFERROR(AVERAGE(Tabel1[[#This Row],[Up - V3a]:[Up - V3b]]),"")</f>
        <v>2</v>
      </c>
      <c r="BJ260" s="14">
        <v>2</v>
      </c>
      <c r="BK260" s="14">
        <f>IFERROR(AVERAGE(Tabel1[[#This Row],[Up - V1]],Tabel1[[#This Row],[Up - V2]],Tabel1[[#This Row],[Up - V3]],Tabel1[[#This Row],[Up - V4]]),"")</f>
        <v>3.083333333333333</v>
      </c>
      <c r="BL260" s="14">
        <v>3</v>
      </c>
      <c r="BM260" s="14">
        <v>4</v>
      </c>
      <c r="BN260" s="14">
        <v>2</v>
      </c>
      <c r="BO260" s="14">
        <v>3</v>
      </c>
      <c r="BP260" s="14">
        <f>IFERROR(AVERAGE(Tabel1[[#This Row],[Up - A1a]:[Up - A1d]]),"")</f>
        <v>3</v>
      </c>
      <c r="BQ260" s="14">
        <v>4</v>
      </c>
      <c r="BR260" s="14">
        <v>4</v>
      </c>
      <c r="BS260" s="14">
        <f>IFERROR(AVERAGE(Tabel1[[#This Row],[Up - A2a]:[Up - A2b]]),"")</f>
        <v>4</v>
      </c>
      <c r="BT260" s="14">
        <v>4</v>
      </c>
      <c r="BU260" s="14">
        <f>IFERROR(AVERAGE(Tabel1[[#This Row],[Up - A3a]:[Up - A3a]]),"")</f>
        <v>4</v>
      </c>
      <c r="BV260" s="14">
        <v>4</v>
      </c>
      <c r="BW260" s="14">
        <f>IFERROR(AVERAGE(Tabel1[[#This Row],[Up - A1]],Tabel1[[#This Row],[Up - A2]],Tabel1[[#This Row],[Up - A3]]),"")</f>
        <v>3.6666666666666665</v>
      </c>
      <c r="BX260" s="14">
        <v>3</v>
      </c>
      <c r="BY260" s="14">
        <v>5</v>
      </c>
      <c r="BZ260" s="14">
        <f>IFERROR(AVERAGE(Tabel1[[#This Row],[In - R1a]:[In - R1b]]),"")</f>
        <v>4</v>
      </c>
      <c r="CA260" s="14">
        <v>3</v>
      </c>
      <c r="CB260" s="14">
        <v>4</v>
      </c>
      <c r="CC260" s="14">
        <v>3</v>
      </c>
      <c r="CD260" s="14">
        <v>5</v>
      </c>
      <c r="CE260" s="14">
        <f>IFERROR(AVERAGE(Tabel1[[#This Row],[In - R1]:[In - R5]]),"")</f>
        <v>3.8</v>
      </c>
      <c r="CF260" s="14">
        <v>5</v>
      </c>
      <c r="CG260" s="14">
        <v>5</v>
      </c>
      <c r="CH260" s="14">
        <v>4</v>
      </c>
      <c r="CI260" s="14">
        <f>IFERROR(AVERAGE(Tabel1[[#This Row],[In - C1a]:[In - C1c]]),"")</f>
        <v>4.666666666666667</v>
      </c>
      <c r="CJ260" s="14">
        <v>5</v>
      </c>
      <c r="CK260" s="14">
        <v>3</v>
      </c>
      <c r="CL260" s="14">
        <v>5</v>
      </c>
      <c r="CM260" s="14">
        <f>IFERROR(AVERAGE(Tabel1[[#This Row],[In - C1]:[In - C4]]),"")</f>
        <v>4.416666666666667</v>
      </c>
      <c r="CN260" s="14">
        <v>2</v>
      </c>
      <c r="CO260" s="14">
        <v>2</v>
      </c>
      <c r="CP260" s="14">
        <v>3</v>
      </c>
      <c r="CQ260" s="14">
        <f>IFERROR(AVERAGE(Tabel1[[#This Row],[In - F1a]:[In - F1c]]),"")</f>
        <v>2.3333333333333335</v>
      </c>
      <c r="CR260" s="14">
        <v>2</v>
      </c>
      <c r="CS260" s="14">
        <v>2</v>
      </c>
      <c r="CT260" s="14">
        <f>IFERROR(AVERAGE(Tabel1[[#This Row],[In - F2a]:[In - F2b]]),"")</f>
        <v>2</v>
      </c>
      <c r="CU260" s="14">
        <v>2</v>
      </c>
      <c r="CV260" s="14">
        <f>IFERROR(AVERAGE(Tabel1[[#This Row],[In - F3a]:[In - F3a]]),"")</f>
        <v>2</v>
      </c>
      <c r="CW260" s="14">
        <v>4</v>
      </c>
      <c r="CX260" s="14">
        <f>IFERROR(AVERAGE(Tabel1[[#This Row],[In - F1]],Tabel1[[#This Row],[In - F2]],Tabel1[[#This Row],[In - F3]],Tabel1[[#This Row],[In - F4]]),"")</f>
        <v>2.5833333333333335</v>
      </c>
      <c r="CY260" s="14">
        <v>5</v>
      </c>
      <c r="CZ260" s="14">
        <v>5</v>
      </c>
      <c r="DA260" s="14">
        <v>4</v>
      </c>
      <c r="DB260" s="14">
        <f>IFERROR(AVERAGE(Tabel1[[#This Row],[In - V1a]:[In - V1c]]),"")</f>
        <v>4.666666666666667</v>
      </c>
      <c r="DC260" s="14">
        <v>4</v>
      </c>
      <c r="DD260" s="14">
        <v>5</v>
      </c>
      <c r="DE260" s="14">
        <v>5</v>
      </c>
      <c r="DF260" s="14">
        <f>IFERROR(AVERAGE(Tabel1[[#This Row],[In - V2a]:[In - V2c]]),"")</f>
        <v>4.666666666666667</v>
      </c>
      <c r="DG260" s="14">
        <v>3</v>
      </c>
      <c r="DH260" s="14">
        <v>5</v>
      </c>
      <c r="DI260" s="14">
        <f>IFERROR(AVERAGE(Tabel1[[#This Row],[In - V3a]:[In - V3b]]),"")</f>
        <v>4</v>
      </c>
      <c r="DJ260" s="14">
        <v>5</v>
      </c>
      <c r="DK260" s="14">
        <f>IFERROR(AVERAGE(Tabel1[[#This Row],[In - V1]],Tabel1[[#This Row],[In - V2]],Tabel1[[#This Row],[In - V3]],Tabel1[[#This Row],[In - V4]]),"")</f>
        <v>4.5833333333333339</v>
      </c>
      <c r="DL260" s="14">
        <v>4</v>
      </c>
      <c r="DM260" s="14">
        <v>4</v>
      </c>
      <c r="DN260" s="14">
        <f>IFERROR(AVERAGE(Tabel1[[#This Row],[In - A1a]:[In - A1b]]),"")</f>
        <v>4</v>
      </c>
      <c r="DO260" s="14">
        <v>3</v>
      </c>
      <c r="DP260" s="14">
        <v>3</v>
      </c>
      <c r="DQ260" s="14">
        <f>IFERROR(AVERAGE(Tabel1[[#This Row],[In - A2a]:[In - A2b]]),"")</f>
        <v>3</v>
      </c>
      <c r="DR260" s="14">
        <v>3</v>
      </c>
      <c r="DS260" s="14">
        <v>2</v>
      </c>
      <c r="DT260" s="14">
        <f>IFERROR(AVERAGE(Tabel1[[#This Row],[In - A3a]:[In - A3a]]),"")</f>
        <v>3</v>
      </c>
      <c r="DU260" s="14">
        <v>4</v>
      </c>
      <c r="DV260" s="14">
        <f>IFERROR(AVERAGE(Tabel1[[#This Row],[In - A1]],Tabel1[[#This Row],[In - A2]],Tabel1[[#This Row],[In - A3]],Tabel1[[#This Row],[In - A4]]),"")</f>
        <v>3.5</v>
      </c>
      <c r="DW260" s="14">
        <v>2</v>
      </c>
      <c r="DX260" s="14">
        <v>4</v>
      </c>
      <c r="DY260" s="14">
        <v>3</v>
      </c>
      <c r="DZ260" s="14">
        <f>IFERROR(AVERAGE(Tabel1[[#This Row],[Do - R1a]:[Do - R1c]]),"")</f>
        <v>3</v>
      </c>
      <c r="EA260" s="14">
        <v>3</v>
      </c>
      <c r="EB260" s="14">
        <v>3</v>
      </c>
      <c r="EC260" s="14">
        <v>5</v>
      </c>
      <c r="ED260" s="14">
        <v>4</v>
      </c>
      <c r="EE260" s="14">
        <f>IFERROR(AVERAGE(Tabel1[[#This Row],[Do - R1]:[Do - R5]]),"")</f>
        <v>3.6</v>
      </c>
      <c r="EF260" s="14">
        <v>4</v>
      </c>
      <c r="EG260" s="14">
        <v>5</v>
      </c>
      <c r="EH260" s="14">
        <v>3</v>
      </c>
      <c r="EI260" s="14">
        <f>IFERROR(AVERAGE(Tabel1[[#This Row],[Do - C1a]:[Do - C1c]]),"")</f>
        <v>4</v>
      </c>
      <c r="EJ260" s="14">
        <v>3</v>
      </c>
      <c r="EK260" s="14">
        <v>3</v>
      </c>
      <c r="EL260" s="14">
        <v>3</v>
      </c>
      <c r="EM260" s="14">
        <f>IFERROR(AVERAGE(Tabel1[[#This Row],[Do - C1]:[Do - C4]]),"")</f>
        <v>3.25</v>
      </c>
      <c r="EN260" s="14">
        <v>3</v>
      </c>
      <c r="EO260" s="14">
        <v>2</v>
      </c>
      <c r="EP260" s="14">
        <v>2</v>
      </c>
      <c r="EQ260" s="14">
        <f>IFERROR(AVERAGE(Tabel1[[#This Row],[Do - F1a]:[Do - F1c]]),"")</f>
        <v>2.3333333333333335</v>
      </c>
      <c r="ER260" s="14">
        <v>2</v>
      </c>
      <c r="ES260" s="14">
        <f>IFERROR(AVERAGE(Tabel1[[#This Row],[Do - F2a]:[Do - F2a]]),"")</f>
        <v>2</v>
      </c>
      <c r="ET260" s="14">
        <v>2</v>
      </c>
      <c r="EU260" s="14">
        <v>3</v>
      </c>
      <c r="EV260" s="14">
        <f>IFERROR(AVERAGE(Tabel1[[#This Row],[Do - F3a]:[Do - F3b]]),"")</f>
        <v>2.5</v>
      </c>
      <c r="EW260" s="14">
        <v>3</v>
      </c>
      <c r="EX260" s="14">
        <f>IFERROR(AVERAGE(Tabel1[[#This Row],[Do - F1]],Tabel1[[#This Row],[Do - F2]],Tabel1[[#This Row],[Do - F3]],Tabel1[[#This Row],[Do - F4]]),"")</f>
        <v>2.4583333333333335</v>
      </c>
      <c r="EY260" s="14">
        <v>4</v>
      </c>
      <c r="EZ260" s="14">
        <v>4</v>
      </c>
      <c r="FA260" s="14">
        <v>4</v>
      </c>
      <c r="FB260" s="14">
        <f>IFERROR(AVERAGE(Tabel1[[#This Row],[Do - V1a]:[Do - V1c]]),"")</f>
        <v>4</v>
      </c>
      <c r="FC260" s="14">
        <v>4</v>
      </c>
      <c r="FD260" s="14">
        <v>2</v>
      </c>
      <c r="FE260" s="14">
        <f>IFERROR(AVERAGE(Tabel1[[#This Row],[Do - V2a]:[Do - V2b]]),"")</f>
        <v>3</v>
      </c>
      <c r="FF260" s="14">
        <v>3</v>
      </c>
      <c r="FG260" s="14">
        <f>IFERROR(AVERAGE(Tabel1[[#This Row],[Do - V3a]:[Do - V3a]]),"")</f>
        <v>3</v>
      </c>
      <c r="FH260" s="14">
        <v>3</v>
      </c>
      <c r="FI260" s="14">
        <f>IFERROR(AVERAGE(Tabel1[[#This Row],[Do - V1]],Tabel1[[#This Row],[Do - V2]],Tabel1[[#This Row],[Do - V3]],Tabel1[[#This Row],[Do - V4]]),"")</f>
        <v>3.25</v>
      </c>
      <c r="FJ260" s="14">
        <v>4</v>
      </c>
      <c r="FK260" s="14">
        <v>2</v>
      </c>
      <c r="FL260" s="14">
        <v>4</v>
      </c>
      <c r="FM260" s="14">
        <f>IFERROR(AVERAGE(Tabel1[[#This Row],[Do - A1a]:[Do - A1c]]),"")</f>
        <v>3.3333333333333335</v>
      </c>
      <c r="FN260" s="14">
        <v>4</v>
      </c>
      <c r="FO260" s="14">
        <v>3</v>
      </c>
      <c r="FP260" s="14">
        <f>IFERROR(AVERAGE(Tabel1[[#This Row],[Do - A2a]:[Do - A2b]]),"")</f>
        <v>3.5</v>
      </c>
      <c r="FQ260" s="14">
        <v>4</v>
      </c>
      <c r="FR260" s="14">
        <f>IFERROR(AVERAGE(Tabel1[[#This Row],[Do - A3a]:[Do - A3a]]),"")</f>
        <v>4</v>
      </c>
      <c r="FS260" s="14">
        <v>4</v>
      </c>
      <c r="FT260" s="14">
        <f>IFERROR(AVERAGE(Tabel1[[#This Row],[Do - A1]],Tabel1[[#This Row],[Do - A2]],Tabel1[[#This Row],[Do - A3]],Tabel1[[#This Row],[Do - A4]]),"")</f>
        <v>3.7083333333333335</v>
      </c>
      <c r="FU26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3.4950000000000006</v>
      </c>
      <c r="FV260" s="27" t="s">
        <v>1385</v>
      </c>
      <c r="FW260" t="b">
        <v>1</v>
      </c>
    </row>
    <row r="261" spans="1:179" x14ac:dyDescent="0.3">
      <c r="A261" s="13">
        <v>45408.573576388902</v>
      </c>
      <c r="B261" t="b">
        <v>0</v>
      </c>
      <c r="C261" s="14" t="s">
        <v>1386</v>
      </c>
      <c r="D261" s="14" t="s">
        <v>1387</v>
      </c>
      <c r="E261" s="14" t="s">
        <v>1388</v>
      </c>
      <c r="F261" s="14" t="s">
        <v>184</v>
      </c>
      <c r="G261" s="14" t="s">
        <v>1389</v>
      </c>
      <c r="H261" s="14" t="s">
        <v>222</v>
      </c>
      <c r="I261" s="14" t="s">
        <v>195</v>
      </c>
      <c r="J261" s="14" t="s">
        <v>261</v>
      </c>
      <c r="K261" s="28" t="s">
        <v>201</v>
      </c>
      <c r="L261" s="14" t="s">
        <v>385</v>
      </c>
      <c r="M261" s="14" t="s">
        <v>188</v>
      </c>
      <c r="N261" s="14" t="s">
        <v>199</v>
      </c>
      <c r="O261" s="14" t="s">
        <v>200</v>
      </c>
      <c r="P261" s="24" t="s">
        <v>304</v>
      </c>
      <c r="Q261" s="17" t="s">
        <v>201</v>
      </c>
      <c r="R261" s="25" t="s">
        <v>201</v>
      </c>
      <c r="S261" s="25" t="s">
        <v>235</v>
      </c>
      <c r="T261" s="14"/>
      <c r="U261" s="14" t="s">
        <v>349</v>
      </c>
      <c r="V261" s="14" t="s">
        <v>359</v>
      </c>
      <c r="W261" s="14" t="s">
        <v>207</v>
      </c>
      <c r="X261" s="14" t="s">
        <v>395</v>
      </c>
      <c r="Y261" s="14">
        <v>1</v>
      </c>
      <c r="Z261" s="14">
        <v>3</v>
      </c>
      <c r="AA261" s="14">
        <v>4</v>
      </c>
      <c r="AB261" s="15">
        <f>IFERROR(AVERAGE(Tabel1[[#This Row],[Up - R1a]:[Up - R1c]]),"")</f>
        <v>2.6666666666666665</v>
      </c>
      <c r="AC261" s="14">
        <v>4</v>
      </c>
      <c r="AD261" s="14">
        <v>2</v>
      </c>
      <c r="AE261" s="14">
        <v>1</v>
      </c>
      <c r="AF261" s="14" t="s">
        <v>189</v>
      </c>
      <c r="AG261" s="14">
        <f>IFERROR(AVERAGE(Tabel1[[#This Row],[Up - R1]:[Up - R5]]),"")</f>
        <v>2.4166666666666665</v>
      </c>
      <c r="AH261" s="14">
        <v>5</v>
      </c>
      <c r="AI261" s="14">
        <v>4</v>
      </c>
      <c r="AJ261" s="14">
        <v>2</v>
      </c>
      <c r="AK261" s="14">
        <f>IFERROR(AVERAGE(Tabel1[[#This Row],[Up - C1a]:[Up - C1c]]),"")</f>
        <v>3.6666666666666665</v>
      </c>
      <c r="AL261" s="14">
        <v>4</v>
      </c>
      <c r="AM261" s="14">
        <v>1</v>
      </c>
      <c r="AN261" s="14">
        <v>2</v>
      </c>
      <c r="AO261" s="14">
        <f>IFERROR(AVERAGE(Tabel1[[#This Row],[Up - C1]:[Up - C4]]),"")</f>
        <v>2.6666666666666665</v>
      </c>
      <c r="AP261" s="14">
        <v>1</v>
      </c>
      <c r="AQ261" s="14">
        <f>IFERROR(AVERAGE(Tabel1[[#This Row],[Up - F1a]:[Up - F1a]]),"")</f>
        <v>1</v>
      </c>
      <c r="AR261" s="14">
        <v>3</v>
      </c>
      <c r="AS261" s="14">
        <v>2</v>
      </c>
      <c r="AT261" s="14">
        <f>IFERROR(AVERAGE(Tabel1[[#This Row],[Up - F2a]:[Up - F2b]]),"")</f>
        <v>2.5</v>
      </c>
      <c r="AU261" s="14">
        <v>3</v>
      </c>
      <c r="AV261" s="14">
        <v>1</v>
      </c>
      <c r="AW261" s="14">
        <f>IFERROR(AVERAGE(Tabel1[[#This Row],[Up - F3a]:[Up - F3b]]),"")</f>
        <v>2</v>
      </c>
      <c r="AX261" s="14">
        <v>2</v>
      </c>
      <c r="AY261" s="14">
        <f>IFERROR(AVERAGE(Tabel1[[#This Row],[Up - F1]],Tabel1[[#This Row],[Up - F2]],Tabel1[[#This Row],[Up - F3]],Tabel1[[#This Row],[Up - F4]]),"")</f>
        <v>1.875</v>
      </c>
      <c r="AZ261" s="14">
        <v>1</v>
      </c>
      <c r="BA261" s="14">
        <v>4</v>
      </c>
      <c r="BB261" s="14">
        <f>IFERROR(AVERAGE(Tabel1[[#This Row],[Up - V1a]:[Up - V1b]]),"")</f>
        <v>2.5</v>
      </c>
      <c r="BC261" s="14">
        <v>5</v>
      </c>
      <c r="BD261" s="14" t="s">
        <v>189</v>
      </c>
      <c r="BE261" s="14">
        <v>4</v>
      </c>
      <c r="BF261" s="14">
        <f>IFERROR(AVERAGE(Tabel1[[#This Row],[Up - V2a]:[Up - V2c]]),"")</f>
        <v>4.5</v>
      </c>
      <c r="BG261" s="14">
        <v>1</v>
      </c>
      <c r="BH261" s="14" t="s">
        <v>189</v>
      </c>
      <c r="BI261" s="14">
        <f>IFERROR(AVERAGE(Tabel1[[#This Row],[Up - V3a]:[Up - V3b]]),"")</f>
        <v>1</v>
      </c>
      <c r="BJ261" s="14" t="s">
        <v>189</v>
      </c>
      <c r="BK261" s="14">
        <f>IFERROR(AVERAGE(Tabel1[[#This Row],[Up - V1]],Tabel1[[#This Row],[Up - V2]],Tabel1[[#This Row],[Up - V3]],Tabel1[[#This Row],[Up - V4]]),"")</f>
        <v>2.6666666666666665</v>
      </c>
      <c r="BL261" s="14">
        <v>2</v>
      </c>
      <c r="BM261" s="14">
        <v>4</v>
      </c>
      <c r="BN261" s="14">
        <v>5</v>
      </c>
      <c r="BO261" s="14">
        <v>5</v>
      </c>
      <c r="BP261" s="14">
        <f>IFERROR(AVERAGE(Tabel1[[#This Row],[Up - A1a]:[Up - A1d]]),"")</f>
        <v>4</v>
      </c>
      <c r="BQ261" s="14">
        <v>2</v>
      </c>
      <c r="BR261" s="14">
        <v>5</v>
      </c>
      <c r="BS261" s="14">
        <f>IFERROR(AVERAGE(Tabel1[[#This Row],[Up - A2a]:[Up - A2b]]),"")</f>
        <v>3.5</v>
      </c>
      <c r="BT261" s="14">
        <v>4</v>
      </c>
      <c r="BU261" s="14">
        <f>IFERROR(AVERAGE(Tabel1[[#This Row],[Up - A3a]:[Up - A3a]]),"")</f>
        <v>4</v>
      </c>
      <c r="BV261" s="14" t="s">
        <v>189</v>
      </c>
      <c r="BW261" s="14">
        <f>IFERROR(AVERAGE(Tabel1[[#This Row],[Up - A1]],Tabel1[[#This Row],[Up - A2]],Tabel1[[#This Row],[Up - A3]]),"")</f>
        <v>3.8333333333333335</v>
      </c>
      <c r="BX261" s="14" t="s">
        <v>189</v>
      </c>
      <c r="BY261" s="14" t="s">
        <v>189</v>
      </c>
      <c r="BZ261" s="14" t="str">
        <f>IFERROR(AVERAGE(Tabel1[[#This Row],[In - R1a]:[In - R1b]]),"")</f>
        <v/>
      </c>
      <c r="CA261" s="14">
        <v>4</v>
      </c>
      <c r="CB261" s="14" t="s">
        <v>189</v>
      </c>
      <c r="CC261" s="14">
        <v>1</v>
      </c>
      <c r="CD261" s="14">
        <v>4</v>
      </c>
      <c r="CE261" s="14">
        <f>IFERROR(AVERAGE(Tabel1[[#This Row],[In - R1]:[In - R5]]),"")</f>
        <v>3</v>
      </c>
      <c r="CF261" s="14">
        <v>4</v>
      </c>
      <c r="CG261" s="14">
        <v>3</v>
      </c>
      <c r="CH261" s="14">
        <v>2</v>
      </c>
      <c r="CI261" s="14">
        <f>IFERROR(AVERAGE(Tabel1[[#This Row],[In - C1a]:[In - C1c]]),"")</f>
        <v>3</v>
      </c>
      <c r="CJ261" s="14">
        <v>2</v>
      </c>
      <c r="CK261" s="14">
        <v>3</v>
      </c>
      <c r="CL261" s="14">
        <v>4</v>
      </c>
      <c r="CM261" s="14">
        <f>IFERROR(AVERAGE(Tabel1[[#This Row],[In - C1]:[In - C4]]),"")</f>
        <v>3</v>
      </c>
      <c r="CN261" s="14">
        <v>2</v>
      </c>
      <c r="CO261" s="14">
        <v>2</v>
      </c>
      <c r="CP261" s="14" t="s">
        <v>189</v>
      </c>
      <c r="CQ261" s="14">
        <f>IFERROR(AVERAGE(Tabel1[[#This Row],[In - F1a]:[In - F1c]]),"")</f>
        <v>2</v>
      </c>
      <c r="CR261" s="14">
        <v>2</v>
      </c>
      <c r="CS261" s="14">
        <v>2</v>
      </c>
      <c r="CT261" s="14">
        <f>IFERROR(AVERAGE(Tabel1[[#This Row],[In - F2a]:[In - F2b]]),"")</f>
        <v>2</v>
      </c>
      <c r="CU261" s="14">
        <v>1</v>
      </c>
      <c r="CV261" s="14">
        <f>IFERROR(AVERAGE(Tabel1[[#This Row],[In - F3a]:[In - F3a]]),"")</f>
        <v>1</v>
      </c>
      <c r="CW261" s="14">
        <v>2</v>
      </c>
      <c r="CX261" s="14">
        <f>IFERROR(AVERAGE(Tabel1[[#This Row],[In - F1]],Tabel1[[#This Row],[In - F2]],Tabel1[[#This Row],[In - F3]],Tabel1[[#This Row],[In - F4]]),"")</f>
        <v>1.75</v>
      </c>
      <c r="CY261" s="14">
        <v>1</v>
      </c>
      <c r="CZ261" s="14">
        <v>2</v>
      </c>
      <c r="DA261" s="14">
        <v>1</v>
      </c>
      <c r="DB261" s="14">
        <f>IFERROR(AVERAGE(Tabel1[[#This Row],[In - V1a]:[In - V1c]]),"")</f>
        <v>1.3333333333333333</v>
      </c>
      <c r="DC261" s="14">
        <v>3</v>
      </c>
      <c r="DD261" s="14" t="s">
        <v>189</v>
      </c>
      <c r="DE261" s="14">
        <v>3</v>
      </c>
      <c r="DF261" s="14">
        <f>IFERROR(AVERAGE(Tabel1[[#This Row],[In - V2a]:[In - V2c]]),"")</f>
        <v>3</v>
      </c>
      <c r="DG261" s="14">
        <v>1</v>
      </c>
      <c r="DH261" s="14">
        <v>1</v>
      </c>
      <c r="DI261" s="14">
        <f>IFERROR(AVERAGE(Tabel1[[#This Row],[In - V3a]:[In - V3b]]),"")</f>
        <v>1</v>
      </c>
      <c r="DJ261" s="14">
        <v>1</v>
      </c>
      <c r="DK261" s="14">
        <f>IFERROR(AVERAGE(Tabel1[[#This Row],[In - V1]],Tabel1[[#This Row],[In - V2]],Tabel1[[#This Row],[In - V3]],Tabel1[[#This Row],[In - V4]]),"")</f>
        <v>1.5833333333333333</v>
      </c>
      <c r="DL261" s="14">
        <v>5</v>
      </c>
      <c r="DM261" s="14" t="s">
        <v>189</v>
      </c>
      <c r="DN261" s="14">
        <f>IFERROR(AVERAGE(Tabel1[[#This Row],[In - A1a]:[In - A1b]]),"")</f>
        <v>5</v>
      </c>
      <c r="DO261" s="14">
        <v>3</v>
      </c>
      <c r="DP261" s="14">
        <v>2</v>
      </c>
      <c r="DQ261" s="14">
        <f>IFERROR(AVERAGE(Tabel1[[#This Row],[In - A2a]:[In - A2b]]),"")</f>
        <v>2.5</v>
      </c>
      <c r="DR261" s="14">
        <v>5</v>
      </c>
      <c r="DS261" s="14">
        <v>4</v>
      </c>
      <c r="DT261" s="14">
        <f>IFERROR(AVERAGE(Tabel1[[#This Row],[In - A3a]:[In - A3a]]),"")</f>
        <v>5</v>
      </c>
      <c r="DU261" s="14">
        <v>3</v>
      </c>
      <c r="DV261" s="14">
        <f>IFERROR(AVERAGE(Tabel1[[#This Row],[In - A1]],Tabel1[[#This Row],[In - A2]],Tabel1[[#This Row],[In - A3]],Tabel1[[#This Row],[In - A4]]),"")</f>
        <v>3.875</v>
      </c>
      <c r="DW261" s="14">
        <v>3</v>
      </c>
      <c r="DX261" s="14">
        <v>4</v>
      </c>
      <c r="DY261" s="14">
        <v>1</v>
      </c>
      <c r="DZ261" s="14">
        <f>IFERROR(AVERAGE(Tabel1[[#This Row],[Do - R1a]:[Do - R1c]]),"")</f>
        <v>2.6666666666666665</v>
      </c>
      <c r="EA261" s="14">
        <v>1</v>
      </c>
      <c r="EB261" s="14">
        <v>5</v>
      </c>
      <c r="EC261" s="14">
        <v>1</v>
      </c>
      <c r="ED261" s="14">
        <v>1</v>
      </c>
      <c r="EE261" s="14">
        <f>IFERROR(AVERAGE(Tabel1[[#This Row],[Do - R1]:[Do - R5]]),"")</f>
        <v>2.1333333333333333</v>
      </c>
      <c r="EF261" s="14">
        <v>4</v>
      </c>
      <c r="EG261" s="14">
        <v>4</v>
      </c>
      <c r="EH261" s="14">
        <v>3</v>
      </c>
      <c r="EI261" s="14">
        <f>IFERROR(AVERAGE(Tabel1[[#This Row],[Do - C1a]:[Do - C1c]]),"")</f>
        <v>3.6666666666666665</v>
      </c>
      <c r="EJ261" s="14">
        <v>2</v>
      </c>
      <c r="EK261" s="14" t="s">
        <v>189</v>
      </c>
      <c r="EL261" s="14">
        <v>2</v>
      </c>
      <c r="EM261" s="14">
        <f>IFERROR(AVERAGE(Tabel1[[#This Row],[Do - C1]:[Do - C4]]),"")</f>
        <v>2.5555555555555554</v>
      </c>
      <c r="EN261" s="14">
        <v>3</v>
      </c>
      <c r="EO261" s="14">
        <v>2</v>
      </c>
      <c r="EP261" s="14">
        <v>2</v>
      </c>
      <c r="EQ261" s="14">
        <f>IFERROR(AVERAGE(Tabel1[[#This Row],[Do - F1a]:[Do - F1c]]),"")</f>
        <v>2.3333333333333335</v>
      </c>
      <c r="ER261" s="14">
        <v>2</v>
      </c>
      <c r="ES261" s="14">
        <f>IFERROR(AVERAGE(Tabel1[[#This Row],[Do - F2a]:[Do - F2a]]),"")</f>
        <v>2</v>
      </c>
      <c r="ET261" s="14">
        <v>3</v>
      </c>
      <c r="EU261" s="14">
        <v>1</v>
      </c>
      <c r="EV261" s="14">
        <f>IFERROR(AVERAGE(Tabel1[[#This Row],[Do - F3a]:[Do - F3b]]),"")</f>
        <v>2</v>
      </c>
      <c r="EW261" s="14">
        <v>3</v>
      </c>
      <c r="EX261" s="14">
        <f>IFERROR(AVERAGE(Tabel1[[#This Row],[Do - F1]],Tabel1[[#This Row],[Do - F2]],Tabel1[[#This Row],[Do - F3]],Tabel1[[#This Row],[Do - F4]]),"")</f>
        <v>2.3333333333333335</v>
      </c>
      <c r="EY261" s="14">
        <v>2</v>
      </c>
      <c r="EZ261" s="14">
        <v>4</v>
      </c>
      <c r="FA261" s="14">
        <v>3</v>
      </c>
      <c r="FB261" s="14">
        <f>IFERROR(AVERAGE(Tabel1[[#This Row],[Do - V1a]:[Do - V1c]]),"")</f>
        <v>3</v>
      </c>
      <c r="FC261" s="14">
        <v>5</v>
      </c>
      <c r="FD261" s="14">
        <v>4</v>
      </c>
      <c r="FE261" s="14">
        <f>IFERROR(AVERAGE(Tabel1[[#This Row],[Do - V2a]:[Do - V2b]]),"")</f>
        <v>4.5</v>
      </c>
      <c r="FF261" s="14">
        <v>2</v>
      </c>
      <c r="FG261" s="14">
        <f>IFERROR(AVERAGE(Tabel1[[#This Row],[Do - V3a]:[Do - V3a]]),"")</f>
        <v>2</v>
      </c>
      <c r="FH261" s="14">
        <v>3</v>
      </c>
      <c r="FI261" s="14">
        <f>IFERROR(AVERAGE(Tabel1[[#This Row],[Do - V1]],Tabel1[[#This Row],[Do - V2]],Tabel1[[#This Row],[Do - V3]],Tabel1[[#This Row],[Do - V4]]),"")</f>
        <v>3.125</v>
      </c>
      <c r="FJ261" s="14">
        <v>5</v>
      </c>
      <c r="FK261" s="14">
        <v>2</v>
      </c>
      <c r="FL261" s="14">
        <v>5</v>
      </c>
      <c r="FM261" s="14">
        <f>IFERROR(AVERAGE(Tabel1[[#This Row],[Do - A1a]:[Do - A1c]]),"")</f>
        <v>4</v>
      </c>
      <c r="FN261" s="14">
        <v>4</v>
      </c>
      <c r="FO261" s="14">
        <v>4</v>
      </c>
      <c r="FP261" s="14">
        <f>IFERROR(AVERAGE(Tabel1[[#This Row],[Do - A2a]:[Do - A2b]]),"")</f>
        <v>4</v>
      </c>
      <c r="FQ261" s="14">
        <v>4</v>
      </c>
      <c r="FR261" s="14">
        <f>IFERROR(AVERAGE(Tabel1[[#This Row],[Do - A3a]:[Do - A3a]]),"")</f>
        <v>4</v>
      </c>
      <c r="FS261" s="14" t="s">
        <v>189</v>
      </c>
      <c r="FT261" s="14">
        <f>IFERROR(AVERAGE(Tabel1[[#This Row],[Do - A1]],Tabel1[[#This Row],[Do - A2]],Tabel1[[#This Row],[Do - A3]],Tabel1[[#This Row],[Do - A4]]),"")</f>
        <v>4</v>
      </c>
      <c r="FU26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2.720925925925926</v>
      </c>
      <c r="FV261" s="27" t="s">
        <v>1390</v>
      </c>
      <c r="FW261" t="b">
        <v>1</v>
      </c>
    </row>
    <row r="262" spans="1:179" x14ac:dyDescent="0.3">
      <c r="A262" s="13">
        <v>45408.581446759301</v>
      </c>
      <c r="B262" t="b">
        <v>0</v>
      </c>
      <c r="C262" s="14" t="s">
        <v>1391</v>
      </c>
      <c r="D262" s="14" t="s">
        <v>252</v>
      </c>
      <c r="E262" s="14" t="s">
        <v>1392</v>
      </c>
      <c r="F262" s="14" t="s">
        <v>184</v>
      </c>
      <c r="G262" s="14" t="s">
        <v>1393</v>
      </c>
      <c r="H262" s="14" t="s">
        <v>222</v>
      </c>
      <c r="I262" s="14" t="s">
        <v>385</v>
      </c>
      <c r="J262" s="14"/>
      <c r="K262" s="26" t="s">
        <v>304</v>
      </c>
      <c r="L262" s="14" t="s">
        <v>385</v>
      </c>
      <c r="M262" s="14" t="s">
        <v>233</v>
      </c>
      <c r="N262" s="14" t="s">
        <v>199</v>
      </c>
      <c r="O262" s="14" t="s">
        <v>256</v>
      </c>
      <c r="P262" s="24" t="s">
        <v>255</v>
      </c>
      <c r="Q262" s="17" t="s">
        <v>255</v>
      </c>
      <c r="R262" s="25" t="s">
        <v>187</v>
      </c>
      <c r="S262" s="25" t="s">
        <v>201</v>
      </c>
      <c r="T262" s="14" t="s">
        <v>236</v>
      </c>
      <c r="U262" s="14" t="s">
        <v>285</v>
      </c>
      <c r="V262" s="14" t="s">
        <v>224</v>
      </c>
      <c r="W262" s="14" t="s">
        <v>305</v>
      </c>
      <c r="X262" s="14" t="s">
        <v>395</v>
      </c>
      <c r="Y262" s="14">
        <v>4</v>
      </c>
      <c r="Z262" s="14">
        <v>4</v>
      </c>
      <c r="AA262" s="14">
        <v>3</v>
      </c>
      <c r="AB262" s="15">
        <f>IFERROR(AVERAGE(Tabel1[[#This Row],[Up - R1a]:[Up - R1c]]),"")</f>
        <v>3.6666666666666665</v>
      </c>
      <c r="AC262" s="14">
        <v>3</v>
      </c>
      <c r="AD262" s="14">
        <v>4</v>
      </c>
      <c r="AE262" s="14">
        <v>5</v>
      </c>
      <c r="AF262" s="14">
        <v>5</v>
      </c>
      <c r="AG262" s="14">
        <f>IFERROR(AVERAGE(Tabel1[[#This Row],[Up - R1]:[Up - R5]]),"")</f>
        <v>4.1333333333333329</v>
      </c>
      <c r="AH262" s="14">
        <v>5</v>
      </c>
      <c r="AI262" s="14">
        <v>2</v>
      </c>
      <c r="AJ262" s="14">
        <v>1</v>
      </c>
      <c r="AK262" s="14">
        <f>IFERROR(AVERAGE(Tabel1[[#This Row],[Up - C1a]:[Up - C1c]]),"")</f>
        <v>2.6666666666666665</v>
      </c>
      <c r="AL262" s="14">
        <v>1</v>
      </c>
      <c r="AM262" s="14">
        <v>1</v>
      </c>
      <c r="AN262" s="14">
        <v>4</v>
      </c>
      <c r="AO262" s="14">
        <f>IFERROR(AVERAGE(Tabel1[[#This Row],[Up - C1]:[Up - C4]]),"")</f>
        <v>2.1666666666666665</v>
      </c>
      <c r="AP262" s="14">
        <v>4</v>
      </c>
      <c r="AQ262" s="14">
        <f>IFERROR(AVERAGE(Tabel1[[#This Row],[Up - F1a]:[Up - F1a]]),"")</f>
        <v>4</v>
      </c>
      <c r="AR262" s="14">
        <v>4</v>
      </c>
      <c r="AS262" s="14">
        <v>5</v>
      </c>
      <c r="AT262" s="14">
        <f>IFERROR(AVERAGE(Tabel1[[#This Row],[Up - F2a]:[Up - F2b]]),"")</f>
        <v>4.5</v>
      </c>
      <c r="AU262" s="14">
        <v>4</v>
      </c>
      <c r="AV262" s="14">
        <v>4</v>
      </c>
      <c r="AW262" s="14">
        <f>IFERROR(AVERAGE(Tabel1[[#This Row],[Up - F3a]:[Up - F3b]]),"")</f>
        <v>4</v>
      </c>
      <c r="AX262" s="14">
        <v>4</v>
      </c>
      <c r="AY262" s="14">
        <f>IFERROR(AVERAGE(Tabel1[[#This Row],[Up - F1]],Tabel1[[#This Row],[Up - F2]],Tabel1[[#This Row],[Up - F3]],Tabel1[[#This Row],[Up - F4]]),"")</f>
        <v>4.125</v>
      </c>
      <c r="AZ262" s="14">
        <v>2</v>
      </c>
      <c r="BA262" s="14">
        <v>4</v>
      </c>
      <c r="BB262" s="14">
        <f>IFERROR(AVERAGE(Tabel1[[#This Row],[Up - V1a]:[Up - V1b]]),"")</f>
        <v>3</v>
      </c>
      <c r="BC262" s="14">
        <v>2</v>
      </c>
      <c r="BD262" s="14">
        <v>3</v>
      </c>
      <c r="BE262" s="14">
        <v>3</v>
      </c>
      <c r="BF262" s="14">
        <f>IFERROR(AVERAGE(Tabel1[[#This Row],[Up - V2a]:[Up - V2c]]),"")</f>
        <v>2.6666666666666665</v>
      </c>
      <c r="BG262" s="14">
        <v>1</v>
      </c>
      <c r="BH262" s="14">
        <v>3</v>
      </c>
      <c r="BI262" s="14">
        <f>IFERROR(AVERAGE(Tabel1[[#This Row],[Up - V3a]:[Up - V3b]]),"")</f>
        <v>2</v>
      </c>
      <c r="BJ262" s="14">
        <v>2</v>
      </c>
      <c r="BK262" s="14">
        <f>IFERROR(AVERAGE(Tabel1[[#This Row],[Up - V1]],Tabel1[[#This Row],[Up - V2]],Tabel1[[#This Row],[Up - V3]],Tabel1[[#This Row],[Up - V4]]),"")</f>
        <v>2.4166666666666665</v>
      </c>
      <c r="BL262" s="14">
        <v>4</v>
      </c>
      <c r="BM262" s="14">
        <v>4</v>
      </c>
      <c r="BN262" s="14">
        <v>4</v>
      </c>
      <c r="BO262" s="14">
        <v>5</v>
      </c>
      <c r="BP262" s="14">
        <f>IFERROR(AVERAGE(Tabel1[[#This Row],[Up - A1a]:[Up - A1d]]),"")</f>
        <v>4.25</v>
      </c>
      <c r="BQ262" s="14">
        <v>4</v>
      </c>
      <c r="BR262" s="14">
        <v>2</v>
      </c>
      <c r="BS262" s="14">
        <f>IFERROR(AVERAGE(Tabel1[[#This Row],[Up - A2a]:[Up - A2b]]),"")</f>
        <v>3</v>
      </c>
      <c r="BT262" s="14">
        <v>4</v>
      </c>
      <c r="BU262" s="14">
        <f>IFERROR(AVERAGE(Tabel1[[#This Row],[Up - A3a]:[Up - A3a]]),"")</f>
        <v>4</v>
      </c>
      <c r="BV262" s="14">
        <v>2</v>
      </c>
      <c r="BW262" s="14">
        <f>IFERROR(AVERAGE(Tabel1[[#This Row],[Up - A1]],Tabel1[[#This Row],[Up - A2]],Tabel1[[#This Row],[Up - A3]]),"")</f>
        <v>3.75</v>
      </c>
      <c r="BX262" s="14">
        <v>4</v>
      </c>
      <c r="BY262" s="14">
        <v>4</v>
      </c>
      <c r="BZ262" s="14">
        <f>IFERROR(AVERAGE(Tabel1[[#This Row],[In - R1a]:[In - R1b]]),"")</f>
        <v>4</v>
      </c>
      <c r="CA262" s="14">
        <v>3</v>
      </c>
      <c r="CB262" s="14">
        <v>3</v>
      </c>
      <c r="CC262" s="14" t="s">
        <v>189</v>
      </c>
      <c r="CD262" s="14" t="s">
        <v>189</v>
      </c>
      <c r="CE262" s="14">
        <f>IFERROR(AVERAGE(Tabel1[[#This Row],[In - R1]:[In - R5]]),"")</f>
        <v>3.3333333333333335</v>
      </c>
      <c r="CF262" s="14">
        <v>3</v>
      </c>
      <c r="CG262" s="14">
        <v>3</v>
      </c>
      <c r="CH262" s="14">
        <v>3</v>
      </c>
      <c r="CI262" s="14">
        <f>IFERROR(AVERAGE(Tabel1[[#This Row],[In - C1a]:[In - C1c]]),"")</f>
        <v>3</v>
      </c>
      <c r="CJ262" s="14" t="s">
        <v>189</v>
      </c>
      <c r="CK262" s="14">
        <v>1</v>
      </c>
      <c r="CL262" s="14">
        <v>4</v>
      </c>
      <c r="CM262" s="14">
        <f>IFERROR(AVERAGE(Tabel1[[#This Row],[In - C1]:[In - C4]]),"")</f>
        <v>2.6666666666666665</v>
      </c>
      <c r="CN262" s="14">
        <v>4</v>
      </c>
      <c r="CO262" s="14">
        <v>4</v>
      </c>
      <c r="CP262" s="14">
        <v>5</v>
      </c>
      <c r="CQ262" s="14">
        <f>IFERROR(AVERAGE(Tabel1[[#This Row],[In - F1a]:[In - F1c]]),"")</f>
        <v>4.333333333333333</v>
      </c>
      <c r="CR262" s="14">
        <v>4</v>
      </c>
      <c r="CS262" s="14">
        <v>5</v>
      </c>
      <c r="CT262" s="14">
        <f>IFERROR(AVERAGE(Tabel1[[#This Row],[In - F2a]:[In - F2b]]),"")</f>
        <v>4.5</v>
      </c>
      <c r="CU262" s="14">
        <v>4</v>
      </c>
      <c r="CV262" s="14">
        <f>IFERROR(AVERAGE(Tabel1[[#This Row],[In - F3a]:[In - F3a]]),"")</f>
        <v>4</v>
      </c>
      <c r="CW262" s="14">
        <v>4</v>
      </c>
      <c r="CX262" s="14">
        <f>IFERROR(AVERAGE(Tabel1[[#This Row],[In - F1]],Tabel1[[#This Row],[In - F2]],Tabel1[[#This Row],[In - F3]],Tabel1[[#This Row],[In - F4]]),"")</f>
        <v>4.208333333333333</v>
      </c>
      <c r="CY262" s="14">
        <v>4</v>
      </c>
      <c r="CZ262" s="14">
        <v>3</v>
      </c>
      <c r="DA262" s="14">
        <v>3</v>
      </c>
      <c r="DB262" s="14">
        <f>IFERROR(AVERAGE(Tabel1[[#This Row],[In - V1a]:[In - V1c]]),"")</f>
        <v>3.3333333333333335</v>
      </c>
      <c r="DC262" s="14">
        <v>3</v>
      </c>
      <c r="DD262" s="14">
        <v>3</v>
      </c>
      <c r="DE262" s="14">
        <v>2</v>
      </c>
      <c r="DF262" s="14">
        <f>IFERROR(AVERAGE(Tabel1[[#This Row],[In - V2a]:[In - V2c]]),"")</f>
        <v>2.6666666666666665</v>
      </c>
      <c r="DG262" s="14">
        <v>1</v>
      </c>
      <c r="DH262" s="14">
        <v>1</v>
      </c>
      <c r="DI262" s="14">
        <f>IFERROR(AVERAGE(Tabel1[[#This Row],[In - V3a]:[In - V3b]]),"")</f>
        <v>1</v>
      </c>
      <c r="DJ262" s="14">
        <v>3</v>
      </c>
      <c r="DK262" s="14">
        <f>IFERROR(AVERAGE(Tabel1[[#This Row],[In - V1]],Tabel1[[#This Row],[In - V2]],Tabel1[[#This Row],[In - V3]],Tabel1[[#This Row],[In - V4]]),"")</f>
        <v>2.5</v>
      </c>
      <c r="DL262" s="14">
        <v>4</v>
      </c>
      <c r="DM262" s="14">
        <v>3</v>
      </c>
      <c r="DN262" s="14">
        <f>IFERROR(AVERAGE(Tabel1[[#This Row],[In - A1a]:[In - A1b]]),"")</f>
        <v>3.5</v>
      </c>
      <c r="DO262" s="14">
        <v>4</v>
      </c>
      <c r="DP262" s="14">
        <v>4</v>
      </c>
      <c r="DQ262" s="14">
        <f>IFERROR(AVERAGE(Tabel1[[#This Row],[In - A2a]:[In - A2b]]),"")</f>
        <v>4</v>
      </c>
      <c r="DR262" s="14">
        <v>4</v>
      </c>
      <c r="DS262" s="14">
        <v>4</v>
      </c>
      <c r="DT262" s="14">
        <f>IFERROR(AVERAGE(Tabel1[[#This Row],[In - A3a]:[In - A3a]]),"")</f>
        <v>4</v>
      </c>
      <c r="DU262" s="14">
        <v>4</v>
      </c>
      <c r="DV262" s="14">
        <f>IFERROR(AVERAGE(Tabel1[[#This Row],[In - A1]],Tabel1[[#This Row],[In - A2]],Tabel1[[#This Row],[In - A3]],Tabel1[[#This Row],[In - A4]]),"")</f>
        <v>3.875</v>
      </c>
      <c r="DW262" s="14">
        <v>4</v>
      </c>
      <c r="DX262" s="14">
        <v>3</v>
      </c>
      <c r="DY262" s="14">
        <v>2</v>
      </c>
      <c r="DZ262" s="14">
        <f>IFERROR(AVERAGE(Tabel1[[#This Row],[Do - R1a]:[Do - R1c]]),"")</f>
        <v>3</v>
      </c>
      <c r="EA262" s="14">
        <v>1</v>
      </c>
      <c r="EB262" s="14" t="s">
        <v>189</v>
      </c>
      <c r="EC262" s="14">
        <v>5</v>
      </c>
      <c r="ED262" s="14" t="s">
        <v>189</v>
      </c>
      <c r="EE262" s="14">
        <f>IFERROR(AVERAGE(Tabel1[[#This Row],[Do - R1]:[Do - R5]]),"")</f>
        <v>3</v>
      </c>
      <c r="EF262" s="14">
        <v>5</v>
      </c>
      <c r="EG262" s="14">
        <v>2</v>
      </c>
      <c r="EH262" s="14">
        <v>1</v>
      </c>
      <c r="EI262" s="14">
        <f>IFERROR(AVERAGE(Tabel1[[#This Row],[Do - C1a]:[Do - C1c]]),"")</f>
        <v>2.6666666666666665</v>
      </c>
      <c r="EJ262" s="14">
        <v>2</v>
      </c>
      <c r="EK262" s="14">
        <v>4</v>
      </c>
      <c r="EL262" s="14">
        <v>4</v>
      </c>
      <c r="EM262" s="14">
        <f>IFERROR(AVERAGE(Tabel1[[#This Row],[Do - C1]:[Do - C4]]),"")</f>
        <v>3.1666666666666665</v>
      </c>
      <c r="EN262" s="14">
        <v>4</v>
      </c>
      <c r="EO262" s="14">
        <v>4</v>
      </c>
      <c r="EP262" s="14">
        <v>4</v>
      </c>
      <c r="EQ262" s="14">
        <f>IFERROR(AVERAGE(Tabel1[[#This Row],[Do - F1a]:[Do - F1c]]),"")</f>
        <v>4</v>
      </c>
      <c r="ER262" s="14">
        <v>4</v>
      </c>
      <c r="ES262" s="14">
        <f>IFERROR(AVERAGE(Tabel1[[#This Row],[Do - F2a]:[Do - F2a]]),"")</f>
        <v>4</v>
      </c>
      <c r="ET262" s="14">
        <v>3</v>
      </c>
      <c r="EU262" s="14">
        <v>4</v>
      </c>
      <c r="EV262" s="14">
        <f>IFERROR(AVERAGE(Tabel1[[#This Row],[Do - F3a]:[Do - F3b]]),"")</f>
        <v>3.5</v>
      </c>
      <c r="EW262" s="14">
        <v>4</v>
      </c>
      <c r="EX262" s="14">
        <f>IFERROR(AVERAGE(Tabel1[[#This Row],[Do - F1]],Tabel1[[#This Row],[Do - F2]],Tabel1[[#This Row],[Do - F3]],Tabel1[[#This Row],[Do - F4]]),"")</f>
        <v>3.875</v>
      </c>
      <c r="EY262" s="14">
        <v>3</v>
      </c>
      <c r="EZ262" s="14">
        <v>3</v>
      </c>
      <c r="FA262" s="14">
        <v>5</v>
      </c>
      <c r="FB262" s="14">
        <f>IFERROR(AVERAGE(Tabel1[[#This Row],[Do - V1a]:[Do - V1c]]),"")</f>
        <v>3.6666666666666665</v>
      </c>
      <c r="FC262" s="14">
        <v>4</v>
      </c>
      <c r="FD262" s="14" t="s">
        <v>189</v>
      </c>
      <c r="FE262" s="14">
        <f>IFERROR(AVERAGE(Tabel1[[#This Row],[Do - V2a]:[Do - V2b]]),"")</f>
        <v>4</v>
      </c>
      <c r="FF262" s="14">
        <v>2</v>
      </c>
      <c r="FG262" s="14">
        <f>IFERROR(AVERAGE(Tabel1[[#This Row],[Do - V3a]:[Do - V3a]]),"")</f>
        <v>2</v>
      </c>
      <c r="FH262" s="14">
        <v>3</v>
      </c>
      <c r="FI262" s="14">
        <f>IFERROR(AVERAGE(Tabel1[[#This Row],[Do - V1]],Tabel1[[#This Row],[Do - V2]],Tabel1[[#This Row],[Do - V3]],Tabel1[[#This Row],[Do - V4]]),"")</f>
        <v>3.1666666666666665</v>
      </c>
      <c r="FJ262" s="14">
        <v>4</v>
      </c>
      <c r="FK262" s="14">
        <v>4</v>
      </c>
      <c r="FL262" s="14">
        <v>3</v>
      </c>
      <c r="FM262" s="14">
        <f>IFERROR(AVERAGE(Tabel1[[#This Row],[Do - A1a]:[Do - A1c]]),"")</f>
        <v>3.6666666666666665</v>
      </c>
      <c r="FN262" s="14" t="s">
        <v>189</v>
      </c>
      <c r="FO262" s="14">
        <v>3</v>
      </c>
      <c r="FP262" s="14">
        <f>IFERROR(AVERAGE(Tabel1[[#This Row],[Do - A2a]:[Do - A2b]]),"")</f>
        <v>3</v>
      </c>
      <c r="FQ262" s="14">
        <v>4</v>
      </c>
      <c r="FR262" s="14">
        <f>IFERROR(AVERAGE(Tabel1[[#This Row],[Do - A3a]:[Do - A3a]]),"")</f>
        <v>4</v>
      </c>
      <c r="FS262" s="14">
        <v>3</v>
      </c>
      <c r="FT262" s="14">
        <f>IFERROR(AVERAGE(Tabel1[[#This Row],[Do - A1]],Tabel1[[#This Row],[Do - A2]],Tabel1[[#This Row],[Do - A3]],Tabel1[[#This Row],[Do - A4]]),"")</f>
        <v>3.4166666666666665</v>
      </c>
      <c r="FU26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3.3199999999999994</v>
      </c>
      <c r="FV262" s="27" t="s">
        <v>1394</v>
      </c>
      <c r="FW262" t="b">
        <v>1</v>
      </c>
    </row>
    <row r="263" spans="1:179" x14ac:dyDescent="0.3">
      <c r="A263" s="13">
        <v>45408.5910532407</v>
      </c>
      <c r="B263" t="b">
        <v>0</v>
      </c>
      <c r="C263" s="14" t="s">
        <v>1395</v>
      </c>
      <c r="D263" s="14" t="s">
        <v>252</v>
      </c>
      <c r="E263" s="14" t="s">
        <v>1396</v>
      </c>
      <c r="F263" s="14" t="s">
        <v>184</v>
      </c>
      <c r="G263" s="14" t="s">
        <v>1397</v>
      </c>
      <c r="H263" s="14" t="s">
        <v>222</v>
      </c>
      <c r="I263" s="14" t="s">
        <v>385</v>
      </c>
      <c r="J263" s="14" t="s">
        <v>244</v>
      </c>
      <c r="K263" s="28" t="s">
        <v>317</v>
      </c>
      <c r="L263" s="14" t="s">
        <v>218</v>
      </c>
      <c r="M263" s="14" t="s">
        <v>198</v>
      </c>
      <c r="N263" s="14" t="s">
        <v>199</v>
      </c>
      <c r="O263" s="14" t="s">
        <v>256</v>
      </c>
      <c r="P263" s="24" t="s">
        <v>255</v>
      </c>
      <c r="Q263" s="17" t="s">
        <v>304</v>
      </c>
      <c r="R263" s="25" t="s">
        <v>235</v>
      </c>
      <c r="S263" s="25" t="s">
        <v>202</v>
      </c>
      <c r="T263" s="14" t="s">
        <v>284</v>
      </c>
      <c r="U263" s="14" t="s">
        <v>285</v>
      </c>
      <c r="V263" s="14" t="s">
        <v>359</v>
      </c>
      <c r="W263" s="14" t="s">
        <v>305</v>
      </c>
      <c r="X263" s="14" t="s">
        <v>305</v>
      </c>
      <c r="Y263" s="14">
        <v>5</v>
      </c>
      <c r="Z263" s="14">
        <v>5</v>
      </c>
      <c r="AA263" s="14">
        <v>5</v>
      </c>
      <c r="AB263" s="15">
        <f>IFERROR(AVERAGE(Tabel1[[#This Row],[Up - R1a]:[Up - R1c]]),"")</f>
        <v>5</v>
      </c>
      <c r="AC263" s="14">
        <v>5</v>
      </c>
      <c r="AD263" s="14">
        <v>3</v>
      </c>
      <c r="AE263" s="14">
        <v>4</v>
      </c>
      <c r="AF263" s="14">
        <v>4</v>
      </c>
      <c r="AG263" s="14">
        <f>IFERROR(AVERAGE(Tabel1[[#This Row],[Up - R1]:[Up - R5]]),"")</f>
        <v>4.2</v>
      </c>
      <c r="AH263" s="14">
        <v>5</v>
      </c>
      <c r="AI263" s="14">
        <v>3</v>
      </c>
      <c r="AJ263" s="14">
        <v>1</v>
      </c>
      <c r="AK263" s="14">
        <f>IFERROR(AVERAGE(Tabel1[[#This Row],[Up - C1a]:[Up - C1c]]),"")</f>
        <v>3</v>
      </c>
      <c r="AL263" s="14">
        <v>1</v>
      </c>
      <c r="AM263" s="14">
        <v>1</v>
      </c>
      <c r="AN263" s="14">
        <v>1</v>
      </c>
      <c r="AO263" s="14">
        <f>IFERROR(AVERAGE(Tabel1[[#This Row],[Up - C1]:[Up - C4]]),"")</f>
        <v>1.5</v>
      </c>
      <c r="AP263" s="14">
        <v>1</v>
      </c>
      <c r="AQ263" s="14">
        <f>IFERROR(AVERAGE(Tabel1[[#This Row],[Up - F1a]:[Up - F1a]]),"")</f>
        <v>1</v>
      </c>
      <c r="AR263" s="14">
        <v>1</v>
      </c>
      <c r="AS263" s="14">
        <v>1</v>
      </c>
      <c r="AT263" s="14">
        <f>IFERROR(AVERAGE(Tabel1[[#This Row],[Up - F2a]:[Up - F2b]]),"")</f>
        <v>1</v>
      </c>
      <c r="AU263" s="14">
        <v>1</v>
      </c>
      <c r="AV263" s="14">
        <v>1</v>
      </c>
      <c r="AW263" s="14">
        <f>IFERROR(AVERAGE(Tabel1[[#This Row],[Up - F3a]:[Up - F3b]]),"")</f>
        <v>1</v>
      </c>
      <c r="AX263" s="14">
        <v>1</v>
      </c>
      <c r="AY263" s="14">
        <f>IFERROR(AVERAGE(Tabel1[[#This Row],[Up - F1]],Tabel1[[#This Row],[Up - F2]],Tabel1[[#This Row],[Up - F3]],Tabel1[[#This Row],[Up - F4]]),"")</f>
        <v>1</v>
      </c>
      <c r="AZ263" s="14">
        <v>1</v>
      </c>
      <c r="BA263" s="14">
        <v>1</v>
      </c>
      <c r="BB263" s="14">
        <f>IFERROR(AVERAGE(Tabel1[[#This Row],[Up - V1a]:[Up - V1b]]),"")</f>
        <v>1</v>
      </c>
      <c r="BC263" s="14">
        <v>3</v>
      </c>
      <c r="BD263" s="14">
        <v>1</v>
      </c>
      <c r="BE263" s="14">
        <v>1</v>
      </c>
      <c r="BF263" s="14">
        <f>IFERROR(AVERAGE(Tabel1[[#This Row],[Up - V2a]:[Up - V2c]]),"")</f>
        <v>1.6666666666666667</v>
      </c>
      <c r="BG263" s="14">
        <v>1</v>
      </c>
      <c r="BH263" s="14">
        <v>1</v>
      </c>
      <c r="BI263" s="14">
        <f>IFERROR(AVERAGE(Tabel1[[#This Row],[Up - V3a]:[Up - V3b]]),"")</f>
        <v>1</v>
      </c>
      <c r="BJ263" s="14">
        <v>1</v>
      </c>
      <c r="BK263" s="14">
        <f>IFERROR(AVERAGE(Tabel1[[#This Row],[Up - V1]],Tabel1[[#This Row],[Up - V2]],Tabel1[[#This Row],[Up - V3]],Tabel1[[#This Row],[Up - V4]]),"")</f>
        <v>1.1666666666666667</v>
      </c>
      <c r="BL263" s="14">
        <v>3</v>
      </c>
      <c r="BM263" s="14">
        <v>1</v>
      </c>
      <c r="BN263" s="14">
        <v>2</v>
      </c>
      <c r="BO263" s="14">
        <v>1</v>
      </c>
      <c r="BP263" s="14">
        <f>IFERROR(AVERAGE(Tabel1[[#This Row],[Up - A1a]:[Up - A1d]]),"")</f>
        <v>1.75</v>
      </c>
      <c r="BQ263" s="14">
        <v>1</v>
      </c>
      <c r="BR263" s="14">
        <v>1</v>
      </c>
      <c r="BS263" s="14">
        <f>IFERROR(AVERAGE(Tabel1[[#This Row],[Up - A2a]:[Up - A2b]]),"")</f>
        <v>1</v>
      </c>
      <c r="BT263" s="14">
        <v>1</v>
      </c>
      <c r="BU263" s="14">
        <f>IFERROR(AVERAGE(Tabel1[[#This Row],[Up - A3a]:[Up - A3a]]),"")</f>
        <v>1</v>
      </c>
      <c r="BV263" s="14">
        <v>1</v>
      </c>
      <c r="BW263" s="14">
        <f>IFERROR(AVERAGE(Tabel1[[#This Row],[Up - A1]],Tabel1[[#This Row],[Up - A2]],Tabel1[[#This Row],[Up - A3]]),"")</f>
        <v>1.25</v>
      </c>
      <c r="BX263" s="14" t="s">
        <v>189</v>
      </c>
      <c r="BY263" s="14">
        <v>5</v>
      </c>
      <c r="BZ263" s="14">
        <f>IFERROR(AVERAGE(Tabel1[[#This Row],[In - R1a]:[In - R1b]]),"")</f>
        <v>5</v>
      </c>
      <c r="CA263" s="14">
        <v>5</v>
      </c>
      <c r="CB263" s="14">
        <v>3</v>
      </c>
      <c r="CC263" s="14">
        <v>4</v>
      </c>
      <c r="CD263" s="14">
        <v>3</v>
      </c>
      <c r="CE263" s="14">
        <f>IFERROR(AVERAGE(Tabel1[[#This Row],[In - R1]:[In - R5]]),"")</f>
        <v>4</v>
      </c>
      <c r="CF263" s="14">
        <v>3</v>
      </c>
      <c r="CG263" s="14">
        <v>1</v>
      </c>
      <c r="CH263" s="14">
        <v>1</v>
      </c>
      <c r="CI263" s="14">
        <f>IFERROR(AVERAGE(Tabel1[[#This Row],[In - C1a]:[In - C1c]]),"")</f>
        <v>1.6666666666666667</v>
      </c>
      <c r="CJ263" s="14">
        <v>1</v>
      </c>
      <c r="CK263" s="14">
        <v>1</v>
      </c>
      <c r="CL263" s="14">
        <v>1</v>
      </c>
      <c r="CM263" s="14">
        <f>IFERROR(AVERAGE(Tabel1[[#This Row],[In - C1]:[In - C4]]),"")</f>
        <v>1.1666666666666667</v>
      </c>
      <c r="CN263" s="14">
        <v>3</v>
      </c>
      <c r="CO263" s="14">
        <v>1</v>
      </c>
      <c r="CP263" s="14">
        <v>1</v>
      </c>
      <c r="CQ263" s="14">
        <f>IFERROR(AVERAGE(Tabel1[[#This Row],[In - F1a]:[In - F1c]]),"")</f>
        <v>1.6666666666666667</v>
      </c>
      <c r="CR263" s="14">
        <v>1</v>
      </c>
      <c r="CS263" s="14">
        <v>1</v>
      </c>
      <c r="CT263" s="14">
        <f>IFERROR(AVERAGE(Tabel1[[#This Row],[In - F2a]:[In - F2b]]),"")</f>
        <v>1</v>
      </c>
      <c r="CU263" s="14">
        <v>1</v>
      </c>
      <c r="CV263" s="14">
        <f>IFERROR(AVERAGE(Tabel1[[#This Row],[In - F3a]:[In - F3a]]),"")</f>
        <v>1</v>
      </c>
      <c r="CW263" s="14">
        <v>1</v>
      </c>
      <c r="CX263" s="14">
        <f>IFERROR(AVERAGE(Tabel1[[#This Row],[In - F1]],Tabel1[[#This Row],[In - F2]],Tabel1[[#This Row],[In - F3]],Tabel1[[#This Row],[In - F4]]),"")</f>
        <v>1.1666666666666667</v>
      </c>
      <c r="CY263" s="14">
        <v>1</v>
      </c>
      <c r="CZ263" s="14">
        <v>1</v>
      </c>
      <c r="DA263" s="14">
        <v>1</v>
      </c>
      <c r="DB263" s="14">
        <f>IFERROR(AVERAGE(Tabel1[[#This Row],[In - V1a]:[In - V1c]]),"")</f>
        <v>1</v>
      </c>
      <c r="DC263" s="14">
        <v>1</v>
      </c>
      <c r="DD263" s="14">
        <v>1</v>
      </c>
      <c r="DE263" s="14">
        <v>1</v>
      </c>
      <c r="DF263" s="14">
        <f>IFERROR(AVERAGE(Tabel1[[#This Row],[In - V2a]:[In - V2c]]),"")</f>
        <v>1</v>
      </c>
      <c r="DG263" s="14">
        <v>1</v>
      </c>
      <c r="DH263" s="14">
        <v>1</v>
      </c>
      <c r="DI263" s="14">
        <f>IFERROR(AVERAGE(Tabel1[[#This Row],[In - V3a]:[In - V3b]]),"")</f>
        <v>1</v>
      </c>
      <c r="DJ263" s="14">
        <v>1</v>
      </c>
      <c r="DK263" s="14">
        <f>IFERROR(AVERAGE(Tabel1[[#This Row],[In - V1]],Tabel1[[#This Row],[In - V2]],Tabel1[[#This Row],[In - V3]],Tabel1[[#This Row],[In - V4]]),"")</f>
        <v>1</v>
      </c>
      <c r="DL263" s="14" t="s">
        <v>189</v>
      </c>
      <c r="DM263" s="14">
        <v>1</v>
      </c>
      <c r="DN263" s="14">
        <f>IFERROR(AVERAGE(Tabel1[[#This Row],[In - A1a]:[In - A1b]]),"")</f>
        <v>1</v>
      </c>
      <c r="DO263" s="14">
        <v>1</v>
      </c>
      <c r="DP263" s="14">
        <v>1</v>
      </c>
      <c r="DQ263" s="14">
        <f>IFERROR(AVERAGE(Tabel1[[#This Row],[In - A2a]:[In - A2b]]),"")</f>
        <v>1</v>
      </c>
      <c r="DR263" s="14">
        <v>1</v>
      </c>
      <c r="DS263" s="14" t="s">
        <v>189</v>
      </c>
      <c r="DT263" s="14">
        <f>IFERROR(AVERAGE(Tabel1[[#This Row],[In - A3a]:[In - A3a]]),"")</f>
        <v>1</v>
      </c>
      <c r="DU263" s="14">
        <v>1</v>
      </c>
      <c r="DV263" s="14">
        <f>IFERROR(AVERAGE(Tabel1[[#This Row],[In - A1]],Tabel1[[#This Row],[In - A2]],Tabel1[[#This Row],[In - A3]],Tabel1[[#This Row],[In - A4]]),"")</f>
        <v>1</v>
      </c>
      <c r="DW263" s="14">
        <v>1</v>
      </c>
      <c r="DX263" s="14">
        <v>5</v>
      </c>
      <c r="DY263" s="14">
        <v>3</v>
      </c>
      <c r="DZ263" s="14">
        <f>IFERROR(AVERAGE(Tabel1[[#This Row],[Do - R1a]:[Do - R1c]]),"")</f>
        <v>3</v>
      </c>
      <c r="EA263" s="14">
        <v>1</v>
      </c>
      <c r="EB263" s="14">
        <v>1</v>
      </c>
      <c r="EC263" s="14">
        <v>3</v>
      </c>
      <c r="ED263" s="14">
        <v>1</v>
      </c>
      <c r="EE263" s="14">
        <f>IFERROR(AVERAGE(Tabel1[[#This Row],[Do - R1]:[Do - R5]]),"")</f>
        <v>1.8</v>
      </c>
      <c r="EF263" s="14">
        <v>5</v>
      </c>
      <c r="EG263" s="14">
        <v>3</v>
      </c>
      <c r="EH263" s="14">
        <v>1</v>
      </c>
      <c r="EI263" s="14">
        <f>IFERROR(AVERAGE(Tabel1[[#This Row],[Do - C1a]:[Do - C1c]]),"")</f>
        <v>3</v>
      </c>
      <c r="EJ263" s="14">
        <v>1</v>
      </c>
      <c r="EK263" s="14">
        <v>1</v>
      </c>
      <c r="EL263" s="14">
        <v>1</v>
      </c>
      <c r="EM263" s="14">
        <f>IFERROR(AVERAGE(Tabel1[[#This Row],[Do - C1]:[Do - C4]]),"")</f>
        <v>1.5</v>
      </c>
      <c r="EN263" s="14">
        <v>1</v>
      </c>
      <c r="EO263" s="14">
        <v>3</v>
      </c>
      <c r="EP263" s="14">
        <v>1</v>
      </c>
      <c r="EQ263" s="14">
        <f>IFERROR(AVERAGE(Tabel1[[#This Row],[Do - F1a]:[Do - F1c]]),"")</f>
        <v>1.6666666666666667</v>
      </c>
      <c r="ER263" s="14">
        <v>1</v>
      </c>
      <c r="ES263" s="14">
        <f>IFERROR(AVERAGE(Tabel1[[#This Row],[Do - F2a]:[Do - F2a]]),"")</f>
        <v>1</v>
      </c>
      <c r="ET263" s="14">
        <v>1</v>
      </c>
      <c r="EU263" s="14">
        <v>1</v>
      </c>
      <c r="EV263" s="14">
        <f>IFERROR(AVERAGE(Tabel1[[#This Row],[Do - F3a]:[Do - F3b]]),"")</f>
        <v>1</v>
      </c>
      <c r="EW263" s="14">
        <v>1</v>
      </c>
      <c r="EX263" s="14">
        <f>IFERROR(AVERAGE(Tabel1[[#This Row],[Do - F1]],Tabel1[[#This Row],[Do - F2]],Tabel1[[#This Row],[Do - F3]],Tabel1[[#This Row],[Do - F4]]),"")</f>
        <v>1.1666666666666667</v>
      </c>
      <c r="EY263" s="14">
        <v>1</v>
      </c>
      <c r="EZ263" s="14">
        <v>1</v>
      </c>
      <c r="FA263" s="14">
        <v>1</v>
      </c>
      <c r="FB263" s="14">
        <f>IFERROR(AVERAGE(Tabel1[[#This Row],[Do - V1a]:[Do - V1c]]),"")</f>
        <v>1</v>
      </c>
      <c r="FC263" s="14">
        <v>3</v>
      </c>
      <c r="FD263" s="14">
        <v>1</v>
      </c>
      <c r="FE263" s="14">
        <f>IFERROR(AVERAGE(Tabel1[[#This Row],[Do - V2a]:[Do - V2b]]),"")</f>
        <v>2</v>
      </c>
      <c r="FF263" s="14">
        <v>1</v>
      </c>
      <c r="FG263" s="14">
        <f>IFERROR(AVERAGE(Tabel1[[#This Row],[Do - V3a]:[Do - V3a]]),"")</f>
        <v>1</v>
      </c>
      <c r="FH263" s="14">
        <v>1</v>
      </c>
      <c r="FI263" s="14">
        <f>IFERROR(AVERAGE(Tabel1[[#This Row],[Do - V1]],Tabel1[[#This Row],[Do - V2]],Tabel1[[#This Row],[Do - V3]],Tabel1[[#This Row],[Do - V4]]),"")</f>
        <v>1.25</v>
      </c>
      <c r="FJ263" s="14">
        <v>3</v>
      </c>
      <c r="FK263" s="14">
        <v>3</v>
      </c>
      <c r="FL263" s="14">
        <v>2</v>
      </c>
      <c r="FM263" s="14">
        <f>IFERROR(AVERAGE(Tabel1[[#This Row],[Do - A1a]:[Do - A1c]]),"")</f>
        <v>2.6666666666666665</v>
      </c>
      <c r="FN263" s="14">
        <v>1</v>
      </c>
      <c r="FO263" s="14">
        <v>1</v>
      </c>
      <c r="FP263" s="14">
        <f>IFERROR(AVERAGE(Tabel1[[#This Row],[Do - A2a]:[Do - A2b]]),"")</f>
        <v>1</v>
      </c>
      <c r="FQ263" s="14">
        <v>1</v>
      </c>
      <c r="FR263" s="14">
        <f>IFERROR(AVERAGE(Tabel1[[#This Row],[Do - A3a]:[Do - A3a]]),"")</f>
        <v>1</v>
      </c>
      <c r="FS263" s="14">
        <v>1</v>
      </c>
      <c r="FT263" s="14">
        <f>IFERROR(AVERAGE(Tabel1[[#This Row],[Do - A1]],Tabel1[[#This Row],[Do - A2]],Tabel1[[#This Row],[Do - A3]],Tabel1[[#This Row],[Do - A4]]),"")</f>
        <v>1.4166666666666665</v>
      </c>
      <c r="FU26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1.6388888888888891</v>
      </c>
      <c r="FV263" s="27" t="s">
        <v>1398</v>
      </c>
      <c r="FW263" t="b">
        <v>1</v>
      </c>
    </row>
    <row r="264" spans="1:179" x14ac:dyDescent="0.3">
      <c r="A264" s="13">
        <v>45408.724421296298</v>
      </c>
      <c r="B264" t="b">
        <v>0</v>
      </c>
      <c r="C264" s="14" t="s">
        <v>1399</v>
      </c>
      <c r="D264" s="14" t="s">
        <v>1400</v>
      </c>
      <c r="E264" s="14" t="s">
        <v>1401</v>
      </c>
      <c r="F264" s="14" t="s">
        <v>184</v>
      </c>
      <c r="G264" s="14" t="s">
        <v>1402</v>
      </c>
      <c r="H264" s="14" t="s">
        <v>222</v>
      </c>
      <c r="I264" s="14" t="s">
        <v>195</v>
      </c>
      <c r="J264" s="14" t="s">
        <v>212</v>
      </c>
      <c r="K264" s="28" t="s">
        <v>201</v>
      </c>
      <c r="L264" s="14" t="s">
        <v>218</v>
      </c>
      <c r="M264" s="14" t="s">
        <v>198</v>
      </c>
      <c r="N264" s="14" t="s">
        <v>199</v>
      </c>
      <c r="O264" s="14" t="s">
        <v>200</v>
      </c>
      <c r="P264" s="25" t="s">
        <v>203</v>
      </c>
      <c r="Q264" s="17" t="s">
        <v>203</v>
      </c>
      <c r="R264" s="25" t="s">
        <v>201</v>
      </c>
      <c r="S264" s="25" t="s">
        <v>235</v>
      </c>
      <c r="T264" s="14" t="s">
        <v>380</v>
      </c>
      <c r="U264" s="14" t="s">
        <v>237</v>
      </c>
      <c r="V264" s="14" t="s">
        <v>224</v>
      </c>
      <c r="W264" s="14" t="s">
        <v>207</v>
      </c>
      <c r="X264" s="14" t="s">
        <v>306</v>
      </c>
      <c r="Y264" s="14">
        <v>1</v>
      </c>
      <c r="Z264" s="14">
        <v>1</v>
      </c>
      <c r="AA264" s="14">
        <v>3</v>
      </c>
      <c r="AB264" s="15">
        <f>IFERROR(AVERAGE(Tabel1[[#This Row],[Up - R1a]:[Up - R1c]]),"")</f>
        <v>1.6666666666666667</v>
      </c>
      <c r="AC264" s="14">
        <v>3</v>
      </c>
      <c r="AD264" s="14">
        <v>2</v>
      </c>
      <c r="AE264" s="14">
        <v>2</v>
      </c>
      <c r="AF264" s="14">
        <v>2</v>
      </c>
      <c r="AG264" s="14">
        <f>IFERROR(AVERAGE(Tabel1[[#This Row],[Up - R1]:[Up - R5]]),"")</f>
        <v>2.1333333333333337</v>
      </c>
      <c r="AH264" s="14">
        <v>4</v>
      </c>
      <c r="AI264" s="14">
        <v>4</v>
      </c>
      <c r="AJ264" s="14">
        <v>3</v>
      </c>
      <c r="AK264" s="14">
        <f>IFERROR(AVERAGE(Tabel1[[#This Row],[Up - C1a]:[Up - C1c]]),"")</f>
        <v>3.6666666666666665</v>
      </c>
      <c r="AL264" s="14">
        <v>3</v>
      </c>
      <c r="AM264" s="14">
        <v>2</v>
      </c>
      <c r="AN264" s="14">
        <v>1</v>
      </c>
      <c r="AO264" s="14">
        <f>IFERROR(AVERAGE(Tabel1[[#This Row],[Up - C1]:[Up - C4]]),"")</f>
        <v>2.4166666666666665</v>
      </c>
      <c r="AP264" s="14">
        <v>3</v>
      </c>
      <c r="AQ264" s="14">
        <f>IFERROR(AVERAGE(Tabel1[[#This Row],[Up - F1a]:[Up - F1a]]),"")</f>
        <v>3</v>
      </c>
      <c r="AR264" s="14">
        <v>1</v>
      </c>
      <c r="AS264" s="14">
        <v>3</v>
      </c>
      <c r="AT264" s="14">
        <f>IFERROR(AVERAGE(Tabel1[[#This Row],[Up - F2a]:[Up - F2b]]),"")</f>
        <v>2</v>
      </c>
      <c r="AU264" s="14">
        <v>3</v>
      </c>
      <c r="AV264" s="14">
        <v>2</v>
      </c>
      <c r="AW264" s="14">
        <f>IFERROR(AVERAGE(Tabel1[[#This Row],[Up - F3a]:[Up - F3b]]),"")</f>
        <v>2.5</v>
      </c>
      <c r="AX264" s="14">
        <v>4</v>
      </c>
      <c r="AY264" s="14">
        <f>IFERROR(AVERAGE(Tabel1[[#This Row],[Up - F1]],Tabel1[[#This Row],[Up - F2]],Tabel1[[#This Row],[Up - F3]],Tabel1[[#This Row],[Up - F4]]),"")</f>
        <v>2.875</v>
      </c>
      <c r="AZ264" s="14">
        <v>3</v>
      </c>
      <c r="BA264" s="14">
        <v>4</v>
      </c>
      <c r="BB264" s="14">
        <f>IFERROR(AVERAGE(Tabel1[[#This Row],[Up - V1a]:[Up - V1b]]),"")</f>
        <v>3.5</v>
      </c>
      <c r="BC264" s="14">
        <v>3</v>
      </c>
      <c r="BD264" s="14">
        <v>3</v>
      </c>
      <c r="BE264" s="14">
        <v>3</v>
      </c>
      <c r="BF264" s="14">
        <f>IFERROR(AVERAGE(Tabel1[[#This Row],[Up - V2a]:[Up - V2c]]),"")</f>
        <v>3</v>
      </c>
      <c r="BG264" s="14">
        <v>3</v>
      </c>
      <c r="BH264" s="14">
        <v>3</v>
      </c>
      <c r="BI264" s="14">
        <f>IFERROR(AVERAGE(Tabel1[[#This Row],[Up - V3a]:[Up - V3b]]),"")</f>
        <v>3</v>
      </c>
      <c r="BJ264" s="14">
        <v>4</v>
      </c>
      <c r="BK264" s="14">
        <f>IFERROR(AVERAGE(Tabel1[[#This Row],[Up - V1]],Tabel1[[#This Row],[Up - V2]],Tabel1[[#This Row],[Up - V3]],Tabel1[[#This Row],[Up - V4]]),"")</f>
        <v>3.375</v>
      </c>
      <c r="BL264" s="14">
        <v>3</v>
      </c>
      <c r="BM264" s="14">
        <v>4</v>
      </c>
      <c r="BN264" s="14">
        <v>4</v>
      </c>
      <c r="BO264" s="14">
        <v>4</v>
      </c>
      <c r="BP264" s="14">
        <f>IFERROR(AVERAGE(Tabel1[[#This Row],[Up - A1a]:[Up - A1d]]),"")</f>
        <v>3.75</v>
      </c>
      <c r="BQ264" s="14">
        <v>4</v>
      </c>
      <c r="BR264" s="14">
        <v>2</v>
      </c>
      <c r="BS264" s="14">
        <f>IFERROR(AVERAGE(Tabel1[[#This Row],[Up - A2a]:[Up - A2b]]),"")</f>
        <v>3</v>
      </c>
      <c r="BT264" s="14">
        <v>4</v>
      </c>
      <c r="BU264" s="14">
        <f>IFERROR(AVERAGE(Tabel1[[#This Row],[Up - A3a]:[Up - A3a]]),"")</f>
        <v>4</v>
      </c>
      <c r="BV264" s="14">
        <v>3</v>
      </c>
      <c r="BW264" s="14">
        <f>IFERROR(AVERAGE(Tabel1[[#This Row],[Up - A1]],Tabel1[[#This Row],[Up - A2]],Tabel1[[#This Row],[Up - A3]]),"")</f>
        <v>3.5833333333333335</v>
      </c>
      <c r="BX264" s="14">
        <v>4</v>
      </c>
      <c r="BY264" s="14">
        <v>4</v>
      </c>
      <c r="BZ264" s="14">
        <f>IFERROR(AVERAGE(Tabel1[[#This Row],[In - R1a]:[In - R1b]]),"")</f>
        <v>4</v>
      </c>
      <c r="CA264" s="14">
        <v>3</v>
      </c>
      <c r="CB264" s="14">
        <v>4</v>
      </c>
      <c r="CC264" s="14">
        <v>2</v>
      </c>
      <c r="CD264" s="14">
        <v>4</v>
      </c>
      <c r="CE264" s="14">
        <f>IFERROR(AVERAGE(Tabel1[[#This Row],[In - R1]:[In - R5]]),"")</f>
        <v>3.4</v>
      </c>
      <c r="CF264" s="14">
        <v>4</v>
      </c>
      <c r="CG264" s="14">
        <v>1</v>
      </c>
      <c r="CH264" s="14">
        <v>1</v>
      </c>
      <c r="CI264" s="14">
        <f>IFERROR(AVERAGE(Tabel1[[#This Row],[In - C1a]:[In - C1c]]),"")</f>
        <v>2</v>
      </c>
      <c r="CJ264" s="14">
        <v>3</v>
      </c>
      <c r="CK264" s="14">
        <v>1</v>
      </c>
      <c r="CL264" s="14">
        <v>1</v>
      </c>
      <c r="CM264" s="14">
        <f>IFERROR(AVERAGE(Tabel1[[#This Row],[In - C1]:[In - C4]]),"")</f>
        <v>1.75</v>
      </c>
      <c r="CN264" s="14">
        <v>4</v>
      </c>
      <c r="CO264" s="14">
        <v>4</v>
      </c>
      <c r="CP264" s="14">
        <v>4</v>
      </c>
      <c r="CQ264" s="14">
        <f>IFERROR(AVERAGE(Tabel1[[#This Row],[In - F1a]:[In - F1c]]),"")</f>
        <v>4</v>
      </c>
      <c r="CR264" s="14">
        <v>4</v>
      </c>
      <c r="CS264" s="14">
        <v>1</v>
      </c>
      <c r="CT264" s="14">
        <f>IFERROR(AVERAGE(Tabel1[[#This Row],[In - F2a]:[In - F2b]]),"")</f>
        <v>2.5</v>
      </c>
      <c r="CU264" s="14">
        <v>2</v>
      </c>
      <c r="CV264" s="14">
        <f>IFERROR(AVERAGE(Tabel1[[#This Row],[In - F3a]:[In - F3a]]),"")</f>
        <v>2</v>
      </c>
      <c r="CW264" s="14">
        <v>4</v>
      </c>
      <c r="CX264" s="14">
        <f>IFERROR(AVERAGE(Tabel1[[#This Row],[In - F1]],Tabel1[[#This Row],[In - F2]],Tabel1[[#This Row],[In - F3]],Tabel1[[#This Row],[In - F4]]),"")</f>
        <v>3.125</v>
      </c>
      <c r="CY264" s="14">
        <v>4</v>
      </c>
      <c r="CZ264" s="14">
        <v>3</v>
      </c>
      <c r="DA264" s="14">
        <v>3</v>
      </c>
      <c r="DB264" s="14">
        <f>IFERROR(AVERAGE(Tabel1[[#This Row],[In - V1a]:[In - V1c]]),"")</f>
        <v>3.3333333333333335</v>
      </c>
      <c r="DC264" s="14">
        <v>4</v>
      </c>
      <c r="DD264" s="14">
        <v>1</v>
      </c>
      <c r="DE264" s="14">
        <v>4</v>
      </c>
      <c r="DF264" s="14">
        <f>IFERROR(AVERAGE(Tabel1[[#This Row],[In - V2a]:[In - V2c]]),"")</f>
        <v>3</v>
      </c>
      <c r="DG264" s="14">
        <v>1</v>
      </c>
      <c r="DH264" s="14">
        <v>5</v>
      </c>
      <c r="DI264" s="14">
        <f>IFERROR(AVERAGE(Tabel1[[#This Row],[In - V3a]:[In - V3b]]),"")</f>
        <v>3</v>
      </c>
      <c r="DJ264" s="14">
        <v>2</v>
      </c>
      <c r="DK264" s="14">
        <f>IFERROR(AVERAGE(Tabel1[[#This Row],[In - V1]],Tabel1[[#This Row],[In - V2]],Tabel1[[#This Row],[In - V3]],Tabel1[[#This Row],[In - V4]]),"")</f>
        <v>2.8333333333333335</v>
      </c>
      <c r="DL264" s="14">
        <v>4</v>
      </c>
      <c r="DM264" s="14">
        <v>4</v>
      </c>
      <c r="DN264" s="14">
        <f>IFERROR(AVERAGE(Tabel1[[#This Row],[In - A1a]:[In - A1b]]),"")</f>
        <v>4</v>
      </c>
      <c r="DO264" s="14">
        <v>3</v>
      </c>
      <c r="DP264" s="14">
        <v>3</v>
      </c>
      <c r="DQ264" s="14">
        <f>IFERROR(AVERAGE(Tabel1[[#This Row],[In - A2a]:[In - A2b]]),"")</f>
        <v>3</v>
      </c>
      <c r="DR264" s="14">
        <v>5</v>
      </c>
      <c r="DS264" s="14">
        <v>4</v>
      </c>
      <c r="DT264" s="14">
        <f>IFERROR(AVERAGE(Tabel1[[#This Row],[In - A3a]:[In - A3a]]),"")</f>
        <v>5</v>
      </c>
      <c r="DU264" s="14">
        <v>3</v>
      </c>
      <c r="DV264" s="14">
        <f>IFERROR(AVERAGE(Tabel1[[#This Row],[In - A1]],Tabel1[[#This Row],[In - A2]],Tabel1[[#This Row],[In - A3]],Tabel1[[#This Row],[In - A4]]),"")</f>
        <v>3.75</v>
      </c>
      <c r="DW264" s="14">
        <v>4</v>
      </c>
      <c r="DX264" s="14">
        <v>5</v>
      </c>
      <c r="DY264" s="14">
        <v>2</v>
      </c>
      <c r="DZ264" s="14">
        <f>IFERROR(AVERAGE(Tabel1[[#This Row],[Do - R1a]:[Do - R1c]]),"")</f>
        <v>3.6666666666666665</v>
      </c>
      <c r="EA264" s="14">
        <v>4</v>
      </c>
      <c r="EB264" s="14">
        <v>3</v>
      </c>
      <c r="EC264" s="14">
        <v>4</v>
      </c>
      <c r="ED264" s="14">
        <v>1</v>
      </c>
      <c r="EE264" s="14">
        <f>IFERROR(AVERAGE(Tabel1[[#This Row],[Do - R1]:[Do - R5]]),"")</f>
        <v>3.1333333333333333</v>
      </c>
      <c r="EF264" s="14">
        <v>4</v>
      </c>
      <c r="EG264" s="14">
        <v>2</v>
      </c>
      <c r="EH264" s="14">
        <v>2</v>
      </c>
      <c r="EI264" s="14">
        <f>IFERROR(AVERAGE(Tabel1[[#This Row],[Do - C1a]:[Do - C1c]]),"")</f>
        <v>2.6666666666666665</v>
      </c>
      <c r="EJ264" s="14">
        <v>3</v>
      </c>
      <c r="EK264" s="14">
        <v>1</v>
      </c>
      <c r="EL264" s="14">
        <v>2</v>
      </c>
      <c r="EM264" s="14">
        <f>IFERROR(AVERAGE(Tabel1[[#This Row],[Do - C1]:[Do - C4]]),"")</f>
        <v>2.1666666666666665</v>
      </c>
      <c r="EN264" s="14">
        <v>4</v>
      </c>
      <c r="EO264" s="14">
        <v>2</v>
      </c>
      <c r="EP264" s="14">
        <v>3</v>
      </c>
      <c r="EQ264" s="14">
        <f>IFERROR(AVERAGE(Tabel1[[#This Row],[Do - F1a]:[Do - F1c]]),"")</f>
        <v>3</v>
      </c>
      <c r="ER264" s="14">
        <v>2</v>
      </c>
      <c r="ES264" s="14">
        <f>IFERROR(AVERAGE(Tabel1[[#This Row],[Do - F2a]:[Do - F2a]]),"")</f>
        <v>2</v>
      </c>
      <c r="ET264" s="14">
        <v>2</v>
      </c>
      <c r="EU264" s="14">
        <v>2</v>
      </c>
      <c r="EV264" s="14">
        <f>IFERROR(AVERAGE(Tabel1[[#This Row],[Do - F3a]:[Do - F3b]]),"")</f>
        <v>2</v>
      </c>
      <c r="EW264" s="14">
        <v>4</v>
      </c>
      <c r="EX264" s="14">
        <f>IFERROR(AVERAGE(Tabel1[[#This Row],[Do - F1]],Tabel1[[#This Row],[Do - F2]],Tabel1[[#This Row],[Do - F3]],Tabel1[[#This Row],[Do - F4]]),"")</f>
        <v>2.75</v>
      </c>
      <c r="EY264" s="14">
        <v>2</v>
      </c>
      <c r="EZ264" s="14">
        <v>2</v>
      </c>
      <c r="FA264" s="14">
        <v>4</v>
      </c>
      <c r="FB264" s="14">
        <f>IFERROR(AVERAGE(Tabel1[[#This Row],[Do - V1a]:[Do - V1c]]),"")</f>
        <v>2.6666666666666665</v>
      </c>
      <c r="FC264" s="14">
        <v>3</v>
      </c>
      <c r="FD264" s="14">
        <v>3</v>
      </c>
      <c r="FE264" s="14">
        <f>IFERROR(AVERAGE(Tabel1[[#This Row],[Do - V2a]:[Do - V2b]]),"")</f>
        <v>3</v>
      </c>
      <c r="FF264" s="14">
        <v>2</v>
      </c>
      <c r="FG264" s="14">
        <f>IFERROR(AVERAGE(Tabel1[[#This Row],[Do - V3a]:[Do - V3a]]),"")</f>
        <v>2</v>
      </c>
      <c r="FH264" s="14">
        <v>4</v>
      </c>
      <c r="FI264" s="14">
        <f>IFERROR(AVERAGE(Tabel1[[#This Row],[Do - V1]],Tabel1[[#This Row],[Do - V2]],Tabel1[[#This Row],[Do - V3]],Tabel1[[#This Row],[Do - V4]]),"")</f>
        <v>2.9166666666666665</v>
      </c>
      <c r="FJ264" s="14">
        <v>4</v>
      </c>
      <c r="FK264" s="14">
        <v>2</v>
      </c>
      <c r="FL264" s="14">
        <v>4</v>
      </c>
      <c r="FM264" s="14">
        <f>IFERROR(AVERAGE(Tabel1[[#This Row],[Do - A1a]:[Do - A1c]]),"")</f>
        <v>3.3333333333333335</v>
      </c>
      <c r="FN264" s="14">
        <v>4</v>
      </c>
      <c r="FO264" s="14">
        <v>2</v>
      </c>
      <c r="FP264" s="14">
        <f>IFERROR(AVERAGE(Tabel1[[#This Row],[Do - A2a]:[Do - A2b]]),"")</f>
        <v>3</v>
      </c>
      <c r="FQ264" s="14">
        <v>4</v>
      </c>
      <c r="FR264" s="14">
        <f>IFERROR(AVERAGE(Tabel1[[#This Row],[Do - A3a]:[Do - A3a]]),"")</f>
        <v>4</v>
      </c>
      <c r="FS264" s="14">
        <v>3</v>
      </c>
      <c r="FT264" s="14">
        <f>IFERROR(AVERAGE(Tabel1[[#This Row],[Do - A1]],Tabel1[[#This Row],[Do - A2]],Tabel1[[#This Row],[Do - A3]],Tabel1[[#This Row],[Do - A4]]),"")</f>
        <v>3.3333333333333335</v>
      </c>
      <c r="FU26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2.9027777777777777</v>
      </c>
      <c r="FV264" s="27" t="s">
        <v>1403</v>
      </c>
      <c r="FW264" t="b">
        <v>1</v>
      </c>
    </row>
    <row r="265" spans="1:179" x14ac:dyDescent="0.3">
      <c r="A265" s="13">
        <v>45409.957199074102</v>
      </c>
      <c r="B265" t="b">
        <v>0</v>
      </c>
      <c r="C265" s="14" t="s">
        <v>1404</v>
      </c>
      <c r="D265" s="14" t="s">
        <v>1405</v>
      </c>
      <c r="E265" s="14" t="s">
        <v>1406</v>
      </c>
      <c r="F265" s="14" t="s">
        <v>184</v>
      </c>
      <c r="G265" s="14" t="s">
        <v>1407</v>
      </c>
      <c r="H265" s="14" t="s">
        <v>222</v>
      </c>
      <c r="I265" s="14" t="s">
        <v>572</v>
      </c>
      <c r="J265" s="14" t="s">
        <v>1408</v>
      </c>
      <c r="K265" s="26" t="s">
        <v>304</v>
      </c>
      <c r="L265" s="14" t="s">
        <v>218</v>
      </c>
      <c r="M265" s="14" t="s">
        <v>198</v>
      </c>
      <c r="N265" s="14" t="s">
        <v>331</v>
      </c>
      <c r="O265" s="14" t="s">
        <v>200</v>
      </c>
      <c r="P265" s="24" t="s">
        <v>304</v>
      </c>
      <c r="Q265" s="17" t="s">
        <v>701</v>
      </c>
      <c r="R265" s="24" t="s">
        <v>304</v>
      </c>
      <c r="S265" s="25" t="s">
        <v>317</v>
      </c>
      <c r="T265" s="14" t="s">
        <v>284</v>
      </c>
      <c r="U265" s="14" t="s">
        <v>285</v>
      </c>
      <c r="V265" s="14" t="s">
        <v>224</v>
      </c>
      <c r="W265" s="14" t="s">
        <v>306</v>
      </c>
      <c r="X265" s="14" t="s">
        <v>305</v>
      </c>
      <c r="Y265" s="14" t="s">
        <v>189</v>
      </c>
      <c r="Z265" s="14">
        <v>3</v>
      </c>
      <c r="AA265" s="14" t="s">
        <v>189</v>
      </c>
      <c r="AB265" s="15">
        <f>IFERROR(AVERAGE(Tabel1[[#This Row],[Up - R1a]:[Up - R1c]]),"")</f>
        <v>3</v>
      </c>
      <c r="AC265" s="14" t="s">
        <v>189</v>
      </c>
      <c r="AD265" s="14">
        <v>2</v>
      </c>
      <c r="AE265" s="14" t="s">
        <v>189</v>
      </c>
      <c r="AF265" s="14" t="s">
        <v>189</v>
      </c>
      <c r="AG265" s="14">
        <f>IFERROR(AVERAGE(Tabel1[[#This Row],[Up - R1]:[Up - R5]]),"")</f>
        <v>2.5</v>
      </c>
      <c r="AH265" s="14" t="s">
        <v>189</v>
      </c>
      <c r="AI265" s="14">
        <v>3</v>
      </c>
      <c r="AJ265" s="14" t="s">
        <v>189</v>
      </c>
      <c r="AK265" s="14">
        <f>IFERROR(AVERAGE(Tabel1[[#This Row],[Up - C1a]:[Up - C1c]]),"")</f>
        <v>3</v>
      </c>
      <c r="AL265" s="14" t="s">
        <v>189</v>
      </c>
      <c r="AM265" s="14" t="s">
        <v>189</v>
      </c>
      <c r="AN265" s="14" t="s">
        <v>189</v>
      </c>
      <c r="AO265" s="14">
        <f>IFERROR(AVERAGE(Tabel1[[#This Row],[Up - C1]:[Up - C4]]),"")</f>
        <v>3</v>
      </c>
      <c r="AP265" s="14" t="s">
        <v>189</v>
      </c>
      <c r="AQ265" s="14" t="str">
        <f>IFERROR(AVERAGE(Tabel1[[#This Row],[Up - F1a]:[Up - F1a]]),"")</f>
        <v/>
      </c>
      <c r="AR265" s="14" t="s">
        <v>189</v>
      </c>
      <c r="AS265" s="14" t="s">
        <v>189</v>
      </c>
      <c r="AT265" s="14" t="str">
        <f>IFERROR(AVERAGE(Tabel1[[#This Row],[Up - F2a]:[Up - F2b]]),"")</f>
        <v/>
      </c>
      <c r="AU265" s="14" t="s">
        <v>189</v>
      </c>
      <c r="AV265" s="14">
        <v>1</v>
      </c>
      <c r="AW265" s="14">
        <f>IFERROR(AVERAGE(Tabel1[[#This Row],[Up - F3a]:[Up - F3b]]),"")</f>
        <v>1</v>
      </c>
      <c r="AX265" s="14">
        <v>2</v>
      </c>
      <c r="AY265" s="14">
        <f>IFERROR(AVERAGE(Tabel1[[#This Row],[Up - F1]],Tabel1[[#This Row],[Up - F2]],Tabel1[[#This Row],[Up - F3]],Tabel1[[#This Row],[Up - F4]]),"")</f>
        <v>1.5</v>
      </c>
      <c r="AZ265" s="14" t="s">
        <v>189</v>
      </c>
      <c r="BA265" s="14" t="s">
        <v>189</v>
      </c>
      <c r="BB265" s="14" t="str">
        <f>IFERROR(AVERAGE(Tabel1[[#This Row],[Up - V1a]:[Up - V1b]]),"")</f>
        <v/>
      </c>
      <c r="BC265" s="14" t="s">
        <v>189</v>
      </c>
      <c r="BD265" s="14" t="s">
        <v>189</v>
      </c>
      <c r="BE265" s="14" t="s">
        <v>189</v>
      </c>
      <c r="BF265" s="14" t="str">
        <f>IFERROR(AVERAGE(Tabel1[[#This Row],[Up - V2a]:[Up - V2c]]),"")</f>
        <v/>
      </c>
      <c r="BG265" s="14" t="s">
        <v>189</v>
      </c>
      <c r="BH265" s="14" t="s">
        <v>189</v>
      </c>
      <c r="BI265" s="14" t="str">
        <f>IFERROR(AVERAGE(Tabel1[[#This Row],[Up - V3a]:[Up - V3b]]),"")</f>
        <v/>
      </c>
      <c r="BJ265" s="14" t="s">
        <v>189</v>
      </c>
      <c r="BK265" s="14" t="str">
        <f>IFERROR(AVERAGE(Tabel1[[#This Row],[Up - V1]],Tabel1[[#This Row],[Up - V2]],Tabel1[[#This Row],[Up - V3]],Tabel1[[#This Row],[Up - V4]]),"")</f>
        <v/>
      </c>
      <c r="BL265" s="14">
        <v>5</v>
      </c>
      <c r="BM265" s="14">
        <v>3</v>
      </c>
      <c r="BN265" s="14" t="s">
        <v>189</v>
      </c>
      <c r="BO265" s="14">
        <v>5</v>
      </c>
      <c r="BP265" s="14">
        <f>IFERROR(AVERAGE(Tabel1[[#This Row],[Up - A1a]:[Up - A1d]]),"")</f>
        <v>4.333333333333333</v>
      </c>
      <c r="BQ265" s="14">
        <v>2</v>
      </c>
      <c r="BR265" s="14" t="s">
        <v>189</v>
      </c>
      <c r="BS265" s="14">
        <f>IFERROR(AVERAGE(Tabel1[[#This Row],[Up - A2a]:[Up - A2b]]),"")</f>
        <v>2</v>
      </c>
      <c r="BT265" s="14" t="s">
        <v>189</v>
      </c>
      <c r="BU265" s="14" t="str">
        <f>IFERROR(AVERAGE(Tabel1[[#This Row],[Up - A3a]:[Up - A3a]]),"")</f>
        <v/>
      </c>
      <c r="BV265" s="14">
        <v>3</v>
      </c>
      <c r="BW265" s="14">
        <f>IFERROR(AVERAGE(Tabel1[[#This Row],[Up - A1]],Tabel1[[#This Row],[Up - A2]],Tabel1[[#This Row],[Up - A3]]),"")</f>
        <v>3.1666666666666665</v>
      </c>
      <c r="BX265" s="14">
        <v>2</v>
      </c>
      <c r="BY265" s="14" t="s">
        <v>189</v>
      </c>
      <c r="BZ265" s="14">
        <f>IFERROR(AVERAGE(Tabel1[[#This Row],[In - R1a]:[In - R1b]]),"")</f>
        <v>2</v>
      </c>
      <c r="CA265" s="14" t="s">
        <v>189</v>
      </c>
      <c r="CB265" s="14">
        <v>2</v>
      </c>
      <c r="CC265" s="14" t="s">
        <v>189</v>
      </c>
      <c r="CD265" s="14">
        <v>4</v>
      </c>
      <c r="CE265" s="14">
        <f>IFERROR(AVERAGE(Tabel1[[#This Row],[In - R1]:[In - R5]]),"")</f>
        <v>2.6666666666666665</v>
      </c>
      <c r="CF265" s="14">
        <v>5</v>
      </c>
      <c r="CG265" s="14">
        <v>4</v>
      </c>
      <c r="CH265" s="14">
        <v>4</v>
      </c>
      <c r="CI265" s="14">
        <f>IFERROR(AVERAGE(Tabel1[[#This Row],[In - C1a]:[In - C1c]]),"")</f>
        <v>4.333333333333333</v>
      </c>
      <c r="CJ265" s="14">
        <v>3</v>
      </c>
      <c r="CK265" s="14">
        <v>5</v>
      </c>
      <c r="CL265" s="14">
        <v>3</v>
      </c>
      <c r="CM265" s="14">
        <f>IFERROR(AVERAGE(Tabel1[[#This Row],[In - C1]:[In - C4]]),"")</f>
        <v>3.833333333333333</v>
      </c>
      <c r="CN265" s="14">
        <v>4</v>
      </c>
      <c r="CO265" s="14">
        <v>1</v>
      </c>
      <c r="CP265" s="14">
        <v>5</v>
      </c>
      <c r="CQ265" s="14">
        <f>IFERROR(AVERAGE(Tabel1[[#This Row],[In - F1a]:[In - F1c]]),"")</f>
        <v>3.3333333333333335</v>
      </c>
      <c r="CR265" s="14" t="s">
        <v>189</v>
      </c>
      <c r="CS265" s="14">
        <v>2</v>
      </c>
      <c r="CT265" s="14">
        <f>IFERROR(AVERAGE(Tabel1[[#This Row],[In - F2a]:[In - F2b]]),"")</f>
        <v>2</v>
      </c>
      <c r="CU265" s="14" t="s">
        <v>189</v>
      </c>
      <c r="CV265" s="14" t="str">
        <f>IFERROR(AVERAGE(Tabel1[[#This Row],[In - F3a]:[In - F3a]]),"")</f>
        <v/>
      </c>
      <c r="CW265" s="14">
        <v>2</v>
      </c>
      <c r="CX265" s="14">
        <f>IFERROR(AVERAGE(Tabel1[[#This Row],[In - F1]],Tabel1[[#This Row],[In - F2]],Tabel1[[#This Row],[In - F3]],Tabel1[[#This Row],[In - F4]]),"")</f>
        <v>2.4444444444444446</v>
      </c>
      <c r="CY265" s="14">
        <v>3</v>
      </c>
      <c r="CZ265" s="14">
        <v>2</v>
      </c>
      <c r="DA265" s="14">
        <v>1</v>
      </c>
      <c r="DB265" s="14">
        <f>IFERROR(AVERAGE(Tabel1[[#This Row],[In - V1a]:[In - V1c]]),"")</f>
        <v>2</v>
      </c>
      <c r="DC265" s="14" t="s">
        <v>189</v>
      </c>
      <c r="DD265" s="14" t="s">
        <v>189</v>
      </c>
      <c r="DE265" s="14">
        <v>2</v>
      </c>
      <c r="DF265" s="14">
        <f>IFERROR(AVERAGE(Tabel1[[#This Row],[In - V2a]:[In - V2c]]),"")</f>
        <v>2</v>
      </c>
      <c r="DG265" s="14">
        <v>2</v>
      </c>
      <c r="DH265" s="14">
        <v>3</v>
      </c>
      <c r="DI265" s="14">
        <f>IFERROR(AVERAGE(Tabel1[[#This Row],[In - V3a]:[In - V3b]]),"")</f>
        <v>2.5</v>
      </c>
      <c r="DJ265" s="14">
        <v>3</v>
      </c>
      <c r="DK265" s="14">
        <f>IFERROR(AVERAGE(Tabel1[[#This Row],[In - V1]],Tabel1[[#This Row],[In - V2]],Tabel1[[#This Row],[In - V3]],Tabel1[[#This Row],[In - V4]]),"")</f>
        <v>2.375</v>
      </c>
      <c r="DL265" s="14">
        <v>3</v>
      </c>
      <c r="DM265" s="14">
        <v>3</v>
      </c>
      <c r="DN265" s="14">
        <f>IFERROR(AVERAGE(Tabel1[[#This Row],[In - A1a]:[In - A1b]]),"")</f>
        <v>3</v>
      </c>
      <c r="DO265" s="14" t="s">
        <v>189</v>
      </c>
      <c r="DP265" s="14">
        <v>2</v>
      </c>
      <c r="DQ265" s="14">
        <f>IFERROR(AVERAGE(Tabel1[[#This Row],[In - A2a]:[In - A2b]]),"")</f>
        <v>2</v>
      </c>
      <c r="DR265" s="14">
        <v>5</v>
      </c>
      <c r="DS265" s="14">
        <v>4</v>
      </c>
      <c r="DT265" s="14">
        <f>IFERROR(AVERAGE(Tabel1[[#This Row],[In - A3a]:[In - A3a]]),"")</f>
        <v>5</v>
      </c>
      <c r="DU265" s="14">
        <v>3</v>
      </c>
      <c r="DV265" s="14">
        <f>IFERROR(AVERAGE(Tabel1[[#This Row],[In - A1]],Tabel1[[#This Row],[In - A2]],Tabel1[[#This Row],[In - A3]],Tabel1[[#This Row],[In - A4]]),"")</f>
        <v>3.25</v>
      </c>
      <c r="DW265" s="14">
        <v>4</v>
      </c>
      <c r="DX265" s="14">
        <v>5</v>
      </c>
      <c r="DY265" s="14">
        <v>4</v>
      </c>
      <c r="DZ265" s="14">
        <f>IFERROR(AVERAGE(Tabel1[[#This Row],[Do - R1a]:[Do - R1c]]),"")</f>
        <v>4.333333333333333</v>
      </c>
      <c r="EA265" s="14" t="s">
        <v>189</v>
      </c>
      <c r="EB265" s="14">
        <v>3</v>
      </c>
      <c r="EC265" s="14">
        <v>4</v>
      </c>
      <c r="ED265" s="14">
        <v>4</v>
      </c>
      <c r="EE265" s="14">
        <f>IFERROR(AVERAGE(Tabel1[[#This Row],[Do - R1]:[Do - R5]]),"")</f>
        <v>3.833333333333333</v>
      </c>
      <c r="EF265" s="14">
        <v>5</v>
      </c>
      <c r="EG265" s="14">
        <v>5</v>
      </c>
      <c r="EH265" s="14">
        <v>4</v>
      </c>
      <c r="EI265" s="14">
        <f>IFERROR(AVERAGE(Tabel1[[#This Row],[Do - C1a]:[Do - C1c]]),"")</f>
        <v>4.666666666666667</v>
      </c>
      <c r="EJ265" s="14">
        <v>3</v>
      </c>
      <c r="EK265" s="14">
        <v>2</v>
      </c>
      <c r="EL265" s="14">
        <v>2</v>
      </c>
      <c r="EM265" s="14">
        <f>IFERROR(AVERAGE(Tabel1[[#This Row],[Do - C1]:[Do - C4]]),"")</f>
        <v>2.916666666666667</v>
      </c>
      <c r="EN265" s="14">
        <v>5</v>
      </c>
      <c r="EO265" s="14" t="s">
        <v>189</v>
      </c>
      <c r="EP265" s="14" t="s">
        <v>189</v>
      </c>
      <c r="EQ265" s="14">
        <f>IFERROR(AVERAGE(Tabel1[[#This Row],[Do - F1a]:[Do - F1c]]),"")</f>
        <v>5</v>
      </c>
      <c r="ER265" s="14">
        <v>3</v>
      </c>
      <c r="ES265" s="14">
        <f>IFERROR(AVERAGE(Tabel1[[#This Row],[Do - F2a]:[Do - F2a]]),"")</f>
        <v>3</v>
      </c>
      <c r="ET265" s="14" t="s">
        <v>189</v>
      </c>
      <c r="EU265" s="14" t="s">
        <v>189</v>
      </c>
      <c r="EV265" s="14" t="str">
        <f>IFERROR(AVERAGE(Tabel1[[#This Row],[Do - F3a]:[Do - F3b]]),"")</f>
        <v/>
      </c>
      <c r="EW265" s="14">
        <v>2</v>
      </c>
      <c r="EX265" s="14">
        <f>IFERROR(AVERAGE(Tabel1[[#This Row],[Do - F1]],Tabel1[[#This Row],[Do - F2]],Tabel1[[#This Row],[Do - F3]],Tabel1[[#This Row],[Do - F4]]),"")</f>
        <v>3.3333333333333335</v>
      </c>
      <c r="EY265" s="14">
        <v>4</v>
      </c>
      <c r="EZ265" s="14">
        <v>1</v>
      </c>
      <c r="FA265" s="14">
        <v>4</v>
      </c>
      <c r="FB265" s="14">
        <f>IFERROR(AVERAGE(Tabel1[[#This Row],[Do - V1a]:[Do - V1c]]),"")</f>
        <v>3</v>
      </c>
      <c r="FC265" s="14">
        <v>1</v>
      </c>
      <c r="FD265" s="14" t="s">
        <v>189</v>
      </c>
      <c r="FE265" s="14">
        <f>IFERROR(AVERAGE(Tabel1[[#This Row],[Do - V2a]:[Do - V2b]]),"")</f>
        <v>1</v>
      </c>
      <c r="FF265" s="14">
        <v>5</v>
      </c>
      <c r="FG265" s="14">
        <f>IFERROR(AVERAGE(Tabel1[[#This Row],[Do - V3a]:[Do - V3a]]),"")</f>
        <v>5</v>
      </c>
      <c r="FH265" s="14">
        <v>5</v>
      </c>
      <c r="FI265" s="14">
        <f>IFERROR(AVERAGE(Tabel1[[#This Row],[Do - V1]],Tabel1[[#This Row],[Do - V2]],Tabel1[[#This Row],[Do - V3]],Tabel1[[#This Row],[Do - V4]]),"")</f>
        <v>3.5</v>
      </c>
      <c r="FJ265" s="14" t="s">
        <v>189</v>
      </c>
      <c r="FK265" s="14">
        <v>5</v>
      </c>
      <c r="FL265" s="14">
        <v>3</v>
      </c>
      <c r="FM265" s="14">
        <f>IFERROR(AVERAGE(Tabel1[[#This Row],[Do - A1a]:[Do - A1c]]),"")</f>
        <v>4</v>
      </c>
      <c r="FN265" s="14" t="s">
        <v>189</v>
      </c>
      <c r="FO265" s="14" t="s">
        <v>189</v>
      </c>
      <c r="FP265" s="14" t="str">
        <f>IFERROR(AVERAGE(Tabel1[[#This Row],[Do - A2a]:[Do - A2b]]),"")</f>
        <v/>
      </c>
      <c r="FQ265" s="14">
        <v>5</v>
      </c>
      <c r="FR265" s="14">
        <f>IFERROR(AVERAGE(Tabel1[[#This Row],[Do - A3a]:[Do - A3a]]),"")</f>
        <v>5</v>
      </c>
      <c r="FS265" s="14">
        <v>3</v>
      </c>
      <c r="FT265" s="14">
        <f>IFERROR(AVERAGE(Tabel1[[#This Row],[Do - A1]],Tabel1[[#This Row],[Do - A2]],Tabel1[[#This Row],[Do - A3]],Tabel1[[#This Row],[Do - A4]]),"")</f>
        <v>4</v>
      </c>
      <c r="FU26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3.02281746031746</v>
      </c>
      <c r="FV265" s="27" t="s">
        <v>1409</v>
      </c>
      <c r="FW265" t="b">
        <v>1</v>
      </c>
    </row>
    <row r="266" spans="1:179" x14ac:dyDescent="0.3">
      <c r="A266" s="13">
        <v>45411.339953703697</v>
      </c>
      <c r="B266" t="b">
        <v>0</v>
      </c>
      <c r="C266" s="14" t="s">
        <v>1410</v>
      </c>
      <c r="D266" s="14" t="s">
        <v>1368</v>
      </c>
      <c r="E266" s="14" t="s">
        <v>1411</v>
      </c>
      <c r="F266" s="14" t="s">
        <v>184</v>
      </c>
      <c r="G266" s="14" t="s">
        <v>1412</v>
      </c>
      <c r="H266" s="14" t="s">
        <v>222</v>
      </c>
      <c r="I266" s="14" t="s">
        <v>542</v>
      </c>
      <c r="J266" s="14" t="s">
        <v>922</v>
      </c>
      <c r="K266" s="26" t="s">
        <v>304</v>
      </c>
      <c r="L266" s="14" t="s">
        <v>249</v>
      </c>
      <c r="M266" s="14" t="s">
        <v>198</v>
      </c>
      <c r="N266" s="14" t="s">
        <v>262</v>
      </c>
      <c r="O266" s="14" t="s">
        <v>200</v>
      </c>
      <c r="P266" s="24" t="s">
        <v>304</v>
      </c>
      <c r="Q266" s="17" t="s">
        <v>203</v>
      </c>
      <c r="R266" s="24" t="s">
        <v>304</v>
      </c>
      <c r="S266" s="24" t="s">
        <v>255</v>
      </c>
      <c r="T266" s="14" t="s">
        <v>204</v>
      </c>
      <c r="U266" s="14" t="s">
        <v>285</v>
      </c>
      <c r="V266" s="14" t="s">
        <v>224</v>
      </c>
      <c r="W266" s="14" t="s">
        <v>207</v>
      </c>
      <c r="X266" s="14" t="s">
        <v>207</v>
      </c>
      <c r="Y266" s="14">
        <v>2</v>
      </c>
      <c r="Z266" s="14">
        <v>4</v>
      </c>
      <c r="AA266" s="14">
        <v>5</v>
      </c>
      <c r="AB266" s="15">
        <f>IFERROR(AVERAGE(Tabel1[[#This Row],[Up - R1a]:[Up - R1c]]),"")</f>
        <v>3.6666666666666665</v>
      </c>
      <c r="AC266" s="14" t="s">
        <v>189</v>
      </c>
      <c r="AD266" s="14" t="s">
        <v>189</v>
      </c>
      <c r="AE266" s="14" t="s">
        <v>189</v>
      </c>
      <c r="AF266" s="14" t="s">
        <v>189</v>
      </c>
      <c r="AG266" s="14">
        <f>IFERROR(AVERAGE(Tabel1[[#This Row],[Up - R1]:[Up - R5]]),"")</f>
        <v>3.6666666666666665</v>
      </c>
      <c r="AH266" s="14">
        <v>4</v>
      </c>
      <c r="AI266" s="14">
        <v>2</v>
      </c>
      <c r="AJ266" s="14">
        <v>1</v>
      </c>
      <c r="AK266" s="14">
        <f>IFERROR(AVERAGE(Tabel1[[#This Row],[Up - C1a]:[Up - C1c]]),"")</f>
        <v>2.3333333333333335</v>
      </c>
      <c r="AL266" s="14">
        <v>1</v>
      </c>
      <c r="AM266" s="14">
        <v>1</v>
      </c>
      <c r="AN266" s="14" t="s">
        <v>189</v>
      </c>
      <c r="AO266" s="14">
        <f>IFERROR(AVERAGE(Tabel1[[#This Row],[Up - C1]:[Up - C4]]),"")</f>
        <v>1.4444444444444446</v>
      </c>
      <c r="AP266" s="14" t="s">
        <v>189</v>
      </c>
      <c r="AQ266" s="14" t="str">
        <f>IFERROR(AVERAGE(Tabel1[[#This Row],[Up - F1a]:[Up - F1a]]),"")</f>
        <v/>
      </c>
      <c r="AR266" s="14" t="s">
        <v>189</v>
      </c>
      <c r="AS266" s="14" t="s">
        <v>189</v>
      </c>
      <c r="AT266" s="14" t="str">
        <f>IFERROR(AVERAGE(Tabel1[[#This Row],[Up - F2a]:[Up - F2b]]),"")</f>
        <v/>
      </c>
      <c r="AU266" s="14" t="s">
        <v>189</v>
      </c>
      <c r="AV266" s="14" t="s">
        <v>189</v>
      </c>
      <c r="AW266" s="14" t="str">
        <f>IFERROR(AVERAGE(Tabel1[[#This Row],[Up - F3a]:[Up - F3b]]),"")</f>
        <v/>
      </c>
      <c r="AX266" s="14">
        <v>1</v>
      </c>
      <c r="AY266" s="14">
        <f>IFERROR(AVERAGE(Tabel1[[#This Row],[Up - F1]],Tabel1[[#This Row],[Up - F2]],Tabel1[[#This Row],[Up - F3]],Tabel1[[#This Row],[Up - F4]]),"")</f>
        <v>1</v>
      </c>
      <c r="AZ266" s="14" t="s">
        <v>189</v>
      </c>
      <c r="BA266" s="14">
        <v>1</v>
      </c>
      <c r="BB266" s="14">
        <f>IFERROR(AVERAGE(Tabel1[[#This Row],[Up - V1a]:[Up - V1b]]),"")</f>
        <v>1</v>
      </c>
      <c r="BC266" s="14" t="s">
        <v>189</v>
      </c>
      <c r="BD266" s="14" t="s">
        <v>189</v>
      </c>
      <c r="BE266" s="14" t="s">
        <v>189</v>
      </c>
      <c r="BF266" s="14" t="str">
        <f>IFERROR(AVERAGE(Tabel1[[#This Row],[Up - V2a]:[Up - V2c]]),"")</f>
        <v/>
      </c>
      <c r="BG266" s="14">
        <v>5</v>
      </c>
      <c r="BH266" s="14" t="s">
        <v>189</v>
      </c>
      <c r="BI266" s="14">
        <f>IFERROR(AVERAGE(Tabel1[[#This Row],[Up - V3a]:[Up - V3b]]),"")</f>
        <v>5</v>
      </c>
      <c r="BJ266" s="14">
        <v>1</v>
      </c>
      <c r="BK266" s="14">
        <f>IFERROR(AVERAGE(Tabel1[[#This Row],[Up - V1]],Tabel1[[#This Row],[Up - V2]],Tabel1[[#This Row],[Up - V3]],Tabel1[[#This Row],[Up - V4]]),"")</f>
        <v>2.3333333333333335</v>
      </c>
      <c r="BL266" s="14" t="s">
        <v>189</v>
      </c>
      <c r="BM266" s="14">
        <v>4</v>
      </c>
      <c r="BN266" s="14">
        <v>3</v>
      </c>
      <c r="BO266" s="14">
        <v>2</v>
      </c>
      <c r="BP266" s="14">
        <f>IFERROR(AVERAGE(Tabel1[[#This Row],[Up - A1a]:[Up - A1d]]),"")</f>
        <v>3</v>
      </c>
      <c r="BQ266" s="14" t="s">
        <v>189</v>
      </c>
      <c r="BR266" s="14" t="s">
        <v>189</v>
      </c>
      <c r="BS266" s="14" t="str">
        <f>IFERROR(AVERAGE(Tabel1[[#This Row],[Up - A2a]:[Up - A2b]]),"")</f>
        <v/>
      </c>
      <c r="BT266" s="14">
        <v>1</v>
      </c>
      <c r="BU266" s="14">
        <f>IFERROR(AVERAGE(Tabel1[[#This Row],[Up - A3a]:[Up - A3a]]),"")</f>
        <v>1</v>
      </c>
      <c r="BV266" s="14">
        <v>2</v>
      </c>
      <c r="BW266" s="14">
        <f>IFERROR(AVERAGE(Tabel1[[#This Row],[Up - A1]],Tabel1[[#This Row],[Up - A2]],Tabel1[[#This Row],[Up - A3]]),"")</f>
        <v>2</v>
      </c>
      <c r="BX266" s="14">
        <v>1</v>
      </c>
      <c r="BY266" s="14" t="s">
        <v>189</v>
      </c>
      <c r="BZ266" s="14">
        <f>IFERROR(AVERAGE(Tabel1[[#This Row],[In - R1a]:[In - R1b]]),"")</f>
        <v>1</v>
      </c>
      <c r="CA266" s="14" t="s">
        <v>189</v>
      </c>
      <c r="CB266" s="14" t="s">
        <v>189</v>
      </c>
      <c r="CC266" s="14">
        <v>2</v>
      </c>
      <c r="CD266" s="14">
        <v>1</v>
      </c>
      <c r="CE266" s="14">
        <f>IFERROR(AVERAGE(Tabel1[[#This Row],[In - R1]:[In - R5]]),"")</f>
        <v>1.3333333333333333</v>
      </c>
      <c r="CF266" s="14">
        <v>2</v>
      </c>
      <c r="CG266" s="14">
        <v>1</v>
      </c>
      <c r="CH266" s="14">
        <v>2</v>
      </c>
      <c r="CI266" s="14">
        <f>IFERROR(AVERAGE(Tabel1[[#This Row],[In - C1a]:[In - C1c]]),"")</f>
        <v>1.6666666666666667</v>
      </c>
      <c r="CJ266" s="14">
        <v>3</v>
      </c>
      <c r="CK266" s="14">
        <v>2</v>
      </c>
      <c r="CL266" s="14">
        <v>2</v>
      </c>
      <c r="CM266" s="14">
        <f>IFERROR(AVERAGE(Tabel1[[#This Row],[In - C1]:[In - C4]]),"")</f>
        <v>2.166666666666667</v>
      </c>
      <c r="CN266" s="14">
        <v>3</v>
      </c>
      <c r="CO266" s="14">
        <v>2</v>
      </c>
      <c r="CP266" s="14">
        <v>4</v>
      </c>
      <c r="CQ266" s="14">
        <f>IFERROR(AVERAGE(Tabel1[[#This Row],[In - F1a]:[In - F1c]]),"")</f>
        <v>3</v>
      </c>
      <c r="CR266" s="14" t="s">
        <v>189</v>
      </c>
      <c r="CS266" s="14" t="s">
        <v>189</v>
      </c>
      <c r="CT266" s="14" t="str">
        <f>IFERROR(AVERAGE(Tabel1[[#This Row],[In - F2a]:[In - F2b]]),"")</f>
        <v/>
      </c>
      <c r="CU266" s="14" t="s">
        <v>189</v>
      </c>
      <c r="CV266" s="14" t="str">
        <f>IFERROR(AVERAGE(Tabel1[[#This Row],[In - F3a]:[In - F3a]]),"")</f>
        <v/>
      </c>
      <c r="CW266" s="14">
        <v>1</v>
      </c>
      <c r="CX266" s="14">
        <f>IFERROR(AVERAGE(Tabel1[[#This Row],[In - F1]],Tabel1[[#This Row],[In - F2]],Tabel1[[#This Row],[In - F3]],Tabel1[[#This Row],[In - F4]]),"")</f>
        <v>2</v>
      </c>
      <c r="CY266" s="14">
        <v>2</v>
      </c>
      <c r="CZ266" s="14">
        <v>2</v>
      </c>
      <c r="DA266" s="14">
        <v>2</v>
      </c>
      <c r="DB266" s="14">
        <f>IFERROR(AVERAGE(Tabel1[[#This Row],[In - V1a]:[In - V1c]]),"")</f>
        <v>2</v>
      </c>
      <c r="DC266" s="14">
        <v>1</v>
      </c>
      <c r="DD266" s="14">
        <v>2</v>
      </c>
      <c r="DE266" s="14">
        <v>1</v>
      </c>
      <c r="DF266" s="14">
        <f>IFERROR(AVERAGE(Tabel1[[#This Row],[In - V2a]:[In - V2c]]),"")</f>
        <v>1.3333333333333333</v>
      </c>
      <c r="DG266" s="14">
        <v>2</v>
      </c>
      <c r="DH266" s="14">
        <v>1</v>
      </c>
      <c r="DI266" s="14">
        <f>IFERROR(AVERAGE(Tabel1[[#This Row],[In - V3a]:[In - V3b]]),"")</f>
        <v>1.5</v>
      </c>
      <c r="DJ266" s="14">
        <v>2</v>
      </c>
      <c r="DK266" s="14">
        <f>IFERROR(AVERAGE(Tabel1[[#This Row],[In - V1]],Tabel1[[#This Row],[In - V2]],Tabel1[[#This Row],[In - V3]],Tabel1[[#This Row],[In - V4]]),"")</f>
        <v>1.7083333333333333</v>
      </c>
      <c r="DL266" s="14">
        <v>2</v>
      </c>
      <c r="DM266" s="14" t="s">
        <v>189</v>
      </c>
      <c r="DN266" s="14">
        <f>IFERROR(AVERAGE(Tabel1[[#This Row],[In - A1a]:[In - A1b]]),"")</f>
        <v>2</v>
      </c>
      <c r="DO266" s="14" t="s">
        <v>189</v>
      </c>
      <c r="DP266" s="14">
        <v>2</v>
      </c>
      <c r="DQ266" s="14">
        <f>IFERROR(AVERAGE(Tabel1[[#This Row],[In - A2a]:[In - A2b]]),"")</f>
        <v>2</v>
      </c>
      <c r="DR266" s="14">
        <v>3</v>
      </c>
      <c r="DS266" s="14">
        <v>2</v>
      </c>
      <c r="DT266" s="14">
        <f>IFERROR(AVERAGE(Tabel1[[#This Row],[In - A3a]:[In - A3a]]),"")</f>
        <v>3</v>
      </c>
      <c r="DU266" s="14">
        <v>1</v>
      </c>
      <c r="DV266" s="14">
        <f>IFERROR(AVERAGE(Tabel1[[#This Row],[In - A1]],Tabel1[[#This Row],[In - A2]],Tabel1[[#This Row],[In - A3]],Tabel1[[#This Row],[In - A4]]),"")</f>
        <v>2</v>
      </c>
      <c r="DW266" s="14">
        <v>2</v>
      </c>
      <c r="DX266" s="14">
        <v>5</v>
      </c>
      <c r="DY266" s="14">
        <v>1</v>
      </c>
      <c r="DZ266" s="14">
        <f>IFERROR(AVERAGE(Tabel1[[#This Row],[Do - R1a]:[Do - R1c]]),"")</f>
        <v>2.6666666666666665</v>
      </c>
      <c r="EA266" s="14" t="s">
        <v>189</v>
      </c>
      <c r="EB266" s="14" t="s">
        <v>189</v>
      </c>
      <c r="EC266" s="14" t="s">
        <v>189</v>
      </c>
      <c r="ED266" s="14">
        <v>2</v>
      </c>
      <c r="EE266" s="14">
        <f>IFERROR(AVERAGE(Tabel1[[#This Row],[Do - R1]:[Do - R5]]),"")</f>
        <v>2.333333333333333</v>
      </c>
      <c r="EF266" s="14">
        <v>3</v>
      </c>
      <c r="EG266" s="14">
        <v>1</v>
      </c>
      <c r="EH266" s="14">
        <v>2</v>
      </c>
      <c r="EI266" s="14">
        <f>IFERROR(AVERAGE(Tabel1[[#This Row],[Do - C1a]:[Do - C1c]]),"")</f>
        <v>2</v>
      </c>
      <c r="EJ266" s="14">
        <v>1</v>
      </c>
      <c r="EK266" s="14">
        <v>1</v>
      </c>
      <c r="EL266" s="14" t="s">
        <v>189</v>
      </c>
      <c r="EM266" s="14">
        <f>IFERROR(AVERAGE(Tabel1[[#This Row],[Do - C1]:[Do - C4]]),"")</f>
        <v>1.3333333333333333</v>
      </c>
      <c r="EN266" s="14">
        <v>2</v>
      </c>
      <c r="EO266" s="14">
        <v>1</v>
      </c>
      <c r="EP266" s="14">
        <v>1</v>
      </c>
      <c r="EQ266" s="14">
        <f>IFERROR(AVERAGE(Tabel1[[#This Row],[Do - F1a]:[Do - F1c]]),"")</f>
        <v>1.3333333333333333</v>
      </c>
      <c r="ER266" s="14" t="s">
        <v>189</v>
      </c>
      <c r="ES266" s="14" t="str">
        <f>IFERROR(AVERAGE(Tabel1[[#This Row],[Do - F2a]:[Do - F2a]]),"")</f>
        <v/>
      </c>
      <c r="ET266" s="14" t="s">
        <v>189</v>
      </c>
      <c r="EU266" s="14" t="s">
        <v>189</v>
      </c>
      <c r="EV266" s="14" t="str">
        <f>IFERROR(AVERAGE(Tabel1[[#This Row],[Do - F3a]:[Do - F3b]]),"")</f>
        <v/>
      </c>
      <c r="EW266" s="14">
        <v>1</v>
      </c>
      <c r="EX266" s="14">
        <f>IFERROR(AVERAGE(Tabel1[[#This Row],[Do - F1]],Tabel1[[#This Row],[Do - F2]],Tabel1[[#This Row],[Do - F3]],Tabel1[[#This Row],[Do - F4]]),"")</f>
        <v>1.1666666666666665</v>
      </c>
      <c r="EY266" s="14" t="s">
        <v>189</v>
      </c>
      <c r="EZ266" s="14" t="s">
        <v>189</v>
      </c>
      <c r="FA266" s="14">
        <v>2</v>
      </c>
      <c r="FB266" s="14">
        <f>IFERROR(AVERAGE(Tabel1[[#This Row],[Do - V1a]:[Do - V1c]]),"")</f>
        <v>2</v>
      </c>
      <c r="FC266" s="14">
        <v>1</v>
      </c>
      <c r="FD266" s="14" t="s">
        <v>189</v>
      </c>
      <c r="FE266" s="14">
        <f>IFERROR(AVERAGE(Tabel1[[#This Row],[Do - V2a]:[Do - V2b]]),"")</f>
        <v>1</v>
      </c>
      <c r="FF266" s="14">
        <v>2</v>
      </c>
      <c r="FG266" s="14">
        <f>IFERROR(AVERAGE(Tabel1[[#This Row],[Do - V3a]:[Do - V3a]]),"")</f>
        <v>2</v>
      </c>
      <c r="FH266" s="14">
        <v>2</v>
      </c>
      <c r="FI266" s="14">
        <f>IFERROR(AVERAGE(Tabel1[[#This Row],[Do - V1]],Tabel1[[#This Row],[Do - V2]],Tabel1[[#This Row],[Do - V3]],Tabel1[[#This Row],[Do - V4]]),"")</f>
        <v>1.75</v>
      </c>
      <c r="FJ266" s="14" t="s">
        <v>189</v>
      </c>
      <c r="FK266" s="14">
        <v>2</v>
      </c>
      <c r="FL266" s="14">
        <v>3</v>
      </c>
      <c r="FM266" s="14">
        <f>IFERROR(AVERAGE(Tabel1[[#This Row],[Do - A1a]:[Do - A1c]]),"")</f>
        <v>2.5</v>
      </c>
      <c r="FN266" s="14" t="s">
        <v>189</v>
      </c>
      <c r="FO266" s="14" t="s">
        <v>189</v>
      </c>
      <c r="FP266" s="14" t="str">
        <f>IFERROR(AVERAGE(Tabel1[[#This Row],[Do - A2a]:[Do - A2b]]),"")</f>
        <v/>
      </c>
      <c r="FQ266" s="14">
        <v>3</v>
      </c>
      <c r="FR266" s="14">
        <f>IFERROR(AVERAGE(Tabel1[[#This Row],[Do - A3a]:[Do - A3a]]),"")</f>
        <v>3</v>
      </c>
      <c r="FS266" s="14">
        <v>2</v>
      </c>
      <c r="FT266" s="14">
        <f>IFERROR(AVERAGE(Tabel1[[#This Row],[Do - A1]],Tabel1[[#This Row],[Do - A2]],Tabel1[[#This Row],[Do - A3]],Tabel1[[#This Row],[Do - A4]]),"")</f>
        <v>2.5</v>
      </c>
      <c r="FU26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1.9157407407407407</v>
      </c>
      <c r="FV266" s="27" t="s">
        <v>1413</v>
      </c>
      <c r="FW266" t="b">
        <v>1</v>
      </c>
    </row>
    <row r="267" spans="1:179" x14ac:dyDescent="0.3">
      <c r="A267" s="13">
        <v>45411.5472800926</v>
      </c>
      <c r="B267" t="b">
        <v>0</v>
      </c>
      <c r="C267" s="14" t="s">
        <v>1414</v>
      </c>
      <c r="D267" s="14" t="s">
        <v>1415</v>
      </c>
      <c r="E267" s="14" t="s">
        <v>1416</v>
      </c>
      <c r="F267" s="14" t="s">
        <v>184</v>
      </c>
      <c r="G267" s="14" t="s">
        <v>1417</v>
      </c>
      <c r="H267" s="14" t="s">
        <v>222</v>
      </c>
      <c r="I267" s="14" t="s">
        <v>417</v>
      </c>
      <c r="J267" s="14" t="s">
        <v>418</v>
      </c>
      <c r="K267" s="28" t="s">
        <v>203</v>
      </c>
      <c r="L267" s="14"/>
      <c r="M267" s="14"/>
      <c r="N267" s="14"/>
      <c r="O267" s="14" t="s">
        <v>200</v>
      </c>
      <c r="P267" s="25"/>
      <c r="Q267" s="17" t="s">
        <v>202</v>
      </c>
      <c r="R267" s="25" t="s">
        <v>202</v>
      </c>
      <c r="S267" s="25" t="s">
        <v>201</v>
      </c>
      <c r="T267" s="14" t="s">
        <v>348</v>
      </c>
      <c r="U267" s="14" t="s">
        <v>285</v>
      </c>
      <c r="V267" s="14" t="s">
        <v>359</v>
      </c>
      <c r="W267" s="14" t="s">
        <v>306</v>
      </c>
      <c r="X267" s="14" t="s">
        <v>306</v>
      </c>
      <c r="Y267" s="14">
        <v>4</v>
      </c>
      <c r="Z267" s="14">
        <v>5</v>
      </c>
      <c r="AA267" s="14">
        <v>2</v>
      </c>
      <c r="AB267" s="15">
        <f>IFERROR(AVERAGE(Tabel1[[#This Row],[Up - R1a]:[Up - R1c]]),"")</f>
        <v>3.6666666666666665</v>
      </c>
      <c r="AC267" s="14">
        <v>2</v>
      </c>
      <c r="AD267" s="14">
        <v>4</v>
      </c>
      <c r="AE267" s="14">
        <v>3</v>
      </c>
      <c r="AF267" s="14">
        <v>3</v>
      </c>
      <c r="AG267" s="14">
        <f>IFERROR(AVERAGE(Tabel1[[#This Row],[Up - R1]:[Up - R5]]),"")</f>
        <v>3.1333333333333333</v>
      </c>
      <c r="AH267" s="14">
        <v>4</v>
      </c>
      <c r="AI267" s="14">
        <v>3</v>
      </c>
      <c r="AJ267" s="14">
        <v>2</v>
      </c>
      <c r="AK267" s="14">
        <f>IFERROR(AVERAGE(Tabel1[[#This Row],[Up - C1a]:[Up - C1c]]),"")</f>
        <v>3</v>
      </c>
      <c r="AL267" s="14">
        <v>3</v>
      </c>
      <c r="AM267" s="14">
        <v>3</v>
      </c>
      <c r="AN267" s="14">
        <v>1</v>
      </c>
      <c r="AO267" s="14">
        <f>IFERROR(AVERAGE(Tabel1[[#This Row],[Up - C1]:[Up - C4]]),"")</f>
        <v>2.5</v>
      </c>
      <c r="AP267" s="14" t="s">
        <v>189</v>
      </c>
      <c r="AQ267" s="14" t="str">
        <f>IFERROR(AVERAGE(Tabel1[[#This Row],[Up - F1a]:[Up - F1a]]),"")</f>
        <v/>
      </c>
      <c r="AR267" s="14">
        <v>4</v>
      </c>
      <c r="AS267" s="14" t="s">
        <v>189</v>
      </c>
      <c r="AT267" s="14">
        <f>IFERROR(AVERAGE(Tabel1[[#This Row],[Up - F2a]:[Up - F2b]]),"")</f>
        <v>4</v>
      </c>
      <c r="AU267" s="14">
        <v>3</v>
      </c>
      <c r="AV267" s="14">
        <v>4</v>
      </c>
      <c r="AW267" s="14">
        <f>IFERROR(AVERAGE(Tabel1[[#This Row],[Up - F3a]:[Up - F3b]]),"")</f>
        <v>3.5</v>
      </c>
      <c r="AX267" s="14">
        <v>1</v>
      </c>
      <c r="AY267" s="14">
        <f>IFERROR(AVERAGE(Tabel1[[#This Row],[Up - F1]],Tabel1[[#This Row],[Up - F2]],Tabel1[[#This Row],[Up - F3]],Tabel1[[#This Row],[Up - F4]]),"")</f>
        <v>2.8333333333333335</v>
      </c>
      <c r="AZ267" s="14">
        <v>3</v>
      </c>
      <c r="BA267" s="14">
        <v>2</v>
      </c>
      <c r="BB267" s="14">
        <f>IFERROR(AVERAGE(Tabel1[[#This Row],[Up - V1a]:[Up - V1b]]),"")</f>
        <v>2.5</v>
      </c>
      <c r="BC267" s="14">
        <v>3</v>
      </c>
      <c r="BD267" s="14">
        <v>3</v>
      </c>
      <c r="BE267" s="14">
        <v>4</v>
      </c>
      <c r="BF267" s="14">
        <f>IFERROR(AVERAGE(Tabel1[[#This Row],[Up - V2a]:[Up - V2c]]),"")</f>
        <v>3.3333333333333335</v>
      </c>
      <c r="BG267" s="14">
        <v>4</v>
      </c>
      <c r="BH267" s="14">
        <v>3</v>
      </c>
      <c r="BI267" s="14">
        <f>IFERROR(AVERAGE(Tabel1[[#This Row],[Up - V3a]:[Up - V3b]]),"")</f>
        <v>3.5</v>
      </c>
      <c r="BJ267" s="14">
        <v>2</v>
      </c>
      <c r="BK267" s="14">
        <f>IFERROR(AVERAGE(Tabel1[[#This Row],[Up - V1]],Tabel1[[#This Row],[Up - V2]],Tabel1[[#This Row],[Up - V3]],Tabel1[[#This Row],[Up - V4]]),"")</f>
        <v>2.8333333333333335</v>
      </c>
      <c r="BL267" s="14" t="s">
        <v>189</v>
      </c>
      <c r="BM267" s="14">
        <v>3</v>
      </c>
      <c r="BN267" s="14">
        <v>2</v>
      </c>
      <c r="BO267" s="14">
        <v>4</v>
      </c>
      <c r="BP267" s="14">
        <f>IFERROR(AVERAGE(Tabel1[[#This Row],[Up - A1a]:[Up - A1d]]),"")</f>
        <v>3</v>
      </c>
      <c r="BQ267" s="14">
        <v>4</v>
      </c>
      <c r="BR267" s="14">
        <v>3</v>
      </c>
      <c r="BS267" s="14">
        <f>IFERROR(AVERAGE(Tabel1[[#This Row],[Up - A2a]:[Up - A2b]]),"")</f>
        <v>3.5</v>
      </c>
      <c r="BT267" s="14">
        <v>2</v>
      </c>
      <c r="BU267" s="14">
        <f>IFERROR(AVERAGE(Tabel1[[#This Row],[Up - A3a]:[Up - A3a]]),"")</f>
        <v>2</v>
      </c>
      <c r="BV267" s="14">
        <v>1</v>
      </c>
      <c r="BW267" s="14">
        <f>IFERROR(AVERAGE(Tabel1[[#This Row],[Up - A1]],Tabel1[[#This Row],[Up - A2]],Tabel1[[#This Row],[Up - A3]]),"")</f>
        <v>2.8333333333333335</v>
      </c>
      <c r="BX267" s="14" t="s">
        <v>189</v>
      </c>
      <c r="BY267" s="14" t="s">
        <v>189</v>
      </c>
      <c r="BZ267" s="14" t="str">
        <f>IFERROR(AVERAGE(Tabel1[[#This Row],[In - R1a]:[In - R1b]]),"")</f>
        <v/>
      </c>
      <c r="CA267" s="14">
        <v>1</v>
      </c>
      <c r="CB267" s="14" t="s">
        <v>189</v>
      </c>
      <c r="CC267" s="14">
        <v>1</v>
      </c>
      <c r="CD267" s="14">
        <v>5</v>
      </c>
      <c r="CE267" s="14">
        <f>IFERROR(AVERAGE(Tabel1[[#This Row],[In - R1]:[In - R5]]),"")</f>
        <v>2.3333333333333335</v>
      </c>
      <c r="CF267" s="14">
        <v>4</v>
      </c>
      <c r="CG267" s="14">
        <v>4</v>
      </c>
      <c r="CH267" s="14">
        <v>4</v>
      </c>
      <c r="CI267" s="14">
        <f>IFERROR(AVERAGE(Tabel1[[#This Row],[In - C1a]:[In - C1c]]),"")</f>
        <v>4</v>
      </c>
      <c r="CJ267" s="14">
        <v>4</v>
      </c>
      <c r="CK267" s="14">
        <v>4</v>
      </c>
      <c r="CL267" s="14" t="s">
        <v>189</v>
      </c>
      <c r="CM267" s="14">
        <f>IFERROR(AVERAGE(Tabel1[[#This Row],[In - C1]:[In - C4]]),"")</f>
        <v>4</v>
      </c>
      <c r="CN267" s="14">
        <v>4</v>
      </c>
      <c r="CO267" s="14">
        <v>4</v>
      </c>
      <c r="CP267" s="14">
        <v>2</v>
      </c>
      <c r="CQ267" s="14">
        <f>IFERROR(AVERAGE(Tabel1[[#This Row],[In - F1a]:[In - F1c]]),"")</f>
        <v>3.3333333333333335</v>
      </c>
      <c r="CR267" s="14">
        <v>1</v>
      </c>
      <c r="CS267" s="14" t="s">
        <v>189</v>
      </c>
      <c r="CT267" s="14">
        <f>IFERROR(AVERAGE(Tabel1[[#This Row],[In - F2a]:[In - F2b]]),"")</f>
        <v>1</v>
      </c>
      <c r="CU267" s="14">
        <v>2</v>
      </c>
      <c r="CV267" s="14">
        <f>IFERROR(AVERAGE(Tabel1[[#This Row],[In - F3a]:[In - F3a]]),"")</f>
        <v>2</v>
      </c>
      <c r="CW267" s="14">
        <v>5</v>
      </c>
      <c r="CX267" s="14">
        <f>IFERROR(AVERAGE(Tabel1[[#This Row],[In - F1]],Tabel1[[#This Row],[In - F2]],Tabel1[[#This Row],[In - F3]],Tabel1[[#This Row],[In - F4]]),"")</f>
        <v>2.8333333333333335</v>
      </c>
      <c r="CY267" s="14" t="s">
        <v>189</v>
      </c>
      <c r="CZ267" s="14">
        <v>2</v>
      </c>
      <c r="DA267" s="14">
        <v>5</v>
      </c>
      <c r="DB267" s="14">
        <f>IFERROR(AVERAGE(Tabel1[[#This Row],[In - V1a]:[In - V1c]]),"")</f>
        <v>3.5</v>
      </c>
      <c r="DC267" s="14">
        <v>4</v>
      </c>
      <c r="DD267" s="14">
        <v>3</v>
      </c>
      <c r="DE267" s="14">
        <v>2</v>
      </c>
      <c r="DF267" s="14">
        <f>IFERROR(AVERAGE(Tabel1[[#This Row],[In - V2a]:[In - V2c]]),"")</f>
        <v>3</v>
      </c>
      <c r="DG267" s="14">
        <v>1</v>
      </c>
      <c r="DH267" s="14">
        <v>1</v>
      </c>
      <c r="DI267" s="14">
        <f>IFERROR(AVERAGE(Tabel1[[#This Row],[In - V3a]:[In - V3b]]),"")</f>
        <v>1</v>
      </c>
      <c r="DJ267" s="14">
        <v>2</v>
      </c>
      <c r="DK267" s="14">
        <f>IFERROR(AVERAGE(Tabel1[[#This Row],[In - V1]],Tabel1[[#This Row],[In - V2]],Tabel1[[#This Row],[In - V3]],Tabel1[[#This Row],[In - V4]]),"")</f>
        <v>2.375</v>
      </c>
      <c r="DL267" s="14">
        <v>4</v>
      </c>
      <c r="DM267" s="14">
        <v>3</v>
      </c>
      <c r="DN267" s="14">
        <f>IFERROR(AVERAGE(Tabel1[[#This Row],[In - A1a]:[In - A1b]]),"")</f>
        <v>3.5</v>
      </c>
      <c r="DO267" s="14" t="s">
        <v>189</v>
      </c>
      <c r="DP267" s="14">
        <v>4</v>
      </c>
      <c r="DQ267" s="14">
        <f>IFERROR(AVERAGE(Tabel1[[#This Row],[In - A2a]:[In - A2b]]),"")</f>
        <v>4</v>
      </c>
      <c r="DR267" s="14">
        <v>3</v>
      </c>
      <c r="DS267" s="14">
        <v>4</v>
      </c>
      <c r="DT267" s="14">
        <f>IFERROR(AVERAGE(Tabel1[[#This Row],[In - A3a]:[In - A3a]]),"")</f>
        <v>3</v>
      </c>
      <c r="DU267" s="14">
        <v>2</v>
      </c>
      <c r="DV267" s="14">
        <f>IFERROR(AVERAGE(Tabel1[[#This Row],[In - A1]],Tabel1[[#This Row],[In - A2]],Tabel1[[#This Row],[In - A3]],Tabel1[[#This Row],[In - A4]]),"")</f>
        <v>3.125</v>
      </c>
      <c r="DW267" s="14">
        <v>2</v>
      </c>
      <c r="DX267" s="14">
        <v>5</v>
      </c>
      <c r="DY267" s="14">
        <v>2</v>
      </c>
      <c r="DZ267" s="14">
        <f>IFERROR(AVERAGE(Tabel1[[#This Row],[Do - R1a]:[Do - R1c]]),"")</f>
        <v>3</v>
      </c>
      <c r="EA267" s="14">
        <v>1</v>
      </c>
      <c r="EB267" s="14" t="s">
        <v>189</v>
      </c>
      <c r="EC267" s="14">
        <v>1</v>
      </c>
      <c r="ED267" s="14">
        <v>4</v>
      </c>
      <c r="EE267" s="14">
        <f>IFERROR(AVERAGE(Tabel1[[#This Row],[Do - R1]:[Do - R5]]),"")</f>
        <v>2.25</v>
      </c>
      <c r="EF267" s="14">
        <v>5</v>
      </c>
      <c r="EG267" s="14">
        <v>3</v>
      </c>
      <c r="EH267" s="14">
        <v>2</v>
      </c>
      <c r="EI267" s="14">
        <f>IFERROR(AVERAGE(Tabel1[[#This Row],[Do - C1a]:[Do - C1c]]),"")</f>
        <v>3.3333333333333335</v>
      </c>
      <c r="EJ267" s="14" t="s">
        <v>189</v>
      </c>
      <c r="EK267" s="14">
        <v>1</v>
      </c>
      <c r="EL267" s="14">
        <v>2</v>
      </c>
      <c r="EM267" s="14">
        <f>IFERROR(AVERAGE(Tabel1[[#This Row],[Do - C1]:[Do - C4]]),"")</f>
        <v>2.1111111111111112</v>
      </c>
      <c r="EN267" s="14">
        <v>2</v>
      </c>
      <c r="EO267" s="14">
        <v>3</v>
      </c>
      <c r="EP267" s="14" t="s">
        <v>189</v>
      </c>
      <c r="EQ267" s="14">
        <f>IFERROR(AVERAGE(Tabel1[[#This Row],[Do - F1a]:[Do - F1c]]),"")</f>
        <v>2.5</v>
      </c>
      <c r="ER267" s="14">
        <v>2</v>
      </c>
      <c r="ES267" s="14">
        <f>IFERROR(AVERAGE(Tabel1[[#This Row],[Do - F2a]:[Do - F2a]]),"")</f>
        <v>2</v>
      </c>
      <c r="ET267" s="14">
        <v>2</v>
      </c>
      <c r="EU267" s="14">
        <v>4</v>
      </c>
      <c r="EV267" s="14">
        <f>IFERROR(AVERAGE(Tabel1[[#This Row],[Do - F3a]:[Do - F3b]]),"")</f>
        <v>3</v>
      </c>
      <c r="EW267" s="14" t="s">
        <v>189</v>
      </c>
      <c r="EX267" s="14">
        <f>IFERROR(AVERAGE(Tabel1[[#This Row],[Do - F1]],Tabel1[[#This Row],[Do - F2]],Tabel1[[#This Row],[Do - F3]],Tabel1[[#This Row],[Do - F4]]),"")</f>
        <v>2.5</v>
      </c>
      <c r="EY267" s="14" t="s">
        <v>189</v>
      </c>
      <c r="EZ267" s="14">
        <v>2</v>
      </c>
      <c r="FA267" s="14">
        <v>2</v>
      </c>
      <c r="FB267" s="14">
        <f>IFERROR(AVERAGE(Tabel1[[#This Row],[Do - V1a]:[Do - V1c]]),"")</f>
        <v>2</v>
      </c>
      <c r="FC267" s="14" t="s">
        <v>189</v>
      </c>
      <c r="FD267" s="14">
        <v>3</v>
      </c>
      <c r="FE267" s="14">
        <f>IFERROR(AVERAGE(Tabel1[[#This Row],[Do - V2a]:[Do - V2b]]),"")</f>
        <v>3</v>
      </c>
      <c r="FF267" s="14">
        <v>2</v>
      </c>
      <c r="FG267" s="14">
        <f>IFERROR(AVERAGE(Tabel1[[#This Row],[Do - V3a]:[Do - V3a]]),"")</f>
        <v>2</v>
      </c>
      <c r="FH267" s="14">
        <v>2</v>
      </c>
      <c r="FI267" s="14">
        <f>IFERROR(AVERAGE(Tabel1[[#This Row],[Do - V1]],Tabel1[[#This Row],[Do - V2]],Tabel1[[#This Row],[Do - V3]],Tabel1[[#This Row],[Do - V4]]),"")</f>
        <v>2.25</v>
      </c>
      <c r="FJ267" s="14">
        <v>1</v>
      </c>
      <c r="FK267" s="14">
        <v>4</v>
      </c>
      <c r="FL267" s="14">
        <v>3</v>
      </c>
      <c r="FM267" s="14">
        <f>IFERROR(AVERAGE(Tabel1[[#This Row],[Do - A1a]:[Do - A1c]]),"")</f>
        <v>2.6666666666666665</v>
      </c>
      <c r="FN267" s="14" t="s">
        <v>189</v>
      </c>
      <c r="FO267" s="14">
        <v>1</v>
      </c>
      <c r="FP267" s="14">
        <f>IFERROR(AVERAGE(Tabel1[[#This Row],[Do - A2a]:[Do - A2b]]),"")</f>
        <v>1</v>
      </c>
      <c r="FQ267" s="14">
        <v>1</v>
      </c>
      <c r="FR267" s="14">
        <f>IFERROR(AVERAGE(Tabel1[[#This Row],[Do - A3a]:[Do - A3a]]),"")</f>
        <v>1</v>
      </c>
      <c r="FS267" s="14">
        <v>4</v>
      </c>
      <c r="FT267" s="14">
        <f>IFERROR(AVERAGE(Tabel1[[#This Row],[Do - A1]],Tabel1[[#This Row],[Do - A2]],Tabel1[[#This Row],[Do - A3]],Tabel1[[#This Row],[Do - A4]]),"")</f>
        <v>2.1666666666666665</v>
      </c>
      <c r="FU26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2.6718518518518519</v>
      </c>
      <c r="FV267" s="27" t="s">
        <v>1418</v>
      </c>
      <c r="FW267" t="b">
        <v>1</v>
      </c>
    </row>
    <row r="268" spans="1:179" x14ac:dyDescent="0.3">
      <c r="A268" s="13">
        <v>45411.563645833303</v>
      </c>
      <c r="B268" t="b">
        <v>0</v>
      </c>
      <c r="C268" s="14" t="s">
        <v>1419</v>
      </c>
      <c r="D268" s="14" t="s">
        <v>1420</v>
      </c>
      <c r="E268" s="14" t="s">
        <v>1421</v>
      </c>
      <c r="F268" s="14" t="s">
        <v>184</v>
      </c>
      <c r="G268" s="14" t="s">
        <v>1422</v>
      </c>
      <c r="H268" s="14" t="s">
        <v>222</v>
      </c>
      <c r="I268" s="14" t="s">
        <v>542</v>
      </c>
      <c r="J268" s="14" t="s">
        <v>543</v>
      </c>
      <c r="K268" s="28" t="s">
        <v>201</v>
      </c>
      <c r="L268" s="14" t="s">
        <v>385</v>
      </c>
      <c r="M268" s="14" t="s">
        <v>233</v>
      </c>
      <c r="N268" s="14" t="s">
        <v>262</v>
      </c>
      <c r="O268" s="14" t="s">
        <v>200</v>
      </c>
      <c r="P268" s="24" t="s">
        <v>304</v>
      </c>
      <c r="Q268" s="17" t="s">
        <v>203</v>
      </c>
      <c r="R268" s="25" t="s">
        <v>201</v>
      </c>
      <c r="S268" s="25" t="s">
        <v>201</v>
      </c>
      <c r="T268" s="14"/>
      <c r="U268" s="14" t="s">
        <v>285</v>
      </c>
      <c r="V268" s="14" t="s">
        <v>359</v>
      </c>
      <c r="W268" s="14" t="s">
        <v>395</v>
      </c>
      <c r="X268" s="14" t="s">
        <v>306</v>
      </c>
      <c r="Y268" s="14">
        <v>2</v>
      </c>
      <c r="Z268" s="14">
        <v>4</v>
      </c>
      <c r="AA268" s="14">
        <v>2</v>
      </c>
      <c r="AB268" s="15">
        <f>IFERROR(AVERAGE(Tabel1[[#This Row],[Up - R1a]:[Up - R1c]]),"")</f>
        <v>2.6666666666666665</v>
      </c>
      <c r="AC268" s="14">
        <v>3</v>
      </c>
      <c r="AD268" s="14">
        <v>4</v>
      </c>
      <c r="AE268" s="14">
        <v>2</v>
      </c>
      <c r="AF268" s="14">
        <v>5</v>
      </c>
      <c r="AG268" s="14">
        <f>IFERROR(AVERAGE(Tabel1[[#This Row],[Up - R1]:[Up - R5]]),"")</f>
        <v>3.333333333333333</v>
      </c>
      <c r="AH268" s="14">
        <v>4</v>
      </c>
      <c r="AI268" s="14">
        <v>4</v>
      </c>
      <c r="AJ268" s="14">
        <v>2</v>
      </c>
      <c r="AK268" s="14">
        <f>IFERROR(AVERAGE(Tabel1[[#This Row],[Up - C1a]:[Up - C1c]]),"")</f>
        <v>3.3333333333333335</v>
      </c>
      <c r="AL268" s="14">
        <v>4</v>
      </c>
      <c r="AM268" s="14">
        <v>4</v>
      </c>
      <c r="AN268" s="14">
        <v>3</v>
      </c>
      <c r="AO268" s="14">
        <f>IFERROR(AVERAGE(Tabel1[[#This Row],[Up - C1]:[Up - C4]]),"")</f>
        <v>3.5833333333333335</v>
      </c>
      <c r="AP268" s="14">
        <v>2</v>
      </c>
      <c r="AQ268" s="14">
        <f>IFERROR(AVERAGE(Tabel1[[#This Row],[Up - F1a]:[Up - F1a]]),"")</f>
        <v>2</v>
      </c>
      <c r="AR268" s="14">
        <v>2</v>
      </c>
      <c r="AS268" s="14" t="s">
        <v>189</v>
      </c>
      <c r="AT268" s="14">
        <f>IFERROR(AVERAGE(Tabel1[[#This Row],[Up - F2a]:[Up - F2b]]),"")</f>
        <v>2</v>
      </c>
      <c r="AU268" s="14">
        <v>4</v>
      </c>
      <c r="AV268" s="14">
        <v>5</v>
      </c>
      <c r="AW268" s="14">
        <f>IFERROR(AVERAGE(Tabel1[[#This Row],[Up - F3a]:[Up - F3b]]),"")</f>
        <v>4.5</v>
      </c>
      <c r="AX268" s="14">
        <v>4</v>
      </c>
      <c r="AY268" s="14">
        <f>IFERROR(AVERAGE(Tabel1[[#This Row],[Up - F1]],Tabel1[[#This Row],[Up - F2]],Tabel1[[#This Row],[Up - F3]],Tabel1[[#This Row],[Up - F4]]),"")</f>
        <v>3.125</v>
      </c>
      <c r="AZ268" s="14">
        <v>1</v>
      </c>
      <c r="BA268" s="14">
        <v>4</v>
      </c>
      <c r="BB268" s="14">
        <f>IFERROR(AVERAGE(Tabel1[[#This Row],[Up - V1a]:[Up - V1b]]),"")</f>
        <v>2.5</v>
      </c>
      <c r="BC268" s="14">
        <v>5</v>
      </c>
      <c r="BD268" s="14">
        <v>3</v>
      </c>
      <c r="BE268" s="14">
        <v>4</v>
      </c>
      <c r="BF268" s="14">
        <f>IFERROR(AVERAGE(Tabel1[[#This Row],[Up - V2a]:[Up - V2c]]),"")</f>
        <v>4</v>
      </c>
      <c r="BG268" s="14">
        <v>3</v>
      </c>
      <c r="BH268" s="14">
        <v>5</v>
      </c>
      <c r="BI268" s="14">
        <f>IFERROR(AVERAGE(Tabel1[[#This Row],[Up - V3a]:[Up - V3b]]),"")</f>
        <v>4</v>
      </c>
      <c r="BJ268" s="14">
        <v>3</v>
      </c>
      <c r="BK268" s="14">
        <f>IFERROR(AVERAGE(Tabel1[[#This Row],[Up - V1]],Tabel1[[#This Row],[Up - V2]],Tabel1[[#This Row],[Up - V3]],Tabel1[[#This Row],[Up - V4]]),"")</f>
        <v>3.375</v>
      </c>
      <c r="BL268" s="14">
        <v>4</v>
      </c>
      <c r="BM268" s="14">
        <v>5</v>
      </c>
      <c r="BN268" s="14">
        <v>5</v>
      </c>
      <c r="BO268" s="14">
        <v>2</v>
      </c>
      <c r="BP268" s="14">
        <f>IFERROR(AVERAGE(Tabel1[[#This Row],[Up - A1a]:[Up - A1d]]),"")</f>
        <v>4</v>
      </c>
      <c r="BQ268" s="14">
        <v>4</v>
      </c>
      <c r="BR268" s="14" t="s">
        <v>189</v>
      </c>
      <c r="BS268" s="14">
        <f>IFERROR(AVERAGE(Tabel1[[#This Row],[Up - A2a]:[Up - A2b]]),"")</f>
        <v>4</v>
      </c>
      <c r="BT268" s="14">
        <v>5</v>
      </c>
      <c r="BU268" s="14">
        <f>IFERROR(AVERAGE(Tabel1[[#This Row],[Up - A3a]:[Up - A3a]]),"")</f>
        <v>5</v>
      </c>
      <c r="BV268" s="14">
        <v>4</v>
      </c>
      <c r="BW268" s="14">
        <f>IFERROR(AVERAGE(Tabel1[[#This Row],[Up - A1]],Tabel1[[#This Row],[Up - A2]],Tabel1[[#This Row],[Up - A3]]),"")</f>
        <v>4.333333333333333</v>
      </c>
      <c r="BX268" s="14">
        <v>5</v>
      </c>
      <c r="BY268" s="14">
        <v>3</v>
      </c>
      <c r="BZ268" s="14">
        <f>IFERROR(AVERAGE(Tabel1[[#This Row],[In - R1a]:[In - R1b]]),"")</f>
        <v>4</v>
      </c>
      <c r="CA268" s="14">
        <v>2</v>
      </c>
      <c r="CB268" s="14">
        <v>3</v>
      </c>
      <c r="CC268" s="14">
        <v>3</v>
      </c>
      <c r="CD268" s="14">
        <v>4</v>
      </c>
      <c r="CE268" s="14">
        <f>IFERROR(AVERAGE(Tabel1[[#This Row],[In - R1]:[In - R5]]),"")</f>
        <v>3.2</v>
      </c>
      <c r="CF268" s="14">
        <v>3</v>
      </c>
      <c r="CG268" s="14">
        <v>2</v>
      </c>
      <c r="CH268" s="14">
        <v>3</v>
      </c>
      <c r="CI268" s="14">
        <f>IFERROR(AVERAGE(Tabel1[[#This Row],[In - C1a]:[In - C1c]]),"")</f>
        <v>2.6666666666666665</v>
      </c>
      <c r="CJ268" s="14" t="s">
        <v>189</v>
      </c>
      <c r="CK268" s="14">
        <v>3</v>
      </c>
      <c r="CL268" s="14" t="s">
        <v>189</v>
      </c>
      <c r="CM268" s="14">
        <f>IFERROR(AVERAGE(Tabel1[[#This Row],[In - C1]:[In - C4]]),"")</f>
        <v>2.833333333333333</v>
      </c>
      <c r="CN268" s="14">
        <v>5</v>
      </c>
      <c r="CO268" s="14">
        <v>2</v>
      </c>
      <c r="CP268" s="14">
        <v>2</v>
      </c>
      <c r="CQ268" s="14">
        <f>IFERROR(AVERAGE(Tabel1[[#This Row],[In - F1a]:[In - F1c]]),"")</f>
        <v>3</v>
      </c>
      <c r="CR268" s="14">
        <v>5</v>
      </c>
      <c r="CS268" s="14">
        <v>5</v>
      </c>
      <c r="CT268" s="14">
        <f>IFERROR(AVERAGE(Tabel1[[#This Row],[In - F2a]:[In - F2b]]),"")</f>
        <v>5</v>
      </c>
      <c r="CU268" s="14">
        <v>5</v>
      </c>
      <c r="CV268" s="14">
        <f>IFERROR(AVERAGE(Tabel1[[#This Row],[In - F3a]:[In - F3a]]),"")</f>
        <v>5</v>
      </c>
      <c r="CW268" s="14">
        <v>2</v>
      </c>
      <c r="CX268" s="14">
        <f>IFERROR(AVERAGE(Tabel1[[#This Row],[In - F1]],Tabel1[[#This Row],[In - F2]],Tabel1[[#This Row],[In - F3]],Tabel1[[#This Row],[In - F4]]),"")</f>
        <v>3.75</v>
      </c>
      <c r="CY268" s="14">
        <v>5</v>
      </c>
      <c r="CZ268" s="14">
        <v>1</v>
      </c>
      <c r="DA268" s="14">
        <v>5</v>
      </c>
      <c r="DB268" s="14">
        <f>IFERROR(AVERAGE(Tabel1[[#This Row],[In - V1a]:[In - V1c]]),"")</f>
        <v>3.6666666666666665</v>
      </c>
      <c r="DC268" s="14">
        <v>4</v>
      </c>
      <c r="DD268" s="14">
        <v>5</v>
      </c>
      <c r="DE268" s="14">
        <v>2</v>
      </c>
      <c r="DF268" s="14">
        <f>IFERROR(AVERAGE(Tabel1[[#This Row],[In - V2a]:[In - V2c]]),"")</f>
        <v>3.6666666666666665</v>
      </c>
      <c r="DG268" s="14">
        <v>3</v>
      </c>
      <c r="DH268" s="14">
        <v>5</v>
      </c>
      <c r="DI268" s="14">
        <f>IFERROR(AVERAGE(Tabel1[[#This Row],[In - V3a]:[In - V3b]]),"")</f>
        <v>4</v>
      </c>
      <c r="DJ268" s="14">
        <v>3</v>
      </c>
      <c r="DK268" s="14">
        <f>IFERROR(AVERAGE(Tabel1[[#This Row],[In - V1]],Tabel1[[#This Row],[In - V2]],Tabel1[[#This Row],[In - V3]],Tabel1[[#This Row],[In - V4]]),"")</f>
        <v>3.583333333333333</v>
      </c>
      <c r="DL268" s="14">
        <v>5</v>
      </c>
      <c r="DM268" s="14">
        <v>5</v>
      </c>
      <c r="DN268" s="14">
        <f>IFERROR(AVERAGE(Tabel1[[#This Row],[In - A1a]:[In - A1b]]),"")</f>
        <v>5</v>
      </c>
      <c r="DO268" s="14">
        <v>4</v>
      </c>
      <c r="DP268" s="14">
        <v>5</v>
      </c>
      <c r="DQ268" s="14">
        <f>IFERROR(AVERAGE(Tabel1[[#This Row],[In - A2a]:[In - A2b]]),"")</f>
        <v>4.5</v>
      </c>
      <c r="DR268" s="14">
        <v>5</v>
      </c>
      <c r="DS268" s="14">
        <v>5</v>
      </c>
      <c r="DT268" s="14">
        <f>IFERROR(AVERAGE(Tabel1[[#This Row],[In - A3a]:[In - A3a]]),"")</f>
        <v>5</v>
      </c>
      <c r="DU268" s="14">
        <v>3</v>
      </c>
      <c r="DV268" s="14">
        <f>IFERROR(AVERAGE(Tabel1[[#This Row],[In - A1]],Tabel1[[#This Row],[In - A2]],Tabel1[[#This Row],[In - A3]],Tabel1[[#This Row],[In - A4]]),"")</f>
        <v>4.375</v>
      </c>
      <c r="DW268" s="14">
        <v>2</v>
      </c>
      <c r="DX268" s="14">
        <v>4</v>
      </c>
      <c r="DY268" s="14">
        <v>2</v>
      </c>
      <c r="DZ268" s="14">
        <f>IFERROR(AVERAGE(Tabel1[[#This Row],[Do - R1a]:[Do - R1c]]),"")</f>
        <v>2.6666666666666665</v>
      </c>
      <c r="EA268" s="14">
        <v>1</v>
      </c>
      <c r="EB268" s="14">
        <v>4</v>
      </c>
      <c r="EC268" s="14">
        <v>2</v>
      </c>
      <c r="ED268" s="14">
        <v>3</v>
      </c>
      <c r="EE268" s="14">
        <f>IFERROR(AVERAGE(Tabel1[[#This Row],[Do - R1]:[Do - R5]]),"")</f>
        <v>2.5333333333333332</v>
      </c>
      <c r="EF268" s="14">
        <v>5</v>
      </c>
      <c r="EG268" s="14">
        <v>4</v>
      </c>
      <c r="EH268" s="14">
        <v>3</v>
      </c>
      <c r="EI268" s="14">
        <f>IFERROR(AVERAGE(Tabel1[[#This Row],[Do - C1a]:[Do - C1c]]),"")</f>
        <v>4</v>
      </c>
      <c r="EJ268" s="14">
        <v>4</v>
      </c>
      <c r="EK268" s="14">
        <v>3</v>
      </c>
      <c r="EL268" s="14">
        <v>4</v>
      </c>
      <c r="EM268" s="14">
        <f>IFERROR(AVERAGE(Tabel1[[#This Row],[Do - C1]:[Do - C4]]),"")</f>
        <v>3.75</v>
      </c>
      <c r="EN268" s="14">
        <v>5</v>
      </c>
      <c r="EO268" s="14">
        <v>1</v>
      </c>
      <c r="EP268" s="14">
        <v>2</v>
      </c>
      <c r="EQ268" s="14">
        <f>IFERROR(AVERAGE(Tabel1[[#This Row],[Do - F1a]:[Do - F1c]]),"")</f>
        <v>2.6666666666666665</v>
      </c>
      <c r="ER268" s="14">
        <v>2</v>
      </c>
      <c r="ES268" s="14">
        <f>IFERROR(AVERAGE(Tabel1[[#This Row],[Do - F2a]:[Do - F2a]]),"")</f>
        <v>2</v>
      </c>
      <c r="ET268" s="14">
        <v>4</v>
      </c>
      <c r="EU268" s="14">
        <v>4</v>
      </c>
      <c r="EV268" s="14">
        <f>IFERROR(AVERAGE(Tabel1[[#This Row],[Do - F3a]:[Do - F3b]]),"")</f>
        <v>4</v>
      </c>
      <c r="EW268" s="14">
        <v>5</v>
      </c>
      <c r="EX268" s="14">
        <f>IFERROR(AVERAGE(Tabel1[[#This Row],[Do - F1]],Tabel1[[#This Row],[Do - F2]],Tabel1[[#This Row],[Do - F3]],Tabel1[[#This Row],[Do - F4]]),"")</f>
        <v>3.4166666666666665</v>
      </c>
      <c r="EY268" s="14">
        <v>4</v>
      </c>
      <c r="EZ268" s="14">
        <v>3</v>
      </c>
      <c r="FA268" s="14">
        <v>4</v>
      </c>
      <c r="FB268" s="14">
        <f>IFERROR(AVERAGE(Tabel1[[#This Row],[Do - V1a]:[Do - V1c]]),"")</f>
        <v>3.6666666666666665</v>
      </c>
      <c r="FC268" s="14">
        <v>4</v>
      </c>
      <c r="FD268" s="14">
        <v>4</v>
      </c>
      <c r="FE268" s="14">
        <f>IFERROR(AVERAGE(Tabel1[[#This Row],[Do - V2a]:[Do - V2b]]),"")</f>
        <v>4</v>
      </c>
      <c r="FF268" s="14">
        <v>3</v>
      </c>
      <c r="FG268" s="14">
        <f>IFERROR(AVERAGE(Tabel1[[#This Row],[Do - V3a]:[Do - V3a]]),"")</f>
        <v>3</v>
      </c>
      <c r="FH268" s="14">
        <v>5</v>
      </c>
      <c r="FI268" s="14">
        <f>IFERROR(AVERAGE(Tabel1[[#This Row],[Do - V1]],Tabel1[[#This Row],[Do - V2]],Tabel1[[#This Row],[Do - V3]],Tabel1[[#This Row],[Do - V4]]),"")</f>
        <v>3.9166666666666665</v>
      </c>
      <c r="FJ268" s="14">
        <v>5</v>
      </c>
      <c r="FK268" s="14">
        <v>3</v>
      </c>
      <c r="FL268" s="14">
        <v>5</v>
      </c>
      <c r="FM268" s="14">
        <f>IFERROR(AVERAGE(Tabel1[[#This Row],[Do - A1a]:[Do - A1c]]),"")</f>
        <v>4.333333333333333</v>
      </c>
      <c r="FN268" s="14" t="s">
        <v>189</v>
      </c>
      <c r="FO268" s="14" t="s">
        <v>189</v>
      </c>
      <c r="FP268" s="14" t="str">
        <f>IFERROR(AVERAGE(Tabel1[[#This Row],[Do - A2a]:[Do - A2b]]),"")</f>
        <v/>
      </c>
      <c r="FQ268" s="14">
        <v>5</v>
      </c>
      <c r="FR268" s="14">
        <f>IFERROR(AVERAGE(Tabel1[[#This Row],[Do - A3a]:[Do - A3a]]),"")</f>
        <v>5</v>
      </c>
      <c r="FS268" s="14">
        <v>3</v>
      </c>
      <c r="FT268" s="14">
        <f>IFERROR(AVERAGE(Tabel1[[#This Row],[Do - A1]],Tabel1[[#This Row],[Do - A2]],Tabel1[[#This Row],[Do - A3]],Tabel1[[#This Row],[Do - A4]]),"")</f>
        <v>4.1111111111111107</v>
      </c>
      <c r="FU26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3.5479629629629623</v>
      </c>
      <c r="FV268" s="27" t="s">
        <v>1423</v>
      </c>
      <c r="FW268" t="b">
        <v>1</v>
      </c>
    </row>
    <row r="269" spans="1:179" x14ac:dyDescent="0.3">
      <c r="A269" s="13">
        <v>45411.583414351902</v>
      </c>
      <c r="B269" t="b">
        <v>0</v>
      </c>
      <c r="C269" s="14" t="s">
        <v>1424</v>
      </c>
      <c r="D269" s="14" t="s">
        <v>1425</v>
      </c>
      <c r="E269" s="14" t="s">
        <v>1426</v>
      </c>
      <c r="F269" s="14" t="s">
        <v>184</v>
      </c>
      <c r="G269" s="14" t="s">
        <v>1427</v>
      </c>
      <c r="H269" s="14" t="s">
        <v>222</v>
      </c>
      <c r="I269" s="14" t="s">
        <v>195</v>
      </c>
      <c r="J269" s="14" t="s">
        <v>196</v>
      </c>
      <c r="K269" s="26" t="s">
        <v>304</v>
      </c>
      <c r="L269" s="14" t="s">
        <v>197</v>
      </c>
      <c r="M269" s="14" t="s">
        <v>188</v>
      </c>
      <c r="N269" s="14" t="s">
        <v>199</v>
      </c>
      <c r="O269" s="14" t="s">
        <v>200</v>
      </c>
      <c r="P269" s="24" t="s">
        <v>255</v>
      </c>
      <c r="Q269" s="17" t="s">
        <v>304</v>
      </c>
      <c r="R269" s="25" t="s">
        <v>201</v>
      </c>
      <c r="S269" s="25" t="s">
        <v>201</v>
      </c>
      <c r="T269" s="14" t="s">
        <v>204</v>
      </c>
      <c r="U269" s="14" t="s">
        <v>285</v>
      </c>
      <c r="V269" s="14" t="s">
        <v>359</v>
      </c>
      <c r="W269" s="14" t="s">
        <v>306</v>
      </c>
      <c r="X269" s="14" t="s">
        <v>306</v>
      </c>
      <c r="Y269" s="14">
        <v>3</v>
      </c>
      <c r="Z269" s="14">
        <v>5</v>
      </c>
      <c r="AA269" s="14">
        <v>5</v>
      </c>
      <c r="AB269" s="15">
        <f>IFERROR(AVERAGE(Tabel1[[#This Row],[Up - R1a]:[Up - R1c]]),"")</f>
        <v>4.333333333333333</v>
      </c>
      <c r="AC269" s="14">
        <v>2</v>
      </c>
      <c r="AD269" s="14">
        <v>3</v>
      </c>
      <c r="AE269" s="14">
        <v>2</v>
      </c>
      <c r="AF269" s="14" t="s">
        <v>189</v>
      </c>
      <c r="AG269" s="14">
        <f>IFERROR(AVERAGE(Tabel1[[#This Row],[Up - R1]:[Up - R5]]),"")</f>
        <v>2.833333333333333</v>
      </c>
      <c r="AH269" s="14">
        <v>4</v>
      </c>
      <c r="AI269" s="14">
        <v>4</v>
      </c>
      <c r="AJ269" s="14">
        <v>1</v>
      </c>
      <c r="AK269" s="14">
        <f>IFERROR(AVERAGE(Tabel1[[#This Row],[Up - C1a]:[Up - C1c]]),"")</f>
        <v>3</v>
      </c>
      <c r="AL269" s="14">
        <v>1</v>
      </c>
      <c r="AM269" s="14">
        <v>1</v>
      </c>
      <c r="AN269" s="14">
        <v>4</v>
      </c>
      <c r="AO269" s="14">
        <f>IFERROR(AVERAGE(Tabel1[[#This Row],[Up - C1]:[Up - C4]]),"")</f>
        <v>2.25</v>
      </c>
      <c r="AP269" s="14">
        <v>1</v>
      </c>
      <c r="AQ269" s="14">
        <f>IFERROR(AVERAGE(Tabel1[[#This Row],[Up - F1a]:[Up - F1a]]),"")</f>
        <v>1</v>
      </c>
      <c r="AR269" s="14">
        <v>2</v>
      </c>
      <c r="AS269" s="14">
        <v>3</v>
      </c>
      <c r="AT269" s="14">
        <f>IFERROR(AVERAGE(Tabel1[[#This Row],[Up - F2a]:[Up - F2b]]),"")</f>
        <v>2.5</v>
      </c>
      <c r="AU269" s="14">
        <v>3</v>
      </c>
      <c r="AV269" s="14">
        <v>4</v>
      </c>
      <c r="AW269" s="14">
        <f>IFERROR(AVERAGE(Tabel1[[#This Row],[Up - F3a]:[Up - F3b]]),"")</f>
        <v>3.5</v>
      </c>
      <c r="AX269" s="14">
        <v>1</v>
      </c>
      <c r="AY269" s="14">
        <f>IFERROR(AVERAGE(Tabel1[[#This Row],[Up - F1]],Tabel1[[#This Row],[Up - F2]],Tabel1[[#This Row],[Up - F3]],Tabel1[[#This Row],[Up - F4]]),"")</f>
        <v>2</v>
      </c>
      <c r="AZ269" s="14">
        <v>1</v>
      </c>
      <c r="BA269" s="14">
        <v>4</v>
      </c>
      <c r="BB269" s="14">
        <f>IFERROR(AVERAGE(Tabel1[[#This Row],[Up - V1a]:[Up - V1b]]),"")</f>
        <v>2.5</v>
      </c>
      <c r="BC269" s="14">
        <v>5</v>
      </c>
      <c r="BD269" s="14">
        <v>1</v>
      </c>
      <c r="BE269" s="14">
        <v>3</v>
      </c>
      <c r="BF269" s="14">
        <f>IFERROR(AVERAGE(Tabel1[[#This Row],[Up - V2a]:[Up - V2c]]),"")</f>
        <v>3</v>
      </c>
      <c r="BG269" s="14">
        <v>2</v>
      </c>
      <c r="BH269" s="14">
        <v>3</v>
      </c>
      <c r="BI269" s="14">
        <f>IFERROR(AVERAGE(Tabel1[[#This Row],[Up - V3a]:[Up - V3b]]),"")</f>
        <v>2.5</v>
      </c>
      <c r="BJ269" s="14">
        <v>5</v>
      </c>
      <c r="BK269" s="14">
        <f>IFERROR(AVERAGE(Tabel1[[#This Row],[Up - V1]],Tabel1[[#This Row],[Up - V2]],Tabel1[[#This Row],[Up - V3]],Tabel1[[#This Row],[Up - V4]]),"")</f>
        <v>3.25</v>
      </c>
      <c r="BL269" s="14">
        <v>4</v>
      </c>
      <c r="BM269" s="14">
        <v>2</v>
      </c>
      <c r="BN269" s="14">
        <v>1</v>
      </c>
      <c r="BO269" s="14">
        <v>1</v>
      </c>
      <c r="BP269" s="14">
        <f>IFERROR(AVERAGE(Tabel1[[#This Row],[Up - A1a]:[Up - A1d]]),"")</f>
        <v>2</v>
      </c>
      <c r="BQ269" s="14">
        <v>1</v>
      </c>
      <c r="BR269" s="14">
        <v>2</v>
      </c>
      <c r="BS269" s="14">
        <f>IFERROR(AVERAGE(Tabel1[[#This Row],[Up - A2a]:[Up - A2b]]),"")</f>
        <v>1.5</v>
      </c>
      <c r="BT269" s="14">
        <v>2</v>
      </c>
      <c r="BU269" s="14">
        <f>IFERROR(AVERAGE(Tabel1[[#This Row],[Up - A3a]:[Up - A3a]]),"")</f>
        <v>2</v>
      </c>
      <c r="BV269" s="14">
        <v>2</v>
      </c>
      <c r="BW269" s="14">
        <f>IFERROR(AVERAGE(Tabel1[[#This Row],[Up - A1]],Tabel1[[#This Row],[Up - A2]],Tabel1[[#This Row],[Up - A3]]),"")</f>
        <v>1.8333333333333333</v>
      </c>
      <c r="BX269" s="14">
        <v>1</v>
      </c>
      <c r="BY269" s="14" t="s">
        <v>189</v>
      </c>
      <c r="BZ269" s="14">
        <f>IFERROR(AVERAGE(Tabel1[[#This Row],[In - R1a]:[In - R1b]]),"")</f>
        <v>1</v>
      </c>
      <c r="CA269" s="14">
        <v>3</v>
      </c>
      <c r="CB269" s="14">
        <v>5</v>
      </c>
      <c r="CC269" s="14">
        <v>3</v>
      </c>
      <c r="CD269" s="14">
        <v>3</v>
      </c>
      <c r="CE269" s="14">
        <f>IFERROR(AVERAGE(Tabel1[[#This Row],[In - R1]:[In - R5]]),"")</f>
        <v>3</v>
      </c>
      <c r="CF269" s="14">
        <v>4</v>
      </c>
      <c r="CG269" s="14">
        <v>4</v>
      </c>
      <c r="CH269" s="14">
        <v>1</v>
      </c>
      <c r="CI269" s="14">
        <f>IFERROR(AVERAGE(Tabel1[[#This Row],[In - C1a]:[In - C1c]]),"")</f>
        <v>3</v>
      </c>
      <c r="CJ269" s="14">
        <v>2</v>
      </c>
      <c r="CK269" s="14">
        <v>3</v>
      </c>
      <c r="CL269" s="14">
        <v>2</v>
      </c>
      <c r="CM269" s="14">
        <f>IFERROR(AVERAGE(Tabel1[[#This Row],[In - C1]:[In - C4]]),"")</f>
        <v>2.5</v>
      </c>
      <c r="CN269" s="14">
        <v>3</v>
      </c>
      <c r="CO269" s="14">
        <v>1</v>
      </c>
      <c r="CP269" s="14">
        <v>1</v>
      </c>
      <c r="CQ269" s="14">
        <f>IFERROR(AVERAGE(Tabel1[[#This Row],[In - F1a]:[In - F1c]]),"")</f>
        <v>1.6666666666666667</v>
      </c>
      <c r="CR269" s="14">
        <v>5</v>
      </c>
      <c r="CS269" s="14">
        <v>3</v>
      </c>
      <c r="CT269" s="14">
        <f>IFERROR(AVERAGE(Tabel1[[#This Row],[In - F2a]:[In - F2b]]),"")</f>
        <v>4</v>
      </c>
      <c r="CU269" s="14">
        <v>2</v>
      </c>
      <c r="CV269" s="14">
        <f>IFERROR(AVERAGE(Tabel1[[#This Row],[In - F3a]:[In - F3a]]),"")</f>
        <v>2</v>
      </c>
      <c r="CW269" s="14">
        <v>3</v>
      </c>
      <c r="CX269" s="14">
        <f>IFERROR(AVERAGE(Tabel1[[#This Row],[In - F1]],Tabel1[[#This Row],[In - F2]],Tabel1[[#This Row],[In - F3]],Tabel1[[#This Row],[In - F4]]),"")</f>
        <v>2.666666666666667</v>
      </c>
      <c r="CY269" s="14">
        <v>4</v>
      </c>
      <c r="CZ269" s="14">
        <v>3</v>
      </c>
      <c r="DA269" s="14">
        <v>3</v>
      </c>
      <c r="DB269" s="14">
        <f>IFERROR(AVERAGE(Tabel1[[#This Row],[In - V1a]:[In - V1c]]),"")</f>
        <v>3.3333333333333335</v>
      </c>
      <c r="DC269" s="14">
        <v>3</v>
      </c>
      <c r="DD269" s="14">
        <v>2</v>
      </c>
      <c r="DE269" s="14">
        <v>2</v>
      </c>
      <c r="DF269" s="14">
        <f>IFERROR(AVERAGE(Tabel1[[#This Row],[In - V2a]:[In - V2c]]),"")</f>
        <v>2.3333333333333335</v>
      </c>
      <c r="DG269" s="14">
        <v>2</v>
      </c>
      <c r="DH269" s="14">
        <v>1</v>
      </c>
      <c r="DI269" s="14">
        <f>IFERROR(AVERAGE(Tabel1[[#This Row],[In - V3a]:[In - V3b]]),"")</f>
        <v>1.5</v>
      </c>
      <c r="DJ269" s="14">
        <v>4</v>
      </c>
      <c r="DK269" s="14">
        <f>IFERROR(AVERAGE(Tabel1[[#This Row],[In - V1]],Tabel1[[#This Row],[In - V2]],Tabel1[[#This Row],[In - V3]],Tabel1[[#This Row],[In - V4]]),"")</f>
        <v>2.791666666666667</v>
      </c>
      <c r="DL269" s="14">
        <v>3</v>
      </c>
      <c r="DM269" s="14">
        <v>4</v>
      </c>
      <c r="DN269" s="14">
        <f>IFERROR(AVERAGE(Tabel1[[#This Row],[In - A1a]:[In - A1b]]),"")</f>
        <v>3.5</v>
      </c>
      <c r="DO269" s="14">
        <v>2</v>
      </c>
      <c r="DP269" s="14">
        <v>2</v>
      </c>
      <c r="DQ269" s="14">
        <f>IFERROR(AVERAGE(Tabel1[[#This Row],[In - A2a]:[In - A2b]]),"")</f>
        <v>2</v>
      </c>
      <c r="DR269" s="14">
        <v>4</v>
      </c>
      <c r="DS269" s="14">
        <v>1</v>
      </c>
      <c r="DT269" s="14">
        <f>IFERROR(AVERAGE(Tabel1[[#This Row],[In - A3a]:[In - A3a]]),"")</f>
        <v>4</v>
      </c>
      <c r="DU269" s="14">
        <v>2</v>
      </c>
      <c r="DV269" s="14">
        <f>IFERROR(AVERAGE(Tabel1[[#This Row],[In - A1]],Tabel1[[#This Row],[In - A2]],Tabel1[[#This Row],[In - A3]],Tabel1[[#This Row],[In - A4]]),"")</f>
        <v>2.875</v>
      </c>
      <c r="DW269" s="14">
        <v>3</v>
      </c>
      <c r="DX269" s="14">
        <v>5</v>
      </c>
      <c r="DY269" s="14">
        <v>1</v>
      </c>
      <c r="DZ269" s="14">
        <f>IFERROR(AVERAGE(Tabel1[[#This Row],[Do - R1a]:[Do - R1c]]),"")</f>
        <v>3</v>
      </c>
      <c r="EA269" s="14">
        <v>2</v>
      </c>
      <c r="EB269" s="14">
        <v>3</v>
      </c>
      <c r="EC269" s="14">
        <v>1</v>
      </c>
      <c r="ED269" s="14">
        <v>3</v>
      </c>
      <c r="EE269" s="14">
        <f>IFERROR(AVERAGE(Tabel1[[#This Row],[Do - R1]:[Do - R5]]),"")</f>
        <v>2.4</v>
      </c>
      <c r="EF269" s="14">
        <v>4</v>
      </c>
      <c r="EG269" s="14">
        <v>4</v>
      </c>
      <c r="EH269" s="14">
        <v>1</v>
      </c>
      <c r="EI269" s="14">
        <f>IFERROR(AVERAGE(Tabel1[[#This Row],[Do - C1a]:[Do - C1c]]),"")</f>
        <v>3</v>
      </c>
      <c r="EJ269" s="14">
        <v>3</v>
      </c>
      <c r="EK269" s="14" t="s">
        <v>189</v>
      </c>
      <c r="EL269" s="14">
        <v>4</v>
      </c>
      <c r="EM269" s="14">
        <f>IFERROR(AVERAGE(Tabel1[[#This Row],[Do - C1]:[Do - C4]]),"")</f>
        <v>3.3333333333333335</v>
      </c>
      <c r="EN269" s="14">
        <v>1</v>
      </c>
      <c r="EO269" s="14">
        <v>3</v>
      </c>
      <c r="EP269" s="14">
        <v>1</v>
      </c>
      <c r="EQ269" s="14">
        <f>IFERROR(AVERAGE(Tabel1[[#This Row],[Do - F1a]:[Do - F1c]]),"")</f>
        <v>1.6666666666666667</v>
      </c>
      <c r="ER269" s="14">
        <v>3</v>
      </c>
      <c r="ES269" s="14">
        <f>IFERROR(AVERAGE(Tabel1[[#This Row],[Do - F2a]:[Do - F2a]]),"")</f>
        <v>3</v>
      </c>
      <c r="ET269" s="14">
        <v>3</v>
      </c>
      <c r="EU269" s="14">
        <v>3</v>
      </c>
      <c r="EV269" s="14">
        <f>IFERROR(AVERAGE(Tabel1[[#This Row],[Do - F3a]:[Do - F3b]]),"")</f>
        <v>3</v>
      </c>
      <c r="EW269" s="14">
        <v>2</v>
      </c>
      <c r="EX269" s="14">
        <f>IFERROR(AVERAGE(Tabel1[[#This Row],[Do - F1]],Tabel1[[#This Row],[Do - F2]],Tabel1[[#This Row],[Do - F3]],Tabel1[[#This Row],[Do - F4]]),"")</f>
        <v>2.416666666666667</v>
      </c>
      <c r="EY269" s="14">
        <v>5</v>
      </c>
      <c r="EZ269" s="14">
        <v>1</v>
      </c>
      <c r="FA269" s="14">
        <v>4</v>
      </c>
      <c r="FB269" s="14">
        <f>IFERROR(AVERAGE(Tabel1[[#This Row],[Do - V1a]:[Do - V1c]]),"")</f>
        <v>3.3333333333333335</v>
      </c>
      <c r="FC269" s="14">
        <v>4</v>
      </c>
      <c r="FD269" s="14">
        <v>1</v>
      </c>
      <c r="FE269" s="14">
        <f>IFERROR(AVERAGE(Tabel1[[#This Row],[Do - V2a]:[Do - V2b]]),"")</f>
        <v>2.5</v>
      </c>
      <c r="FF269" s="14">
        <v>2</v>
      </c>
      <c r="FG269" s="14">
        <f>IFERROR(AVERAGE(Tabel1[[#This Row],[Do - V3a]:[Do - V3a]]),"")</f>
        <v>2</v>
      </c>
      <c r="FH269" s="14">
        <v>3</v>
      </c>
      <c r="FI269" s="14">
        <f>IFERROR(AVERAGE(Tabel1[[#This Row],[Do - V1]],Tabel1[[#This Row],[Do - V2]],Tabel1[[#This Row],[Do - V3]],Tabel1[[#This Row],[Do - V4]]),"")</f>
        <v>2.7083333333333335</v>
      </c>
      <c r="FJ269" s="14">
        <v>4</v>
      </c>
      <c r="FK269" s="14">
        <v>1</v>
      </c>
      <c r="FL269" s="14">
        <v>2</v>
      </c>
      <c r="FM269" s="14">
        <f>IFERROR(AVERAGE(Tabel1[[#This Row],[Do - A1a]:[Do - A1c]]),"")</f>
        <v>2.3333333333333335</v>
      </c>
      <c r="FN269" s="14">
        <v>4</v>
      </c>
      <c r="FO269" s="14">
        <v>2</v>
      </c>
      <c r="FP269" s="14">
        <f>IFERROR(AVERAGE(Tabel1[[#This Row],[Do - A2a]:[Do - A2b]]),"")</f>
        <v>3</v>
      </c>
      <c r="FQ269" s="14">
        <v>2</v>
      </c>
      <c r="FR269" s="14">
        <f>IFERROR(AVERAGE(Tabel1[[#This Row],[Do - A3a]:[Do - A3a]]),"")</f>
        <v>2</v>
      </c>
      <c r="FS269" s="14">
        <v>2</v>
      </c>
      <c r="FT269" s="14">
        <f>IFERROR(AVERAGE(Tabel1[[#This Row],[Do - A1]],Tabel1[[#This Row],[Do - A2]],Tabel1[[#This Row],[Do - A3]],Tabel1[[#This Row],[Do - A4]]),"")</f>
        <v>2.3333333333333335</v>
      </c>
      <c r="FU26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2.6127777777777781</v>
      </c>
      <c r="FV269" s="27" t="s">
        <v>1428</v>
      </c>
      <c r="FW269" t="b">
        <v>1</v>
      </c>
    </row>
    <row r="270" spans="1:179" x14ac:dyDescent="0.3">
      <c r="A270" s="13">
        <v>45411.611226851899</v>
      </c>
      <c r="B270" t="b">
        <v>0</v>
      </c>
      <c r="C270" s="14" t="s">
        <v>1429</v>
      </c>
      <c r="D270" s="14" t="s">
        <v>1430</v>
      </c>
      <c r="E270" s="14" t="s">
        <v>1431</v>
      </c>
      <c r="F270" s="14" t="s">
        <v>184</v>
      </c>
      <c r="G270" s="14" t="s">
        <v>1432</v>
      </c>
      <c r="H270" s="14" t="s">
        <v>222</v>
      </c>
      <c r="I270" s="14" t="s">
        <v>385</v>
      </c>
      <c r="J270" s="14"/>
      <c r="K270" s="28" t="s">
        <v>235</v>
      </c>
      <c r="L270" s="14" t="s">
        <v>249</v>
      </c>
      <c r="M270" s="14" t="s">
        <v>198</v>
      </c>
      <c r="N270" s="14" t="s">
        <v>199</v>
      </c>
      <c r="O270" s="14" t="s">
        <v>256</v>
      </c>
      <c r="P270" s="24" t="s">
        <v>304</v>
      </c>
      <c r="Q270" s="17" t="s">
        <v>201</v>
      </c>
      <c r="R270" s="25" t="s">
        <v>187</v>
      </c>
      <c r="S270" s="25" t="s">
        <v>235</v>
      </c>
      <c r="T270" s="14" t="s">
        <v>284</v>
      </c>
      <c r="U270" s="14" t="s">
        <v>285</v>
      </c>
      <c r="V270" s="14"/>
      <c r="W270" s="14" t="s">
        <v>207</v>
      </c>
      <c r="X270" s="14" t="s">
        <v>207</v>
      </c>
      <c r="Y270" s="14">
        <v>3</v>
      </c>
      <c r="Z270" s="14">
        <v>4</v>
      </c>
      <c r="AA270" s="14" t="s">
        <v>189</v>
      </c>
      <c r="AB270" s="15">
        <f>IFERROR(AVERAGE(Tabel1[[#This Row],[Up - R1a]:[Up - R1c]]),"")</f>
        <v>3.5</v>
      </c>
      <c r="AC270" s="14">
        <v>3</v>
      </c>
      <c r="AD270" s="14">
        <v>1</v>
      </c>
      <c r="AE270" s="14">
        <v>3</v>
      </c>
      <c r="AF270" s="14">
        <v>2</v>
      </c>
      <c r="AG270" s="14">
        <f>IFERROR(AVERAGE(Tabel1[[#This Row],[Up - R1]:[Up - R5]]),"")</f>
        <v>2.5</v>
      </c>
      <c r="AH270" s="14">
        <v>4</v>
      </c>
      <c r="AI270" s="14">
        <v>4</v>
      </c>
      <c r="AJ270" s="14">
        <v>3</v>
      </c>
      <c r="AK270" s="14">
        <f>IFERROR(AVERAGE(Tabel1[[#This Row],[Up - C1a]:[Up - C1c]]),"")</f>
        <v>3.6666666666666665</v>
      </c>
      <c r="AL270" s="14">
        <v>2</v>
      </c>
      <c r="AM270" s="14">
        <v>2</v>
      </c>
      <c r="AN270" s="14" t="s">
        <v>189</v>
      </c>
      <c r="AO270" s="14">
        <f>IFERROR(AVERAGE(Tabel1[[#This Row],[Up - C1]:[Up - C4]]),"")</f>
        <v>2.5555555555555554</v>
      </c>
      <c r="AP270" s="14">
        <v>2</v>
      </c>
      <c r="AQ270" s="14">
        <f>IFERROR(AVERAGE(Tabel1[[#This Row],[Up - F1a]:[Up - F1a]]),"")</f>
        <v>2</v>
      </c>
      <c r="AR270" s="14">
        <v>1</v>
      </c>
      <c r="AS270" s="14">
        <v>2</v>
      </c>
      <c r="AT270" s="14">
        <f>IFERROR(AVERAGE(Tabel1[[#This Row],[Up - F2a]:[Up - F2b]]),"")</f>
        <v>1.5</v>
      </c>
      <c r="AU270" s="14">
        <v>4</v>
      </c>
      <c r="AV270" s="14">
        <v>4</v>
      </c>
      <c r="AW270" s="14">
        <f>IFERROR(AVERAGE(Tabel1[[#This Row],[Up - F3a]:[Up - F3b]]),"")</f>
        <v>4</v>
      </c>
      <c r="AX270" s="14">
        <v>4</v>
      </c>
      <c r="AY270" s="14">
        <f>IFERROR(AVERAGE(Tabel1[[#This Row],[Up - F1]],Tabel1[[#This Row],[Up - F2]],Tabel1[[#This Row],[Up - F3]],Tabel1[[#This Row],[Up - F4]]),"")</f>
        <v>2.875</v>
      </c>
      <c r="AZ270" s="14">
        <v>2</v>
      </c>
      <c r="BA270" s="14">
        <v>3</v>
      </c>
      <c r="BB270" s="14">
        <f>IFERROR(AVERAGE(Tabel1[[#This Row],[Up - V1a]:[Up - V1b]]),"")</f>
        <v>2.5</v>
      </c>
      <c r="BC270" s="14">
        <v>2</v>
      </c>
      <c r="BD270" s="14">
        <v>4</v>
      </c>
      <c r="BE270" s="14">
        <v>2</v>
      </c>
      <c r="BF270" s="14">
        <f>IFERROR(AVERAGE(Tabel1[[#This Row],[Up - V2a]:[Up - V2c]]),"")</f>
        <v>2.6666666666666665</v>
      </c>
      <c r="BG270" s="14">
        <v>2</v>
      </c>
      <c r="BH270" s="14">
        <v>2</v>
      </c>
      <c r="BI270" s="14">
        <f>IFERROR(AVERAGE(Tabel1[[#This Row],[Up - V3a]:[Up - V3b]]),"")</f>
        <v>2</v>
      </c>
      <c r="BJ270" s="14" t="s">
        <v>189</v>
      </c>
      <c r="BK270" s="14">
        <f>IFERROR(AVERAGE(Tabel1[[#This Row],[Up - V1]],Tabel1[[#This Row],[Up - V2]],Tabel1[[#This Row],[Up - V3]],Tabel1[[#This Row],[Up - V4]]),"")</f>
        <v>2.3888888888888888</v>
      </c>
      <c r="BL270" s="14">
        <v>5</v>
      </c>
      <c r="BM270" s="14">
        <v>4</v>
      </c>
      <c r="BN270" s="14">
        <v>4</v>
      </c>
      <c r="BO270" s="14">
        <v>3</v>
      </c>
      <c r="BP270" s="14">
        <f>IFERROR(AVERAGE(Tabel1[[#This Row],[Up - A1a]:[Up - A1d]]),"")</f>
        <v>4</v>
      </c>
      <c r="BQ270" s="14" t="s">
        <v>189</v>
      </c>
      <c r="BR270" s="14">
        <v>3</v>
      </c>
      <c r="BS270" s="14">
        <f>IFERROR(AVERAGE(Tabel1[[#This Row],[Up - A2a]:[Up - A2b]]),"")</f>
        <v>3</v>
      </c>
      <c r="BT270" s="14">
        <v>4</v>
      </c>
      <c r="BU270" s="14">
        <f>IFERROR(AVERAGE(Tabel1[[#This Row],[Up - A3a]:[Up - A3a]]),"")</f>
        <v>4</v>
      </c>
      <c r="BV270" s="14" t="s">
        <v>189</v>
      </c>
      <c r="BW270" s="14">
        <f>IFERROR(AVERAGE(Tabel1[[#This Row],[Up - A1]],Tabel1[[#This Row],[Up - A2]],Tabel1[[#This Row],[Up - A3]]),"")</f>
        <v>3.6666666666666665</v>
      </c>
      <c r="BX270" s="14">
        <v>3</v>
      </c>
      <c r="BY270" s="14">
        <v>1</v>
      </c>
      <c r="BZ270" s="14">
        <f>IFERROR(AVERAGE(Tabel1[[#This Row],[In - R1a]:[In - R1b]]),"")</f>
        <v>2</v>
      </c>
      <c r="CA270" s="14">
        <v>5</v>
      </c>
      <c r="CB270" s="14">
        <v>4</v>
      </c>
      <c r="CC270" s="14">
        <v>3</v>
      </c>
      <c r="CD270" s="14">
        <v>4</v>
      </c>
      <c r="CE270" s="14">
        <f>IFERROR(AVERAGE(Tabel1[[#This Row],[In - R1]:[In - R5]]),"")</f>
        <v>3.6</v>
      </c>
      <c r="CF270" s="14">
        <v>4</v>
      </c>
      <c r="CG270" s="14">
        <v>4</v>
      </c>
      <c r="CH270" s="14">
        <v>3</v>
      </c>
      <c r="CI270" s="14">
        <f>IFERROR(AVERAGE(Tabel1[[#This Row],[In - C1a]:[In - C1c]]),"")</f>
        <v>3.6666666666666665</v>
      </c>
      <c r="CJ270" s="14">
        <v>2</v>
      </c>
      <c r="CK270" s="14">
        <v>2</v>
      </c>
      <c r="CL270" s="14">
        <v>2</v>
      </c>
      <c r="CM270" s="14">
        <f>IFERROR(AVERAGE(Tabel1[[#This Row],[In - C1]:[In - C4]]),"")</f>
        <v>2.4166666666666665</v>
      </c>
      <c r="CN270" s="14" t="s">
        <v>189</v>
      </c>
      <c r="CO270" s="14">
        <v>4</v>
      </c>
      <c r="CP270" s="14">
        <v>1</v>
      </c>
      <c r="CQ270" s="14">
        <f>IFERROR(AVERAGE(Tabel1[[#This Row],[In - F1a]:[In - F1c]]),"")</f>
        <v>2.5</v>
      </c>
      <c r="CR270" s="14" t="s">
        <v>189</v>
      </c>
      <c r="CS270" s="14">
        <v>4</v>
      </c>
      <c r="CT270" s="14">
        <f>IFERROR(AVERAGE(Tabel1[[#This Row],[In - F2a]:[In - F2b]]),"")</f>
        <v>4</v>
      </c>
      <c r="CU270" s="14">
        <v>4</v>
      </c>
      <c r="CV270" s="14">
        <f>IFERROR(AVERAGE(Tabel1[[#This Row],[In - F3a]:[In - F3a]]),"")</f>
        <v>4</v>
      </c>
      <c r="CW270" s="14">
        <v>2</v>
      </c>
      <c r="CX270" s="14">
        <f>IFERROR(AVERAGE(Tabel1[[#This Row],[In - F1]],Tabel1[[#This Row],[In - F2]],Tabel1[[#This Row],[In - F3]],Tabel1[[#This Row],[In - F4]]),"")</f>
        <v>3.125</v>
      </c>
      <c r="CY270" s="14">
        <v>4</v>
      </c>
      <c r="CZ270" s="14">
        <v>4</v>
      </c>
      <c r="DA270" s="14">
        <v>2</v>
      </c>
      <c r="DB270" s="14">
        <f>IFERROR(AVERAGE(Tabel1[[#This Row],[In - V1a]:[In - V1c]]),"")</f>
        <v>3.3333333333333335</v>
      </c>
      <c r="DC270" s="14">
        <v>3</v>
      </c>
      <c r="DD270" s="14">
        <v>3</v>
      </c>
      <c r="DE270" s="14">
        <v>5</v>
      </c>
      <c r="DF270" s="14">
        <f>IFERROR(AVERAGE(Tabel1[[#This Row],[In - V2a]:[In - V2c]]),"")</f>
        <v>3.6666666666666665</v>
      </c>
      <c r="DG270" s="14">
        <v>4</v>
      </c>
      <c r="DH270" s="14">
        <v>3</v>
      </c>
      <c r="DI270" s="14">
        <f>IFERROR(AVERAGE(Tabel1[[#This Row],[In - V3a]:[In - V3b]]),"")</f>
        <v>3.5</v>
      </c>
      <c r="DJ270" s="14">
        <v>2</v>
      </c>
      <c r="DK270" s="14">
        <f>IFERROR(AVERAGE(Tabel1[[#This Row],[In - V1]],Tabel1[[#This Row],[In - V2]],Tabel1[[#This Row],[In - V3]],Tabel1[[#This Row],[In - V4]]),"")</f>
        <v>3.125</v>
      </c>
      <c r="DL270" s="14">
        <v>3</v>
      </c>
      <c r="DM270" s="14" t="s">
        <v>189</v>
      </c>
      <c r="DN270" s="14">
        <f>IFERROR(AVERAGE(Tabel1[[#This Row],[In - A1a]:[In - A1b]]),"")</f>
        <v>3</v>
      </c>
      <c r="DO270" s="14">
        <v>4</v>
      </c>
      <c r="DP270" s="14">
        <v>3</v>
      </c>
      <c r="DQ270" s="14">
        <f>IFERROR(AVERAGE(Tabel1[[#This Row],[In - A2a]:[In - A2b]]),"")</f>
        <v>3.5</v>
      </c>
      <c r="DR270" s="14">
        <v>4</v>
      </c>
      <c r="DS270" s="14" t="s">
        <v>189</v>
      </c>
      <c r="DT270" s="14">
        <f>IFERROR(AVERAGE(Tabel1[[#This Row],[In - A3a]:[In - A3a]]),"")</f>
        <v>4</v>
      </c>
      <c r="DU270" s="14">
        <v>2</v>
      </c>
      <c r="DV270" s="14">
        <f>IFERROR(AVERAGE(Tabel1[[#This Row],[In - A1]],Tabel1[[#This Row],[In - A2]],Tabel1[[#This Row],[In - A3]],Tabel1[[#This Row],[In - A4]]),"")</f>
        <v>3.125</v>
      </c>
      <c r="DW270" s="14" t="s">
        <v>189</v>
      </c>
      <c r="DX270" s="14">
        <v>4</v>
      </c>
      <c r="DY270" s="14" t="s">
        <v>189</v>
      </c>
      <c r="DZ270" s="14">
        <f>IFERROR(AVERAGE(Tabel1[[#This Row],[Do - R1a]:[Do - R1c]]),"")</f>
        <v>4</v>
      </c>
      <c r="EA270" s="14">
        <v>3</v>
      </c>
      <c r="EB270" s="14">
        <v>5</v>
      </c>
      <c r="EC270" s="14">
        <v>4</v>
      </c>
      <c r="ED270" s="14">
        <v>4</v>
      </c>
      <c r="EE270" s="14">
        <f>IFERROR(AVERAGE(Tabel1[[#This Row],[Do - R1]:[Do - R5]]),"")</f>
        <v>4</v>
      </c>
      <c r="EF270" s="14">
        <v>4</v>
      </c>
      <c r="EG270" s="14">
        <v>4</v>
      </c>
      <c r="EH270" s="14">
        <v>2</v>
      </c>
      <c r="EI270" s="14">
        <f>IFERROR(AVERAGE(Tabel1[[#This Row],[Do - C1a]:[Do - C1c]]),"")</f>
        <v>3.3333333333333335</v>
      </c>
      <c r="EJ270" s="14">
        <v>2</v>
      </c>
      <c r="EK270" s="14">
        <v>3</v>
      </c>
      <c r="EL270" s="14">
        <v>3</v>
      </c>
      <c r="EM270" s="14">
        <f>IFERROR(AVERAGE(Tabel1[[#This Row],[Do - C1]:[Do - C4]]),"")</f>
        <v>2.8333333333333335</v>
      </c>
      <c r="EN270" s="14">
        <v>4</v>
      </c>
      <c r="EO270" s="14">
        <v>4</v>
      </c>
      <c r="EP270" s="14">
        <v>5</v>
      </c>
      <c r="EQ270" s="14">
        <f>IFERROR(AVERAGE(Tabel1[[#This Row],[Do - F1a]:[Do - F1c]]),"")</f>
        <v>4.333333333333333</v>
      </c>
      <c r="ER270" s="14">
        <v>3</v>
      </c>
      <c r="ES270" s="14">
        <f>IFERROR(AVERAGE(Tabel1[[#This Row],[Do - F2a]:[Do - F2a]]),"")</f>
        <v>3</v>
      </c>
      <c r="ET270" s="14">
        <v>2</v>
      </c>
      <c r="EU270" s="14">
        <v>2</v>
      </c>
      <c r="EV270" s="14">
        <f>IFERROR(AVERAGE(Tabel1[[#This Row],[Do - F3a]:[Do - F3b]]),"")</f>
        <v>2</v>
      </c>
      <c r="EW270" s="14">
        <v>4</v>
      </c>
      <c r="EX270" s="14">
        <f>IFERROR(AVERAGE(Tabel1[[#This Row],[Do - F1]],Tabel1[[#This Row],[Do - F2]],Tabel1[[#This Row],[Do - F3]],Tabel1[[#This Row],[Do - F4]]),"")</f>
        <v>3.333333333333333</v>
      </c>
      <c r="EY270" s="14">
        <v>4</v>
      </c>
      <c r="EZ270" s="14">
        <v>4</v>
      </c>
      <c r="FA270" s="14">
        <v>4</v>
      </c>
      <c r="FB270" s="14">
        <f>IFERROR(AVERAGE(Tabel1[[#This Row],[Do - V1a]:[Do - V1c]]),"")</f>
        <v>4</v>
      </c>
      <c r="FC270" s="14">
        <v>2</v>
      </c>
      <c r="FD270" s="14">
        <v>2</v>
      </c>
      <c r="FE270" s="14">
        <f>IFERROR(AVERAGE(Tabel1[[#This Row],[Do - V2a]:[Do - V2b]]),"")</f>
        <v>2</v>
      </c>
      <c r="FF270" s="14">
        <v>4</v>
      </c>
      <c r="FG270" s="14">
        <f>IFERROR(AVERAGE(Tabel1[[#This Row],[Do - V3a]:[Do - V3a]]),"")</f>
        <v>4</v>
      </c>
      <c r="FH270" s="14" t="s">
        <v>189</v>
      </c>
      <c r="FI270" s="14">
        <f>IFERROR(AVERAGE(Tabel1[[#This Row],[Do - V1]],Tabel1[[#This Row],[Do - V2]],Tabel1[[#This Row],[Do - V3]],Tabel1[[#This Row],[Do - V4]]),"")</f>
        <v>3.3333333333333335</v>
      </c>
      <c r="FJ270" s="14" t="s">
        <v>189</v>
      </c>
      <c r="FK270" s="14">
        <v>5</v>
      </c>
      <c r="FL270" s="14" t="s">
        <v>189</v>
      </c>
      <c r="FM270" s="14">
        <f>IFERROR(AVERAGE(Tabel1[[#This Row],[Do - A1a]:[Do - A1c]]),"")</f>
        <v>5</v>
      </c>
      <c r="FN270" s="14">
        <v>1</v>
      </c>
      <c r="FO270" s="14">
        <v>2</v>
      </c>
      <c r="FP270" s="14">
        <f>IFERROR(AVERAGE(Tabel1[[#This Row],[Do - A2a]:[Do - A2b]]),"")</f>
        <v>1.5</v>
      </c>
      <c r="FQ270" s="14">
        <v>4</v>
      </c>
      <c r="FR270" s="14">
        <f>IFERROR(AVERAGE(Tabel1[[#This Row],[Do - A3a]:[Do - A3a]]),"")</f>
        <v>4</v>
      </c>
      <c r="FS270" s="14" t="s">
        <v>189</v>
      </c>
      <c r="FT270" s="14">
        <f>IFERROR(AVERAGE(Tabel1[[#This Row],[Do - A1]],Tabel1[[#This Row],[Do - A2]],Tabel1[[#This Row],[Do - A3]],Tabel1[[#This Row],[Do - A4]]),"")</f>
        <v>3.5</v>
      </c>
      <c r="FU27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3.0918518518518523</v>
      </c>
      <c r="FV270" s="27" t="s">
        <v>1433</v>
      </c>
      <c r="FW270" t="b">
        <v>1</v>
      </c>
    </row>
    <row r="271" spans="1:179" x14ac:dyDescent="0.3">
      <c r="A271" s="13">
        <v>45412.5300347222</v>
      </c>
      <c r="B271" t="b">
        <v>0</v>
      </c>
      <c r="C271" s="14" t="s">
        <v>1434</v>
      </c>
      <c r="D271" s="14" t="s">
        <v>464</v>
      </c>
      <c r="E271" s="14" t="s">
        <v>1435</v>
      </c>
      <c r="F271" s="14" t="s">
        <v>184</v>
      </c>
      <c r="G271" s="14" t="s">
        <v>1436</v>
      </c>
      <c r="H271" s="14" t="s">
        <v>222</v>
      </c>
      <c r="I271" s="14" t="s">
        <v>195</v>
      </c>
      <c r="J271" s="14" t="s">
        <v>347</v>
      </c>
      <c r="K271" s="28" t="s">
        <v>203</v>
      </c>
      <c r="L271" s="14" t="s">
        <v>218</v>
      </c>
      <c r="M271" s="14" t="s">
        <v>188</v>
      </c>
      <c r="N271" s="14" t="s">
        <v>262</v>
      </c>
      <c r="O271" s="14" t="s">
        <v>200</v>
      </c>
      <c r="P271" s="24" t="s">
        <v>304</v>
      </c>
      <c r="Q271" s="17" t="s">
        <v>203</v>
      </c>
      <c r="R271" s="25" t="s">
        <v>201</v>
      </c>
      <c r="S271" s="24" t="s">
        <v>304</v>
      </c>
      <c r="T271" s="14" t="s">
        <v>348</v>
      </c>
      <c r="U271" s="14" t="s">
        <v>285</v>
      </c>
      <c r="V271" s="14" t="s">
        <v>484</v>
      </c>
      <c r="W271" s="14" t="s">
        <v>207</v>
      </c>
      <c r="X271" s="14" t="s">
        <v>207</v>
      </c>
      <c r="Y271" s="14">
        <v>2</v>
      </c>
      <c r="Z271" s="14">
        <v>1</v>
      </c>
      <c r="AA271" s="14" t="s">
        <v>189</v>
      </c>
      <c r="AB271" s="15">
        <f>IFERROR(AVERAGE(Tabel1[[#This Row],[Up - R1a]:[Up - R1c]]),"")</f>
        <v>1.5</v>
      </c>
      <c r="AC271" s="14">
        <v>1</v>
      </c>
      <c r="AD271" s="14">
        <v>3</v>
      </c>
      <c r="AE271" s="14">
        <v>1</v>
      </c>
      <c r="AF271" s="14">
        <v>3</v>
      </c>
      <c r="AG271" s="14">
        <f>IFERROR(AVERAGE(Tabel1[[#This Row],[Up - R1]:[Up - R5]]),"")</f>
        <v>1.9</v>
      </c>
      <c r="AH271" s="14">
        <v>5</v>
      </c>
      <c r="AI271" s="14">
        <v>4</v>
      </c>
      <c r="AJ271" s="14">
        <v>4</v>
      </c>
      <c r="AK271" s="14">
        <f>IFERROR(AVERAGE(Tabel1[[#This Row],[Up - C1a]:[Up - C1c]]),"")</f>
        <v>4.333333333333333</v>
      </c>
      <c r="AL271" s="14">
        <v>2</v>
      </c>
      <c r="AM271" s="14">
        <v>1</v>
      </c>
      <c r="AN271" s="14">
        <v>1</v>
      </c>
      <c r="AO271" s="14">
        <f>IFERROR(AVERAGE(Tabel1[[#This Row],[Up - C1]:[Up - C4]]),"")</f>
        <v>2.083333333333333</v>
      </c>
      <c r="AP271" s="14">
        <v>1</v>
      </c>
      <c r="AQ271" s="14">
        <f>IFERROR(AVERAGE(Tabel1[[#This Row],[Up - F1a]:[Up - F1a]]),"")</f>
        <v>1</v>
      </c>
      <c r="AR271" s="14">
        <v>1</v>
      </c>
      <c r="AS271" s="14">
        <v>4</v>
      </c>
      <c r="AT271" s="14">
        <f>IFERROR(AVERAGE(Tabel1[[#This Row],[Up - F2a]:[Up - F2b]]),"")</f>
        <v>2.5</v>
      </c>
      <c r="AU271" s="14">
        <v>4</v>
      </c>
      <c r="AV271" s="14">
        <v>1</v>
      </c>
      <c r="AW271" s="14">
        <f>IFERROR(AVERAGE(Tabel1[[#This Row],[Up - F3a]:[Up - F3b]]),"")</f>
        <v>2.5</v>
      </c>
      <c r="AX271" s="14">
        <v>2</v>
      </c>
      <c r="AY271" s="14">
        <f>IFERROR(AVERAGE(Tabel1[[#This Row],[Up - F1]],Tabel1[[#This Row],[Up - F2]],Tabel1[[#This Row],[Up - F3]],Tabel1[[#This Row],[Up - F4]]),"")</f>
        <v>2</v>
      </c>
      <c r="AZ271" s="14">
        <v>4</v>
      </c>
      <c r="BA271" s="14">
        <v>2</v>
      </c>
      <c r="BB271" s="14">
        <f>IFERROR(AVERAGE(Tabel1[[#This Row],[Up - V1a]:[Up - V1b]]),"")</f>
        <v>3</v>
      </c>
      <c r="BC271" s="14">
        <v>2</v>
      </c>
      <c r="BD271" s="14">
        <v>4</v>
      </c>
      <c r="BE271" s="14">
        <v>2</v>
      </c>
      <c r="BF271" s="14">
        <f>IFERROR(AVERAGE(Tabel1[[#This Row],[Up - V2a]:[Up - V2c]]),"")</f>
        <v>2.6666666666666665</v>
      </c>
      <c r="BG271" s="14">
        <v>3</v>
      </c>
      <c r="BH271" s="14">
        <v>1</v>
      </c>
      <c r="BI271" s="14">
        <f>IFERROR(AVERAGE(Tabel1[[#This Row],[Up - V3a]:[Up - V3b]]),"")</f>
        <v>2</v>
      </c>
      <c r="BJ271" s="14">
        <v>2</v>
      </c>
      <c r="BK271" s="14">
        <f>IFERROR(AVERAGE(Tabel1[[#This Row],[Up - V1]],Tabel1[[#This Row],[Up - V2]],Tabel1[[#This Row],[Up - V3]],Tabel1[[#This Row],[Up - V4]]),"")</f>
        <v>2.4166666666666665</v>
      </c>
      <c r="BL271" s="14">
        <v>5</v>
      </c>
      <c r="BM271" s="14">
        <v>5</v>
      </c>
      <c r="BN271" s="14">
        <v>5</v>
      </c>
      <c r="BO271" s="14">
        <v>5</v>
      </c>
      <c r="BP271" s="14">
        <f>IFERROR(AVERAGE(Tabel1[[#This Row],[Up - A1a]:[Up - A1d]]),"")</f>
        <v>5</v>
      </c>
      <c r="BQ271" s="14">
        <v>2</v>
      </c>
      <c r="BR271" s="14">
        <v>5</v>
      </c>
      <c r="BS271" s="14">
        <f>IFERROR(AVERAGE(Tabel1[[#This Row],[Up - A2a]:[Up - A2b]]),"")</f>
        <v>3.5</v>
      </c>
      <c r="BT271" s="14">
        <v>5</v>
      </c>
      <c r="BU271" s="14">
        <f>IFERROR(AVERAGE(Tabel1[[#This Row],[Up - A3a]:[Up - A3a]]),"")</f>
        <v>5</v>
      </c>
      <c r="BV271" s="14">
        <v>1</v>
      </c>
      <c r="BW271" s="14">
        <f>IFERROR(AVERAGE(Tabel1[[#This Row],[Up - A1]],Tabel1[[#This Row],[Up - A2]],Tabel1[[#This Row],[Up - A3]]),"")</f>
        <v>4.5</v>
      </c>
      <c r="BX271" s="14">
        <v>1</v>
      </c>
      <c r="BY271" s="14">
        <v>1</v>
      </c>
      <c r="BZ271" s="14">
        <f>IFERROR(AVERAGE(Tabel1[[#This Row],[In - R1a]:[In - R1b]]),"")</f>
        <v>1</v>
      </c>
      <c r="CA271" s="14">
        <v>1</v>
      </c>
      <c r="CB271" s="14" t="s">
        <v>189</v>
      </c>
      <c r="CC271" s="14">
        <v>1</v>
      </c>
      <c r="CD271" s="14">
        <v>3</v>
      </c>
      <c r="CE271" s="14">
        <f>IFERROR(AVERAGE(Tabel1[[#This Row],[In - R1]:[In - R5]]),"")</f>
        <v>1.5</v>
      </c>
      <c r="CF271" s="14">
        <v>4</v>
      </c>
      <c r="CG271" s="14">
        <v>2</v>
      </c>
      <c r="CH271" s="14">
        <v>3</v>
      </c>
      <c r="CI271" s="14">
        <f>IFERROR(AVERAGE(Tabel1[[#This Row],[In - C1a]:[In - C1c]]),"")</f>
        <v>3</v>
      </c>
      <c r="CJ271" s="14" t="s">
        <v>189</v>
      </c>
      <c r="CK271" s="14">
        <v>1</v>
      </c>
      <c r="CL271" s="14">
        <v>1</v>
      </c>
      <c r="CM271" s="14">
        <f>IFERROR(AVERAGE(Tabel1[[#This Row],[In - C1]:[In - C4]]),"")</f>
        <v>1.6666666666666667</v>
      </c>
      <c r="CN271" s="14">
        <v>1</v>
      </c>
      <c r="CO271" s="14">
        <v>2</v>
      </c>
      <c r="CP271" s="14">
        <v>2</v>
      </c>
      <c r="CQ271" s="14">
        <f>IFERROR(AVERAGE(Tabel1[[#This Row],[In - F1a]:[In - F1c]]),"")</f>
        <v>1.6666666666666667</v>
      </c>
      <c r="CR271" s="14">
        <v>3</v>
      </c>
      <c r="CS271" s="14">
        <v>3</v>
      </c>
      <c r="CT271" s="14">
        <f>IFERROR(AVERAGE(Tabel1[[#This Row],[In - F2a]:[In - F2b]]),"")</f>
        <v>3</v>
      </c>
      <c r="CU271" s="14">
        <v>1</v>
      </c>
      <c r="CV271" s="14">
        <f>IFERROR(AVERAGE(Tabel1[[#This Row],[In - F3a]:[In - F3a]]),"")</f>
        <v>1</v>
      </c>
      <c r="CW271" s="14">
        <v>3</v>
      </c>
      <c r="CX271" s="14">
        <f>IFERROR(AVERAGE(Tabel1[[#This Row],[In - F1]],Tabel1[[#This Row],[In - F2]],Tabel1[[#This Row],[In - F3]],Tabel1[[#This Row],[In - F4]]),"")</f>
        <v>2.166666666666667</v>
      </c>
      <c r="CY271" s="14">
        <v>5</v>
      </c>
      <c r="CZ271" s="14">
        <v>1</v>
      </c>
      <c r="DA271" s="14">
        <v>2</v>
      </c>
      <c r="DB271" s="14">
        <f>IFERROR(AVERAGE(Tabel1[[#This Row],[In - V1a]:[In - V1c]]),"")</f>
        <v>2.6666666666666665</v>
      </c>
      <c r="DC271" s="14">
        <v>3</v>
      </c>
      <c r="DD271" s="14">
        <v>3</v>
      </c>
      <c r="DE271" s="14">
        <v>3</v>
      </c>
      <c r="DF271" s="14">
        <f>IFERROR(AVERAGE(Tabel1[[#This Row],[In - V2a]:[In - V2c]]),"")</f>
        <v>3</v>
      </c>
      <c r="DG271" s="14">
        <v>1</v>
      </c>
      <c r="DH271" s="14">
        <v>3</v>
      </c>
      <c r="DI271" s="14">
        <f>IFERROR(AVERAGE(Tabel1[[#This Row],[In - V3a]:[In - V3b]]),"")</f>
        <v>2</v>
      </c>
      <c r="DJ271" s="14">
        <v>3</v>
      </c>
      <c r="DK271" s="14">
        <f>IFERROR(AVERAGE(Tabel1[[#This Row],[In - V1]],Tabel1[[#This Row],[In - V2]],Tabel1[[#This Row],[In - V3]],Tabel1[[#This Row],[In - V4]]),"")</f>
        <v>2.6666666666666665</v>
      </c>
      <c r="DL271" s="14">
        <v>3</v>
      </c>
      <c r="DM271" s="14">
        <v>1</v>
      </c>
      <c r="DN271" s="14">
        <f>IFERROR(AVERAGE(Tabel1[[#This Row],[In - A1a]:[In - A1b]]),"")</f>
        <v>2</v>
      </c>
      <c r="DO271" s="14">
        <v>1</v>
      </c>
      <c r="DP271" s="14">
        <v>4</v>
      </c>
      <c r="DQ271" s="14">
        <f>IFERROR(AVERAGE(Tabel1[[#This Row],[In - A2a]:[In - A2b]]),"")</f>
        <v>2.5</v>
      </c>
      <c r="DR271" s="14">
        <v>5</v>
      </c>
      <c r="DS271" s="14">
        <v>3</v>
      </c>
      <c r="DT271" s="14">
        <f>IFERROR(AVERAGE(Tabel1[[#This Row],[In - A3a]:[In - A3a]]),"")</f>
        <v>5</v>
      </c>
      <c r="DU271" s="14">
        <v>1</v>
      </c>
      <c r="DV271" s="14">
        <f>IFERROR(AVERAGE(Tabel1[[#This Row],[In - A1]],Tabel1[[#This Row],[In - A2]],Tabel1[[#This Row],[In - A3]],Tabel1[[#This Row],[In - A4]]),"")</f>
        <v>2.625</v>
      </c>
      <c r="DW271" s="14" t="s">
        <v>189</v>
      </c>
      <c r="DX271" s="14">
        <v>5</v>
      </c>
      <c r="DY271" s="14" t="s">
        <v>189</v>
      </c>
      <c r="DZ271" s="14">
        <f>IFERROR(AVERAGE(Tabel1[[#This Row],[Do - R1a]:[Do - R1c]]),"")</f>
        <v>5</v>
      </c>
      <c r="EA271" s="14">
        <v>1</v>
      </c>
      <c r="EB271" s="14">
        <v>3</v>
      </c>
      <c r="EC271" s="14">
        <v>1</v>
      </c>
      <c r="ED271" s="14">
        <v>3</v>
      </c>
      <c r="EE271" s="14">
        <f>IFERROR(AVERAGE(Tabel1[[#This Row],[Do - R1]:[Do - R5]]),"")</f>
        <v>2.6</v>
      </c>
      <c r="EF271" s="14">
        <v>5</v>
      </c>
      <c r="EG271" s="14">
        <v>2</v>
      </c>
      <c r="EH271" s="14">
        <v>2</v>
      </c>
      <c r="EI271" s="14">
        <f>IFERROR(AVERAGE(Tabel1[[#This Row],[Do - C1a]:[Do - C1c]]),"")</f>
        <v>3</v>
      </c>
      <c r="EJ271" s="14">
        <v>1</v>
      </c>
      <c r="EK271" s="14">
        <v>1</v>
      </c>
      <c r="EL271" s="14">
        <v>1</v>
      </c>
      <c r="EM271" s="14">
        <f>IFERROR(AVERAGE(Tabel1[[#This Row],[Do - C1]:[Do - C4]]),"")</f>
        <v>1.5</v>
      </c>
      <c r="EN271" s="14">
        <v>1</v>
      </c>
      <c r="EO271" s="14">
        <v>2</v>
      </c>
      <c r="EP271" s="14">
        <v>1</v>
      </c>
      <c r="EQ271" s="14">
        <f>IFERROR(AVERAGE(Tabel1[[#This Row],[Do - F1a]:[Do - F1c]]),"")</f>
        <v>1.3333333333333333</v>
      </c>
      <c r="ER271" s="14">
        <v>3</v>
      </c>
      <c r="ES271" s="14">
        <f>IFERROR(AVERAGE(Tabel1[[#This Row],[Do - F2a]:[Do - F2a]]),"")</f>
        <v>3</v>
      </c>
      <c r="ET271" s="14">
        <v>1</v>
      </c>
      <c r="EU271" s="14">
        <v>3</v>
      </c>
      <c r="EV271" s="14">
        <f>IFERROR(AVERAGE(Tabel1[[#This Row],[Do - F3a]:[Do - F3b]]),"")</f>
        <v>2</v>
      </c>
      <c r="EW271" s="14">
        <v>1</v>
      </c>
      <c r="EX271" s="14">
        <f>IFERROR(AVERAGE(Tabel1[[#This Row],[Do - F1]],Tabel1[[#This Row],[Do - F2]],Tabel1[[#This Row],[Do - F3]],Tabel1[[#This Row],[Do - F4]]),"")</f>
        <v>1.8333333333333333</v>
      </c>
      <c r="EY271" s="14">
        <v>1</v>
      </c>
      <c r="EZ271" s="14">
        <v>1</v>
      </c>
      <c r="FA271" s="14">
        <v>1</v>
      </c>
      <c r="FB271" s="14">
        <f>IFERROR(AVERAGE(Tabel1[[#This Row],[Do - V1a]:[Do - V1c]]),"")</f>
        <v>1</v>
      </c>
      <c r="FC271" s="14">
        <v>1</v>
      </c>
      <c r="FD271" s="14">
        <v>5</v>
      </c>
      <c r="FE271" s="14">
        <f>IFERROR(AVERAGE(Tabel1[[#This Row],[Do - V2a]:[Do - V2b]]),"")</f>
        <v>3</v>
      </c>
      <c r="FF271" s="14">
        <v>1</v>
      </c>
      <c r="FG271" s="14">
        <f>IFERROR(AVERAGE(Tabel1[[#This Row],[Do - V3a]:[Do - V3a]]),"")</f>
        <v>1</v>
      </c>
      <c r="FH271" s="14">
        <v>1</v>
      </c>
      <c r="FI271" s="14">
        <f>IFERROR(AVERAGE(Tabel1[[#This Row],[Do - V1]],Tabel1[[#This Row],[Do - V2]],Tabel1[[#This Row],[Do - V3]],Tabel1[[#This Row],[Do - V4]]),"")</f>
        <v>1.5</v>
      </c>
      <c r="FJ271" s="14" t="s">
        <v>189</v>
      </c>
      <c r="FK271" s="14">
        <v>4</v>
      </c>
      <c r="FL271" s="14">
        <v>5</v>
      </c>
      <c r="FM271" s="14">
        <f>IFERROR(AVERAGE(Tabel1[[#This Row],[Do - A1a]:[Do - A1c]]),"")</f>
        <v>4.5</v>
      </c>
      <c r="FN271" s="14" t="s">
        <v>189</v>
      </c>
      <c r="FO271" s="14">
        <v>2</v>
      </c>
      <c r="FP271" s="14">
        <f>IFERROR(AVERAGE(Tabel1[[#This Row],[Do - A2a]:[Do - A2b]]),"")</f>
        <v>2</v>
      </c>
      <c r="FQ271" s="14">
        <v>1</v>
      </c>
      <c r="FR271" s="14">
        <f>IFERROR(AVERAGE(Tabel1[[#This Row],[Do - A3a]:[Do - A3a]]),"")</f>
        <v>1</v>
      </c>
      <c r="FS271" s="14">
        <v>1</v>
      </c>
      <c r="FT271" s="14">
        <f>IFERROR(AVERAGE(Tabel1[[#This Row],[Do - A1]],Tabel1[[#This Row],[Do - A2]],Tabel1[[#This Row],[Do - A3]],Tabel1[[#This Row],[Do - A4]]),"")</f>
        <v>2.125</v>
      </c>
      <c r="FU27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2.2055555555555557</v>
      </c>
      <c r="FV271" s="27" t="s">
        <v>1437</v>
      </c>
      <c r="FW271" t="b">
        <v>1</v>
      </c>
    </row>
    <row r="272" spans="1:179" x14ac:dyDescent="0.3">
      <c r="A272" s="13">
        <v>45413.332743055602</v>
      </c>
      <c r="B272" t="b">
        <v>0</v>
      </c>
      <c r="C272" s="14" t="s">
        <v>1438</v>
      </c>
      <c r="D272" s="14" t="s">
        <v>215</v>
      </c>
      <c r="E272" s="14" t="s">
        <v>1439</v>
      </c>
      <c r="F272" s="14" t="s">
        <v>184</v>
      </c>
      <c r="G272" s="14" t="s">
        <v>1440</v>
      </c>
      <c r="H272" s="14" t="s">
        <v>222</v>
      </c>
      <c r="I272" s="14" t="s">
        <v>243</v>
      </c>
      <c r="J272" s="14" t="s">
        <v>248</v>
      </c>
      <c r="K272" s="28" t="s">
        <v>202</v>
      </c>
      <c r="L272" s="14" t="s">
        <v>197</v>
      </c>
      <c r="M272" s="14" t="s">
        <v>188</v>
      </c>
      <c r="N272" s="14" t="s">
        <v>316</v>
      </c>
      <c r="O272" s="14" t="s">
        <v>200</v>
      </c>
      <c r="P272" s="25" t="s">
        <v>203</v>
      </c>
      <c r="Q272" s="17" t="s">
        <v>202</v>
      </c>
      <c r="R272" s="25" t="s">
        <v>235</v>
      </c>
      <c r="S272" s="25" t="s">
        <v>187</v>
      </c>
      <c r="T272" s="14" t="s">
        <v>284</v>
      </c>
      <c r="U272" s="14" t="s">
        <v>285</v>
      </c>
      <c r="V272" s="14" t="s">
        <v>359</v>
      </c>
      <c r="W272" s="14" t="s">
        <v>207</v>
      </c>
      <c r="X272" s="14" t="s">
        <v>306</v>
      </c>
      <c r="Y272" s="14">
        <v>2</v>
      </c>
      <c r="Z272" s="14">
        <v>4</v>
      </c>
      <c r="AA272" s="14" t="s">
        <v>189</v>
      </c>
      <c r="AB272" s="15">
        <f>IFERROR(AVERAGE(Tabel1[[#This Row],[Up - R1a]:[Up - R1c]]),"")</f>
        <v>3</v>
      </c>
      <c r="AC272" s="14">
        <v>2</v>
      </c>
      <c r="AD272" s="14">
        <v>2</v>
      </c>
      <c r="AE272" s="14">
        <v>1</v>
      </c>
      <c r="AF272" s="14">
        <v>1</v>
      </c>
      <c r="AG272" s="14">
        <f>IFERROR(AVERAGE(Tabel1[[#This Row],[Up - R1]:[Up - R5]]),"")</f>
        <v>1.8</v>
      </c>
      <c r="AH272" s="14">
        <v>2</v>
      </c>
      <c r="AI272" s="14">
        <v>2</v>
      </c>
      <c r="AJ272" s="14">
        <v>2</v>
      </c>
      <c r="AK272" s="14">
        <f>IFERROR(AVERAGE(Tabel1[[#This Row],[Up - C1a]:[Up - C1c]]),"")</f>
        <v>2</v>
      </c>
      <c r="AL272" s="14">
        <v>1</v>
      </c>
      <c r="AM272" s="14">
        <v>1</v>
      </c>
      <c r="AN272" s="14">
        <v>1</v>
      </c>
      <c r="AO272" s="14">
        <f>IFERROR(AVERAGE(Tabel1[[#This Row],[Up - C1]:[Up - C4]]),"")</f>
        <v>1.25</v>
      </c>
      <c r="AP272" s="14">
        <v>1</v>
      </c>
      <c r="AQ272" s="14">
        <f>IFERROR(AVERAGE(Tabel1[[#This Row],[Up - F1a]:[Up - F1a]]),"")</f>
        <v>1</v>
      </c>
      <c r="AR272" s="14">
        <v>1</v>
      </c>
      <c r="AS272" s="14">
        <v>1</v>
      </c>
      <c r="AT272" s="14">
        <f>IFERROR(AVERAGE(Tabel1[[#This Row],[Up - F2a]:[Up - F2b]]),"")</f>
        <v>1</v>
      </c>
      <c r="AU272" s="14">
        <v>2</v>
      </c>
      <c r="AV272" s="14">
        <v>3</v>
      </c>
      <c r="AW272" s="14">
        <f>IFERROR(AVERAGE(Tabel1[[#This Row],[Up - F3a]:[Up - F3b]]),"")</f>
        <v>2.5</v>
      </c>
      <c r="AX272" s="14">
        <v>1</v>
      </c>
      <c r="AY272" s="14">
        <f>IFERROR(AVERAGE(Tabel1[[#This Row],[Up - F1]],Tabel1[[#This Row],[Up - F2]],Tabel1[[#This Row],[Up - F3]],Tabel1[[#This Row],[Up - F4]]),"")</f>
        <v>1.375</v>
      </c>
      <c r="AZ272" s="14">
        <v>1</v>
      </c>
      <c r="BA272" s="14">
        <v>3</v>
      </c>
      <c r="BB272" s="14">
        <f>IFERROR(AVERAGE(Tabel1[[#This Row],[Up - V1a]:[Up - V1b]]),"")</f>
        <v>2</v>
      </c>
      <c r="BC272" s="14">
        <v>1</v>
      </c>
      <c r="BD272" s="14">
        <v>1</v>
      </c>
      <c r="BE272" s="14">
        <v>1</v>
      </c>
      <c r="BF272" s="14">
        <f>IFERROR(AVERAGE(Tabel1[[#This Row],[Up - V2a]:[Up - V2c]]),"")</f>
        <v>1</v>
      </c>
      <c r="BG272" s="14">
        <v>2</v>
      </c>
      <c r="BH272" s="14">
        <v>1</v>
      </c>
      <c r="BI272" s="14">
        <f>IFERROR(AVERAGE(Tabel1[[#This Row],[Up - V3a]:[Up - V3b]]),"")</f>
        <v>1.5</v>
      </c>
      <c r="BJ272" s="14">
        <v>1</v>
      </c>
      <c r="BK272" s="14">
        <f>IFERROR(AVERAGE(Tabel1[[#This Row],[Up - V1]],Tabel1[[#This Row],[Up - V2]],Tabel1[[#This Row],[Up - V3]],Tabel1[[#This Row],[Up - V4]]),"")</f>
        <v>1.375</v>
      </c>
      <c r="BL272" s="14">
        <v>3</v>
      </c>
      <c r="BM272" s="14">
        <v>2</v>
      </c>
      <c r="BN272" s="14">
        <v>1</v>
      </c>
      <c r="BO272" s="14">
        <v>1</v>
      </c>
      <c r="BP272" s="14">
        <f>IFERROR(AVERAGE(Tabel1[[#This Row],[Up - A1a]:[Up - A1d]]),"")</f>
        <v>1.75</v>
      </c>
      <c r="BQ272" s="14">
        <v>1</v>
      </c>
      <c r="BR272" s="14">
        <v>2</v>
      </c>
      <c r="BS272" s="14">
        <f>IFERROR(AVERAGE(Tabel1[[#This Row],[Up - A2a]:[Up - A2b]]),"")</f>
        <v>1.5</v>
      </c>
      <c r="BT272" s="14">
        <v>2</v>
      </c>
      <c r="BU272" s="14">
        <f>IFERROR(AVERAGE(Tabel1[[#This Row],[Up - A3a]:[Up - A3a]]),"")</f>
        <v>2</v>
      </c>
      <c r="BV272" s="14">
        <v>1</v>
      </c>
      <c r="BW272" s="14">
        <f>IFERROR(AVERAGE(Tabel1[[#This Row],[Up - A1]],Tabel1[[#This Row],[Up - A2]],Tabel1[[#This Row],[Up - A3]]),"")</f>
        <v>1.75</v>
      </c>
      <c r="BX272" s="14" t="s">
        <v>189</v>
      </c>
      <c r="BY272" s="14" t="s">
        <v>189</v>
      </c>
      <c r="BZ272" s="14" t="str">
        <f>IFERROR(AVERAGE(Tabel1[[#This Row],[In - R1a]:[In - R1b]]),"")</f>
        <v/>
      </c>
      <c r="CA272" s="14">
        <v>3</v>
      </c>
      <c r="CB272" s="14">
        <v>2</v>
      </c>
      <c r="CC272" s="14" t="s">
        <v>189</v>
      </c>
      <c r="CD272" s="14">
        <v>3</v>
      </c>
      <c r="CE272" s="14">
        <f>IFERROR(AVERAGE(Tabel1[[#This Row],[In - R1]:[In - R5]]),"")</f>
        <v>2.6666666666666665</v>
      </c>
      <c r="CF272" s="14">
        <v>3</v>
      </c>
      <c r="CG272" s="14">
        <v>2</v>
      </c>
      <c r="CH272" s="14">
        <v>2</v>
      </c>
      <c r="CI272" s="14">
        <f>IFERROR(AVERAGE(Tabel1[[#This Row],[In - C1a]:[In - C1c]]),"")</f>
        <v>2.3333333333333335</v>
      </c>
      <c r="CJ272" s="14">
        <v>1</v>
      </c>
      <c r="CK272" s="14">
        <v>1</v>
      </c>
      <c r="CL272" s="14">
        <v>1</v>
      </c>
      <c r="CM272" s="14">
        <f>IFERROR(AVERAGE(Tabel1[[#This Row],[In - C1]:[In - C4]]),"")</f>
        <v>1.3333333333333335</v>
      </c>
      <c r="CN272" s="14">
        <v>1</v>
      </c>
      <c r="CO272" s="14">
        <v>1</v>
      </c>
      <c r="CP272" s="14" t="s">
        <v>189</v>
      </c>
      <c r="CQ272" s="14">
        <f>IFERROR(AVERAGE(Tabel1[[#This Row],[In - F1a]:[In - F1c]]),"")</f>
        <v>1</v>
      </c>
      <c r="CR272" s="14">
        <v>2</v>
      </c>
      <c r="CS272" s="14">
        <v>2</v>
      </c>
      <c r="CT272" s="14">
        <f>IFERROR(AVERAGE(Tabel1[[#This Row],[In - F2a]:[In - F2b]]),"")</f>
        <v>2</v>
      </c>
      <c r="CU272" s="14" t="s">
        <v>189</v>
      </c>
      <c r="CV272" s="14" t="str">
        <f>IFERROR(AVERAGE(Tabel1[[#This Row],[In - F3a]:[In - F3a]]),"")</f>
        <v/>
      </c>
      <c r="CW272" s="14">
        <v>2</v>
      </c>
      <c r="CX272" s="14">
        <f>IFERROR(AVERAGE(Tabel1[[#This Row],[In - F1]],Tabel1[[#This Row],[In - F2]],Tabel1[[#This Row],[In - F3]],Tabel1[[#This Row],[In - F4]]),"")</f>
        <v>1.6666666666666667</v>
      </c>
      <c r="CY272" s="14">
        <v>2</v>
      </c>
      <c r="CZ272" s="14">
        <v>2</v>
      </c>
      <c r="DA272" s="14">
        <v>1</v>
      </c>
      <c r="DB272" s="14">
        <f>IFERROR(AVERAGE(Tabel1[[#This Row],[In - V1a]:[In - V1c]]),"")</f>
        <v>1.6666666666666667</v>
      </c>
      <c r="DC272" s="14">
        <v>2</v>
      </c>
      <c r="DD272" s="14">
        <v>1</v>
      </c>
      <c r="DE272" s="14">
        <v>1</v>
      </c>
      <c r="DF272" s="14">
        <f>IFERROR(AVERAGE(Tabel1[[#This Row],[In - V2a]:[In - V2c]]),"")</f>
        <v>1.3333333333333333</v>
      </c>
      <c r="DG272" s="14">
        <v>1</v>
      </c>
      <c r="DH272" s="14">
        <v>3</v>
      </c>
      <c r="DI272" s="14">
        <f>IFERROR(AVERAGE(Tabel1[[#This Row],[In - V3a]:[In - V3b]]),"")</f>
        <v>2</v>
      </c>
      <c r="DJ272" s="14">
        <v>2</v>
      </c>
      <c r="DK272" s="14">
        <f>IFERROR(AVERAGE(Tabel1[[#This Row],[In - V1]],Tabel1[[#This Row],[In - V2]],Tabel1[[#This Row],[In - V3]],Tabel1[[#This Row],[In - V4]]),"")</f>
        <v>1.75</v>
      </c>
      <c r="DL272" s="14">
        <v>3</v>
      </c>
      <c r="DM272" s="14">
        <v>2</v>
      </c>
      <c r="DN272" s="14">
        <f>IFERROR(AVERAGE(Tabel1[[#This Row],[In - A1a]:[In - A1b]]),"")</f>
        <v>2.5</v>
      </c>
      <c r="DO272" s="14" t="s">
        <v>189</v>
      </c>
      <c r="DP272" s="14">
        <v>2</v>
      </c>
      <c r="DQ272" s="14">
        <f>IFERROR(AVERAGE(Tabel1[[#This Row],[In - A2a]:[In - A2b]]),"")</f>
        <v>2</v>
      </c>
      <c r="DR272" s="14">
        <v>2</v>
      </c>
      <c r="DS272" s="14">
        <v>1</v>
      </c>
      <c r="DT272" s="14">
        <f>IFERROR(AVERAGE(Tabel1[[#This Row],[In - A3a]:[In - A3a]]),"")</f>
        <v>2</v>
      </c>
      <c r="DU272" s="14">
        <v>1</v>
      </c>
      <c r="DV272" s="14">
        <f>IFERROR(AVERAGE(Tabel1[[#This Row],[In - A1]],Tabel1[[#This Row],[In - A2]],Tabel1[[#This Row],[In - A3]],Tabel1[[#This Row],[In - A4]]),"")</f>
        <v>1.875</v>
      </c>
      <c r="DW272" s="14">
        <v>3</v>
      </c>
      <c r="DX272" s="14">
        <v>2</v>
      </c>
      <c r="DY272" s="14">
        <v>1</v>
      </c>
      <c r="DZ272" s="14">
        <f>IFERROR(AVERAGE(Tabel1[[#This Row],[Do - R1a]:[Do - R1c]]),"")</f>
        <v>2</v>
      </c>
      <c r="EA272" s="14">
        <v>2</v>
      </c>
      <c r="EB272" s="14">
        <v>3</v>
      </c>
      <c r="EC272" s="14">
        <v>1</v>
      </c>
      <c r="ED272" s="14">
        <v>4</v>
      </c>
      <c r="EE272" s="14">
        <f>IFERROR(AVERAGE(Tabel1[[#This Row],[Do - R1]:[Do - R5]]),"")</f>
        <v>2.4</v>
      </c>
      <c r="EF272" s="14">
        <v>3</v>
      </c>
      <c r="EG272" s="14">
        <v>1</v>
      </c>
      <c r="EH272" s="14">
        <v>2</v>
      </c>
      <c r="EI272" s="14">
        <f>IFERROR(AVERAGE(Tabel1[[#This Row],[Do - C1a]:[Do - C1c]]),"")</f>
        <v>2</v>
      </c>
      <c r="EJ272" s="14">
        <v>2</v>
      </c>
      <c r="EK272" s="14">
        <v>1</v>
      </c>
      <c r="EL272" s="14">
        <v>1</v>
      </c>
      <c r="EM272" s="14">
        <f>IFERROR(AVERAGE(Tabel1[[#This Row],[Do - C1]:[Do - C4]]),"")</f>
        <v>1.5</v>
      </c>
      <c r="EN272" s="14">
        <v>1</v>
      </c>
      <c r="EO272" s="14">
        <v>2</v>
      </c>
      <c r="EP272" s="14">
        <v>4</v>
      </c>
      <c r="EQ272" s="14">
        <f>IFERROR(AVERAGE(Tabel1[[#This Row],[Do - F1a]:[Do - F1c]]),"")</f>
        <v>2.3333333333333335</v>
      </c>
      <c r="ER272" s="14">
        <v>3</v>
      </c>
      <c r="ES272" s="14">
        <f>IFERROR(AVERAGE(Tabel1[[#This Row],[Do - F2a]:[Do - F2a]]),"")</f>
        <v>3</v>
      </c>
      <c r="ET272" s="14">
        <v>3</v>
      </c>
      <c r="EU272" s="14">
        <v>3</v>
      </c>
      <c r="EV272" s="14">
        <f>IFERROR(AVERAGE(Tabel1[[#This Row],[Do - F3a]:[Do - F3b]]),"")</f>
        <v>3</v>
      </c>
      <c r="EW272" s="14">
        <v>2</v>
      </c>
      <c r="EX272" s="14">
        <f>IFERROR(AVERAGE(Tabel1[[#This Row],[Do - F1]],Tabel1[[#This Row],[Do - F2]],Tabel1[[#This Row],[Do - F3]],Tabel1[[#This Row],[Do - F4]]),"")</f>
        <v>2.5833333333333335</v>
      </c>
      <c r="EY272" s="14">
        <v>3</v>
      </c>
      <c r="EZ272" s="14">
        <v>1</v>
      </c>
      <c r="FA272" s="14">
        <v>2</v>
      </c>
      <c r="FB272" s="14">
        <f>IFERROR(AVERAGE(Tabel1[[#This Row],[Do - V1a]:[Do - V1c]]),"")</f>
        <v>2</v>
      </c>
      <c r="FC272" s="14">
        <v>1</v>
      </c>
      <c r="FD272" s="14">
        <v>2</v>
      </c>
      <c r="FE272" s="14">
        <f>IFERROR(AVERAGE(Tabel1[[#This Row],[Do - V2a]:[Do - V2b]]),"")</f>
        <v>1.5</v>
      </c>
      <c r="FF272" s="14">
        <v>3</v>
      </c>
      <c r="FG272" s="14">
        <f>IFERROR(AVERAGE(Tabel1[[#This Row],[Do - V3a]:[Do - V3a]]),"")</f>
        <v>3</v>
      </c>
      <c r="FH272" s="14">
        <v>3</v>
      </c>
      <c r="FI272" s="14">
        <f>IFERROR(AVERAGE(Tabel1[[#This Row],[Do - V1]],Tabel1[[#This Row],[Do - V2]],Tabel1[[#This Row],[Do - V3]],Tabel1[[#This Row],[Do - V4]]),"")</f>
        <v>2.375</v>
      </c>
      <c r="FJ272" s="14">
        <v>4</v>
      </c>
      <c r="FK272" s="14">
        <v>2</v>
      </c>
      <c r="FL272" s="14">
        <v>3</v>
      </c>
      <c r="FM272" s="14">
        <f>IFERROR(AVERAGE(Tabel1[[#This Row],[Do - A1a]:[Do - A1c]]),"")</f>
        <v>3</v>
      </c>
      <c r="FN272" s="14">
        <v>2</v>
      </c>
      <c r="FO272" s="14">
        <v>2</v>
      </c>
      <c r="FP272" s="14">
        <f>IFERROR(AVERAGE(Tabel1[[#This Row],[Do - A2a]:[Do - A2b]]),"")</f>
        <v>2</v>
      </c>
      <c r="FQ272" s="14">
        <v>3</v>
      </c>
      <c r="FR272" s="14">
        <f>IFERROR(AVERAGE(Tabel1[[#This Row],[Do - A3a]:[Do - A3a]]),"")</f>
        <v>3</v>
      </c>
      <c r="FS272" s="14">
        <v>1</v>
      </c>
      <c r="FT272" s="14">
        <f>IFERROR(AVERAGE(Tabel1[[#This Row],[Do - A1]],Tabel1[[#This Row],[Do - A2]],Tabel1[[#This Row],[Do - A3]],Tabel1[[#This Row],[Do - A4]]),"")</f>
        <v>2.25</v>
      </c>
      <c r="FU27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1.8633333333333333</v>
      </c>
      <c r="FV272" s="27" t="s">
        <v>1441</v>
      </c>
      <c r="FW272" t="b">
        <v>1</v>
      </c>
    </row>
    <row r="273" spans="1:179" x14ac:dyDescent="0.3">
      <c r="A273" s="13">
        <v>45413.624756944402</v>
      </c>
      <c r="B273" t="b">
        <v>0</v>
      </c>
      <c r="C273" s="14" t="s">
        <v>1442</v>
      </c>
      <c r="D273" s="14" t="s">
        <v>1443</v>
      </c>
      <c r="E273" s="14" t="s">
        <v>682</v>
      </c>
      <c r="F273" s="14" t="s">
        <v>184</v>
      </c>
      <c r="G273" s="14" t="s">
        <v>683</v>
      </c>
      <c r="H273" s="14" t="s">
        <v>222</v>
      </c>
      <c r="I273" s="14" t="s">
        <v>195</v>
      </c>
      <c r="J273" s="14" t="s">
        <v>261</v>
      </c>
      <c r="K273" s="28" t="s">
        <v>201</v>
      </c>
      <c r="L273" s="14" t="s">
        <v>249</v>
      </c>
      <c r="M273" s="14" t="s">
        <v>233</v>
      </c>
      <c r="N273" s="14" t="s">
        <v>199</v>
      </c>
      <c r="O273" s="14" t="s">
        <v>200</v>
      </c>
      <c r="P273" s="24" t="s">
        <v>255</v>
      </c>
      <c r="Q273" s="17" t="s">
        <v>201</v>
      </c>
      <c r="R273" s="24" t="s">
        <v>304</v>
      </c>
      <c r="S273" s="25" t="s">
        <v>201</v>
      </c>
      <c r="T273" s="14" t="s">
        <v>204</v>
      </c>
      <c r="U273" s="14" t="s">
        <v>205</v>
      </c>
      <c r="V273" s="14"/>
      <c r="W273" s="14" t="s">
        <v>207</v>
      </c>
      <c r="X273" s="14" t="s">
        <v>305</v>
      </c>
      <c r="Y273" s="14">
        <v>4</v>
      </c>
      <c r="Z273" s="14">
        <v>3</v>
      </c>
      <c r="AA273" s="14">
        <v>3</v>
      </c>
      <c r="AB273" s="15">
        <f>IFERROR(AVERAGE(Tabel1[[#This Row],[Up - R1a]:[Up - R1c]]),"")</f>
        <v>3.3333333333333335</v>
      </c>
      <c r="AC273" s="14">
        <v>1</v>
      </c>
      <c r="AD273" s="14">
        <v>2</v>
      </c>
      <c r="AE273" s="14">
        <v>1</v>
      </c>
      <c r="AF273" s="14">
        <v>3</v>
      </c>
      <c r="AG273" s="14">
        <f>IFERROR(AVERAGE(Tabel1[[#This Row],[Up - R1]:[Up - R5]]),"")</f>
        <v>2.0666666666666669</v>
      </c>
      <c r="AH273" s="14">
        <v>2</v>
      </c>
      <c r="AI273" s="14">
        <v>2</v>
      </c>
      <c r="AJ273" s="14">
        <v>2</v>
      </c>
      <c r="AK273" s="14">
        <f>IFERROR(AVERAGE(Tabel1[[#This Row],[Up - C1a]:[Up - C1c]]),"")</f>
        <v>2</v>
      </c>
      <c r="AL273" s="14">
        <v>3</v>
      </c>
      <c r="AM273" s="14">
        <v>2</v>
      </c>
      <c r="AN273" s="14">
        <v>1</v>
      </c>
      <c r="AO273" s="14">
        <f>IFERROR(AVERAGE(Tabel1[[#This Row],[Up - C1]:[Up - C4]]),"")</f>
        <v>2</v>
      </c>
      <c r="AP273" s="14">
        <v>4</v>
      </c>
      <c r="AQ273" s="14">
        <f>IFERROR(AVERAGE(Tabel1[[#This Row],[Up - F1a]:[Up - F1a]]),"")</f>
        <v>4</v>
      </c>
      <c r="AR273" s="14">
        <v>3</v>
      </c>
      <c r="AS273" s="14">
        <v>3</v>
      </c>
      <c r="AT273" s="14">
        <f>IFERROR(AVERAGE(Tabel1[[#This Row],[Up - F2a]:[Up - F2b]]),"")</f>
        <v>3</v>
      </c>
      <c r="AU273" s="14">
        <v>2</v>
      </c>
      <c r="AV273" s="14">
        <v>2</v>
      </c>
      <c r="AW273" s="14">
        <f>IFERROR(AVERAGE(Tabel1[[#This Row],[Up - F3a]:[Up - F3b]]),"")</f>
        <v>2</v>
      </c>
      <c r="AX273" s="14">
        <v>2</v>
      </c>
      <c r="AY273" s="14">
        <f>IFERROR(AVERAGE(Tabel1[[#This Row],[Up - F1]],Tabel1[[#This Row],[Up - F2]],Tabel1[[#This Row],[Up - F3]],Tabel1[[#This Row],[Up - F4]]),"")</f>
        <v>2.75</v>
      </c>
      <c r="AZ273" s="14">
        <v>2</v>
      </c>
      <c r="BA273" s="14">
        <v>4</v>
      </c>
      <c r="BB273" s="14">
        <f>IFERROR(AVERAGE(Tabel1[[#This Row],[Up - V1a]:[Up - V1b]]),"")</f>
        <v>3</v>
      </c>
      <c r="BC273" s="14">
        <v>2</v>
      </c>
      <c r="BD273" s="14">
        <v>2</v>
      </c>
      <c r="BE273" s="14">
        <v>2</v>
      </c>
      <c r="BF273" s="14">
        <f>IFERROR(AVERAGE(Tabel1[[#This Row],[Up - V2a]:[Up - V2c]]),"")</f>
        <v>2</v>
      </c>
      <c r="BG273" s="14">
        <v>2</v>
      </c>
      <c r="BH273" s="14">
        <v>4</v>
      </c>
      <c r="BI273" s="14">
        <f>IFERROR(AVERAGE(Tabel1[[#This Row],[Up - V3a]:[Up - V3b]]),"")</f>
        <v>3</v>
      </c>
      <c r="BJ273" s="14">
        <v>4</v>
      </c>
      <c r="BK273" s="14">
        <f>IFERROR(AVERAGE(Tabel1[[#This Row],[Up - V1]],Tabel1[[#This Row],[Up - V2]],Tabel1[[#This Row],[Up - V3]],Tabel1[[#This Row],[Up - V4]]),"")</f>
        <v>3</v>
      </c>
      <c r="BL273" s="14">
        <v>3</v>
      </c>
      <c r="BM273" s="14">
        <v>2</v>
      </c>
      <c r="BN273" s="14">
        <v>4</v>
      </c>
      <c r="BO273" s="14">
        <v>4</v>
      </c>
      <c r="BP273" s="14">
        <f>IFERROR(AVERAGE(Tabel1[[#This Row],[Up - A1a]:[Up - A1d]]),"")</f>
        <v>3.25</v>
      </c>
      <c r="BQ273" s="14">
        <v>4</v>
      </c>
      <c r="BR273" s="14">
        <v>1</v>
      </c>
      <c r="BS273" s="14">
        <f>IFERROR(AVERAGE(Tabel1[[#This Row],[Up - A2a]:[Up - A2b]]),"")</f>
        <v>2.5</v>
      </c>
      <c r="BT273" s="14">
        <v>3</v>
      </c>
      <c r="BU273" s="14">
        <f>IFERROR(AVERAGE(Tabel1[[#This Row],[Up - A3a]:[Up - A3a]]),"")</f>
        <v>3</v>
      </c>
      <c r="BV273" s="14">
        <v>3</v>
      </c>
      <c r="BW273" s="14">
        <f>IFERROR(AVERAGE(Tabel1[[#This Row],[Up - A1]],Tabel1[[#This Row],[Up - A2]],Tabel1[[#This Row],[Up - A3]]),"")</f>
        <v>2.9166666666666665</v>
      </c>
      <c r="BX273" s="14">
        <v>3</v>
      </c>
      <c r="BY273" s="14">
        <v>4</v>
      </c>
      <c r="BZ273" s="14">
        <f>IFERROR(AVERAGE(Tabel1[[#This Row],[In - R1a]:[In - R1b]]),"")</f>
        <v>3.5</v>
      </c>
      <c r="CA273" s="14">
        <v>4</v>
      </c>
      <c r="CB273" s="14">
        <v>1</v>
      </c>
      <c r="CC273" s="14">
        <v>2</v>
      </c>
      <c r="CD273" s="14">
        <v>5</v>
      </c>
      <c r="CE273" s="14">
        <f>IFERROR(AVERAGE(Tabel1[[#This Row],[In - R1]:[In - R5]]),"")</f>
        <v>3.1</v>
      </c>
      <c r="CF273" s="14">
        <v>4</v>
      </c>
      <c r="CG273" s="14">
        <v>4</v>
      </c>
      <c r="CH273" s="14">
        <v>4</v>
      </c>
      <c r="CI273" s="14">
        <f>IFERROR(AVERAGE(Tabel1[[#This Row],[In - C1a]:[In - C1c]]),"")</f>
        <v>4</v>
      </c>
      <c r="CJ273" s="14">
        <v>5</v>
      </c>
      <c r="CK273" s="14">
        <v>4</v>
      </c>
      <c r="CL273" s="14">
        <v>5</v>
      </c>
      <c r="CM273" s="14">
        <f>IFERROR(AVERAGE(Tabel1[[#This Row],[In - C1]:[In - C4]]),"")</f>
        <v>4.5</v>
      </c>
      <c r="CN273" s="14">
        <v>3</v>
      </c>
      <c r="CO273" s="14">
        <v>4</v>
      </c>
      <c r="CP273" s="14">
        <v>2</v>
      </c>
      <c r="CQ273" s="14">
        <f>IFERROR(AVERAGE(Tabel1[[#This Row],[In - F1a]:[In - F1c]]),"")</f>
        <v>3</v>
      </c>
      <c r="CR273" s="14">
        <v>5</v>
      </c>
      <c r="CS273" s="14">
        <v>3</v>
      </c>
      <c r="CT273" s="14">
        <f>IFERROR(AVERAGE(Tabel1[[#This Row],[In - F2a]:[In - F2b]]),"")</f>
        <v>4</v>
      </c>
      <c r="CU273" s="14">
        <v>4</v>
      </c>
      <c r="CV273" s="14">
        <f>IFERROR(AVERAGE(Tabel1[[#This Row],[In - F3a]:[In - F3a]]),"")</f>
        <v>4</v>
      </c>
      <c r="CW273" s="14">
        <v>5</v>
      </c>
      <c r="CX273" s="14">
        <f>IFERROR(AVERAGE(Tabel1[[#This Row],[In - F1]],Tabel1[[#This Row],[In - F2]],Tabel1[[#This Row],[In - F3]],Tabel1[[#This Row],[In - F4]]),"")</f>
        <v>4</v>
      </c>
      <c r="CY273" s="14">
        <v>5</v>
      </c>
      <c r="CZ273" s="14">
        <v>4</v>
      </c>
      <c r="DA273" s="14">
        <v>3</v>
      </c>
      <c r="DB273" s="14">
        <f>IFERROR(AVERAGE(Tabel1[[#This Row],[In - V1a]:[In - V1c]]),"")</f>
        <v>4</v>
      </c>
      <c r="DC273" s="14">
        <v>4</v>
      </c>
      <c r="DD273" s="14">
        <v>4</v>
      </c>
      <c r="DE273" s="14">
        <v>4</v>
      </c>
      <c r="DF273" s="14">
        <f>IFERROR(AVERAGE(Tabel1[[#This Row],[In - V2a]:[In - V2c]]),"")</f>
        <v>4</v>
      </c>
      <c r="DG273" s="14">
        <v>4</v>
      </c>
      <c r="DH273" s="14">
        <v>3</v>
      </c>
      <c r="DI273" s="14">
        <f>IFERROR(AVERAGE(Tabel1[[#This Row],[In - V3a]:[In - V3b]]),"")</f>
        <v>3.5</v>
      </c>
      <c r="DJ273" s="14">
        <v>4</v>
      </c>
      <c r="DK273" s="14">
        <f>IFERROR(AVERAGE(Tabel1[[#This Row],[In - V1]],Tabel1[[#This Row],[In - V2]],Tabel1[[#This Row],[In - V3]],Tabel1[[#This Row],[In - V4]]),"")</f>
        <v>3.875</v>
      </c>
      <c r="DL273" s="14">
        <v>3</v>
      </c>
      <c r="DM273" s="14">
        <v>4</v>
      </c>
      <c r="DN273" s="14">
        <f>IFERROR(AVERAGE(Tabel1[[#This Row],[In - A1a]:[In - A1b]]),"")</f>
        <v>3.5</v>
      </c>
      <c r="DO273" s="14">
        <v>2</v>
      </c>
      <c r="DP273" s="14">
        <v>4</v>
      </c>
      <c r="DQ273" s="14">
        <f>IFERROR(AVERAGE(Tabel1[[#This Row],[In - A2a]:[In - A2b]]),"")</f>
        <v>3</v>
      </c>
      <c r="DR273" s="14">
        <v>5</v>
      </c>
      <c r="DS273" s="14">
        <v>3</v>
      </c>
      <c r="DT273" s="14">
        <f>IFERROR(AVERAGE(Tabel1[[#This Row],[In - A3a]:[In - A3a]]),"")</f>
        <v>5</v>
      </c>
      <c r="DU273" s="14">
        <v>3</v>
      </c>
      <c r="DV273" s="14">
        <f>IFERROR(AVERAGE(Tabel1[[#This Row],[In - A1]],Tabel1[[#This Row],[In - A2]],Tabel1[[#This Row],[In - A3]],Tabel1[[#This Row],[In - A4]]),"")</f>
        <v>3.625</v>
      </c>
      <c r="DW273" s="14">
        <v>1</v>
      </c>
      <c r="DX273" s="14">
        <v>4</v>
      </c>
      <c r="DY273" s="14">
        <v>1</v>
      </c>
      <c r="DZ273" s="14">
        <f>IFERROR(AVERAGE(Tabel1[[#This Row],[Do - R1a]:[Do - R1c]]),"")</f>
        <v>2</v>
      </c>
      <c r="EA273" s="14">
        <v>1</v>
      </c>
      <c r="EB273" s="14">
        <v>1</v>
      </c>
      <c r="EC273" s="14">
        <v>1</v>
      </c>
      <c r="ED273" s="14">
        <v>3</v>
      </c>
      <c r="EE273" s="14">
        <f>IFERROR(AVERAGE(Tabel1[[#This Row],[Do - R1]:[Do - R5]]),"")</f>
        <v>1.6</v>
      </c>
      <c r="EF273" s="14">
        <v>2</v>
      </c>
      <c r="EG273" s="14">
        <v>4</v>
      </c>
      <c r="EH273" s="14">
        <v>3</v>
      </c>
      <c r="EI273" s="14">
        <f>IFERROR(AVERAGE(Tabel1[[#This Row],[Do - C1a]:[Do - C1c]]),"")</f>
        <v>3</v>
      </c>
      <c r="EJ273" s="14">
        <v>3</v>
      </c>
      <c r="EK273" s="14">
        <v>2</v>
      </c>
      <c r="EL273" s="14">
        <v>1</v>
      </c>
      <c r="EM273" s="14">
        <f>IFERROR(AVERAGE(Tabel1[[#This Row],[Do - C1]:[Do - C4]]),"")</f>
        <v>2.25</v>
      </c>
      <c r="EN273" s="14">
        <v>3</v>
      </c>
      <c r="EO273" s="14">
        <v>1</v>
      </c>
      <c r="EP273" s="14">
        <v>3</v>
      </c>
      <c r="EQ273" s="14">
        <f>IFERROR(AVERAGE(Tabel1[[#This Row],[Do - F1a]:[Do - F1c]]),"")</f>
        <v>2.3333333333333335</v>
      </c>
      <c r="ER273" s="14">
        <v>2</v>
      </c>
      <c r="ES273" s="14">
        <f>IFERROR(AVERAGE(Tabel1[[#This Row],[Do - F2a]:[Do - F2a]]),"")</f>
        <v>2</v>
      </c>
      <c r="ET273" s="14">
        <v>2</v>
      </c>
      <c r="EU273" s="14">
        <v>3</v>
      </c>
      <c r="EV273" s="14">
        <f>IFERROR(AVERAGE(Tabel1[[#This Row],[Do - F3a]:[Do - F3b]]),"")</f>
        <v>2.5</v>
      </c>
      <c r="EW273" s="14">
        <v>1</v>
      </c>
      <c r="EX273" s="14">
        <f>IFERROR(AVERAGE(Tabel1[[#This Row],[Do - F1]],Tabel1[[#This Row],[Do - F2]],Tabel1[[#This Row],[Do - F3]],Tabel1[[#This Row],[Do - F4]]),"")</f>
        <v>1.9583333333333335</v>
      </c>
      <c r="EY273" s="14">
        <v>2</v>
      </c>
      <c r="EZ273" s="14">
        <v>3</v>
      </c>
      <c r="FA273" s="14">
        <v>4</v>
      </c>
      <c r="FB273" s="14">
        <f>IFERROR(AVERAGE(Tabel1[[#This Row],[Do - V1a]:[Do - V1c]]),"")</f>
        <v>3</v>
      </c>
      <c r="FC273" s="14">
        <v>5</v>
      </c>
      <c r="FD273" s="14">
        <v>5</v>
      </c>
      <c r="FE273" s="14">
        <f>IFERROR(AVERAGE(Tabel1[[#This Row],[Do - V2a]:[Do - V2b]]),"")</f>
        <v>5</v>
      </c>
      <c r="FF273" s="14">
        <v>4</v>
      </c>
      <c r="FG273" s="14">
        <f>IFERROR(AVERAGE(Tabel1[[#This Row],[Do - V3a]:[Do - V3a]]),"")</f>
        <v>4</v>
      </c>
      <c r="FH273" s="14">
        <v>4</v>
      </c>
      <c r="FI273" s="14">
        <f>IFERROR(AVERAGE(Tabel1[[#This Row],[Do - V1]],Tabel1[[#This Row],[Do - V2]],Tabel1[[#This Row],[Do - V3]],Tabel1[[#This Row],[Do - V4]]),"")</f>
        <v>4</v>
      </c>
      <c r="FJ273" s="14">
        <v>4</v>
      </c>
      <c r="FK273" s="14">
        <v>3</v>
      </c>
      <c r="FL273" s="14">
        <v>4</v>
      </c>
      <c r="FM273" s="14">
        <f>IFERROR(AVERAGE(Tabel1[[#This Row],[Do - A1a]:[Do - A1c]]),"")</f>
        <v>3.6666666666666665</v>
      </c>
      <c r="FN273" s="14">
        <v>3</v>
      </c>
      <c r="FO273" s="14">
        <v>1</v>
      </c>
      <c r="FP273" s="14">
        <f>IFERROR(AVERAGE(Tabel1[[#This Row],[Do - A2a]:[Do - A2b]]),"")</f>
        <v>2</v>
      </c>
      <c r="FQ273" s="14">
        <v>3</v>
      </c>
      <c r="FR273" s="14">
        <f>IFERROR(AVERAGE(Tabel1[[#This Row],[Do - A3a]:[Do - A3a]]),"")</f>
        <v>3</v>
      </c>
      <c r="FS273" s="14">
        <v>3</v>
      </c>
      <c r="FT273" s="14">
        <f>IFERROR(AVERAGE(Tabel1[[#This Row],[Do - A1]],Tabel1[[#This Row],[Do - A2]],Tabel1[[#This Row],[Do - A3]],Tabel1[[#This Row],[Do - A4]]),"")</f>
        <v>2.9166666666666665</v>
      </c>
      <c r="FU27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2.9705555555555554</v>
      </c>
      <c r="FV273" s="27" t="s">
        <v>1444</v>
      </c>
      <c r="FW273" t="b">
        <v>1</v>
      </c>
    </row>
    <row r="274" spans="1:179" x14ac:dyDescent="0.3">
      <c r="A274" s="13">
        <v>45413.786122685196</v>
      </c>
      <c r="B274" t="b">
        <v>0</v>
      </c>
      <c r="C274" s="14" t="s">
        <v>1445</v>
      </c>
      <c r="D274" s="14" t="s">
        <v>1446</v>
      </c>
      <c r="E274" s="14" t="s">
        <v>1447</v>
      </c>
      <c r="F274" s="14" t="s">
        <v>184</v>
      </c>
      <c r="G274" s="14" t="s">
        <v>1448</v>
      </c>
      <c r="H274" s="14" t="s">
        <v>222</v>
      </c>
      <c r="I274" s="14" t="s">
        <v>385</v>
      </c>
      <c r="J274" s="14" t="s">
        <v>261</v>
      </c>
      <c r="K274" s="26" t="s">
        <v>304</v>
      </c>
      <c r="L274" s="14" t="s">
        <v>385</v>
      </c>
      <c r="M274" s="14" t="s">
        <v>281</v>
      </c>
      <c r="N274" s="14" t="s">
        <v>316</v>
      </c>
      <c r="O274" s="14"/>
      <c r="P274" s="25"/>
      <c r="Q274" s="17"/>
      <c r="R274" s="25"/>
      <c r="S274" s="25"/>
      <c r="T274" s="14"/>
      <c r="U274" s="14"/>
      <c r="V274" s="14"/>
      <c r="W274" s="14"/>
      <c r="X274" s="14"/>
      <c r="Y274" s="14">
        <v>3</v>
      </c>
      <c r="Z274" s="14">
        <v>4</v>
      </c>
      <c r="AA274" s="14">
        <v>3</v>
      </c>
      <c r="AB274" s="15">
        <f>IFERROR(AVERAGE(Tabel1[[#This Row],[Up - R1a]:[Up - R1c]]),"")</f>
        <v>3.3333333333333335</v>
      </c>
      <c r="AC274" s="14">
        <v>3</v>
      </c>
      <c r="AD274" s="14">
        <v>3</v>
      </c>
      <c r="AE274" s="14">
        <v>4</v>
      </c>
      <c r="AF274" s="14">
        <v>4</v>
      </c>
      <c r="AG274" s="14">
        <f>IFERROR(AVERAGE(Tabel1[[#This Row],[Up - R1]:[Up - R5]]),"")</f>
        <v>3.4666666666666672</v>
      </c>
      <c r="AH274" s="14">
        <v>4</v>
      </c>
      <c r="AI274" s="14">
        <v>4</v>
      </c>
      <c r="AJ274" s="14">
        <v>3</v>
      </c>
      <c r="AK274" s="14">
        <f>IFERROR(AVERAGE(Tabel1[[#This Row],[Up - C1a]:[Up - C1c]]),"")</f>
        <v>3.6666666666666665</v>
      </c>
      <c r="AL274" s="14">
        <v>3</v>
      </c>
      <c r="AM274" s="14">
        <v>4</v>
      </c>
      <c r="AN274" s="14">
        <v>4</v>
      </c>
      <c r="AO274" s="14">
        <f>IFERROR(AVERAGE(Tabel1[[#This Row],[Up - C1]:[Up - C4]]),"")</f>
        <v>3.6666666666666665</v>
      </c>
      <c r="AP274" s="14">
        <v>4</v>
      </c>
      <c r="AQ274" s="14">
        <f>IFERROR(AVERAGE(Tabel1[[#This Row],[Up - F1a]:[Up - F1a]]),"")</f>
        <v>4</v>
      </c>
      <c r="AR274" s="14">
        <v>4</v>
      </c>
      <c r="AS274" s="14">
        <v>3</v>
      </c>
      <c r="AT274" s="14">
        <f>IFERROR(AVERAGE(Tabel1[[#This Row],[Up - F2a]:[Up - F2b]]),"")</f>
        <v>3.5</v>
      </c>
      <c r="AU274" s="14">
        <v>3</v>
      </c>
      <c r="AV274" s="14">
        <v>4</v>
      </c>
      <c r="AW274" s="14">
        <f>IFERROR(AVERAGE(Tabel1[[#This Row],[Up - F3a]:[Up - F3b]]),"")</f>
        <v>3.5</v>
      </c>
      <c r="AX274" s="14">
        <v>3</v>
      </c>
      <c r="AY274" s="14">
        <f>IFERROR(AVERAGE(Tabel1[[#This Row],[Up - F1]],Tabel1[[#This Row],[Up - F2]],Tabel1[[#This Row],[Up - F3]],Tabel1[[#This Row],[Up - F4]]),"")</f>
        <v>3.5</v>
      </c>
      <c r="AZ274" s="14">
        <v>2</v>
      </c>
      <c r="BA274" s="14">
        <v>5</v>
      </c>
      <c r="BB274" s="14">
        <f>IFERROR(AVERAGE(Tabel1[[#This Row],[Up - V1a]:[Up - V1b]]),"")</f>
        <v>3.5</v>
      </c>
      <c r="BC274" s="14">
        <v>5</v>
      </c>
      <c r="BD274" s="14">
        <v>4</v>
      </c>
      <c r="BE274" s="14">
        <v>5</v>
      </c>
      <c r="BF274" s="14">
        <f>IFERROR(AVERAGE(Tabel1[[#This Row],[Up - V2a]:[Up - V2c]]),"")</f>
        <v>4.666666666666667</v>
      </c>
      <c r="BG274" s="14">
        <v>4</v>
      </c>
      <c r="BH274" s="14">
        <v>5</v>
      </c>
      <c r="BI274" s="14">
        <f>IFERROR(AVERAGE(Tabel1[[#This Row],[Up - V3a]:[Up - V3b]]),"")</f>
        <v>4.5</v>
      </c>
      <c r="BJ274" s="14">
        <v>5</v>
      </c>
      <c r="BK274" s="14">
        <f>IFERROR(AVERAGE(Tabel1[[#This Row],[Up - V1]],Tabel1[[#This Row],[Up - V2]],Tabel1[[#This Row],[Up - V3]],Tabel1[[#This Row],[Up - V4]]),"")</f>
        <v>4.416666666666667</v>
      </c>
      <c r="BL274" s="14">
        <v>4</v>
      </c>
      <c r="BM274" s="14">
        <v>5</v>
      </c>
      <c r="BN274" s="14">
        <v>3</v>
      </c>
      <c r="BO274" s="14">
        <v>4</v>
      </c>
      <c r="BP274" s="14">
        <f>IFERROR(AVERAGE(Tabel1[[#This Row],[Up - A1a]:[Up - A1d]]),"")</f>
        <v>4</v>
      </c>
      <c r="BQ274" s="14">
        <v>3</v>
      </c>
      <c r="BR274" s="14">
        <v>5</v>
      </c>
      <c r="BS274" s="14">
        <f>IFERROR(AVERAGE(Tabel1[[#This Row],[Up - A2a]:[Up - A2b]]),"")</f>
        <v>4</v>
      </c>
      <c r="BT274" s="14">
        <v>5</v>
      </c>
      <c r="BU274" s="14">
        <f>IFERROR(AVERAGE(Tabel1[[#This Row],[Up - A3a]:[Up - A3a]]),"")</f>
        <v>5</v>
      </c>
      <c r="BV274" s="14">
        <v>4</v>
      </c>
      <c r="BW274" s="14">
        <f>IFERROR(AVERAGE(Tabel1[[#This Row],[Up - A1]],Tabel1[[#This Row],[Up - A2]],Tabel1[[#This Row],[Up - A3]]),"")</f>
        <v>4.333333333333333</v>
      </c>
      <c r="BX274" s="14">
        <v>4</v>
      </c>
      <c r="BY274" s="14">
        <v>4</v>
      </c>
      <c r="BZ274" s="14">
        <f>IFERROR(AVERAGE(Tabel1[[#This Row],[In - R1a]:[In - R1b]]),"")</f>
        <v>4</v>
      </c>
      <c r="CA274" s="14">
        <v>2</v>
      </c>
      <c r="CB274" s="14">
        <v>3</v>
      </c>
      <c r="CC274" s="14">
        <v>4</v>
      </c>
      <c r="CD274" s="14">
        <v>4</v>
      </c>
      <c r="CE274" s="14">
        <f>IFERROR(AVERAGE(Tabel1[[#This Row],[In - R1]:[In - R5]]),"")</f>
        <v>3.4</v>
      </c>
      <c r="CF274" s="14">
        <v>3</v>
      </c>
      <c r="CG274" s="14">
        <v>4</v>
      </c>
      <c r="CH274" s="14">
        <v>4</v>
      </c>
      <c r="CI274" s="14">
        <f>IFERROR(AVERAGE(Tabel1[[#This Row],[In - C1a]:[In - C1c]]),"")</f>
        <v>3.6666666666666665</v>
      </c>
      <c r="CJ274" s="14">
        <v>4</v>
      </c>
      <c r="CK274" s="14">
        <v>3</v>
      </c>
      <c r="CL274" s="14">
        <v>4</v>
      </c>
      <c r="CM274" s="14">
        <f>IFERROR(AVERAGE(Tabel1[[#This Row],[In - C1]:[In - C4]]),"")</f>
        <v>3.6666666666666665</v>
      </c>
      <c r="CN274" s="14">
        <v>4</v>
      </c>
      <c r="CO274" s="14">
        <v>5</v>
      </c>
      <c r="CP274" s="14">
        <v>5</v>
      </c>
      <c r="CQ274" s="14">
        <f>IFERROR(AVERAGE(Tabel1[[#This Row],[In - F1a]:[In - F1c]]),"")</f>
        <v>4.666666666666667</v>
      </c>
      <c r="CR274" s="14">
        <v>4</v>
      </c>
      <c r="CS274" s="14">
        <v>3</v>
      </c>
      <c r="CT274" s="14">
        <f>IFERROR(AVERAGE(Tabel1[[#This Row],[In - F2a]:[In - F2b]]),"")</f>
        <v>3.5</v>
      </c>
      <c r="CU274" s="14">
        <v>3</v>
      </c>
      <c r="CV274" s="14">
        <f>IFERROR(AVERAGE(Tabel1[[#This Row],[In - F3a]:[In - F3a]]),"")</f>
        <v>3</v>
      </c>
      <c r="CW274" s="14">
        <v>4</v>
      </c>
      <c r="CX274" s="14">
        <f>IFERROR(AVERAGE(Tabel1[[#This Row],[In - F1]],Tabel1[[#This Row],[In - F2]],Tabel1[[#This Row],[In - F3]],Tabel1[[#This Row],[In - F4]]),"")</f>
        <v>3.791666666666667</v>
      </c>
      <c r="CY274" s="14">
        <v>4</v>
      </c>
      <c r="CZ274" s="14">
        <v>4</v>
      </c>
      <c r="DA274" s="14">
        <v>5</v>
      </c>
      <c r="DB274" s="14">
        <f>IFERROR(AVERAGE(Tabel1[[#This Row],[In - V1a]:[In - V1c]]),"")</f>
        <v>4.333333333333333</v>
      </c>
      <c r="DC274" s="14">
        <v>5</v>
      </c>
      <c r="DD274" s="14">
        <v>5</v>
      </c>
      <c r="DE274" s="14">
        <v>5</v>
      </c>
      <c r="DF274" s="14">
        <f>IFERROR(AVERAGE(Tabel1[[#This Row],[In - V2a]:[In - V2c]]),"")</f>
        <v>5</v>
      </c>
      <c r="DG274" s="14">
        <v>4</v>
      </c>
      <c r="DH274" s="14">
        <v>4</v>
      </c>
      <c r="DI274" s="14">
        <f>IFERROR(AVERAGE(Tabel1[[#This Row],[In - V3a]:[In - V3b]]),"")</f>
        <v>4</v>
      </c>
      <c r="DJ274" s="14">
        <v>4</v>
      </c>
      <c r="DK274" s="14">
        <f>IFERROR(AVERAGE(Tabel1[[#This Row],[In - V1]],Tabel1[[#This Row],[In - V2]],Tabel1[[#This Row],[In - V3]],Tabel1[[#This Row],[In - V4]]),"")</f>
        <v>4.333333333333333</v>
      </c>
      <c r="DL274" s="14">
        <v>4</v>
      </c>
      <c r="DM274" s="14">
        <v>4</v>
      </c>
      <c r="DN274" s="14">
        <f>IFERROR(AVERAGE(Tabel1[[#This Row],[In - A1a]:[In - A1b]]),"")</f>
        <v>4</v>
      </c>
      <c r="DO274" s="14">
        <v>4</v>
      </c>
      <c r="DP274" s="14">
        <v>4</v>
      </c>
      <c r="DQ274" s="14">
        <f>IFERROR(AVERAGE(Tabel1[[#This Row],[In - A2a]:[In - A2b]]),"")</f>
        <v>4</v>
      </c>
      <c r="DR274" s="14">
        <v>5</v>
      </c>
      <c r="DS274" s="14">
        <v>3</v>
      </c>
      <c r="DT274" s="14">
        <f>IFERROR(AVERAGE(Tabel1[[#This Row],[In - A3a]:[In - A3a]]),"")</f>
        <v>5</v>
      </c>
      <c r="DU274" s="14">
        <v>5</v>
      </c>
      <c r="DV274" s="14">
        <f>IFERROR(AVERAGE(Tabel1[[#This Row],[In - A1]],Tabel1[[#This Row],[In - A2]],Tabel1[[#This Row],[In - A3]],Tabel1[[#This Row],[In - A4]]),"")</f>
        <v>4.5</v>
      </c>
      <c r="DW274" s="14">
        <v>4</v>
      </c>
      <c r="DX274" s="14">
        <v>4</v>
      </c>
      <c r="DY274" s="14">
        <v>4</v>
      </c>
      <c r="DZ274" s="14">
        <f>IFERROR(AVERAGE(Tabel1[[#This Row],[Do - R1a]:[Do - R1c]]),"")</f>
        <v>4</v>
      </c>
      <c r="EA274" s="14">
        <v>2</v>
      </c>
      <c r="EB274" s="14">
        <v>3</v>
      </c>
      <c r="EC274" s="14">
        <v>3</v>
      </c>
      <c r="ED274" s="14">
        <v>4</v>
      </c>
      <c r="EE274" s="14">
        <f>IFERROR(AVERAGE(Tabel1[[#This Row],[Do - R1]:[Do - R5]]),"")</f>
        <v>3.2</v>
      </c>
      <c r="EF274" s="14">
        <v>4</v>
      </c>
      <c r="EG274" s="14">
        <v>3</v>
      </c>
      <c r="EH274" s="14">
        <v>3</v>
      </c>
      <c r="EI274" s="14">
        <f>IFERROR(AVERAGE(Tabel1[[#This Row],[Do - C1a]:[Do - C1c]]),"")</f>
        <v>3.3333333333333335</v>
      </c>
      <c r="EJ274" s="14">
        <v>4</v>
      </c>
      <c r="EK274" s="14">
        <v>3</v>
      </c>
      <c r="EL274" s="14">
        <v>4</v>
      </c>
      <c r="EM274" s="14">
        <f>IFERROR(AVERAGE(Tabel1[[#This Row],[Do - C1]:[Do - C4]]),"")</f>
        <v>3.5833333333333335</v>
      </c>
      <c r="EN274" s="14">
        <v>4</v>
      </c>
      <c r="EO274" s="14">
        <v>4</v>
      </c>
      <c r="EP274" s="14">
        <v>4</v>
      </c>
      <c r="EQ274" s="14">
        <f>IFERROR(AVERAGE(Tabel1[[#This Row],[Do - F1a]:[Do - F1c]]),"")</f>
        <v>4</v>
      </c>
      <c r="ER274" s="14">
        <v>4</v>
      </c>
      <c r="ES274" s="14">
        <f>IFERROR(AVERAGE(Tabel1[[#This Row],[Do - F2a]:[Do - F2a]]),"")</f>
        <v>4</v>
      </c>
      <c r="ET274" s="14">
        <v>2</v>
      </c>
      <c r="EU274" s="14">
        <v>4</v>
      </c>
      <c r="EV274" s="14">
        <f>IFERROR(AVERAGE(Tabel1[[#This Row],[Do - F3a]:[Do - F3b]]),"")</f>
        <v>3</v>
      </c>
      <c r="EW274" s="14">
        <v>4</v>
      </c>
      <c r="EX274" s="14">
        <f>IFERROR(AVERAGE(Tabel1[[#This Row],[Do - F1]],Tabel1[[#This Row],[Do - F2]],Tabel1[[#This Row],[Do - F3]],Tabel1[[#This Row],[Do - F4]]),"")</f>
        <v>3.75</v>
      </c>
      <c r="EY274" s="14">
        <v>4</v>
      </c>
      <c r="EZ274" s="14">
        <v>4</v>
      </c>
      <c r="FA274" s="14">
        <v>4</v>
      </c>
      <c r="FB274" s="14">
        <f>IFERROR(AVERAGE(Tabel1[[#This Row],[Do - V1a]:[Do - V1c]]),"")</f>
        <v>4</v>
      </c>
      <c r="FC274" s="14">
        <v>5</v>
      </c>
      <c r="FD274" s="14">
        <v>4</v>
      </c>
      <c r="FE274" s="14">
        <f>IFERROR(AVERAGE(Tabel1[[#This Row],[Do - V2a]:[Do - V2b]]),"")</f>
        <v>4.5</v>
      </c>
      <c r="FF274" s="14">
        <v>4</v>
      </c>
      <c r="FG274" s="14">
        <f>IFERROR(AVERAGE(Tabel1[[#This Row],[Do - V3a]:[Do - V3a]]),"")</f>
        <v>4</v>
      </c>
      <c r="FH274" s="14">
        <v>4</v>
      </c>
      <c r="FI274" s="14">
        <f>IFERROR(AVERAGE(Tabel1[[#This Row],[Do - V1]],Tabel1[[#This Row],[Do - V2]],Tabel1[[#This Row],[Do - V3]],Tabel1[[#This Row],[Do - V4]]),"")</f>
        <v>4.125</v>
      </c>
      <c r="FJ274" s="14">
        <v>4</v>
      </c>
      <c r="FK274" s="14">
        <v>3</v>
      </c>
      <c r="FL274" s="14">
        <v>4</v>
      </c>
      <c r="FM274" s="14">
        <f>IFERROR(AVERAGE(Tabel1[[#This Row],[Do - A1a]:[Do - A1c]]),"")</f>
        <v>3.6666666666666665</v>
      </c>
      <c r="FN274" s="14">
        <v>4</v>
      </c>
      <c r="FO274" s="14">
        <v>4</v>
      </c>
      <c r="FP274" s="14">
        <f>IFERROR(AVERAGE(Tabel1[[#This Row],[Do - A2a]:[Do - A2b]]),"")</f>
        <v>4</v>
      </c>
      <c r="FQ274" s="14">
        <v>4</v>
      </c>
      <c r="FR274" s="14">
        <f>IFERROR(AVERAGE(Tabel1[[#This Row],[Do - A3a]:[Do - A3a]]),"")</f>
        <v>4</v>
      </c>
      <c r="FS274" s="14">
        <v>4</v>
      </c>
      <c r="FT274" s="14">
        <f>IFERROR(AVERAGE(Tabel1[[#This Row],[Do - A1]],Tabel1[[#This Row],[Do - A2]],Tabel1[[#This Row],[Do - A3]],Tabel1[[#This Row],[Do - A4]]),"")</f>
        <v>3.9166666666666665</v>
      </c>
      <c r="FU27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3.8433333333333337</v>
      </c>
      <c r="FV274" s="27" t="s">
        <v>1449</v>
      </c>
      <c r="FW274" t="b">
        <v>1</v>
      </c>
    </row>
    <row r="275" spans="1:179" x14ac:dyDescent="0.3">
      <c r="A275" s="13">
        <v>45414.325497685197</v>
      </c>
      <c r="B275" t="b">
        <v>0</v>
      </c>
      <c r="C275" s="14" t="s">
        <v>1450</v>
      </c>
      <c r="D275" s="14" t="s">
        <v>1451</v>
      </c>
      <c r="E275" s="14" t="s">
        <v>1452</v>
      </c>
      <c r="F275" s="14" t="s">
        <v>184</v>
      </c>
      <c r="G275" s="14" t="s">
        <v>1453</v>
      </c>
      <c r="H275" s="14" t="s">
        <v>222</v>
      </c>
      <c r="I275" s="14" t="s">
        <v>195</v>
      </c>
      <c r="J275" s="14" t="s">
        <v>1305</v>
      </c>
      <c r="K275" s="28" t="s">
        <v>187</v>
      </c>
      <c r="L275" s="14" t="s">
        <v>249</v>
      </c>
      <c r="M275" s="14" t="s">
        <v>281</v>
      </c>
      <c r="N275" s="14" t="s">
        <v>316</v>
      </c>
      <c r="O275" s="14" t="s">
        <v>200</v>
      </c>
      <c r="P275" s="24" t="s">
        <v>255</v>
      </c>
      <c r="Q275" s="17" t="s">
        <v>201</v>
      </c>
      <c r="R275" s="25" t="s">
        <v>187</v>
      </c>
      <c r="S275" s="25" t="s">
        <v>187</v>
      </c>
      <c r="T275" s="14" t="s">
        <v>204</v>
      </c>
      <c r="U275" s="14" t="s">
        <v>205</v>
      </c>
      <c r="V275" s="14" t="s">
        <v>484</v>
      </c>
      <c r="W275" s="14" t="s">
        <v>207</v>
      </c>
      <c r="X275" s="14" t="s">
        <v>207</v>
      </c>
      <c r="Y275" s="14">
        <v>3</v>
      </c>
      <c r="Z275" s="14">
        <v>2</v>
      </c>
      <c r="AA275" s="14">
        <v>3</v>
      </c>
      <c r="AB275" s="15">
        <f>IFERROR(AVERAGE(Tabel1[[#This Row],[Up - R1a]:[Up - R1c]]),"")</f>
        <v>2.6666666666666665</v>
      </c>
      <c r="AC275" s="14">
        <v>2</v>
      </c>
      <c r="AD275" s="14">
        <v>3</v>
      </c>
      <c r="AE275" s="14">
        <v>1</v>
      </c>
      <c r="AF275" s="14">
        <v>3</v>
      </c>
      <c r="AG275" s="14">
        <f>IFERROR(AVERAGE(Tabel1[[#This Row],[Up - R1]:[Up - R5]]),"")</f>
        <v>2.333333333333333</v>
      </c>
      <c r="AH275" s="14">
        <v>3</v>
      </c>
      <c r="AI275" s="14">
        <v>4</v>
      </c>
      <c r="AJ275" s="14">
        <v>3</v>
      </c>
      <c r="AK275" s="14">
        <f>IFERROR(AVERAGE(Tabel1[[#This Row],[Up - C1a]:[Up - C1c]]),"")</f>
        <v>3.3333333333333335</v>
      </c>
      <c r="AL275" s="14">
        <v>4</v>
      </c>
      <c r="AM275" s="14">
        <v>2</v>
      </c>
      <c r="AN275" s="14">
        <v>2</v>
      </c>
      <c r="AO275" s="14">
        <f>IFERROR(AVERAGE(Tabel1[[#This Row],[Up - C1]:[Up - C4]]),"")</f>
        <v>2.8333333333333335</v>
      </c>
      <c r="AP275" s="14">
        <v>2</v>
      </c>
      <c r="AQ275" s="14">
        <f>IFERROR(AVERAGE(Tabel1[[#This Row],[Up - F1a]:[Up - F1a]]),"")</f>
        <v>2</v>
      </c>
      <c r="AR275" s="14">
        <v>2</v>
      </c>
      <c r="AS275" s="14">
        <v>2</v>
      </c>
      <c r="AT275" s="14">
        <f>IFERROR(AVERAGE(Tabel1[[#This Row],[Up - F2a]:[Up - F2b]]),"")</f>
        <v>2</v>
      </c>
      <c r="AU275" s="14">
        <v>2</v>
      </c>
      <c r="AV275" s="14">
        <v>2</v>
      </c>
      <c r="AW275" s="14">
        <f>IFERROR(AVERAGE(Tabel1[[#This Row],[Up - F3a]:[Up - F3b]]),"")</f>
        <v>2</v>
      </c>
      <c r="AX275" s="14">
        <v>2</v>
      </c>
      <c r="AY275" s="14">
        <f>IFERROR(AVERAGE(Tabel1[[#This Row],[Up - F1]],Tabel1[[#This Row],[Up - F2]],Tabel1[[#This Row],[Up - F3]],Tabel1[[#This Row],[Up - F4]]),"")</f>
        <v>2</v>
      </c>
      <c r="AZ275" s="14">
        <v>4</v>
      </c>
      <c r="BA275" s="14">
        <v>3</v>
      </c>
      <c r="BB275" s="14">
        <f>IFERROR(AVERAGE(Tabel1[[#This Row],[Up - V1a]:[Up - V1b]]),"")</f>
        <v>3.5</v>
      </c>
      <c r="BC275" s="14">
        <v>3</v>
      </c>
      <c r="BD275" s="14">
        <v>4</v>
      </c>
      <c r="BE275" s="14">
        <v>4</v>
      </c>
      <c r="BF275" s="14">
        <f>IFERROR(AVERAGE(Tabel1[[#This Row],[Up - V2a]:[Up - V2c]]),"")</f>
        <v>3.6666666666666665</v>
      </c>
      <c r="BG275" s="14">
        <v>3</v>
      </c>
      <c r="BH275" s="14">
        <v>3</v>
      </c>
      <c r="BI275" s="14">
        <f>IFERROR(AVERAGE(Tabel1[[#This Row],[Up - V3a]:[Up - V3b]]),"")</f>
        <v>3</v>
      </c>
      <c r="BJ275" s="14">
        <v>3</v>
      </c>
      <c r="BK275" s="14">
        <f>IFERROR(AVERAGE(Tabel1[[#This Row],[Up - V1]],Tabel1[[#This Row],[Up - V2]],Tabel1[[#This Row],[Up - V3]],Tabel1[[#This Row],[Up - V4]]),"")</f>
        <v>3.2916666666666665</v>
      </c>
      <c r="BL275" s="14">
        <v>3</v>
      </c>
      <c r="BM275" s="14">
        <v>3</v>
      </c>
      <c r="BN275" s="14">
        <v>2</v>
      </c>
      <c r="BO275" s="14">
        <v>2</v>
      </c>
      <c r="BP275" s="14">
        <f>IFERROR(AVERAGE(Tabel1[[#This Row],[Up - A1a]:[Up - A1d]]),"")</f>
        <v>2.5</v>
      </c>
      <c r="BQ275" s="14">
        <v>3</v>
      </c>
      <c r="BR275" s="14">
        <v>3</v>
      </c>
      <c r="BS275" s="14">
        <f>IFERROR(AVERAGE(Tabel1[[#This Row],[Up - A2a]:[Up - A2b]]),"")</f>
        <v>3</v>
      </c>
      <c r="BT275" s="14">
        <v>3</v>
      </c>
      <c r="BU275" s="14">
        <f>IFERROR(AVERAGE(Tabel1[[#This Row],[Up - A3a]:[Up - A3a]]),"")</f>
        <v>3</v>
      </c>
      <c r="BV275" s="14">
        <v>2</v>
      </c>
      <c r="BW275" s="14">
        <f>IFERROR(AVERAGE(Tabel1[[#This Row],[Up - A1]],Tabel1[[#This Row],[Up - A2]],Tabel1[[#This Row],[Up - A3]]),"")</f>
        <v>2.8333333333333335</v>
      </c>
      <c r="BX275" s="14">
        <v>2</v>
      </c>
      <c r="BY275" s="14">
        <v>4</v>
      </c>
      <c r="BZ275" s="14">
        <f>IFERROR(AVERAGE(Tabel1[[#This Row],[In - R1a]:[In - R1b]]),"")</f>
        <v>3</v>
      </c>
      <c r="CA275" s="14">
        <v>4</v>
      </c>
      <c r="CB275" s="14">
        <v>2</v>
      </c>
      <c r="CC275" s="14">
        <v>1</v>
      </c>
      <c r="CD275" s="14">
        <v>4</v>
      </c>
      <c r="CE275" s="14">
        <f>IFERROR(AVERAGE(Tabel1[[#This Row],[In - R1]:[In - R5]]),"")</f>
        <v>2.8</v>
      </c>
      <c r="CF275" s="14">
        <v>4</v>
      </c>
      <c r="CG275" s="14">
        <v>4</v>
      </c>
      <c r="CH275" s="14">
        <v>3</v>
      </c>
      <c r="CI275" s="14">
        <f>IFERROR(AVERAGE(Tabel1[[#This Row],[In - C1a]:[In - C1c]]),"")</f>
        <v>3.6666666666666665</v>
      </c>
      <c r="CJ275" s="14">
        <v>3</v>
      </c>
      <c r="CK275" s="14">
        <v>2</v>
      </c>
      <c r="CL275" s="14">
        <v>4</v>
      </c>
      <c r="CM275" s="14">
        <f>IFERROR(AVERAGE(Tabel1[[#This Row],[In - C1]:[In - C4]]),"")</f>
        <v>3.1666666666666665</v>
      </c>
      <c r="CN275" s="14">
        <v>2</v>
      </c>
      <c r="CO275" s="14">
        <v>2</v>
      </c>
      <c r="CP275" s="14">
        <v>1</v>
      </c>
      <c r="CQ275" s="14">
        <f>IFERROR(AVERAGE(Tabel1[[#This Row],[In - F1a]:[In - F1c]]),"")</f>
        <v>1.6666666666666667</v>
      </c>
      <c r="CR275" s="14">
        <v>3</v>
      </c>
      <c r="CS275" s="14">
        <v>1</v>
      </c>
      <c r="CT275" s="14">
        <f>IFERROR(AVERAGE(Tabel1[[#This Row],[In - F2a]:[In - F2b]]),"")</f>
        <v>2</v>
      </c>
      <c r="CU275" s="14">
        <v>2</v>
      </c>
      <c r="CV275" s="14">
        <f>IFERROR(AVERAGE(Tabel1[[#This Row],[In - F3a]:[In - F3a]]),"")</f>
        <v>2</v>
      </c>
      <c r="CW275" s="14" t="s">
        <v>189</v>
      </c>
      <c r="CX275" s="14">
        <f>IFERROR(AVERAGE(Tabel1[[#This Row],[In - F1]],Tabel1[[#This Row],[In - F2]],Tabel1[[#This Row],[In - F3]],Tabel1[[#This Row],[In - F4]]),"")</f>
        <v>1.8888888888888891</v>
      </c>
      <c r="CY275" s="14">
        <v>4</v>
      </c>
      <c r="CZ275" s="14">
        <v>4</v>
      </c>
      <c r="DA275" s="14">
        <v>4</v>
      </c>
      <c r="DB275" s="14">
        <f>IFERROR(AVERAGE(Tabel1[[#This Row],[In - V1a]:[In - V1c]]),"")</f>
        <v>4</v>
      </c>
      <c r="DC275" s="14">
        <v>4</v>
      </c>
      <c r="DD275" s="14">
        <v>4</v>
      </c>
      <c r="DE275" s="14">
        <v>3</v>
      </c>
      <c r="DF275" s="14">
        <f>IFERROR(AVERAGE(Tabel1[[#This Row],[In - V2a]:[In - V2c]]),"")</f>
        <v>3.6666666666666665</v>
      </c>
      <c r="DG275" s="14">
        <v>3</v>
      </c>
      <c r="DH275" s="14" t="s">
        <v>189</v>
      </c>
      <c r="DI275" s="14">
        <f>IFERROR(AVERAGE(Tabel1[[#This Row],[In - V3a]:[In - V3b]]),"")</f>
        <v>3</v>
      </c>
      <c r="DJ275" s="14">
        <v>4</v>
      </c>
      <c r="DK275" s="14">
        <f>IFERROR(AVERAGE(Tabel1[[#This Row],[In - V1]],Tabel1[[#This Row],[In - V2]],Tabel1[[#This Row],[In - V3]],Tabel1[[#This Row],[In - V4]]),"")</f>
        <v>3.6666666666666665</v>
      </c>
      <c r="DL275" s="14">
        <v>3</v>
      </c>
      <c r="DM275" s="14">
        <v>3</v>
      </c>
      <c r="DN275" s="14">
        <f>IFERROR(AVERAGE(Tabel1[[#This Row],[In - A1a]:[In - A1b]]),"")</f>
        <v>3</v>
      </c>
      <c r="DO275" s="14">
        <v>2</v>
      </c>
      <c r="DP275" s="14">
        <v>3</v>
      </c>
      <c r="DQ275" s="14">
        <f>IFERROR(AVERAGE(Tabel1[[#This Row],[In - A2a]:[In - A2b]]),"")</f>
        <v>2.5</v>
      </c>
      <c r="DR275" s="14">
        <v>4</v>
      </c>
      <c r="DS275" s="14">
        <v>2</v>
      </c>
      <c r="DT275" s="14">
        <f>IFERROR(AVERAGE(Tabel1[[#This Row],[In - A3a]:[In - A3a]]),"")</f>
        <v>4</v>
      </c>
      <c r="DU275" s="14">
        <v>2</v>
      </c>
      <c r="DV275" s="14">
        <f>IFERROR(AVERAGE(Tabel1[[#This Row],[In - A1]],Tabel1[[#This Row],[In - A2]],Tabel1[[#This Row],[In - A3]],Tabel1[[#This Row],[In - A4]]),"")</f>
        <v>2.875</v>
      </c>
      <c r="DW275" s="14">
        <v>2</v>
      </c>
      <c r="DX275" s="14">
        <v>3</v>
      </c>
      <c r="DY275" s="14">
        <v>1</v>
      </c>
      <c r="DZ275" s="14">
        <f>IFERROR(AVERAGE(Tabel1[[#This Row],[Do - R1a]:[Do - R1c]]),"")</f>
        <v>2</v>
      </c>
      <c r="EA275" s="14">
        <v>4</v>
      </c>
      <c r="EB275" s="14">
        <v>3</v>
      </c>
      <c r="EC275" s="14">
        <v>1</v>
      </c>
      <c r="ED275" s="14">
        <v>3</v>
      </c>
      <c r="EE275" s="14">
        <f>IFERROR(AVERAGE(Tabel1[[#This Row],[Do - R1]:[Do - R5]]),"")</f>
        <v>2.6</v>
      </c>
      <c r="EF275" s="14">
        <v>3</v>
      </c>
      <c r="EG275" s="14">
        <v>4</v>
      </c>
      <c r="EH275" s="14">
        <v>3</v>
      </c>
      <c r="EI275" s="14">
        <f>IFERROR(AVERAGE(Tabel1[[#This Row],[Do - C1a]:[Do - C1c]]),"")</f>
        <v>3.3333333333333335</v>
      </c>
      <c r="EJ275" s="14">
        <v>4</v>
      </c>
      <c r="EK275" s="14">
        <v>2</v>
      </c>
      <c r="EL275" s="14">
        <v>2</v>
      </c>
      <c r="EM275" s="14">
        <f>IFERROR(AVERAGE(Tabel1[[#This Row],[Do - C1]:[Do - C4]]),"")</f>
        <v>2.8333333333333335</v>
      </c>
      <c r="EN275" s="14">
        <v>2</v>
      </c>
      <c r="EO275" s="14">
        <v>3</v>
      </c>
      <c r="EP275" s="14">
        <v>3</v>
      </c>
      <c r="EQ275" s="14">
        <f>IFERROR(AVERAGE(Tabel1[[#This Row],[Do - F1a]:[Do - F1c]]),"")</f>
        <v>2.6666666666666665</v>
      </c>
      <c r="ER275" s="14">
        <v>3</v>
      </c>
      <c r="ES275" s="14">
        <f>IFERROR(AVERAGE(Tabel1[[#This Row],[Do - F2a]:[Do - F2a]]),"")</f>
        <v>3</v>
      </c>
      <c r="ET275" s="14">
        <v>4</v>
      </c>
      <c r="EU275" s="14">
        <v>3</v>
      </c>
      <c r="EV275" s="14">
        <f>IFERROR(AVERAGE(Tabel1[[#This Row],[Do - F3a]:[Do - F3b]]),"")</f>
        <v>3.5</v>
      </c>
      <c r="EW275" s="14">
        <v>2</v>
      </c>
      <c r="EX275" s="14">
        <f>IFERROR(AVERAGE(Tabel1[[#This Row],[Do - F1]],Tabel1[[#This Row],[Do - F2]],Tabel1[[#This Row],[Do - F3]],Tabel1[[#This Row],[Do - F4]]),"")</f>
        <v>2.7916666666666665</v>
      </c>
      <c r="EY275" s="14">
        <v>4</v>
      </c>
      <c r="EZ275" s="14">
        <v>3</v>
      </c>
      <c r="FA275" s="14">
        <v>3</v>
      </c>
      <c r="FB275" s="14">
        <f>IFERROR(AVERAGE(Tabel1[[#This Row],[Do - V1a]:[Do - V1c]]),"")</f>
        <v>3.3333333333333335</v>
      </c>
      <c r="FC275" s="14">
        <v>4</v>
      </c>
      <c r="FD275" s="14">
        <v>4</v>
      </c>
      <c r="FE275" s="14">
        <f>IFERROR(AVERAGE(Tabel1[[#This Row],[Do - V2a]:[Do - V2b]]),"")</f>
        <v>4</v>
      </c>
      <c r="FF275" s="14">
        <v>3</v>
      </c>
      <c r="FG275" s="14">
        <f>IFERROR(AVERAGE(Tabel1[[#This Row],[Do - V3a]:[Do - V3a]]),"")</f>
        <v>3</v>
      </c>
      <c r="FH275" s="14">
        <v>3</v>
      </c>
      <c r="FI275" s="14">
        <f>IFERROR(AVERAGE(Tabel1[[#This Row],[Do - V1]],Tabel1[[#This Row],[Do - V2]],Tabel1[[#This Row],[Do - V3]],Tabel1[[#This Row],[Do - V4]]),"")</f>
        <v>3.3333333333333335</v>
      </c>
      <c r="FJ275" s="14">
        <v>4</v>
      </c>
      <c r="FK275" s="14">
        <v>2</v>
      </c>
      <c r="FL275" s="14">
        <v>2</v>
      </c>
      <c r="FM275" s="14">
        <f>IFERROR(AVERAGE(Tabel1[[#This Row],[Do - A1a]:[Do - A1c]]),"")</f>
        <v>2.6666666666666665</v>
      </c>
      <c r="FN275" s="14">
        <v>1</v>
      </c>
      <c r="FO275" s="14">
        <v>4</v>
      </c>
      <c r="FP275" s="14">
        <f>IFERROR(AVERAGE(Tabel1[[#This Row],[Do - A2a]:[Do - A2b]]),"")</f>
        <v>2.5</v>
      </c>
      <c r="FQ275" s="14">
        <v>3</v>
      </c>
      <c r="FR275" s="14">
        <f>IFERROR(AVERAGE(Tabel1[[#This Row],[Do - A3a]:[Do - A3a]]),"")</f>
        <v>3</v>
      </c>
      <c r="FS275" s="14">
        <v>3</v>
      </c>
      <c r="FT275" s="14">
        <f>IFERROR(AVERAGE(Tabel1[[#This Row],[Do - A1]],Tabel1[[#This Row],[Do - A2]],Tabel1[[#This Row],[Do - A3]],Tabel1[[#This Row],[Do - A4]]),"")</f>
        <v>2.7916666666666665</v>
      </c>
      <c r="FU27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2.802592592592593</v>
      </c>
      <c r="FV275" s="27" t="s">
        <v>1454</v>
      </c>
      <c r="FW275" t="b">
        <v>1</v>
      </c>
    </row>
    <row r="276" spans="1:179" x14ac:dyDescent="0.3">
      <c r="A276" s="13">
        <v>45414.377708333297</v>
      </c>
      <c r="B276" t="b">
        <v>0</v>
      </c>
      <c r="C276" s="14" t="s">
        <v>1455</v>
      </c>
      <c r="D276" s="14" t="s">
        <v>1456</v>
      </c>
      <c r="E276" s="14" t="s">
        <v>1457</v>
      </c>
      <c r="F276" s="14" t="s">
        <v>184</v>
      </c>
      <c r="G276" s="14" t="s">
        <v>1458</v>
      </c>
      <c r="H276" s="14" t="s">
        <v>222</v>
      </c>
      <c r="I276" s="14" t="s">
        <v>195</v>
      </c>
      <c r="J276" s="14" t="s">
        <v>261</v>
      </c>
      <c r="K276" s="28" t="s">
        <v>201</v>
      </c>
      <c r="L276" s="14" t="s">
        <v>218</v>
      </c>
      <c r="M276" s="14" t="s">
        <v>188</v>
      </c>
      <c r="N276" s="14" t="s">
        <v>199</v>
      </c>
      <c r="O276" s="14" t="s">
        <v>256</v>
      </c>
      <c r="P276" s="24" t="s">
        <v>255</v>
      </c>
      <c r="Q276" s="17" t="s">
        <v>304</v>
      </c>
      <c r="R276" s="24" t="s">
        <v>304</v>
      </c>
      <c r="S276" s="25" t="s">
        <v>201</v>
      </c>
      <c r="T276" s="14" t="s">
        <v>380</v>
      </c>
      <c r="U276" s="14" t="s">
        <v>237</v>
      </c>
      <c r="V276" s="14" t="s">
        <v>359</v>
      </c>
      <c r="W276" s="14" t="s">
        <v>306</v>
      </c>
      <c r="X276" s="14" t="s">
        <v>395</v>
      </c>
      <c r="Y276" s="14">
        <v>3</v>
      </c>
      <c r="Z276" s="14">
        <v>3</v>
      </c>
      <c r="AA276" s="14">
        <v>3</v>
      </c>
      <c r="AB276" s="15">
        <f>IFERROR(AVERAGE(Tabel1[[#This Row],[Up - R1a]:[Up - R1c]]),"")</f>
        <v>3</v>
      </c>
      <c r="AC276" s="14">
        <v>3</v>
      </c>
      <c r="AD276" s="14">
        <v>3</v>
      </c>
      <c r="AE276" s="14">
        <v>2</v>
      </c>
      <c r="AF276" s="14">
        <v>4</v>
      </c>
      <c r="AG276" s="14">
        <f>IFERROR(AVERAGE(Tabel1[[#This Row],[Up - R1]:[Up - R5]]),"")</f>
        <v>3</v>
      </c>
      <c r="AH276" s="14">
        <v>5</v>
      </c>
      <c r="AI276" s="14">
        <v>4</v>
      </c>
      <c r="AJ276" s="14">
        <v>3</v>
      </c>
      <c r="AK276" s="14">
        <f>IFERROR(AVERAGE(Tabel1[[#This Row],[Up - C1a]:[Up - C1c]]),"")</f>
        <v>4</v>
      </c>
      <c r="AL276" s="14">
        <v>4</v>
      </c>
      <c r="AM276" s="14">
        <v>4</v>
      </c>
      <c r="AN276" s="14">
        <v>2</v>
      </c>
      <c r="AO276" s="14">
        <f>IFERROR(AVERAGE(Tabel1[[#This Row],[Up - C1]:[Up - C4]]),"")</f>
        <v>3.5</v>
      </c>
      <c r="AP276" s="14">
        <v>1</v>
      </c>
      <c r="AQ276" s="14">
        <f>IFERROR(AVERAGE(Tabel1[[#This Row],[Up - F1a]:[Up - F1a]]),"")</f>
        <v>1</v>
      </c>
      <c r="AR276" s="14">
        <v>2</v>
      </c>
      <c r="AS276" s="14">
        <v>2</v>
      </c>
      <c r="AT276" s="14">
        <f>IFERROR(AVERAGE(Tabel1[[#This Row],[Up - F2a]:[Up - F2b]]),"")</f>
        <v>2</v>
      </c>
      <c r="AU276" s="14">
        <v>2</v>
      </c>
      <c r="AV276" s="14">
        <v>3</v>
      </c>
      <c r="AW276" s="14">
        <f>IFERROR(AVERAGE(Tabel1[[#This Row],[Up - F3a]:[Up - F3b]]),"")</f>
        <v>2.5</v>
      </c>
      <c r="AX276" s="14">
        <v>1</v>
      </c>
      <c r="AY276" s="14">
        <f>IFERROR(AVERAGE(Tabel1[[#This Row],[Up - F1]],Tabel1[[#This Row],[Up - F2]],Tabel1[[#This Row],[Up - F3]],Tabel1[[#This Row],[Up - F4]]),"")</f>
        <v>1.625</v>
      </c>
      <c r="AZ276" s="14">
        <v>4</v>
      </c>
      <c r="BA276" s="14">
        <v>4</v>
      </c>
      <c r="BB276" s="14">
        <f>IFERROR(AVERAGE(Tabel1[[#This Row],[Up - V1a]:[Up - V1b]]),"")</f>
        <v>4</v>
      </c>
      <c r="BC276" s="14">
        <v>4</v>
      </c>
      <c r="BD276" s="14">
        <v>5</v>
      </c>
      <c r="BE276" s="14">
        <v>5</v>
      </c>
      <c r="BF276" s="14">
        <f>IFERROR(AVERAGE(Tabel1[[#This Row],[Up - V2a]:[Up - V2c]]),"")</f>
        <v>4.666666666666667</v>
      </c>
      <c r="BG276" s="14">
        <v>3</v>
      </c>
      <c r="BH276" s="14">
        <v>3</v>
      </c>
      <c r="BI276" s="14">
        <f>IFERROR(AVERAGE(Tabel1[[#This Row],[Up - V3a]:[Up - V3b]]),"")</f>
        <v>3</v>
      </c>
      <c r="BJ276" s="14">
        <v>4</v>
      </c>
      <c r="BK276" s="14">
        <f>IFERROR(AVERAGE(Tabel1[[#This Row],[Up - V1]],Tabel1[[#This Row],[Up - V2]],Tabel1[[#This Row],[Up - V3]],Tabel1[[#This Row],[Up - V4]]),"")</f>
        <v>3.916666666666667</v>
      </c>
      <c r="BL276" s="14">
        <v>3</v>
      </c>
      <c r="BM276" s="14">
        <v>4</v>
      </c>
      <c r="BN276" s="14">
        <v>3</v>
      </c>
      <c r="BO276" s="14">
        <v>2</v>
      </c>
      <c r="BP276" s="14">
        <f>IFERROR(AVERAGE(Tabel1[[#This Row],[Up - A1a]:[Up - A1d]]),"")</f>
        <v>3</v>
      </c>
      <c r="BQ276" s="14">
        <v>2</v>
      </c>
      <c r="BR276" s="14">
        <v>2</v>
      </c>
      <c r="BS276" s="14">
        <f>IFERROR(AVERAGE(Tabel1[[#This Row],[Up - A2a]:[Up - A2b]]),"")</f>
        <v>2</v>
      </c>
      <c r="BT276" s="14">
        <v>3</v>
      </c>
      <c r="BU276" s="14">
        <f>IFERROR(AVERAGE(Tabel1[[#This Row],[Up - A3a]:[Up - A3a]]),"")</f>
        <v>3</v>
      </c>
      <c r="BV276" s="14">
        <v>3</v>
      </c>
      <c r="BW276" s="14">
        <f>IFERROR(AVERAGE(Tabel1[[#This Row],[Up - A1]],Tabel1[[#This Row],[Up - A2]],Tabel1[[#This Row],[Up - A3]]),"")</f>
        <v>2.6666666666666665</v>
      </c>
      <c r="BX276" s="14">
        <v>1</v>
      </c>
      <c r="BY276" s="14" t="s">
        <v>189</v>
      </c>
      <c r="BZ276" s="14">
        <f>IFERROR(AVERAGE(Tabel1[[#This Row],[In - R1a]:[In - R1b]]),"")</f>
        <v>1</v>
      </c>
      <c r="CA276" s="14" t="s">
        <v>189</v>
      </c>
      <c r="CB276" s="14" t="s">
        <v>189</v>
      </c>
      <c r="CC276" s="14">
        <v>1</v>
      </c>
      <c r="CD276" s="14">
        <v>4</v>
      </c>
      <c r="CE276" s="14">
        <f>IFERROR(AVERAGE(Tabel1[[#This Row],[In - R1]:[In - R5]]),"")</f>
        <v>2</v>
      </c>
      <c r="CF276" s="14">
        <v>5</v>
      </c>
      <c r="CG276" s="14">
        <v>4</v>
      </c>
      <c r="CH276" s="14">
        <v>2</v>
      </c>
      <c r="CI276" s="14">
        <f>IFERROR(AVERAGE(Tabel1[[#This Row],[In - C1a]:[In - C1c]]),"")</f>
        <v>3.6666666666666665</v>
      </c>
      <c r="CJ276" s="14">
        <v>3</v>
      </c>
      <c r="CK276" s="14">
        <v>5</v>
      </c>
      <c r="CL276" s="14">
        <v>3</v>
      </c>
      <c r="CM276" s="14">
        <f>IFERROR(AVERAGE(Tabel1[[#This Row],[In - C1]:[In - C4]]),"")</f>
        <v>3.6666666666666665</v>
      </c>
      <c r="CN276" s="14">
        <v>3</v>
      </c>
      <c r="CO276" s="14">
        <v>1</v>
      </c>
      <c r="CP276" s="14">
        <v>1</v>
      </c>
      <c r="CQ276" s="14">
        <f>IFERROR(AVERAGE(Tabel1[[#This Row],[In - F1a]:[In - F1c]]),"")</f>
        <v>1.6666666666666667</v>
      </c>
      <c r="CR276" s="14">
        <v>4</v>
      </c>
      <c r="CS276" s="14">
        <v>4</v>
      </c>
      <c r="CT276" s="14">
        <f>IFERROR(AVERAGE(Tabel1[[#This Row],[In - F2a]:[In - F2b]]),"")</f>
        <v>4</v>
      </c>
      <c r="CU276" s="14">
        <v>1</v>
      </c>
      <c r="CV276" s="14">
        <f>IFERROR(AVERAGE(Tabel1[[#This Row],[In - F3a]:[In - F3a]]),"")</f>
        <v>1</v>
      </c>
      <c r="CW276" s="14">
        <v>3</v>
      </c>
      <c r="CX276" s="14">
        <f>IFERROR(AVERAGE(Tabel1[[#This Row],[In - F1]],Tabel1[[#This Row],[In - F2]],Tabel1[[#This Row],[In - F3]],Tabel1[[#This Row],[In - F4]]),"")</f>
        <v>2.416666666666667</v>
      </c>
      <c r="CY276" s="14">
        <v>5</v>
      </c>
      <c r="CZ276" s="14">
        <v>4</v>
      </c>
      <c r="DA276" s="14">
        <v>3</v>
      </c>
      <c r="DB276" s="14">
        <f>IFERROR(AVERAGE(Tabel1[[#This Row],[In - V1a]:[In - V1c]]),"")</f>
        <v>4</v>
      </c>
      <c r="DC276" s="14">
        <v>3</v>
      </c>
      <c r="DD276" s="14">
        <v>4</v>
      </c>
      <c r="DE276" s="14">
        <v>4</v>
      </c>
      <c r="DF276" s="14">
        <f>IFERROR(AVERAGE(Tabel1[[#This Row],[In - V2a]:[In - V2c]]),"")</f>
        <v>3.6666666666666665</v>
      </c>
      <c r="DG276" s="14">
        <v>3</v>
      </c>
      <c r="DH276" s="14">
        <v>4</v>
      </c>
      <c r="DI276" s="14">
        <f>IFERROR(AVERAGE(Tabel1[[#This Row],[In - V3a]:[In - V3b]]),"")</f>
        <v>3.5</v>
      </c>
      <c r="DJ276" s="14">
        <v>3</v>
      </c>
      <c r="DK276" s="14">
        <f>IFERROR(AVERAGE(Tabel1[[#This Row],[In - V1]],Tabel1[[#This Row],[In - V2]],Tabel1[[#This Row],[In - V3]],Tabel1[[#This Row],[In - V4]]),"")</f>
        <v>3.5416666666666665</v>
      </c>
      <c r="DL276" s="14">
        <v>4</v>
      </c>
      <c r="DM276" s="14">
        <v>4</v>
      </c>
      <c r="DN276" s="14">
        <f>IFERROR(AVERAGE(Tabel1[[#This Row],[In - A1a]:[In - A1b]]),"")</f>
        <v>4</v>
      </c>
      <c r="DO276" s="14">
        <v>2</v>
      </c>
      <c r="DP276" s="14">
        <v>2</v>
      </c>
      <c r="DQ276" s="14">
        <f>IFERROR(AVERAGE(Tabel1[[#This Row],[In - A2a]:[In - A2b]]),"")</f>
        <v>2</v>
      </c>
      <c r="DR276" s="14">
        <v>4</v>
      </c>
      <c r="DS276" s="14">
        <v>3</v>
      </c>
      <c r="DT276" s="14">
        <f>IFERROR(AVERAGE(Tabel1[[#This Row],[In - A3a]:[In - A3a]]),"")</f>
        <v>4</v>
      </c>
      <c r="DU276" s="14">
        <v>4</v>
      </c>
      <c r="DV276" s="14">
        <f>IFERROR(AVERAGE(Tabel1[[#This Row],[In - A1]],Tabel1[[#This Row],[In - A2]],Tabel1[[#This Row],[In - A3]],Tabel1[[#This Row],[In - A4]]),"")</f>
        <v>3.5</v>
      </c>
      <c r="DW276" s="14">
        <v>1</v>
      </c>
      <c r="DX276" s="14">
        <v>1</v>
      </c>
      <c r="DY276" s="14">
        <v>1</v>
      </c>
      <c r="DZ276" s="14">
        <f>IFERROR(AVERAGE(Tabel1[[#This Row],[Do - R1a]:[Do - R1c]]),"")</f>
        <v>1</v>
      </c>
      <c r="EA276" s="14" t="s">
        <v>189</v>
      </c>
      <c r="EB276" s="14">
        <v>3</v>
      </c>
      <c r="EC276" s="14" t="s">
        <v>189</v>
      </c>
      <c r="ED276" s="14">
        <v>4</v>
      </c>
      <c r="EE276" s="14">
        <f>IFERROR(AVERAGE(Tabel1[[#This Row],[Do - R1]:[Do - R5]]),"")</f>
        <v>2.6666666666666665</v>
      </c>
      <c r="EF276" s="14">
        <v>5</v>
      </c>
      <c r="EG276" s="14">
        <v>4</v>
      </c>
      <c r="EH276" s="14">
        <v>3</v>
      </c>
      <c r="EI276" s="14">
        <f>IFERROR(AVERAGE(Tabel1[[#This Row],[Do - C1a]:[Do - C1c]]),"")</f>
        <v>4</v>
      </c>
      <c r="EJ276" s="14">
        <v>4</v>
      </c>
      <c r="EK276" s="14">
        <v>2</v>
      </c>
      <c r="EL276" s="14">
        <v>2</v>
      </c>
      <c r="EM276" s="14">
        <f>IFERROR(AVERAGE(Tabel1[[#This Row],[Do - C1]:[Do - C4]]),"")</f>
        <v>3</v>
      </c>
      <c r="EN276" s="14">
        <v>2</v>
      </c>
      <c r="EO276" s="14">
        <v>4</v>
      </c>
      <c r="EP276" s="14">
        <v>4</v>
      </c>
      <c r="EQ276" s="14">
        <f>IFERROR(AVERAGE(Tabel1[[#This Row],[Do - F1a]:[Do - F1c]]),"")</f>
        <v>3.3333333333333335</v>
      </c>
      <c r="ER276" s="14">
        <v>3</v>
      </c>
      <c r="ES276" s="14">
        <f>IFERROR(AVERAGE(Tabel1[[#This Row],[Do - F2a]:[Do - F2a]]),"")</f>
        <v>3</v>
      </c>
      <c r="ET276" s="14">
        <v>2</v>
      </c>
      <c r="EU276" s="14">
        <v>3</v>
      </c>
      <c r="EV276" s="14">
        <f>IFERROR(AVERAGE(Tabel1[[#This Row],[Do - F3a]:[Do - F3b]]),"")</f>
        <v>2.5</v>
      </c>
      <c r="EW276" s="14">
        <v>1</v>
      </c>
      <c r="EX276" s="14">
        <f>IFERROR(AVERAGE(Tabel1[[#This Row],[Do - F1]],Tabel1[[#This Row],[Do - F2]],Tabel1[[#This Row],[Do - F3]],Tabel1[[#This Row],[Do - F4]]),"")</f>
        <v>2.4583333333333335</v>
      </c>
      <c r="EY276" s="14">
        <v>4</v>
      </c>
      <c r="EZ276" s="14">
        <v>5</v>
      </c>
      <c r="FA276" s="14">
        <v>5</v>
      </c>
      <c r="FB276" s="14">
        <f>IFERROR(AVERAGE(Tabel1[[#This Row],[Do - V1a]:[Do - V1c]]),"")</f>
        <v>4.666666666666667</v>
      </c>
      <c r="FC276" s="14">
        <v>5</v>
      </c>
      <c r="FD276" s="14">
        <v>5</v>
      </c>
      <c r="FE276" s="14">
        <f>IFERROR(AVERAGE(Tabel1[[#This Row],[Do - V2a]:[Do - V2b]]),"")</f>
        <v>5</v>
      </c>
      <c r="FF276" s="14">
        <v>4</v>
      </c>
      <c r="FG276" s="14">
        <f>IFERROR(AVERAGE(Tabel1[[#This Row],[Do - V3a]:[Do - V3a]]),"")</f>
        <v>4</v>
      </c>
      <c r="FH276" s="14">
        <v>4</v>
      </c>
      <c r="FI276" s="14">
        <f>IFERROR(AVERAGE(Tabel1[[#This Row],[Do - V1]],Tabel1[[#This Row],[Do - V2]],Tabel1[[#This Row],[Do - V3]],Tabel1[[#This Row],[Do - V4]]),"")</f>
        <v>4.416666666666667</v>
      </c>
      <c r="FJ276" s="14" t="s">
        <v>189</v>
      </c>
      <c r="FK276" s="14" t="s">
        <v>189</v>
      </c>
      <c r="FL276" s="14" t="s">
        <v>189</v>
      </c>
      <c r="FM276" s="14" t="str">
        <f>IFERROR(AVERAGE(Tabel1[[#This Row],[Do - A1a]:[Do - A1c]]),"")</f>
        <v/>
      </c>
      <c r="FN276" s="14">
        <v>3</v>
      </c>
      <c r="FO276" s="14">
        <v>4</v>
      </c>
      <c r="FP276" s="14">
        <f>IFERROR(AVERAGE(Tabel1[[#This Row],[Do - A2a]:[Do - A2b]]),"")</f>
        <v>3.5</v>
      </c>
      <c r="FQ276" s="14">
        <v>4</v>
      </c>
      <c r="FR276" s="14">
        <f>IFERROR(AVERAGE(Tabel1[[#This Row],[Do - A3a]:[Do - A3a]]),"")</f>
        <v>4</v>
      </c>
      <c r="FS276" s="14">
        <v>4</v>
      </c>
      <c r="FT276" s="14">
        <f>IFERROR(AVERAGE(Tabel1[[#This Row],[Do - A1]],Tabel1[[#This Row],[Do - A2]],Tabel1[[#This Row],[Do - A3]],Tabel1[[#This Row],[Do - A4]]),"")</f>
        <v>3.8333333333333335</v>
      </c>
      <c r="FU27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3.0805555555555562</v>
      </c>
      <c r="FV276" s="27" t="s">
        <v>1459</v>
      </c>
      <c r="FW276" t="b">
        <v>1</v>
      </c>
    </row>
    <row r="277" spans="1:179" x14ac:dyDescent="0.3">
      <c r="A277" s="13">
        <v>45414.464780092603</v>
      </c>
      <c r="B277" t="b">
        <v>0</v>
      </c>
      <c r="C277" s="14" t="s">
        <v>1460</v>
      </c>
      <c r="D277" s="14" t="s">
        <v>1461</v>
      </c>
      <c r="E277" s="14" t="s">
        <v>1462</v>
      </c>
      <c r="F277" s="14" t="s">
        <v>184</v>
      </c>
      <c r="G277" s="14" t="s">
        <v>1463</v>
      </c>
      <c r="H277" s="14" t="s">
        <v>222</v>
      </c>
      <c r="I277" s="14" t="s">
        <v>195</v>
      </c>
      <c r="J277" s="14" t="s">
        <v>273</v>
      </c>
      <c r="K277" s="26" t="s">
        <v>304</v>
      </c>
      <c r="L277" s="14" t="s">
        <v>249</v>
      </c>
      <c r="M277" s="14" t="s">
        <v>198</v>
      </c>
      <c r="N277" s="14" t="s">
        <v>331</v>
      </c>
      <c r="O277" s="14" t="s">
        <v>256</v>
      </c>
      <c r="P277" s="25" t="s">
        <v>317</v>
      </c>
      <c r="Q277" s="17" t="s">
        <v>304</v>
      </c>
      <c r="R277" s="25" t="s">
        <v>201</v>
      </c>
      <c r="S277" s="25" t="s">
        <v>203</v>
      </c>
      <c r="T277" s="14" t="s">
        <v>380</v>
      </c>
      <c r="U277" s="14" t="s">
        <v>285</v>
      </c>
      <c r="V277" s="14" t="s">
        <v>224</v>
      </c>
      <c r="W277" s="14" t="s">
        <v>395</v>
      </c>
      <c r="X277" s="14" t="s">
        <v>395</v>
      </c>
      <c r="Y277" s="14">
        <v>2</v>
      </c>
      <c r="Z277" s="14">
        <v>3</v>
      </c>
      <c r="AA277" s="14">
        <v>3</v>
      </c>
      <c r="AB277" s="15">
        <f>IFERROR(AVERAGE(Tabel1[[#This Row],[Up - R1a]:[Up - R1c]]),"")</f>
        <v>2.6666666666666665</v>
      </c>
      <c r="AC277" s="14">
        <v>2</v>
      </c>
      <c r="AD277" s="14">
        <v>4</v>
      </c>
      <c r="AE277" s="14">
        <v>4</v>
      </c>
      <c r="AF277" s="14">
        <v>4</v>
      </c>
      <c r="AG277" s="14">
        <f>IFERROR(AVERAGE(Tabel1[[#This Row],[Up - R1]:[Up - R5]]),"")</f>
        <v>3.333333333333333</v>
      </c>
      <c r="AH277" s="14">
        <v>4</v>
      </c>
      <c r="AI277" s="14">
        <v>2</v>
      </c>
      <c r="AJ277" s="14">
        <v>4</v>
      </c>
      <c r="AK277" s="14">
        <f>IFERROR(AVERAGE(Tabel1[[#This Row],[Up - C1a]:[Up - C1c]]),"")</f>
        <v>3.3333333333333335</v>
      </c>
      <c r="AL277" s="14">
        <v>2</v>
      </c>
      <c r="AM277" s="14">
        <v>2</v>
      </c>
      <c r="AN277" s="14">
        <v>4</v>
      </c>
      <c r="AO277" s="14">
        <f>IFERROR(AVERAGE(Tabel1[[#This Row],[Up - C1]:[Up - C4]]),"")</f>
        <v>2.8333333333333335</v>
      </c>
      <c r="AP277" s="14">
        <v>3</v>
      </c>
      <c r="AQ277" s="14">
        <f>IFERROR(AVERAGE(Tabel1[[#This Row],[Up - F1a]:[Up - F1a]]),"")</f>
        <v>3</v>
      </c>
      <c r="AR277" s="14">
        <v>2</v>
      </c>
      <c r="AS277" s="14">
        <v>4</v>
      </c>
      <c r="AT277" s="14">
        <f>IFERROR(AVERAGE(Tabel1[[#This Row],[Up - F2a]:[Up - F2b]]),"")</f>
        <v>3</v>
      </c>
      <c r="AU277" s="14">
        <v>3</v>
      </c>
      <c r="AV277" s="14">
        <v>5</v>
      </c>
      <c r="AW277" s="14">
        <f>IFERROR(AVERAGE(Tabel1[[#This Row],[Up - F3a]:[Up - F3b]]),"")</f>
        <v>4</v>
      </c>
      <c r="AX277" s="14">
        <v>3</v>
      </c>
      <c r="AY277" s="14">
        <f>IFERROR(AVERAGE(Tabel1[[#This Row],[Up - F1]],Tabel1[[#This Row],[Up - F2]],Tabel1[[#This Row],[Up - F3]],Tabel1[[#This Row],[Up - F4]]),"")</f>
        <v>3.25</v>
      </c>
      <c r="AZ277" s="14">
        <v>2</v>
      </c>
      <c r="BA277" s="14">
        <v>4</v>
      </c>
      <c r="BB277" s="14">
        <f>IFERROR(AVERAGE(Tabel1[[#This Row],[Up - V1a]:[Up - V1b]]),"")</f>
        <v>3</v>
      </c>
      <c r="BC277" s="14">
        <v>4</v>
      </c>
      <c r="BD277" s="14">
        <v>4</v>
      </c>
      <c r="BE277" s="14">
        <v>3</v>
      </c>
      <c r="BF277" s="14">
        <f>IFERROR(AVERAGE(Tabel1[[#This Row],[Up - V2a]:[Up - V2c]]),"")</f>
        <v>3.6666666666666665</v>
      </c>
      <c r="BG277" s="14">
        <v>2</v>
      </c>
      <c r="BH277" s="14">
        <v>1</v>
      </c>
      <c r="BI277" s="14">
        <f>IFERROR(AVERAGE(Tabel1[[#This Row],[Up - V3a]:[Up - V3b]]),"")</f>
        <v>1.5</v>
      </c>
      <c r="BJ277" s="14">
        <v>2</v>
      </c>
      <c r="BK277" s="14">
        <f>IFERROR(AVERAGE(Tabel1[[#This Row],[Up - V1]],Tabel1[[#This Row],[Up - V2]],Tabel1[[#This Row],[Up - V3]],Tabel1[[#This Row],[Up - V4]]),"")</f>
        <v>2.5416666666666665</v>
      </c>
      <c r="BL277" s="14">
        <v>4</v>
      </c>
      <c r="BM277" s="14">
        <v>4</v>
      </c>
      <c r="BN277" s="14">
        <v>3</v>
      </c>
      <c r="BO277" s="14">
        <v>4</v>
      </c>
      <c r="BP277" s="14">
        <f>IFERROR(AVERAGE(Tabel1[[#This Row],[Up - A1a]:[Up - A1d]]),"")</f>
        <v>3.75</v>
      </c>
      <c r="BQ277" s="14">
        <v>4</v>
      </c>
      <c r="BR277" s="14">
        <v>4</v>
      </c>
      <c r="BS277" s="14">
        <f>IFERROR(AVERAGE(Tabel1[[#This Row],[Up - A2a]:[Up - A2b]]),"")</f>
        <v>4</v>
      </c>
      <c r="BT277" s="14">
        <v>4</v>
      </c>
      <c r="BU277" s="14">
        <f>IFERROR(AVERAGE(Tabel1[[#This Row],[Up - A3a]:[Up - A3a]]),"")</f>
        <v>4</v>
      </c>
      <c r="BV277" s="14">
        <v>3</v>
      </c>
      <c r="BW277" s="14">
        <f>IFERROR(AVERAGE(Tabel1[[#This Row],[Up - A1]],Tabel1[[#This Row],[Up - A2]],Tabel1[[#This Row],[Up - A3]]),"")</f>
        <v>3.9166666666666665</v>
      </c>
      <c r="BX277" s="14">
        <v>1</v>
      </c>
      <c r="BY277" s="14" t="s">
        <v>189</v>
      </c>
      <c r="BZ277" s="14">
        <f>IFERROR(AVERAGE(Tabel1[[#This Row],[In - R1a]:[In - R1b]]),"")</f>
        <v>1</v>
      </c>
      <c r="CA277" s="14">
        <v>3</v>
      </c>
      <c r="CB277" s="14">
        <v>3</v>
      </c>
      <c r="CC277" s="14">
        <v>2</v>
      </c>
      <c r="CD277" s="14">
        <v>5</v>
      </c>
      <c r="CE277" s="14">
        <f>IFERROR(AVERAGE(Tabel1[[#This Row],[In - R1]:[In - R5]]),"")</f>
        <v>2.8</v>
      </c>
      <c r="CF277" s="14">
        <v>5</v>
      </c>
      <c r="CG277" s="14">
        <v>4</v>
      </c>
      <c r="CH277" s="14">
        <v>5</v>
      </c>
      <c r="CI277" s="14">
        <f>IFERROR(AVERAGE(Tabel1[[#This Row],[In - C1a]:[In - C1c]]),"")</f>
        <v>4.666666666666667</v>
      </c>
      <c r="CJ277" s="14">
        <v>4</v>
      </c>
      <c r="CK277" s="14">
        <v>3</v>
      </c>
      <c r="CL277" s="14">
        <v>4</v>
      </c>
      <c r="CM277" s="14">
        <f>IFERROR(AVERAGE(Tabel1[[#This Row],[In - C1]:[In - C4]]),"")</f>
        <v>3.916666666666667</v>
      </c>
      <c r="CN277" s="14">
        <v>5</v>
      </c>
      <c r="CO277" s="14">
        <v>3</v>
      </c>
      <c r="CP277" s="14">
        <v>1</v>
      </c>
      <c r="CQ277" s="14">
        <f>IFERROR(AVERAGE(Tabel1[[#This Row],[In - F1a]:[In - F1c]]),"")</f>
        <v>3</v>
      </c>
      <c r="CR277" s="14">
        <v>4</v>
      </c>
      <c r="CS277" s="14">
        <v>4</v>
      </c>
      <c r="CT277" s="14">
        <f>IFERROR(AVERAGE(Tabel1[[#This Row],[In - F2a]:[In - F2b]]),"")</f>
        <v>4</v>
      </c>
      <c r="CU277" s="14">
        <v>2</v>
      </c>
      <c r="CV277" s="14">
        <f>IFERROR(AVERAGE(Tabel1[[#This Row],[In - F3a]:[In - F3a]]),"")</f>
        <v>2</v>
      </c>
      <c r="CW277" s="14">
        <v>3</v>
      </c>
      <c r="CX277" s="14">
        <f>IFERROR(AVERAGE(Tabel1[[#This Row],[In - F1]],Tabel1[[#This Row],[In - F2]],Tabel1[[#This Row],[In - F3]],Tabel1[[#This Row],[In - F4]]),"")</f>
        <v>3</v>
      </c>
      <c r="CY277" s="14">
        <v>5</v>
      </c>
      <c r="CZ277" s="14">
        <v>3</v>
      </c>
      <c r="DA277" s="14">
        <v>3</v>
      </c>
      <c r="DB277" s="14">
        <f>IFERROR(AVERAGE(Tabel1[[#This Row],[In - V1a]:[In - V1c]]),"")</f>
        <v>3.6666666666666665</v>
      </c>
      <c r="DC277" s="14">
        <v>4</v>
      </c>
      <c r="DD277" s="14">
        <v>2</v>
      </c>
      <c r="DE277" s="14">
        <v>4</v>
      </c>
      <c r="DF277" s="14">
        <f>IFERROR(AVERAGE(Tabel1[[#This Row],[In - V2a]:[In - V2c]]),"")</f>
        <v>3.3333333333333335</v>
      </c>
      <c r="DG277" s="14">
        <v>3</v>
      </c>
      <c r="DH277" s="14">
        <v>2</v>
      </c>
      <c r="DI277" s="14">
        <f>IFERROR(AVERAGE(Tabel1[[#This Row],[In - V3a]:[In - V3b]]),"")</f>
        <v>2.5</v>
      </c>
      <c r="DJ277" s="14">
        <v>4</v>
      </c>
      <c r="DK277" s="14">
        <f>IFERROR(AVERAGE(Tabel1[[#This Row],[In - V1]],Tabel1[[#This Row],[In - V2]],Tabel1[[#This Row],[In - V3]],Tabel1[[#This Row],[In - V4]]),"")</f>
        <v>3.375</v>
      </c>
      <c r="DL277" s="14">
        <v>3</v>
      </c>
      <c r="DM277" s="14">
        <v>2</v>
      </c>
      <c r="DN277" s="14">
        <f>IFERROR(AVERAGE(Tabel1[[#This Row],[In - A1a]:[In - A1b]]),"")</f>
        <v>2.5</v>
      </c>
      <c r="DO277" s="14">
        <v>2</v>
      </c>
      <c r="DP277" s="14">
        <v>3</v>
      </c>
      <c r="DQ277" s="14">
        <f>IFERROR(AVERAGE(Tabel1[[#This Row],[In - A2a]:[In - A2b]]),"")</f>
        <v>2.5</v>
      </c>
      <c r="DR277" s="14">
        <v>5</v>
      </c>
      <c r="DS277" s="14">
        <v>4</v>
      </c>
      <c r="DT277" s="14">
        <f>IFERROR(AVERAGE(Tabel1[[#This Row],[In - A3a]:[In - A3a]]),"")</f>
        <v>5</v>
      </c>
      <c r="DU277" s="14">
        <v>3</v>
      </c>
      <c r="DV277" s="14">
        <f>IFERROR(AVERAGE(Tabel1[[#This Row],[In - A1]],Tabel1[[#This Row],[In - A2]],Tabel1[[#This Row],[In - A3]],Tabel1[[#This Row],[In - A4]]),"")</f>
        <v>3.25</v>
      </c>
      <c r="DW277" s="14">
        <v>4</v>
      </c>
      <c r="DX277" s="14">
        <v>4</v>
      </c>
      <c r="DY277" s="14">
        <v>2</v>
      </c>
      <c r="DZ277" s="14">
        <f>IFERROR(AVERAGE(Tabel1[[#This Row],[Do - R1a]:[Do - R1c]]),"")</f>
        <v>3.3333333333333335</v>
      </c>
      <c r="EA277" s="14">
        <v>4</v>
      </c>
      <c r="EB277" s="14">
        <v>5</v>
      </c>
      <c r="EC277" s="14">
        <v>3</v>
      </c>
      <c r="ED277" s="14">
        <v>4</v>
      </c>
      <c r="EE277" s="14">
        <f>IFERROR(AVERAGE(Tabel1[[#This Row],[Do - R1]:[Do - R5]]),"")</f>
        <v>3.8666666666666671</v>
      </c>
      <c r="EF277" s="14">
        <v>3</v>
      </c>
      <c r="EG277" s="14">
        <v>3</v>
      </c>
      <c r="EH277" s="14">
        <v>4</v>
      </c>
      <c r="EI277" s="14">
        <f>IFERROR(AVERAGE(Tabel1[[#This Row],[Do - C1a]:[Do - C1c]]),"")</f>
        <v>3.3333333333333335</v>
      </c>
      <c r="EJ277" s="14">
        <v>2</v>
      </c>
      <c r="EK277" s="14">
        <v>2</v>
      </c>
      <c r="EL277" s="14">
        <v>4</v>
      </c>
      <c r="EM277" s="14">
        <f>IFERROR(AVERAGE(Tabel1[[#This Row],[Do - C1]:[Do - C4]]),"")</f>
        <v>2.8333333333333335</v>
      </c>
      <c r="EN277" s="14">
        <v>4</v>
      </c>
      <c r="EO277" s="14">
        <v>3</v>
      </c>
      <c r="EP277" s="14">
        <v>3</v>
      </c>
      <c r="EQ277" s="14">
        <f>IFERROR(AVERAGE(Tabel1[[#This Row],[Do - F1a]:[Do - F1c]]),"")</f>
        <v>3.3333333333333335</v>
      </c>
      <c r="ER277" s="14">
        <v>2</v>
      </c>
      <c r="ES277" s="14">
        <f>IFERROR(AVERAGE(Tabel1[[#This Row],[Do - F2a]:[Do - F2a]]),"")</f>
        <v>2</v>
      </c>
      <c r="ET277" s="14">
        <v>3</v>
      </c>
      <c r="EU277" s="14">
        <v>3</v>
      </c>
      <c r="EV277" s="14">
        <f>IFERROR(AVERAGE(Tabel1[[#This Row],[Do - F3a]:[Do - F3b]]),"")</f>
        <v>3</v>
      </c>
      <c r="EW277" s="14">
        <v>4</v>
      </c>
      <c r="EX277" s="14">
        <f>IFERROR(AVERAGE(Tabel1[[#This Row],[Do - F1]],Tabel1[[#This Row],[Do - F2]],Tabel1[[#This Row],[Do - F3]],Tabel1[[#This Row],[Do - F4]]),"")</f>
        <v>3.0833333333333335</v>
      </c>
      <c r="EY277" s="14">
        <v>3</v>
      </c>
      <c r="EZ277" s="14">
        <v>3</v>
      </c>
      <c r="FA277" s="14">
        <v>4</v>
      </c>
      <c r="FB277" s="14">
        <f>IFERROR(AVERAGE(Tabel1[[#This Row],[Do - V1a]:[Do - V1c]]),"")</f>
        <v>3.3333333333333335</v>
      </c>
      <c r="FC277" s="14">
        <v>3</v>
      </c>
      <c r="FD277" s="14">
        <v>4</v>
      </c>
      <c r="FE277" s="14">
        <f>IFERROR(AVERAGE(Tabel1[[#This Row],[Do - V2a]:[Do - V2b]]),"")</f>
        <v>3.5</v>
      </c>
      <c r="FF277" s="14">
        <v>4</v>
      </c>
      <c r="FG277" s="14">
        <f>IFERROR(AVERAGE(Tabel1[[#This Row],[Do - V3a]:[Do - V3a]]),"")</f>
        <v>4</v>
      </c>
      <c r="FH277" s="14">
        <v>2</v>
      </c>
      <c r="FI277" s="14">
        <f>IFERROR(AVERAGE(Tabel1[[#This Row],[Do - V1]],Tabel1[[#This Row],[Do - V2]],Tabel1[[#This Row],[Do - V3]],Tabel1[[#This Row],[Do - V4]]),"")</f>
        <v>3.2083333333333335</v>
      </c>
      <c r="FJ277" s="14">
        <v>4</v>
      </c>
      <c r="FK277" s="14">
        <v>4</v>
      </c>
      <c r="FL277" s="14">
        <v>3</v>
      </c>
      <c r="FM277" s="14">
        <f>IFERROR(AVERAGE(Tabel1[[#This Row],[Do - A1a]:[Do - A1c]]),"")</f>
        <v>3.6666666666666665</v>
      </c>
      <c r="FN277" s="14">
        <v>2</v>
      </c>
      <c r="FO277" s="14">
        <v>4</v>
      </c>
      <c r="FP277" s="14">
        <f>IFERROR(AVERAGE(Tabel1[[#This Row],[Do - A2a]:[Do - A2b]]),"")</f>
        <v>3</v>
      </c>
      <c r="FQ277" s="14">
        <v>4</v>
      </c>
      <c r="FR277" s="14">
        <f>IFERROR(AVERAGE(Tabel1[[#This Row],[Do - A3a]:[Do - A3a]]),"")</f>
        <v>4</v>
      </c>
      <c r="FS277" s="14">
        <v>3</v>
      </c>
      <c r="FT277" s="14">
        <f>IFERROR(AVERAGE(Tabel1[[#This Row],[Do - A1]],Tabel1[[#This Row],[Do - A2]],Tabel1[[#This Row],[Do - A3]],Tabel1[[#This Row],[Do - A4]]),"")</f>
        <v>3.4166666666666665</v>
      </c>
      <c r="FU27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3.2416666666666671</v>
      </c>
      <c r="FV277" s="27" t="s">
        <v>1464</v>
      </c>
      <c r="FW277" t="b">
        <v>1</v>
      </c>
    </row>
    <row r="278" spans="1:179" x14ac:dyDescent="0.3">
      <c r="A278" s="13">
        <v>45414.538900462998</v>
      </c>
      <c r="B278" t="b">
        <v>0</v>
      </c>
      <c r="C278" s="14" t="s">
        <v>1465</v>
      </c>
      <c r="D278" s="14" t="s">
        <v>1466</v>
      </c>
      <c r="E278" s="14" t="s">
        <v>1467</v>
      </c>
      <c r="F278" s="14" t="s">
        <v>184</v>
      </c>
      <c r="G278" s="14" t="s">
        <v>1468</v>
      </c>
      <c r="H278" s="14" t="s">
        <v>222</v>
      </c>
      <c r="I278" s="14" t="s">
        <v>195</v>
      </c>
      <c r="J278" s="14" t="s">
        <v>212</v>
      </c>
      <c r="K278" s="28" t="s">
        <v>203</v>
      </c>
      <c r="L278" s="14" t="s">
        <v>385</v>
      </c>
      <c r="M278" s="14" t="s">
        <v>233</v>
      </c>
      <c r="N278" s="14" t="s">
        <v>199</v>
      </c>
      <c r="O278" s="14" t="s">
        <v>200</v>
      </c>
      <c r="P278" s="24" t="s">
        <v>255</v>
      </c>
      <c r="Q278" s="17" t="s">
        <v>304</v>
      </c>
      <c r="R278" s="24" t="s">
        <v>304</v>
      </c>
      <c r="S278" s="25" t="s">
        <v>235</v>
      </c>
      <c r="T278" s="14" t="s">
        <v>380</v>
      </c>
      <c r="U278" s="14" t="s">
        <v>349</v>
      </c>
      <c r="V278" s="14" t="s">
        <v>224</v>
      </c>
      <c r="W278" s="14" t="s">
        <v>305</v>
      </c>
      <c r="X278" s="14" t="s">
        <v>207</v>
      </c>
      <c r="Y278" s="14">
        <v>3</v>
      </c>
      <c r="Z278" s="14">
        <v>4</v>
      </c>
      <c r="AA278" s="14" t="s">
        <v>189</v>
      </c>
      <c r="AB278" s="15">
        <f>IFERROR(AVERAGE(Tabel1[[#This Row],[Up - R1a]:[Up - R1c]]),"")</f>
        <v>3.5</v>
      </c>
      <c r="AC278" s="14">
        <v>3</v>
      </c>
      <c r="AD278" s="14">
        <v>2</v>
      </c>
      <c r="AE278" s="14" t="s">
        <v>189</v>
      </c>
      <c r="AF278" s="14" t="s">
        <v>189</v>
      </c>
      <c r="AG278" s="14">
        <f>IFERROR(AVERAGE(Tabel1[[#This Row],[Up - R1]:[Up - R5]]),"")</f>
        <v>2.8333333333333335</v>
      </c>
      <c r="AH278" s="14">
        <v>5</v>
      </c>
      <c r="AI278" s="14">
        <v>4</v>
      </c>
      <c r="AJ278" s="14">
        <v>3</v>
      </c>
      <c r="AK278" s="14">
        <f>IFERROR(AVERAGE(Tabel1[[#This Row],[Up - C1a]:[Up - C1c]]),"")</f>
        <v>4</v>
      </c>
      <c r="AL278" s="14">
        <v>4</v>
      </c>
      <c r="AM278" s="14" t="s">
        <v>189</v>
      </c>
      <c r="AN278" s="14" t="s">
        <v>189</v>
      </c>
      <c r="AO278" s="14">
        <f>IFERROR(AVERAGE(Tabel1[[#This Row],[Up - C1]:[Up - C4]]),"")</f>
        <v>4</v>
      </c>
      <c r="AP278" s="14" t="s">
        <v>189</v>
      </c>
      <c r="AQ278" s="14" t="str">
        <f>IFERROR(AVERAGE(Tabel1[[#This Row],[Up - F1a]:[Up - F1a]]),"")</f>
        <v/>
      </c>
      <c r="AR278" s="14">
        <v>3</v>
      </c>
      <c r="AS278" s="14">
        <v>1</v>
      </c>
      <c r="AT278" s="14">
        <f>IFERROR(AVERAGE(Tabel1[[#This Row],[Up - F2a]:[Up - F2b]]),"")</f>
        <v>2</v>
      </c>
      <c r="AU278" s="14" t="s">
        <v>189</v>
      </c>
      <c r="AV278" s="14" t="s">
        <v>189</v>
      </c>
      <c r="AW278" s="14" t="str">
        <f>IFERROR(AVERAGE(Tabel1[[#This Row],[Up - F3a]:[Up - F3b]]),"")</f>
        <v/>
      </c>
      <c r="AX278" s="14" t="s">
        <v>189</v>
      </c>
      <c r="AY278" s="14">
        <f>IFERROR(AVERAGE(Tabel1[[#This Row],[Up - F1]],Tabel1[[#This Row],[Up - F2]],Tabel1[[#This Row],[Up - F3]],Tabel1[[#This Row],[Up - F4]]),"")</f>
        <v>2</v>
      </c>
      <c r="AZ278" s="14" t="s">
        <v>189</v>
      </c>
      <c r="BA278" s="14">
        <v>4</v>
      </c>
      <c r="BB278" s="14">
        <f>IFERROR(AVERAGE(Tabel1[[#This Row],[Up - V1a]:[Up - V1b]]),"")</f>
        <v>4</v>
      </c>
      <c r="BC278" s="14">
        <v>4</v>
      </c>
      <c r="BD278" s="14">
        <v>2</v>
      </c>
      <c r="BE278" s="14" t="s">
        <v>189</v>
      </c>
      <c r="BF278" s="14">
        <f>IFERROR(AVERAGE(Tabel1[[#This Row],[Up - V2a]:[Up - V2c]]),"")</f>
        <v>3</v>
      </c>
      <c r="BG278" s="14" t="s">
        <v>189</v>
      </c>
      <c r="BH278" s="14" t="s">
        <v>189</v>
      </c>
      <c r="BI278" s="14" t="str">
        <f>IFERROR(AVERAGE(Tabel1[[#This Row],[Up - V3a]:[Up - V3b]]),"")</f>
        <v/>
      </c>
      <c r="BJ278" s="14" t="s">
        <v>189</v>
      </c>
      <c r="BK278" s="14">
        <f>IFERROR(AVERAGE(Tabel1[[#This Row],[Up - V1]],Tabel1[[#This Row],[Up - V2]],Tabel1[[#This Row],[Up - V3]],Tabel1[[#This Row],[Up - V4]]),"")</f>
        <v>3.5</v>
      </c>
      <c r="BL278" s="14">
        <v>4</v>
      </c>
      <c r="BM278" s="14">
        <v>4</v>
      </c>
      <c r="BN278" s="14" t="s">
        <v>189</v>
      </c>
      <c r="BO278" s="14" t="s">
        <v>189</v>
      </c>
      <c r="BP278" s="14">
        <f>IFERROR(AVERAGE(Tabel1[[#This Row],[Up - A1a]:[Up - A1d]]),"")</f>
        <v>4</v>
      </c>
      <c r="BQ278" s="14" t="s">
        <v>189</v>
      </c>
      <c r="BR278" s="14" t="s">
        <v>189</v>
      </c>
      <c r="BS278" s="14" t="str">
        <f>IFERROR(AVERAGE(Tabel1[[#This Row],[Up - A2a]:[Up - A2b]]),"")</f>
        <v/>
      </c>
      <c r="BT278" s="14">
        <v>4</v>
      </c>
      <c r="BU278" s="14">
        <f>IFERROR(AVERAGE(Tabel1[[#This Row],[Up - A3a]:[Up - A3a]]),"")</f>
        <v>4</v>
      </c>
      <c r="BV278" s="14" t="s">
        <v>189</v>
      </c>
      <c r="BW278" s="14">
        <f>IFERROR(AVERAGE(Tabel1[[#This Row],[Up - A1]],Tabel1[[#This Row],[Up - A2]],Tabel1[[#This Row],[Up - A3]]),"")</f>
        <v>4</v>
      </c>
      <c r="BX278" s="14">
        <v>4</v>
      </c>
      <c r="BY278" s="14">
        <v>1</v>
      </c>
      <c r="BZ278" s="14">
        <f>IFERROR(AVERAGE(Tabel1[[#This Row],[In - R1a]:[In - R1b]]),"")</f>
        <v>2.5</v>
      </c>
      <c r="CA278" s="14">
        <v>3</v>
      </c>
      <c r="CB278" s="14" t="s">
        <v>189</v>
      </c>
      <c r="CC278" s="14">
        <v>2</v>
      </c>
      <c r="CD278" s="14">
        <v>4</v>
      </c>
      <c r="CE278" s="14">
        <f>IFERROR(AVERAGE(Tabel1[[#This Row],[In - R1]:[In - R5]]),"")</f>
        <v>2.875</v>
      </c>
      <c r="CF278" s="14">
        <v>4</v>
      </c>
      <c r="CG278" s="14">
        <v>4</v>
      </c>
      <c r="CH278" s="14">
        <v>4</v>
      </c>
      <c r="CI278" s="14">
        <f>IFERROR(AVERAGE(Tabel1[[#This Row],[In - C1a]:[In - C1c]]),"")</f>
        <v>4</v>
      </c>
      <c r="CJ278" s="14">
        <v>4</v>
      </c>
      <c r="CK278" s="14">
        <v>5</v>
      </c>
      <c r="CL278" s="14" t="s">
        <v>189</v>
      </c>
      <c r="CM278" s="14">
        <f>IFERROR(AVERAGE(Tabel1[[#This Row],[In - C1]:[In - C4]]),"")</f>
        <v>4.333333333333333</v>
      </c>
      <c r="CN278" s="14">
        <v>4</v>
      </c>
      <c r="CO278" s="14">
        <v>4</v>
      </c>
      <c r="CP278" s="14">
        <v>1</v>
      </c>
      <c r="CQ278" s="14">
        <f>IFERROR(AVERAGE(Tabel1[[#This Row],[In - F1a]:[In - F1c]]),"")</f>
        <v>3</v>
      </c>
      <c r="CR278" s="14">
        <v>3</v>
      </c>
      <c r="CS278" s="14">
        <v>1</v>
      </c>
      <c r="CT278" s="14">
        <f>IFERROR(AVERAGE(Tabel1[[#This Row],[In - F2a]:[In - F2b]]),"")</f>
        <v>2</v>
      </c>
      <c r="CU278" s="14">
        <v>2</v>
      </c>
      <c r="CV278" s="14">
        <f>IFERROR(AVERAGE(Tabel1[[#This Row],[In - F3a]:[In - F3a]]),"")</f>
        <v>2</v>
      </c>
      <c r="CW278" s="14" t="s">
        <v>189</v>
      </c>
      <c r="CX278" s="14">
        <f>IFERROR(AVERAGE(Tabel1[[#This Row],[In - F1]],Tabel1[[#This Row],[In - F2]],Tabel1[[#This Row],[In - F3]],Tabel1[[#This Row],[In - F4]]),"")</f>
        <v>2.3333333333333335</v>
      </c>
      <c r="CY278" s="14">
        <v>4</v>
      </c>
      <c r="CZ278" s="14">
        <v>4</v>
      </c>
      <c r="DA278" s="14">
        <v>3</v>
      </c>
      <c r="DB278" s="14">
        <f>IFERROR(AVERAGE(Tabel1[[#This Row],[In - V1a]:[In - V1c]]),"")</f>
        <v>3.6666666666666665</v>
      </c>
      <c r="DC278" s="14">
        <v>4</v>
      </c>
      <c r="DD278" s="14">
        <v>2</v>
      </c>
      <c r="DE278" s="14">
        <v>4</v>
      </c>
      <c r="DF278" s="14">
        <f>IFERROR(AVERAGE(Tabel1[[#This Row],[In - V2a]:[In - V2c]]),"")</f>
        <v>3.3333333333333335</v>
      </c>
      <c r="DG278" s="14">
        <v>2</v>
      </c>
      <c r="DH278" s="14">
        <v>5</v>
      </c>
      <c r="DI278" s="14">
        <f>IFERROR(AVERAGE(Tabel1[[#This Row],[In - V3a]:[In - V3b]]),"")</f>
        <v>3.5</v>
      </c>
      <c r="DJ278" s="14" t="s">
        <v>189</v>
      </c>
      <c r="DK278" s="14">
        <f>IFERROR(AVERAGE(Tabel1[[#This Row],[In - V1]],Tabel1[[#This Row],[In - V2]],Tabel1[[#This Row],[In - V3]],Tabel1[[#This Row],[In - V4]]),"")</f>
        <v>3.5</v>
      </c>
      <c r="DL278" s="14">
        <v>3</v>
      </c>
      <c r="DM278" s="14">
        <v>3</v>
      </c>
      <c r="DN278" s="14">
        <f>IFERROR(AVERAGE(Tabel1[[#This Row],[In - A1a]:[In - A1b]]),"")</f>
        <v>3</v>
      </c>
      <c r="DO278" s="14">
        <v>3</v>
      </c>
      <c r="DP278" s="14">
        <v>4</v>
      </c>
      <c r="DQ278" s="14">
        <f>IFERROR(AVERAGE(Tabel1[[#This Row],[In - A2a]:[In - A2b]]),"")</f>
        <v>3.5</v>
      </c>
      <c r="DR278" s="14">
        <v>4</v>
      </c>
      <c r="DS278" s="14">
        <v>3</v>
      </c>
      <c r="DT278" s="14">
        <f>IFERROR(AVERAGE(Tabel1[[#This Row],[In - A3a]:[In - A3a]]),"")</f>
        <v>4</v>
      </c>
      <c r="DU278" s="14" t="s">
        <v>189</v>
      </c>
      <c r="DV278" s="14">
        <f>IFERROR(AVERAGE(Tabel1[[#This Row],[In - A1]],Tabel1[[#This Row],[In - A2]],Tabel1[[#This Row],[In - A3]],Tabel1[[#This Row],[In - A4]]),"")</f>
        <v>3.5</v>
      </c>
      <c r="DW278" s="14">
        <v>4</v>
      </c>
      <c r="DX278" s="14">
        <v>5</v>
      </c>
      <c r="DY278" s="14">
        <v>4</v>
      </c>
      <c r="DZ278" s="14">
        <f>IFERROR(AVERAGE(Tabel1[[#This Row],[Do - R1a]:[Do - R1c]]),"")</f>
        <v>4.333333333333333</v>
      </c>
      <c r="EA278" s="14">
        <v>3</v>
      </c>
      <c r="EB278" s="14">
        <v>4</v>
      </c>
      <c r="EC278" s="14">
        <v>2</v>
      </c>
      <c r="ED278" s="14" t="s">
        <v>189</v>
      </c>
      <c r="EE278" s="14">
        <f>IFERROR(AVERAGE(Tabel1[[#This Row],[Do - R1]:[Do - R5]]),"")</f>
        <v>3.333333333333333</v>
      </c>
      <c r="EF278" s="14">
        <v>4</v>
      </c>
      <c r="EG278" s="14">
        <v>2</v>
      </c>
      <c r="EH278" s="14">
        <v>4</v>
      </c>
      <c r="EI278" s="14">
        <f>IFERROR(AVERAGE(Tabel1[[#This Row],[Do - C1a]:[Do - C1c]]),"")</f>
        <v>3.3333333333333335</v>
      </c>
      <c r="EJ278" s="14">
        <v>4</v>
      </c>
      <c r="EK278" s="14">
        <v>3</v>
      </c>
      <c r="EL278" s="14" t="s">
        <v>189</v>
      </c>
      <c r="EM278" s="14">
        <f>IFERROR(AVERAGE(Tabel1[[#This Row],[Do - C1]:[Do - C4]]),"")</f>
        <v>3.4444444444444446</v>
      </c>
      <c r="EN278" s="14">
        <v>4</v>
      </c>
      <c r="EO278" s="14">
        <v>4</v>
      </c>
      <c r="EP278" s="14">
        <v>1</v>
      </c>
      <c r="EQ278" s="14">
        <f>IFERROR(AVERAGE(Tabel1[[#This Row],[Do - F1a]:[Do - F1c]]),"")</f>
        <v>3</v>
      </c>
      <c r="ER278" s="14">
        <v>1</v>
      </c>
      <c r="ES278" s="14">
        <f>IFERROR(AVERAGE(Tabel1[[#This Row],[Do - F2a]:[Do - F2a]]),"")</f>
        <v>1</v>
      </c>
      <c r="ET278" s="14">
        <v>1</v>
      </c>
      <c r="EU278" s="14">
        <v>2</v>
      </c>
      <c r="EV278" s="14">
        <f>IFERROR(AVERAGE(Tabel1[[#This Row],[Do - F3a]:[Do - F3b]]),"")</f>
        <v>1.5</v>
      </c>
      <c r="EW278" s="14" t="s">
        <v>189</v>
      </c>
      <c r="EX278" s="14">
        <f>IFERROR(AVERAGE(Tabel1[[#This Row],[Do - F1]],Tabel1[[#This Row],[Do - F2]],Tabel1[[#This Row],[Do - F3]],Tabel1[[#This Row],[Do - F4]]),"")</f>
        <v>1.8333333333333333</v>
      </c>
      <c r="EY278" s="14">
        <v>4</v>
      </c>
      <c r="EZ278" s="14">
        <v>4</v>
      </c>
      <c r="FA278" s="14">
        <v>4</v>
      </c>
      <c r="FB278" s="14">
        <f>IFERROR(AVERAGE(Tabel1[[#This Row],[Do - V1a]:[Do - V1c]]),"")</f>
        <v>4</v>
      </c>
      <c r="FC278" s="14">
        <v>4</v>
      </c>
      <c r="FD278" s="14">
        <v>2</v>
      </c>
      <c r="FE278" s="14">
        <f>IFERROR(AVERAGE(Tabel1[[#This Row],[Do - V2a]:[Do - V2b]]),"")</f>
        <v>3</v>
      </c>
      <c r="FF278" s="14">
        <v>3</v>
      </c>
      <c r="FG278" s="14">
        <f>IFERROR(AVERAGE(Tabel1[[#This Row],[Do - V3a]:[Do - V3a]]),"")</f>
        <v>3</v>
      </c>
      <c r="FH278" s="14" t="s">
        <v>189</v>
      </c>
      <c r="FI278" s="14">
        <f>IFERROR(AVERAGE(Tabel1[[#This Row],[Do - V1]],Tabel1[[#This Row],[Do - V2]],Tabel1[[#This Row],[Do - V3]],Tabel1[[#This Row],[Do - V4]]),"")</f>
        <v>3.3333333333333335</v>
      </c>
      <c r="FJ278" s="14">
        <v>3</v>
      </c>
      <c r="FK278" s="14">
        <v>2</v>
      </c>
      <c r="FL278" s="14" t="s">
        <v>189</v>
      </c>
      <c r="FM278" s="14">
        <f>IFERROR(AVERAGE(Tabel1[[#This Row],[Do - A1a]:[Do - A1c]]),"")</f>
        <v>2.5</v>
      </c>
      <c r="FN278" s="14" t="s">
        <v>189</v>
      </c>
      <c r="FO278" s="14" t="s">
        <v>189</v>
      </c>
      <c r="FP278" s="14" t="str">
        <f>IFERROR(AVERAGE(Tabel1[[#This Row],[Do - A2a]:[Do - A2b]]),"")</f>
        <v/>
      </c>
      <c r="FQ278" s="14">
        <v>2</v>
      </c>
      <c r="FR278" s="14">
        <f>IFERROR(AVERAGE(Tabel1[[#This Row],[Do - A3a]:[Do - A3a]]),"")</f>
        <v>2</v>
      </c>
      <c r="FS278" s="14" t="s">
        <v>189</v>
      </c>
      <c r="FT278" s="14">
        <f>IFERROR(AVERAGE(Tabel1[[#This Row],[Do - A1]],Tabel1[[#This Row],[Do - A2]],Tabel1[[#This Row],[Do - A3]],Tabel1[[#This Row],[Do - A4]]),"")</f>
        <v>2.25</v>
      </c>
      <c r="FU27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3.1379629629629635</v>
      </c>
      <c r="FV278" s="27" t="s">
        <v>1469</v>
      </c>
      <c r="FW278" t="b">
        <v>1</v>
      </c>
    </row>
    <row r="279" spans="1:179" x14ac:dyDescent="0.3">
      <c r="A279" s="13">
        <v>45414.6896180556</v>
      </c>
      <c r="B279" t="b">
        <v>0</v>
      </c>
      <c r="C279" s="14" t="s">
        <v>1470</v>
      </c>
      <c r="D279" s="14" t="s">
        <v>1471</v>
      </c>
      <c r="E279" s="14" t="s">
        <v>1472</v>
      </c>
      <c r="F279" s="14" t="s">
        <v>184</v>
      </c>
      <c r="G279" s="14" t="s">
        <v>1473</v>
      </c>
      <c r="H279" s="14" t="s">
        <v>222</v>
      </c>
      <c r="I279" s="14" t="s">
        <v>385</v>
      </c>
      <c r="J279" s="14" t="s">
        <v>323</v>
      </c>
      <c r="K279" s="28" t="s">
        <v>235</v>
      </c>
      <c r="L279" s="14" t="s">
        <v>249</v>
      </c>
      <c r="M279" s="14" t="s">
        <v>198</v>
      </c>
      <c r="N279" s="14" t="s">
        <v>199</v>
      </c>
      <c r="O279" s="14" t="s">
        <v>256</v>
      </c>
      <c r="P279" s="24" t="s">
        <v>304</v>
      </c>
      <c r="Q279" s="17" t="s">
        <v>235</v>
      </c>
      <c r="R279" s="25" t="s">
        <v>187</v>
      </c>
      <c r="S279" s="25" t="s">
        <v>187</v>
      </c>
      <c r="T279" s="14" t="s">
        <v>284</v>
      </c>
      <c r="U279" s="14" t="s">
        <v>205</v>
      </c>
      <c r="V279" s="14" t="s">
        <v>224</v>
      </c>
      <c r="W279" s="14" t="s">
        <v>207</v>
      </c>
      <c r="X279" s="14" t="s">
        <v>395</v>
      </c>
      <c r="Y279" s="14">
        <v>5</v>
      </c>
      <c r="Z279" s="14">
        <v>5</v>
      </c>
      <c r="AA279" s="14">
        <v>4</v>
      </c>
      <c r="AB279" s="15">
        <f>IFERROR(AVERAGE(Tabel1[[#This Row],[Up - R1a]:[Up - R1c]]),"")</f>
        <v>4.666666666666667</v>
      </c>
      <c r="AC279" s="14">
        <v>3</v>
      </c>
      <c r="AD279" s="14">
        <v>3</v>
      </c>
      <c r="AE279" s="14">
        <v>4</v>
      </c>
      <c r="AF279" s="14" t="s">
        <v>189</v>
      </c>
      <c r="AG279" s="14">
        <f>IFERROR(AVERAGE(Tabel1[[#This Row],[Up - R1]:[Up - R5]]),"")</f>
        <v>3.666666666666667</v>
      </c>
      <c r="AH279" s="14">
        <v>4</v>
      </c>
      <c r="AI279" s="14">
        <v>4</v>
      </c>
      <c r="AJ279" s="14">
        <v>3</v>
      </c>
      <c r="AK279" s="14">
        <f>IFERROR(AVERAGE(Tabel1[[#This Row],[Up - C1a]:[Up - C1c]]),"")</f>
        <v>3.6666666666666665</v>
      </c>
      <c r="AL279" s="14">
        <v>3</v>
      </c>
      <c r="AM279" s="14">
        <v>2</v>
      </c>
      <c r="AN279" s="14">
        <v>4</v>
      </c>
      <c r="AO279" s="14">
        <f>IFERROR(AVERAGE(Tabel1[[#This Row],[Up - C1]:[Up - C4]]),"")</f>
        <v>3.1666666666666665</v>
      </c>
      <c r="AP279" s="14">
        <v>4</v>
      </c>
      <c r="AQ279" s="14">
        <f>IFERROR(AVERAGE(Tabel1[[#This Row],[Up - F1a]:[Up - F1a]]),"")</f>
        <v>4</v>
      </c>
      <c r="AR279" s="14">
        <v>2</v>
      </c>
      <c r="AS279" s="14">
        <v>4</v>
      </c>
      <c r="AT279" s="14">
        <f>IFERROR(AVERAGE(Tabel1[[#This Row],[Up - F2a]:[Up - F2b]]),"")</f>
        <v>3</v>
      </c>
      <c r="AU279" s="14">
        <v>3</v>
      </c>
      <c r="AV279" s="14">
        <v>3</v>
      </c>
      <c r="AW279" s="14">
        <f>IFERROR(AVERAGE(Tabel1[[#This Row],[Up - F3a]:[Up - F3b]]),"")</f>
        <v>3</v>
      </c>
      <c r="AX279" s="14">
        <v>4</v>
      </c>
      <c r="AY279" s="14">
        <f>IFERROR(AVERAGE(Tabel1[[#This Row],[Up - F1]],Tabel1[[#This Row],[Up - F2]],Tabel1[[#This Row],[Up - F3]],Tabel1[[#This Row],[Up - F4]]),"")</f>
        <v>3.5</v>
      </c>
      <c r="AZ279" s="14">
        <v>3</v>
      </c>
      <c r="BA279" s="14">
        <v>4</v>
      </c>
      <c r="BB279" s="14">
        <f>IFERROR(AVERAGE(Tabel1[[#This Row],[Up - V1a]:[Up - V1b]]),"")</f>
        <v>3.5</v>
      </c>
      <c r="BC279" s="14">
        <v>2</v>
      </c>
      <c r="BD279" s="14">
        <v>3</v>
      </c>
      <c r="BE279" s="14" t="s">
        <v>189</v>
      </c>
      <c r="BF279" s="14">
        <f>IFERROR(AVERAGE(Tabel1[[#This Row],[Up - V2a]:[Up - V2c]]),"")</f>
        <v>2.5</v>
      </c>
      <c r="BG279" s="14">
        <v>3</v>
      </c>
      <c r="BH279" s="14">
        <v>4</v>
      </c>
      <c r="BI279" s="14">
        <f>IFERROR(AVERAGE(Tabel1[[#This Row],[Up - V3a]:[Up - V3b]]),"")</f>
        <v>3.5</v>
      </c>
      <c r="BJ279" s="14">
        <v>3</v>
      </c>
      <c r="BK279" s="14">
        <f>IFERROR(AVERAGE(Tabel1[[#This Row],[Up - V1]],Tabel1[[#This Row],[Up - V2]],Tabel1[[#This Row],[Up - V3]],Tabel1[[#This Row],[Up - V4]]),"")</f>
        <v>3.125</v>
      </c>
      <c r="BL279" s="14">
        <v>4</v>
      </c>
      <c r="BM279" s="14">
        <v>2</v>
      </c>
      <c r="BN279" s="14">
        <v>3</v>
      </c>
      <c r="BO279" s="14">
        <v>4</v>
      </c>
      <c r="BP279" s="14">
        <f>IFERROR(AVERAGE(Tabel1[[#This Row],[Up - A1a]:[Up - A1d]]),"")</f>
        <v>3.25</v>
      </c>
      <c r="BQ279" s="14">
        <v>3</v>
      </c>
      <c r="BR279" s="14">
        <v>1</v>
      </c>
      <c r="BS279" s="14">
        <f>IFERROR(AVERAGE(Tabel1[[#This Row],[Up - A2a]:[Up - A2b]]),"")</f>
        <v>2</v>
      </c>
      <c r="BT279" s="14">
        <v>2</v>
      </c>
      <c r="BU279" s="14">
        <f>IFERROR(AVERAGE(Tabel1[[#This Row],[Up - A3a]:[Up - A3a]]),"")</f>
        <v>2</v>
      </c>
      <c r="BV279" s="14">
        <v>3</v>
      </c>
      <c r="BW279" s="14">
        <f>IFERROR(AVERAGE(Tabel1[[#This Row],[Up - A1]],Tabel1[[#This Row],[Up - A2]],Tabel1[[#This Row],[Up - A3]]),"")</f>
        <v>2.4166666666666665</v>
      </c>
      <c r="BX279" s="14">
        <v>4</v>
      </c>
      <c r="BY279" s="14" t="s">
        <v>189</v>
      </c>
      <c r="BZ279" s="14">
        <f>IFERROR(AVERAGE(Tabel1[[#This Row],[In - R1a]:[In - R1b]]),"")</f>
        <v>4</v>
      </c>
      <c r="CA279" s="14">
        <v>4</v>
      </c>
      <c r="CB279" s="14">
        <v>3</v>
      </c>
      <c r="CC279" s="14">
        <v>4</v>
      </c>
      <c r="CD279" s="14">
        <v>4</v>
      </c>
      <c r="CE279" s="14">
        <f>IFERROR(AVERAGE(Tabel1[[#This Row],[In - R1]:[In - R5]]),"")</f>
        <v>3.8</v>
      </c>
      <c r="CF279" s="14">
        <v>5</v>
      </c>
      <c r="CG279" s="14">
        <v>4</v>
      </c>
      <c r="CH279" s="14">
        <v>5</v>
      </c>
      <c r="CI279" s="14">
        <f>IFERROR(AVERAGE(Tabel1[[#This Row],[In - C1a]:[In - C1c]]),"")</f>
        <v>4.666666666666667</v>
      </c>
      <c r="CJ279" s="14">
        <v>4</v>
      </c>
      <c r="CK279" s="14">
        <v>4</v>
      </c>
      <c r="CL279" s="14">
        <v>3</v>
      </c>
      <c r="CM279" s="14">
        <f>IFERROR(AVERAGE(Tabel1[[#This Row],[In - C1]:[In - C4]]),"")</f>
        <v>3.916666666666667</v>
      </c>
      <c r="CN279" s="14">
        <v>2</v>
      </c>
      <c r="CO279" s="14">
        <v>4</v>
      </c>
      <c r="CP279" s="14">
        <v>2</v>
      </c>
      <c r="CQ279" s="14">
        <f>IFERROR(AVERAGE(Tabel1[[#This Row],[In - F1a]:[In - F1c]]),"")</f>
        <v>2.6666666666666665</v>
      </c>
      <c r="CR279" s="14">
        <v>3</v>
      </c>
      <c r="CS279" s="14">
        <v>1</v>
      </c>
      <c r="CT279" s="14">
        <f>IFERROR(AVERAGE(Tabel1[[#This Row],[In - F2a]:[In - F2b]]),"")</f>
        <v>2</v>
      </c>
      <c r="CU279" s="14">
        <v>2</v>
      </c>
      <c r="CV279" s="14">
        <f>IFERROR(AVERAGE(Tabel1[[#This Row],[In - F3a]:[In - F3a]]),"")</f>
        <v>2</v>
      </c>
      <c r="CW279" s="14">
        <v>4</v>
      </c>
      <c r="CX279" s="14">
        <f>IFERROR(AVERAGE(Tabel1[[#This Row],[In - F1]],Tabel1[[#This Row],[In - F2]],Tabel1[[#This Row],[In - F3]],Tabel1[[#This Row],[In - F4]]),"")</f>
        <v>2.6666666666666665</v>
      </c>
      <c r="CY279" s="14">
        <v>4</v>
      </c>
      <c r="CZ279" s="14">
        <v>5</v>
      </c>
      <c r="DA279" s="14">
        <v>4</v>
      </c>
      <c r="DB279" s="14">
        <f>IFERROR(AVERAGE(Tabel1[[#This Row],[In - V1a]:[In - V1c]]),"")</f>
        <v>4.333333333333333</v>
      </c>
      <c r="DC279" s="14">
        <v>5</v>
      </c>
      <c r="DD279" s="14">
        <v>5</v>
      </c>
      <c r="DE279" s="14">
        <v>5</v>
      </c>
      <c r="DF279" s="14">
        <f>IFERROR(AVERAGE(Tabel1[[#This Row],[In - V2a]:[In - V2c]]),"")</f>
        <v>5</v>
      </c>
      <c r="DG279" s="14">
        <v>4</v>
      </c>
      <c r="DH279" s="14">
        <v>5</v>
      </c>
      <c r="DI279" s="14">
        <f>IFERROR(AVERAGE(Tabel1[[#This Row],[In - V3a]:[In - V3b]]),"")</f>
        <v>4.5</v>
      </c>
      <c r="DJ279" s="14">
        <v>4</v>
      </c>
      <c r="DK279" s="14">
        <f>IFERROR(AVERAGE(Tabel1[[#This Row],[In - V1]],Tabel1[[#This Row],[In - V2]],Tabel1[[#This Row],[In - V3]],Tabel1[[#This Row],[In - V4]]),"")</f>
        <v>4.458333333333333</v>
      </c>
      <c r="DL279" s="14">
        <v>4</v>
      </c>
      <c r="DM279" s="14">
        <v>4</v>
      </c>
      <c r="DN279" s="14">
        <f>IFERROR(AVERAGE(Tabel1[[#This Row],[In - A1a]:[In - A1b]]),"")</f>
        <v>4</v>
      </c>
      <c r="DO279" s="14">
        <v>4</v>
      </c>
      <c r="DP279" s="14">
        <v>5</v>
      </c>
      <c r="DQ279" s="14">
        <f>IFERROR(AVERAGE(Tabel1[[#This Row],[In - A2a]:[In - A2b]]),"")</f>
        <v>4.5</v>
      </c>
      <c r="DR279" s="14">
        <v>4</v>
      </c>
      <c r="DS279" s="14">
        <v>4</v>
      </c>
      <c r="DT279" s="14">
        <f>IFERROR(AVERAGE(Tabel1[[#This Row],[In - A3a]:[In - A3a]]),"")</f>
        <v>4</v>
      </c>
      <c r="DU279" s="14">
        <v>3</v>
      </c>
      <c r="DV279" s="14">
        <f>IFERROR(AVERAGE(Tabel1[[#This Row],[In - A1]],Tabel1[[#This Row],[In - A2]],Tabel1[[#This Row],[In - A3]],Tabel1[[#This Row],[In - A4]]),"")</f>
        <v>3.875</v>
      </c>
      <c r="DW279" s="14">
        <v>4</v>
      </c>
      <c r="DX279" s="14">
        <v>5</v>
      </c>
      <c r="DY279" s="14">
        <v>5</v>
      </c>
      <c r="DZ279" s="14">
        <f>IFERROR(AVERAGE(Tabel1[[#This Row],[Do - R1a]:[Do - R1c]]),"")</f>
        <v>4.666666666666667</v>
      </c>
      <c r="EA279" s="14" t="s">
        <v>189</v>
      </c>
      <c r="EB279" s="14">
        <v>1</v>
      </c>
      <c r="EC279" s="14" t="s">
        <v>189</v>
      </c>
      <c r="ED279" s="14" t="s">
        <v>189</v>
      </c>
      <c r="EE279" s="14">
        <f>IFERROR(AVERAGE(Tabel1[[#This Row],[Do - R1]:[Do - R5]]),"")</f>
        <v>2.8333333333333335</v>
      </c>
      <c r="EF279" s="14">
        <v>5</v>
      </c>
      <c r="EG279" s="14">
        <v>4</v>
      </c>
      <c r="EH279" s="14">
        <v>4</v>
      </c>
      <c r="EI279" s="14">
        <f>IFERROR(AVERAGE(Tabel1[[#This Row],[Do - C1a]:[Do - C1c]]),"")</f>
        <v>4.333333333333333</v>
      </c>
      <c r="EJ279" s="14">
        <v>1</v>
      </c>
      <c r="EK279" s="14">
        <v>1</v>
      </c>
      <c r="EL279" s="14">
        <v>1</v>
      </c>
      <c r="EM279" s="14">
        <f>IFERROR(AVERAGE(Tabel1[[#This Row],[Do - C1]:[Do - C4]]),"")</f>
        <v>1.8333333333333333</v>
      </c>
      <c r="EN279" s="14">
        <v>4</v>
      </c>
      <c r="EO279" s="14">
        <v>4</v>
      </c>
      <c r="EP279" s="14">
        <v>2</v>
      </c>
      <c r="EQ279" s="14">
        <f>IFERROR(AVERAGE(Tabel1[[#This Row],[Do - F1a]:[Do - F1c]]),"")</f>
        <v>3.3333333333333335</v>
      </c>
      <c r="ER279" s="14">
        <v>3</v>
      </c>
      <c r="ES279" s="14">
        <f>IFERROR(AVERAGE(Tabel1[[#This Row],[Do - F2a]:[Do - F2a]]),"")</f>
        <v>3</v>
      </c>
      <c r="ET279" s="14">
        <v>1</v>
      </c>
      <c r="EU279" s="14">
        <v>3</v>
      </c>
      <c r="EV279" s="14">
        <f>IFERROR(AVERAGE(Tabel1[[#This Row],[Do - F3a]:[Do - F3b]]),"")</f>
        <v>2</v>
      </c>
      <c r="EW279" s="14">
        <v>4</v>
      </c>
      <c r="EX279" s="14">
        <f>IFERROR(AVERAGE(Tabel1[[#This Row],[Do - F1]],Tabel1[[#This Row],[Do - F2]],Tabel1[[#This Row],[Do - F3]],Tabel1[[#This Row],[Do - F4]]),"")</f>
        <v>3.0833333333333335</v>
      </c>
      <c r="EY279" s="14">
        <v>5</v>
      </c>
      <c r="EZ279" s="14">
        <v>2</v>
      </c>
      <c r="FA279" s="14">
        <v>4</v>
      </c>
      <c r="FB279" s="14">
        <f>IFERROR(AVERAGE(Tabel1[[#This Row],[Do - V1a]:[Do - V1c]]),"")</f>
        <v>3.6666666666666665</v>
      </c>
      <c r="FC279" s="14">
        <v>5</v>
      </c>
      <c r="FD279" s="14">
        <v>5</v>
      </c>
      <c r="FE279" s="14">
        <f>IFERROR(AVERAGE(Tabel1[[#This Row],[Do - V2a]:[Do - V2b]]),"")</f>
        <v>5</v>
      </c>
      <c r="FF279" s="14">
        <v>4</v>
      </c>
      <c r="FG279" s="14">
        <f>IFERROR(AVERAGE(Tabel1[[#This Row],[Do - V3a]:[Do - V3a]]),"")</f>
        <v>4</v>
      </c>
      <c r="FH279" s="14">
        <v>3</v>
      </c>
      <c r="FI279" s="14">
        <f>IFERROR(AVERAGE(Tabel1[[#This Row],[Do - V1]],Tabel1[[#This Row],[Do - V2]],Tabel1[[#This Row],[Do - V3]],Tabel1[[#This Row],[Do - V4]]),"")</f>
        <v>3.9166666666666665</v>
      </c>
      <c r="FJ279" s="14">
        <v>3</v>
      </c>
      <c r="FK279" s="14">
        <v>4</v>
      </c>
      <c r="FL279" s="14">
        <v>5</v>
      </c>
      <c r="FM279" s="14">
        <f>IFERROR(AVERAGE(Tabel1[[#This Row],[Do - A1a]:[Do - A1c]]),"")</f>
        <v>4</v>
      </c>
      <c r="FN279" s="14">
        <v>4</v>
      </c>
      <c r="FO279" s="14">
        <v>2</v>
      </c>
      <c r="FP279" s="14">
        <f>IFERROR(AVERAGE(Tabel1[[#This Row],[Do - A2a]:[Do - A2b]]),"")</f>
        <v>3</v>
      </c>
      <c r="FQ279" s="14">
        <v>4</v>
      </c>
      <c r="FR279" s="14">
        <f>IFERROR(AVERAGE(Tabel1[[#This Row],[Do - A3a]:[Do - A3a]]),"")</f>
        <v>4</v>
      </c>
      <c r="FS279" s="14">
        <v>4</v>
      </c>
      <c r="FT279" s="14">
        <f>IFERROR(AVERAGE(Tabel1[[#This Row],[Do - A1]],Tabel1[[#This Row],[Do - A2]],Tabel1[[#This Row],[Do - A3]],Tabel1[[#This Row],[Do - A4]]),"")</f>
        <v>3.75</v>
      </c>
      <c r="FU27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3.3338888888888891</v>
      </c>
      <c r="FV279" s="27" t="s">
        <v>1474</v>
      </c>
      <c r="FW279" t="b">
        <v>1</v>
      </c>
    </row>
    <row r="280" spans="1:179" x14ac:dyDescent="0.3">
      <c r="A280" s="13">
        <v>45414.739479166703</v>
      </c>
      <c r="B280" t="b">
        <v>0</v>
      </c>
      <c r="C280" s="14" t="s">
        <v>1475</v>
      </c>
      <c r="D280" s="14" t="s">
        <v>1476</v>
      </c>
      <c r="E280" s="14" t="s">
        <v>1260</v>
      </c>
      <c r="F280" s="14" t="s">
        <v>184</v>
      </c>
      <c r="G280" s="14" t="s">
        <v>1477</v>
      </c>
      <c r="H280" s="14" t="s">
        <v>222</v>
      </c>
      <c r="I280" s="14" t="s">
        <v>243</v>
      </c>
      <c r="J280" s="14" t="s">
        <v>248</v>
      </c>
      <c r="K280" s="28" t="s">
        <v>201</v>
      </c>
      <c r="L280" s="14" t="s">
        <v>249</v>
      </c>
      <c r="M280" s="14" t="s">
        <v>233</v>
      </c>
      <c r="N280" s="14" t="s">
        <v>316</v>
      </c>
      <c r="O280" s="14" t="s">
        <v>200</v>
      </c>
      <c r="P280" s="25" t="s">
        <v>317</v>
      </c>
      <c r="Q280" s="17" t="s">
        <v>202</v>
      </c>
      <c r="R280" s="25" t="s">
        <v>187</v>
      </c>
      <c r="S280" s="25" t="s">
        <v>187</v>
      </c>
      <c r="T280" s="14" t="s">
        <v>284</v>
      </c>
      <c r="U280" s="14" t="s">
        <v>285</v>
      </c>
      <c r="V280" s="14" t="s">
        <v>359</v>
      </c>
      <c r="W280" s="14" t="s">
        <v>207</v>
      </c>
      <c r="X280" s="14" t="s">
        <v>395</v>
      </c>
      <c r="Y280" s="14">
        <v>1</v>
      </c>
      <c r="Z280" s="14">
        <v>3</v>
      </c>
      <c r="AA280" s="14">
        <v>2</v>
      </c>
      <c r="AB280" s="15">
        <f>IFERROR(AVERAGE(Tabel1[[#This Row],[Up - R1a]:[Up - R1c]]),"")</f>
        <v>2</v>
      </c>
      <c r="AC280" s="14">
        <v>4</v>
      </c>
      <c r="AD280" s="14">
        <v>1</v>
      </c>
      <c r="AE280" s="14">
        <v>1</v>
      </c>
      <c r="AF280" s="14">
        <v>3</v>
      </c>
      <c r="AG280" s="14">
        <f>IFERROR(AVERAGE(Tabel1[[#This Row],[Up - R1]:[Up - R5]]),"")</f>
        <v>2.2000000000000002</v>
      </c>
      <c r="AH280" s="14">
        <v>3</v>
      </c>
      <c r="AI280" s="14">
        <v>3</v>
      </c>
      <c r="AJ280" s="14">
        <v>4</v>
      </c>
      <c r="AK280" s="14">
        <f>IFERROR(AVERAGE(Tabel1[[#This Row],[Up - C1a]:[Up - C1c]]),"")</f>
        <v>3.3333333333333335</v>
      </c>
      <c r="AL280" s="14">
        <v>4</v>
      </c>
      <c r="AM280" s="14">
        <v>2</v>
      </c>
      <c r="AN280" s="14" t="s">
        <v>189</v>
      </c>
      <c r="AO280" s="14">
        <f>IFERROR(AVERAGE(Tabel1[[#This Row],[Up - C1]:[Up - C4]]),"")</f>
        <v>3.1111111111111112</v>
      </c>
      <c r="AP280" s="14">
        <v>1</v>
      </c>
      <c r="AQ280" s="14">
        <f>IFERROR(AVERAGE(Tabel1[[#This Row],[Up - F1a]:[Up - F1a]]),"")</f>
        <v>1</v>
      </c>
      <c r="AR280" s="14">
        <v>3</v>
      </c>
      <c r="AS280" s="14">
        <v>5</v>
      </c>
      <c r="AT280" s="14">
        <f>IFERROR(AVERAGE(Tabel1[[#This Row],[Up - F2a]:[Up - F2b]]),"")</f>
        <v>4</v>
      </c>
      <c r="AU280" s="14">
        <v>1</v>
      </c>
      <c r="AV280" s="14" t="s">
        <v>189</v>
      </c>
      <c r="AW280" s="14">
        <f>IFERROR(AVERAGE(Tabel1[[#This Row],[Up - F3a]:[Up - F3b]]),"")</f>
        <v>1</v>
      </c>
      <c r="AX280" s="14">
        <v>5</v>
      </c>
      <c r="AY280" s="14">
        <f>IFERROR(AVERAGE(Tabel1[[#This Row],[Up - F1]],Tabel1[[#This Row],[Up - F2]],Tabel1[[#This Row],[Up - F3]],Tabel1[[#This Row],[Up - F4]]),"")</f>
        <v>2.75</v>
      </c>
      <c r="AZ280" s="14" t="s">
        <v>189</v>
      </c>
      <c r="BA280" s="14">
        <v>5</v>
      </c>
      <c r="BB280" s="14">
        <f>IFERROR(AVERAGE(Tabel1[[#This Row],[Up - V1a]:[Up - V1b]]),"")</f>
        <v>5</v>
      </c>
      <c r="BC280" s="14">
        <v>5</v>
      </c>
      <c r="BD280" s="14">
        <v>3</v>
      </c>
      <c r="BE280" s="14" t="s">
        <v>189</v>
      </c>
      <c r="BF280" s="14">
        <f>IFERROR(AVERAGE(Tabel1[[#This Row],[Up - V2a]:[Up - V2c]]),"")</f>
        <v>4</v>
      </c>
      <c r="BG280" s="14">
        <v>4</v>
      </c>
      <c r="BH280" s="14" t="s">
        <v>189</v>
      </c>
      <c r="BI280" s="14">
        <f>IFERROR(AVERAGE(Tabel1[[#This Row],[Up - V3a]:[Up - V3b]]),"")</f>
        <v>4</v>
      </c>
      <c r="BJ280" s="14">
        <v>1</v>
      </c>
      <c r="BK280" s="14">
        <f>IFERROR(AVERAGE(Tabel1[[#This Row],[Up - V1]],Tabel1[[#This Row],[Up - V2]],Tabel1[[#This Row],[Up - V3]],Tabel1[[#This Row],[Up - V4]]),"")</f>
        <v>3.5</v>
      </c>
      <c r="BL280" s="14">
        <v>3</v>
      </c>
      <c r="BM280" s="14">
        <v>2</v>
      </c>
      <c r="BN280" s="14">
        <v>5</v>
      </c>
      <c r="BO280" s="14">
        <v>3</v>
      </c>
      <c r="BP280" s="14">
        <f>IFERROR(AVERAGE(Tabel1[[#This Row],[Up - A1a]:[Up - A1d]]),"")</f>
        <v>3.25</v>
      </c>
      <c r="BQ280" s="14">
        <v>3</v>
      </c>
      <c r="BR280" s="14" t="s">
        <v>189</v>
      </c>
      <c r="BS280" s="14">
        <f>IFERROR(AVERAGE(Tabel1[[#This Row],[Up - A2a]:[Up - A2b]]),"")</f>
        <v>3</v>
      </c>
      <c r="BT280" s="14">
        <v>3</v>
      </c>
      <c r="BU280" s="14">
        <f>IFERROR(AVERAGE(Tabel1[[#This Row],[Up - A3a]:[Up - A3a]]),"")</f>
        <v>3</v>
      </c>
      <c r="BV280" s="14">
        <v>3</v>
      </c>
      <c r="BW280" s="14">
        <f>IFERROR(AVERAGE(Tabel1[[#This Row],[Up - A1]],Tabel1[[#This Row],[Up - A2]],Tabel1[[#This Row],[Up - A3]]),"")</f>
        <v>3.0833333333333335</v>
      </c>
      <c r="BX280" s="14">
        <v>1</v>
      </c>
      <c r="BY280" s="14" t="s">
        <v>189</v>
      </c>
      <c r="BZ280" s="14">
        <f>IFERROR(AVERAGE(Tabel1[[#This Row],[In - R1a]:[In - R1b]]),"")</f>
        <v>1</v>
      </c>
      <c r="CA280" s="14">
        <v>5</v>
      </c>
      <c r="CB280" s="14">
        <v>1</v>
      </c>
      <c r="CC280" s="14">
        <v>1</v>
      </c>
      <c r="CD280" s="14">
        <v>3</v>
      </c>
      <c r="CE280" s="14">
        <f>IFERROR(AVERAGE(Tabel1[[#This Row],[In - R1]:[In - R5]]),"")</f>
        <v>2.2000000000000002</v>
      </c>
      <c r="CF280" s="14">
        <v>3</v>
      </c>
      <c r="CG280" s="14">
        <v>5</v>
      </c>
      <c r="CH280" s="14">
        <v>5</v>
      </c>
      <c r="CI280" s="14">
        <f>IFERROR(AVERAGE(Tabel1[[#This Row],[In - C1a]:[In - C1c]]),"")</f>
        <v>4.333333333333333</v>
      </c>
      <c r="CJ280" s="14">
        <v>5</v>
      </c>
      <c r="CK280" s="14">
        <v>2</v>
      </c>
      <c r="CL280" s="14" t="s">
        <v>189</v>
      </c>
      <c r="CM280" s="14">
        <f>IFERROR(AVERAGE(Tabel1[[#This Row],[In - C1]:[In - C4]]),"")</f>
        <v>3.7777777777777772</v>
      </c>
      <c r="CN280" s="14">
        <v>5</v>
      </c>
      <c r="CO280" s="14">
        <v>3</v>
      </c>
      <c r="CP280" s="14">
        <v>1</v>
      </c>
      <c r="CQ280" s="14">
        <f>IFERROR(AVERAGE(Tabel1[[#This Row],[In - F1a]:[In - F1c]]),"")</f>
        <v>3</v>
      </c>
      <c r="CR280" s="14">
        <v>5</v>
      </c>
      <c r="CS280" s="14">
        <v>2</v>
      </c>
      <c r="CT280" s="14">
        <f>IFERROR(AVERAGE(Tabel1[[#This Row],[In - F2a]:[In - F2b]]),"")</f>
        <v>3.5</v>
      </c>
      <c r="CU280" s="14">
        <v>1</v>
      </c>
      <c r="CV280" s="14">
        <f>IFERROR(AVERAGE(Tabel1[[#This Row],[In - F3a]:[In - F3a]]),"")</f>
        <v>1</v>
      </c>
      <c r="CW280" s="14" t="s">
        <v>189</v>
      </c>
      <c r="CX280" s="14">
        <f>IFERROR(AVERAGE(Tabel1[[#This Row],[In - F1]],Tabel1[[#This Row],[In - F2]],Tabel1[[#This Row],[In - F3]],Tabel1[[#This Row],[In - F4]]),"")</f>
        <v>2.5</v>
      </c>
      <c r="CY280" s="14">
        <v>5</v>
      </c>
      <c r="CZ280" s="14">
        <v>4</v>
      </c>
      <c r="DA280" s="14">
        <v>2</v>
      </c>
      <c r="DB280" s="14">
        <f>IFERROR(AVERAGE(Tabel1[[#This Row],[In - V1a]:[In - V1c]]),"")</f>
        <v>3.6666666666666665</v>
      </c>
      <c r="DC280" s="14" t="s">
        <v>189</v>
      </c>
      <c r="DD280" s="14">
        <v>3</v>
      </c>
      <c r="DE280" s="14" t="s">
        <v>189</v>
      </c>
      <c r="DF280" s="14">
        <f>IFERROR(AVERAGE(Tabel1[[#This Row],[In - V2a]:[In - V2c]]),"")</f>
        <v>3</v>
      </c>
      <c r="DG280" s="14">
        <v>2</v>
      </c>
      <c r="DH280" s="14" t="s">
        <v>189</v>
      </c>
      <c r="DI280" s="14">
        <f>IFERROR(AVERAGE(Tabel1[[#This Row],[In - V3a]:[In - V3b]]),"")</f>
        <v>2</v>
      </c>
      <c r="DJ280" s="14" t="s">
        <v>189</v>
      </c>
      <c r="DK280" s="14">
        <f>IFERROR(AVERAGE(Tabel1[[#This Row],[In - V1]],Tabel1[[#This Row],[In - V2]],Tabel1[[#This Row],[In - V3]],Tabel1[[#This Row],[In - V4]]),"")</f>
        <v>2.8888888888888888</v>
      </c>
      <c r="DL280" s="14">
        <v>3</v>
      </c>
      <c r="DM280" s="14">
        <v>1</v>
      </c>
      <c r="DN280" s="14">
        <f>IFERROR(AVERAGE(Tabel1[[#This Row],[In - A1a]:[In - A1b]]),"")</f>
        <v>2</v>
      </c>
      <c r="DO280" s="14">
        <v>2</v>
      </c>
      <c r="DP280" s="14">
        <v>2</v>
      </c>
      <c r="DQ280" s="14">
        <f>IFERROR(AVERAGE(Tabel1[[#This Row],[In - A2a]:[In - A2b]]),"")</f>
        <v>2</v>
      </c>
      <c r="DR280" s="14">
        <v>5</v>
      </c>
      <c r="DS280" s="14">
        <v>3</v>
      </c>
      <c r="DT280" s="14">
        <f>IFERROR(AVERAGE(Tabel1[[#This Row],[In - A3a]:[In - A3a]]),"")</f>
        <v>5</v>
      </c>
      <c r="DU280" s="14">
        <v>2</v>
      </c>
      <c r="DV280" s="14">
        <f>IFERROR(AVERAGE(Tabel1[[#This Row],[In - A1]],Tabel1[[#This Row],[In - A2]],Tabel1[[#This Row],[In - A3]],Tabel1[[#This Row],[In - A4]]),"")</f>
        <v>2.75</v>
      </c>
      <c r="DW280" s="14">
        <v>3</v>
      </c>
      <c r="DX280" s="14">
        <v>5</v>
      </c>
      <c r="DY280" s="14">
        <v>1</v>
      </c>
      <c r="DZ280" s="14">
        <f>IFERROR(AVERAGE(Tabel1[[#This Row],[Do - R1a]:[Do - R1c]]),"")</f>
        <v>3</v>
      </c>
      <c r="EA280" s="14">
        <v>2</v>
      </c>
      <c r="EB280" s="14">
        <v>1</v>
      </c>
      <c r="EC280" s="14">
        <v>1</v>
      </c>
      <c r="ED280" s="14">
        <v>1</v>
      </c>
      <c r="EE280" s="14">
        <f>IFERROR(AVERAGE(Tabel1[[#This Row],[Do - R1]:[Do - R5]]),"")</f>
        <v>1.6</v>
      </c>
      <c r="EF280" s="14">
        <v>4</v>
      </c>
      <c r="EG280" s="14">
        <v>4</v>
      </c>
      <c r="EH280" s="14">
        <v>3</v>
      </c>
      <c r="EI280" s="14">
        <f>IFERROR(AVERAGE(Tabel1[[#This Row],[Do - C1a]:[Do - C1c]]),"")</f>
        <v>3.6666666666666665</v>
      </c>
      <c r="EJ280" s="14">
        <v>4</v>
      </c>
      <c r="EK280" s="14">
        <v>2</v>
      </c>
      <c r="EL280" s="14" t="s">
        <v>189</v>
      </c>
      <c r="EM280" s="14">
        <f>IFERROR(AVERAGE(Tabel1[[#This Row],[Do - C1]:[Do - C4]]),"")</f>
        <v>3.2222222222222219</v>
      </c>
      <c r="EN280" s="14">
        <v>1</v>
      </c>
      <c r="EO280" s="14">
        <v>1</v>
      </c>
      <c r="EP280" s="14">
        <v>1</v>
      </c>
      <c r="EQ280" s="14">
        <f>IFERROR(AVERAGE(Tabel1[[#This Row],[Do - F1a]:[Do - F1c]]),"")</f>
        <v>1</v>
      </c>
      <c r="ER280" s="14">
        <v>3</v>
      </c>
      <c r="ES280" s="14">
        <f>IFERROR(AVERAGE(Tabel1[[#This Row],[Do - F2a]:[Do - F2a]]),"")</f>
        <v>3</v>
      </c>
      <c r="ET280" s="14">
        <v>1</v>
      </c>
      <c r="EU280" s="14">
        <v>4</v>
      </c>
      <c r="EV280" s="14">
        <f>IFERROR(AVERAGE(Tabel1[[#This Row],[Do - F3a]:[Do - F3b]]),"")</f>
        <v>2.5</v>
      </c>
      <c r="EW280" s="14" t="s">
        <v>189</v>
      </c>
      <c r="EX280" s="14">
        <f>IFERROR(AVERAGE(Tabel1[[#This Row],[Do - F1]],Tabel1[[#This Row],[Do - F2]],Tabel1[[#This Row],[Do - F3]],Tabel1[[#This Row],[Do - F4]]),"")</f>
        <v>2.1666666666666665</v>
      </c>
      <c r="EY280" s="14">
        <v>5</v>
      </c>
      <c r="EZ280" s="14">
        <v>5</v>
      </c>
      <c r="FA280" s="14">
        <v>2</v>
      </c>
      <c r="FB280" s="14">
        <f>IFERROR(AVERAGE(Tabel1[[#This Row],[Do - V1a]:[Do - V1c]]),"")</f>
        <v>4</v>
      </c>
      <c r="FC280" s="14">
        <v>4</v>
      </c>
      <c r="FD280" s="14">
        <v>2</v>
      </c>
      <c r="FE280" s="14">
        <f>IFERROR(AVERAGE(Tabel1[[#This Row],[Do - V2a]:[Do - V2b]]),"")</f>
        <v>3</v>
      </c>
      <c r="FF280" s="14">
        <v>1</v>
      </c>
      <c r="FG280" s="14">
        <f>IFERROR(AVERAGE(Tabel1[[#This Row],[Do - V3a]:[Do - V3a]]),"")</f>
        <v>1</v>
      </c>
      <c r="FH280" s="14">
        <v>1</v>
      </c>
      <c r="FI280" s="14">
        <f>IFERROR(AVERAGE(Tabel1[[#This Row],[Do - V1]],Tabel1[[#This Row],[Do - V2]],Tabel1[[#This Row],[Do - V3]],Tabel1[[#This Row],[Do - V4]]),"")</f>
        <v>2.25</v>
      </c>
      <c r="FJ280" s="14">
        <v>3</v>
      </c>
      <c r="FK280" s="14">
        <v>1</v>
      </c>
      <c r="FL280" s="14">
        <v>5</v>
      </c>
      <c r="FM280" s="14">
        <f>IFERROR(AVERAGE(Tabel1[[#This Row],[Do - A1a]:[Do - A1c]]),"")</f>
        <v>3</v>
      </c>
      <c r="FN280" s="14">
        <v>3</v>
      </c>
      <c r="FO280" s="14" t="s">
        <v>189</v>
      </c>
      <c r="FP280" s="14">
        <f>IFERROR(AVERAGE(Tabel1[[#This Row],[Do - A2a]:[Do - A2b]]),"")</f>
        <v>3</v>
      </c>
      <c r="FQ280" s="14">
        <v>5</v>
      </c>
      <c r="FR280" s="14">
        <f>IFERROR(AVERAGE(Tabel1[[#This Row],[Do - A3a]:[Do - A3a]]),"")</f>
        <v>5</v>
      </c>
      <c r="FS280" s="14">
        <v>3</v>
      </c>
      <c r="FT280" s="14">
        <f>IFERROR(AVERAGE(Tabel1[[#This Row],[Do - A1]],Tabel1[[#This Row],[Do - A2]],Tabel1[[#This Row],[Do - A3]],Tabel1[[#This Row],[Do - A4]]),"")</f>
        <v>3.5</v>
      </c>
      <c r="FU28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2.7666666666666666</v>
      </c>
      <c r="FV280" s="27" t="s">
        <v>1478</v>
      </c>
      <c r="FW280" t="b">
        <v>1</v>
      </c>
    </row>
    <row r="281" spans="1:179" x14ac:dyDescent="0.3">
      <c r="A281" s="13">
        <v>45414.824548611097</v>
      </c>
      <c r="B281" t="b">
        <v>0</v>
      </c>
      <c r="C281" s="14" t="s">
        <v>1479</v>
      </c>
      <c r="D281" s="14" t="s">
        <v>1480</v>
      </c>
      <c r="E281" s="14" t="s">
        <v>1481</v>
      </c>
      <c r="F281" s="14" t="s">
        <v>184</v>
      </c>
      <c r="G281" s="14" t="s">
        <v>1482</v>
      </c>
      <c r="H281" s="14" t="s">
        <v>222</v>
      </c>
      <c r="I281" s="14" t="s">
        <v>385</v>
      </c>
      <c r="J281" s="14"/>
      <c r="K281" s="28" t="s">
        <v>235</v>
      </c>
      <c r="L281" s="14" t="s">
        <v>218</v>
      </c>
      <c r="M281" s="14" t="s">
        <v>233</v>
      </c>
      <c r="N281" s="14" t="s">
        <v>331</v>
      </c>
      <c r="O281" s="14" t="s">
        <v>256</v>
      </c>
      <c r="P281" s="24" t="s">
        <v>255</v>
      </c>
      <c r="Q281" s="17" t="s">
        <v>304</v>
      </c>
      <c r="R281" s="25" t="s">
        <v>187</v>
      </c>
      <c r="S281" s="25" t="s">
        <v>187</v>
      </c>
      <c r="T281" s="14" t="s">
        <v>204</v>
      </c>
      <c r="U281" s="14" t="s">
        <v>285</v>
      </c>
      <c r="V281" s="14" t="s">
        <v>359</v>
      </c>
      <c r="W281" s="14" t="s">
        <v>207</v>
      </c>
      <c r="X281" s="14" t="s">
        <v>306</v>
      </c>
      <c r="Y281" s="14">
        <v>3</v>
      </c>
      <c r="Z281" s="14">
        <v>5</v>
      </c>
      <c r="AA281" s="14">
        <v>5</v>
      </c>
      <c r="AB281" s="15">
        <f>IFERROR(AVERAGE(Tabel1[[#This Row],[Up - R1a]:[Up - R1c]]),"")</f>
        <v>4.333333333333333</v>
      </c>
      <c r="AC281" s="14">
        <v>5</v>
      </c>
      <c r="AD281" s="14" t="s">
        <v>189</v>
      </c>
      <c r="AE281" s="14">
        <v>4</v>
      </c>
      <c r="AF281" s="14">
        <v>4</v>
      </c>
      <c r="AG281" s="14">
        <f>IFERROR(AVERAGE(Tabel1[[#This Row],[Up - R1]:[Up - R5]]),"")</f>
        <v>4.333333333333333</v>
      </c>
      <c r="AH281" s="14">
        <v>5</v>
      </c>
      <c r="AI281" s="14">
        <v>4</v>
      </c>
      <c r="AJ281" s="14">
        <v>4</v>
      </c>
      <c r="AK281" s="14">
        <f>IFERROR(AVERAGE(Tabel1[[#This Row],[Up - C1a]:[Up - C1c]]),"")</f>
        <v>4.333333333333333</v>
      </c>
      <c r="AL281" s="14">
        <v>5</v>
      </c>
      <c r="AM281" s="14">
        <v>4</v>
      </c>
      <c r="AN281" s="14">
        <v>4</v>
      </c>
      <c r="AO281" s="14">
        <f>IFERROR(AVERAGE(Tabel1[[#This Row],[Up - C1]:[Up - C4]]),"")</f>
        <v>4.333333333333333</v>
      </c>
      <c r="AP281" s="14">
        <v>5</v>
      </c>
      <c r="AQ281" s="14">
        <f>IFERROR(AVERAGE(Tabel1[[#This Row],[Up - F1a]:[Up - F1a]]),"")</f>
        <v>5</v>
      </c>
      <c r="AR281" s="14">
        <v>5</v>
      </c>
      <c r="AS281" s="14">
        <v>5</v>
      </c>
      <c r="AT281" s="14">
        <f>IFERROR(AVERAGE(Tabel1[[#This Row],[Up - F2a]:[Up - F2b]]),"")</f>
        <v>5</v>
      </c>
      <c r="AU281" s="14">
        <v>4</v>
      </c>
      <c r="AV281" s="14">
        <v>5</v>
      </c>
      <c r="AW281" s="14">
        <f>IFERROR(AVERAGE(Tabel1[[#This Row],[Up - F3a]:[Up - F3b]]),"")</f>
        <v>4.5</v>
      </c>
      <c r="AX281" s="14">
        <v>5</v>
      </c>
      <c r="AY281" s="14">
        <f>IFERROR(AVERAGE(Tabel1[[#This Row],[Up - F1]],Tabel1[[#This Row],[Up - F2]],Tabel1[[#This Row],[Up - F3]],Tabel1[[#This Row],[Up - F4]]),"")</f>
        <v>4.875</v>
      </c>
      <c r="AZ281" s="14">
        <v>5</v>
      </c>
      <c r="BA281" s="14">
        <v>5</v>
      </c>
      <c r="BB281" s="14">
        <f>IFERROR(AVERAGE(Tabel1[[#This Row],[Up - V1a]:[Up - V1b]]),"")</f>
        <v>5</v>
      </c>
      <c r="BC281" s="14">
        <v>5</v>
      </c>
      <c r="BD281" s="14">
        <v>4</v>
      </c>
      <c r="BE281" s="14">
        <v>4</v>
      </c>
      <c r="BF281" s="14">
        <f>IFERROR(AVERAGE(Tabel1[[#This Row],[Up - V2a]:[Up - V2c]]),"")</f>
        <v>4.333333333333333</v>
      </c>
      <c r="BG281" s="14">
        <v>5</v>
      </c>
      <c r="BH281" s="14">
        <v>4</v>
      </c>
      <c r="BI281" s="14">
        <f>IFERROR(AVERAGE(Tabel1[[#This Row],[Up - V3a]:[Up - V3b]]),"")</f>
        <v>4.5</v>
      </c>
      <c r="BJ281" s="14">
        <v>5</v>
      </c>
      <c r="BK281" s="14">
        <f>IFERROR(AVERAGE(Tabel1[[#This Row],[Up - V1]],Tabel1[[#This Row],[Up - V2]],Tabel1[[#This Row],[Up - V3]],Tabel1[[#This Row],[Up - V4]]),"")</f>
        <v>4.708333333333333</v>
      </c>
      <c r="BL281" s="14">
        <v>4</v>
      </c>
      <c r="BM281" s="14">
        <v>5</v>
      </c>
      <c r="BN281" s="14">
        <v>4</v>
      </c>
      <c r="BO281" s="14">
        <v>4</v>
      </c>
      <c r="BP281" s="14">
        <f>IFERROR(AVERAGE(Tabel1[[#This Row],[Up - A1a]:[Up - A1d]]),"")</f>
        <v>4.25</v>
      </c>
      <c r="BQ281" s="14">
        <v>5</v>
      </c>
      <c r="BR281" s="14">
        <v>5</v>
      </c>
      <c r="BS281" s="14">
        <f>IFERROR(AVERAGE(Tabel1[[#This Row],[Up - A2a]:[Up - A2b]]),"")</f>
        <v>5</v>
      </c>
      <c r="BT281" s="14">
        <v>4</v>
      </c>
      <c r="BU281" s="14">
        <f>IFERROR(AVERAGE(Tabel1[[#This Row],[Up - A3a]:[Up - A3a]]),"")</f>
        <v>4</v>
      </c>
      <c r="BV281" s="14">
        <v>5</v>
      </c>
      <c r="BW281" s="14">
        <f>IFERROR(AVERAGE(Tabel1[[#This Row],[Up - A1]],Tabel1[[#This Row],[Up - A2]],Tabel1[[#This Row],[Up - A3]]),"")</f>
        <v>4.416666666666667</v>
      </c>
      <c r="BX281" s="14">
        <v>3</v>
      </c>
      <c r="BY281" s="14">
        <v>4</v>
      </c>
      <c r="BZ281" s="14">
        <f>IFERROR(AVERAGE(Tabel1[[#This Row],[In - R1a]:[In - R1b]]),"")</f>
        <v>3.5</v>
      </c>
      <c r="CA281" s="14">
        <v>3</v>
      </c>
      <c r="CB281" s="14">
        <v>5</v>
      </c>
      <c r="CC281" s="14">
        <v>2</v>
      </c>
      <c r="CD281" s="14">
        <v>4</v>
      </c>
      <c r="CE281" s="14">
        <f>IFERROR(AVERAGE(Tabel1[[#This Row],[In - R1]:[In - R5]]),"")</f>
        <v>3.5</v>
      </c>
      <c r="CF281" s="14">
        <v>5</v>
      </c>
      <c r="CG281" s="14">
        <v>5</v>
      </c>
      <c r="CH281" s="14">
        <v>5</v>
      </c>
      <c r="CI281" s="14">
        <f>IFERROR(AVERAGE(Tabel1[[#This Row],[In - C1a]:[In - C1c]]),"")</f>
        <v>5</v>
      </c>
      <c r="CJ281" s="14">
        <v>5</v>
      </c>
      <c r="CK281" s="14">
        <v>5</v>
      </c>
      <c r="CL281" s="14">
        <v>5</v>
      </c>
      <c r="CM281" s="14">
        <f>IFERROR(AVERAGE(Tabel1[[#This Row],[In - C1]:[In - C4]]),"")</f>
        <v>5</v>
      </c>
      <c r="CN281" s="14">
        <v>5</v>
      </c>
      <c r="CO281" s="14">
        <v>5</v>
      </c>
      <c r="CP281" s="14">
        <v>4</v>
      </c>
      <c r="CQ281" s="14">
        <f>IFERROR(AVERAGE(Tabel1[[#This Row],[In - F1a]:[In - F1c]]),"")</f>
        <v>4.666666666666667</v>
      </c>
      <c r="CR281" s="14">
        <v>5</v>
      </c>
      <c r="CS281" s="14">
        <v>4</v>
      </c>
      <c r="CT281" s="14">
        <f>IFERROR(AVERAGE(Tabel1[[#This Row],[In - F2a]:[In - F2b]]),"")</f>
        <v>4.5</v>
      </c>
      <c r="CU281" s="14">
        <v>4</v>
      </c>
      <c r="CV281" s="14">
        <f>IFERROR(AVERAGE(Tabel1[[#This Row],[In - F3a]:[In - F3a]]),"")</f>
        <v>4</v>
      </c>
      <c r="CW281" s="14">
        <v>4</v>
      </c>
      <c r="CX281" s="14">
        <f>IFERROR(AVERAGE(Tabel1[[#This Row],[In - F1]],Tabel1[[#This Row],[In - F2]],Tabel1[[#This Row],[In - F3]],Tabel1[[#This Row],[In - F4]]),"")</f>
        <v>4.291666666666667</v>
      </c>
      <c r="CY281" s="14">
        <v>5</v>
      </c>
      <c r="CZ281" s="14">
        <v>5</v>
      </c>
      <c r="DA281" s="14">
        <v>5</v>
      </c>
      <c r="DB281" s="14">
        <f>IFERROR(AVERAGE(Tabel1[[#This Row],[In - V1a]:[In - V1c]]),"")</f>
        <v>5</v>
      </c>
      <c r="DC281" s="14">
        <v>4</v>
      </c>
      <c r="DD281" s="14">
        <v>5</v>
      </c>
      <c r="DE281" s="14">
        <v>5</v>
      </c>
      <c r="DF281" s="14">
        <f>IFERROR(AVERAGE(Tabel1[[#This Row],[In - V2a]:[In - V2c]]),"")</f>
        <v>4.666666666666667</v>
      </c>
      <c r="DG281" s="14">
        <v>5</v>
      </c>
      <c r="DH281" s="14">
        <v>5</v>
      </c>
      <c r="DI281" s="14">
        <f>IFERROR(AVERAGE(Tabel1[[#This Row],[In - V3a]:[In - V3b]]),"")</f>
        <v>5</v>
      </c>
      <c r="DJ281" s="14">
        <v>5</v>
      </c>
      <c r="DK281" s="14">
        <f>IFERROR(AVERAGE(Tabel1[[#This Row],[In - V1]],Tabel1[[#This Row],[In - V2]],Tabel1[[#This Row],[In - V3]],Tabel1[[#This Row],[In - V4]]),"")</f>
        <v>4.916666666666667</v>
      </c>
      <c r="DL281" s="14">
        <v>5</v>
      </c>
      <c r="DM281" s="14">
        <v>4</v>
      </c>
      <c r="DN281" s="14">
        <f>IFERROR(AVERAGE(Tabel1[[#This Row],[In - A1a]:[In - A1b]]),"")</f>
        <v>4.5</v>
      </c>
      <c r="DO281" s="14">
        <v>4</v>
      </c>
      <c r="DP281" s="14">
        <v>5</v>
      </c>
      <c r="DQ281" s="14">
        <f>IFERROR(AVERAGE(Tabel1[[#This Row],[In - A2a]:[In - A2b]]),"")</f>
        <v>4.5</v>
      </c>
      <c r="DR281" s="14">
        <v>5</v>
      </c>
      <c r="DS281" s="14">
        <v>4</v>
      </c>
      <c r="DT281" s="14">
        <f>IFERROR(AVERAGE(Tabel1[[#This Row],[In - A3a]:[In - A3a]]),"")</f>
        <v>5</v>
      </c>
      <c r="DU281" s="14">
        <v>4</v>
      </c>
      <c r="DV281" s="14">
        <f>IFERROR(AVERAGE(Tabel1[[#This Row],[In - A1]],Tabel1[[#This Row],[In - A2]],Tabel1[[#This Row],[In - A3]],Tabel1[[#This Row],[In - A4]]),"")</f>
        <v>4.5</v>
      </c>
      <c r="DW281" s="14">
        <v>5</v>
      </c>
      <c r="DX281" s="14">
        <v>5</v>
      </c>
      <c r="DY281" s="14">
        <v>2</v>
      </c>
      <c r="DZ281" s="14">
        <f>IFERROR(AVERAGE(Tabel1[[#This Row],[Do - R1a]:[Do - R1c]]),"")</f>
        <v>4</v>
      </c>
      <c r="EA281" s="14">
        <v>3</v>
      </c>
      <c r="EB281" s="14" t="s">
        <v>189</v>
      </c>
      <c r="EC281" s="14" t="s">
        <v>189</v>
      </c>
      <c r="ED281" s="14">
        <v>3</v>
      </c>
      <c r="EE281" s="14">
        <f>IFERROR(AVERAGE(Tabel1[[#This Row],[Do - R1]:[Do - R5]]),"")</f>
        <v>3.3333333333333335</v>
      </c>
      <c r="EF281" s="14">
        <v>5</v>
      </c>
      <c r="EG281" s="14" t="s">
        <v>189</v>
      </c>
      <c r="EH281" s="14">
        <v>4</v>
      </c>
      <c r="EI281" s="14">
        <f>IFERROR(AVERAGE(Tabel1[[#This Row],[Do - C1a]:[Do - C1c]]),"")</f>
        <v>4.5</v>
      </c>
      <c r="EJ281" s="14" t="s">
        <v>189</v>
      </c>
      <c r="EK281" s="14" t="s">
        <v>189</v>
      </c>
      <c r="EL281" s="14" t="s">
        <v>189</v>
      </c>
      <c r="EM281" s="14">
        <f>IFERROR(AVERAGE(Tabel1[[#This Row],[Do - C1]:[Do - C4]]),"")</f>
        <v>4.5</v>
      </c>
      <c r="EN281" s="14" t="s">
        <v>189</v>
      </c>
      <c r="EO281" s="14">
        <v>5</v>
      </c>
      <c r="EP281" s="14">
        <v>5</v>
      </c>
      <c r="EQ281" s="14">
        <f>IFERROR(AVERAGE(Tabel1[[#This Row],[Do - F1a]:[Do - F1c]]),"")</f>
        <v>5</v>
      </c>
      <c r="ER281" s="14">
        <v>5</v>
      </c>
      <c r="ES281" s="14">
        <f>IFERROR(AVERAGE(Tabel1[[#This Row],[Do - F2a]:[Do - F2a]]),"")</f>
        <v>5</v>
      </c>
      <c r="ET281" s="14" t="s">
        <v>189</v>
      </c>
      <c r="EU281" s="14" t="s">
        <v>189</v>
      </c>
      <c r="EV281" s="14" t="str">
        <f>IFERROR(AVERAGE(Tabel1[[#This Row],[Do - F3a]:[Do - F3b]]),"")</f>
        <v/>
      </c>
      <c r="EW281" s="14">
        <v>1</v>
      </c>
      <c r="EX281" s="14">
        <f>IFERROR(AVERAGE(Tabel1[[#This Row],[Do - F1]],Tabel1[[#This Row],[Do - F2]],Tabel1[[#This Row],[Do - F3]],Tabel1[[#This Row],[Do - F4]]),"")</f>
        <v>3.6666666666666665</v>
      </c>
      <c r="EY281" s="14">
        <v>5</v>
      </c>
      <c r="EZ281" s="14" t="s">
        <v>189</v>
      </c>
      <c r="FA281" s="14">
        <v>5</v>
      </c>
      <c r="FB281" s="14">
        <f>IFERROR(AVERAGE(Tabel1[[#This Row],[Do - V1a]:[Do - V1c]]),"")</f>
        <v>5</v>
      </c>
      <c r="FC281" s="14">
        <v>5</v>
      </c>
      <c r="FD281" s="14">
        <v>5</v>
      </c>
      <c r="FE281" s="14">
        <f>IFERROR(AVERAGE(Tabel1[[#This Row],[Do - V2a]:[Do - V2b]]),"")</f>
        <v>5</v>
      </c>
      <c r="FF281" s="14" t="s">
        <v>189</v>
      </c>
      <c r="FG281" s="14" t="str">
        <f>IFERROR(AVERAGE(Tabel1[[#This Row],[Do - V3a]:[Do - V3a]]),"")</f>
        <v/>
      </c>
      <c r="FH281" s="14" t="s">
        <v>189</v>
      </c>
      <c r="FI281" s="14">
        <f>IFERROR(AVERAGE(Tabel1[[#This Row],[Do - V1]],Tabel1[[#This Row],[Do - V2]],Tabel1[[#This Row],[Do - V3]],Tabel1[[#This Row],[Do - V4]]),"")</f>
        <v>5</v>
      </c>
      <c r="FJ281" s="14" t="s">
        <v>189</v>
      </c>
      <c r="FK281" s="14">
        <v>5</v>
      </c>
      <c r="FL281" s="14">
        <v>4</v>
      </c>
      <c r="FM281" s="14">
        <f>IFERROR(AVERAGE(Tabel1[[#This Row],[Do - A1a]:[Do - A1c]]),"")</f>
        <v>4.5</v>
      </c>
      <c r="FN281" s="14">
        <v>5</v>
      </c>
      <c r="FO281" s="14" t="s">
        <v>189</v>
      </c>
      <c r="FP281" s="14">
        <f>IFERROR(AVERAGE(Tabel1[[#This Row],[Do - A2a]:[Do - A2b]]),"")</f>
        <v>5</v>
      </c>
      <c r="FQ281" s="14" t="s">
        <v>189</v>
      </c>
      <c r="FR281" s="14" t="str">
        <f>IFERROR(AVERAGE(Tabel1[[#This Row],[Do - A3a]:[Do - A3a]]),"")</f>
        <v/>
      </c>
      <c r="FS281" s="14" t="s">
        <v>189</v>
      </c>
      <c r="FT281" s="14">
        <f>IFERROR(AVERAGE(Tabel1[[#This Row],[Do - A1]],Tabel1[[#This Row],[Do - A2]],Tabel1[[#This Row],[Do - A3]],Tabel1[[#This Row],[Do - A4]]),"")</f>
        <v>4.75</v>
      </c>
      <c r="FU28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4.4083333333333332</v>
      </c>
      <c r="FV281" s="27" t="s">
        <v>1483</v>
      </c>
      <c r="FW281" t="b">
        <v>1</v>
      </c>
    </row>
    <row r="282" spans="1:179" x14ac:dyDescent="0.3">
      <c r="A282" s="13">
        <v>45415.534432870401</v>
      </c>
      <c r="B282" t="b">
        <v>0</v>
      </c>
      <c r="C282" s="14" t="s">
        <v>1484</v>
      </c>
      <c r="D282" s="14" t="s">
        <v>1485</v>
      </c>
      <c r="E282" s="14" t="s">
        <v>1486</v>
      </c>
      <c r="F282" s="14" t="s">
        <v>184</v>
      </c>
      <c r="G282" s="14" t="s">
        <v>1487</v>
      </c>
      <c r="H282" s="14" t="s">
        <v>222</v>
      </c>
      <c r="I282" s="14" t="s">
        <v>417</v>
      </c>
      <c r="J282" s="14" t="s">
        <v>418</v>
      </c>
      <c r="K282" s="28" t="s">
        <v>201</v>
      </c>
      <c r="L282" s="14" t="s">
        <v>197</v>
      </c>
      <c r="M282" s="14" t="s">
        <v>233</v>
      </c>
      <c r="N282" s="14" t="s">
        <v>199</v>
      </c>
      <c r="O282" s="14" t="s">
        <v>200</v>
      </c>
      <c r="P282" s="24" t="s">
        <v>255</v>
      </c>
      <c r="Q282" s="17" t="s">
        <v>255</v>
      </c>
      <c r="R282" s="25" t="s">
        <v>235</v>
      </c>
      <c r="S282" s="25" t="s">
        <v>201</v>
      </c>
      <c r="T282" s="14" t="s">
        <v>380</v>
      </c>
      <c r="U282" s="14" t="s">
        <v>205</v>
      </c>
      <c r="V282" s="14" t="s">
        <v>359</v>
      </c>
      <c r="W282" s="14" t="s">
        <v>395</v>
      </c>
      <c r="X282" s="14" t="s">
        <v>305</v>
      </c>
      <c r="Y282" s="14">
        <v>2</v>
      </c>
      <c r="Z282" s="14">
        <v>3</v>
      </c>
      <c r="AA282" s="14" t="s">
        <v>189</v>
      </c>
      <c r="AB282" s="15">
        <f>IFERROR(AVERAGE(Tabel1[[#This Row],[Up - R1a]:[Up - R1c]]),"")</f>
        <v>2.5</v>
      </c>
      <c r="AC282" s="14">
        <v>1</v>
      </c>
      <c r="AD282" s="14">
        <v>1</v>
      </c>
      <c r="AE282" s="14">
        <v>1</v>
      </c>
      <c r="AF282" s="14">
        <v>4</v>
      </c>
      <c r="AG282" s="14">
        <f>IFERROR(AVERAGE(Tabel1[[#This Row],[Up - R1]:[Up - R5]]),"")</f>
        <v>1.9</v>
      </c>
      <c r="AH282" s="14">
        <v>5</v>
      </c>
      <c r="AI282" s="14">
        <v>4</v>
      </c>
      <c r="AJ282" s="14">
        <v>3</v>
      </c>
      <c r="AK282" s="14">
        <f>IFERROR(AVERAGE(Tabel1[[#This Row],[Up - C1a]:[Up - C1c]]),"")</f>
        <v>4</v>
      </c>
      <c r="AL282" s="14">
        <v>1</v>
      </c>
      <c r="AM282" s="14">
        <v>1</v>
      </c>
      <c r="AN282" s="14">
        <v>2</v>
      </c>
      <c r="AO282" s="14">
        <f>IFERROR(AVERAGE(Tabel1[[#This Row],[Up - C1]:[Up - C4]]),"")</f>
        <v>2</v>
      </c>
      <c r="AP282" s="14">
        <v>3</v>
      </c>
      <c r="AQ282" s="14">
        <f>IFERROR(AVERAGE(Tabel1[[#This Row],[Up - F1a]:[Up - F1a]]),"")</f>
        <v>3</v>
      </c>
      <c r="AR282" s="14">
        <v>2</v>
      </c>
      <c r="AS282" s="14">
        <v>4</v>
      </c>
      <c r="AT282" s="14">
        <f>IFERROR(AVERAGE(Tabel1[[#This Row],[Up - F2a]:[Up - F2b]]),"")</f>
        <v>3</v>
      </c>
      <c r="AU282" s="14">
        <v>2</v>
      </c>
      <c r="AV282" s="14">
        <v>2</v>
      </c>
      <c r="AW282" s="14">
        <f>IFERROR(AVERAGE(Tabel1[[#This Row],[Up - F3a]:[Up - F3b]]),"")</f>
        <v>2</v>
      </c>
      <c r="AX282" s="14">
        <v>4</v>
      </c>
      <c r="AY282" s="14">
        <f>IFERROR(AVERAGE(Tabel1[[#This Row],[Up - F1]],Tabel1[[#This Row],[Up - F2]],Tabel1[[#This Row],[Up - F3]],Tabel1[[#This Row],[Up - F4]]),"")</f>
        <v>3</v>
      </c>
      <c r="AZ282" s="14">
        <v>5</v>
      </c>
      <c r="BA282" s="14">
        <v>4</v>
      </c>
      <c r="BB282" s="14">
        <f>IFERROR(AVERAGE(Tabel1[[#This Row],[Up - V1a]:[Up - V1b]]),"")</f>
        <v>4.5</v>
      </c>
      <c r="BC282" s="14">
        <v>4</v>
      </c>
      <c r="BD282" s="14">
        <v>2</v>
      </c>
      <c r="BE282" s="14" t="s">
        <v>189</v>
      </c>
      <c r="BF282" s="14">
        <f>IFERROR(AVERAGE(Tabel1[[#This Row],[Up - V2a]:[Up - V2c]]),"")</f>
        <v>3</v>
      </c>
      <c r="BG282" s="14">
        <v>3</v>
      </c>
      <c r="BH282" s="14" t="s">
        <v>189</v>
      </c>
      <c r="BI282" s="14">
        <f>IFERROR(AVERAGE(Tabel1[[#This Row],[Up - V3a]:[Up - V3b]]),"")</f>
        <v>3</v>
      </c>
      <c r="BJ282" s="14">
        <v>4</v>
      </c>
      <c r="BK282" s="14">
        <f>IFERROR(AVERAGE(Tabel1[[#This Row],[Up - V1]],Tabel1[[#This Row],[Up - V2]],Tabel1[[#This Row],[Up - V3]],Tabel1[[#This Row],[Up - V4]]),"")</f>
        <v>3.625</v>
      </c>
      <c r="BL282" s="14">
        <v>2</v>
      </c>
      <c r="BM282" s="14">
        <v>5</v>
      </c>
      <c r="BN282" s="14">
        <v>2</v>
      </c>
      <c r="BO282" s="14">
        <v>3</v>
      </c>
      <c r="BP282" s="14">
        <f>IFERROR(AVERAGE(Tabel1[[#This Row],[Up - A1a]:[Up - A1d]]),"")</f>
        <v>3</v>
      </c>
      <c r="BQ282" s="14">
        <v>4</v>
      </c>
      <c r="BR282" s="14">
        <v>2</v>
      </c>
      <c r="BS282" s="14">
        <f>IFERROR(AVERAGE(Tabel1[[#This Row],[Up - A2a]:[Up - A2b]]),"")</f>
        <v>3</v>
      </c>
      <c r="BT282" s="14">
        <v>2</v>
      </c>
      <c r="BU282" s="14">
        <f>IFERROR(AVERAGE(Tabel1[[#This Row],[Up - A3a]:[Up - A3a]]),"")</f>
        <v>2</v>
      </c>
      <c r="BV282" s="14">
        <v>2</v>
      </c>
      <c r="BW282" s="14">
        <f>IFERROR(AVERAGE(Tabel1[[#This Row],[Up - A1]],Tabel1[[#This Row],[Up - A2]],Tabel1[[#This Row],[Up - A3]]),"")</f>
        <v>2.6666666666666665</v>
      </c>
      <c r="BX282" s="14" t="s">
        <v>189</v>
      </c>
      <c r="BY282" s="14" t="s">
        <v>189</v>
      </c>
      <c r="BZ282" s="14" t="str">
        <f>IFERROR(AVERAGE(Tabel1[[#This Row],[In - R1a]:[In - R1b]]),"")</f>
        <v/>
      </c>
      <c r="CA282" s="14">
        <v>4</v>
      </c>
      <c r="CB282" s="14">
        <v>3</v>
      </c>
      <c r="CC282" s="14" t="s">
        <v>189</v>
      </c>
      <c r="CD282" s="14">
        <v>2</v>
      </c>
      <c r="CE282" s="14">
        <f>IFERROR(AVERAGE(Tabel1[[#This Row],[In - R1]:[In - R5]]),"")</f>
        <v>3</v>
      </c>
      <c r="CF282" s="14">
        <v>3</v>
      </c>
      <c r="CG282" s="14">
        <v>3</v>
      </c>
      <c r="CH282" s="14">
        <v>4</v>
      </c>
      <c r="CI282" s="14">
        <f>IFERROR(AVERAGE(Tabel1[[#This Row],[In - C1a]:[In - C1c]]),"")</f>
        <v>3.3333333333333335</v>
      </c>
      <c r="CJ282" s="14" t="s">
        <v>189</v>
      </c>
      <c r="CK282" s="14">
        <v>3</v>
      </c>
      <c r="CL282" s="14">
        <v>4</v>
      </c>
      <c r="CM282" s="14">
        <f>IFERROR(AVERAGE(Tabel1[[#This Row],[In - C1]:[In - C4]]),"")</f>
        <v>3.4444444444444446</v>
      </c>
      <c r="CN282" s="14">
        <v>4</v>
      </c>
      <c r="CO282" s="14">
        <v>5</v>
      </c>
      <c r="CP282" s="14">
        <v>2</v>
      </c>
      <c r="CQ282" s="14">
        <f>IFERROR(AVERAGE(Tabel1[[#This Row],[In - F1a]:[In - F1c]]),"")</f>
        <v>3.6666666666666665</v>
      </c>
      <c r="CR282" s="14">
        <v>4</v>
      </c>
      <c r="CS282" s="14">
        <v>3</v>
      </c>
      <c r="CT282" s="14">
        <f>IFERROR(AVERAGE(Tabel1[[#This Row],[In - F2a]:[In - F2b]]),"")</f>
        <v>3.5</v>
      </c>
      <c r="CU282" s="14">
        <v>4</v>
      </c>
      <c r="CV282" s="14">
        <f>IFERROR(AVERAGE(Tabel1[[#This Row],[In - F3a]:[In - F3a]]),"")</f>
        <v>4</v>
      </c>
      <c r="CW282" s="14">
        <v>2</v>
      </c>
      <c r="CX282" s="14">
        <f>IFERROR(AVERAGE(Tabel1[[#This Row],[In - F1]],Tabel1[[#This Row],[In - F2]],Tabel1[[#This Row],[In - F3]],Tabel1[[#This Row],[In - F4]]),"")</f>
        <v>3.2916666666666665</v>
      </c>
      <c r="CY282" s="14">
        <v>4</v>
      </c>
      <c r="CZ282" s="14">
        <v>2</v>
      </c>
      <c r="DA282" s="14">
        <v>4</v>
      </c>
      <c r="DB282" s="14">
        <f>IFERROR(AVERAGE(Tabel1[[#This Row],[In - V1a]:[In - V1c]]),"")</f>
        <v>3.3333333333333335</v>
      </c>
      <c r="DC282" s="14">
        <v>1</v>
      </c>
      <c r="DD282" s="14">
        <v>4</v>
      </c>
      <c r="DE282" s="14">
        <v>4</v>
      </c>
      <c r="DF282" s="14">
        <f>IFERROR(AVERAGE(Tabel1[[#This Row],[In - V2a]:[In - V2c]]),"")</f>
        <v>3</v>
      </c>
      <c r="DG282" s="14">
        <v>2</v>
      </c>
      <c r="DH282" s="14">
        <v>2</v>
      </c>
      <c r="DI282" s="14">
        <f>IFERROR(AVERAGE(Tabel1[[#This Row],[In - V3a]:[In - V3b]]),"")</f>
        <v>2</v>
      </c>
      <c r="DJ282" s="14">
        <v>4</v>
      </c>
      <c r="DK282" s="14">
        <f>IFERROR(AVERAGE(Tabel1[[#This Row],[In - V1]],Tabel1[[#This Row],[In - V2]],Tabel1[[#This Row],[In - V3]],Tabel1[[#This Row],[In - V4]]),"")</f>
        <v>3.0833333333333335</v>
      </c>
      <c r="DL282" s="14">
        <v>2</v>
      </c>
      <c r="DM282" s="14">
        <v>2</v>
      </c>
      <c r="DN282" s="14">
        <f>IFERROR(AVERAGE(Tabel1[[#This Row],[In - A1a]:[In - A1b]]),"")</f>
        <v>2</v>
      </c>
      <c r="DO282" s="14" t="s">
        <v>189</v>
      </c>
      <c r="DP282" s="14">
        <v>4</v>
      </c>
      <c r="DQ282" s="14">
        <f>IFERROR(AVERAGE(Tabel1[[#This Row],[In - A2a]:[In - A2b]]),"")</f>
        <v>4</v>
      </c>
      <c r="DR282" s="14">
        <v>2</v>
      </c>
      <c r="DS282" s="14">
        <v>2</v>
      </c>
      <c r="DT282" s="14">
        <f>IFERROR(AVERAGE(Tabel1[[#This Row],[In - A3a]:[In - A3a]]),"")</f>
        <v>2</v>
      </c>
      <c r="DU282" s="14">
        <v>2</v>
      </c>
      <c r="DV282" s="14">
        <f>IFERROR(AVERAGE(Tabel1[[#This Row],[In - A1]],Tabel1[[#This Row],[In - A2]],Tabel1[[#This Row],[In - A3]],Tabel1[[#This Row],[In - A4]]),"")</f>
        <v>2.5</v>
      </c>
      <c r="DW282" s="14">
        <v>4</v>
      </c>
      <c r="DX282" s="14">
        <v>3</v>
      </c>
      <c r="DY282" s="14">
        <v>4</v>
      </c>
      <c r="DZ282" s="14">
        <f>IFERROR(AVERAGE(Tabel1[[#This Row],[Do - R1a]:[Do - R1c]]),"")</f>
        <v>3.6666666666666665</v>
      </c>
      <c r="EA282" s="14">
        <v>2</v>
      </c>
      <c r="EB282" s="14">
        <v>1</v>
      </c>
      <c r="EC282" s="14">
        <v>1</v>
      </c>
      <c r="ED282" s="14">
        <v>2</v>
      </c>
      <c r="EE282" s="14">
        <f>IFERROR(AVERAGE(Tabel1[[#This Row],[Do - R1]:[Do - R5]]),"")</f>
        <v>1.9333333333333331</v>
      </c>
      <c r="EF282" s="14">
        <v>4</v>
      </c>
      <c r="EG282" s="14">
        <v>4</v>
      </c>
      <c r="EH282" s="14">
        <v>3</v>
      </c>
      <c r="EI282" s="14">
        <f>IFERROR(AVERAGE(Tabel1[[#This Row],[Do - C1a]:[Do - C1c]]),"")</f>
        <v>3.6666666666666665</v>
      </c>
      <c r="EJ282" s="14">
        <v>4</v>
      </c>
      <c r="EK282" s="14">
        <v>3</v>
      </c>
      <c r="EL282" s="14">
        <v>2</v>
      </c>
      <c r="EM282" s="14">
        <f>IFERROR(AVERAGE(Tabel1[[#This Row],[Do - C1]:[Do - C4]]),"")</f>
        <v>3.1666666666666665</v>
      </c>
      <c r="EN282" s="14">
        <v>4</v>
      </c>
      <c r="EO282" s="14">
        <v>2</v>
      </c>
      <c r="EP282" s="14">
        <v>2</v>
      </c>
      <c r="EQ282" s="14">
        <f>IFERROR(AVERAGE(Tabel1[[#This Row],[Do - F1a]:[Do - F1c]]),"")</f>
        <v>2.6666666666666665</v>
      </c>
      <c r="ER282" s="14">
        <v>4</v>
      </c>
      <c r="ES282" s="14">
        <f>IFERROR(AVERAGE(Tabel1[[#This Row],[Do - F2a]:[Do - F2a]]),"")</f>
        <v>4</v>
      </c>
      <c r="ET282" s="14">
        <v>2</v>
      </c>
      <c r="EU282" s="14">
        <v>2</v>
      </c>
      <c r="EV282" s="14">
        <f>IFERROR(AVERAGE(Tabel1[[#This Row],[Do - F3a]:[Do - F3b]]),"")</f>
        <v>2</v>
      </c>
      <c r="EW282" s="14">
        <v>2</v>
      </c>
      <c r="EX282" s="14">
        <f>IFERROR(AVERAGE(Tabel1[[#This Row],[Do - F1]],Tabel1[[#This Row],[Do - F2]],Tabel1[[#This Row],[Do - F3]],Tabel1[[#This Row],[Do - F4]]),"")</f>
        <v>2.6666666666666665</v>
      </c>
      <c r="EY282" s="14">
        <v>4</v>
      </c>
      <c r="EZ282" s="14">
        <v>2</v>
      </c>
      <c r="FA282" s="14">
        <v>4</v>
      </c>
      <c r="FB282" s="14">
        <f>IFERROR(AVERAGE(Tabel1[[#This Row],[Do - V1a]:[Do - V1c]]),"")</f>
        <v>3.3333333333333335</v>
      </c>
      <c r="FC282" s="14">
        <v>3</v>
      </c>
      <c r="FD282" s="14">
        <v>2</v>
      </c>
      <c r="FE282" s="14">
        <f>IFERROR(AVERAGE(Tabel1[[#This Row],[Do - V2a]:[Do - V2b]]),"")</f>
        <v>2.5</v>
      </c>
      <c r="FF282" s="14">
        <v>4</v>
      </c>
      <c r="FG282" s="14">
        <f>IFERROR(AVERAGE(Tabel1[[#This Row],[Do - V3a]:[Do - V3a]]),"")</f>
        <v>4</v>
      </c>
      <c r="FH282" s="14">
        <v>4</v>
      </c>
      <c r="FI282" s="14">
        <f>IFERROR(AVERAGE(Tabel1[[#This Row],[Do - V1]],Tabel1[[#This Row],[Do - V2]],Tabel1[[#This Row],[Do - V3]],Tabel1[[#This Row],[Do - V4]]),"")</f>
        <v>3.4583333333333335</v>
      </c>
      <c r="FJ282" s="14">
        <v>2</v>
      </c>
      <c r="FK282" s="14">
        <v>3</v>
      </c>
      <c r="FL282" s="14">
        <v>4</v>
      </c>
      <c r="FM282" s="14">
        <f>IFERROR(AVERAGE(Tabel1[[#This Row],[Do - A1a]:[Do - A1c]]),"")</f>
        <v>3</v>
      </c>
      <c r="FN282" s="14">
        <v>2</v>
      </c>
      <c r="FO282" s="14">
        <v>1</v>
      </c>
      <c r="FP282" s="14">
        <f>IFERROR(AVERAGE(Tabel1[[#This Row],[Do - A2a]:[Do - A2b]]),"")</f>
        <v>1.5</v>
      </c>
      <c r="FQ282" s="14">
        <v>3</v>
      </c>
      <c r="FR282" s="14">
        <f>IFERROR(AVERAGE(Tabel1[[#This Row],[Do - A3a]:[Do - A3a]]),"")</f>
        <v>3</v>
      </c>
      <c r="FS282" s="14" t="s">
        <v>189</v>
      </c>
      <c r="FT282" s="14">
        <f>IFERROR(AVERAGE(Tabel1[[#This Row],[Do - A1]],Tabel1[[#This Row],[Do - A2]],Tabel1[[#This Row],[Do - A3]],Tabel1[[#This Row],[Do - A4]]),"")</f>
        <v>2.5</v>
      </c>
      <c r="FU28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2.8157407407407411</v>
      </c>
      <c r="FV282" s="27" t="s">
        <v>1488</v>
      </c>
      <c r="FW282" t="b">
        <v>1</v>
      </c>
    </row>
    <row r="283" spans="1:179" x14ac:dyDescent="0.3">
      <c r="A283" s="13">
        <v>45415.731180555602</v>
      </c>
      <c r="B283" t="b">
        <v>0</v>
      </c>
      <c r="C283" s="14" t="s">
        <v>1489</v>
      </c>
      <c r="D283" s="14" t="s">
        <v>1490</v>
      </c>
      <c r="E283" s="14" t="s">
        <v>1491</v>
      </c>
      <c r="F283" s="14" t="s">
        <v>184</v>
      </c>
      <c r="G283" s="14" t="s">
        <v>1492</v>
      </c>
      <c r="H283" s="14" t="s">
        <v>222</v>
      </c>
      <c r="I283" s="14" t="s">
        <v>195</v>
      </c>
      <c r="J283" s="14" t="s">
        <v>196</v>
      </c>
      <c r="K283" s="28" t="s">
        <v>187</v>
      </c>
      <c r="L283" s="14" t="s">
        <v>249</v>
      </c>
      <c r="M283" s="14" t="s">
        <v>198</v>
      </c>
      <c r="N283" s="14" t="s">
        <v>199</v>
      </c>
      <c r="O283" s="14" t="s">
        <v>200</v>
      </c>
      <c r="P283" s="25" t="s">
        <v>201</v>
      </c>
      <c r="Q283" s="17" t="s">
        <v>235</v>
      </c>
      <c r="R283" s="25" t="s">
        <v>187</v>
      </c>
      <c r="S283" s="25" t="s">
        <v>187</v>
      </c>
      <c r="T283" s="14" t="s">
        <v>204</v>
      </c>
      <c r="U283" s="14" t="s">
        <v>237</v>
      </c>
      <c r="V283" s="14" t="s">
        <v>484</v>
      </c>
      <c r="W283" s="14" t="s">
        <v>207</v>
      </c>
      <c r="X283" s="14" t="s">
        <v>207</v>
      </c>
      <c r="Y283" s="14">
        <v>5</v>
      </c>
      <c r="Z283" s="14">
        <v>3</v>
      </c>
      <c r="AA283" s="14">
        <v>3</v>
      </c>
      <c r="AB283" s="15">
        <f>IFERROR(AVERAGE(Tabel1[[#This Row],[Up - R1a]:[Up - R1c]]),"")</f>
        <v>3.6666666666666665</v>
      </c>
      <c r="AC283" s="14">
        <v>1</v>
      </c>
      <c r="AD283" s="14">
        <v>1</v>
      </c>
      <c r="AE283" s="14">
        <v>1</v>
      </c>
      <c r="AF283" s="14">
        <v>4</v>
      </c>
      <c r="AG283" s="14">
        <f>IFERROR(AVERAGE(Tabel1[[#This Row],[Up - R1]:[Up - R5]]),"")</f>
        <v>2.1333333333333333</v>
      </c>
      <c r="AH283" s="14">
        <v>4</v>
      </c>
      <c r="AI283" s="14">
        <v>4</v>
      </c>
      <c r="AJ283" s="14">
        <v>4</v>
      </c>
      <c r="AK283" s="14">
        <f>IFERROR(AVERAGE(Tabel1[[#This Row],[Up - C1a]:[Up - C1c]]),"")</f>
        <v>4</v>
      </c>
      <c r="AL283" s="14">
        <v>1</v>
      </c>
      <c r="AM283" s="14">
        <v>4</v>
      </c>
      <c r="AN283" s="14">
        <v>5</v>
      </c>
      <c r="AO283" s="14">
        <f>IFERROR(AVERAGE(Tabel1[[#This Row],[Up - C1]:[Up - C4]]),"")</f>
        <v>3.5</v>
      </c>
      <c r="AP283" s="14">
        <v>2</v>
      </c>
      <c r="AQ283" s="14">
        <f>IFERROR(AVERAGE(Tabel1[[#This Row],[Up - F1a]:[Up - F1a]]),"")</f>
        <v>2</v>
      </c>
      <c r="AR283" s="14">
        <v>2</v>
      </c>
      <c r="AS283" s="14">
        <v>1</v>
      </c>
      <c r="AT283" s="14">
        <f>IFERROR(AVERAGE(Tabel1[[#This Row],[Up - F2a]:[Up - F2b]]),"")</f>
        <v>1.5</v>
      </c>
      <c r="AU283" s="14">
        <v>1</v>
      </c>
      <c r="AV283" s="14">
        <v>1</v>
      </c>
      <c r="AW283" s="14">
        <f>IFERROR(AVERAGE(Tabel1[[#This Row],[Up - F3a]:[Up - F3b]]),"")</f>
        <v>1</v>
      </c>
      <c r="AX283" s="14">
        <v>2</v>
      </c>
      <c r="AY283" s="14">
        <f>IFERROR(AVERAGE(Tabel1[[#This Row],[Up - F1]],Tabel1[[#This Row],[Up - F2]],Tabel1[[#This Row],[Up - F3]],Tabel1[[#This Row],[Up - F4]]),"")</f>
        <v>1.625</v>
      </c>
      <c r="AZ283" s="14">
        <v>2</v>
      </c>
      <c r="BA283" s="14">
        <v>3</v>
      </c>
      <c r="BB283" s="14">
        <f>IFERROR(AVERAGE(Tabel1[[#This Row],[Up - V1a]:[Up - V1b]]),"")</f>
        <v>2.5</v>
      </c>
      <c r="BC283" s="14">
        <v>4</v>
      </c>
      <c r="BD283" s="14">
        <v>3</v>
      </c>
      <c r="BE283" s="14">
        <v>3</v>
      </c>
      <c r="BF283" s="14">
        <f>IFERROR(AVERAGE(Tabel1[[#This Row],[Up - V2a]:[Up - V2c]]),"")</f>
        <v>3.3333333333333335</v>
      </c>
      <c r="BG283" s="14">
        <v>3</v>
      </c>
      <c r="BH283" s="14">
        <v>4</v>
      </c>
      <c r="BI283" s="14">
        <f>IFERROR(AVERAGE(Tabel1[[#This Row],[Up - V3a]:[Up - V3b]]),"")</f>
        <v>3.5</v>
      </c>
      <c r="BJ283" s="14">
        <v>4</v>
      </c>
      <c r="BK283" s="14">
        <f>IFERROR(AVERAGE(Tabel1[[#This Row],[Up - V1]],Tabel1[[#This Row],[Up - V2]],Tabel1[[#This Row],[Up - V3]],Tabel1[[#This Row],[Up - V4]]),"")</f>
        <v>3.3333333333333335</v>
      </c>
      <c r="BL283" s="14">
        <v>4</v>
      </c>
      <c r="BM283" s="14">
        <v>5</v>
      </c>
      <c r="BN283" s="14">
        <v>3</v>
      </c>
      <c r="BO283" s="14">
        <v>3</v>
      </c>
      <c r="BP283" s="14">
        <f>IFERROR(AVERAGE(Tabel1[[#This Row],[Up - A1a]:[Up - A1d]]),"")</f>
        <v>3.75</v>
      </c>
      <c r="BQ283" s="14">
        <v>4</v>
      </c>
      <c r="BR283" s="14">
        <v>1</v>
      </c>
      <c r="BS283" s="14">
        <f>IFERROR(AVERAGE(Tabel1[[#This Row],[Up - A2a]:[Up - A2b]]),"")</f>
        <v>2.5</v>
      </c>
      <c r="BT283" s="14">
        <v>3</v>
      </c>
      <c r="BU283" s="14">
        <f>IFERROR(AVERAGE(Tabel1[[#This Row],[Up - A3a]:[Up - A3a]]),"")</f>
        <v>3</v>
      </c>
      <c r="BV283" s="14">
        <v>4</v>
      </c>
      <c r="BW283" s="14">
        <f>IFERROR(AVERAGE(Tabel1[[#This Row],[Up - A1]],Tabel1[[#This Row],[Up - A2]],Tabel1[[#This Row],[Up - A3]]),"")</f>
        <v>3.0833333333333335</v>
      </c>
      <c r="BX283" s="14">
        <v>2</v>
      </c>
      <c r="BY283" s="14">
        <v>5</v>
      </c>
      <c r="BZ283" s="14">
        <f>IFERROR(AVERAGE(Tabel1[[#This Row],[In - R1a]:[In - R1b]]),"")</f>
        <v>3.5</v>
      </c>
      <c r="CA283" s="14" t="s">
        <v>189</v>
      </c>
      <c r="CB283" s="14">
        <v>2</v>
      </c>
      <c r="CC283" s="14">
        <v>1</v>
      </c>
      <c r="CD283" s="14">
        <v>3</v>
      </c>
      <c r="CE283" s="14">
        <f>IFERROR(AVERAGE(Tabel1[[#This Row],[In - R1]:[In - R5]]),"")</f>
        <v>2.375</v>
      </c>
      <c r="CF283" s="14">
        <v>5</v>
      </c>
      <c r="CG283" s="14">
        <v>5</v>
      </c>
      <c r="CH283" s="14">
        <v>5</v>
      </c>
      <c r="CI283" s="14">
        <f>IFERROR(AVERAGE(Tabel1[[#This Row],[In - C1a]:[In - C1c]]),"")</f>
        <v>5</v>
      </c>
      <c r="CJ283" s="14">
        <v>5</v>
      </c>
      <c r="CK283" s="14">
        <v>4</v>
      </c>
      <c r="CL283" s="14">
        <v>4</v>
      </c>
      <c r="CM283" s="14">
        <f>IFERROR(AVERAGE(Tabel1[[#This Row],[In - C1]:[In - C4]]),"")</f>
        <v>4.5</v>
      </c>
      <c r="CN283" s="14">
        <v>3</v>
      </c>
      <c r="CO283" s="14">
        <v>3</v>
      </c>
      <c r="CP283" s="14">
        <v>2</v>
      </c>
      <c r="CQ283" s="14">
        <f>IFERROR(AVERAGE(Tabel1[[#This Row],[In - F1a]:[In - F1c]]),"")</f>
        <v>2.6666666666666665</v>
      </c>
      <c r="CR283" s="14">
        <v>4</v>
      </c>
      <c r="CS283" s="14">
        <v>1</v>
      </c>
      <c r="CT283" s="14">
        <f>IFERROR(AVERAGE(Tabel1[[#This Row],[In - F2a]:[In - F2b]]),"")</f>
        <v>2.5</v>
      </c>
      <c r="CU283" s="14">
        <v>1</v>
      </c>
      <c r="CV283" s="14">
        <f>IFERROR(AVERAGE(Tabel1[[#This Row],[In - F3a]:[In - F3a]]),"")</f>
        <v>1</v>
      </c>
      <c r="CW283" s="14">
        <v>3</v>
      </c>
      <c r="CX283" s="14">
        <f>IFERROR(AVERAGE(Tabel1[[#This Row],[In - F1]],Tabel1[[#This Row],[In - F2]],Tabel1[[#This Row],[In - F3]],Tabel1[[#This Row],[In - F4]]),"")</f>
        <v>2.2916666666666665</v>
      </c>
      <c r="CY283" s="14">
        <v>5</v>
      </c>
      <c r="CZ283" s="14">
        <v>5</v>
      </c>
      <c r="DA283" s="14">
        <v>2</v>
      </c>
      <c r="DB283" s="14">
        <f>IFERROR(AVERAGE(Tabel1[[#This Row],[In - V1a]:[In - V1c]]),"")</f>
        <v>4</v>
      </c>
      <c r="DC283" s="14" t="s">
        <v>189</v>
      </c>
      <c r="DD283" s="14">
        <v>3</v>
      </c>
      <c r="DE283" s="14">
        <v>4</v>
      </c>
      <c r="DF283" s="14">
        <f>IFERROR(AVERAGE(Tabel1[[#This Row],[In - V2a]:[In - V2c]]),"")</f>
        <v>3.5</v>
      </c>
      <c r="DG283" s="14">
        <v>4</v>
      </c>
      <c r="DH283" s="14">
        <v>4</v>
      </c>
      <c r="DI283" s="14">
        <f>IFERROR(AVERAGE(Tabel1[[#This Row],[In - V3a]:[In - V3b]]),"")</f>
        <v>4</v>
      </c>
      <c r="DJ283" s="14">
        <v>3</v>
      </c>
      <c r="DK283" s="14">
        <f>IFERROR(AVERAGE(Tabel1[[#This Row],[In - V1]],Tabel1[[#This Row],[In - V2]],Tabel1[[#This Row],[In - V3]],Tabel1[[#This Row],[In - V4]]),"")</f>
        <v>3.625</v>
      </c>
      <c r="DL283" s="14">
        <v>4</v>
      </c>
      <c r="DM283" s="14">
        <v>5</v>
      </c>
      <c r="DN283" s="14">
        <f>IFERROR(AVERAGE(Tabel1[[#This Row],[In - A1a]:[In - A1b]]),"")</f>
        <v>4.5</v>
      </c>
      <c r="DO283" s="14">
        <v>4</v>
      </c>
      <c r="DP283" s="14">
        <v>3</v>
      </c>
      <c r="DQ283" s="14">
        <f>IFERROR(AVERAGE(Tabel1[[#This Row],[In - A2a]:[In - A2b]]),"")</f>
        <v>3.5</v>
      </c>
      <c r="DR283" s="14">
        <v>3</v>
      </c>
      <c r="DS283" s="14">
        <v>3</v>
      </c>
      <c r="DT283" s="14">
        <f>IFERROR(AVERAGE(Tabel1[[#This Row],[In - A3a]:[In - A3a]]),"")</f>
        <v>3</v>
      </c>
      <c r="DU283" s="14">
        <v>4</v>
      </c>
      <c r="DV283" s="14">
        <f>IFERROR(AVERAGE(Tabel1[[#This Row],[In - A1]],Tabel1[[#This Row],[In - A2]],Tabel1[[#This Row],[In - A3]],Tabel1[[#This Row],[In - A4]]),"")</f>
        <v>3.75</v>
      </c>
      <c r="DW283" s="14">
        <v>1</v>
      </c>
      <c r="DX283" s="14">
        <v>5</v>
      </c>
      <c r="DY283" s="14">
        <v>1</v>
      </c>
      <c r="DZ283" s="14">
        <f>IFERROR(AVERAGE(Tabel1[[#This Row],[Do - R1a]:[Do - R1c]]),"")</f>
        <v>2.3333333333333335</v>
      </c>
      <c r="EA283" s="14">
        <v>1</v>
      </c>
      <c r="EB283" s="14">
        <v>1</v>
      </c>
      <c r="EC283" s="14">
        <v>3</v>
      </c>
      <c r="ED283" s="14">
        <v>3</v>
      </c>
      <c r="EE283" s="14">
        <f>IFERROR(AVERAGE(Tabel1[[#This Row],[Do - R1]:[Do - R5]]),"")</f>
        <v>2.0666666666666669</v>
      </c>
      <c r="EF283" s="14">
        <v>4</v>
      </c>
      <c r="EG283" s="14">
        <v>4</v>
      </c>
      <c r="EH283" s="14">
        <v>4</v>
      </c>
      <c r="EI283" s="14">
        <f>IFERROR(AVERAGE(Tabel1[[#This Row],[Do - C1a]:[Do - C1c]]),"")</f>
        <v>4</v>
      </c>
      <c r="EJ283" s="14">
        <v>4</v>
      </c>
      <c r="EK283" s="14">
        <v>4</v>
      </c>
      <c r="EL283" s="14">
        <v>4</v>
      </c>
      <c r="EM283" s="14">
        <f>IFERROR(AVERAGE(Tabel1[[#This Row],[Do - C1]:[Do - C4]]),"")</f>
        <v>4</v>
      </c>
      <c r="EN283" s="14">
        <v>3</v>
      </c>
      <c r="EO283" s="14">
        <v>3</v>
      </c>
      <c r="EP283" s="14">
        <v>3</v>
      </c>
      <c r="EQ283" s="14">
        <f>IFERROR(AVERAGE(Tabel1[[#This Row],[Do - F1a]:[Do - F1c]]),"")</f>
        <v>3</v>
      </c>
      <c r="ER283" s="14">
        <v>2</v>
      </c>
      <c r="ES283" s="14">
        <f>IFERROR(AVERAGE(Tabel1[[#This Row],[Do - F2a]:[Do - F2a]]),"")</f>
        <v>2</v>
      </c>
      <c r="ET283" s="14">
        <v>2</v>
      </c>
      <c r="EU283" s="14">
        <v>1</v>
      </c>
      <c r="EV283" s="14">
        <f>IFERROR(AVERAGE(Tabel1[[#This Row],[Do - F3a]:[Do - F3b]]),"")</f>
        <v>1.5</v>
      </c>
      <c r="EW283" s="14">
        <v>5</v>
      </c>
      <c r="EX283" s="14">
        <f>IFERROR(AVERAGE(Tabel1[[#This Row],[Do - F1]],Tabel1[[#This Row],[Do - F2]],Tabel1[[#This Row],[Do - F3]],Tabel1[[#This Row],[Do - F4]]),"")</f>
        <v>2.875</v>
      </c>
      <c r="EY283" s="14">
        <v>4</v>
      </c>
      <c r="EZ283" s="14">
        <v>4</v>
      </c>
      <c r="FA283" s="14">
        <v>2</v>
      </c>
      <c r="FB283" s="14">
        <f>IFERROR(AVERAGE(Tabel1[[#This Row],[Do - V1a]:[Do - V1c]]),"")</f>
        <v>3.3333333333333335</v>
      </c>
      <c r="FC283" s="14">
        <v>4</v>
      </c>
      <c r="FD283" s="14">
        <v>3</v>
      </c>
      <c r="FE283" s="14">
        <f>IFERROR(AVERAGE(Tabel1[[#This Row],[Do - V2a]:[Do - V2b]]),"")</f>
        <v>3.5</v>
      </c>
      <c r="FF283" s="14">
        <v>3</v>
      </c>
      <c r="FG283" s="14">
        <f>IFERROR(AVERAGE(Tabel1[[#This Row],[Do - V3a]:[Do - V3a]]),"")</f>
        <v>3</v>
      </c>
      <c r="FH283" s="14">
        <v>2</v>
      </c>
      <c r="FI283" s="14">
        <f>IFERROR(AVERAGE(Tabel1[[#This Row],[Do - V1]],Tabel1[[#This Row],[Do - V2]],Tabel1[[#This Row],[Do - V3]],Tabel1[[#This Row],[Do - V4]]),"")</f>
        <v>2.9583333333333335</v>
      </c>
      <c r="FJ283" s="14">
        <v>4</v>
      </c>
      <c r="FK283" s="14">
        <v>4</v>
      </c>
      <c r="FL283" s="14">
        <v>3</v>
      </c>
      <c r="FM283" s="14">
        <f>IFERROR(AVERAGE(Tabel1[[#This Row],[Do - A1a]:[Do - A1c]]),"")</f>
        <v>3.6666666666666665</v>
      </c>
      <c r="FN283" s="14">
        <v>2</v>
      </c>
      <c r="FO283" s="14">
        <v>1</v>
      </c>
      <c r="FP283" s="14">
        <f>IFERROR(AVERAGE(Tabel1[[#This Row],[Do - A2a]:[Do - A2b]]),"")</f>
        <v>1.5</v>
      </c>
      <c r="FQ283" s="14">
        <v>3</v>
      </c>
      <c r="FR283" s="14">
        <f>IFERROR(AVERAGE(Tabel1[[#This Row],[Do - A3a]:[Do - A3a]]),"")</f>
        <v>3</v>
      </c>
      <c r="FS283" s="14">
        <v>4</v>
      </c>
      <c r="FT283" s="14">
        <f>IFERROR(AVERAGE(Tabel1[[#This Row],[Do - A1]],Tabel1[[#This Row],[Do - A2]],Tabel1[[#This Row],[Do - A3]],Tabel1[[#This Row],[Do - A4]]),"")</f>
        <v>3.0416666666666665</v>
      </c>
      <c r="FU28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3.0105555555555559</v>
      </c>
      <c r="FV283" s="27" t="s">
        <v>1493</v>
      </c>
      <c r="FW283" t="b">
        <v>1</v>
      </c>
    </row>
    <row r="284" spans="1:179" x14ac:dyDescent="0.3">
      <c r="A284" s="13">
        <v>45416.407696759299</v>
      </c>
      <c r="B284" t="b">
        <v>0</v>
      </c>
      <c r="C284" s="14" t="s">
        <v>1494</v>
      </c>
      <c r="D284" s="14" t="s">
        <v>1495</v>
      </c>
      <c r="E284" s="14" t="s">
        <v>1496</v>
      </c>
      <c r="F284" s="14" t="s">
        <v>184</v>
      </c>
      <c r="G284" s="14" t="s">
        <v>1497</v>
      </c>
      <c r="H284" s="14" t="s">
        <v>222</v>
      </c>
      <c r="I284" s="14" t="s">
        <v>417</v>
      </c>
      <c r="J284" s="14" t="s">
        <v>418</v>
      </c>
      <c r="K284" s="28" t="s">
        <v>202</v>
      </c>
      <c r="L284" s="14" t="s">
        <v>197</v>
      </c>
      <c r="M284" s="14" t="s">
        <v>198</v>
      </c>
      <c r="N284" s="14" t="s">
        <v>199</v>
      </c>
      <c r="O284" s="14" t="s">
        <v>200</v>
      </c>
      <c r="P284" s="24" t="s">
        <v>304</v>
      </c>
      <c r="Q284" s="17" t="s">
        <v>203</v>
      </c>
      <c r="R284" s="25" t="s">
        <v>235</v>
      </c>
      <c r="S284" s="25" t="s">
        <v>235</v>
      </c>
      <c r="T284" s="14" t="s">
        <v>380</v>
      </c>
      <c r="U284" s="14" t="s">
        <v>285</v>
      </c>
      <c r="V284" s="14" t="s">
        <v>359</v>
      </c>
      <c r="W284" s="14" t="s">
        <v>395</v>
      </c>
      <c r="X284" s="14" t="s">
        <v>306</v>
      </c>
      <c r="Y284" s="14">
        <v>4</v>
      </c>
      <c r="Z284" s="14">
        <v>5</v>
      </c>
      <c r="AA284" s="14" t="s">
        <v>189</v>
      </c>
      <c r="AB284" s="15">
        <f>IFERROR(AVERAGE(Tabel1[[#This Row],[Up - R1a]:[Up - R1c]]),"")</f>
        <v>4.5</v>
      </c>
      <c r="AC284" s="14">
        <v>3</v>
      </c>
      <c r="AD284" s="14">
        <v>2</v>
      </c>
      <c r="AE284" s="14">
        <v>2</v>
      </c>
      <c r="AF284" s="14">
        <v>4</v>
      </c>
      <c r="AG284" s="14">
        <f>IFERROR(AVERAGE(Tabel1[[#This Row],[Up - R1]:[Up - R5]]),"")</f>
        <v>3.1</v>
      </c>
      <c r="AH284" s="14">
        <v>4</v>
      </c>
      <c r="AI284" s="14">
        <v>4</v>
      </c>
      <c r="AJ284" s="14">
        <v>3</v>
      </c>
      <c r="AK284" s="14">
        <f>IFERROR(AVERAGE(Tabel1[[#This Row],[Up - C1a]:[Up - C1c]]),"")</f>
        <v>3.6666666666666665</v>
      </c>
      <c r="AL284" s="14">
        <v>5</v>
      </c>
      <c r="AM284" s="14">
        <v>3</v>
      </c>
      <c r="AN284" s="14">
        <v>3</v>
      </c>
      <c r="AO284" s="14">
        <f>IFERROR(AVERAGE(Tabel1[[#This Row],[Up - C1]:[Up - C4]]),"")</f>
        <v>3.6666666666666665</v>
      </c>
      <c r="AP284" s="14">
        <v>4</v>
      </c>
      <c r="AQ284" s="14">
        <f>IFERROR(AVERAGE(Tabel1[[#This Row],[Up - F1a]:[Up - F1a]]),"")</f>
        <v>4</v>
      </c>
      <c r="AR284" s="14">
        <v>2</v>
      </c>
      <c r="AS284" s="14">
        <v>2</v>
      </c>
      <c r="AT284" s="14">
        <f>IFERROR(AVERAGE(Tabel1[[#This Row],[Up - F2a]:[Up - F2b]]),"")</f>
        <v>2</v>
      </c>
      <c r="AU284" s="14">
        <v>4</v>
      </c>
      <c r="AV284" s="14">
        <v>3</v>
      </c>
      <c r="AW284" s="14">
        <f>IFERROR(AVERAGE(Tabel1[[#This Row],[Up - F3a]:[Up - F3b]]),"")</f>
        <v>3.5</v>
      </c>
      <c r="AX284" s="14">
        <v>2</v>
      </c>
      <c r="AY284" s="14">
        <f>IFERROR(AVERAGE(Tabel1[[#This Row],[Up - F1]],Tabel1[[#This Row],[Up - F2]],Tabel1[[#This Row],[Up - F3]],Tabel1[[#This Row],[Up - F4]]),"")</f>
        <v>2.875</v>
      </c>
      <c r="AZ284" s="14">
        <v>2</v>
      </c>
      <c r="BA284" s="14">
        <v>3</v>
      </c>
      <c r="BB284" s="14">
        <f>IFERROR(AVERAGE(Tabel1[[#This Row],[Up - V1a]:[Up - V1b]]),"")</f>
        <v>2.5</v>
      </c>
      <c r="BC284" s="14">
        <v>4</v>
      </c>
      <c r="BD284" s="14">
        <v>5</v>
      </c>
      <c r="BE284" s="14">
        <v>5</v>
      </c>
      <c r="BF284" s="14">
        <f>IFERROR(AVERAGE(Tabel1[[#This Row],[Up - V2a]:[Up - V2c]]),"")</f>
        <v>4.666666666666667</v>
      </c>
      <c r="BG284" s="14">
        <v>3</v>
      </c>
      <c r="BH284" s="14">
        <v>1</v>
      </c>
      <c r="BI284" s="14">
        <f>IFERROR(AVERAGE(Tabel1[[#This Row],[Up - V3a]:[Up - V3b]]),"")</f>
        <v>2</v>
      </c>
      <c r="BJ284" s="14">
        <v>2</v>
      </c>
      <c r="BK284" s="14">
        <f>IFERROR(AVERAGE(Tabel1[[#This Row],[Up - V1]],Tabel1[[#This Row],[Up - V2]],Tabel1[[#This Row],[Up - V3]],Tabel1[[#This Row],[Up - V4]]),"")</f>
        <v>2.791666666666667</v>
      </c>
      <c r="BL284" s="14">
        <v>3</v>
      </c>
      <c r="BM284" s="14">
        <v>4</v>
      </c>
      <c r="BN284" s="14">
        <v>5</v>
      </c>
      <c r="BO284" s="14">
        <v>4</v>
      </c>
      <c r="BP284" s="14">
        <f>IFERROR(AVERAGE(Tabel1[[#This Row],[Up - A1a]:[Up - A1d]]),"")</f>
        <v>4</v>
      </c>
      <c r="BQ284" s="14">
        <v>4</v>
      </c>
      <c r="BR284" s="14">
        <v>3</v>
      </c>
      <c r="BS284" s="14">
        <f>IFERROR(AVERAGE(Tabel1[[#This Row],[Up - A2a]:[Up - A2b]]),"")</f>
        <v>3.5</v>
      </c>
      <c r="BT284" s="14">
        <v>4</v>
      </c>
      <c r="BU284" s="14">
        <f>IFERROR(AVERAGE(Tabel1[[#This Row],[Up - A3a]:[Up - A3a]]),"")</f>
        <v>4</v>
      </c>
      <c r="BV284" s="14">
        <v>4</v>
      </c>
      <c r="BW284" s="14">
        <f>IFERROR(AVERAGE(Tabel1[[#This Row],[Up - A1]],Tabel1[[#This Row],[Up - A2]],Tabel1[[#This Row],[Up - A3]]),"")</f>
        <v>3.8333333333333335</v>
      </c>
      <c r="BX284" s="14">
        <v>5</v>
      </c>
      <c r="BY284" s="14">
        <v>3</v>
      </c>
      <c r="BZ284" s="14">
        <f>IFERROR(AVERAGE(Tabel1[[#This Row],[In - R1a]:[In - R1b]]),"")</f>
        <v>4</v>
      </c>
      <c r="CA284" s="14">
        <v>2</v>
      </c>
      <c r="CB284" s="14">
        <v>1</v>
      </c>
      <c r="CC284" s="14">
        <v>1</v>
      </c>
      <c r="CD284" s="14">
        <v>4</v>
      </c>
      <c r="CE284" s="14">
        <f>IFERROR(AVERAGE(Tabel1[[#This Row],[In - R1]:[In - R5]]),"")</f>
        <v>2.4</v>
      </c>
      <c r="CF284" s="14">
        <v>4</v>
      </c>
      <c r="CG284" s="14">
        <v>2</v>
      </c>
      <c r="CH284" s="14">
        <v>3</v>
      </c>
      <c r="CI284" s="14">
        <f>IFERROR(AVERAGE(Tabel1[[#This Row],[In - C1a]:[In - C1c]]),"")</f>
        <v>3</v>
      </c>
      <c r="CJ284" s="14">
        <v>4</v>
      </c>
      <c r="CK284" s="14">
        <v>3</v>
      </c>
      <c r="CL284" s="14">
        <v>4</v>
      </c>
      <c r="CM284" s="14">
        <f>IFERROR(AVERAGE(Tabel1[[#This Row],[In - C1]:[In - C4]]),"")</f>
        <v>3.5</v>
      </c>
      <c r="CN284" s="14">
        <v>4</v>
      </c>
      <c r="CO284" s="14">
        <v>2</v>
      </c>
      <c r="CP284" s="14">
        <v>3</v>
      </c>
      <c r="CQ284" s="14">
        <f>IFERROR(AVERAGE(Tabel1[[#This Row],[In - F1a]:[In - F1c]]),"")</f>
        <v>3</v>
      </c>
      <c r="CR284" s="14">
        <v>4</v>
      </c>
      <c r="CS284" s="14">
        <v>4</v>
      </c>
      <c r="CT284" s="14">
        <f>IFERROR(AVERAGE(Tabel1[[#This Row],[In - F2a]:[In - F2b]]),"")</f>
        <v>4</v>
      </c>
      <c r="CU284" s="14">
        <v>2</v>
      </c>
      <c r="CV284" s="14">
        <f>IFERROR(AVERAGE(Tabel1[[#This Row],[In - F3a]:[In - F3a]]),"")</f>
        <v>2</v>
      </c>
      <c r="CW284" s="14">
        <v>4</v>
      </c>
      <c r="CX284" s="14">
        <f>IFERROR(AVERAGE(Tabel1[[#This Row],[In - F1]],Tabel1[[#This Row],[In - F2]],Tabel1[[#This Row],[In - F3]],Tabel1[[#This Row],[In - F4]]),"")</f>
        <v>3.25</v>
      </c>
      <c r="CY284" s="14">
        <v>4</v>
      </c>
      <c r="CZ284" s="14">
        <v>3</v>
      </c>
      <c r="DA284" s="14">
        <v>4</v>
      </c>
      <c r="DB284" s="14">
        <f>IFERROR(AVERAGE(Tabel1[[#This Row],[In - V1a]:[In - V1c]]),"")</f>
        <v>3.6666666666666665</v>
      </c>
      <c r="DC284" s="14">
        <v>3</v>
      </c>
      <c r="DD284" s="14">
        <v>4</v>
      </c>
      <c r="DE284" s="14">
        <v>3</v>
      </c>
      <c r="DF284" s="14">
        <f>IFERROR(AVERAGE(Tabel1[[#This Row],[In - V2a]:[In - V2c]]),"")</f>
        <v>3.3333333333333335</v>
      </c>
      <c r="DG284" s="14">
        <v>4</v>
      </c>
      <c r="DH284" s="14">
        <v>4</v>
      </c>
      <c r="DI284" s="14">
        <f>IFERROR(AVERAGE(Tabel1[[#This Row],[In - V3a]:[In - V3b]]),"")</f>
        <v>4</v>
      </c>
      <c r="DJ284" s="14">
        <v>3</v>
      </c>
      <c r="DK284" s="14">
        <f>IFERROR(AVERAGE(Tabel1[[#This Row],[In - V1]],Tabel1[[#This Row],[In - V2]],Tabel1[[#This Row],[In - V3]],Tabel1[[#This Row],[In - V4]]),"")</f>
        <v>3.5</v>
      </c>
      <c r="DL284" s="14">
        <v>4</v>
      </c>
      <c r="DM284" s="14">
        <v>4</v>
      </c>
      <c r="DN284" s="14">
        <f>IFERROR(AVERAGE(Tabel1[[#This Row],[In - A1a]:[In - A1b]]),"")</f>
        <v>4</v>
      </c>
      <c r="DO284" s="14">
        <v>2</v>
      </c>
      <c r="DP284" s="14">
        <v>3</v>
      </c>
      <c r="DQ284" s="14">
        <f>IFERROR(AVERAGE(Tabel1[[#This Row],[In - A2a]:[In - A2b]]),"")</f>
        <v>2.5</v>
      </c>
      <c r="DR284" s="14">
        <v>5</v>
      </c>
      <c r="DS284" s="14">
        <v>3</v>
      </c>
      <c r="DT284" s="14">
        <f>IFERROR(AVERAGE(Tabel1[[#This Row],[In - A3a]:[In - A3a]]),"")</f>
        <v>5</v>
      </c>
      <c r="DU284" s="14">
        <v>4</v>
      </c>
      <c r="DV284" s="14">
        <f>IFERROR(AVERAGE(Tabel1[[#This Row],[In - A1]],Tabel1[[#This Row],[In - A2]],Tabel1[[#This Row],[In - A3]],Tabel1[[#This Row],[In - A4]]),"")</f>
        <v>3.875</v>
      </c>
      <c r="DW284" s="14">
        <v>3</v>
      </c>
      <c r="DX284" s="14">
        <v>4</v>
      </c>
      <c r="DY284" s="14">
        <v>4</v>
      </c>
      <c r="DZ284" s="14">
        <f>IFERROR(AVERAGE(Tabel1[[#This Row],[Do - R1a]:[Do - R1c]]),"")</f>
        <v>3.6666666666666665</v>
      </c>
      <c r="EA284" s="14">
        <v>5</v>
      </c>
      <c r="EB284" s="14">
        <v>2</v>
      </c>
      <c r="EC284" s="14">
        <v>2</v>
      </c>
      <c r="ED284" s="14">
        <v>3</v>
      </c>
      <c r="EE284" s="14">
        <f>IFERROR(AVERAGE(Tabel1[[#This Row],[Do - R1]:[Do - R5]]),"")</f>
        <v>3.1333333333333333</v>
      </c>
      <c r="EF284" s="14">
        <v>4</v>
      </c>
      <c r="EG284" s="14">
        <v>4</v>
      </c>
      <c r="EH284" s="14">
        <v>3</v>
      </c>
      <c r="EI284" s="14">
        <f>IFERROR(AVERAGE(Tabel1[[#This Row],[Do - C1a]:[Do - C1c]]),"")</f>
        <v>3.6666666666666665</v>
      </c>
      <c r="EJ284" s="14">
        <v>3</v>
      </c>
      <c r="EK284" s="14">
        <v>4</v>
      </c>
      <c r="EL284" s="14">
        <v>4</v>
      </c>
      <c r="EM284" s="14">
        <f>IFERROR(AVERAGE(Tabel1[[#This Row],[Do - C1]:[Do - C4]]),"")</f>
        <v>3.6666666666666665</v>
      </c>
      <c r="EN284" s="14">
        <v>4</v>
      </c>
      <c r="EO284" s="14">
        <v>2</v>
      </c>
      <c r="EP284" s="14">
        <v>4</v>
      </c>
      <c r="EQ284" s="14">
        <f>IFERROR(AVERAGE(Tabel1[[#This Row],[Do - F1a]:[Do - F1c]]),"")</f>
        <v>3.3333333333333335</v>
      </c>
      <c r="ER284" s="14">
        <v>4</v>
      </c>
      <c r="ES284" s="14">
        <f>IFERROR(AVERAGE(Tabel1[[#This Row],[Do - F2a]:[Do - F2a]]),"")</f>
        <v>4</v>
      </c>
      <c r="ET284" s="14">
        <v>3</v>
      </c>
      <c r="EU284" s="14">
        <v>5</v>
      </c>
      <c r="EV284" s="14">
        <f>IFERROR(AVERAGE(Tabel1[[#This Row],[Do - F3a]:[Do - F3b]]),"")</f>
        <v>4</v>
      </c>
      <c r="EW284" s="14">
        <v>4</v>
      </c>
      <c r="EX284" s="14">
        <f>IFERROR(AVERAGE(Tabel1[[#This Row],[Do - F1]],Tabel1[[#This Row],[Do - F2]],Tabel1[[#This Row],[Do - F3]],Tabel1[[#This Row],[Do - F4]]),"")</f>
        <v>3.8333333333333335</v>
      </c>
      <c r="EY284" s="14">
        <v>4</v>
      </c>
      <c r="EZ284" s="14">
        <v>4</v>
      </c>
      <c r="FA284" s="14">
        <v>5</v>
      </c>
      <c r="FB284" s="14">
        <f>IFERROR(AVERAGE(Tabel1[[#This Row],[Do - V1a]:[Do - V1c]]),"")</f>
        <v>4.333333333333333</v>
      </c>
      <c r="FC284" s="14">
        <v>5</v>
      </c>
      <c r="FD284" s="14">
        <v>3</v>
      </c>
      <c r="FE284" s="14">
        <f>IFERROR(AVERAGE(Tabel1[[#This Row],[Do - V2a]:[Do - V2b]]),"")</f>
        <v>4</v>
      </c>
      <c r="FF284" s="14">
        <v>3</v>
      </c>
      <c r="FG284" s="14">
        <f>IFERROR(AVERAGE(Tabel1[[#This Row],[Do - V3a]:[Do - V3a]]),"")</f>
        <v>3</v>
      </c>
      <c r="FH284" s="14">
        <v>4</v>
      </c>
      <c r="FI284" s="14">
        <f>IFERROR(AVERAGE(Tabel1[[#This Row],[Do - V1]],Tabel1[[#This Row],[Do - V2]],Tabel1[[#This Row],[Do - V3]],Tabel1[[#This Row],[Do - V4]]),"")</f>
        <v>3.833333333333333</v>
      </c>
      <c r="FJ284" s="14">
        <v>2</v>
      </c>
      <c r="FK284" s="14">
        <v>2</v>
      </c>
      <c r="FL284" s="14">
        <v>4</v>
      </c>
      <c r="FM284" s="14">
        <f>IFERROR(AVERAGE(Tabel1[[#This Row],[Do - A1a]:[Do - A1c]]),"")</f>
        <v>2.6666666666666665</v>
      </c>
      <c r="FN284" s="14">
        <v>2</v>
      </c>
      <c r="FO284" s="14">
        <v>2</v>
      </c>
      <c r="FP284" s="14">
        <f>IFERROR(AVERAGE(Tabel1[[#This Row],[Do - A2a]:[Do - A2b]]),"")</f>
        <v>2</v>
      </c>
      <c r="FQ284" s="14">
        <v>4</v>
      </c>
      <c r="FR284" s="14">
        <f>IFERROR(AVERAGE(Tabel1[[#This Row],[Do - A3a]:[Do - A3a]]),"")</f>
        <v>4</v>
      </c>
      <c r="FS284" s="14">
        <v>2</v>
      </c>
      <c r="FT284" s="14">
        <f>IFERROR(AVERAGE(Tabel1[[#This Row],[Do - A1]],Tabel1[[#This Row],[Do - A2]],Tabel1[[#This Row],[Do - A3]],Tabel1[[#This Row],[Do - A4]]),"")</f>
        <v>2.6666666666666665</v>
      </c>
      <c r="FU28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3.3283333333333331</v>
      </c>
      <c r="FV284" s="27" t="s">
        <v>1498</v>
      </c>
      <c r="FW284" t="b">
        <v>1</v>
      </c>
    </row>
    <row r="285" spans="1:179" x14ac:dyDescent="0.3">
      <c r="A285" s="13">
        <v>45418.260856481502</v>
      </c>
      <c r="B285" t="b">
        <v>0</v>
      </c>
      <c r="C285" s="14" t="s">
        <v>1499</v>
      </c>
      <c r="D285" s="14" t="s">
        <v>1235</v>
      </c>
      <c r="E285" s="14" t="s">
        <v>1500</v>
      </c>
      <c r="F285" s="14" t="s">
        <v>184</v>
      </c>
      <c r="G285" s="14" t="s">
        <v>1501</v>
      </c>
      <c r="H285" s="14" t="s">
        <v>222</v>
      </c>
      <c r="I285" s="14" t="s">
        <v>195</v>
      </c>
      <c r="J285" s="14" t="s">
        <v>212</v>
      </c>
      <c r="K285" s="26" t="s">
        <v>304</v>
      </c>
      <c r="L285" s="14" t="s">
        <v>197</v>
      </c>
      <c r="M285" s="14" t="s">
        <v>198</v>
      </c>
      <c r="N285" s="14" t="s">
        <v>316</v>
      </c>
      <c r="O285" s="14" t="s">
        <v>200</v>
      </c>
      <c r="P285" s="25" t="s">
        <v>203</v>
      </c>
      <c r="Q285" s="17" t="s">
        <v>203</v>
      </c>
      <c r="R285" s="25" t="s">
        <v>203</v>
      </c>
      <c r="S285" s="24" t="s">
        <v>304</v>
      </c>
      <c r="T285" s="14" t="s">
        <v>236</v>
      </c>
      <c r="U285" s="14" t="s">
        <v>237</v>
      </c>
      <c r="V285" s="14" t="s">
        <v>224</v>
      </c>
      <c r="W285" s="14" t="s">
        <v>207</v>
      </c>
      <c r="X285" s="14" t="s">
        <v>306</v>
      </c>
      <c r="Y285" s="14">
        <v>3</v>
      </c>
      <c r="Z285" s="14" t="s">
        <v>189</v>
      </c>
      <c r="AA285" s="14">
        <v>4</v>
      </c>
      <c r="AB285" s="15">
        <f>IFERROR(AVERAGE(Tabel1[[#This Row],[Up - R1a]:[Up - R1c]]),"")</f>
        <v>3.5</v>
      </c>
      <c r="AC285" s="14">
        <v>4</v>
      </c>
      <c r="AD285" s="14" t="s">
        <v>189</v>
      </c>
      <c r="AE285" s="14">
        <v>2</v>
      </c>
      <c r="AF285" s="14">
        <v>4</v>
      </c>
      <c r="AG285" s="14">
        <f>IFERROR(AVERAGE(Tabel1[[#This Row],[Up - R1]:[Up - R5]]),"")</f>
        <v>3.375</v>
      </c>
      <c r="AH285" s="14">
        <v>4</v>
      </c>
      <c r="AI285" s="14">
        <v>2</v>
      </c>
      <c r="AJ285" s="14">
        <v>2</v>
      </c>
      <c r="AK285" s="14">
        <f>IFERROR(AVERAGE(Tabel1[[#This Row],[Up - C1a]:[Up - C1c]]),"")</f>
        <v>2.6666666666666665</v>
      </c>
      <c r="AL285" s="14">
        <v>1</v>
      </c>
      <c r="AM285" s="14">
        <v>1</v>
      </c>
      <c r="AN285" s="14">
        <v>1</v>
      </c>
      <c r="AO285" s="14">
        <f>IFERROR(AVERAGE(Tabel1[[#This Row],[Up - C1]:[Up - C4]]),"")</f>
        <v>1.4166666666666665</v>
      </c>
      <c r="AP285" s="14">
        <v>3</v>
      </c>
      <c r="AQ285" s="14">
        <f>IFERROR(AVERAGE(Tabel1[[#This Row],[Up - F1a]:[Up - F1a]]),"")</f>
        <v>3</v>
      </c>
      <c r="AR285" s="14">
        <v>1</v>
      </c>
      <c r="AS285" s="14">
        <v>1</v>
      </c>
      <c r="AT285" s="14">
        <f>IFERROR(AVERAGE(Tabel1[[#This Row],[Up - F2a]:[Up - F2b]]),"")</f>
        <v>1</v>
      </c>
      <c r="AU285" s="14">
        <v>1</v>
      </c>
      <c r="AV285" s="14">
        <v>1</v>
      </c>
      <c r="AW285" s="14">
        <f>IFERROR(AVERAGE(Tabel1[[#This Row],[Up - F3a]:[Up - F3b]]),"")</f>
        <v>1</v>
      </c>
      <c r="AX285" s="14">
        <v>1</v>
      </c>
      <c r="AY285" s="14">
        <f>IFERROR(AVERAGE(Tabel1[[#This Row],[Up - F1]],Tabel1[[#This Row],[Up - F2]],Tabel1[[#This Row],[Up - F3]],Tabel1[[#This Row],[Up - F4]]),"")</f>
        <v>1.5</v>
      </c>
      <c r="AZ285" s="14">
        <v>1</v>
      </c>
      <c r="BA285" s="14">
        <v>1</v>
      </c>
      <c r="BB285" s="14">
        <f>IFERROR(AVERAGE(Tabel1[[#This Row],[Up - V1a]:[Up - V1b]]),"")</f>
        <v>1</v>
      </c>
      <c r="BC285" s="14">
        <v>2</v>
      </c>
      <c r="BD285" s="14">
        <v>1</v>
      </c>
      <c r="BE285" s="14">
        <v>2</v>
      </c>
      <c r="BF285" s="14">
        <f>IFERROR(AVERAGE(Tabel1[[#This Row],[Up - V2a]:[Up - V2c]]),"")</f>
        <v>1.6666666666666667</v>
      </c>
      <c r="BG285" s="14">
        <v>1</v>
      </c>
      <c r="BH285" s="14">
        <v>2</v>
      </c>
      <c r="BI285" s="14">
        <f>IFERROR(AVERAGE(Tabel1[[#This Row],[Up - V3a]:[Up - V3b]]),"")</f>
        <v>1.5</v>
      </c>
      <c r="BJ285" s="14">
        <v>1</v>
      </c>
      <c r="BK285" s="14">
        <f>IFERROR(AVERAGE(Tabel1[[#This Row],[Up - V1]],Tabel1[[#This Row],[Up - V2]],Tabel1[[#This Row],[Up - V3]],Tabel1[[#This Row],[Up - V4]]),"")</f>
        <v>1.2916666666666667</v>
      </c>
      <c r="BL285" s="14" t="s">
        <v>189</v>
      </c>
      <c r="BM285" s="14">
        <v>2</v>
      </c>
      <c r="BN285" s="14">
        <v>2</v>
      </c>
      <c r="BO285" s="14">
        <v>1</v>
      </c>
      <c r="BP285" s="14">
        <f>IFERROR(AVERAGE(Tabel1[[#This Row],[Up - A1a]:[Up - A1d]]),"")</f>
        <v>1.6666666666666667</v>
      </c>
      <c r="BQ285" s="14">
        <v>1</v>
      </c>
      <c r="BR285" s="14" t="s">
        <v>189</v>
      </c>
      <c r="BS285" s="14">
        <f>IFERROR(AVERAGE(Tabel1[[#This Row],[Up - A2a]:[Up - A2b]]),"")</f>
        <v>1</v>
      </c>
      <c r="BT285" s="14">
        <v>4</v>
      </c>
      <c r="BU285" s="14">
        <f>IFERROR(AVERAGE(Tabel1[[#This Row],[Up - A3a]:[Up - A3a]]),"")</f>
        <v>4</v>
      </c>
      <c r="BV285" s="14">
        <v>2</v>
      </c>
      <c r="BW285" s="14">
        <f>IFERROR(AVERAGE(Tabel1[[#This Row],[Up - A1]],Tabel1[[#This Row],[Up - A2]],Tabel1[[#This Row],[Up - A3]]),"")</f>
        <v>2.2222222222222223</v>
      </c>
      <c r="BX285" s="14" t="s">
        <v>189</v>
      </c>
      <c r="BY285" s="14" t="s">
        <v>189</v>
      </c>
      <c r="BZ285" s="14" t="str">
        <f>IFERROR(AVERAGE(Tabel1[[#This Row],[In - R1a]:[In - R1b]]),"")</f>
        <v/>
      </c>
      <c r="CA285" s="14">
        <v>2</v>
      </c>
      <c r="CB285" s="14" t="s">
        <v>189</v>
      </c>
      <c r="CC285" s="14">
        <v>1</v>
      </c>
      <c r="CD285" s="14">
        <v>2</v>
      </c>
      <c r="CE285" s="14">
        <f>IFERROR(AVERAGE(Tabel1[[#This Row],[In - R1]:[In - R5]]),"")</f>
        <v>1.6666666666666667</v>
      </c>
      <c r="CF285" s="14">
        <v>2</v>
      </c>
      <c r="CG285" s="14">
        <v>1</v>
      </c>
      <c r="CH285" s="14">
        <v>3</v>
      </c>
      <c r="CI285" s="14">
        <f>IFERROR(AVERAGE(Tabel1[[#This Row],[In - C1a]:[In - C1c]]),"")</f>
        <v>2</v>
      </c>
      <c r="CJ285" s="14">
        <v>1</v>
      </c>
      <c r="CK285" s="14">
        <v>1</v>
      </c>
      <c r="CL285" s="14">
        <v>1</v>
      </c>
      <c r="CM285" s="14">
        <f>IFERROR(AVERAGE(Tabel1[[#This Row],[In - C1]:[In - C4]]),"")</f>
        <v>1.25</v>
      </c>
      <c r="CN285" s="14">
        <v>4</v>
      </c>
      <c r="CO285" s="14">
        <v>2</v>
      </c>
      <c r="CP285" s="14">
        <v>2</v>
      </c>
      <c r="CQ285" s="14">
        <f>IFERROR(AVERAGE(Tabel1[[#This Row],[In - F1a]:[In - F1c]]),"")</f>
        <v>2.6666666666666665</v>
      </c>
      <c r="CR285" s="14">
        <v>4</v>
      </c>
      <c r="CS285" s="14">
        <v>2</v>
      </c>
      <c r="CT285" s="14">
        <f>IFERROR(AVERAGE(Tabel1[[#This Row],[In - F2a]:[In - F2b]]),"")</f>
        <v>3</v>
      </c>
      <c r="CU285" s="14">
        <v>1</v>
      </c>
      <c r="CV285" s="14">
        <f>IFERROR(AVERAGE(Tabel1[[#This Row],[In - F3a]:[In - F3a]]),"")</f>
        <v>1</v>
      </c>
      <c r="CW285" s="14">
        <v>1</v>
      </c>
      <c r="CX285" s="14">
        <f>IFERROR(AVERAGE(Tabel1[[#This Row],[In - F1]],Tabel1[[#This Row],[In - F2]],Tabel1[[#This Row],[In - F3]],Tabel1[[#This Row],[In - F4]]),"")</f>
        <v>1.9166666666666665</v>
      </c>
      <c r="CY285" s="14">
        <v>1</v>
      </c>
      <c r="CZ285" s="14">
        <v>2</v>
      </c>
      <c r="DA285" s="14">
        <v>1</v>
      </c>
      <c r="DB285" s="14">
        <f>IFERROR(AVERAGE(Tabel1[[#This Row],[In - V1a]:[In - V1c]]),"")</f>
        <v>1.3333333333333333</v>
      </c>
      <c r="DC285" s="14">
        <v>1</v>
      </c>
      <c r="DD285" s="14">
        <v>1</v>
      </c>
      <c r="DE285" s="14">
        <v>1</v>
      </c>
      <c r="DF285" s="14">
        <f>IFERROR(AVERAGE(Tabel1[[#This Row],[In - V2a]:[In - V2c]]),"")</f>
        <v>1</v>
      </c>
      <c r="DG285" s="14">
        <v>3</v>
      </c>
      <c r="DH285" s="14">
        <v>2</v>
      </c>
      <c r="DI285" s="14">
        <f>IFERROR(AVERAGE(Tabel1[[#This Row],[In - V3a]:[In - V3b]]),"")</f>
        <v>2.5</v>
      </c>
      <c r="DJ285" s="14">
        <v>1</v>
      </c>
      <c r="DK285" s="14">
        <f>IFERROR(AVERAGE(Tabel1[[#This Row],[In - V1]],Tabel1[[#This Row],[In - V2]],Tabel1[[#This Row],[In - V3]],Tabel1[[#This Row],[In - V4]]),"")</f>
        <v>1.4583333333333333</v>
      </c>
      <c r="DL285" s="14">
        <v>2</v>
      </c>
      <c r="DM285" s="14">
        <v>2</v>
      </c>
      <c r="DN285" s="14">
        <f>IFERROR(AVERAGE(Tabel1[[#This Row],[In - A1a]:[In - A1b]]),"")</f>
        <v>2</v>
      </c>
      <c r="DO285" s="14">
        <v>1</v>
      </c>
      <c r="DP285" s="14">
        <v>2</v>
      </c>
      <c r="DQ285" s="14">
        <f>IFERROR(AVERAGE(Tabel1[[#This Row],[In - A2a]:[In - A2b]]),"")</f>
        <v>1.5</v>
      </c>
      <c r="DR285" s="14">
        <v>4</v>
      </c>
      <c r="DS285" s="14">
        <v>1</v>
      </c>
      <c r="DT285" s="14">
        <f>IFERROR(AVERAGE(Tabel1[[#This Row],[In - A3a]:[In - A3a]]),"")</f>
        <v>4</v>
      </c>
      <c r="DU285" s="14">
        <v>2</v>
      </c>
      <c r="DV285" s="14">
        <f>IFERROR(AVERAGE(Tabel1[[#This Row],[In - A1]],Tabel1[[#This Row],[In - A2]],Tabel1[[#This Row],[In - A3]],Tabel1[[#This Row],[In - A4]]),"")</f>
        <v>2.375</v>
      </c>
      <c r="DW285" s="14">
        <v>2</v>
      </c>
      <c r="DX285" s="14">
        <v>3</v>
      </c>
      <c r="DY285" s="14">
        <v>2</v>
      </c>
      <c r="DZ285" s="14">
        <f>IFERROR(AVERAGE(Tabel1[[#This Row],[Do - R1a]:[Do - R1c]]),"")</f>
        <v>2.3333333333333335</v>
      </c>
      <c r="EA285" s="14">
        <v>1</v>
      </c>
      <c r="EB285" s="14" t="s">
        <v>189</v>
      </c>
      <c r="EC285" s="14">
        <v>1</v>
      </c>
      <c r="ED285" s="14">
        <v>2</v>
      </c>
      <c r="EE285" s="14">
        <f>IFERROR(AVERAGE(Tabel1[[#This Row],[Do - R1]:[Do - R5]]),"")</f>
        <v>1.5833333333333335</v>
      </c>
      <c r="EF285" s="14">
        <v>4</v>
      </c>
      <c r="EG285" s="14">
        <v>2</v>
      </c>
      <c r="EH285" s="14">
        <v>4</v>
      </c>
      <c r="EI285" s="14">
        <f>IFERROR(AVERAGE(Tabel1[[#This Row],[Do - C1a]:[Do - C1c]]),"")</f>
        <v>3.3333333333333335</v>
      </c>
      <c r="EJ285" s="14">
        <v>1</v>
      </c>
      <c r="EK285" s="14">
        <v>1</v>
      </c>
      <c r="EL285" s="14">
        <v>1</v>
      </c>
      <c r="EM285" s="14">
        <f>IFERROR(AVERAGE(Tabel1[[#This Row],[Do - C1]:[Do - C4]]),"")</f>
        <v>1.5833333333333335</v>
      </c>
      <c r="EN285" s="14">
        <v>1</v>
      </c>
      <c r="EO285" s="14">
        <v>1</v>
      </c>
      <c r="EP285" s="14">
        <v>2</v>
      </c>
      <c r="EQ285" s="14">
        <f>IFERROR(AVERAGE(Tabel1[[#This Row],[Do - F1a]:[Do - F1c]]),"")</f>
        <v>1.3333333333333333</v>
      </c>
      <c r="ER285" s="14">
        <v>2</v>
      </c>
      <c r="ES285" s="14">
        <f>IFERROR(AVERAGE(Tabel1[[#This Row],[Do - F2a]:[Do - F2a]]),"")</f>
        <v>2</v>
      </c>
      <c r="ET285" s="14">
        <v>1</v>
      </c>
      <c r="EU285" s="14">
        <v>1</v>
      </c>
      <c r="EV285" s="14">
        <f>IFERROR(AVERAGE(Tabel1[[#This Row],[Do - F3a]:[Do - F3b]]),"")</f>
        <v>1</v>
      </c>
      <c r="EW285" s="14">
        <v>1</v>
      </c>
      <c r="EX285" s="14">
        <f>IFERROR(AVERAGE(Tabel1[[#This Row],[Do - F1]],Tabel1[[#This Row],[Do - F2]],Tabel1[[#This Row],[Do - F3]],Tabel1[[#This Row],[Do - F4]]),"")</f>
        <v>1.3333333333333333</v>
      </c>
      <c r="EY285" s="14">
        <v>1</v>
      </c>
      <c r="EZ285" s="14">
        <v>1</v>
      </c>
      <c r="FA285" s="14">
        <v>1</v>
      </c>
      <c r="FB285" s="14">
        <f>IFERROR(AVERAGE(Tabel1[[#This Row],[Do - V1a]:[Do - V1c]]),"")</f>
        <v>1</v>
      </c>
      <c r="FC285" s="14">
        <v>1</v>
      </c>
      <c r="FD285" s="14">
        <v>1</v>
      </c>
      <c r="FE285" s="14">
        <f>IFERROR(AVERAGE(Tabel1[[#This Row],[Do - V2a]:[Do - V2b]]),"")</f>
        <v>1</v>
      </c>
      <c r="FF285" s="14">
        <v>1</v>
      </c>
      <c r="FG285" s="14">
        <f>IFERROR(AVERAGE(Tabel1[[#This Row],[Do - V3a]:[Do - V3a]]),"")</f>
        <v>1</v>
      </c>
      <c r="FH285" s="14">
        <v>1</v>
      </c>
      <c r="FI285" s="14">
        <f>IFERROR(AVERAGE(Tabel1[[#This Row],[Do - V1]],Tabel1[[#This Row],[Do - V2]],Tabel1[[#This Row],[Do - V3]],Tabel1[[#This Row],[Do - V4]]),"")</f>
        <v>1</v>
      </c>
      <c r="FJ285" s="14" t="s">
        <v>189</v>
      </c>
      <c r="FK285" s="14">
        <v>1</v>
      </c>
      <c r="FL285" s="14">
        <v>2</v>
      </c>
      <c r="FM285" s="14">
        <f>IFERROR(AVERAGE(Tabel1[[#This Row],[Do - A1a]:[Do - A1c]]),"")</f>
        <v>1.5</v>
      </c>
      <c r="FN285" s="14" t="s">
        <v>189</v>
      </c>
      <c r="FO285" s="14" t="s">
        <v>189</v>
      </c>
      <c r="FP285" s="14" t="str">
        <f>IFERROR(AVERAGE(Tabel1[[#This Row],[Do - A2a]:[Do - A2b]]),"")</f>
        <v/>
      </c>
      <c r="FQ285" s="14">
        <v>2</v>
      </c>
      <c r="FR285" s="14">
        <f>IFERROR(AVERAGE(Tabel1[[#This Row],[Do - A3a]:[Do - A3a]]),"")</f>
        <v>2</v>
      </c>
      <c r="FS285" s="14">
        <v>3</v>
      </c>
      <c r="FT285" s="14">
        <f>IFERROR(AVERAGE(Tabel1[[#This Row],[Do - A1]],Tabel1[[#This Row],[Do - A2]],Tabel1[[#This Row],[Do - A3]],Tabel1[[#This Row],[Do - A4]]),"")</f>
        <v>2.1666666666666665</v>
      </c>
      <c r="FU28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1.7425925925925925</v>
      </c>
      <c r="FV285" s="27" t="s">
        <v>1502</v>
      </c>
      <c r="FW285" t="b">
        <v>1</v>
      </c>
    </row>
    <row r="286" spans="1:179" x14ac:dyDescent="0.3">
      <c r="A286" s="13">
        <v>45418.405162037001</v>
      </c>
      <c r="B286" t="b">
        <v>0</v>
      </c>
      <c r="C286" s="14" t="s">
        <v>1503</v>
      </c>
      <c r="D286" s="14" t="s">
        <v>1504</v>
      </c>
      <c r="E286" s="14" t="s">
        <v>1505</v>
      </c>
      <c r="F286" s="14" t="s">
        <v>184</v>
      </c>
      <c r="G286" s="14" t="s">
        <v>1506</v>
      </c>
      <c r="H286" s="14" t="s">
        <v>222</v>
      </c>
      <c r="I286" s="14" t="s">
        <v>195</v>
      </c>
      <c r="J286" s="14" t="s">
        <v>212</v>
      </c>
      <c r="K286" s="28" t="s">
        <v>201</v>
      </c>
      <c r="L286" s="14" t="s">
        <v>249</v>
      </c>
      <c r="M286" s="14" t="s">
        <v>233</v>
      </c>
      <c r="N286" s="14" t="s">
        <v>262</v>
      </c>
      <c r="O286" s="14" t="s">
        <v>200</v>
      </c>
      <c r="P286" s="24" t="s">
        <v>255</v>
      </c>
      <c r="Q286" s="17" t="s">
        <v>203</v>
      </c>
      <c r="R286" s="25" t="s">
        <v>201</v>
      </c>
      <c r="S286" s="25" t="s">
        <v>235</v>
      </c>
      <c r="T286" s="14" t="s">
        <v>380</v>
      </c>
      <c r="U286" s="14" t="s">
        <v>285</v>
      </c>
      <c r="V286" s="14" t="s">
        <v>610</v>
      </c>
      <c r="W286" s="14" t="s">
        <v>395</v>
      </c>
      <c r="X286" s="14" t="s">
        <v>207</v>
      </c>
      <c r="Y286" s="14">
        <v>2</v>
      </c>
      <c r="Z286" s="14">
        <v>2</v>
      </c>
      <c r="AA286" s="14" t="s">
        <v>189</v>
      </c>
      <c r="AB286" s="15">
        <f>IFERROR(AVERAGE(Tabel1[[#This Row],[Up - R1a]:[Up - R1c]]),"")</f>
        <v>2</v>
      </c>
      <c r="AC286" s="14">
        <v>2</v>
      </c>
      <c r="AD286" s="14">
        <v>3</v>
      </c>
      <c r="AE286" s="14" t="s">
        <v>189</v>
      </c>
      <c r="AF286" s="14" t="s">
        <v>189</v>
      </c>
      <c r="AG286" s="14">
        <f>IFERROR(AVERAGE(Tabel1[[#This Row],[Up - R1]:[Up - R5]]),"")</f>
        <v>2.3333333333333335</v>
      </c>
      <c r="AH286" s="14">
        <v>4</v>
      </c>
      <c r="AI286" s="14">
        <v>3</v>
      </c>
      <c r="AJ286" s="14">
        <v>2</v>
      </c>
      <c r="AK286" s="14">
        <f>IFERROR(AVERAGE(Tabel1[[#This Row],[Up - C1a]:[Up - C1c]]),"")</f>
        <v>3</v>
      </c>
      <c r="AL286" s="14">
        <v>2</v>
      </c>
      <c r="AM286" s="14" t="s">
        <v>189</v>
      </c>
      <c r="AN286" s="14" t="s">
        <v>189</v>
      </c>
      <c r="AO286" s="14">
        <f>IFERROR(AVERAGE(Tabel1[[#This Row],[Up - C1]:[Up - C4]]),"")</f>
        <v>2.5</v>
      </c>
      <c r="AP286" s="14" t="s">
        <v>189</v>
      </c>
      <c r="AQ286" s="14" t="str">
        <f>IFERROR(AVERAGE(Tabel1[[#This Row],[Up - F1a]:[Up - F1a]]),"")</f>
        <v/>
      </c>
      <c r="AR286" s="14">
        <v>1</v>
      </c>
      <c r="AS286" s="14">
        <v>3</v>
      </c>
      <c r="AT286" s="14">
        <f>IFERROR(AVERAGE(Tabel1[[#This Row],[Up - F2a]:[Up - F2b]]),"")</f>
        <v>2</v>
      </c>
      <c r="AU286" s="14">
        <v>3</v>
      </c>
      <c r="AV286" s="14" t="s">
        <v>189</v>
      </c>
      <c r="AW286" s="14">
        <f>IFERROR(AVERAGE(Tabel1[[#This Row],[Up - F3a]:[Up - F3b]]),"")</f>
        <v>3</v>
      </c>
      <c r="AX286" s="14" t="s">
        <v>189</v>
      </c>
      <c r="AY286" s="14">
        <f>IFERROR(AVERAGE(Tabel1[[#This Row],[Up - F1]],Tabel1[[#This Row],[Up - F2]],Tabel1[[#This Row],[Up - F3]],Tabel1[[#This Row],[Up - F4]]),"")</f>
        <v>2.5</v>
      </c>
      <c r="AZ286" s="14" t="s">
        <v>189</v>
      </c>
      <c r="BA286" s="14" t="s">
        <v>189</v>
      </c>
      <c r="BB286" s="14" t="str">
        <f>IFERROR(AVERAGE(Tabel1[[#This Row],[Up - V1a]:[Up - V1b]]),"")</f>
        <v/>
      </c>
      <c r="BC286" s="14">
        <v>4</v>
      </c>
      <c r="BD286" s="14">
        <v>1</v>
      </c>
      <c r="BE286" s="14" t="s">
        <v>189</v>
      </c>
      <c r="BF286" s="14">
        <f>IFERROR(AVERAGE(Tabel1[[#This Row],[Up - V2a]:[Up - V2c]]),"")</f>
        <v>2.5</v>
      </c>
      <c r="BG286" s="14" t="s">
        <v>189</v>
      </c>
      <c r="BH286" s="14" t="s">
        <v>189</v>
      </c>
      <c r="BI286" s="14" t="str">
        <f>IFERROR(AVERAGE(Tabel1[[#This Row],[Up - V3a]:[Up - V3b]]),"")</f>
        <v/>
      </c>
      <c r="BJ286" s="14" t="s">
        <v>189</v>
      </c>
      <c r="BK286" s="14">
        <f>IFERROR(AVERAGE(Tabel1[[#This Row],[Up - V1]],Tabel1[[#This Row],[Up - V2]],Tabel1[[#This Row],[Up - V3]],Tabel1[[#This Row],[Up - V4]]),"")</f>
        <v>2.5</v>
      </c>
      <c r="BL286" s="14">
        <v>3</v>
      </c>
      <c r="BM286" s="14">
        <v>3</v>
      </c>
      <c r="BN286" s="14">
        <v>4</v>
      </c>
      <c r="BO286" s="14">
        <v>4</v>
      </c>
      <c r="BP286" s="14">
        <f>IFERROR(AVERAGE(Tabel1[[#This Row],[Up - A1a]:[Up - A1d]]),"")</f>
        <v>3.5</v>
      </c>
      <c r="BQ286" s="14">
        <v>4</v>
      </c>
      <c r="BR286" s="14">
        <v>4</v>
      </c>
      <c r="BS286" s="14">
        <f>IFERROR(AVERAGE(Tabel1[[#This Row],[Up - A2a]:[Up - A2b]]),"")</f>
        <v>4</v>
      </c>
      <c r="BT286" s="14">
        <v>4</v>
      </c>
      <c r="BU286" s="14">
        <f>IFERROR(AVERAGE(Tabel1[[#This Row],[Up - A3a]:[Up - A3a]]),"")</f>
        <v>4</v>
      </c>
      <c r="BV286" s="14" t="s">
        <v>189</v>
      </c>
      <c r="BW286" s="14">
        <f>IFERROR(AVERAGE(Tabel1[[#This Row],[Up - A1]],Tabel1[[#This Row],[Up - A2]],Tabel1[[#This Row],[Up - A3]]),"")</f>
        <v>3.8333333333333335</v>
      </c>
      <c r="BX286" s="14">
        <v>3</v>
      </c>
      <c r="BY286" s="14">
        <v>1</v>
      </c>
      <c r="BZ286" s="14">
        <f>IFERROR(AVERAGE(Tabel1[[#This Row],[In - R1a]:[In - R1b]]),"")</f>
        <v>2</v>
      </c>
      <c r="CA286" s="14">
        <v>3</v>
      </c>
      <c r="CB286" s="14" t="s">
        <v>189</v>
      </c>
      <c r="CC286" s="14" t="s">
        <v>189</v>
      </c>
      <c r="CD286" s="14" t="s">
        <v>189</v>
      </c>
      <c r="CE286" s="14">
        <f>IFERROR(AVERAGE(Tabel1[[#This Row],[In - R1]:[In - R5]]),"")</f>
        <v>2.5</v>
      </c>
      <c r="CF286" s="14">
        <v>4</v>
      </c>
      <c r="CG286" s="14">
        <v>4</v>
      </c>
      <c r="CH286" s="14">
        <v>3</v>
      </c>
      <c r="CI286" s="14">
        <f>IFERROR(AVERAGE(Tabel1[[#This Row],[In - C1a]:[In - C1c]]),"")</f>
        <v>3.6666666666666665</v>
      </c>
      <c r="CJ286" s="14">
        <v>3</v>
      </c>
      <c r="CK286" s="14">
        <v>3</v>
      </c>
      <c r="CL286" s="14">
        <v>1</v>
      </c>
      <c r="CM286" s="14">
        <f>IFERROR(AVERAGE(Tabel1[[#This Row],[In - C1]:[In - C4]]),"")</f>
        <v>2.6666666666666665</v>
      </c>
      <c r="CN286" s="14">
        <v>4</v>
      </c>
      <c r="CO286" s="14">
        <v>4</v>
      </c>
      <c r="CP286" s="14">
        <v>4</v>
      </c>
      <c r="CQ286" s="14">
        <f>IFERROR(AVERAGE(Tabel1[[#This Row],[In - F1a]:[In - F1c]]),"")</f>
        <v>4</v>
      </c>
      <c r="CR286" s="14">
        <v>3</v>
      </c>
      <c r="CS286" s="14">
        <v>2</v>
      </c>
      <c r="CT286" s="14">
        <f>IFERROR(AVERAGE(Tabel1[[#This Row],[In - F2a]:[In - F2b]]),"")</f>
        <v>2.5</v>
      </c>
      <c r="CU286" s="14">
        <v>4</v>
      </c>
      <c r="CV286" s="14">
        <f>IFERROR(AVERAGE(Tabel1[[#This Row],[In - F3a]:[In - F3a]]),"")</f>
        <v>4</v>
      </c>
      <c r="CW286" s="14" t="s">
        <v>189</v>
      </c>
      <c r="CX286" s="14">
        <f>IFERROR(AVERAGE(Tabel1[[#This Row],[In - F1]],Tabel1[[#This Row],[In - F2]],Tabel1[[#This Row],[In - F3]],Tabel1[[#This Row],[In - F4]]),"")</f>
        <v>3.5</v>
      </c>
      <c r="CY286" s="14">
        <v>4</v>
      </c>
      <c r="CZ286" s="14">
        <v>3</v>
      </c>
      <c r="DA286" s="14" t="s">
        <v>189</v>
      </c>
      <c r="DB286" s="14">
        <f>IFERROR(AVERAGE(Tabel1[[#This Row],[In - V1a]:[In - V1c]]),"")</f>
        <v>3.5</v>
      </c>
      <c r="DC286" s="14">
        <v>4</v>
      </c>
      <c r="DD286" s="14">
        <v>4</v>
      </c>
      <c r="DE286" s="14">
        <v>1</v>
      </c>
      <c r="DF286" s="14">
        <f>IFERROR(AVERAGE(Tabel1[[#This Row],[In - V2a]:[In - V2c]]),"")</f>
        <v>3</v>
      </c>
      <c r="DG286" s="14">
        <v>3</v>
      </c>
      <c r="DH286" s="14" t="s">
        <v>189</v>
      </c>
      <c r="DI286" s="14">
        <f>IFERROR(AVERAGE(Tabel1[[#This Row],[In - V3a]:[In - V3b]]),"")</f>
        <v>3</v>
      </c>
      <c r="DJ286" s="14">
        <v>2</v>
      </c>
      <c r="DK286" s="14">
        <f>IFERROR(AVERAGE(Tabel1[[#This Row],[In - V1]],Tabel1[[#This Row],[In - V2]],Tabel1[[#This Row],[In - V3]],Tabel1[[#This Row],[In - V4]]),"")</f>
        <v>2.875</v>
      </c>
      <c r="DL286" s="14">
        <v>3</v>
      </c>
      <c r="DM286" s="14">
        <v>2</v>
      </c>
      <c r="DN286" s="14">
        <f>IFERROR(AVERAGE(Tabel1[[#This Row],[In - A1a]:[In - A1b]]),"")</f>
        <v>2.5</v>
      </c>
      <c r="DO286" s="14">
        <v>4</v>
      </c>
      <c r="DP286" s="14">
        <v>4</v>
      </c>
      <c r="DQ286" s="14">
        <f>IFERROR(AVERAGE(Tabel1[[#This Row],[In - A2a]:[In - A2b]]),"")</f>
        <v>4</v>
      </c>
      <c r="DR286" s="14">
        <v>4</v>
      </c>
      <c r="DS286" s="14">
        <v>4</v>
      </c>
      <c r="DT286" s="14">
        <f>IFERROR(AVERAGE(Tabel1[[#This Row],[In - A3a]:[In - A3a]]),"")</f>
        <v>4</v>
      </c>
      <c r="DU286" s="14" t="s">
        <v>189</v>
      </c>
      <c r="DV286" s="14">
        <f>IFERROR(AVERAGE(Tabel1[[#This Row],[In - A1]],Tabel1[[#This Row],[In - A2]],Tabel1[[#This Row],[In - A3]],Tabel1[[#This Row],[In - A4]]),"")</f>
        <v>3.5</v>
      </c>
      <c r="DW286" s="14">
        <v>2</v>
      </c>
      <c r="DX286" s="14">
        <v>4</v>
      </c>
      <c r="DY286" s="14" t="s">
        <v>189</v>
      </c>
      <c r="DZ286" s="14">
        <f>IFERROR(AVERAGE(Tabel1[[#This Row],[Do - R1a]:[Do - R1c]]),"")</f>
        <v>3</v>
      </c>
      <c r="EA286" s="14" t="s">
        <v>189</v>
      </c>
      <c r="EB286" s="14">
        <v>3</v>
      </c>
      <c r="EC286" s="14" t="s">
        <v>189</v>
      </c>
      <c r="ED286" s="14" t="s">
        <v>189</v>
      </c>
      <c r="EE286" s="14">
        <f>IFERROR(AVERAGE(Tabel1[[#This Row],[Do - R1]:[Do - R5]]),"")</f>
        <v>3</v>
      </c>
      <c r="EF286" s="14">
        <v>4</v>
      </c>
      <c r="EG286" s="14">
        <v>2</v>
      </c>
      <c r="EH286" s="14">
        <v>2</v>
      </c>
      <c r="EI286" s="14">
        <f>IFERROR(AVERAGE(Tabel1[[#This Row],[Do - C1a]:[Do - C1c]]),"")</f>
        <v>2.6666666666666665</v>
      </c>
      <c r="EJ286" s="14">
        <v>2</v>
      </c>
      <c r="EK286" s="14" t="s">
        <v>189</v>
      </c>
      <c r="EL286" s="14" t="s">
        <v>189</v>
      </c>
      <c r="EM286" s="14">
        <f>IFERROR(AVERAGE(Tabel1[[#This Row],[Do - C1]:[Do - C4]]),"")</f>
        <v>2.333333333333333</v>
      </c>
      <c r="EN286" s="14" t="s">
        <v>189</v>
      </c>
      <c r="EO286" s="14" t="s">
        <v>189</v>
      </c>
      <c r="EP286" s="14">
        <v>2</v>
      </c>
      <c r="EQ286" s="14">
        <f>IFERROR(AVERAGE(Tabel1[[#This Row],[Do - F1a]:[Do - F1c]]),"")</f>
        <v>2</v>
      </c>
      <c r="ER286" s="14" t="s">
        <v>189</v>
      </c>
      <c r="ES286" s="14" t="str">
        <f>IFERROR(AVERAGE(Tabel1[[#This Row],[Do - F2a]:[Do - F2a]]),"")</f>
        <v/>
      </c>
      <c r="ET286" s="14">
        <v>3</v>
      </c>
      <c r="EU286" s="14">
        <v>3</v>
      </c>
      <c r="EV286" s="14">
        <f>IFERROR(AVERAGE(Tabel1[[#This Row],[Do - F3a]:[Do - F3b]]),"")</f>
        <v>3</v>
      </c>
      <c r="EW286" s="14" t="s">
        <v>189</v>
      </c>
      <c r="EX286" s="14">
        <f>IFERROR(AVERAGE(Tabel1[[#This Row],[Do - F1]],Tabel1[[#This Row],[Do - F2]],Tabel1[[#This Row],[Do - F3]],Tabel1[[#This Row],[Do - F4]]),"")</f>
        <v>2.5</v>
      </c>
      <c r="EY286" s="14">
        <v>3</v>
      </c>
      <c r="EZ286" s="14">
        <v>3</v>
      </c>
      <c r="FA286" s="14">
        <v>4</v>
      </c>
      <c r="FB286" s="14">
        <f>IFERROR(AVERAGE(Tabel1[[#This Row],[Do - V1a]:[Do - V1c]]),"")</f>
        <v>3.3333333333333335</v>
      </c>
      <c r="FC286" s="14">
        <v>5</v>
      </c>
      <c r="FD286" s="14">
        <v>3</v>
      </c>
      <c r="FE286" s="14">
        <f>IFERROR(AVERAGE(Tabel1[[#This Row],[Do - V2a]:[Do - V2b]]),"")</f>
        <v>4</v>
      </c>
      <c r="FF286" s="14" t="s">
        <v>189</v>
      </c>
      <c r="FG286" s="14" t="str">
        <f>IFERROR(AVERAGE(Tabel1[[#This Row],[Do - V3a]:[Do - V3a]]),"")</f>
        <v/>
      </c>
      <c r="FH286" s="14" t="s">
        <v>189</v>
      </c>
      <c r="FI286" s="14">
        <f>IFERROR(AVERAGE(Tabel1[[#This Row],[Do - V1]],Tabel1[[#This Row],[Do - V2]],Tabel1[[#This Row],[Do - V3]],Tabel1[[#This Row],[Do - V4]]),"")</f>
        <v>3.666666666666667</v>
      </c>
      <c r="FJ286" s="14">
        <v>3</v>
      </c>
      <c r="FK286" s="14">
        <v>4</v>
      </c>
      <c r="FL286" s="14">
        <v>4</v>
      </c>
      <c r="FM286" s="14">
        <f>IFERROR(AVERAGE(Tabel1[[#This Row],[Do - A1a]:[Do - A1c]]),"")</f>
        <v>3.6666666666666665</v>
      </c>
      <c r="FN286" s="14">
        <v>4</v>
      </c>
      <c r="FO286" s="14">
        <v>4</v>
      </c>
      <c r="FP286" s="14">
        <f>IFERROR(AVERAGE(Tabel1[[#This Row],[Do - A2a]:[Do - A2b]]),"")</f>
        <v>4</v>
      </c>
      <c r="FQ286" s="14">
        <v>3</v>
      </c>
      <c r="FR286" s="14">
        <f>IFERROR(AVERAGE(Tabel1[[#This Row],[Do - A3a]:[Do - A3a]]),"")</f>
        <v>3</v>
      </c>
      <c r="FS286" s="14" t="s">
        <v>189</v>
      </c>
      <c r="FT286" s="14">
        <f>IFERROR(AVERAGE(Tabel1[[#This Row],[Do - A1]],Tabel1[[#This Row],[Do - A2]],Tabel1[[#This Row],[Do - A3]],Tabel1[[#This Row],[Do - A4]]),"")</f>
        <v>3.5555555555555554</v>
      </c>
      <c r="FU28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2.9175925925925927</v>
      </c>
      <c r="FV286" s="27" t="s">
        <v>1507</v>
      </c>
      <c r="FW286" t="b">
        <v>1</v>
      </c>
    </row>
    <row r="287" spans="1:179" x14ac:dyDescent="0.3">
      <c r="A287" s="13">
        <v>45418.461307870399</v>
      </c>
      <c r="B287" t="b">
        <v>0</v>
      </c>
      <c r="C287" s="14" t="s">
        <v>1508</v>
      </c>
      <c r="D287" s="14" t="s">
        <v>1509</v>
      </c>
      <c r="E287" s="29" t="s">
        <v>1500</v>
      </c>
      <c r="F287" s="14" t="s">
        <v>184</v>
      </c>
      <c r="G287" s="14" t="s">
        <v>1510</v>
      </c>
      <c r="H287" s="14" t="s">
        <v>222</v>
      </c>
      <c r="I287" s="14" t="s">
        <v>195</v>
      </c>
      <c r="J287" s="14" t="s">
        <v>212</v>
      </c>
      <c r="K287" s="26" t="s">
        <v>304</v>
      </c>
      <c r="L287" s="14" t="s">
        <v>197</v>
      </c>
      <c r="M287" s="14" t="s">
        <v>198</v>
      </c>
      <c r="N287" s="14" t="s">
        <v>199</v>
      </c>
      <c r="O287" s="14" t="s">
        <v>200</v>
      </c>
      <c r="P287" s="24" t="s">
        <v>255</v>
      </c>
      <c r="Q287" s="17" t="s">
        <v>304</v>
      </c>
      <c r="R287" s="25" t="s">
        <v>201</v>
      </c>
      <c r="S287" s="25" t="s">
        <v>201</v>
      </c>
      <c r="T287" s="14" t="s">
        <v>236</v>
      </c>
      <c r="U287" s="14" t="s">
        <v>285</v>
      </c>
      <c r="V287" s="14" t="s">
        <v>224</v>
      </c>
      <c r="W287" s="14" t="s">
        <v>306</v>
      </c>
      <c r="X287" s="14" t="s">
        <v>306</v>
      </c>
      <c r="Y287" s="14">
        <v>4</v>
      </c>
      <c r="Z287" s="14">
        <v>3</v>
      </c>
      <c r="AA287" s="14">
        <v>1</v>
      </c>
      <c r="AB287" s="15">
        <f>IFERROR(AVERAGE(Tabel1[[#This Row],[Up - R1a]:[Up - R1c]]),"")</f>
        <v>2.6666666666666665</v>
      </c>
      <c r="AC287" s="14">
        <v>3</v>
      </c>
      <c r="AD287" s="14">
        <v>1</v>
      </c>
      <c r="AE287" s="14">
        <v>1</v>
      </c>
      <c r="AF287" s="14" t="s">
        <v>189</v>
      </c>
      <c r="AG287" s="14">
        <f>IFERROR(AVERAGE(Tabel1[[#This Row],[Up - R1]:[Up - R5]]),"")</f>
        <v>1.9166666666666665</v>
      </c>
      <c r="AH287" s="14">
        <v>5</v>
      </c>
      <c r="AI287" s="14">
        <v>4</v>
      </c>
      <c r="AJ287" s="14">
        <v>4</v>
      </c>
      <c r="AK287" s="14">
        <f>IFERROR(AVERAGE(Tabel1[[#This Row],[Up - C1a]:[Up - C1c]]),"")</f>
        <v>4.333333333333333</v>
      </c>
      <c r="AL287" s="14">
        <v>3</v>
      </c>
      <c r="AM287" s="14">
        <v>3</v>
      </c>
      <c r="AN287" s="14">
        <v>2</v>
      </c>
      <c r="AO287" s="14">
        <f>IFERROR(AVERAGE(Tabel1[[#This Row],[Up - C1]:[Up - C4]]),"")</f>
        <v>3.083333333333333</v>
      </c>
      <c r="AP287" s="14">
        <v>2</v>
      </c>
      <c r="AQ287" s="14">
        <f>IFERROR(AVERAGE(Tabel1[[#This Row],[Up - F1a]:[Up - F1a]]),"")</f>
        <v>2</v>
      </c>
      <c r="AR287" s="14">
        <v>2</v>
      </c>
      <c r="AS287" s="14">
        <v>4</v>
      </c>
      <c r="AT287" s="14">
        <f>IFERROR(AVERAGE(Tabel1[[#This Row],[Up - F2a]:[Up - F2b]]),"")</f>
        <v>3</v>
      </c>
      <c r="AU287" s="14" t="s">
        <v>189</v>
      </c>
      <c r="AV287" s="14" t="s">
        <v>189</v>
      </c>
      <c r="AW287" s="14" t="str">
        <f>IFERROR(AVERAGE(Tabel1[[#This Row],[Up - F3a]:[Up - F3b]]),"")</f>
        <v/>
      </c>
      <c r="AX287" s="14" t="s">
        <v>189</v>
      </c>
      <c r="AY287" s="14">
        <f>IFERROR(AVERAGE(Tabel1[[#This Row],[Up - F1]],Tabel1[[#This Row],[Up - F2]],Tabel1[[#This Row],[Up - F3]],Tabel1[[#This Row],[Up - F4]]),"")</f>
        <v>2.5</v>
      </c>
      <c r="AZ287" s="14">
        <v>1</v>
      </c>
      <c r="BA287" s="14">
        <v>3</v>
      </c>
      <c r="BB287" s="14">
        <f>IFERROR(AVERAGE(Tabel1[[#This Row],[Up - V1a]:[Up - V1b]]),"")</f>
        <v>2</v>
      </c>
      <c r="BC287" s="14">
        <v>1</v>
      </c>
      <c r="BD287" s="14">
        <v>4</v>
      </c>
      <c r="BE287" s="14">
        <v>3</v>
      </c>
      <c r="BF287" s="14">
        <f>IFERROR(AVERAGE(Tabel1[[#This Row],[Up - V2a]:[Up - V2c]]),"")</f>
        <v>2.6666666666666665</v>
      </c>
      <c r="BG287" s="14">
        <v>3</v>
      </c>
      <c r="BH287" s="14">
        <v>1</v>
      </c>
      <c r="BI287" s="14">
        <f>IFERROR(AVERAGE(Tabel1[[#This Row],[Up - V3a]:[Up - V3b]]),"")</f>
        <v>2</v>
      </c>
      <c r="BJ287" s="14">
        <v>2</v>
      </c>
      <c r="BK287" s="14">
        <f>IFERROR(AVERAGE(Tabel1[[#This Row],[Up - V1]],Tabel1[[#This Row],[Up - V2]],Tabel1[[#This Row],[Up - V3]],Tabel1[[#This Row],[Up - V4]]),"")</f>
        <v>2.1666666666666665</v>
      </c>
      <c r="BL287" s="14">
        <v>3</v>
      </c>
      <c r="BM287" s="14">
        <v>3</v>
      </c>
      <c r="BN287" s="14">
        <v>2</v>
      </c>
      <c r="BO287" s="14">
        <v>1</v>
      </c>
      <c r="BP287" s="14">
        <f>IFERROR(AVERAGE(Tabel1[[#This Row],[Up - A1a]:[Up - A1d]]),"")</f>
        <v>2.25</v>
      </c>
      <c r="BQ287" s="14">
        <v>2</v>
      </c>
      <c r="BR287" s="14">
        <v>3</v>
      </c>
      <c r="BS287" s="14">
        <f>IFERROR(AVERAGE(Tabel1[[#This Row],[Up - A2a]:[Up - A2b]]),"")</f>
        <v>2.5</v>
      </c>
      <c r="BT287" s="14">
        <v>3</v>
      </c>
      <c r="BU287" s="14">
        <f>IFERROR(AVERAGE(Tabel1[[#This Row],[Up - A3a]:[Up - A3a]]),"")</f>
        <v>3</v>
      </c>
      <c r="BV287" s="14" t="s">
        <v>189</v>
      </c>
      <c r="BW287" s="14">
        <f>IFERROR(AVERAGE(Tabel1[[#This Row],[Up - A1]],Tabel1[[#This Row],[Up - A2]],Tabel1[[#This Row],[Up - A3]]),"")</f>
        <v>2.5833333333333335</v>
      </c>
      <c r="BX287" s="14">
        <v>2</v>
      </c>
      <c r="BY287" s="14">
        <v>1</v>
      </c>
      <c r="BZ287" s="14">
        <f>IFERROR(AVERAGE(Tabel1[[#This Row],[In - R1a]:[In - R1b]]),"")</f>
        <v>1.5</v>
      </c>
      <c r="CA287" s="14">
        <v>2</v>
      </c>
      <c r="CB287" s="14" t="s">
        <v>189</v>
      </c>
      <c r="CC287" s="14">
        <v>3</v>
      </c>
      <c r="CD287" s="14">
        <v>2</v>
      </c>
      <c r="CE287" s="14">
        <f>IFERROR(AVERAGE(Tabel1[[#This Row],[In - R1]:[In - R5]]),"")</f>
        <v>2.125</v>
      </c>
      <c r="CF287" s="14">
        <v>3</v>
      </c>
      <c r="CG287" s="14">
        <v>2</v>
      </c>
      <c r="CH287" s="14">
        <v>2</v>
      </c>
      <c r="CI287" s="14">
        <f>IFERROR(AVERAGE(Tabel1[[#This Row],[In - C1a]:[In - C1c]]),"")</f>
        <v>2.3333333333333335</v>
      </c>
      <c r="CJ287" s="14">
        <v>2</v>
      </c>
      <c r="CK287" s="14">
        <v>1</v>
      </c>
      <c r="CL287" s="14">
        <v>2</v>
      </c>
      <c r="CM287" s="14">
        <f>IFERROR(AVERAGE(Tabel1[[#This Row],[In - C1]:[In - C4]]),"")</f>
        <v>1.8333333333333335</v>
      </c>
      <c r="CN287" s="14">
        <v>3</v>
      </c>
      <c r="CO287" s="14">
        <v>2</v>
      </c>
      <c r="CP287" s="14">
        <v>1</v>
      </c>
      <c r="CQ287" s="14">
        <f>IFERROR(AVERAGE(Tabel1[[#This Row],[In - F1a]:[In - F1c]]),"")</f>
        <v>2</v>
      </c>
      <c r="CR287" s="14">
        <v>4</v>
      </c>
      <c r="CS287" s="14">
        <v>2</v>
      </c>
      <c r="CT287" s="14">
        <f>IFERROR(AVERAGE(Tabel1[[#This Row],[In - F2a]:[In - F2b]]),"")</f>
        <v>3</v>
      </c>
      <c r="CU287" s="14">
        <v>2</v>
      </c>
      <c r="CV287" s="14">
        <f>IFERROR(AVERAGE(Tabel1[[#This Row],[In - F3a]:[In - F3a]]),"")</f>
        <v>2</v>
      </c>
      <c r="CW287" s="14">
        <v>1</v>
      </c>
      <c r="CX287" s="14">
        <f>IFERROR(AVERAGE(Tabel1[[#This Row],[In - F1]],Tabel1[[#This Row],[In - F2]],Tabel1[[#This Row],[In - F3]],Tabel1[[#This Row],[In - F4]]),"")</f>
        <v>2</v>
      </c>
      <c r="CY287" s="14">
        <v>3</v>
      </c>
      <c r="CZ287" s="14">
        <v>1</v>
      </c>
      <c r="DA287" s="14">
        <v>1</v>
      </c>
      <c r="DB287" s="14">
        <f>IFERROR(AVERAGE(Tabel1[[#This Row],[In - V1a]:[In - V1c]]),"")</f>
        <v>1.6666666666666667</v>
      </c>
      <c r="DC287" s="14">
        <v>2</v>
      </c>
      <c r="DD287" s="14">
        <v>1</v>
      </c>
      <c r="DE287" s="14">
        <v>1</v>
      </c>
      <c r="DF287" s="14">
        <f>IFERROR(AVERAGE(Tabel1[[#This Row],[In - V2a]:[In - V2c]]),"")</f>
        <v>1.3333333333333333</v>
      </c>
      <c r="DG287" s="14">
        <v>2</v>
      </c>
      <c r="DH287" s="14">
        <v>1</v>
      </c>
      <c r="DI287" s="14">
        <f>IFERROR(AVERAGE(Tabel1[[#This Row],[In - V3a]:[In - V3b]]),"")</f>
        <v>1.5</v>
      </c>
      <c r="DJ287" s="14">
        <v>2</v>
      </c>
      <c r="DK287" s="14">
        <f>IFERROR(AVERAGE(Tabel1[[#This Row],[In - V1]],Tabel1[[#This Row],[In - V2]],Tabel1[[#This Row],[In - V3]],Tabel1[[#This Row],[In - V4]]),"")</f>
        <v>1.625</v>
      </c>
      <c r="DL287" s="14">
        <v>3</v>
      </c>
      <c r="DM287" s="14">
        <v>1</v>
      </c>
      <c r="DN287" s="14">
        <f>IFERROR(AVERAGE(Tabel1[[#This Row],[In - A1a]:[In - A1b]]),"")</f>
        <v>2</v>
      </c>
      <c r="DO287" s="14">
        <v>2</v>
      </c>
      <c r="DP287" s="14">
        <v>1</v>
      </c>
      <c r="DQ287" s="14">
        <f>IFERROR(AVERAGE(Tabel1[[#This Row],[In - A2a]:[In - A2b]]),"")</f>
        <v>1.5</v>
      </c>
      <c r="DR287" s="14">
        <v>3</v>
      </c>
      <c r="DS287" s="14">
        <v>2</v>
      </c>
      <c r="DT287" s="14">
        <f>IFERROR(AVERAGE(Tabel1[[#This Row],[In - A3a]:[In - A3a]]),"")</f>
        <v>3</v>
      </c>
      <c r="DU287" s="14">
        <v>2</v>
      </c>
      <c r="DV287" s="14">
        <f>IFERROR(AVERAGE(Tabel1[[#This Row],[In - A1]],Tabel1[[#This Row],[In - A2]],Tabel1[[#This Row],[In - A3]],Tabel1[[#This Row],[In - A4]]),"")</f>
        <v>2.125</v>
      </c>
      <c r="DW287" s="14">
        <v>3</v>
      </c>
      <c r="DX287" s="14">
        <v>3</v>
      </c>
      <c r="DY287" s="14">
        <v>1</v>
      </c>
      <c r="DZ287" s="14">
        <f>IFERROR(AVERAGE(Tabel1[[#This Row],[Do - R1a]:[Do - R1c]]),"")</f>
        <v>2.3333333333333335</v>
      </c>
      <c r="EA287" s="14">
        <v>1</v>
      </c>
      <c r="EB287" s="14">
        <v>1</v>
      </c>
      <c r="EC287" s="14">
        <v>1</v>
      </c>
      <c r="ED287" s="14" t="s">
        <v>189</v>
      </c>
      <c r="EE287" s="14">
        <f>IFERROR(AVERAGE(Tabel1[[#This Row],[Do - R1]:[Do - R5]]),"")</f>
        <v>1.3333333333333335</v>
      </c>
      <c r="EF287" s="14">
        <v>4</v>
      </c>
      <c r="EG287" s="14">
        <v>4</v>
      </c>
      <c r="EH287" s="14">
        <v>4</v>
      </c>
      <c r="EI287" s="14">
        <f>IFERROR(AVERAGE(Tabel1[[#This Row],[Do - C1a]:[Do - C1c]]),"")</f>
        <v>4</v>
      </c>
      <c r="EJ287" s="14">
        <v>3</v>
      </c>
      <c r="EK287" s="14">
        <v>3</v>
      </c>
      <c r="EL287" s="14">
        <v>1</v>
      </c>
      <c r="EM287" s="14">
        <f>IFERROR(AVERAGE(Tabel1[[#This Row],[Do - C1]:[Do - C4]]),"")</f>
        <v>2.75</v>
      </c>
      <c r="EN287" s="14">
        <v>1</v>
      </c>
      <c r="EO287" s="14">
        <v>1</v>
      </c>
      <c r="EP287" s="14">
        <v>1</v>
      </c>
      <c r="EQ287" s="14">
        <f>IFERROR(AVERAGE(Tabel1[[#This Row],[Do - F1a]:[Do - F1c]]),"")</f>
        <v>1</v>
      </c>
      <c r="ER287" s="14">
        <v>2</v>
      </c>
      <c r="ES287" s="14">
        <f>IFERROR(AVERAGE(Tabel1[[#This Row],[Do - F2a]:[Do - F2a]]),"")</f>
        <v>2</v>
      </c>
      <c r="ET287" s="14">
        <v>2</v>
      </c>
      <c r="EU287" s="14">
        <v>3</v>
      </c>
      <c r="EV287" s="14">
        <f>IFERROR(AVERAGE(Tabel1[[#This Row],[Do - F3a]:[Do - F3b]]),"")</f>
        <v>2.5</v>
      </c>
      <c r="EW287" s="14">
        <v>1</v>
      </c>
      <c r="EX287" s="14">
        <f>IFERROR(AVERAGE(Tabel1[[#This Row],[Do - F1]],Tabel1[[#This Row],[Do - F2]],Tabel1[[#This Row],[Do - F3]],Tabel1[[#This Row],[Do - F4]]),"")</f>
        <v>1.625</v>
      </c>
      <c r="EY287" s="14">
        <v>2</v>
      </c>
      <c r="EZ287" s="14">
        <v>2</v>
      </c>
      <c r="FA287" s="14">
        <v>2</v>
      </c>
      <c r="FB287" s="14">
        <f>IFERROR(AVERAGE(Tabel1[[#This Row],[Do - V1a]:[Do - V1c]]),"")</f>
        <v>2</v>
      </c>
      <c r="FC287" s="14">
        <v>1</v>
      </c>
      <c r="FD287" s="14">
        <v>2</v>
      </c>
      <c r="FE287" s="14">
        <f>IFERROR(AVERAGE(Tabel1[[#This Row],[Do - V2a]:[Do - V2b]]),"")</f>
        <v>1.5</v>
      </c>
      <c r="FF287" s="14">
        <v>2</v>
      </c>
      <c r="FG287" s="14">
        <f>IFERROR(AVERAGE(Tabel1[[#This Row],[Do - V3a]:[Do - V3a]]),"")</f>
        <v>2</v>
      </c>
      <c r="FH287" s="14" t="s">
        <v>189</v>
      </c>
      <c r="FI287" s="14">
        <f>IFERROR(AVERAGE(Tabel1[[#This Row],[Do - V1]],Tabel1[[#This Row],[Do - V2]],Tabel1[[#This Row],[Do - V3]],Tabel1[[#This Row],[Do - V4]]),"")</f>
        <v>1.8333333333333333</v>
      </c>
      <c r="FJ287" s="14">
        <v>1</v>
      </c>
      <c r="FK287" s="14" t="s">
        <v>189</v>
      </c>
      <c r="FL287" s="14">
        <v>2</v>
      </c>
      <c r="FM287" s="14">
        <f>IFERROR(AVERAGE(Tabel1[[#This Row],[Do - A1a]:[Do - A1c]]),"")</f>
        <v>1.5</v>
      </c>
      <c r="FN287" s="14" t="s">
        <v>189</v>
      </c>
      <c r="FO287" s="14">
        <v>1</v>
      </c>
      <c r="FP287" s="14">
        <f>IFERROR(AVERAGE(Tabel1[[#This Row],[Do - A2a]:[Do - A2b]]),"")</f>
        <v>1</v>
      </c>
      <c r="FQ287" s="14">
        <v>1</v>
      </c>
      <c r="FR287" s="14">
        <f>IFERROR(AVERAGE(Tabel1[[#This Row],[Do - A3a]:[Do - A3a]]),"")</f>
        <v>1</v>
      </c>
      <c r="FS287" s="14">
        <v>2</v>
      </c>
      <c r="FT287" s="14">
        <f>IFERROR(AVERAGE(Tabel1[[#This Row],[Do - A1]],Tabel1[[#This Row],[Do - A2]],Tabel1[[#This Row],[Do - A3]],Tabel1[[#This Row],[Do - A4]]),"")</f>
        <v>1.375</v>
      </c>
      <c r="FU28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2.0583333333333331</v>
      </c>
      <c r="FV287" s="27" t="s">
        <v>1511</v>
      </c>
      <c r="FW287" t="b">
        <v>1</v>
      </c>
    </row>
    <row r="288" spans="1:179" x14ac:dyDescent="0.3">
      <c r="A288" s="13">
        <v>45418.530868055597</v>
      </c>
      <c r="B288" t="b">
        <v>0</v>
      </c>
      <c r="C288" s="14" t="s">
        <v>1512</v>
      </c>
      <c r="D288" s="14" t="s">
        <v>1513</v>
      </c>
      <c r="E288" s="14" t="s">
        <v>1514</v>
      </c>
      <c r="F288" s="14" t="s">
        <v>184</v>
      </c>
      <c r="G288" s="14" t="s">
        <v>1515</v>
      </c>
      <c r="H288" s="14" t="s">
        <v>222</v>
      </c>
      <c r="I288" s="14" t="s">
        <v>195</v>
      </c>
      <c r="J288" s="14" t="s">
        <v>905</v>
      </c>
      <c r="K288" s="28" t="s">
        <v>201</v>
      </c>
      <c r="L288" s="14" t="s">
        <v>249</v>
      </c>
      <c r="M288" s="14" t="s">
        <v>233</v>
      </c>
      <c r="N288" s="14" t="s">
        <v>479</v>
      </c>
      <c r="O288" s="14" t="s">
        <v>256</v>
      </c>
      <c r="P288" s="24" t="s">
        <v>304</v>
      </c>
      <c r="Q288" s="17" t="s">
        <v>201</v>
      </c>
      <c r="R288" s="25" t="s">
        <v>201</v>
      </c>
      <c r="S288" s="24" t="s">
        <v>304</v>
      </c>
      <c r="T288" s="14" t="s">
        <v>236</v>
      </c>
      <c r="U288" s="14" t="s">
        <v>237</v>
      </c>
      <c r="V288" s="14" t="s">
        <v>224</v>
      </c>
      <c r="W288" s="14" t="s">
        <v>207</v>
      </c>
      <c r="X288" s="14" t="s">
        <v>207</v>
      </c>
      <c r="Y288" s="14">
        <v>2</v>
      </c>
      <c r="Z288" s="14">
        <v>1</v>
      </c>
      <c r="AA288" s="14">
        <v>1</v>
      </c>
      <c r="AB288" s="15">
        <f>IFERROR(AVERAGE(Tabel1[[#This Row],[Up - R1a]:[Up - R1c]]),"")</f>
        <v>1.3333333333333333</v>
      </c>
      <c r="AC288" s="14">
        <v>3</v>
      </c>
      <c r="AD288" s="14">
        <v>5</v>
      </c>
      <c r="AE288" s="14">
        <v>3</v>
      </c>
      <c r="AF288" s="14">
        <v>1</v>
      </c>
      <c r="AG288" s="14">
        <f>IFERROR(AVERAGE(Tabel1[[#This Row],[Up - R1]:[Up - R5]]),"")</f>
        <v>2.6666666666666665</v>
      </c>
      <c r="AH288" s="14">
        <v>2</v>
      </c>
      <c r="AI288" s="14">
        <v>3</v>
      </c>
      <c r="AJ288" s="14">
        <v>4</v>
      </c>
      <c r="AK288" s="14">
        <f>IFERROR(AVERAGE(Tabel1[[#This Row],[Up - C1a]:[Up - C1c]]),"")</f>
        <v>3</v>
      </c>
      <c r="AL288" s="14">
        <v>4</v>
      </c>
      <c r="AM288" s="14">
        <v>2</v>
      </c>
      <c r="AN288" s="14">
        <v>1</v>
      </c>
      <c r="AO288" s="14">
        <f>IFERROR(AVERAGE(Tabel1[[#This Row],[Up - C1]:[Up - C4]]),"")</f>
        <v>2.5</v>
      </c>
      <c r="AP288" s="14">
        <v>1</v>
      </c>
      <c r="AQ288" s="14">
        <f>IFERROR(AVERAGE(Tabel1[[#This Row],[Up - F1a]:[Up - F1a]]),"")</f>
        <v>1</v>
      </c>
      <c r="AR288" s="14">
        <v>1</v>
      </c>
      <c r="AS288" s="14">
        <v>2</v>
      </c>
      <c r="AT288" s="14">
        <f>IFERROR(AVERAGE(Tabel1[[#This Row],[Up - F2a]:[Up - F2b]]),"")</f>
        <v>1.5</v>
      </c>
      <c r="AU288" s="14">
        <v>5</v>
      </c>
      <c r="AV288" s="14">
        <v>4</v>
      </c>
      <c r="AW288" s="14">
        <f>IFERROR(AVERAGE(Tabel1[[#This Row],[Up - F3a]:[Up - F3b]]),"")</f>
        <v>4.5</v>
      </c>
      <c r="AX288" s="14">
        <v>3</v>
      </c>
      <c r="AY288" s="14">
        <f>IFERROR(AVERAGE(Tabel1[[#This Row],[Up - F1]],Tabel1[[#This Row],[Up - F2]],Tabel1[[#This Row],[Up - F3]],Tabel1[[#This Row],[Up - F4]]),"")</f>
        <v>2.5</v>
      </c>
      <c r="AZ288" s="14">
        <v>1</v>
      </c>
      <c r="BA288" s="14">
        <v>2</v>
      </c>
      <c r="BB288" s="14">
        <f>IFERROR(AVERAGE(Tabel1[[#This Row],[Up - V1a]:[Up - V1b]]),"")</f>
        <v>1.5</v>
      </c>
      <c r="BC288" s="14">
        <v>3</v>
      </c>
      <c r="BD288" s="14">
        <v>4</v>
      </c>
      <c r="BE288" s="14">
        <v>2</v>
      </c>
      <c r="BF288" s="14">
        <f>IFERROR(AVERAGE(Tabel1[[#This Row],[Up - V2a]:[Up - V2c]]),"")</f>
        <v>3</v>
      </c>
      <c r="BG288" s="14">
        <v>2</v>
      </c>
      <c r="BH288" s="14">
        <v>2</v>
      </c>
      <c r="BI288" s="14">
        <f>IFERROR(AVERAGE(Tabel1[[#This Row],[Up - V3a]:[Up - V3b]]),"")</f>
        <v>2</v>
      </c>
      <c r="BJ288" s="14">
        <v>5</v>
      </c>
      <c r="BK288" s="14">
        <f>IFERROR(AVERAGE(Tabel1[[#This Row],[Up - V1]],Tabel1[[#This Row],[Up - V2]],Tabel1[[#This Row],[Up - V3]],Tabel1[[#This Row],[Up - V4]]),"")</f>
        <v>2.875</v>
      </c>
      <c r="BL288" s="14">
        <v>3</v>
      </c>
      <c r="BM288" s="14">
        <v>2</v>
      </c>
      <c r="BN288" s="14">
        <v>2</v>
      </c>
      <c r="BO288" s="14">
        <v>4</v>
      </c>
      <c r="BP288" s="14">
        <f>IFERROR(AVERAGE(Tabel1[[#This Row],[Up - A1a]:[Up - A1d]]),"")</f>
        <v>2.75</v>
      </c>
      <c r="BQ288" s="14">
        <v>3</v>
      </c>
      <c r="BR288" s="14">
        <v>4</v>
      </c>
      <c r="BS288" s="14">
        <f>IFERROR(AVERAGE(Tabel1[[#This Row],[Up - A2a]:[Up - A2b]]),"")</f>
        <v>3.5</v>
      </c>
      <c r="BT288" s="14">
        <v>3</v>
      </c>
      <c r="BU288" s="14">
        <f>IFERROR(AVERAGE(Tabel1[[#This Row],[Up - A3a]:[Up - A3a]]),"")</f>
        <v>3</v>
      </c>
      <c r="BV288" s="14">
        <v>3</v>
      </c>
      <c r="BW288" s="14">
        <f>IFERROR(AVERAGE(Tabel1[[#This Row],[Up - A1]],Tabel1[[#This Row],[Up - A2]],Tabel1[[#This Row],[Up - A3]]),"")</f>
        <v>3.0833333333333335</v>
      </c>
      <c r="BX288" s="14">
        <v>2</v>
      </c>
      <c r="BY288" s="14">
        <v>3</v>
      </c>
      <c r="BZ288" s="14">
        <f>IFERROR(AVERAGE(Tabel1[[#This Row],[In - R1a]:[In - R1b]]),"")</f>
        <v>2.5</v>
      </c>
      <c r="CA288" s="14">
        <v>3</v>
      </c>
      <c r="CB288" s="14">
        <v>4</v>
      </c>
      <c r="CC288" s="14">
        <v>4</v>
      </c>
      <c r="CD288" s="14">
        <v>3</v>
      </c>
      <c r="CE288" s="14">
        <f>IFERROR(AVERAGE(Tabel1[[#This Row],[In - R1]:[In - R5]]),"")</f>
        <v>3.3</v>
      </c>
      <c r="CF288" s="14">
        <v>2</v>
      </c>
      <c r="CG288" s="14">
        <v>4</v>
      </c>
      <c r="CH288" s="14">
        <v>1</v>
      </c>
      <c r="CI288" s="14">
        <f>IFERROR(AVERAGE(Tabel1[[#This Row],[In - C1a]:[In - C1c]]),"")</f>
        <v>2.3333333333333335</v>
      </c>
      <c r="CJ288" s="14">
        <v>3</v>
      </c>
      <c r="CK288" s="14">
        <v>4</v>
      </c>
      <c r="CL288" s="14">
        <v>2</v>
      </c>
      <c r="CM288" s="14">
        <f>IFERROR(AVERAGE(Tabel1[[#This Row],[In - C1]:[In - C4]]),"")</f>
        <v>2.8333333333333335</v>
      </c>
      <c r="CN288" s="14">
        <v>3</v>
      </c>
      <c r="CO288" s="14">
        <v>3</v>
      </c>
      <c r="CP288" s="14">
        <v>2</v>
      </c>
      <c r="CQ288" s="14">
        <f>IFERROR(AVERAGE(Tabel1[[#This Row],[In - F1a]:[In - F1c]]),"")</f>
        <v>2.6666666666666665</v>
      </c>
      <c r="CR288" s="14">
        <v>3</v>
      </c>
      <c r="CS288" s="14">
        <v>2</v>
      </c>
      <c r="CT288" s="14">
        <f>IFERROR(AVERAGE(Tabel1[[#This Row],[In - F2a]:[In - F2b]]),"")</f>
        <v>2.5</v>
      </c>
      <c r="CU288" s="14">
        <v>2</v>
      </c>
      <c r="CV288" s="14">
        <f>IFERROR(AVERAGE(Tabel1[[#This Row],[In - F3a]:[In - F3a]]),"")</f>
        <v>2</v>
      </c>
      <c r="CW288" s="14">
        <v>2</v>
      </c>
      <c r="CX288" s="14">
        <f>IFERROR(AVERAGE(Tabel1[[#This Row],[In - F1]],Tabel1[[#This Row],[In - F2]],Tabel1[[#This Row],[In - F3]],Tabel1[[#This Row],[In - F4]]),"")</f>
        <v>2.2916666666666665</v>
      </c>
      <c r="CY288" s="14">
        <v>2</v>
      </c>
      <c r="CZ288" s="14">
        <v>2</v>
      </c>
      <c r="DA288" s="14">
        <v>1</v>
      </c>
      <c r="DB288" s="14">
        <f>IFERROR(AVERAGE(Tabel1[[#This Row],[In - V1a]:[In - V1c]]),"")</f>
        <v>1.6666666666666667</v>
      </c>
      <c r="DC288" s="14">
        <v>1</v>
      </c>
      <c r="DD288" s="14">
        <v>2</v>
      </c>
      <c r="DE288" s="14">
        <v>2</v>
      </c>
      <c r="DF288" s="14">
        <f>IFERROR(AVERAGE(Tabel1[[#This Row],[In - V2a]:[In - V2c]]),"")</f>
        <v>1.6666666666666667</v>
      </c>
      <c r="DG288" s="14">
        <v>2</v>
      </c>
      <c r="DH288" s="14">
        <v>2</v>
      </c>
      <c r="DI288" s="14">
        <f>IFERROR(AVERAGE(Tabel1[[#This Row],[In - V3a]:[In - V3b]]),"")</f>
        <v>2</v>
      </c>
      <c r="DJ288" s="14">
        <v>3</v>
      </c>
      <c r="DK288" s="14">
        <f>IFERROR(AVERAGE(Tabel1[[#This Row],[In - V1]],Tabel1[[#This Row],[In - V2]],Tabel1[[#This Row],[In - V3]],Tabel1[[#This Row],[In - V4]]),"")</f>
        <v>2.0833333333333335</v>
      </c>
      <c r="DL288" s="14">
        <v>2</v>
      </c>
      <c r="DM288" s="14">
        <v>1</v>
      </c>
      <c r="DN288" s="14">
        <f>IFERROR(AVERAGE(Tabel1[[#This Row],[In - A1a]:[In - A1b]]),"")</f>
        <v>1.5</v>
      </c>
      <c r="DO288" s="14">
        <v>3</v>
      </c>
      <c r="DP288" s="14">
        <v>3</v>
      </c>
      <c r="DQ288" s="14">
        <f>IFERROR(AVERAGE(Tabel1[[#This Row],[In - A2a]:[In - A2b]]),"")</f>
        <v>3</v>
      </c>
      <c r="DR288" s="14">
        <v>3</v>
      </c>
      <c r="DS288" s="14">
        <v>3</v>
      </c>
      <c r="DT288" s="14">
        <f>IFERROR(AVERAGE(Tabel1[[#This Row],[In - A3a]:[In - A3a]]),"")</f>
        <v>3</v>
      </c>
      <c r="DU288" s="14">
        <v>2</v>
      </c>
      <c r="DV288" s="14">
        <f>IFERROR(AVERAGE(Tabel1[[#This Row],[In - A1]],Tabel1[[#This Row],[In - A2]],Tabel1[[#This Row],[In - A3]],Tabel1[[#This Row],[In - A4]]),"")</f>
        <v>2.375</v>
      </c>
      <c r="DW288" s="14">
        <v>1</v>
      </c>
      <c r="DX288" s="14">
        <v>2</v>
      </c>
      <c r="DY288" s="14">
        <v>1</v>
      </c>
      <c r="DZ288" s="14">
        <f>IFERROR(AVERAGE(Tabel1[[#This Row],[Do - R1a]:[Do - R1c]]),"")</f>
        <v>1.3333333333333333</v>
      </c>
      <c r="EA288" s="14">
        <v>3</v>
      </c>
      <c r="EB288" s="14">
        <v>5</v>
      </c>
      <c r="EC288" s="14">
        <v>1</v>
      </c>
      <c r="ED288" s="14">
        <v>4</v>
      </c>
      <c r="EE288" s="14">
        <f>IFERROR(AVERAGE(Tabel1[[#This Row],[Do - R1]:[Do - R5]]),"")</f>
        <v>2.8666666666666663</v>
      </c>
      <c r="EF288" s="14">
        <v>2</v>
      </c>
      <c r="EG288" s="14">
        <v>3</v>
      </c>
      <c r="EH288" s="14">
        <v>3</v>
      </c>
      <c r="EI288" s="14">
        <f>IFERROR(AVERAGE(Tabel1[[#This Row],[Do - C1a]:[Do - C1c]]),"")</f>
        <v>2.6666666666666665</v>
      </c>
      <c r="EJ288" s="14">
        <v>4</v>
      </c>
      <c r="EK288" s="14">
        <v>3</v>
      </c>
      <c r="EL288" s="14">
        <v>1</v>
      </c>
      <c r="EM288" s="14">
        <f>IFERROR(AVERAGE(Tabel1[[#This Row],[Do - C1]:[Do - C4]]),"")</f>
        <v>2.6666666666666665</v>
      </c>
      <c r="EN288" s="14">
        <v>2</v>
      </c>
      <c r="EO288" s="14">
        <v>2</v>
      </c>
      <c r="EP288" s="14">
        <v>2</v>
      </c>
      <c r="EQ288" s="14">
        <f>IFERROR(AVERAGE(Tabel1[[#This Row],[Do - F1a]:[Do - F1c]]),"")</f>
        <v>2</v>
      </c>
      <c r="ER288" s="14">
        <v>1</v>
      </c>
      <c r="ES288" s="14">
        <f>IFERROR(AVERAGE(Tabel1[[#This Row],[Do - F2a]:[Do - F2a]]),"")</f>
        <v>1</v>
      </c>
      <c r="ET288" s="14">
        <v>4</v>
      </c>
      <c r="EU288" s="14">
        <v>2</v>
      </c>
      <c r="EV288" s="14">
        <f>IFERROR(AVERAGE(Tabel1[[#This Row],[Do - F3a]:[Do - F3b]]),"")</f>
        <v>3</v>
      </c>
      <c r="EW288" s="14">
        <v>2</v>
      </c>
      <c r="EX288" s="14">
        <f>IFERROR(AVERAGE(Tabel1[[#This Row],[Do - F1]],Tabel1[[#This Row],[Do - F2]],Tabel1[[#This Row],[Do - F3]],Tabel1[[#This Row],[Do - F4]]),"")</f>
        <v>2</v>
      </c>
      <c r="EY288" s="14">
        <v>3</v>
      </c>
      <c r="EZ288" s="14">
        <v>2</v>
      </c>
      <c r="FA288" s="14">
        <v>2</v>
      </c>
      <c r="FB288" s="14">
        <f>IFERROR(AVERAGE(Tabel1[[#This Row],[Do - V1a]:[Do - V1c]]),"")</f>
        <v>2.3333333333333335</v>
      </c>
      <c r="FC288" s="14">
        <v>1</v>
      </c>
      <c r="FD288" s="14">
        <v>4</v>
      </c>
      <c r="FE288" s="14">
        <f>IFERROR(AVERAGE(Tabel1[[#This Row],[Do - V2a]:[Do - V2b]]),"")</f>
        <v>2.5</v>
      </c>
      <c r="FF288" s="14">
        <v>2</v>
      </c>
      <c r="FG288" s="14">
        <f>IFERROR(AVERAGE(Tabel1[[#This Row],[Do - V3a]:[Do - V3a]]),"")</f>
        <v>2</v>
      </c>
      <c r="FH288" s="14">
        <v>5</v>
      </c>
      <c r="FI288" s="14">
        <f>IFERROR(AVERAGE(Tabel1[[#This Row],[Do - V1]],Tabel1[[#This Row],[Do - V2]],Tabel1[[#This Row],[Do - V3]],Tabel1[[#This Row],[Do - V4]]),"")</f>
        <v>2.9583333333333335</v>
      </c>
      <c r="FJ288" s="14">
        <v>3</v>
      </c>
      <c r="FK288" s="14">
        <v>1</v>
      </c>
      <c r="FL288" s="14">
        <v>2</v>
      </c>
      <c r="FM288" s="14">
        <f>IFERROR(AVERAGE(Tabel1[[#This Row],[Do - A1a]:[Do - A1c]]),"")</f>
        <v>2</v>
      </c>
      <c r="FN288" s="14">
        <v>3</v>
      </c>
      <c r="FO288" s="14">
        <v>4</v>
      </c>
      <c r="FP288" s="14">
        <f>IFERROR(AVERAGE(Tabel1[[#This Row],[Do - A2a]:[Do - A2b]]),"")</f>
        <v>3.5</v>
      </c>
      <c r="FQ288" s="14">
        <v>3</v>
      </c>
      <c r="FR288" s="14">
        <f>IFERROR(AVERAGE(Tabel1[[#This Row],[Do - A3a]:[Do - A3a]]),"")</f>
        <v>3</v>
      </c>
      <c r="FS288" s="14">
        <v>3</v>
      </c>
      <c r="FT288" s="14">
        <f>IFERROR(AVERAGE(Tabel1[[#This Row],[Do - A1]],Tabel1[[#This Row],[Do - A2]],Tabel1[[#This Row],[Do - A3]],Tabel1[[#This Row],[Do - A4]]),"")</f>
        <v>2.875</v>
      </c>
      <c r="FU28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2.6583333333333332</v>
      </c>
      <c r="FV288" s="27" t="s">
        <v>1516</v>
      </c>
      <c r="FW288" t="b">
        <v>1</v>
      </c>
    </row>
    <row r="289" spans="1:179" x14ac:dyDescent="0.3">
      <c r="A289" s="13">
        <v>45418.533437500002</v>
      </c>
      <c r="B289" t="b">
        <v>0</v>
      </c>
      <c r="C289" s="14" t="s">
        <v>1517</v>
      </c>
      <c r="D289" s="14" t="s">
        <v>215</v>
      </c>
      <c r="E289" s="32" t="s">
        <v>1518</v>
      </c>
      <c r="F289" s="14" t="s">
        <v>184</v>
      </c>
      <c r="G289" s="14" t="s">
        <v>1519</v>
      </c>
      <c r="H289" s="14" t="s">
        <v>222</v>
      </c>
      <c r="I289" s="14" t="s">
        <v>195</v>
      </c>
      <c r="J289" s="14" t="s">
        <v>261</v>
      </c>
      <c r="K289" s="28" t="s">
        <v>235</v>
      </c>
      <c r="L289" s="14" t="s">
        <v>218</v>
      </c>
      <c r="M289" s="14" t="s">
        <v>188</v>
      </c>
      <c r="N289" s="14" t="s">
        <v>199</v>
      </c>
      <c r="O289" s="14" t="s">
        <v>200</v>
      </c>
      <c r="P289" s="24" t="s">
        <v>255</v>
      </c>
      <c r="Q289" s="17" t="s">
        <v>304</v>
      </c>
      <c r="R289" s="25" t="s">
        <v>202</v>
      </c>
      <c r="S289" s="25" t="s">
        <v>201</v>
      </c>
      <c r="T289" s="14" t="s">
        <v>204</v>
      </c>
      <c r="U289" s="14" t="s">
        <v>285</v>
      </c>
      <c r="V289" s="14" t="s">
        <v>359</v>
      </c>
      <c r="W289" s="14" t="s">
        <v>395</v>
      </c>
      <c r="X289" s="14" t="s">
        <v>207</v>
      </c>
      <c r="Y289" s="14">
        <v>4</v>
      </c>
      <c r="Z289" s="14">
        <v>3</v>
      </c>
      <c r="AA289" s="14">
        <v>3</v>
      </c>
      <c r="AB289" s="15">
        <f>IFERROR(AVERAGE(Tabel1[[#This Row],[Up - R1a]:[Up - R1c]]),"")</f>
        <v>3.3333333333333335</v>
      </c>
      <c r="AC289" s="14">
        <v>3</v>
      </c>
      <c r="AD289" s="14">
        <v>1</v>
      </c>
      <c r="AE289" s="14">
        <v>4</v>
      </c>
      <c r="AF289" s="14">
        <v>3</v>
      </c>
      <c r="AG289" s="14">
        <f>IFERROR(AVERAGE(Tabel1[[#This Row],[Up - R1]:[Up - R5]]),"")</f>
        <v>2.8666666666666667</v>
      </c>
      <c r="AH289" s="14">
        <v>4</v>
      </c>
      <c r="AI289" s="14">
        <v>3</v>
      </c>
      <c r="AJ289" s="14">
        <v>4</v>
      </c>
      <c r="AK289" s="14">
        <f>IFERROR(AVERAGE(Tabel1[[#This Row],[Up - C1a]:[Up - C1c]]),"")</f>
        <v>3.6666666666666665</v>
      </c>
      <c r="AL289" s="14">
        <v>3</v>
      </c>
      <c r="AM289" s="14">
        <v>3</v>
      </c>
      <c r="AN289" s="14">
        <v>2</v>
      </c>
      <c r="AO289" s="14">
        <f>IFERROR(AVERAGE(Tabel1[[#This Row],[Up - C1]:[Up - C4]]),"")</f>
        <v>2.9166666666666665</v>
      </c>
      <c r="AP289" s="14">
        <v>3</v>
      </c>
      <c r="AQ289" s="14">
        <f>IFERROR(AVERAGE(Tabel1[[#This Row],[Up - F1a]:[Up - F1a]]),"")</f>
        <v>3</v>
      </c>
      <c r="AR289" s="14">
        <v>2</v>
      </c>
      <c r="AS289" s="14">
        <v>3</v>
      </c>
      <c r="AT289" s="14">
        <f>IFERROR(AVERAGE(Tabel1[[#This Row],[Up - F2a]:[Up - F2b]]),"")</f>
        <v>2.5</v>
      </c>
      <c r="AU289" s="14">
        <v>3</v>
      </c>
      <c r="AV289" s="14">
        <v>1</v>
      </c>
      <c r="AW289" s="14">
        <f>IFERROR(AVERAGE(Tabel1[[#This Row],[Up - F3a]:[Up - F3b]]),"")</f>
        <v>2</v>
      </c>
      <c r="AX289" s="14">
        <v>2</v>
      </c>
      <c r="AY289" s="14">
        <f>IFERROR(AVERAGE(Tabel1[[#This Row],[Up - F1]],Tabel1[[#This Row],[Up - F2]],Tabel1[[#This Row],[Up - F3]],Tabel1[[#This Row],[Up - F4]]),"")</f>
        <v>2.375</v>
      </c>
      <c r="AZ289" s="14">
        <v>4</v>
      </c>
      <c r="BA289" s="14">
        <v>4</v>
      </c>
      <c r="BB289" s="14">
        <f>IFERROR(AVERAGE(Tabel1[[#This Row],[Up - V1a]:[Up - V1b]]),"")</f>
        <v>4</v>
      </c>
      <c r="BC289" s="14">
        <v>3</v>
      </c>
      <c r="BD289" s="14">
        <v>1</v>
      </c>
      <c r="BE289" s="14">
        <v>3</v>
      </c>
      <c r="BF289" s="14">
        <f>IFERROR(AVERAGE(Tabel1[[#This Row],[Up - V2a]:[Up - V2c]]),"")</f>
        <v>2.3333333333333335</v>
      </c>
      <c r="BG289" s="14">
        <v>2</v>
      </c>
      <c r="BH289" s="14">
        <v>2</v>
      </c>
      <c r="BI289" s="14">
        <f>IFERROR(AVERAGE(Tabel1[[#This Row],[Up - V3a]:[Up - V3b]]),"")</f>
        <v>2</v>
      </c>
      <c r="BJ289" s="14">
        <v>2</v>
      </c>
      <c r="BK289" s="14">
        <f>IFERROR(AVERAGE(Tabel1[[#This Row],[Up - V1]],Tabel1[[#This Row],[Up - V2]],Tabel1[[#This Row],[Up - V3]],Tabel1[[#This Row],[Up - V4]]),"")</f>
        <v>2.5833333333333335</v>
      </c>
      <c r="BL289" s="14">
        <v>4</v>
      </c>
      <c r="BM289" s="14">
        <v>3</v>
      </c>
      <c r="BN289" s="14">
        <v>3</v>
      </c>
      <c r="BO289" s="14">
        <v>2</v>
      </c>
      <c r="BP289" s="14">
        <f>IFERROR(AVERAGE(Tabel1[[#This Row],[Up - A1a]:[Up - A1d]]),"")</f>
        <v>3</v>
      </c>
      <c r="BQ289" s="14">
        <v>2</v>
      </c>
      <c r="BR289" s="14">
        <v>3</v>
      </c>
      <c r="BS289" s="14">
        <f>IFERROR(AVERAGE(Tabel1[[#This Row],[Up - A2a]:[Up - A2b]]),"")</f>
        <v>2.5</v>
      </c>
      <c r="BT289" s="14">
        <v>4</v>
      </c>
      <c r="BU289" s="14">
        <f>IFERROR(AVERAGE(Tabel1[[#This Row],[Up - A3a]:[Up - A3a]]),"")</f>
        <v>4</v>
      </c>
      <c r="BV289" s="14">
        <v>2</v>
      </c>
      <c r="BW289" s="14">
        <f>IFERROR(AVERAGE(Tabel1[[#This Row],[Up - A1]],Tabel1[[#This Row],[Up - A2]],Tabel1[[#This Row],[Up - A3]]),"")</f>
        <v>3.1666666666666665</v>
      </c>
      <c r="BX289" s="14">
        <v>4</v>
      </c>
      <c r="BY289" s="14">
        <v>4</v>
      </c>
      <c r="BZ289" s="14">
        <f>IFERROR(AVERAGE(Tabel1[[#This Row],[In - R1a]:[In - R1b]]),"")</f>
        <v>4</v>
      </c>
      <c r="CA289" s="14">
        <v>3</v>
      </c>
      <c r="CB289" s="14">
        <v>3</v>
      </c>
      <c r="CC289" s="14">
        <v>1</v>
      </c>
      <c r="CD289" s="14">
        <v>4</v>
      </c>
      <c r="CE289" s="14">
        <f>IFERROR(AVERAGE(Tabel1[[#This Row],[In - R1]:[In - R5]]),"")</f>
        <v>3</v>
      </c>
      <c r="CF289" s="14">
        <v>4</v>
      </c>
      <c r="CG289" s="14">
        <v>4</v>
      </c>
      <c r="CH289" s="14">
        <v>3</v>
      </c>
      <c r="CI289" s="14">
        <f>IFERROR(AVERAGE(Tabel1[[#This Row],[In - C1a]:[In - C1c]]),"")</f>
        <v>3.6666666666666665</v>
      </c>
      <c r="CJ289" s="14">
        <v>5</v>
      </c>
      <c r="CK289" s="14">
        <v>4</v>
      </c>
      <c r="CL289" s="14">
        <v>5</v>
      </c>
      <c r="CM289" s="14">
        <f>IFERROR(AVERAGE(Tabel1[[#This Row],[In - C1]:[In - C4]]),"")</f>
        <v>4.4166666666666661</v>
      </c>
      <c r="CN289" s="14">
        <v>3</v>
      </c>
      <c r="CO289" s="14">
        <v>2</v>
      </c>
      <c r="CP289" s="14">
        <v>2</v>
      </c>
      <c r="CQ289" s="14">
        <f>IFERROR(AVERAGE(Tabel1[[#This Row],[In - F1a]:[In - F1c]]),"")</f>
        <v>2.3333333333333335</v>
      </c>
      <c r="CR289" s="14">
        <v>4</v>
      </c>
      <c r="CS289" s="14">
        <v>2</v>
      </c>
      <c r="CT289" s="14">
        <f>IFERROR(AVERAGE(Tabel1[[#This Row],[In - F2a]:[In - F2b]]),"")</f>
        <v>3</v>
      </c>
      <c r="CU289" s="14">
        <v>1</v>
      </c>
      <c r="CV289" s="14">
        <f>IFERROR(AVERAGE(Tabel1[[#This Row],[In - F3a]:[In - F3a]]),"")</f>
        <v>1</v>
      </c>
      <c r="CW289" s="14">
        <v>3</v>
      </c>
      <c r="CX289" s="14">
        <f>IFERROR(AVERAGE(Tabel1[[#This Row],[In - F1]],Tabel1[[#This Row],[In - F2]],Tabel1[[#This Row],[In - F3]],Tabel1[[#This Row],[In - F4]]),"")</f>
        <v>2.3333333333333335</v>
      </c>
      <c r="CY289" s="14">
        <v>4</v>
      </c>
      <c r="CZ289" s="14">
        <v>3</v>
      </c>
      <c r="DA289" s="14">
        <v>3</v>
      </c>
      <c r="DB289" s="14">
        <f>IFERROR(AVERAGE(Tabel1[[#This Row],[In - V1a]:[In - V1c]]),"")</f>
        <v>3.3333333333333335</v>
      </c>
      <c r="DC289" s="14">
        <v>3</v>
      </c>
      <c r="DD289" s="14">
        <v>4</v>
      </c>
      <c r="DE289" s="14">
        <v>4</v>
      </c>
      <c r="DF289" s="14">
        <f>IFERROR(AVERAGE(Tabel1[[#This Row],[In - V2a]:[In - V2c]]),"")</f>
        <v>3.6666666666666665</v>
      </c>
      <c r="DG289" s="14">
        <v>3</v>
      </c>
      <c r="DH289" s="14">
        <v>4</v>
      </c>
      <c r="DI289" s="14">
        <f>IFERROR(AVERAGE(Tabel1[[#This Row],[In - V3a]:[In - V3b]]),"")</f>
        <v>3.5</v>
      </c>
      <c r="DJ289" s="14">
        <v>3</v>
      </c>
      <c r="DK289" s="14">
        <f>IFERROR(AVERAGE(Tabel1[[#This Row],[In - V1]],Tabel1[[#This Row],[In - V2]],Tabel1[[#This Row],[In - V3]],Tabel1[[#This Row],[In - V4]]),"")</f>
        <v>3.375</v>
      </c>
      <c r="DL289" s="14">
        <v>3</v>
      </c>
      <c r="DM289" s="14">
        <v>3</v>
      </c>
      <c r="DN289" s="14">
        <f>IFERROR(AVERAGE(Tabel1[[#This Row],[In - A1a]:[In - A1b]]),"")</f>
        <v>3</v>
      </c>
      <c r="DO289" s="14">
        <v>3</v>
      </c>
      <c r="DP289" s="14">
        <v>2</v>
      </c>
      <c r="DQ289" s="14">
        <f>IFERROR(AVERAGE(Tabel1[[#This Row],[In - A2a]:[In - A2b]]),"")</f>
        <v>2.5</v>
      </c>
      <c r="DR289" s="14">
        <v>4</v>
      </c>
      <c r="DS289" s="14">
        <v>3</v>
      </c>
      <c r="DT289" s="14">
        <f>IFERROR(AVERAGE(Tabel1[[#This Row],[In - A3a]:[In - A3a]]),"")</f>
        <v>4</v>
      </c>
      <c r="DU289" s="14">
        <v>2</v>
      </c>
      <c r="DV289" s="14">
        <f>IFERROR(AVERAGE(Tabel1[[#This Row],[In - A1]],Tabel1[[#This Row],[In - A2]],Tabel1[[#This Row],[In - A3]],Tabel1[[#This Row],[In - A4]]),"")</f>
        <v>2.875</v>
      </c>
      <c r="DW289" s="14">
        <v>2</v>
      </c>
      <c r="DX289" s="14">
        <v>5</v>
      </c>
      <c r="DY289" s="14">
        <v>3</v>
      </c>
      <c r="DZ289" s="14">
        <f>IFERROR(AVERAGE(Tabel1[[#This Row],[Do - R1a]:[Do - R1c]]),"")</f>
        <v>3.3333333333333335</v>
      </c>
      <c r="EA289" s="14">
        <v>3</v>
      </c>
      <c r="EB289" s="14">
        <v>1</v>
      </c>
      <c r="EC289" s="14">
        <v>2</v>
      </c>
      <c r="ED289" s="14">
        <v>4</v>
      </c>
      <c r="EE289" s="14">
        <f>IFERROR(AVERAGE(Tabel1[[#This Row],[Do - R1]:[Do - R5]]),"")</f>
        <v>2.666666666666667</v>
      </c>
      <c r="EF289" s="14">
        <v>4</v>
      </c>
      <c r="EG289" s="14">
        <v>2</v>
      </c>
      <c r="EH289" s="14">
        <v>4</v>
      </c>
      <c r="EI289" s="14">
        <f>IFERROR(AVERAGE(Tabel1[[#This Row],[Do - C1a]:[Do - C1c]]),"")</f>
        <v>3.3333333333333335</v>
      </c>
      <c r="EJ289" s="14">
        <v>2</v>
      </c>
      <c r="EK289" s="14">
        <v>4</v>
      </c>
      <c r="EL289" s="14">
        <v>2</v>
      </c>
      <c r="EM289" s="14">
        <f>IFERROR(AVERAGE(Tabel1[[#This Row],[Do - C1]:[Do - C4]]),"")</f>
        <v>2.8333333333333335</v>
      </c>
      <c r="EN289" s="14">
        <v>2</v>
      </c>
      <c r="EO289" s="14">
        <v>2</v>
      </c>
      <c r="EP289" s="14">
        <v>2</v>
      </c>
      <c r="EQ289" s="14">
        <f>IFERROR(AVERAGE(Tabel1[[#This Row],[Do - F1a]:[Do - F1c]]),"")</f>
        <v>2</v>
      </c>
      <c r="ER289" s="14">
        <v>3</v>
      </c>
      <c r="ES289" s="14">
        <f>IFERROR(AVERAGE(Tabel1[[#This Row],[Do - F2a]:[Do - F2a]]),"")</f>
        <v>3</v>
      </c>
      <c r="ET289" s="14">
        <v>1</v>
      </c>
      <c r="EU289" s="14">
        <v>2</v>
      </c>
      <c r="EV289" s="14">
        <f>IFERROR(AVERAGE(Tabel1[[#This Row],[Do - F3a]:[Do - F3b]]),"")</f>
        <v>1.5</v>
      </c>
      <c r="EW289" s="14">
        <v>3</v>
      </c>
      <c r="EX289" s="14">
        <f>IFERROR(AVERAGE(Tabel1[[#This Row],[Do - F1]],Tabel1[[#This Row],[Do - F2]],Tabel1[[#This Row],[Do - F3]],Tabel1[[#This Row],[Do - F4]]),"")</f>
        <v>2.375</v>
      </c>
      <c r="EY289" s="14">
        <v>3</v>
      </c>
      <c r="EZ289" s="14">
        <v>2</v>
      </c>
      <c r="FA289" s="14">
        <v>4</v>
      </c>
      <c r="FB289" s="14">
        <f>IFERROR(AVERAGE(Tabel1[[#This Row],[Do - V1a]:[Do - V1c]]),"")</f>
        <v>3</v>
      </c>
      <c r="FC289" s="14">
        <v>4</v>
      </c>
      <c r="FD289" s="14">
        <v>5</v>
      </c>
      <c r="FE289" s="14">
        <f>IFERROR(AVERAGE(Tabel1[[#This Row],[Do - V2a]:[Do - V2b]]),"")</f>
        <v>4.5</v>
      </c>
      <c r="FF289" s="14">
        <v>4</v>
      </c>
      <c r="FG289" s="14">
        <f>IFERROR(AVERAGE(Tabel1[[#This Row],[Do - V3a]:[Do - V3a]]),"")</f>
        <v>4</v>
      </c>
      <c r="FH289" s="14">
        <v>2</v>
      </c>
      <c r="FI289" s="14">
        <f>IFERROR(AVERAGE(Tabel1[[#This Row],[Do - V1]],Tabel1[[#This Row],[Do - V2]],Tabel1[[#This Row],[Do - V3]],Tabel1[[#This Row],[Do - V4]]),"")</f>
        <v>3.375</v>
      </c>
      <c r="FJ289" s="14">
        <v>4</v>
      </c>
      <c r="FK289" s="14">
        <v>2</v>
      </c>
      <c r="FL289" s="14">
        <v>2</v>
      </c>
      <c r="FM289" s="14">
        <f>IFERROR(AVERAGE(Tabel1[[#This Row],[Do - A1a]:[Do - A1c]]),"")</f>
        <v>2.6666666666666665</v>
      </c>
      <c r="FN289" s="14">
        <v>3</v>
      </c>
      <c r="FO289" s="14">
        <v>2</v>
      </c>
      <c r="FP289" s="14">
        <f>IFERROR(AVERAGE(Tabel1[[#This Row],[Do - A2a]:[Do - A2b]]),"")</f>
        <v>2.5</v>
      </c>
      <c r="FQ289" s="14">
        <v>3</v>
      </c>
      <c r="FR289" s="14">
        <f>IFERROR(AVERAGE(Tabel1[[#This Row],[Do - A3a]:[Do - A3a]]),"")</f>
        <v>3</v>
      </c>
      <c r="FS289" s="14">
        <v>2</v>
      </c>
      <c r="FT289" s="14">
        <f>IFERROR(AVERAGE(Tabel1[[#This Row],[Do - A1]],Tabel1[[#This Row],[Do - A2]],Tabel1[[#This Row],[Do - A3]],Tabel1[[#This Row],[Do - A4]]),"")</f>
        <v>2.5416666666666665</v>
      </c>
      <c r="FU28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2.9133333333333331</v>
      </c>
      <c r="FV289" s="27" t="s">
        <v>1520</v>
      </c>
      <c r="FW289" t="b">
        <v>1</v>
      </c>
    </row>
    <row r="290" spans="1:179" x14ac:dyDescent="0.3">
      <c r="A290" s="13">
        <v>45418.533692129597</v>
      </c>
      <c r="B290" t="b">
        <v>0</v>
      </c>
      <c r="C290" s="14" t="s">
        <v>1521</v>
      </c>
      <c r="D290" s="14" t="s">
        <v>192</v>
      </c>
      <c r="E290" s="14" t="s">
        <v>1522</v>
      </c>
      <c r="F290" s="14" t="s">
        <v>184</v>
      </c>
      <c r="G290" s="14" t="s">
        <v>1523</v>
      </c>
      <c r="H290" s="14" t="s">
        <v>222</v>
      </c>
      <c r="I290" s="14" t="s">
        <v>542</v>
      </c>
      <c r="J290" s="14" t="s">
        <v>543</v>
      </c>
      <c r="K290" s="28" t="s">
        <v>203</v>
      </c>
      <c r="L290" s="14" t="s">
        <v>385</v>
      </c>
      <c r="M290" s="14" t="s">
        <v>233</v>
      </c>
      <c r="N290" s="14" t="s">
        <v>262</v>
      </c>
      <c r="O290" s="14" t="s">
        <v>200</v>
      </c>
      <c r="P290" s="24" t="s">
        <v>255</v>
      </c>
      <c r="Q290" s="17" t="s">
        <v>235</v>
      </c>
      <c r="R290" s="25"/>
      <c r="S290" s="25" t="s">
        <v>201</v>
      </c>
      <c r="T290" s="14" t="s">
        <v>204</v>
      </c>
      <c r="U290" s="14" t="s">
        <v>349</v>
      </c>
      <c r="V290" s="14" t="s">
        <v>224</v>
      </c>
      <c r="W290" s="14" t="s">
        <v>207</v>
      </c>
      <c r="X290" s="14" t="s">
        <v>207</v>
      </c>
      <c r="Y290" s="14">
        <v>2</v>
      </c>
      <c r="Z290" s="14">
        <v>5</v>
      </c>
      <c r="AA290" s="14">
        <v>3</v>
      </c>
      <c r="AB290" s="15">
        <f>IFERROR(AVERAGE(Tabel1[[#This Row],[Up - R1a]:[Up - R1c]]),"")</f>
        <v>3.3333333333333335</v>
      </c>
      <c r="AC290" s="14">
        <v>1</v>
      </c>
      <c r="AD290" s="14">
        <v>4</v>
      </c>
      <c r="AE290" s="14">
        <v>1</v>
      </c>
      <c r="AF290" s="14" t="s">
        <v>189</v>
      </c>
      <c r="AG290" s="14">
        <f>IFERROR(AVERAGE(Tabel1[[#This Row],[Up - R1]:[Up - R5]]),"")</f>
        <v>2.3333333333333335</v>
      </c>
      <c r="AH290" s="14">
        <v>5</v>
      </c>
      <c r="AI290" s="14">
        <v>3</v>
      </c>
      <c r="AJ290" s="14">
        <v>5</v>
      </c>
      <c r="AK290" s="14">
        <f>IFERROR(AVERAGE(Tabel1[[#This Row],[Up - C1a]:[Up - C1c]]),"")</f>
        <v>4.333333333333333</v>
      </c>
      <c r="AL290" s="14">
        <v>3</v>
      </c>
      <c r="AM290" s="14" t="s">
        <v>189</v>
      </c>
      <c r="AN290" s="14">
        <v>5</v>
      </c>
      <c r="AO290" s="14">
        <f>IFERROR(AVERAGE(Tabel1[[#This Row],[Up - C1]:[Up - C4]]),"")</f>
        <v>4.1111111111111107</v>
      </c>
      <c r="AP290" s="14">
        <v>4</v>
      </c>
      <c r="AQ290" s="14">
        <f>IFERROR(AVERAGE(Tabel1[[#This Row],[Up - F1a]:[Up - F1a]]),"")</f>
        <v>4</v>
      </c>
      <c r="AR290" s="14">
        <v>1</v>
      </c>
      <c r="AS290" s="14">
        <v>2</v>
      </c>
      <c r="AT290" s="14">
        <f>IFERROR(AVERAGE(Tabel1[[#This Row],[Up - F2a]:[Up - F2b]]),"")</f>
        <v>1.5</v>
      </c>
      <c r="AU290" s="14">
        <v>2</v>
      </c>
      <c r="AV290" s="14">
        <v>3</v>
      </c>
      <c r="AW290" s="14">
        <f>IFERROR(AVERAGE(Tabel1[[#This Row],[Up - F3a]:[Up - F3b]]),"")</f>
        <v>2.5</v>
      </c>
      <c r="AX290" s="14">
        <v>2</v>
      </c>
      <c r="AY290" s="14">
        <f>IFERROR(AVERAGE(Tabel1[[#This Row],[Up - F1]],Tabel1[[#This Row],[Up - F2]],Tabel1[[#This Row],[Up - F3]],Tabel1[[#This Row],[Up - F4]]),"")</f>
        <v>2.5</v>
      </c>
      <c r="AZ290" s="14">
        <v>1</v>
      </c>
      <c r="BA290" s="14">
        <v>5</v>
      </c>
      <c r="BB290" s="14">
        <f>IFERROR(AVERAGE(Tabel1[[#This Row],[Up - V1a]:[Up - V1b]]),"")</f>
        <v>3</v>
      </c>
      <c r="BC290" s="14">
        <v>2</v>
      </c>
      <c r="BD290" s="14">
        <v>2</v>
      </c>
      <c r="BE290" s="14">
        <v>4</v>
      </c>
      <c r="BF290" s="14">
        <f>IFERROR(AVERAGE(Tabel1[[#This Row],[Up - V2a]:[Up - V2c]]),"")</f>
        <v>2.6666666666666665</v>
      </c>
      <c r="BG290" s="14">
        <v>1</v>
      </c>
      <c r="BH290" s="14">
        <v>2</v>
      </c>
      <c r="BI290" s="14">
        <f>IFERROR(AVERAGE(Tabel1[[#This Row],[Up - V3a]:[Up - V3b]]),"")</f>
        <v>1.5</v>
      </c>
      <c r="BJ290" s="14">
        <v>3</v>
      </c>
      <c r="BK290" s="14">
        <f>IFERROR(AVERAGE(Tabel1[[#This Row],[Up - V1]],Tabel1[[#This Row],[Up - V2]],Tabel1[[#This Row],[Up - V3]],Tabel1[[#This Row],[Up - V4]]),"")</f>
        <v>2.5416666666666665</v>
      </c>
      <c r="BL290" s="14">
        <v>4</v>
      </c>
      <c r="BM290" s="14">
        <v>2</v>
      </c>
      <c r="BN290" s="14">
        <v>2</v>
      </c>
      <c r="BO290" s="14">
        <v>2</v>
      </c>
      <c r="BP290" s="14">
        <f>IFERROR(AVERAGE(Tabel1[[#This Row],[Up - A1a]:[Up - A1d]]),"")</f>
        <v>2.5</v>
      </c>
      <c r="BQ290" s="14">
        <v>3</v>
      </c>
      <c r="BR290" s="14">
        <v>2</v>
      </c>
      <c r="BS290" s="14">
        <f>IFERROR(AVERAGE(Tabel1[[#This Row],[Up - A2a]:[Up - A2b]]),"")</f>
        <v>2.5</v>
      </c>
      <c r="BT290" s="14">
        <v>4</v>
      </c>
      <c r="BU290" s="14">
        <f>IFERROR(AVERAGE(Tabel1[[#This Row],[Up - A3a]:[Up - A3a]]),"")</f>
        <v>4</v>
      </c>
      <c r="BV290" s="14" t="s">
        <v>189</v>
      </c>
      <c r="BW290" s="14">
        <f>IFERROR(AVERAGE(Tabel1[[#This Row],[Up - A1]],Tabel1[[#This Row],[Up - A2]],Tabel1[[#This Row],[Up - A3]]),"")</f>
        <v>3</v>
      </c>
      <c r="BX290" s="14">
        <v>3</v>
      </c>
      <c r="BY290" s="14">
        <v>2</v>
      </c>
      <c r="BZ290" s="14">
        <f>IFERROR(AVERAGE(Tabel1[[#This Row],[In - R1a]:[In - R1b]]),"")</f>
        <v>2.5</v>
      </c>
      <c r="CA290" s="14">
        <v>3</v>
      </c>
      <c r="CB290" s="14" t="s">
        <v>189</v>
      </c>
      <c r="CC290" s="14">
        <v>3</v>
      </c>
      <c r="CD290" s="14">
        <v>4</v>
      </c>
      <c r="CE290" s="14">
        <f>IFERROR(AVERAGE(Tabel1[[#This Row],[In - R1]:[In - R5]]),"")</f>
        <v>3.125</v>
      </c>
      <c r="CF290" s="14">
        <v>3</v>
      </c>
      <c r="CG290" s="14">
        <v>3</v>
      </c>
      <c r="CH290" s="14">
        <v>3</v>
      </c>
      <c r="CI290" s="14">
        <f>IFERROR(AVERAGE(Tabel1[[#This Row],[In - C1a]:[In - C1c]]),"")</f>
        <v>3</v>
      </c>
      <c r="CJ290" s="14">
        <v>3</v>
      </c>
      <c r="CK290" s="14">
        <v>3</v>
      </c>
      <c r="CL290" s="14">
        <v>5</v>
      </c>
      <c r="CM290" s="14">
        <f>IFERROR(AVERAGE(Tabel1[[#This Row],[In - C1]:[In - C4]]),"")</f>
        <v>3.5</v>
      </c>
      <c r="CN290" s="14">
        <v>5</v>
      </c>
      <c r="CO290" s="14">
        <v>3</v>
      </c>
      <c r="CP290" s="14">
        <v>2</v>
      </c>
      <c r="CQ290" s="14">
        <f>IFERROR(AVERAGE(Tabel1[[#This Row],[In - F1a]:[In - F1c]]),"")</f>
        <v>3.3333333333333335</v>
      </c>
      <c r="CR290" s="14">
        <v>5</v>
      </c>
      <c r="CS290" s="14">
        <v>5</v>
      </c>
      <c r="CT290" s="14">
        <f>IFERROR(AVERAGE(Tabel1[[#This Row],[In - F2a]:[In - F2b]]),"")</f>
        <v>5</v>
      </c>
      <c r="CU290" s="14">
        <v>3</v>
      </c>
      <c r="CV290" s="14">
        <f>IFERROR(AVERAGE(Tabel1[[#This Row],[In - F3a]:[In - F3a]]),"")</f>
        <v>3</v>
      </c>
      <c r="CW290" s="14">
        <v>3</v>
      </c>
      <c r="CX290" s="14">
        <f>IFERROR(AVERAGE(Tabel1[[#This Row],[In - F1]],Tabel1[[#This Row],[In - F2]],Tabel1[[#This Row],[In - F3]],Tabel1[[#This Row],[In - F4]]),"")</f>
        <v>3.5833333333333335</v>
      </c>
      <c r="CY290" s="14">
        <v>3</v>
      </c>
      <c r="CZ290" s="14">
        <v>3</v>
      </c>
      <c r="DA290" s="14">
        <v>4</v>
      </c>
      <c r="DB290" s="14">
        <f>IFERROR(AVERAGE(Tabel1[[#This Row],[In - V1a]:[In - V1c]]),"")</f>
        <v>3.3333333333333335</v>
      </c>
      <c r="DC290" s="14">
        <v>5</v>
      </c>
      <c r="DD290" s="14">
        <v>4</v>
      </c>
      <c r="DE290" s="14">
        <v>2</v>
      </c>
      <c r="DF290" s="14">
        <f>IFERROR(AVERAGE(Tabel1[[#This Row],[In - V2a]:[In - V2c]]),"")</f>
        <v>3.6666666666666665</v>
      </c>
      <c r="DG290" s="14">
        <v>1</v>
      </c>
      <c r="DH290" s="14" t="s">
        <v>189</v>
      </c>
      <c r="DI290" s="14">
        <f>IFERROR(AVERAGE(Tabel1[[#This Row],[In - V3a]:[In - V3b]]),"")</f>
        <v>1</v>
      </c>
      <c r="DJ290" s="14">
        <v>3</v>
      </c>
      <c r="DK290" s="14">
        <f>IFERROR(AVERAGE(Tabel1[[#This Row],[In - V1]],Tabel1[[#This Row],[In - V2]],Tabel1[[#This Row],[In - V3]],Tabel1[[#This Row],[In - V4]]),"")</f>
        <v>2.75</v>
      </c>
      <c r="DL290" s="14">
        <v>4</v>
      </c>
      <c r="DM290" s="14">
        <v>3</v>
      </c>
      <c r="DN290" s="14">
        <f>IFERROR(AVERAGE(Tabel1[[#This Row],[In - A1a]:[In - A1b]]),"")</f>
        <v>3.5</v>
      </c>
      <c r="DO290" s="14">
        <v>2</v>
      </c>
      <c r="DP290" s="14">
        <v>3</v>
      </c>
      <c r="DQ290" s="14">
        <f>IFERROR(AVERAGE(Tabel1[[#This Row],[In - A2a]:[In - A2b]]),"")</f>
        <v>2.5</v>
      </c>
      <c r="DR290" s="14">
        <v>4</v>
      </c>
      <c r="DS290" s="14">
        <v>3</v>
      </c>
      <c r="DT290" s="14">
        <f>IFERROR(AVERAGE(Tabel1[[#This Row],[In - A3a]:[In - A3a]]),"")</f>
        <v>4</v>
      </c>
      <c r="DU290" s="14" t="s">
        <v>189</v>
      </c>
      <c r="DV290" s="14">
        <f>IFERROR(AVERAGE(Tabel1[[#This Row],[In - A1]],Tabel1[[#This Row],[In - A2]],Tabel1[[#This Row],[In - A3]],Tabel1[[#This Row],[In - A4]]),"")</f>
        <v>3.3333333333333335</v>
      </c>
      <c r="DW290" s="14">
        <v>1</v>
      </c>
      <c r="DX290" s="14">
        <v>5</v>
      </c>
      <c r="DY290" s="14">
        <v>2</v>
      </c>
      <c r="DZ290" s="14">
        <f>IFERROR(AVERAGE(Tabel1[[#This Row],[Do - R1a]:[Do - R1c]]),"")</f>
        <v>2.6666666666666665</v>
      </c>
      <c r="EA290" s="14">
        <v>5</v>
      </c>
      <c r="EB290" s="14">
        <v>1</v>
      </c>
      <c r="EC290" s="14">
        <v>1</v>
      </c>
      <c r="ED290" s="14">
        <v>2</v>
      </c>
      <c r="EE290" s="14">
        <f>IFERROR(AVERAGE(Tabel1[[#This Row],[Do - R1]:[Do - R5]]),"")</f>
        <v>2.333333333333333</v>
      </c>
      <c r="EF290" s="14">
        <v>5</v>
      </c>
      <c r="EG290" s="14">
        <v>2</v>
      </c>
      <c r="EH290" s="14">
        <v>4</v>
      </c>
      <c r="EI290" s="14">
        <f>IFERROR(AVERAGE(Tabel1[[#This Row],[Do - C1a]:[Do - C1c]]),"")</f>
        <v>3.6666666666666665</v>
      </c>
      <c r="EJ290" s="14">
        <v>3</v>
      </c>
      <c r="EK290" s="14">
        <v>4</v>
      </c>
      <c r="EL290" s="14">
        <v>5</v>
      </c>
      <c r="EM290" s="14">
        <f>IFERROR(AVERAGE(Tabel1[[#This Row],[Do - C1]:[Do - C4]]),"")</f>
        <v>3.9166666666666665</v>
      </c>
      <c r="EN290" s="14">
        <v>4</v>
      </c>
      <c r="EO290" s="14">
        <v>2</v>
      </c>
      <c r="EP290" s="14">
        <v>3</v>
      </c>
      <c r="EQ290" s="14">
        <f>IFERROR(AVERAGE(Tabel1[[#This Row],[Do - F1a]:[Do - F1c]]),"")</f>
        <v>3</v>
      </c>
      <c r="ER290" s="14">
        <v>4</v>
      </c>
      <c r="ES290" s="14">
        <f>IFERROR(AVERAGE(Tabel1[[#This Row],[Do - F2a]:[Do - F2a]]),"")</f>
        <v>4</v>
      </c>
      <c r="ET290" s="14">
        <v>2</v>
      </c>
      <c r="EU290" s="14">
        <v>2</v>
      </c>
      <c r="EV290" s="14">
        <f>IFERROR(AVERAGE(Tabel1[[#This Row],[Do - F3a]:[Do - F3b]]),"")</f>
        <v>2</v>
      </c>
      <c r="EW290" s="14">
        <v>3</v>
      </c>
      <c r="EX290" s="14">
        <f>IFERROR(AVERAGE(Tabel1[[#This Row],[Do - F1]],Tabel1[[#This Row],[Do - F2]],Tabel1[[#This Row],[Do - F3]],Tabel1[[#This Row],[Do - F4]]),"")</f>
        <v>3</v>
      </c>
      <c r="EY290" s="14">
        <v>2</v>
      </c>
      <c r="EZ290" s="14">
        <v>3</v>
      </c>
      <c r="FA290" s="14">
        <v>4</v>
      </c>
      <c r="FB290" s="14">
        <f>IFERROR(AVERAGE(Tabel1[[#This Row],[Do - V1a]:[Do - V1c]]),"")</f>
        <v>3</v>
      </c>
      <c r="FC290" s="14">
        <v>2</v>
      </c>
      <c r="FD290" s="14">
        <v>4</v>
      </c>
      <c r="FE290" s="14">
        <f>IFERROR(AVERAGE(Tabel1[[#This Row],[Do - V2a]:[Do - V2b]]),"")</f>
        <v>3</v>
      </c>
      <c r="FF290" s="14">
        <v>1</v>
      </c>
      <c r="FG290" s="14">
        <f>IFERROR(AVERAGE(Tabel1[[#This Row],[Do - V3a]:[Do - V3a]]),"")</f>
        <v>1</v>
      </c>
      <c r="FH290" s="14">
        <v>3</v>
      </c>
      <c r="FI290" s="14">
        <f>IFERROR(AVERAGE(Tabel1[[#This Row],[Do - V1]],Tabel1[[#This Row],[Do - V2]],Tabel1[[#This Row],[Do - V3]],Tabel1[[#This Row],[Do - V4]]),"")</f>
        <v>2.5</v>
      </c>
      <c r="FJ290" s="14">
        <v>5</v>
      </c>
      <c r="FK290" s="14">
        <v>2</v>
      </c>
      <c r="FL290" s="14">
        <v>4</v>
      </c>
      <c r="FM290" s="14">
        <f>IFERROR(AVERAGE(Tabel1[[#This Row],[Do - A1a]:[Do - A1c]]),"")</f>
        <v>3.6666666666666665</v>
      </c>
      <c r="FN290" s="14" t="s">
        <v>189</v>
      </c>
      <c r="FO290" s="14">
        <v>2</v>
      </c>
      <c r="FP290" s="14">
        <f>IFERROR(AVERAGE(Tabel1[[#This Row],[Do - A2a]:[Do - A2b]]),"")</f>
        <v>2</v>
      </c>
      <c r="FQ290" s="14">
        <v>4</v>
      </c>
      <c r="FR290" s="14">
        <f>IFERROR(AVERAGE(Tabel1[[#This Row],[Do - A3a]:[Do - A3a]]),"")</f>
        <v>4</v>
      </c>
      <c r="FS290" s="14" t="s">
        <v>189</v>
      </c>
      <c r="FT290" s="14">
        <f>IFERROR(AVERAGE(Tabel1[[#This Row],[Do - A1]],Tabel1[[#This Row],[Do - A2]],Tabel1[[#This Row],[Do - A3]],Tabel1[[#This Row],[Do - A4]]),"")</f>
        <v>3.2222222222222219</v>
      </c>
      <c r="FU29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3.0499999999999994</v>
      </c>
      <c r="FV290" s="27" t="s">
        <v>1524</v>
      </c>
      <c r="FW290" t="b">
        <v>1</v>
      </c>
    </row>
    <row r="291" spans="1:179" x14ac:dyDescent="0.3">
      <c r="A291" s="13">
        <v>45418.535787036999</v>
      </c>
      <c r="B291" t="b">
        <v>0</v>
      </c>
      <c r="C291" s="14" t="s">
        <v>1525</v>
      </c>
      <c r="D291" s="14" t="s">
        <v>1526</v>
      </c>
      <c r="E291" s="14" t="s">
        <v>1527</v>
      </c>
      <c r="F291" s="14" t="s">
        <v>184</v>
      </c>
      <c r="G291" s="14" t="s">
        <v>1528</v>
      </c>
      <c r="H291" s="14" t="s">
        <v>222</v>
      </c>
      <c r="I291" s="14" t="s">
        <v>417</v>
      </c>
      <c r="J291" s="14" t="s">
        <v>418</v>
      </c>
      <c r="K291" s="28" t="s">
        <v>202</v>
      </c>
      <c r="L291" s="14" t="s">
        <v>218</v>
      </c>
      <c r="M291" s="14" t="s">
        <v>198</v>
      </c>
      <c r="N291" s="14" t="s">
        <v>316</v>
      </c>
      <c r="O291" s="14" t="s">
        <v>200</v>
      </c>
      <c r="P291" s="24" t="s">
        <v>304</v>
      </c>
      <c r="Q291" s="17" t="s">
        <v>201</v>
      </c>
      <c r="R291" s="25" t="s">
        <v>202</v>
      </c>
      <c r="S291" s="25" t="s">
        <v>235</v>
      </c>
      <c r="T291" s="14" t="s">
        <v>284</v>
      </c>
      <c r="U291" s="14" t="s">
        <v>285</v>
      </c>
      <c r="V291" s="14" t="s">
        <v>359</v>
      </c>
      <c r="W291" s="14" t="s">
        <v>207</v>
      </c>
      <c r="X291" s="14" t="s">
        <v>395</v>
      </c>
      <c r="Y291" s="14">
        <v>3</v>
      </c>
      <c r="Z291" s="14">
        <v>2</v>
      </c>
      <c r="AA291" s="14">
        <v>2</v>
      </c>
      <c r="AB291" s="15">
        <f>IFERROR(AVERAGE(Tabel1[[#This Row],[Up - R1a]:[Up - R1c]]),"")</f>
        <v>2.3333333333333335</v>
      </c>
      <c r="AC291" s="14">
        <v>4</v>
      </c>
      <c r="AD291" s="14">
        <v>4</v>
      </c>
      <c r="AE291" s="14">
        <v>2</v>
      </c>
      <c r="AF291" s="14">
        <v>3</v>
      </c>
      <c r="AG291" s="14">
        <f>IFERROR(AVERAGE(Tabel1[[#This Row],[Up - R1]:[Up - R5]]),"")</f>
        <v>3.0666666666666669</v>
      </c>
      <c r="AH291" s="14">
        <v>5</v>
      </c>
      <c r="AI291" s="14">
        <v>3</v>
      </c>
      <c r="AJ291" s="14">
        <v>2</v>
      </c>
      <c r="AK291" s="14">
        <f>IFERROR(AVERAGE(Tabel1[[#This Row],[Up - C1a]:[Up - C1c]]),"")</f>
        <v>3.3333333333333335</v>
      </c>
      <c r="AL291" s="14">
        <v>4</v>
      </c>
      <c r="AM291" s="14">
        <v>3</v>
      </c>
      <c r="AN291" s="14">
        <v>5</v>
      </c>
      <c r="AO291" s="14">
        <f>IFERROR(AVERAGE(Tabel1[[#This Row],[Up - C1]:[Up - C4]]),"")</f>
        <v>3.8333333333333335</v>
      </c>
      <c r="AP291" s="14" t="s">
        <v>189</v>
      </c>
      <c r="AQ291" s="14" t="str">
        <f>IFERROR(AVERAGE(Tabel1[[#This Row],[Up - F1a]:[Up - F1a]]),"")</f>
        <v/>
      </c>
      <c r="AR291" s="14" t="s">
        <v>189</v>
      </c>
      <c r="AS291" s="14">
        <v>5</v>
      </c>
      <c r="AT291" s="14">
        <f>IFERROR(AVERAGE(Tabel1[[#This Row],[Up - F2a]:[Up - F2b]]),"")</f>
        <v>5</v>
      </c>
      <c r="AU291" s="14">
        <v>4</v>
      </c>
      <c r="AV291" s="14">
        <v>4</v>
      </c>
      <c r="AW291" s="14">
        <f>IFERROR(AVERAGE(Tabel1[[#This Row],[Up - F3a]:[Up - F3b]]),"")</f>
        <v>4</v>
      </c>
      <c r="AX291" s="14">
        <v>1</v>
      </c>
      <c r="AY291" s="14">
        <f>IFERROR(AVERAGE(Tabel1[[#This Row],[Up - F1]],Tabel1[[#This Row],[Up - F2]],Tabel1[[#This Row],[Up - F3]],Tabel1[[#This Row],[Up - F4]]),"")</f>
        <v>3.3333333333333335</v>
      </c>
      <c r="AZ291" s="14">
        <v>5</v>
      </c>
      <c r="BA291" s="14">
        <v>4</v>
      </c>
      <c r="BB291" s="14">
        <f>IFERROR(AVERAGE(Tabel1[[#This Row],[Up - V1a]:[Up - V1b]]),"")</f>
        <v>4.5</v>
      </c>
      <c r="BC291" s="14">
        <v>5</v>
      </c>
      <c r="BD291" s="14">
        <v>4</v>
      </c>
      <c r="BE291" s="14">
        <v>3</v>
      </c>
      <c r="BF291" s="14">
        <f>IFERROR(AVERAGE(Tabel1[[#This Row],[Up - V2a]:[Up - V2c]]),"")</f>
        <v>4</v>
      </c>
      <c r="BG291" s="14">
        <v>2</v>
      </c>
      <c r="BH291" s="14" t="s">
        <v>189</v>
      </c>
      <c r="BI291" s="14">
        <f>IFERROR(AVERAGE(Tabel1[[#This Row],[Up - V3a]:[Up - V3b]]),"")</f>
        <v>2</v>
      </c>
      <c r="BJ291" s="14">
        <v>4</v>
      </c>
      <c r="BK291" s="14">
        <f>IFERROR(AVERAGE(Tabel1[[#This Row],[Up - V1]],Tabel1[[#This Row],[Up - V2]],Tabel1[[#This Row],[Up - V3]],Tabel1[[#This Row],[Up - V4]]),"")</f>
        <v>3.625</v>
      </c>
      <c r="BL291" s="14">
        <v>4</v>
      </c>
      <c r="BM291" s="14">
        <v>5</v>
      </c>
      <c r="BN291" s="14">
        <v>2</v>
      </c>
      <c r="BO291" s="14">
        <v>3</v>
      </c>
      <c r="BP291" s="14">
        <f>IFERROR(AVERAGE(Tabel1[[#This Row],[Up - A1a]:[Up - A1d]]),"")</f>
        <v>3.5</v>
      </c>
      <c r="BQ291" s="14">
        <v>4</v>
      </c>
      <c r="BR291" s="14">
        <v>5</v>
      </c>
      <c r="BS291" s="14">
        <f>IFERROR(AVERAGE(Tabel1[[#This Row],[Up - A2a]:[Up - A2b]]),"")</f>
        <v>4.5</v>
      </c>
      <c r="BT291" s="14">
        <v>4</v>
      </c>
      <c r="BU291" s="14">
        <f>IFERROR(AVERAGE(Tabel1[[#This Row],[Up - A3a]:[Up - A3a]]),"")</f>
        <v>4</v>
      </c>
      <c r="BV291" s="14">
        <v>2</v>
      </c>
      <c r="BW291" s="14">
        <f>IFERROR(AVERAGE(Tabel1[[#This Row],[Up - A1]],Tabel1[[#This Row],[Up - A2]],Tabel1[[#This Row],[Up - A3]]),"")</f>
        <v>4</v>
      </c>
      <c r="BX291" s="14">
        <v>5</v>
      </c>
      <c r="BY291" s="14">
        <v>2</v>
      </c>
      <c r="BZ291" s="14">
        <f>IFERROR(AVERAGE(Tabel1[[#This Row],[In - R1a]:[In - R1b]]),"")</f>
        <v>3.5</v>
      </c>
      <c r="CA291" s="14">
        <v>4</v>
      </c>
      <c r="CB291" s="14">
        <v>5</v>
      </c>
      <c r="CC291" s="14">
        <v>2</v>
      </c>
      <c r="CD291" s="14">
        <v>4</v>
      </c>
      <c r="CE291" s="14">
        <f>IFERROR(AVERAGE(Tabel1[[#This Row],[In - R1]:[In - R5]]),"")</f>
        <v>3.7</v>
      </c>
      <c r="CF291" s="14">
        <v>5</v>
      </c>
      <c r="CG291" s="14">
        <v>3</v>
      </c>
      <c r="CH291" s="14">
        <v>4</v>
      </c>
      <c r="CI291" s="14">
        <f>IFERROR(AVERAGE(Tabel1[[#This Row],[In - C1a]:[In - C1c]]),"")</f>
        <v>4</v>
      </c>
      <c r="CJ291" s="14">
        <v>4</v>
      </c>
      <c r="CK291" s="14">
        <v>2</v>
      </c>
      <c r="CL291" s="14">
        <v>4</v>
      </c>
      <c r="CM291" s="14">
        <f>IFERROR(AVERAGE(Tabel1[[#This Row],[In - C1]:[In - C4]]),"")</f>
        <v>3.5</v>
      </c>
      <c r="CN291" s="14" t="s">
        <v>189</v>
      </c>
      <c r="CO291" s="14">
        <v>3</v>
      </c>
      <c r="CP291" s="14" t="s">
        <v>189</v>
      </c>
      <c r="CQ291" s="14">
        <f>IFERROR(AVERAGE(Tabel1[[#This Row],[In - F1a]:[In - F1c]]),"")</f>
        <v>3</v>
      </c>
      <c r="CR291" s="14" t="s">
        <v>189</v>
      </c>
      <c r="CS291" s="14">
        <v>2</v>
      </c>
      <c r="CT291" s="14">
        <f>IFERROR(AVERAGE(Tabel1[[#This Row],[In - F2a]:[In - F2b]]),"")</f>
        <v>2</v>
      </c>
      <c r="CU291" s="14" t="s">
        <v>189</v>
      </c>
      <c r="CV291" s="14" t="str">
        <f>IFERROR(AVERAGE(Tabel1[[#This Row],[In - F3a]:[In - F3a]]),"")</f>
        <v/>
      </c>
      <c r="CW291" s="14">
        <v>1</v>
      </c>
      <c r="CX291" s="14">
        <f>IFERROR(AVERAGE(Tabel1[[#This Row],[In - F1]],Tabel1[[#This Row],[In - F2]],Tabel1[[#This Row],[In - F3]],Tabel1[[#This Row],[In - F4]]),"")</f>
        <v>2</v>
      </c>
      <c r="CY291" s="14">
        <v>2</v>
      </c>
      <c r="CZ291" s="14">
        <v>3</v>
      </c>
      <c r="DA291" s="14">
        <v>2</v>
      </c>
      <c r="DB291" s="14">
        <f>IFERROR(AVERAGE(Tabel1[[#This Row],[In - V1a]:[In - V1c]]),"")</f>
        <v>2.3333333333333335</v>
      </c>
      <c r="DC291" s="14">
        <v>5</v>
      </c>
      <c r="DD291" s="14">
        <v>5</v>
      </c>
      <c r="DE291" s="14">
        <v>3</v>
      </c>
      <c r="DF291" s="14">
        <f>IFERROR(AVERAGE(Tabel1[[#This Row],[In - V2a]:[In - V2c]]),"")</f>
        <v>4.333333333333333</v>
      </c>
      <c r="DG291" s="14">
        <v>2</v>
      </c>
      <c r="DH291" s="14">
        <v>4</v>
      </c>
      <c r="DI291" s="14">
        <f>IFERROR(AVERAGE(Tabel1[[#This Row],[In - V3a]:[In - V3b]]),"")</f>
        <v>3</v>
      </c>
      <c r="DJ291" s="14">
        <v>4</v>
      </c>
      <c r="DK291" s="14">
        <f>IFERROR(AVERAGE(Tabel1[[#This Row],[In - V1]],Tabel1[[#This Row],[In - V2]],Tabel1[[#This Row],[In - V3]],Tabel1[[#This Row],[In - V4]]),"")</f>
        <v>3.4166666666666665</v>
      </c>
      <c r="DL291" s="14">
        <v>5</v>
      </c>
      <c r="DM291" s="14">
        <v>5</v>
      </c>
      <c r="DN291" s="14">
        <f>IFERROR(AVERAGE(Tabel1[[#This Row],[In - A1a]:[In - A1b]]),"")</f>
        <v>5</v>
      </c>
      <c r="DO291" s="14" t="s">
        <v>189</v>
      </c>
      <c r="DP291" s="14">
        <v>4</v>
      </c>
      <c r="DQ291" s="14">
        <f>IFERROR(AVERAGE(Tabel1[[#This Row],[In - A2a]:[In - A2b]]),"")</f>
        <v>4</v>
      </c>
      <c r="DR291" s="14">
        <v>5</v>
      </c>
      <c r="DS291" s="14">
        <v>2</v>
      </c>
      <c r="DT291" s="14">
        <f>IFERROR(AVERAGE(Tabel1[[#This Row],[In - A3a]:[In - A3a]]),"")</f>
        <v>5</v>
      </c>
      <c r="DU291" s="14">
        <v>4</v>
      </c>
      <c r="DV291" s="14">
        <f>IFERROR(AVERAGE(Tabel1[[#This Row],[In - A1]],Tabel1[[#This Row],[In - A2]],Tabel1[[#This Row],[In - A3]],Tabel1[[#This Row],[In - A4]]),"")</f>
        <v>4.5</v>
      </c>
      <c r="DW291" s="14">
        <v>3</v>
      </c>
      <c r="DX291" s="14">
        <v>4</v>
      </c>
      <c r="DY291" s="14">
        <v>1</v>
      </c>
      <c r="DZ291" s="14">
        <f>IFERROR(AVERAGE(Tabel1[[#This Row],[Do - R1a]:[Do - R1c]]),"")</f>
        <v>2.6666666666666665</v>
      </c>
      <c r="EA291" s="14">
        <v>2</v>
      </c>
      <c r="EB291" s="14">
        <v>5</v>
      </c>
      <c r="EC291" s="14">
        <v>2</v>
      </c>
      <c r="ED291" s="14">
        <v>2</v>
      </c>
      <c r="EE291" s="14">
        <f>IFERROR(AVERAGE(Tabel1[[#This Row],[Do - R1]:[Do - R5]]),"")</f>
        <v>2.7333333333333334</v>
      </c>
      <c r="EF291" s="14">
        <v>4</v>
      </c>
      <c r="EG291" s="14">
        <v>3</v>
      </c>
      <c r="EH291" s="14">
        <v>2</v>
      </c>
      <c r="EI291" s="14">
        <f>IFERROR(AVERAGE(Tabel1[[#This Row],[Do - C1a]:[Do - C1c]]),"")</f>
        <v>3</v>
      </c>
      <c r="EJ291" s="14">
        <v>3</v>
      </c>
      <c r="EK291" s="14" t="s">
        <v>189</v>
      </c>
      <c r="EL291" s="14">
        <v>3</v>
      </c>
      <c r="EM291" s="14">
        <f>IFERROR(AVERAGE(Tabel1[[#This Row],[Do - C1]:[Do - C4]]),"")</f>
        <v>3</v>
      </c>
      <c r="EN291" s="14" t="s">
        <v>189</v>
      </c>
      <c r="EO291" s="14">
        <v>4</v>
      </c>
      <c r="EP291" s="14" t="s">
        <v>189</v>
      </c>
      <c r="EQ291" s="14">
        <f>IFERROR(AVERAGE(Tabel1[[#This Row],[Do - F1a]:[Do - F1c]]),"")</f>
        <v>4</v>
      </c>
      <c r="ER291" s="14">
        <v>3</v>
      </c>
      <c r="ES291" s="14">
        <f>IFERROR(AVERAGE(Tabel1[[#This Row],[Do - F2a]:[Do - F2a]]),"")</f>
        <v>3</v>
      </c>
      <c r="ET291" s="14" t="s">
        <v>189</v>
      </c>
      <c r="EU291" s="14">
        <v>2</v>
      </c>
      <c r="EV291" s="14">
        <f>IFERROR(AVERAGE(Tabel1[[#This Row],[Do - F3a]:[Do - F3b]]),"")</f>
        <v>2</v>
      </c>
      <c r="EW291" s="14">
        <v>2</v>
      </c>
      <c r="EX291" s="14">
        <f>IFERROR(AVERAGE(Tabel1[[#This Row],[Do - F1]],Tabel1[[#This Row],[Do - F2]],Tabel1[[#This Row],[Do - F3]],Tabel1[[#This Row],[Do - F4]]),"")</f>
        <v>2.75</v>
      </c>
      <c r="EY291" s="14">
        <v>5</v>
      </c>
      <c r="EZ291" s="14">
        <v>4</v>
      </c>
      <c r="FA291" s="14">
        <v>3</v>
      </c>
      <c r="FB291" s="14">
        <f>IFERROR(AVERAGE(Tabel1[[#This Row],[Do - V1a]:[Do - V1c]]),"")</f>
        <v>4</v>
      </c>
      <c r="FC291" s="14">
        <v>5</v>
      </c>
      <c r="FD291" s="14">
        <v>5</v>
      </c>
      <c r="FE291" s="14">
        <f>IFERROR(AVERAGE(Tabel1[[#This Row],[Do - V2a]:[Do - V2b]]),"")</f>
        <v>5</v>
      </c>
      <c r="FF291" s="14">
        <v>3</v>
      </c>
      <c r="FG291" s="14">
        <f>IFERROR(AVERAGE(Tabel1[[#This Row],[Do - V3a]:[Do - V3a]]),"")</f>
        <v>3</v>
      </c>
      <c r="FH291" s="14">
        <v>4</v>
      </c>
      <c r="FI291" s="14">
        <f>IFERROR(AVERAGE(Tabel1[[#This Row],[Do - V1]],Tabel1[[#This Row],[Do - V2]],Tabel1[[#This Row],[Do - V3]],Tabel1[[#This Row],[Do - V4]]),"")</f>
        <v>4</v>
      </c>
      <c r="FJ291" s="14">
        <v>5</v>
      </c>
      <c r="FK291" s="14">
        <v>2</v>
      </c>
      <c r="FL291" s="14">
        <v>3</v>
      </c>
      <c r="FM291" s="14">
        <f>IFERROR(AVERAGE(Tabel1[[#This Row],[Do - A1a]:[Do - A1c]]),"")</f>
        <v>3.3333333333333335</v>
      </c>
      <c r="FN291" s="14">
        <v>5</v>
      </c>
      <c r="FO291" s="14">
        <v>5</v>
      </c>
      <c r="FP291" s="14">
        <f>IFERROR(AVERAGE(Tabel1[[#This Row],[Do - A2a]:[Do - A2b]]),"")</f>
        <v>5</v>
      </c>
      <c r="FQ291" s="14">
        <v>3</v>
      </c>
      <c r="FR291" s="14">
        <f>IFERROR(AVERAGE(Tabel1[[#This Row],[Do - A3a]:[Do - A3a]]),"")</f>
        <v>3</v>
      </c>
      <c r="FS291" s="14">
        <v>3</v>
      </c>
      <c r="FT291" s="14">
        <f>IFERROR(AVERAGE(Tabel1[[#This Row],[Do - A1]],Tabel1[[#This Row],[Do - A2]],Tabel1[[#This Row],[Do - A3]],Tabel1[[#This Row],[Do - A4]]),"")</f>
        <v>3.5833333333333335</v>
      </c>
      <c r="FU29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3.4027777777777781</v>
      </c>
      <c r="FV291" s="27" t="s">
        <v>1529</v>
      </c>
      <c r="FW291" t="b">
        <v>1</v>
      </c>
    </row>
    <row r="292" spans="1:179" x14ac:dyDescent="0.3">
      <c r="A292" s="13">
        <v>45418.552939814799</v>
      </c>
      <c r="B292" t="b">
        <v>0</v>
      </c>
      <c r="C292" s="14" t="s">
        <v>1530</v>
      </c>
      <c r="D292" s="14" t="s">
        <v>1531</v>
      </c>
      <c r="E292" s="14" t="s">
        <v>1532</v>
      </c>
      <c r="F292" s="14" t="s">
        <v>184</v>
      </c>
      <c r="G292" s="14" t="s">
        <v>1533</v>
      </c>
      <c r="H292" s="14" t="s">
        <v>222</v>
      </c>
      <c r="I292" s="14" t="s">
        <v>243</v>
      </c>
      <c r="J292" s="14" t="s">
        <v>1534</v>
      </c>
      <c r="K292" s="28" t="s">
        <v>235</v>
      </c>
      <c r="L292" s="14" t="s">
        <v>218</v>
      </c>
      <c r="M292" s="14" t="s">
        <v>281</v>
      </c>
      <c r="N292" s="14" t="s">
        <v>316</v>
      </c>
      <c r="O292" s="14" t="s">
        <v>200</v>
      </c>
      <c r="P292" s="24" t="s">
        <v>255</v>
      </c>
      <c r="Q292" s="17" t="s">
        <v>304</v>
      </c>
      <c r="R292" s="25" t="s">
        <v>187</v>
      </c>
      <c r="S292" s="25" t="s">
        <v>187</v>
      </c>
      <c r="T292" s="14" t="s">
        <v>284</v>
      </c>
      <c r="U292" s="14" t="s">
        <v>285</v>
      </c>
      <c r="V292" s="14" t="s">
        <v>359</v>
      </c>
      <c r="W292" s="14" t="s">
        <v>207</v>
      </c>
      <c r="X292" s="14" t="s">
        <v>395</v>
      </c>
      <c r="Y292" s="14">
        <v>2</v>
      </c>
      <c r="Z292" s="14">
        <v>3</v>
      </c>
      <c r="AA292" s="14">
        <v>2</v>
      </c>
      <c r="AB292" s="15">
        <f>IFERROR(AVERAGE(Tabel1[[#This Row],[Up - R1a]:[Up - R1c]]),"")</f>
        <v>2.3333333333333335</v>
      </c>
      <c r="AC292" s="14">
        <v>3</v>
      </c>
      <c r="AD292" s="14">
        <v>2</v>
      </c>
      <c r="AE292" s="14">
        <v>3</v>
      </c>
      <c r="AF292" s="14">
        <v>5</v>
      </c>
      <c r="AG292" s="14">
        <f>IFERROR(AVERAGE(Tabel1[[#This Row],[Up - R1]:[Up - R5]]),"")</f>
        <v>3.0666666666666669</v>
      </c>
      <c r="AH292" s="14">
        <v>4</v>
      </c>
      <c r="AI292" s="14">
        <v>4</v>
      </c>
      <c r="AJ292" s="14">
        <v>4</v>
      </c>
      <c r="AK292" s="14">
        <f>IFERROR(AVERAGE(Tabel1[[#This Row],[Up - C1a]:[Up - C1c]]),"")</f>
        <v>4</v>
      </c>
      <c r="AL292" s="14">
        <v>4</v>
      </c>
      <c r="AM292" s="14">
        <v>4</v>
      </c>
      <c r="AN292" s="14">
        <v>3</v>
      </c>
      <c r="AO292" s="14">
        <f>IFERROR(AVERAGE(Tabel1[[#This Row],[Up - C1]:[Up - C4]]),"")</f>
        <v>3.75</v>
      </c>
      <c r="AP292" s="14">
        <v>1</v>
      </c>
      <c r="AQ292" s="14">
        <f>IFERROR(AVERAGE(Tabel1[[#This Row],[Up - F1a]:[Up - F1a]]),"")</f>
        <v>1</v>
      </c>
      <c r="AR292" s="14">
        <v>2</v>
      </c>
      <c r="AS292" s="14">
        <v>3</v>
      </c>
      <c r="AT292" s="14">
        <f>IFERROR(AVERAGE(Tabel1[[#This Row],[Up - F2a]:[Up - F2b]]),"")</f>
        <v>2.5</v>
      </c>
      <c r="AU292" s="14">
        <v>2</v>
      </c>
      <c r="AV292" s="14">
        <v>3</v>
      </c>
      <c r="AW292" s="14">
        <f>IFERROR(AVERAGE(Tabel1[[#This Row],[Up - F3a]:[Up - F3b]]),"")</f>
        <v>2.5</v>
      </c>
      <c r="AX292" s="14">
        <v>2</v>
      </c>
      <c r="AY292" s="14">
        <f>IFERROR(AVERAGE(Tabel1[[#This Row],[Up - F1]],Tabel1[[#This Row],[Up - F2]],Tabel1[[#This Row],[Up - F3]],Tabel1[[#This Row],[Up - F4]]),"")</f>
        <v>2</v>
      </c>
      <c r="AZ292" s="14">
        <v>5</v>
      </c>
      <c r="BA292" s="14">
        <v>5</v>
      </c>
      <c r="BB292" s="14">
        <f>IFERROR(AVERAGE(Tabel1[[#This Row],[Up - V1a]:[Up - V1b]]),"")</f>
        <v>5</v>
      </c>
      <c r="BC292" s="14">
        <v>4</v>
      </c>
      <c r="BD292" s="14">
        <v>5</v>
      </c>
      <c r="BE292" s="14">
        <v>3</v>
      </c>
      <c r="BF292" s="14">
        <f>IFERROR(AVERAGE(Tabel1[[#This Row],[Up - V2a]:[Up - V2c]]),"")</f>
        <v>4</v>
      </c>
      <c r="BG292" s="14">
        <v>3</v>
      </c>
      <c r="BH292" s="14">
        <v>2</v>
      </c>
      <c r="BI292" s="14">
        <f>IFERROR(AVERAGE(Tabel1[[#This Row],[Up - V3a]:[Up - V3b]]),"")</f>
        <v>2.5</v>
      </c>
      <c r="BJ292" s="14">
        <v>3</v>
      </c>
      <c r="BK292" s="14">
        <f>IFERROR(AVERAGE(Tabel1[[#This Row],[Up - V1]],Tabel1[[#This Row],[Up - V2]],Tabel1[[#This Row],[Up - V3]],Tabel1[[#This Row],[Up - V4]]),"")</f>
        <v>3.625</v>
      </c>
      <c r="BL292" s="14">
        <v>2</v>
      </c>
      <c r="BM292" s="14">
        <v>3</v>
      </c>
      <c r="BN292" s="14">
        <v>2</v>
      </c>
      <c r="BO292" s="14">
        <v>4</v>
      </c>
      <c r="BP292" s="14">
        <f>IFERROR(AVERAGE(Tabel1[[#This Row],[Up - A1a]:[Up - A1d]]),"")</f>
        <v>2.75</v>
      </c>
      <c r="BQ292" s="14">
        <v>2</v>
      </c>
      <c r="BR292" s="14">
        <v>2</v>
      </c>
      <c r="BS292" s="14">
        <f>IFERROR(AVERAGE(Tabel1[[#This Row],[Up - A2a]:[Up - A2b]]),"")</f>
        <v>2</v>
      </c>
      <c r="BT292" s="14">
        <v>4</v>
      </c>
      <c r="BU292" s="14">
        <f>IFERROR(AVERAGE(Tabel1[[#This Row],[Up - A3a]:[Up - A3a]]),"")</f>
        <v>4</v>
      </c>
      <c r="BV292" s="14">
        <v>3</v>
      </c>
      <c r="BW292" s="14">
        <f>IFERROR(AVERAGE(Tabel1[[#This Row],[Up - A1]],Tabel1[[#This Row],[Up - A2]],Tabel1[[#This Row],[Up - A3]]),"")</f>
        <v>2.9166666666666665</v>
      </c>
      <c r="BX292" s="14">
        <v>3</v>
      </c>
      <c r="BY292" s="14">
        <v>4</v>
      </c>
      <c r="BZ292" s="14">
        <f>IFERROR(AVERAGE(Tabel1[[#This Row],[In - R1a]:[In - R1b]]),"")</f>
        <v>3.5</v>
      </c>
      <c r="CA292" s="14">
        <v>4</v>
      </c>
      <c r="CB292" s="14">
        <v>3</v>
      </c>
      <c r="CC292" s="14">
        <v>2</v>
      </c>
      <c r="CD292" s="14">
        <v>5</v>
      </c>
      <c r="CE292" s="14">
        <f>IFERROR(AVERAGE(Tabel1[[#This Row],[In - R1]:[In - R5]]),"")</f>
        <v>3.5</v>
      </c>
      <c r="CF292" s="14">
        <v>5</v>
      </c>
      <c r="CG292" s="14">
        <v>5</v>
      </c>
      <c r="CH292" s="14">
        <v>5</v>
      </c>
      <c r="CI292" s="14">
        <f>IFERROR(AVERAGE(Tabel1[[#This Row],[In - C1a]:[In - C1c]]),"")</f>
        <v>5</v>
      </c>
      <c r="CJ292" s="14">
        <v>3</v>
      </c>
      <c r="CK292" s="14">
        <v>4</v>
      </c>
      <c r="CL292" s="14">
        <v>4</v>
      </c>
      <c r="CM292" s="14">
        <f>IFERROR(AVERAGE(Tabel1[[#This Row],[In - C1]:[In - C4]]),"")</f>
        <v>4</v>
      </c>
      <c r="CN292" s="14">
        <v>3</v>
      </c>
      <c r="CO292" s="14">
        <v>2</v>
      </c>
      <c r="CP292" s="14">
        <v>1</v>
      </c>
      <c r="CQ292" s="14">
        <f>IFERROR(AVERAGE(Tabel1[[#This Row],[In - F1a]:[In - F1c]]),"")</f>
        <v>2</v>
      </c>
      <c r="CR292" s="14">
        <v>4</v>
      </c>
      <c r="CS292" s="14">
        <v>1</v>
      </c>
      <c r="CT292" s="14">
        <f>IFERROR(AVERAGE(Tabel1[[#This Row],[In - F2a]:[In - F2b]]),"")</f>
        <v>2.5</v>
      </c>
      <c r="CU292" s="14">
        <v>1</v>
      </c>
      <c r="CV292" s="14">
        <f>IFERROR(AVERAGE(Tabel1[[#This Row],[In - F3a]:[In - F3a]]),"")</f>
        <v>1</v>
      </c>
      <c r="CW292" s="14">
        <v>2</v>
      </c>
      <c r="CX292" s="14">
        <f>IFERROR(AVERAGE(Tabel1[[#This Row],[In - F1]],Tabel1[[#This Row],[In - F2]],Tabel1[[#This Row],[In - F3]],Tabel1[[#This Row],[In - F4]]),"")</f>
        <v>1.875</v>
      </c>
      <c r="CY292" s="14">
        <v>4</v>
      </c>
      <c r="CZ292" s="14">
        <v>4</v>
      </c>
      <c r="DA292" s="14">
        <v>4</v>
      </c>
      <c r="DB292" s="14">
        <f>IFERROR(AVERAGE(Tabel1[[#This Row],[In - V1a]:[In - V1c]]),"")</f>
        <v>4</v>
      </c>
      <c r="DC292" s="14">
        <v>4</v>
      </c>
      <c r="DD292" s="14">
        <v>4</v>
      </c>
      <c r="DE292" s="14">
        <v>4</v>
      </c>
      <c r="DF292" s="14">
        <f>IFERROR(AVERAGE(Tabel1[[#This Row],[In - V2a]:[In - V2c]]),"")</f>
        <v>4</v>
      </c>
      <c r="DG292" s="14">
        <v>3</v>
      </c>
      <c r="DH292" s="14">
        <v>4</v>
      </c>
      <c r="DI292" s="14">
        <f>IFERROR(AVERAGE(Tabel1[[#This Row],[In - V3a]:[In - V3b]]),"")</f>
        <v>3.5</v>
      </c>
      <c r="DJ292" s="14">
        <v>4</v>
      </c>
      <c r="DK292" s="14">
        <f>IFERROR(AVERAGE(Tabel1[[#This Row],[In - V1]],Tabel1[[#This Row],[In - V2]],Tabel1[[#This Row],[In - V3]],Tabel1[[#This Row],[In - V4]]),"")</f>
        <v>3.875</v>
      </c>
      <c r="DL292" s="14">
        <v>2</v>
      </c>
      <c r="DM292" s="14">
        <v>3</v>
      </c>
      <c r="DN292" s="14">
        <f>IFERROR(AVERAGE(Tabel1[[#This Row],[In - A1a]:[In - A1b]]),"")</f>
        <v>2.5</v>
      </c>
      <c r="DO292" s="14">
        <v>3</v>
      </c>
      <c r="DP292" s="14">
        <v>4</v>
      </c>
      <c r="DQ292" s="14">
        <f>IFERROR(AVERAGE(Tabel1[[#This Row],[In - A2a]:[In - A2b]]),"")</f>
        <v>3.5</v>
      </c>
      <c r="DR292" s="14">
        <v>4</v>
      </c>
      <c r="DS292" s="14">
        <v>3</v>
      </c>
      <c r="DT292" s="14">
        <f>IFERROR(AVERAGE(Tabel1[[#This Row],[In - A3a]:[In - A3a]]),"")</f>
        <v>4</v>
      </c>
      <c r="DU292" s="14">
        <v>3</v>
      </c>
      <c r="DV292" s="14">
        <f>IFERROR(AVERAGE(Tabel1[[#This Row],[In - A1]],Tabel1[[#This Row],[In - A2]],Tabel1[[#This Row],[In - A3]],Tabel1[[#This Row],[In - A4]]),"")</f>
        <v>3.25</v>
      </c>
      <c r="DW292" s="14">
        <v>2</v>
      </c>
      <c r="DX292" s="14">
        <v>5</v>
      </c>
      <c r="DY292" s="14">
        <v>3</v>
      </c>
      <c r="DZ292" s="14">
        <f>IFERROR(AVERAGE(Tabel1[[#This Row],[Do - R1a]:[Do - R1c]]),"")</f>
        <v>3.3333333333333335</v>
      </c>
      <c r="EA292" s="14">
        <v>2</v>
      </c>
      <c r="EB292" s="14">
        <v>2</v>
      </c>
      <c r="EC292" s="14">
        <v>2</v>
      </c>
      <c r="ED292" s="14">
        <v>3</v>
      </c>
      <c r="EE292" s="14">
        <f>IFERROR(AVERAGE(Tabel1[[#This Row],[Do - R1]:[Do - R5]]),"")</f>
        <v>2.4666666666666668</v>
      </c>
      <c r="EF292" s="14">
        <v>4</v>
      </c>
      <c r="EG292" s="14">
        <v>4</v>
      </c>
      <c r="EH292" s="14">
        <v>4</v>
      </c>
      <c r="EI292" s="14">
        <f>IFERROR(AVERAGE(Tabel1[[#This Row],[Do - C1a]:[Do - C1c]]),"")</f>
        <v>4</v>
      </c>
      <c r="EJ292" s="14">
        <v>4</v>
      </c>
      <c r="EK292" s="14">
        <v>4</v>
      </c>
      <c r="EL292" s="14">
        <v>3</v>
      </c>
      <c r="EM292" s="14">
        <f>IFERROR(AVERAGE(Tabel1[[#This Row],[Do - C1]:[Do - C4]]),"")</f>
        <v>3.75</v>
      </c>
      <c r="EN292" s="14">
        <v>2</v>
      </c>
      <c r="EO292" s="14">
        <v>3</v>
      </c>
      <c r="EP292" s="14">
        <v>2</v>
      </c>
      <c r="EQ292" s="14">
        <f>IFERROR(AVERAGE(Tabel1[[#This Row],[Do - F1a]:[Do - F1c]]),"")</f>
        <v>2.3333333333333335</v>
      </c>
      <c r="ER292" s="14">
        <v>2</v>
      </c>
      <c r="ES292" s="14">
        <f>IFERROR(AVERAGE(Tabel1[[#This Row],[Do - F2a]:[Do - F2a]]),"")</f>
        <v>2</v>
      </c>
      <c r="ET292" s="14">
        <v>1</v>
      </c>
      <c r="EU292" s="14">
        <v>2</v>
      </c>
      <c r="EV292" s="14">
        <f>IFERROR(AVERAGE(Tabel1[[#This Row],[Do - F3a]:[Do - F3b]]),"")</f>
        <v>1.5</v>
      </c>
      <c r="EW292" s="14">
        <v>2</v>
      </c>
      <c r="EX292" s="14">
        <f>IFERROR(AVERAGE(Tabel1[[#This Row],[Do - F1]],Tabel1[[#This Row],[Do - F2]],Tabel1[[#This Row],[Do - F3]],Tabel1[[#This Row],[Do - F4]]),"")</f>
        <v>1.9583333333333335</v>
      </c>
      <c r="EY292" s="14">
        <v>3</v>
      </c>
      <c r="EZ292" s="14">
        <v>4</v>
      </c>
      <c r="FA292" s="14">
        <v>4</v>
      </c>
      <c r="FB292" s="14">
        <f>IFERROR(AVERAGE(Tabel1[[#This Row],[Do - V1a]:[Do - V1c]]),"")</f>
        <v>3.6666666666666665</v>
      </c>
      <c r="FC292" s="14">
        <v>3</v>
      </c>
      <c r="FD292" s="14">
        <v>4</v>
      </c>
      <c r="FE292" s="14">
        <f>IFERROR(AVERAGE(Tabel1[[#This Row],[Do - V2a]:[Do - V2b]]),"")</f>
        <v>3.5</v>
      </c>
      <c r="FF292" s="14">
        <v>4</v>
      </c>
      <c r="FG292" s="14">
        <f>IFERROR(AVERAGE(Tabel1[[#This Row],[Do - V3a]:[Do - V3a]]),"")</f>
        <v>4</v>
      </c>
      <c r="FH292" s="14">
        <v>4</v>
      </c>
      <c r="FI292" s="14">
        <f>IFERROR(AVERAGE(Tabel1[[#This Row],[Do - V1]],Tabel1[[#This Row],[Do - V2]],Tabel1[[#This Row],[Do - V3]],Tabel1[[#This Row],[Do - V4]]),"")</f>
        <v>3.7916666666666665</v>
      </c>
      <c r="FJ292" s="14">
        <v>2</v>
      </c>
      <c r="FK292" s="14">
        <v>1</v>
      </c>
      <c r="FL292" s="14">
        <v>3</v>
      </c>
      <c r="FM292" s="14">
        <f>IFERROR(AVERAGE(Tabel1[[#This Row],[Do - A1a]:[Do - A1c]]),"")</f>
        <v>2</v>
      </c>
      <c r="FN292" s="14">
        <v>4</v>
      </c>
      <c r="FO292" s="14">
        <v>2</v>
      </c>
      <c r="FP292" s="14">
        <f>IFERROR(AVERAGE(Tabel1[[#This Row],[Do - A2a]:[Do - A2b]]),"")</f>
        <v>3</v>
      </c>
      <c r="FQ292" s="14">
        <v>4</v>
      </c>
      <c r="FR292" s="14">
        <f>IFERROR(AVERAGE(Tabel1[[#This Row],[Do - A3a]:[Do - A3a]]),"")</f>
        <v>4</v>
      </c>
      <c r="FS292" s="14" t="s">
        <v>189</v>
      </c>
      <c r="FT292" s="14">
        <f>IFERROR(AVERAGE(Tabel1[[#This Row],[Do - A1]],Tabel1[[#This Row],[Do - A2]],Tabel1[[#This Row],[Do - A3]],Tabel1[[#This Row],[Do - A4]]),"")</f>
        <v>3</v>
      </c>
      <c r="FU29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3.121666666666667</v>
      </c>
      <c r="FV292" s="27" t="s">
        <v>1535</v>
      </c>
      <c r="FW292" t="b">
        <v>1</v>
      </c>
    </row>
    <row r="293" spans="1:179" x14ac:dyDescent="0.3">
      <c r="A293" s="13">
        <v>45418.5708101852</v>
      </c>
      <c r="B293" t="b">
        <v>0</v>
      </c>
      <c r="C293" s="14" t="s">
        <v>1536</v>
      </c>
      <c r="D293" s="14" t="s">
        <v>1537</v>
      </c>
      <c r="E293" s="14" t="s">
        <v>1538</v>
      </c>
      <c r="F293" s="14" t="s">
        <v>184</v>
      </c>
      <c r="G293" s="14" t="s">
        <v>1539</v>
      </c>
      <c r="H293" s="14" t="s">
        <v>222</v>
      </c>
      <c r="I293" s="14" t="s">
        <v>385</v>
      </c>
      <c r="J293" s="14"/>
      <c r="K293" s="28" t="s">
        <v>201</v>
      </c>
      <c r="L293" s="14" t="s">
        <v>197</v>
      </c>
      <c r="M293" s="14" t="s">
        <v>198</v>
      </c>
      <c r="N293" s="14" t="s">
        <v>479</v>
      </c>
      <c r="O293" s="14" t="s">
        <v>200</v>
      </c>
      <c r="P293" s="24" t="s">
        <v>304</v>
      </c>
      <c r="Q293" s="17" t="s">
        <v>203</v>
      </c>
      <c r="R293" s="25" t="s">
        <v>202</v>
      </c>
      <c r="S293" s="25" t="s">
        <v>187</v>
      </c>
      <c r="T293" s="14" t="s">
        <v>284</v>
      </c>
      <c r="U293" s="14" t="s">
        <v>205</v>
      </c>
      <c r="V293" s="14" t="s">
        <v>224</v>
      </c>
      <c r="W293" s="14" t="s">
        <v>395</v>
      </c>
      <c r="X293" s="14" t="s">
        <v>207</v>
      </c>
      <c r="Y293" s="14">
        <v>3</v>
      </c>
      <c r="Z293" s="14">
        <v>3</v>
      </c>
      <c r="AA293" s="14" t="s">
        <v>189</v>
      </c>
      <c r="AB293" s="15">
        <f>IFERROR(AVERAGE(Tabel1[[#This Row],[Up - R1a]:[Up - R1c]]),"")</f>
        <v>3</v>
      </c>
      <c r="AC293" s="14">
        <v>1</v>
      </c>
      <c r="AD293" s="14">
        <v>3</v>
      </c>
      <c r="AE293" s="14">
        <v>1</v>
      </c>
      <c r="AF293" s="14">
        <v>1</v>
      </c>
      <c r="AG293" s="14">
        <f>IFERROR(AVERAGE(Tabel1[[#This Row],[Up - R1]:[Up - R5]]),"")</f>
        <v>1.8</v>
      </c>
      <c r="AH293" s="14">
        <v>3</v>
      </c>
      <c r="AI293" s="14">
        <v>3</v>
      </c>
      <c r="AJ293" s="14">
        <v>4</v>
      </c>
      <c r="AK293" s="14">
        <f>IFERROR(AVERAGE(Tabel1[[#This Row],[Up - C1a]:[Up - C1c]]),"")</f>
        <v>3.3333333333333335</v>
      </c>
      <c r="AL293" s="14">
        <v>3</v>
      </c>
      <c r="AM293" s="14">
        <v>3</v>
      </c>
      <c r="AN293" s="14">
        <v>3</v>
      </c>
      <c r="AO293" s="14">
        <f>IFERROR(AVERAGE(Tabel1[[#This Row],[Up - C1]:[Up - C4]]),"")</f>
        <v>3.0833333333333335</v>
      </c>
      <c r="AP293" s="14">
        <v>2</v>
      </c>
      <c r="AQ293" s="14">
        <f>IFERROR(AVERAGE(Tabel1[[#This Row],[Up - F1a]:[Up - F1a]]),"")</f>
        <v>2</v>
      </c>
      <c r="AR293" s="14">
        <v>1</v>
      </c>
      <c r="AS293" s="14">
        <v>3</v>
      </c>
      <c r="AT293" s="14">
        <f>IFERROR(AVERAGE(Tabel1[[#This Row],[Up - F2a]:[Up - F2b]]),"")</f>
        <v>2</v>
      </c>
      <c r="AU293" s="14">
        <v>2</v>
      </c>
      <c r="AV293" s="14">
        <v>3</v>
      </c>
      <c r="AW293" s="14">
        <f>IFERROR(AVERAGE(Tabel1[[#This Row],[Up - F3a]:[Up - F3b]]),"")</f>
        <v>2.5</v>
      </c>
      <c r="AX293" s="14">
        <v>3</v>
      </c>
      <c r="AY293" s="14">
        <f>IFERROR(AVERAGE(Tabel1[[#This Row],[Up - F1]],Tabel1[[#This Row],[Up - F2]],Tabel1[[#This Row],[Up - F3]],Tabel1[[#This Row],[Up - F4]]),"")</f>
        <v>2.375</v>
      </c>
      <c r="AZ293" s="14">
        <v>2</v>
      </c>
      <c r="BA293" s="14">
        <v>2</v>
      </c>
      <c r="BB293" s="14">
        <f>IFERROR(AVERAGE(Tabel1[[#This Row],[Up - V1a]:[Up - V1b]]),"")</f>
        <v>2</v>
      </c>
      <c r="BC293" s="14" t="s">
        <v>189</v>
      </c>
      <c r="BD293" s="14">
        <v>2</v>
      </c>
      <c r="BE293" s="14">
        <v>3</v>
      </c>
      <c r="BF293" s="14">
        <f>IFERROR(AVERAGE(Tabel1[[#This Row],[Up - V2a]:[Up - V2c]]),"")</f>
        <v>2.5</v>
      </c>
      <c r="BG293" s="14">
        <v>2</v>
      </c>
      <c r="BH293" s="14">
        <v>1</v>
      </c>
      <c r="BI293" s="14">
        <f>IFERROR(AVERAGE(Tabel1[[#This Row],[Up - V3a]:[Up - V3b]]),"")</f>
        <v>1.5</v>
      </c>
      <c r="BJ293" s="14">
        <v>4</v>
      </c>
      <c r="BK293" s="14">
        <f>IFERROR(AVERAGE(Tabel1[[#This Row],[Up - V1]],Tabel1[[#This Row],[Up - V2]],Tabel1[[#This Row],[Up - V3]],Tabel1[[#This Row],[Up - V4]]),"")</f>
        <v>2.5</v>
      </c>
      <c r="BL293" s="14">
        <v>2</v>
      </c>
      <c r="BM293" s="14">
        <v>3</v>
      </c>
      <c r="BN293" s="14">
        <v>4</v>
      </c>
      <c r="BO293" s="14">
        <v>3</v>
      </c>
      <c r="BP293" s="14">
        <f>IFERROR(AVERAGE(Tabel1[[#This Row],[Up - A1a]:[Up - A1d]]),"")</f>
        <v>3</v>
      </c>
      <c r="BQ293" s="14">
        <v>3</v>
      </c>
      <c r="BR293" s="14">
        <v>4</v>
      </c>
      <c r="BS293" s="14">
        <f>IFERROR(AVERAGE(Tabel1[[#This Row],[Up - A2a]:[Up - A2b]]),"")</f>
        <v>3.5</v>
      </c>
      <c r="BT293" s="14">
        <v>3</v>
      </c>
      <c r="BU293" s="14">
        <f>IFERROR(AVERAGE(Tabel1[[#This Row],[Up - A3a]:[Up - A3a]]),"")</f>
        <v>3</v>
      </c>
      <c r="BV293" s="14">
        <v>1</v>
      </c>
      <c r="BW293" s="14">
        <f>IFERROR(AVERAGE(Tabel1[[#This Row],[Up - A1]],Tabel1[[#This Row],[Up - A2]],Tabel1[[#This Row],[Up - A3]]),"")</f>
        <v>3.1666666666666665</v>
      </c>
      <c r="BX293" s="14">
        <v>2</v>
      </c>
      <c r="BY293" s="14">
        <v>1</v>
      </c>
      <c r="BZ293" s="14">
        <f>IFERROR(AVERAGE(Tabel1[[#This Row],[In - R1a]:[In - R1b]]),"")</f>
        <v>1.5</v>
      </c>
      <c r="CA293" s="14">
        <v>1</v>
      </c>
      <c r="CB293" s="14">
        <v>1</v>
      </c>
      <c r="CC293" s="14">
        <v>1</v>
      </c>
      <c r="CD293" s="14">
        <v>3</v>
      </c>
      <c r="CE293" s="14">
        <f>IFERROR(AVERAGE(Tabel1[[#This Row],[In - R1]:[In - R5]]),"")</f>
        <v>1.5</v>
      </c>
      <c r="CF293" s="14">
        <v>4</v>
      </c>
      <c r="CG293" s="14">
        <v>4</v>
      </c>
      <c r="CH293" s="14">
        <v>4</v>
      </c>
      <c r="CI293" s="14">
        <f>IFERROR(AVERAGE(Tabel1[[#This Row],[In - C1a]:[In - C1c]]),"")</f>
        <v>4</v>
      </c>
      <c r="CJ293" s="14">
        <v>3</v>
      </c>
      <c r="CK293" s="14">
        <v>2</v>
      </c>
      <c r="CL293" s="14">
        <v>3</v>
      </c>
      <c r="CM293" s="14">
        <f>IFERROR(AVERAGE(Tabel1[[#This Row],[In - C1]:[In - C4]]),"")</f>
        <v>3</v>
      </c>
      <c r="CN293" s="14">
        <v>2</v>
      </c>
      <c r="CO293" s="14">
        <v>3</v>
      </c>
      <c r="CP293" s="14">
        <v>1</v>
      </c>
      <c r="CQ293" s="14">
        <f>IFERROR(AVERAGE(Tabel1[[#This Row],[In - F1a]:[In - F1c]]),"")</f>
        <v>2</v>
      </c>
      <c r="CR293" s="14">
        <v>3</v>
      </c>
      <c r="CS293" s="14">
        <v>1</v>
      </c>
      <c r="CT293" s="14">
        <f>IFERROR(AVERAGE(Tabel1[[#This Row],[In - F2a]:[In - F2b]]),"")</f>
        <v>2</v>
      </c>
      <c r="CU293" s="14">
        <v>1</v>
      </c>
      <c r="CV293" s="14">
        <f>IFERROR(AVERAGE(Tabel1[[#This Row],[In - F3a]:[In - F3a]]),"")</f>
        <v>1</v>
      </c>
      <c r="CW293" s="14">
        <v>3</v>
      </c>
      <c r="CX293" s="14">
        <f>IFERROR(AVERAGE(Tabel1[[#This Row],[In - F1]],Tabel1[[#This Row],[In - F2]],Tabel1[[#This Row],[In - F3]],Tabel1[[#This Row],[In - F4]]),"")</f>
        <v>2</v>
      </c>
      <c r="CY293" s="14">
        <v>4</v>
      </c>
      <c r="CZ293" s="14">
        <v>4</v>
      </c>
      <c r="DA293" s="14">
        <v>3</v>
      </c>
      <c r="DB293" s="14">
        <f>IFERROR(AVERAGE(Tabel1[[#This Row],[In - V1a]:[In - V1c]]),"")</f>
        <v>3.6666666666666665</v>
      </c>
      <c r="DC293" s="14">
        <v>4</v>
      </c>
      <c r="DD293" s="14">
        <v>3</v>
      </c>
      <c r="DE293" s="14">
        <v>4</v>
      </c>
      <c r="DF293" s="14">
        <f>IFERROR(AVERAGE(Tabel1[[#This Row],[In - V2a]:[In - V2c]]),"")</f>
        <v>3.6666666666666665</v>
      </c>
      <c r="DG293" s="14" t="s">
        <v>189</v>
      </c>
      <c r="DH293" s="14">
        <v>3</v>
      </c>
      <c r="DI293" s="14">
        <f>IFERROR(AVERAGE(Tabel1[[#This Row],[In - V3a]:[In - V3b]]),"")</f>
        <v>3</v>
      </c>
      <c r="DJ293" s="14">
        <v>3</v>
      </c>
      <c r="DK293" s="14">
        <f>IFERROR(AVERAGE(Tabel1[[#This Row],[In - V1]],Tabel1[[#This Row],[In - V2]],Tabel1[[#This Row],[In - V3]],Tabel1[[#This Row],[In - V4]]),"")</f>
        <v>3.333333333333333</v>
      </c>
      <c r="DL293" s="14">
        <v>3</v>
      </c>
      <c r="DM293" s="14" t="s">
        <v>189</v>
      </c>
      <c r="DN293" s="14">
        <f>IFERROR(AVERAGE(Tabel1[[#This Row],[In - A1a]:[In - A1b]]),"")</f>
        <v>3</v>
      </c>
      <c r="DO293" s="14">
        <v>4</v>
      </c>
      <c r="DP293" s="14">
        <v>4</v>
      </c>
      <c r="DQ293" s="14">
        <f>IFERROR(AVERAGE(Tabel1[[#This Row],[In - A2a]:[In - A2b]]),"")</f>
        <v>4</v>
      </c>
      <c r="DR293" s="14">
        <v>4</v>
      </c>
      <c r="DS293" s="14">
        <v>3</v>
      </c>
      <c r="DT293" s="14">
        <f>IFERROR(AVERAGE(Tabel1[[#This Row],[In - A3a]:[In - A3a]]),"")</f>
        <v>4</v>
      </c>
      <c r="DU293" s="14">
        <v>3</v>
      </c>
      <c r="DV293" s="14">
        <f>IFERROR(AVERAGE(Tabel1[[#This Row],[In - A1]],Tabel1[[#This Row],[In - A2]],Tabel1[[#This Row],[In - A3]],Tabel1[[#This Row],[In - A4]]),"")</f>
        <v>3.5</v>
      </c>
      <c r="DW293" s="14">
        <v>2</v>
      </c>
      <c r="DX293" s="14">
        <v>4</v>
      </c>
      <c r="DY293" s="14">
        <v>2</v>
      </c>
      <c r="DZ293" s="14">
        <f>IFERROR(AVERAGE(Tabel1[[#This Row],[Do - R1a]:[Do - R1c]]),"")</f>
        <v>2.6666666666666665</v>
      </c>
      <c r="EA293" s="14">
        <v>1</v>
      </c>
      <c r="EB293" s="14">
        <v>3</v>
      </c>
      <c r="EC293" s="14">
        <v>1</v>
      </c>
      <c r="ED293" s="14">
        <v>2</v>
      </c>
      <c r="EE293" s="14">
        <f>IFERROR(AVERAGE(Tabel1[[#This Row],[Do - R1]:[Do - R5]]),"")</f>
        <v>1.9333333333333331</v>
      </c>
      <c r="EF293" s="14">
        <v>3</v>
      </c>
      <c r="EG293" s="14">
        <v>3</v>
      </c>
      <c r="EH293" s="14">
        <v>3</v>
      </c>
      <c r="EI293" s="14">
        <f>IFERROR(AVERAGE(Tabel1[[#This Row],[Do - C1a]:[Do - C1c]]),"")</f>
        <v>3</v>
      </c>
      <c r="EJ293" s="14">
        <v>3</v>
      </c>
      <c r="EK293" s="14">
        <v>2</v>
      </c>
      <c r="EL293" s="14">
        <v>3</v>
      </c>
      <c r="EM293" s="14">
        <f>IFERROR(AVERAGE(Tabel1[[#This Row],[Do - C1]:[Do - C4]]),"")</f>
        <v>2.75</v>
      </c>
      <c r="EN293" s="14">
        <v>3</v>
      </c>
      <c r="EO293" s="14">
        <v>2</v>
      </c>
      <c r="EP293" s="14">
        <v>4</v>
      </c>
      <c r="EQ293" s="14">
        <f>IFERROR(AVERAGE(Tabel1[[#This Row],[Do - F1a]:[Do - F1c]]),"")</f>
        <v>3</v>
      </c>
      <c r="ER293" s="14">
        <v>4</v>
      </c>
      <c r="ES293" s="14">
        <f>IFERROR(AVERAGE(Tabel1[[#This Row],[Do - F2a]:[Do - F2a]]),"")</f>
        <v>4</v>
      </c>
      <c r="ET293" s="14">
        <v>4</v>
      </c>
      <c r="EU293" s="14">
        <v>4</v>
      </c>
      <c r="EV293" s="14">
        <f>IFERROR(AVERAGE(Tabel1[[#This Row],[Do - F3a]:[Do - F3b]]),"")</f>
        <v>4</v>
      </c>
      <c r="EW293" s="14">
        <v>3</v>
      </c>
      <c r="EX293" s="14">
        <f>IFERROR(AVERAGE(Tabel1[[#This Row],[Do - F1]],Tabel1[[#This Row],[Do - F2]],Tabel1[[#This Row],[Do - F3]],Tabel1[[#This Row],[Do - F4]]),"")</f>
        <v>3.5</v>
      </c>
      <c r="EY293" s="14">
        <v>3</v>
      </c>
      <c r="EZ293" s="14">
        <v>3</v>
      </c>
      <c r="FA293" s="14">
        <v>4</v>
      </c>
      <c r="FB293" s="14">
        <f>IFERROR(AVERAGE(Tabel1[[#This Row],[Do - V1a]:[Do - V1c]]),"")</f>
        <v>3.3333333333333335</v>
      </c>
      <c r="FC293" s="14">
        <v>4</v>
      </c>
      <c r="FD293" s="14">
        <v>4</v>
      </c>
      <c r="FE293" s="14">
        <f>IFERROR(AVERAGE(Tabel1[[#This Row],[Do - V2a]:[Do - V2b]]),"")</f>
        <v>4</v>
      </c>
      <c r="FF293" s="14">
        <v>1</v>
      </c>
      <c r="FG293" s="14">
        <f>IFERROR(AVERAGE(Tabel1[[#This Row],[Do - V3a]:[Do - V3a]]),"")</f>
        <v>1</v>
      </c>
      <c r="FH293" s="14">
        <v>4</v>
      </c>
      <c r="FI293" s="14">
        <f>IFERROR(AVERAGE(Tabel1[[#This Row],[Do - V1]],Tabel1[[#This Row],[Do - V2]],Tabel1[[#This Row],[Do - V3]],Tabel1[[#This Row],[Do - V4]]),"")</f>
        <v>3.0833333333333335</v>
      </c>
      <c r="FJ293" s="14">
        <v>4</v>
      </c>
      <c r="FK293" s="14">
        <v>4</v>
      </c>
      <c r="FL293" s="14">
        <v>4</v>
      </c>
      <c r="FM293" s="14">
        <f>IFERROR(AVERAGE(Tabel1[[#This Row],[Do - A1a]:[Do - A1c]]),"")</f>
        <v>4</v>
      </c>
      <c r="FN293" s="14">
        <v>3</v>
      </c>
      <c r="FO293" s="14">
        <v>4</v>
      </c>
      <c r="FP293" s="14">
        <f>IFERROR(AVERAGE(Tabel1[[#This Row],[Do - A2a]:[Do - A2b]]),"")</f>
        <v>3.5</v>
      </c>
      <c r="FQ293" s="14">
        <v>4</v>
      </c>
      <c r="FR293" s="14">
        <f>IFERROR(AVERAGE(Tabel1[[#This Row],[Do - A3a]:[Do - A3a]]),"")</f>
        <v>4</v>
      </c>
      <c r="FS293" s="14">
        <v>3</v>
      </c>
      <c r="FT293" s="14">
        <f>IFERROR(AVERAGE(Tabel1[[#This Row],[Do - A1]],Tabel1[[#This Row],[Do - A2]],Tabel1[[#This Row],[Do - A3]],Tabel1[[#This Row],[Do - A4]]),"")</f>
        <v>3.625</v>
      </c>
      <c r="FU29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2.7433333333333332</v>
      </c>
      <c r="FV293" s="27" t="s">
        <v>1540</v>
      </c>
      <c r="FW293" t="b">
        <v>1</v>
      </c>
    </row>
    <row r="294" spans="1:179" x14ac:dyDescent="0.3">
      <c r="A294" s="13">
        <v>45418.5769560185</v>
      </c>
      <c r="B294" t="b">
        <v>0</v>
      </c>
      <c r="C294" s="14" t="s">
        <v>1541</v>
      </c>
      <c r="D294" s="14" t="s">
        <v>1542</v>
      </c>
      <c r="E294" s="14" t="s">
        <v>1543</v>
      </c>
      <c r="F294" s="14" t="s">
        <v>184</v>
      </c>
      <c r="G294" s="14" t="s">
        <v>1544</v>
      </c>
      <c r="H294" s="14" t="s">
        <v>222</v>
      </c>
      <c r="I294" s="14" t="s">
        <v>385</v>
      </c>
      <c r="J294" s="14"/>
      <c r="K294" s="28" t="s">
        <v>235</v>
      </c>
      <c r="L294" s="14" t="s">
        <v>197</v>
      </c>
      <c r="M294" s="14" t="s">
        <v>198</v>
      </c>
      <c r="N294" s="14" t="s">
        <v>199</v>
      </c>
      <c r="O294" s="14" t="s">
        <v>200</v>
      </c>
      <c r="P294" s="25" t="s">
        <v>701</v>
      </c>
      <c r="Q294" s="17" t="s">
        <v>235</v>
      </c>
      <c r="R294" s="25" t="s">
        <v>235</v>
      </c>
      <c r="S294" s="25" t="s">
        <v>235</v>
      </c>
      <c r="T294" s="14" t="s">
        <v>284</v>
      </c>
      <c r="U294" s="14" t="s">
        <v>285</v>
      </c>
      <c r="V294" s="14" t="s">
        <v>206</v>
      </c>
      <c r="W294" s="14" t="s">
        <v>207</v>
      </c>
      <c r="X294" s="14" t="s">
        <v>395</v>
      </c>
      <c r="Y294" s="14">
        <v>3</v>
      </c>
      <c r="Z294" s="14">
        <v>4</v>
      </c>
      <c r="AA294" s="14">
        <v>3</v>
      </c>
      <c r="AB294" s="15">
        <f>IFERROR(AVERAGE(Tabel1[[#This Row],[Up - R1a]:[Up - R1c]]),"")</f>
        <v>3.3333333333333335</v>
      </c>
      <c r="AC294" s="14">
        <v>1</v>
      </c>
      <c r="AD294" s="14">
        <v>2</v>
      </c>
      <c r="AE294" s="14">
        <v>1</v>
      </c>
      <c r="AF294" s="14">
        <v>3</v>
      </c>
      <c r="AG294" s="14">
        <f>IFERROR(AVERAGE(Tabel1[[#This Row],[Up - R1]:[Up - R5]]),"")</f>
        <v>2.0666666666666669</v>
      </c>
      <c r="AH294" s="14">
        <v>4</v>
      </c>
      <c r="AI294" s="14">
        <v>3</v>
      </c>
      <c r="AJ294" s="14">
        <v>3</v>
      </c>
      <c r="AK294" s="14">
        <f>IFERROR(AVERAGE(Tabel1[[#This Row],[Up - C1a]:[Up - C1c]]),"")</f>
        <v>3.3333333333333335</v>
      </c>
      <c r="AL294" s="14">
        <v>3</v>
      </c>
      <c r="AM294" s="14">
        <v>2</v>
      </c>
      <c r="AN294" s="14">
        <v>3</v>
      </c>
      <c r="AO294" s="14">
        <f>IFERROR(AVERAGE(Tabel1[[#This Row],[Up - C1]:[Up - C4]]),"")</f>
        <v>2.8333333333333335</v>
      </c>
      <c r="AP294" s="14">
        <v>2</v>
      </c>
      <c r="AQ294" s="14">
        <f>IFERROR(AVERAGE(Tabel1[[#This Row],[Up - F1a]:[Up - F1a]]),"")</f>
        <v>2</v>
      </c>
      <c r="AR294" s="14">
        <v>3</v>
      </c>
      <c r="AS294" s="14">
        <v>3</v>
      </c>
      <c r="AT294" s="14">
        <f>IFERROR(AVERAGE(Tabel1[[#This Row],[Up - F2a]:[Up - F2b]]),"")</f>
        <v>3</v>
      </c>
      <c r="AU294" s="14">
        <v>2</v>
      </c>
      <c r="AV294" s="14" t="s">
        <v>189</v>
      </c>
      <c r="AW294" s="14">
        <f>IFERROR(AVERAGE(Tabel1[[#This Row],[Up - F3a]:[Up - F3b]]),"")</f>
        <v>2</v>
      </c>
      <c r="AX294" s="14">
        <v>2</v>
      </c>
      <c r="AY294" s="14">
        <f>IFERROR(AVERAGE(Tabel1[[#This Row],[Up - F1]],Tabel1[[#This Row],[Up - F2]],Tabel1[[#This Row],[Up - F3]],Tabel1[[#This Row],[Up - F4]]),"")</f>
        <v>2.25</v>
      </c>
      <c r="AZ294" s="14">
        <v>2</v>
      </c>
      <c r="BA294" s="14">
        <v>2</v>
      </c>
      <c r="BB294" s="14">
        <f>IFERROR(AVERAGE(Tabel1[[#This Row],[Up - V1a]:[Up - V1b]]),"")</f>
        <v>2</v>
      </c>
      <c r="BC294" s="14">
        <v>5</v>
      </c>
      <c r="BD294" s="14">
        <v>1</v>
      </c>
      <c r="BE294" s="14">
        <v>2</v>
      </c>
      <c r="BF294" s="14">
        <f>IFERROR(AVERAGE(Tabel1[[#This Row],[Up - V2a]:[Up - V2c]]),"")</f>
        <v>2.6666666666666665</v>
      </c>
      <c r="BG294" s="14">
        <v>1</v>
      </c>
      <c r="BH294" s="14">
        <v>1</v>
      </c>
      <c r="BI294" s="14">
        <f>IFERROR(AVERAGE(Tabel1[[#This Row],[Up - V3a]:[Up - V3b]]),"")</f>
        <v>1</v>
      </c>
      <c r="BJ294" s="14">
        <v>2</v>
      </c>
      <c r="BK294" s="14">
        <f>IFERROR(AVERAGE(Tabel1[[#This Row],[Up - V1]],Tabel1[[#This Row],[Up - V2]],Tabel1[[#This Row],[Up - V3]],Tabel1[[#This Row],[Up - V4]]),"")</f>
        <v>1.9166666666666665</v>
      </c>
      <c r="BL294" s="14">
        <v>5</v>
      </c>
      <c r="BM294" s="14">
        <v>4</v>
      </c>
      <c r="BN294" s="14">
        <v>3</v>
      </c>
      <c r="BO294" s="14">
        <v>5</v>
      </c>
      <c r="BP294" s="14">
        <f>IFERROR(AVERAGE(Tabel1[[#This Row],[Up - A1a]:[Up - A1d]]),"")</f>
        <v>4.25</v>
      </c>
      <c r="BQ294" s="14">
        <v>5</v>
      </c>
      <c r="BR294" s="14">
        <v>2</v>
      </c>
      <c r="BS294" s="14">
        <f>IFERROR(AVERAGE(Tabel1[[#This Row],[Up - A2a]:[Up - A2b]]),"")</f>
        <v>3.5</v>
      </c>
      <c r="BT294" s="14">
        <v>3</v>
      </c>
      <c r="BU294" s="14">
        <f>IFERROR(AVERAGE(Tabel1[[#This Row],[Up - A3a]:[Up - A3a]]),"")</f>
        <v>3</v>
      </c>
      <c r="BV294" s="14">
        <v>3</v>
      </c>
      <c r="BW294" s="14">
        <f>IFERROR(AVERAGE(Tabel1[[#This Row],[Up - A1]],Tabel1[[#This Row],[Up - A2]],Tabel1[[#This Row],[Up - A3]]),"")</f>
        <v>3.5833333333333335</v>
      </c>
      <c r="BX294" s="14">
        <v>4</v>
      </c>
      <c r="BY294" s="14">
        <v>2</v>
      </c>
      <c r="BZ294" s="14">
        <f>IFERROR(AVERAGE(Tabel1[[#This Row],[In - R1a]:[In - R1b]]),"")</f>
        <v>3</v>
      </c>
      <c r="CA294" s="14">
        <v>1</v>
      </c>
      <c r="CB294" s="14">
        <v>2</v>
      </c>
      <c r="CC294" s="14">
        <v>1</v>
      </c>
      <c r="CD294" s="14">
        <v>3</v>
      </c>
      <c r="CE294" s="14">
        <f>IFERROR(AVERAGE(Tabel1[[#This Row],[In - R1]:[In - R5]]),"")</f>
        <v>2</v>
      </c>
      <c r="CF294" s="14">
        <v>4</v>
      </c>
      <c r="CG294" s="14">
        <v>4</v>
      </c>
      <c r="CH294" s="14">
        <v>4</v>
      </c>
      <c r="CI294" s="14">
        <f>IFERROR(AVERAGE(Tabel1[[#This Row],[In - C1a]:[In - C1c]]),"")</f>
        <v>4</v>
      </c>
      <c r="CJ294" s="14">
        <v>3</v>
      </c>
      <c r="CK294" s="14">
        <v>4</v>
      </c>
      <c r="CL294" s="14">
        <v>4</v>
      </c>
      <c r="CM294" s="14">
        <f>IFERROR(AVERAGE(Tabel1[[#This Row],[In - C1]:[In - C4]]),"")</f>
        <v>3.75</v>
      </c>
      <c r="CN294" s="14">
        <v>2</v>
      </c>
      <c r="CO294" s="14">
        <v>4</v>
      </c>
      <c r="CP294" s="14">
        <v>2</v>
      </c>
      <c r="CQ294" s="14">
        <f>IFERROR(AVERAGE(Tabel1[[#This Row],[In - F1a]:[In - F1c]]),"")</f>
        <v>2.6666666666666665</v>
      </c>
      <c r="CR294" s="14" t="s">
        <v>189</v>
      </c>
      <c r="CS294" s="14" t="s">
        <v>189</v>
      </c>
      <c r="CT294" s="14" t="str">
        <f>IFERROR(AVERAGE(Tabel1[[#This Row],[In - F2a]:[In - F2b]]),"")</f>
        <v/>
      </c>
      <c r="CU294" s="14" t="s">
        <v>189</v>
      </c>
      <c r="CV294" s="14" t="str">
        <f>IFERROR(AVERAGE(Tabel1[[#This Row],[In - F3a]:[In - F3a]]),"")</f>
        <v/>
      </c>
      <c r="CW294" s="14">
        <v>2</v>
      </c>
      <c r="CX294" s="14">
        <f>IFERROR(AVERAGE(Tabel1[[#This Row],[In - F1]],Tabel1[[#This Row],[In - F2]],Tabel1[[#This Row],[In - F3]],Tabel1[[#This Row],[In - F4]]),"")</f>
        <v>2.333333333333333</v>
      </c>
      <c r="CY294" s="14">
        <v>4</v>
      </c>
      <c r="CZ294" s="14">
        <v>3</v>
      </c>
      <c r="DA294" s="14">
        <v>3</v>
      </c>
      <c r="DB294" s="14">
        <f>IFERROR(AVERAGE(Tabel1[[#This Row],[In - V1a]:[In - V1c]]),"")</f>
        <v>3.3333333333333335</v>
      </c>
      <c r="DC294" s="14">
        <v>4</v>
      </c>
      <c r="DD294" s="14">
        <v>4</v>
      </c>
      <c r="DE294" s="14">
        <v>4</v>
      </c>
      <c r="DF294" s="14">
        <f>IFERROR(AVERAGE(Tabel1[[#This Row],[In - V2a]:[In - V2c]]),"")</f>
        <v>4</v>
      </c>
      <c r="DG294" s="14">
        <v>4</v>
      </c>
      <c r="DH294" s="14">
        <v>4</v>
      </c>
      <c r="DI294" s="14">
        <f>IFERROR(AVERAGE(Tabel1[[#This Row],[In - V3a]:[In - V3b]]),"")</f>
        <v>4</v>
      </c>
      <c r="DJ294" s="14">
        <v>5</v>
      </c>
      <c r="DK294" s="14">
        <f>IFERROR(AVERAGE(Tabel1[[#This Row],[In - V1]],Tabel1[[#This Row],[In - V2]],Tabel1[[#This Row],[In - V3]],Tabel1[[#This Row],[In - V4]]),"")</f>
        <v>4.0833333333333339</v>
      </c>
      <c r="DL294" s="14">
        <v>5</v>
      </c>
      <c r="DM294" s="14">
        <v>4</v>
      </c>
      <c r="DN294" s="14">
        <f>IFERROR(AVERAGE(Tabel1[[#This Row],[In - A1a]:[In - A1b]]),"")</f>
        <v>4.5</v>
      </c>
      <c r="DO294" s="14">
        <v>5</v>
      </c>
      <c r="DP294" s="14">
        <v>4</v>
      </c>
      <c r="DQ294" s="14">
        <f>IFERROR(AVERAGE(Tabel1[[#This Row],[In - A2a]:[In - A2b]]),"")</f>
        <v>4.5</v>
      </c>
      <c r="DR294" s="14">
        <v>4</v>
      </c>
      <c r="DS294" s="14">
        <v>2</v>
      </c>
      <c r="DT294" s="14">
        <f>IFERROR(AVERAGE(Tabel1[[#This Row],[In - A3a]:[In - A3a]]),"")</f>
        <v>4</v>
      </c>
      <c r="DU294" s="14">
        <v>4</v>
      </c>
      <c r="DV294" s="14">
        <f>IFERROR(AVERAGE(Tabel1[[#This Row],[In - A1]],Tabel1[[#This Row],[In - A2]],Tabel1[[#This Row],[In - A3]],Tabel1[[#This Row],[In - A4]]),"")</f>
        <v>4.25</v>
      </c>
      <c r="DW294" s="14">
        <v>1</v>
      </c>
      <c r="DX294" s="14">
        <v>4</v>
      </c>
      <c r="DY294" s="14">
        <v>1</v>
      </c>
      <c r="DZ294" s="14">
        <f>IFERROR(AVERAGE(Tabel1[[#This Row],[Do - R1a]:[Do - R1c]]),"")</f>
        <v>2</v>
      </c>
      <c r="EA294" s="14">
        <v>1</v>
      </c>
      <c r="EB294" s="14">
        <v>2</v>
      </c>
      <c r="EC294" s="14">
        <v>1</v>
      </c>
      <c r="ED294" s="14">
        <v>2</v>
      </c>
      <c r="EE294" s="14">
        <f>IFERROR(AVERAGE(Tabel1[[#This Row],[Do - R1]:[Do - R5]]),"")</f>
        <v>1.6</v>
      </c>
      <c r="EF294" s="14">
        <v>2</v>
      </c>
      <c r="EG294" s="14">
        <v>2</v>
      </c>
      <c r="EH294" s="14">
        <v>2</v>
      </c>
      <c r="EI294" s="14">
        <f>IFERROR(AVERAGE(Tabel1[[#This Row],[Do - C1a]:[Do - C1c]]),"")</f>
        <v>2</v>
      </c>
      <c r="EJ294" s="14">
        <v>2</v>
      </c>
      <c r="EK294" s="14">
        <v>2</v>
      </c>
      <c r="EL294" s="14">
        <v>2</v>
      </c>
      <c r="EM294" s="14">
        <f>IFERROR(AVERAGE(Tabel1[[#This Row],[Do - C1]:[Do - C4]]),"")</f>
        <v>2</v>
      </c>
      <c r="EN294" s="14">
        <v>4</v>
      </c>
      <c r="EO294" s="14">
        <v>3</v>
      </c>
      <c r="EP294" s="14">
        <v>5</v>
      </c>
      <c r="EQ294" s="14">
        <f>IFERROR(AVERAGE(Tabel1[[#This Row],[Do - F1a]:[Do - F1c]]),"")</f>
        <v>4</v>
      </c>
      <c r="ER294" s="14">
        <v>5</v>
      </c>
      <c r="ES294" s="14">
        <f>IFERROR(AVERAGE(Tabel1[[#This Row],[Do - F2a]:[Do - F2a]]),"")</f>
        <v>5</v>
      </c>
      <c r="ET294" s="14">
        <v>2</v>
      </c>
      <c r="EU294" s="14">
        <v>2</v>
      </c>
      <c r="EV294" s="14">
        <f>IFERROR(AVERAGE(Tabel1[[#This Row],[Do - F3a]:[Do - F3b]]),"")</f>
        <v>2</v>
      </c>
      <c r="EW294" s="14">
        <v>2</v>
      </c>
      <c r="EX294" s="14">
        <f>IFERROR(AVERAGE(Tabel1[[#This Row],[Do - F1]],Tabel1[[#This Row],[Do - F2]],Tabel1[[#This Row],[Do - F3]],Tabel1[[#This Row],[Do - F4]]),"")</f>
        <v>3.25</v>
      </c>
      <c r="EY294" s="14">
        <v>2</v>
      </c>
      <c r="EZ294" s="14">
        <v>1</v>
      </c>
      <c r="FA294" s="14">
        <v>3</v>
      </c>
      <c r="FB294" s="14">
        <f>IFERROR(AVERAGE(Tabel1[[#This Row],[Do - V1a]:[Do - V1c]]),"")</f>
        <v>2</v>
      </c>
      <c r="FC294" s="14">
        <v>5</v>
      </c>
      <c r="FD294" s="14">
        <v>1</v>
      </c>
      <c r="FE294" s="14">
        <f>IFERROR(AVERAGE(Tabel1[[#This Row],[Do - V2a]:[Do - V2b]]),"")</f>
        <v>3</v>
      </c>
      <c r="FF294" s="14">
        <v>2</v>
      </c>
      <c r="FG294" s="14">
        <f>IFERROR(AVERAGE(Tabel1[[#This Row],[Do - V3a]:[Do - V3a]]),"")</f>
        <v>2</v>
      </c>
      <c r="FH294" s="14">
        <v>5</v>
      </c>
      <c r="FI294" s="14">
        <f>IFERROR(AVERAGE(Tabel1[[#This Row],[Do - V1]],Tabel1[[#This Row],[Do - V2]],Tabel1[[#This Row],[Do - V3]],Tabel1[[#This Row],[Do - V4]]),"")</f>
        <v>3</v>
      </c>
      <c r="FJ294" s="14">
        <v>5</v>
      </c>
      <c r="FK294" s="14">
        <v>4</v>
      </c>
      <c r="FL294" s="14">
        <v>4</v>
      </c>
      <c r="FM294" s="14">
        <f>IFERROR(AVERAGE(Tabel1[[#This Row],[Do - A1a]:[Do - A1c]]),"")</f>
        <v>4.333333333333333</v>
      </c>
      <c r="FN294" s="14">
        <v>5</v>
      </c>
      <c r="FO294" s="14">
        <v>2</v>
      </c>
      <c r="FP294" s="14">
        <f>IFERROR(AVERAGE(Tabel1[[#This Row],[Do - A2a]:[Do - A2b]]),"")</f>
        <v>3.5</v>
      </c>
      <c r="FQ294" s="14">
        <v>3</v>
      </c>
      <c r="FR294" s="14">
        <f>IFERROR(AVERAGE(Tabel1[[#This Row],[Do - A3a]:[Do - A3a]]),"")</f>
        <v>3</v>
      </c>
      <c r="FS294" s="14">
        <v>4</v>
      </c>
      <c r="FT294" s="14">
        <f>IFERROR(AVERAGE(Tabel1[[#This Row],[Do - A1]],Tabel1[[#This Row],[Do - A2]],Tabel1[[#This Row],[Do - A3]],Tabel1[[#This Row],[Do - A4]]),"")</f>
        <v>3.708333333333333</v>
      </c>
      <c r="FU29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2.8416666666666668</v>
      </c>
      <c r="FV294" s="27" t="s">
        <v>1545</v>
      </c>
      <c r="FW294" t="b">
        <v>1</v>
      </c>
    </row>
    <row r="295" spans="1:179" x14ac:dyDescent="0.3">
      <c r="A295" s="13">
        <v>45418.580636574101</v>
      </c>
      <c r="B295" t="b">
        <v>0</v>
      </c>
      <c r="C295" s="14" t="s">
        <v>1546</v>
      </c>
      <c r="D295" s="14" t="s">
        <v>1547</v>
      </c>
      <c r="E295" s="14" t="s">
        <v>1548</v>
      </c>
      <c r="F295" s="14" t="s">
        <v>184</v>
      </c>
      <c r="G295" s="14" t="s">
        <v>1549</v>
      </c>
      <c r="H295" s="14" t="s">
        <v>222</v>
      </c>
      <c r="I295" s="14" t="s">
        <v>243</v>
      </c>
      <c r="J295" s="14" t="s">
        <v>244</v>
      </c>
      <c r="K295" s="28" t="s">
        <v>203</v>
      </c>
      <c r="L295" s="14" t="s">
        <v>197</v>
      </c>
      <c r="M295" s="14" t="s">
        <v>198</v>
      </c>
      <c r="N295" s="14" t="s">
        <v>199</v>
      </c>
      <c r="O295" s="14" t="s">
        <v>256</v>
      </c>
      <c r="P295" s="24" t="s">
        <v>255</v>
      </c>
      <c r="Q295" s="17" t="s">
        <v>201</v>
      </c>
      <c r="R295" s="24" t="s">
        <v>255</v>
      </c>
      <c r="S295" s="25" t="s">
        <v>235</v>
      </c>
      <c r="T295" s="14" t="s">
        <v>284</v>
      </c>
      <c r="U295" s="14" t="s">
        <v>285</v>
      </c>
      <c r="V295" s="14" t="s">
        <v>224</v>
      </c>
      <c r="W295" s="14" t="s">
        <v>207</v>
      </c>
      <c r="X295" s="14" t="s">
        <v>395</v>
      </c>
      <c r="Y295" s="14">
        <v>4</v>
      </c>
      <c r="Z295" s="14">
        <v>5</v>
      </c>
      <c r="AA295" s="14">
        <v>4</v>
      </c>
      <c r="AB295" s="15">
        <f>IFERROR(AVERAGE(Tabel1[[#This Row],[Up - R1a]:[Up - R1c]]),"")</f>
        <v>4.333333333333333</v>
      </c>
      <c r="AC295" s="14">
        <v>3</v>
      </c>
      <c r="AD295" s="14">
        <v>4</v>
      </c>
      <c r="AE295" s="14">
        <v>3</v>
      </c>
      <c r="AF295" s="14">
        <v>2</v>
      </c>
      <c r="AG295" s="14">
        <f>IFERROR(AVERAGE(Tabel1[[#This Row],[Up - R1]:[Up - R5]]),"")</f>
        <v>3.2666666666666666</v>
      </c>
      <c r="AH295" s="14">
        <v>4</v>
      </c>
      <c r="AI295" s="14">
        <v>4</v>
      </c>
      <c r="AJ295" s="14">
        <v>4</v>
      </c>
      <c r="AK295" s="14">
        <f>IFERROR(AVERAGE(Tabel1[[#This Row],[Up - C1a]:[Up - C1c]]),"")</f>
        <v>4</v>
      </c>
      <c r="AL295" s="14">
        <v>4</v>
      </c>
      <c r="AM295" s="14">
        <v>3</v>
      </c>
      <c r="AN295" s="14">
        <v>3</v>
      </c>
      <c r="AO295" s="14">
        <f>IFERROR(AVERAGE(Tabel1[[#This Row],[Up - C1]:[Up - C4]]),"")</f>
        <v>3.5</v>
      </c>
      <c r="AP295" s="14">
        <v>2</v>
      </c>
      <c r="AQ295" s="14">
        <f>IFERROR(AVERAGE(Tabel1[[#This Row],[Up - F1a]:[Up - F1a]]),"")</f>
        <v>2</v>
      </c>
      <c r="AR295" s="14">
        <v>3</v>
      </c>
      <c r="AS295" s="14">
        <v>3</v>
      </c>
      <c r="AT295" s="14">
        <f>IFERROR(AVERAGE(Tabel1[[#This Row],[Up - F2a]:[Up - F2b]]),"")</f>
        <v>3</v>
      </c>
      <c r="AU295" s="14">
        <v>3</v>
      </c>
      <c r="AV295" s="14">
        <v>3</v>
      </c>
      <c r="AW295" s="14">
        <f>IFERROR(AVERAGE(Tabel1[[#This Row],[Up - F3a]:[Up - F3b]]),"")</f>
        <v>3</v>
      </c>
      <c r="AX295" s="14">
        <v>2</v>
      </c>
      <c r="AY295" s="14">
        <f>IFERROR(AVERAGE(Tabel1[[#This Row],[Up - F1]],Tabel1[[#This Row],[Up - F2]],Tabel1[[#This Row],[Up - F3]],Tabel1[[#This Row],[Up - F4]]),"")</f>
        <v>2.5</v>
      </c>
      <c r="AZ295" s="14">
        <v>4</v>
      </c>
      <c r="BA295" s="14">
        <v>4</v>
      </c>
      <c r="BB295" s="14">
        <f>IFERROR(AVERAGE(Tabel1[[#This Row],[Up - V1a]:[Up - V1b]]),"")</f>
        <v>4</v>
      </c>
      <c r="BC295" s="14">
        <v>4</v>
      </c>
      <c r="BD295" s="14">
        <v>3</v>
      </c>
      <c r="BE295" s="14">
        <v>4</v>
      </c>
      <c r="BF295" s="14">
        <f>IFERROR(AVERAGE(Tabel1[[#This Row],[Up - V2a]:[Up - V2c]]),"")</f>
        <v>3.6666666666666665</v>
      </c>
      <c r="BG295" s="14">
        <v>2</v>
      </c>
      <c r="BH295" s="14">
        <v>2</v>
      </c>
      <c r="BI295" s="14">
        <f>IFERROR(AVERAGE(Tabel1[[#This Row],[Up - V3a]:[Up - V3b]]),"")</f>
        <v>2</v>
      </c>
      <c r="BJ295" s="14">
        <v>2</v>
      </c>
      <c r="BK295" s="14">
        <f>IFERROR(AVERAGE(Tabel1[[#This Row],[Up - V1]],Tabel1[[#This Row],[Up - V2]],Tabel1[[#This Row],[Up - V3]],Tabel1[[#This Row],[Up - V4]]),"")</f>
        <v>2.9166666666666665</v>
      </c>
      <c r="BL295" s="14">
        <v>4</v>
      </c>
      <c r="BM295" s="14">
        <v>4</v>
      </c>
      <c r="BN295" s="14">
        <v>5</v>
      </c>
      <c r="BO295" s="14">
        <v>3</v>
      </c>
      <c r="BP295" s="14">
        <f>IFERROR(AVERAGE(Tabel1[[#This Row],[Up - A1a]:[Up - A1d]]),"")</f>
        <v>4</v>
      </c>
      <c r="BQ295" s="14">
        <v>4</v>
      </c>
      <c r="BR295" s="14">
        <v>5</v>
      </c>
      <c r="BS295" s="14">
        <f>IFERROR(AVERAGE(Tabel1[[#This Row],[Up - A2a]:[Up - A2b]]),"")</f>
        <v>4.5</v>
      </c>
      <c r="BT295" s="14">
        <v>4</v>
      </c>
      <c r="BU295" s="14">
        <f>IFERROR(AVERAGE(Tabel1[[#This Row],[Up - A3a]:[Up - A3a]]),"")</f>
        <v>4</v>
      </c>
      <c r="BV295" s="14">
        <v>4</v>
      </c>
      <c r="BW295" s="14">
        <f>IFERROR(AVERAGE(Tabel1[[#This Row],[Up - A1]],Tabel1[[#This Row],[Up - A2]],Tabel1[[#This Row],[Up - A3]]),"")</f>
        <v>4.166666666666667</v>
      </c>
      <c r="BX295" s="14">
        <v>3</v>
      </c>
      <c r="BY295" s="14">
        <v>3</v>
      </c>
      <c r="BZ295" s="14">
        <f>IFERROR(AVERAGE(Tabel1[[#This Row],[In - R1a]:[In - R1b]]),"")</f>
        <v>3</v>
      </c>
      <c r="CA295" s="14">
        <v>5</v>
      </c>
      <c r="CB295" s="14">
        <v>1</v>
      </c>
      <c r="CC295" s="14">
        <v>2</v>
      </c>
      <c r="CD295" s="14">
        <v>5</v>
      </c>
      <c r="CE295" s="14">
        <f>IFERROR(AVERAGE(Tabel1[[#This Row],[In - R1]:[In - R5]]),"")</f>
        <v>3.2</v>
      </c>
      <c r="CF295" s="14">
        <v>4</v>
      </c>
      <c r="CG295" s="14">
        <v>4</v>
      </c>
      <c r="CH295" s="14">
        <v>4</v>
      </c>
      <c r="CI295" s="14">
        <f>IFERROR(AVERAGE(Tabel1[[#This Row],[In - C1a]:[In - C1c]]),"")</f>
        <v>4</v>
      </c>
      <c r="CJ295" s="14">
        <v>3</v>
      </c>
      <c r="CK295" s="14">
        <v>3</v>
      </c>
      <c r="CL295" s="14">
        <v>4</v>
      </c>
      <c r="CM295" s="14">
        <f>IFERROR(AVERAGE(Tabel1[[#This Row],[In - C1]:[In - C4]]),"")</f>
        <v>3.5</v>
      </c>
      <c r="CN295" s="14">
        <v>2</v>
      </c>
      <c r="CO295" s="14">
        <v>3</v>
      </c>
      <c r="CP295" s="14">
        <v>4</v>
      </c>
      <c r="CQ295" s="14">
        <f>IFERROR(AVERAGE(Tabel1[[#This Row],[In - F1a]:[In - F1c]]),"")</f>
        <v>3</v>
      </c>
      <c r="CR295" s="14">
        <v>1</v>
      </c>
      <c r="CS295" s="14">
        <v>3</v>
      </c>
      <c r="CT295" s="14">
        <f>IFERROR(AVERAGE(Tabel1[[#This Row],[In - F2a]:[In - F2b]]),"")</f>
        <v>2</v>
      </c>
      <c r="CU295" s="14">
        <v>3</v>
      </c>
      <c r="CV295" s="14">
        <f>IFERROR(AVERAGE(Tabel1[[#This Row],[In - F3a]:[In - F3a]]),"")</f>
        <v>3</v>
      </c>
      <c r="CW295" s="14">
        <v>4</v>
      </c>
      <c r="CX295" s="14">
        <f>IFERROR(AVERAGE(Tabel1[[#This Row],[In - F1]],Tabel1[[#This Row],[In - F2]],Tabel1[[#This Row],[In - F3]],Tabel1[[#This Row],[In - F4]]),"")</f>
        <v>3</v>
      </c>
      <c r="CY295" s="14">
        <v>5</v>
      </c>
      <c r="CZ295" s="14">
        <v>4</v>
      </c>
      <c r="DA295" s="14">
        <v>3</v>
      </c>
      <c r="DB295" s="14">
        <f>IFERROR(AVERAGE(Tabel1[[#This Row],[In - V1a]:[In - V1c]]),"")</f>
        <v>4</v>
      </c>
      <c r="DC295" s="14" t="s">
        <v>189</v>
      </c>
      <c r="DD295" s="14" t="s">
        <v>189</v>
      </c>
      <c r="DE295" s="14">
        <v>4</v>
      </c>
      <c r="DF295" s="14">
        <f>IFERROR(AVERAGE(Tabel1[[#This Row],[In - V2a]:[In - V2c]]),"")</f>
        <v>4</v>
      </c>
      <c r="DG295" s="14">
        <v>3</v>
      </c>
      <c r="DH295" s="14">
        <v>5</v>
      </c>
      <c r="DI295" s="14">
        <f>IFERROR(AVERAGE(Tabel1[[#This Row],[In - V3a]:[In - V3b]]),"")</f>
        <v>4</v>
      </c>
      <c r="DJ295" s="14">
        <v>5</v>
      </c>
      <c r="DK295" s="14">
        <f>IFERROR(AVERAGE(Tabel1[[#This Row],[In - V1]],Tabel1[[#This Row],[In - V2]],Tabel1[[#This Row],[In - V3]],Tabel1[[#This Row],[In - V4]]),"")</f>
        <v>4.25</v>
      </c>
      <c r="DL295" s="14">
        <v>3</v>
      </c>
      <c r="DM295" s="14">
        <v>3</v>
      </c>
      <c r="DN295" s="14">
        <f>IFERROR(AVERAGE(Tabel1[[#This Row],[In - A1a]:[In - A1b]]),"")</f>
        <v>3</v>
      </c>
      <c r="DO295" s="14">
        <v>2</v>
      </c>
      <c r="DP295" s="14">
        <v>3</v>
      </c>
      <c r="DQ295" s="14">
        <f>IFERROR(AVERAGE(Tabel1[[#This Row],[In - A2a]:[In - A2b]]),"")</f>
        <v>2.5</v>
      </c>
      <c r="DR295" s="14">
        <v>2</v>
      </c>
      <c r="DS295" s="14">
        <v>4</v>
      </c>
      <c r="DT295" s="14">
        <f>IFERROR(AVERAGE(Tabel1[[#This Row],[In - A3a]:[In - A3a]]),"")</f>
        <v>2</v>
      </c>
      <c r="DU295" s="14">
        <v>2</v>
      </c>
      <c r="DV295" s="14">
        <f>IFERROR(AVERAGE(Tabel1[[#This Row],[In - A1]],Tabel1[[#This Row],[In - A2]],Tabel1[[#This Row],[In - A3]],Tabel1[[#This Row],[In - A4]]),"")</f>
        <v>2.375</v>
      </c>
      <c r="DW295" s="14">
        <v>2</v>
      </c>
      <c r="DX295" s="14">
        <v>4</v>
      </c>
      <c r="DY295" s="14">
        <v>2</v>
      </c>
      <c r="DZ295" s="14">
        <f>IFERROR(AVERAGE(Tabel1[[#This Row],[Do - R1a]:[Do - R1c]]),"")</f>
        <v>2.6666666666666665</v>
      </c>
      <c r="EA295" s="14">
        <v>2</v>
      </c>
      <c r="EB295" s="14">
        <v>2</v>
      </c>
      <c r="EC295" s="14">
        <v>3</v>
      </c>
      <c r="ED295" s="14">
        <v>1</v>
      </c>
      <c r="EE295" s="14">
        <f>IFERROR(AVERAGE(Tabel1[[#This Row],[Do - R1]:[Do - R5]]),"")</f>
        <v>2.1333333333333333</v>
      </c>
      <c r="EF295" s="14">
        <v>3</v>
      </c>
      <c r="EG295" s="14">
        <v>2</v>
      </c>
      <c r="EH295" s="14">
        <v>4</v>
      </c>
      <c r="EI295" s="14">
        <f>IFERROR(AVERAGE(Tabel1[[#This Row],[Do - C1a]:[Do - C1c]]),"")</f>
        <v>3</v>
      </c>
      <c r="EJ295" s="14">
        <v>2</v>
      </c>
      <c r="EK295" s="14">
        <v>1</v>
      </c>
      <c r="EL295" s="14">
        <v>2</v>
      </c>
      <c r="EM295" s="14">
        <f>IFERROR(AVERAGE(Tabel1[[#This Row],[Do - C1]:[Do - C4]]),"")</f>
        <v>2</v>
      </c>
      <c r="EN295" s="14">
        <v>1</v>
      </c>
      <c r="EO295" s="14">
        <v>3</v>
      </c>
      <c r="EP295" s="14">
        <v>5</v>
      </c>
      <c r="EQ295" s="14">
        <f>IFERROR(AVERAGE(Tabel1[[#This Row],[Do - F1a]:[Do - F1c]]),"")</f>
        <v>3</v>
      </c>
      <c r="ER295" s="14">
        <v>3</v>
      </c>
      <c r="ES295" s="14">
        <f>IFERROR(AVERAGE(Tabel1[[#This Row],[Do - F2a]:[Do - F2a]]),"")</f>
        <v>3</v>
      </c>
      <c r="ET295" s="14">
        <v>3</v>
      </c>
      <c r="EU295" s="14">
        <v>2</v>
      </c>
      <c r="EV295" s="14">
        <f>IFERROR(AVERAGE(Tabel1[[#This Row],[Do - F3a]:[Do - F3b]]),"")</f>
        <v>2.5</v>
      </c>
      <c r="EW295" s="14">
        <v>2</v>
      </c>
      <c r="EX295" s="14">
        <f>IFERROR(AVERAGE(Tabel1[[#This Row],[Do - F1]],Tabel1[[#This Row],[Do - F2]],Tabel1[[#This Row],[Do - F3]],Tabel1[[#This Row],[Do - F4]]),"")</f>
        <v>2.625</v>
      </c>
      <c r="EY295" s="14">
        <v>5</v>
      </c>
      <c r="EZ295" s="14">
        <v>4</v>
      </c>
      <c r="FA295" s="14">
        <v>4</v>
      </c>
      <c r="FB295" s="14">
        <f>IFERROR(AVERAGE(Tabel1[[#This Row],[Do - V1a]:[Do - V1c]]),"")</f>
        <v>4.333333333333333</v>
      </c>
      <c r="FC295" s="14">
        <v>4</v>
      </c>
      <c r="FD295" s="14">
        <v>2</v>
      </c>
      <c r="FE295" s="14">
        <f>IFERROR(AVERAGE(Tabel1[[#This Row],[Do - V2a]:[Do - V2b]]),"")</f>
        <v>3</v>
      </c>
      <c r="FF295" s="14">
        <v>3</v>
      </c>
      <c r="FG295" s="14">
        <f>IFERROR(AVERAGE(Tabel1[[#This Row],[Do - V3a]:[Do - V3a]]),"")</f>
        <v>3</v>
      </c>
      <c r="FH295" s="14">
        <v>4</v>
      </c>
      <c r="FI295" s="14">
        <f>IFERROR(AVERAGE(Tabel1[[#This Row],[Do - V1]],Tabel1[[#This Row],[Do - V2]],Tabel1[[#This Row],[Do - V3]],Tabel1[[#This Row],[Do - V4]]),"")</f>
        <v>3.583333333333333</v>
      </c>
      <c r="FJ295" s="14">
        <v>4</v>
      </c>
      <c r="FK295" s="14">
        <v>3</v>
      </c>
      <c r="FL295" s="14">
        <v>4</v>
      </c>
      <c r="FM295" s="14">
        <f>IFERROR(AVERAGE(Tabel1[[#This Row],[Do - A1a]:[Do - A1c]]),"")</f>
        <v>3.6666666666666665</v>
      </c>
      <c r="FN295" s="14">
        <v>4</v>
      </c>
      <c r="FO295" s="14">
        <v>4</v>
      </c>
      <c r="FP295" s="14">
        <f>IFERROR(AVERAGE(Tabel1[[#This Row],[Do - A2a]:[Do - A2b]]),"")</f>
        <v>4</v>
      </c>
      <c r="FQ295" s="14">
        <v>3</v>
      </c>
      <c r="FR295" s="14">
        <f>IFERROR(AVERAGE(Tabel1[[#This Row],[Do - A3a]:[Do - A3a]]),"")</f>
        <v>3</v>
      </c>
      <c r="FS295" s="14">
        <v>4</v>
      </c>
      <c r="FT295" s="14">
        <f>IFERROR(AVERAGE(Tabel1[[#This Row],[Do - A1]],Tabel1[[#This Row],[Do - A2]],Tabel1[[#This Row],[Do - A3]],Tabel1[[#This Row],[Do - A4]]),"")</f>
        <v>3.6666666666666665</v>
      </c>
      <c r="FU29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3.112222222222222</v>
      </c>
      <c r="FV295" s="27" t="s">
        <v>1550</v>
      </c>
      <c r="FW295" t="b">
        <v>1</v>
      </c>
    </row>
    <row r="296" spans="1:179" x14ac:dyDescent="0.3">
      <c r="A296" s="13">
        <v>45418.585833333302</v>
      </c>
      <c r="B296" t="b">
        <v>0</v>
      </c>
      <c r="C296" s="14" t="s">
        <v>1551</v>
      </c>
      <c r="D296" s="14" t="s">
        <v>1552</v>
      </c>
      <c r="E296" s="14" t="s">
        <v>1553</v>
      </c>
      <c r="F296" s="14" t="s">
        <v>184</v>
      </c>
      <c r="G296" s="14" t="s">
        <v>1554</v>
      </c>
      <c r="H296" s="14" t="s">
        <v>222</v>
      </c>
      <c r="I296" s="14" t="s">
        <v>195</v>
      </c>
      <c r="J296" s="14" t="s">
        <v>406</v>
      </c>
      <c r="K296" s="28" t="s">
        <v>235</v>
      </c>
      <c r="L296" s="14" t="s">
        <v>385</v>
      </c>
      <c r="M296" s="14" t="s">
        <v>281</v>
      </c>
      <c r="N296" s="14" t="s">
        <v>262</v>
      </c>
      <c r="O296" s="14" t="s">
        <v>200</v>
      </c>
      <c r="P296" s="24" t="s">
        <v>255</v>
      </c>
      <c r="Q296" s="17" t="s">
        <v>201</v>
      </c>
      <c r="R296" s="25" t="s">
        <v>201</v>
      </c>
      <c r="S296" s="25" t="s">
        <v>201</v>
      </c>
      <c r="T296" s="14" t="s">
        <v>204</v>
      </c>
      <c r="U296" s="14" t="s">
        <v>237</v>
      </c>
      <c r="V296" s="14" t="s">
        <v>224</v>
      </c>
      <c r="W296" s="14" t="s">
        <v>207</v>
      </c>
      <c r="X296" s="14" t="s">
        <v>207</v>
      </c>
      <c r="Y296" s="14">
        <v>3</v>
      </c>
      <c r="Z296" s="14">
        <v>3</v>
      </c>
      <c r="AA296" s="14">
        <v>1</v>
      </c>
      <c r="AB296" s="15">
        <f>IFERROR(AVERAGE(Tabel1[[#This Row],[Up - R1a]:[Up - R1c]]),"")</f>
        <v>2.3333333333333335</v>
      </c>
      <c r="AC296" s="14">
        <v>2</v>
      </c>
      <c r="AD296" s="14">
        <v>1</v>
      </c>
      <c r="AE296" s="14" t="s">
        <v>189</v>
      </c>
      <c r="AF296" s="14" t="s">
        <v>189</v>
      </c>
      <c r="AG296" s="14">
        <f>IFERROR(AVERAGE(Tabel1[[#This Row],[Up - R1]:[Up - R5]]),"")</f>
        <v>1.7777777777777779</v>
      </c>
      <c r="AH296" s="14">
        <v>3</v>
      </c>
      <c r="AI296" s="14">
        <v>3</v>
      </c>
      <c r="AJ296" s="14">
        <v>2</v>
      </c>
      <c r="AK296" s="14">
        <f>IFERROR(AVERAGE(Tabel1[[#This Row],[Up - C1a]:[Up - C1c]]),"")</f>
        <v>2.6666666666666665</v>
      </c>
      <c r="AL296" s="14">
        <v>2</v>
      </c>
      <c r="AM296" s="14">
        <v>2</v>
      </c>
      <c r="AN296" s="14">
        <v>2</v>
      </c>
      <c r="AO296" s="14">
        <f>IFERROR(AVERAGE(Tabel1[[#This Row],[Up - C1]:[Up - C4]]),"")</f>
        <v>2.1666666666666665</v>
      </c>
      <c r="AP296" s="14">
        <v>2</v>
      </c>
      <c r="AQ296" s="14">
        <f>IFERROR(AVERAGE(Tabel1[[#This Row],[Up - F1a]:[Up - F1a]]),"")</f>
        <v>2</v>
      </c>
      <c r="AR296" s="14">
        <v>2</v>
      </c>
      <c r="AS296" s="14" t="s">
        <v>189</v>
      </c>
      <c r="AT296" s="14">
        <f>IFERROR(AVERAGE(Tabel1[[#This Row],[Up - F2a]:[Up - F2b]]),"")</f>
        <v>2</v>
      </c>
      <c r="AU296" s="14">
        <v>1</v>
      </c>
      <c r="AV296" s="14">
        <v>1</v>
      </c>
      <c r="AW296" s="14">
        <f>IFERROR(AVERAGE(Tabel1[[#This Row],[Up - F3a]:[Up - F3b]]),"")</f>
        <v>1</v>
      </c>
      <c r="AX296" s="14">
        <v>2</v>
      </c>
      <c r="AY296" s="14">
        <f>IFERROR(AVERAGE(Tabel1[[#This Row],[Up - F1]],Tabel1[[#This Row],[Up - F2]],Tabel1[[#This Row],[Up - F3]],Tabel1[[#This Row],[Up - F4]]),"")</f>
        <v>1.75</v>
      </c>
      <c r="AZ296" s="14">
        <v>2</v>
      </c>
      <c r="BA296" s="14">
        <v>3</v>
      </c>
      <c r="BB296" s="14">
        <f>IFERROR(AVERAGE(Tabel1[[#This Row],[Up - V1a]:[Up - V1b]]),"")</f>
        <v>2.5</v>
      </c>
      <c r="BC296" s="14">
        <v>4</v>
      </c>
      <c r="BD296" s="14">
        <v>4</v>
      </c>
      <c r="BE296" s="14">
        <v>4</v>
      </c>
      <c r="BF296" s="14">
        <f>IFERROR(AVERAGE(Tabel1[[#This Row],[Up - V2a]:[Up - V2c]]),"")</f>
        <v>4</v>
      </c>
      <c r="BG296" s="14">
        <v>4</v>
      </c>
      <c r="BH296" s="14">
        <v>3</v>
      </c>
      <c r="BI296" s="14">
        <f>IFERROR(AVERAGE(Tabel1[[#This Row],[Up - V3a]:[Up - V3b]]),"")</f>
        <v>3.5</v>
      </c>
      <c r="BJ296" s="14">
        <v>3</v>
      </c>
      <c r="BK296" s="14">
        <f>IFERROR(AVERAGE(Tabel1[[#This Row],[Up - V1]],Tabel1[[#This Row],[Up - V2]],Tabel1[[#This Row],[Up - V3]],Tabel1[[#This Row],[Up - V4]]),"")</f>
        <v>3.25</v>
      </c>
      <c r="BL296" s="14">
        <v>2</v>
      </c>
      <c r="BM296" s="14">
        <v>2</v>
      </c>
      <c r="BN296" s="14">
        <v>1</v>
      </c>
      <c r="BO296" s="14">
        <v>1</v>
      </c>
      <c r="BP296" s="14">
        <f>IFERROR(AVERAGE(Tabel1[[#This Row],[Up - A1a]:[Up - A1d]]),"")</f>
        <v>1.5</v>
      </c>
      <c r="BQ296" s="14">
        <v>3</v>
      </c>
      <c r="BR296" s="14">
        <v>1</v>
      </c>
      <c r="BS296" s="14">
        <f>IFERROR(AVERAGE(Tabel1[[#This Row],[Up - A2a]:[Up - A2b]]),"")</f>
        <v>2</v>
      </c>
      <c r="BT296" s="14">
        <v>3</v>
      </c>
      <c r="BU296" s="14">
        <f>IFERROR(AVERAGE(Tabel1[[#This Row],[Up - A3a]:[Up - A3a]]),"")</f>
        <v>3</v>
      </c>
      <c r="BV296" s="14">
        <v>2</v>
      </c>
      <c r="BW296" s="14">
        <f>IFERROR(AVERAGE(Tabel1[[#This Row],[Up - A1]],Tabel1[[#This Row],[Up - A2]],Tabel1[[#This Row],[Up - A3]]),"")</f>
        <v>2.1666666666666665</v>
      </c>
      <c r="BX296" s="14">
        <v>1</v>
      </c>
      <c r="BY296" s="14">
        <v>2</v>
      </c>
      <c r="BZ296" s="14">
        <f>IFERROR(AVERAGE(Tabel1[[#This Row],[In - R1a]:[In - R1b]]),"")</f>
        <v>1.5</v>
      </c>
      <c r="CA296" s="14">
        <v>2</v>
      </c>
      <c r="CB296" s="14" t="s">
        <v>189</v>
      </c>
      <c r="CC296" s="14">
        <v>1</v>
      </c>
      <c r="CD296" s="14">
        <v>2</v>
      </c>
      <c r="CE296" s="14">
        <f>IFERROR(AVERAGE(Tabel1[[#This Row],[In - R1]:[In - R5]]),"")</f>
        <v>1.625</v>
      </c>
      <c r="CF296" s="14">
        <v>5</v>
      </c>
      <c r="CG296" s="14">
        <v>4</v>
      </c>
      <c r="CH296" s="14">
        <v>4</v>
      </c>
      <c r="CI296" s="14">
        <f>IFERROR(AVERAGE(Tabel1[[#This Row],[In - C1a]:[In - C1c]]),"")</f>
        <v>4.333333333333333</v>
      </c>
      <c r="CJ296" s="14">
        <v>4</v>
      </c>
      <c r="CK296" s="14">
        <v>5</v>
      </c>
      <c r="CL296" s="14">
        <v>5</v>
      </c>
      <c r="CM296" s="14">
        <f>IFERROR(AVERAGE(Tabel1[[#This Row],[In - C1]:[In - C4]]),"")</f>
        <v>4.583333333333333</v>
      </c>
      <c r="CN296" s="14">
        <v>1</v>
      </c>
      <c r="CO296" s="14">
        <v>1</v>
      </c>
      <c r="CP296" s="14">
        <v>1</v>
      </c>
      <c r="CQ296" s="14">
        <f>IFERROR(AVERAGE(Tabel1[[#This Row],[In - F1a]:[In - F1c]]),"")</f>
        <v>1</v>
      </c>
      <c r="CR296" s="14">
        <v>3</v>
      </c>
      <c r="CS296" s="14">
        <v>1</v>
      </c>
      <c r="CT296" s="14">
        <f>IFERROR(AVERAGE(Tabel1[[#This Row],[In - F2a]:[In - F2b]]),"")</f>
        <v>2</v>
      </c>
      <c r="CU296" s="14">
        <v>1</v>
      </c>
      <c r="CV296" s="14">
        <f>IFERROR(AVERAGE(Tabel1[[#This Row],[In - F3a]:[In - F3a]]),"")</f>
        <v>1</v>
      </c>
      <c r="CW296" s="14">
        <v>1</v>
      </c>
      <c r="CX296" s="14">
        <f>IFERROR(AVERAGE(Tabel1[[#This Row],[In - F1]],Tabel1[[#This Row],[In - F2]],Tabel1[[#This Row],[In - F3]],Tabel1[[#This Row],[In - F4]]),"")</f>
        <v>1.25</v>
      </c>
      <c r="CY296" s="14">
        <v>5</v>
      </c>
      <c r="CZ296" s="14">
        <v>5</v>
      </c>
      <c r="DA296" s="14">
        <v>4</v>
      </c>
      <c r="DB296" s="14">
        <f>IFERROR(AVERAGE(Tabel1[[#This Row],[In - V1a]:[In - V1c]]),"")</f>
        <v>4.666666666666667</v>
      </c>
      <c r="DC296" s="14">
        <v>5</v>
      </c>
      <c r="DD296" s="14">
        <v>4</v>
      </c>
      <c r="DE296" s="14">
        <v>3</v>
      </c>
      <c r="DF296" s="14">
        <f>IFERROR(AVERAGE(Tabel1[[#This Row],[In - V2a]:[In - V2c]]),"")</f>
        <v>4</v>
      </c>
      <c r="DG296" s="14">
        <v>4</v>
      </c>
      <c r="DH296" s="14">
        <v>5</v>
      </c>
      <c r="DI296" s="14">
        <f>IFERROR(AVERAGE(Tabel1[[#This Row],[In - V3a]:[In - V3b]]),"")</f>
        <v>4.5</v>
      </c>
      <c r="DJ296" s="14">
        <v>3</v>
      </c>
      <c r="DK296" s="14">
        <f>IFERROR(AVERAGE(Tabel1[[#This Row],[In - V1]],Tabel1[[#This Row],[In - V2]],Tabel1[[#This Row],[In - V3]],Tabel1[[#This Row],[In - V4]]),"")</f>
        <v>4.041666666666667</v>
      </c>
      <c r="DL296" s="14">
        <v>3</v>
      </c>
      <c r="DM296" s="14">
        <v>3</v>
      </c>
      <c r="DN296" s="14">
        <f>IFERROR(AVERAGE(Tabel1[[#This Row],[In - A1a]:[In - A1b]]),"")</f>
        <v>3</v>
      </c>
      <c r="DO296" s="14">
        <v>1</v>
      </c>
      <c r="DP296" s="14">
        <v>4</v>
      </c>
      <c r="DQ296" s="14">
        <f>IFERROR(AVERAGE(Tabel1[[#This Row],[In - A2a]:[In - A2b]]),"")</f>
        <v>2.5</v>
      </c>
      <c r="DR296" s="14">
        <v>3</v>
      </c>
      <c r="DS296" s="14">
        <v>1</v>
      </c>
      <c r="DT296" s="14">
        <f>IFERROR(AVERAGE(Tabel1[[#This Row],[In - A3a]:[In - A3a]]),"")</f>
        <v>3</v>
      </c>
      <c r="DU296" s="14">
        <v>4</v>
      </c>
      <c r="DV296" s="14">
        <f>IFERROR(AVERAGE(Tabel1[[#This Row],[In - A1]],Tabel1[[#This Row],[In - A2]],Tabel1[[#This Row],[In - A3]],Tabel1[[#This Row],[In - A4]]),"")</f>
        <v>3.125</v>
      </c>
      <c r="DW296" s="14">
        <v>2</v>
      </c>
      <c r="DX296" s="14">
        <v>3</v>
      </c>
      <c r="DY296" s="14">
        <v>1</v>
      </c>
      <c r="DZ296" s="14">
        <f>IFERROR(AVERAGE(Tabel1[[#This Row],[Do - R1a]:[Do - R1c]]),"")</f>
        <v>2</v>
      </c>
      <c r="EA296" s="14">
        <v>4</v>
      </c>
      <c r="EB296" s="14">
        <v>1</v>
      </c>
      <c r="EC296" s="14">
        <v>1</v>
      </c>
      <c r="ED296" s="14" t="s">
        <v>189</v>
      </c>
      <c r="EE296" s="14">
        <f>IFERROR(AVERAGE(Tabel1[[#This Row],[Do - R1]:[Do - R5]]),"")</f>
        <v>2</v>
      </c>
      <c r="EF296" s="14">
        <v>4</v>
      </c>
      <c r="EG296" s="14">
        <v>2</v>
      </c>
      <c r="EH296" s="14">
        <v>2</v>
      </c>
      <c r="EI296" s="14">
        <f>IFERROR(AVERAGE(Tabel1[[#This Row],[Do - C1a]:[Do - C1c]]),"")</f>
        <v>2.6666666666666665</v>
      </c>
      <c r="EJ296" s="14">
        <v>3</v>
      </c>
      <c r="EK296" s="14">
        <v>2</v>
      </c>
      <c r="EL296" s="14">
        <v>2</v>
      </c>
      <c r="EM296" s="14">
        <f>IFERROR(AVERAGE(Tabel1[[#This Row],[Do - C1]:[Do - C4]]),"")</f>
        <v>2.4166666666666665</v>
      </c>
      <c r="EN296" s="14">
        <v>2</v>
      </c>
      <c r="EO296" s="14">
        <v>1</v>
      </c>
      <c r="EP296" s="14">
        <v>2</v>
      </c>
      <c r="EQ296" s="14">
        <f>IFERROR(AVERAGE(Tabel1[[#This Row],[Do - F1a]:[Do - F1c]]),"")</f>
        <v>1.6666666666666667</v>
      </c>
      <c r="ER296" s="14">
        <v>2</v>
      </c>
      <c r="ES296" s="14">
        <f>IFERROR(AVERAGE(Tabel1[[#This Row],[Do - F2a]:[Do - F2a]]),"")</f>
        <v>2</v>
      </c>
      <c r="ET296" s="14">
        <v>3</v>
      </c>
      <c r="EU296" s="14">
        <v>2</v>
      </c>
      <c r="EV296" s="14">
        <f>IFERROR(AVERAGE(Tabel1[[#This Row],[Do - F3a]:[Do - F3b]]),"")</f>
        <v>2.5</v>
      </c>
      <c r="EW296" s="14">
        <v>4</v>
      </c>
      <c r="EX296" s="14">
        <f>IFERROR(AVERAGE(Tabel1[[#This Row],[Do - F1]],Tabel1[[#This Row],[Do - F2]],Tabel1[[#This Row],[Do - F3]],Tabel1[[#This Row],[Do - F4]]),"")</f>
        <v>2.541666666666667</v>
      </c>
      <c r="EY296" s="14">
        <v>4</v>
      </c>
      <c r="EZ296" s="14">
        <v>1</v>
      </c>
      <c r="FA296" s="14">
        <v>4</v>
      </c>
      <c r="FB296" s="14">
        <f>IFERROR(AVERAGE(Tabel1[[#This Row],[Do - V1a]:[Do - V1c]]),"")</f>
        <v>3</v>
      </c>
      <c r="FC296" s="14">
        <v>4</v>
      </c>
      <c r="FD296" s="14">
        <v>4</v>
      </c>
      <c r="FE296" s="14">
        <f>IFERROR(AVERAGE(Tabel1[[#This Row],[Do - V2a]:[Do - V2b]]),"")</f>
        <v>4</v>
      </c>
      <c r="FF296" s="14">
        <v>2</v>
      </c>
      <c r="FG296" s="14">
        <f>IFERROR(AVERAGE(Tabel1[[#This Row],[Do - V3a]:[Do - V3a]]),"")</f>
        <v>2</v>
      </c>
      <c r="FH296" s="14">
        <v>3</v>
      </c>
      <c r="FI296" s="14">
        <f>IFERROR(AVERAGE(Tabel1[[#This Row],[Do - V1]],Tabel1[[#This Row],[Do - V2]],Tabel1[[#This Row],[Do - V3]],Tabel1[[#This Row],[Do - V4]]),"")</f>
        <v>3</v>
      </c>
      <c r="FJ296" s="14">
        <v>2</v>
      </c>
      <c r="FK296" s="14">
        <v>1</v>
      </c>
      <c r="FL296" s="14">
        <v>2</v>
      </c>
      <c r="FM296" s="14">
        <f>IFERROR(AVERAGE(Tabel1[[#This Row],[Do - A1a]:[Do - A1c]]),"")</f>
        <v>1.6666666666666667</v>
      </c>
      <c r="FN296" s="14">
        <v>1</v>
      </c>
      <c r="FO296" s="14">
        <v>1</v>
      </c>
      <c r="FP296" s="14">
        <f>IFERROR(AVERAGE(Tabel1[[#This Row],[Do - A2a]:[Do - A2b]]),"")</f>
        <v>1</v>
      </c>
      <c r="FQ296" s="14">
        <v>3</v>
      </c>
      <c r="FR296" s="14">
        <f>IFERROR(AVERAGE(Tabel1[[#This Row],[Do - A3a]:[Do - A3a]]),"")</f>
        <v>3</v>
      </c>
      <c r="FS296" s="14">
        <v>4</v>
      </c>
      <c r="FT296" s="14">
        <f>IFERROR(AVERAGE(Tabel1[[#This Row],[Do - A1]],Tabel1[[#This Row],[Do - A2]],Tabel1[[#This Row],[Do - A3]],Tabel1[[#This Row],[Do - A4]]),"")</f>
        <v>2.416666666666667</v>
      </c>
      <c r="FU29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2.5407407407407403</v>
      </c>
      <c r="FV296" s="27" t="s">
        <v>1555</v>
      </c>
      <c r="FW296" t="b">
        <v>1</v>
      </c>
    </row>
    <row r="297" spans="1:179" x14ac:dyDescent="0.3">
      <c r="A297" s="13">
        <v>45418.616666666698</v>
      </c>
      <c r="B297" t="b">
        <v>0</v>
      </c>
      <c r="C297" s="14" t="s">
        <v>1556</v>
      </c>
      <c r="D297" s="14" t="s">
        <v>1557</v>
      </c>
      <c r="E297" s="14" t="s">
        <v>1558</v>
      </c>
      <c r="F297" s="14" t="s">
        <v>184</v>
      </c>
      <c r="G297" s="14" t="s">
        <v>1559</v>
      </c>
      <c r="H297" s="14" t="s">
        <v>222</v>
      </c>
      <c r="I297" s="14" t="s">
        <v>417</v>
      </c>
      <c r="J297" s="14" t="s">
        <v>418</v>
      </c>
      <c r="K297" s="28" t="s">
        <v>187</v>
      </c>
      <c r="L297" s="14" t="s">
        <v>218</v>
      </c>
      <c r="M297" s="14" t="s">
        <v>233</v>
      </c>
      <c r="N297" s="14" t="s">
        <v>316</v>
      </c>
      <c r="O297" s="14" t="s">
        <v>200</v>
      </c>
      <c r="P297" s="25" t="s">
        <v>202</v>
      </c>
      <c r="Q297" s="17" t="s">
        <v>202</v>
      </c>
      <c r="R297" s="25" t="s">
        <v>187</v>
      </c>
      <c r="S297" s="25" t="s">
        <v>187</v>
      </c>
      <c r="T297" s="14" t="s">
        <v>284</v>
      </c>
      <c r="U297" s="14" t="s">
        <v>285</v>
      </c>
      <c r="V297" s="14" t="s">
        <v>224</v>
      </c>
      <c r="W297" s="14" t="s">
        <v>395</v>
      </c>
      <c r="X297" s="14" t="s">
        <v>395</v>
      </c>
      <c r="Y297" s="14">
        <v>5</v>
      </c>
      <c r="Z297" s="14">
        <v>3</v>
      </c>
      <c r="AA297" s="14" t="s">
        <v>189</v>
      </c>
      <c r="AB297" s="15">
        <f>IFERROR(AVERAGE(Tabel1[[#This Row],[Up - R1a]:[Up - R1c]]),"")</f>
        <v>4</v>
      </c>
      <c r="AC297" s="14">
        <v>4</v>
      </c>
      <c r="AD297" s="14">
        <v>3</v>
      </c>
      <c r="AE297" s="14">
        <v>2</v>
      </c>
      <c r="AF297" s="14">
        <v>3</v>
      </c>
      <c r="AG297" s="14">
        <f>IFERROR(AVERAGE(Tabel1[[#This Row],[Up - R1]:[Up - R5]]),"")</f>
        <v>3.2</v>
      </c>
      <c r="AH297" s="14">
        <v>4</v>
      </c>
      <c r="AI297" s="14">
        <v>3</v>
      </c>
      <c r="AJ297" s="14">
        <v>2</v>
      </c>
      <c r="AK297" s="14">
        <f>IFERROR(AVERAGE(Tabel1[[#This Row],[Up - C1a]:[Up - C1c]]),"")</f>
        <v>3</v>
      </c>
      <c r="AL297" s="14">
        <v>2</v>
      </c>
      <c r="AM297" s="14">
        <v>2</v>
      </c>
      <c r="AN297" s="14">
        <v>2</v>
      </c>
      <c r="AO297" s="14">
        <f>IFERROR(AVERAGE(Tabel1[[#This Row],[Up - C1]:[Up - C4]]),"")</f>
        <v>2.25</v>
      </c>
      <c r="AP297" s="14">
        <v>3</v>
      </c>
      <c r="AQ297" s="14">
        <f>IFERROR(AVERAGE(Tabel1[[#This Row],[Up - F1a]:[Up - F1a]]),"")</f>
        <v>3</v>
      </c>
      <c r="AR297" s="14">
        <v>2</v>
      </c>
      <c r="AS297" s="14">
        <v>2</v>
      </c>
      <c r="AT297" s="14">
        <f>IFERROR(AVERAGE(Tabel1[[#This Row],[Up - F2a]:[Up - F2b]]),"")</f>
        <v>2</v>
      </c>
      <c r="AU297" s="14">
        <v>3</v>
      </c>
      <c r="AV297" s="14">
        <v>2</v>
      </c>
      <c r="AW297" s="14">
        <f>IFERROR(AVERAGE(Tabel1[[#This Row],[Up - F3a]:[Up - F3b]]),"")</f>
        <v>2.5</v>
      </c>
      <c r="AX297" s="14">
        <v>2</v>
      </c>
      <c r="AY297" s="14">
        <f>IFERROR(AVERAGE(Tabel1[[#This Row],[Up - F1]],Tabel1[[#This Row],[Up - F2]],Tabel1[[#This Row],[Up - F3]],Tabel1[[#This Row],[Up - F4]]),"")</f>
        <v>2.375</v>
      </c>
      <c r="AZ297" s="14">
        <v>2</v>
      </c>
      <c r="BA297" s="14">
        <v>4</v>
      </c>
      <c r="BB297" s="14">
        <f>IFERROR(AVERAGE(Tabel1[[#This Row],[Up - V1a]:[Up - V1b]]),"")</f>
        <v>3</v>
      </c>
      <c r="BC297" s="14">
        <v>3</v>
      </c>
      <c r="BD297" s="14">
        <v>3</v>
      </c>
      <c r="BE297" s="14">
        <v>4</v>
      </c>
      <c r="BF297" s="14">
        <f>IFERROR(AVERAGE(Tabel1[[#This Row],[Up - V2a]:[Up - V2c]]),"")</f>
        <v>3.3333333333333335</v>
      </c>
      <c r="BG297" s="14">
        <v>2</v>
      </c>
      <c r="BH297" s="14">
        <v>3</v>
      </c>
      <c r="BI297" s="14">
        <f>IFERROR(AVERAGE(Tabel1[[#This Row],[Up - V3a]:[Up - V3b]]),"")</f>
        <v>2.5</v>
      </c>
      <c r="BJ297" s="14">
        <v>4</v>
      </c>
      <c r="BK297" s="14">
        <f>IFERROR(AVERAGE(Tabel1[[#This Row],[Up - V1]],Tabel1[[#This Row],[Up - V2]],Tabel1[[#This Row],[Up - V3]],Tabel1[[#This Row],[Up - V4]]),"")</f>
        <v>3.2083333333333335</v>
      </c>
      <c r="BL297" s="14">
        <v>3</v>
      </c>
      <c r="BM297" s="14">
        <v>3</v>
      </c>
      <c r="BN297" s="14">
        <v>3</v>
      </c>
      <c r="BO297" s="14">
        <v>3</v>
      </c>
      <c r="BP297" s="14">
        <f>IFERROR(AVERAGE(Tabel1[[#This Row],[Up - A1a]:[Up - A1d]]),"")</f>
        <v>3</v>
      </c>
      <c r="BQ297" s="14">
        <v>3</v>
      </c>
      <c r="BR297" s="14">
        <v>3</v>
      </c>
      <c r="BS297" s="14">
        <f>IFERROR(AVERAGE(Tabel1[[#This Row],[Up - A2a]:[Up - A2b]]),"")</f>
        <v>3</v>
      </c>
      <c r="BT297" s="14">
        <v>4</v>
      </c>
      <c r="BU297" s="14">
        <f>IFERROR(AVERAGE(Tabel1[[#This Row],[Up - A3a]:[Up - A3a]]),"")</f>
        <v>4</v>
      </c>
      <c r="BV297" s="14">
        <v>4</v>
      </c>
      <c r="BW297" s="14">
        <f>IFERROR(AVERAGE(Tabel1[[#This Row],[Up - A1]],Tabel1[[#This Row],[Up - A2]],Tabel1[[#This Row],[Up - A3]]),"")</f>
        <v>3.3333333333333335</v>
      </c>
      <c r="BX297" s="14" t="s">
        <v>189</v>
      </c>
      <c r="BY297" s="14" t="s">
        <v>189</v>
      </c>
      <c r="BZ297" s="14" t="str">
        <f>IFERROR(AVERAGE(Tabel1[[#This Row],[In - R1a]:[In - R1b]]),"")</f>
        <v/>
      </c>
      <c r="CA297" s="14">
        <v>4</v>
      </c>
      <c r="CB297" s="14">
        <v>3</v>
      </c>
      <c r="CC297" s="14">
        <v>2</v>
      </c>
      <c r="CD297" s="14">
        <v>4</v>
      </c>
      <c r="CE297" s="14">
        <f>IFERROR(AVERAGE(Tabel1[[#This Row],[In - R1]:[In - R5]]),"")</f>
        <v>3.25</v>
      </c>
      <c r="CF297" s="14">
        <v>4</v>
      </c>
      <c r="CG297" s="14">
        <v>4</v>
      </c>
      <c r="CH297" s="14">
        <v>3</v>
      </c>
      <c r="CI297" s="14">
        <f>IFERROR(AVERAGE(Tabel1[[#This Row],[In - C1a]:[In - C1c]]),"")</f>
        <v>3.6666666666666665</v>
      </c>
      <c r="CJ297" s="14">
        <v>1</v>
      </c>
      <c r="CK297" s="14">
        <v>2</v>
      </c>
      <c r="CL297" s="14">
        <v>1</v>
      </c>
      <c r="CM297" s="14">
        <f>IFERROR(AVERAGE(Tabel1[[#This Row],[In - C1]:[In - C4]]),"")</f>
        <v>1.9166666666666665</v>
      </c>
      <c r="CN297" s="14" t="s">
        <v>189</v>
      </c>
      <c r="CO297" s="14">
        <v>3</v>
      </c>
      <c r="CP297" s="14" t="s">
        <v>189</v>
      </c>
      <c r="CQ297" s="14">
        <f>IFERROR(AVERAGE(Tabel1[[#This Row],[In - F1a]:[In - F1c]]),"")</f>
        <v>3</v>
      </c>
      <c r="CR297" s="14">
        <v>3</v>
      </c>
      <c r="CS297" s="14">
        <v>3</v>
      </c>
      <c r="CT297" s="14">
        <f>IFERROR(AVERAGE(Tabel1[[#This Row],[In - F2a]:[In - F2b]]),"")</f>
        <v>3</v>
      </c>
      <c r="CU297" s="14">
        <v>2</v>
      </c>
      <c r="CV297" s="14">
        <f>IFERROR(AVERAGE(Tabel1[[#This Row],[In - F3a]:[In - F3a]]),"")</f>
        <v>2</v>
      </c>
      <c r="CW297" s="14">
        <v>2</v>
      </c>
      <c r="CX297" s="14">
        <f>IFERROR(AVERAGE(Tabel1[[#This Row],[In - F1]],Tabel1[[#This Row],[In - F2]],Tabel1[[#This Row],[In - F3]],Tabel1[[#This Row],[In - F4]]),"")</f>
        <v>2.5</v>
      </c>
      <c r="CY297" s="14">
        <v>2</v>
      </c>
      <c r="CZ297" s="14">
        <v>4</v>
      </c>
      <c r="DA297" s="14">
        <v>3</v>
      </c>
      <c r="DB297" s="14">
        <f>IFERROR(AVERAGE(Tabel1[[#This Row],[In - V1a]:[In - V1c]]),"")</f>
        <v>3</v>
      </c>
      <c r="DC297" s="14">
        <v>4</v>
      </c>
      <c r="DD297" s="14">
        <v>3</v>
      </c>
      <c r="DE297" s="14">
        <v>3</v>
      </c>
      <c r="DF297" s="14">
        <f>IFERROR(AVERAGE(Tabel1[[#This Row],[In - V2a]:[In - V2c]]),"")</f>
        <v>3.3333333333333335</v>
      </c>
      <c r="DG297" s="14">
        <v>2</v>
      </c>
      <c r="DH297" s="14">
        <v>4</v>
      </c>
      <c r="DI297" s="14">
        <f>IFERROR(AVERAGE(Tabel1[[#This Row],[In - V3a]:[In - V3b]]),"")</f>
        <v>3</v>
      </c>
      <c r="DJ297" s="14">
        <v>4</v>
      </c>
      <c r="DK297" s="14">
        <f>IFERROR(AVERAGE(Tabel1[[#This Row],[In - V1]],Tabel1[[#This Row],[In - V2]],Tabel1[[#This Row],[In - V3]],Tabel1[[#This Row],[In - V4]]),"")</f>
        <v>3.3333333333333335</v>
      </c>
      <c r="DL297" s="14">
        <v>3</v>
      </c>
      <c r="DM297" s="14">
        <v>3</v>
      </c>
      <c r="DN297" s="14">
        <f>IFERROR(AVERAGE(Tabel1[[#This Row],[In - A1a]:[In - A1b]]),"")</f>
        <v>3</v>
      </c>
      <c r="DO297" s="14">
        <v>5</v>
      </c>
      <c r="DP297" s="14">
        <v>3</v>
      </c>
      <c r="DQ297" s="14">
        <f>IFERROR(AVERAGE(Tabel1[[#This Row],[In - A2a]:[In - A2b]]),"")</f>
        <v>4</v>
      </c>
      <c r="DR297" s="14">
        <v>4</v>
      </c>
      <c r="DS297" s="14">
        <v>3</v>
      </c>
      <c r="DT297" s="14">
        <f>IFERROR(AVERAGE(Tabel1[[#This Row],[In - A3a]:[In - A3a]]),"")</f>
        <v>4</v>
      </c>
      <c r="DU297" s="14">
        <v>3</v>
      </c>
      <c r="DV297" s="14">
        <f>IFERROR(AVERAGE(Tabel1[[#This Row],[In - A1]],Tabel1[[#This Row],[In - A2]],Tabel1[[#This Row],[In - A3]],Tabel1[[#This Row],[In - A4]]),"")</f>
        <v>3.5</v>
      </c>
      <c r="DW297" s="14">
        <v>3</v>
      </c>
      <c r="DX297" s="14">
        <v>4</v>
      </c>
      <c r="DY297" s="14">
        <v>3</v>
      </c>
      <c r="DZ297" s="14">
        <f>IFERROR(AVERAGE(Tabel1[[#This Row],[Do - R1a]:[Do - R1c]]),"")</f>
        <v>3.3333333333333335</v>
      </c>
      <c r="EA297" s="14">
        <v>2</v>
      </c>
      <c r="EB297" s="14">
        <v>2</v>
      </c>
      <c r="EC297" s="14">
        <v>2</v>
      </c>
      <c r="ED297" s="14">
        <v>3</v>
      </c>
      <c r="EE297" s="14">
        <f>IFERROR(AVERAGE(Tabel1[[#This Row],[Do - R1]:[Do - R5]]),"")</f>
        <v>2.4666666666666668</v>
      </c>
      <c r="EF297" s="14">
        <v>4</v>
      </c>
      <c r="EG297" s="14">
        <v>4</v>
      </c>
      <c r="EH297" s="14">
        <v>2</v>
      </c>
      <c r="EI297" s="14">
        <f>IFERROR(AVERAGE(Tabel1[[#This Row],[Do - C1a]:[Do - C1c]]),"")</f>
        <v>3.3333333333333335</v>
      </c>
      <c r="EJ297" s="14">
        <v>2</v>
      </c>
      <c r="EK297" s="14">
        <v>2</v>
      </c>
      <c r="EL297" s="14">
        <v>2</v>
      </c>
      <c r="EM297" s="14">
        <f>IFERROR(AVERAGE(Tabel1[[#This Row],[Do - C1]:[Do - C4]]),"")</f>
        <v>2.3333333333333335</v>
      </c>
      <c r="EN297" s="14">
        <v>3</v>
      </c>
      <c r="EO297" s="14">
        <v>2</v>
      </c>
      <c r="EP297" s="14">
        <v>3</v>
      </c>
      <c r="EQ297" s="14">
        <f>IFERROR(AVERAGE(Tabel1[[#This Row],[Do - F1a]:[Do - F1c]]),"")</f>
        <v>2.6666666666666665</v>
      </c>
      <c r="ER297" s="14">
        <v>3</v>
      </c>
      <c r="ES297" s="14">
        <f>IFERROR(AVERAGE(Tabel1[[#This Row],[Do - F2a]:[Do - F2a]]),"")</f>
        <v>3</v>
      </c>
      <c r="ET297" s="14">
        <v>2</v>
      </c>
      <c r="EU297" s="14">
        <v>3</v>
      </c>
      <c r="EV297" s="14">
        <f>IFERROR(AVERAGE(Tabel1[[#This Row],[Do - F3a]:[Do - F3b]]),"")</f>
        <v>2.5</v>
      </c>
      <c r="EW297" s="14">
        <v>2</v>
      </c>
      <c r="EX297" s="14">
        <f>IFERROR(AVERAGE(Tabel1[[#This Row],[Do - F1]],Tabel1[[#This Row],[Do - F2]],Tabel1[[#This Row],[Do - F3]],Tabel1[[#This Row],[Do - F4]]),"")</f>
        <v>2.5416666666666665</v>
      </c>
      <c r="EY297" s="14">
        <v>3</v>
      </c>
      <c r="EZ297" s="14" t="s">
        <v>189</v>
      </c>
      <c r="FA297" s="14">
        <v>4</v>
      </c>
      <c r="FB297" s="14">
        <f>IFERROR(AVERAGE(Tabel1[[#This Row],[Do - V1a]:[Do - V1c]]),"")</f>
        <v>3.5</v>
      </c>
      <c r="FC297" s="14">
        <v>4</v>
      </c>
      <c r="FD297" s="14">
        <v>3</v>
      </c>
      <c r="FE297" s="14">
        <f>IFERROR(AVERAGE(Tabel1[[#This Row],[Do - V2a]:[Do - V2b]]),"")</f>
        <v>3.5</v>
      </c>
      <c r="FF297" s="14">
        <v>2</v>
      </c>
      <c r="FG297" s="14">
        <f>IFERROR(AVERAGE(Tabel1[[#This Row],[Do - V3a]:[Do - V3a]]),"")</f>
        <v>2</v>
      </c>
      <c r="FH297" s="14">
        <v>4</v>
      </c>
      <c r="FI297" s="14">
        <f>IFERROR(AVERAGE(Tabel1[[#This Row],[Do - V1]],Tabel1[[#This Row],[Do - V2]],Tabel1[[#This Row],[Do - V3]],Tabel1[[#This Row],[Do - V4]]),"")</f>
        <v>3.25</v>
      </c>
      <c r="FJ297" s="14">
        <v>3</v>
      </c>
      <c r="FK297" s="14">
        <v>5</v>
      </c>
      <c r="FL297" s="14">
        <v>4</v>
      </c>
      <c r="FM297" s="14">
        <f>IFERROR(AVERAGE(Tabel1[[#This Row],[Do - A1a]:[Do - A1c]]),"")</f>
        <v>4</v>
      </c>
      <c r="FN297" s="14">
        <v>3</v>
      </c>
      <c r="FO297" s="14">
        <v>3</v>
      </c>
      <c r="FP297" s="14">
        <f>IFERROR(AVERAGE(Tabel1[[#This Row],[Do - A2a]:[Do - A2b]]),"")</f>
        <v>3</v>
      </c>
      <c r="FQ297" s="14">
        <v>4</v>
      </c>
      <c r="FR297" s="14">
        <f>IFERROR(AVERAGE(Tabel1[[#This Row],[Do - A3a]:[Do - A3a]]),"")</f>
        <v>4</v>
      </c>
      <c r="FS297" s="14">
        <v>3</v>
      </c>
      <c r="FT297" s="14">
        <f>IFERROR(AVERAGE(Tabel1[[#This Row],[Do - A1]],Tabel1[[#This Row],[Do - A2]],Tabel1[[#This Row],[Do - A3]],Tabel1[[#This Row],[Do - A4]]),"")</f>
        <v>3.5</v>
      </c>
      <c r="FU29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2.8638888888888889</v>
      </c>
      <c r="FV297" s="27" t="s">
        <v>1560</v>
      </c>
      <c r="FW297" t="b">
        <v>1</v>
      </c>
    </row>
    <row r="298" spans="1:179" x14ac:dyDescent="0.3">
      <c r="A298" s="13">
        <v>45418.622465277796</v>
      </c>
      <c r="B298" t="b">
        <v>0</v>
      </c>
      <c r="C298" s="14" t="s">
        <v>1561</v>
      </c>
      <c r="D298" s="14" t="s">
        <v>192</v>
      </c>
      <c r="E298" s="14" t="s">
        <v>1562</v>
      </c>
      <c r="F298" s="14" t="s">
        <v>184</v>
      </c>
      <c r="G298" s="14" t="s">
        <v>1563</v>
      </c>
      <c r="H298" s="14" t="s">
        <v>222</v>
      </c>
      <c r="I298" s="14" t="s">
        <v>195</v>
      </c>
      <c r="J298" s="14" t="s">
        <v>533</v>
      </c>
      <c r="K298" s="28" t="s">
        <v>202</v>
      </c>
      <c r="L298" s="14" t="s">
        <v>197</v>
      </c>
      <c r="M298" s="14" t="s">
        <v>188</v>
      </c>
      <c r="N298" s="14"/>
      <c r="O298" s="14" t="s">
        <v>200</v>
      </c>
      <c r="P298" s="24" t="s">
        <v>255</v>
      </c>
      <c r="Q298" s="17" t="s">
        <v>201</v>
      </c>
      <c r="R298" s="24" t="s">
        <v>304</v>
      </c>
      <c r="S298" s="24" t="s">
        <v>304</v>
      </c>
      <c r="T298" s="14" t="s">
        <v>380</v>
      </c>
      <c r="U298" s="14" t="s">
        <v>349</v>
      </c>
      <c r="V298" s="14" t="s">
        <v>224</v>
      </c>
      <c r="W298" s="14" t="s">
        <v>207</v>
      </c>
      <c r="X298" s="14" t="s">
        <v>395</v>
      </c>
      <c r="Y298" s="14">
        <v>3</v>
      </c>
      <c r="Z298" s="14">
        <v>4</v>
      </c>
      <c r="AA298" s="14">
        <v>3</v>
      </c>
      <c r="AB298" s="15">
        <f>IFERROR(AVERAGE(Tabel1[[#This Row],[Up - R1a]:[Up - R1c]]),"")</f>
        <v>3.3333333333333335</v>
      </c>
      <c r="AC298" s="14">
        <v>2</v>
      </c>
      <c r="AD298" s="14">
        <v>4</v>
      </c>
      <c r="AE298" s="14">
        <v>3</v>
      </c>
      <c r="AF298" s="14">
        <v>4</v>
      </c>
      <c r="AG298" s="14">
        <f>IFERROR(AVERAGE(Tabel1[[#This Row],[Up - R1]:[Up - R5]]),"")</f>
        <v>3.2666666666666671</v>
      </c>
      <c r="AH298" s="14">
        <v>3</v>
      </c>
      <c r="AI298" s="14">
        <v>3</v>
      </c>
      <c r="AJ298" s="14">
        <v>2</v>
      </c>
      <c r="AK298" s="14">
        <f>IFERROR(AVERAGE(Tabel1[[#This Row],[Up - C1a]:[Up - C1c]]),"")</f>
        <v>2.6666666666666665</v>
      </c>
      <c r="AL298" s="14">
        <v>3</v>
      </c>
      <c r="AM298" s="14">
        <v>4</v>
      </c>
      <c r="AN298" s="14">
        <v>3</v>
      </c>
      <c r="AO298" s="14">
        <f>IFERROR(AVERAGE(Tabel1[[#This Row],[Up - C1]:[Up - C4]]),"")</f>
        <v>3.1666666666666665</v>
      </c>
      <c r="AP298" s="14">
        <v>2</v>
      </c>
      <c r="AQ298" s="14">
        <f>IFERROR(AVERAGE(Tabel1[[#This Row],[Up - F1a]:[Up - F1a]]),"")</f>
        <v>2</v>
      </c>
      <c r="AR298" s="14">
        <v>2</v>
      </c>
      <c r="AS298" s="14">
        <v>2</v>
      </c>
      <c r="AT298" s="14">
        <f>IFERROR(AVERAGE(Tabel1[[#This Row],[Up - F2a]:[Up - F2b]]),"")</f>
        <v>2</v>
      </c>
      <c r="AU298" s="14">
        <v>4</v>
      </c>
      <c r="AV298" s="14">
        <v>4</v>
      </c>
      <c r="AW298" s="14">
        <f>IFERROR(AVERAGE(Tabel1[[#This Row],[Up - F3a]:[Up - F3b]]),"")</f>
        <v>4</v>
      </c>
      <c r="AX298" s="14">
        <v>4</v>
      </c>
      <c r="AY298" s="14">
        <f>IFERROR(AVERAGE(Tabel1[[#This Row],[Up - F1]],Tabel1[[#This Row],[Up - F2]],Tabel1[[#This Row],[Up - F3]],Tabel1[[#This Row],[Up - F4]]),"")</f>
        <v>3</v>
      </c>
      <c r="AZ298" s="14">
        <v>2</v>
      </c>
      <c r="BA298" s="14">
        <v>3</v>
      </c>
      <c r="BB298" s="14">
        <f>IFERROR(AVERAGE(Tabel1[[#This Row],[Up - V1a]:[Up - V1b]]),"")</f>
        <v>2.5</v>
      </c>
      <c r="BC298" s="14">
        <v>3</v>
      </c>
      <c r="BD298" s="14">
        <v>2</v>
      </c>
      <c r="BE298" s="14">
        <v>3</v>
      </c>
      <c r="BF298" s="14">
        <f>IFERROR(AVERAGE(Tabel1[[#This Row],[Up - V2a]:[Up - V2c]]),"")</f>
        <v>2.6666666666666665</v>
      </c>
      <c r="BG298" s="14">
        <v>4</v>
      </c>
      <c r="BH298" s="14">
        <v>4</v>
      </c>
      <c r="BI298" s="14">
        <f>IFERROR(AVERAGE(Tabel1[[#This Row],[Up - V3a]:[Up - V3b]]),"")</f>
        <v>4</v>
      </c>
      <c r="BJ298" s="14">
        <v>4</v>
      </c>
      <c r="BK298" s="14">
        <f>IFERROR(AVERAGE(Tabel1[[#This Row],[Up - V1]],Tabel1[[#This Row],[Up - V2]],Tabel1[[#This Row],[Up - V3]],Tabel1[[#This Row],[Up - V4]]),"")</f>
        <v>3.2916666666666665</v>
      </c>
      <c r="BL298" s="14">
        <v>2</v>
      </c>
      <c r="BM298" s="14">
        <v>2</v>
      </c>
      <c r="BN298" s="14">
        <v>2</v>
      </c>
      <c r="BO298" s="14">
        <v>3</v>
      </c>
      <c r="BP298" s="14">
        <f>IFERROR(AVERAGE(Tabel1[[#This Row],[Up - A1a]:[Up - A1d]]),"")</f>
        <v>2.25</v>
      </c>
      <c r="BQ298" s="14">
        <v>2</v>
      </c>
      <c r="BR298" s="14">
        <v>4</v>
      </c>
      <c r="BS298" s="14">
        <f>IFERROR(AVERAGE(Tabel1[[#This Row],[Up - A2a]:[Up - A2b]]),"")</f>
        <v>3</v>
      </c>
      <c r="BT298" s="14">
        <v>3</v>
      </c>
      <c r="BU298" s="14">
        <f>IFERROR(AVERAGE(Tabel1[[#This Row],[Up - A3a]:[Up - A3a]]),"")</f>
        <v>3</v>
      </c>
      <c r="BV298" s="14" t="s">
        <v>189</v>
      </c>
      <c r="BW298" s="14">
        <f>IFERROR(AVERAGE(Tabel1[[#This Row],[Up - A1]],Tabel1[[#This Row],[Up - A2]],Tabel1[[#This Row],[Up - A3]]),"")</f>
        <v>2.75</v>
      </c>
      <c r="BX298" s="14">
        <v>2</v>
      </c>
      <c r="BY298" s="14">
        <v>2</v>
      </c>
      <c r="BZ298" s="14">
        <f>IFERROR(AVERAGE(Tabel1[[#This Row],[In - R1a]:[In - R1b]]),"")</f>
        <v>2</v>
      </c>
      <c r="CA298" s="14">
        <v>2</v>
      </c>
      <c r="CB298" s="14">
        <v>2</v>
      </c>
      <c r="CC298" s="14">
        <v>2</v>
      </c>
      <c r="CD298" s="14">
        <v>3</v>
      </c>
      <c r="CE298" s="14">
        <f>IFERROR(AVERAGE(Tabel1[[#This Row],[In - R1]:[In - R5]]),"")</f>
        <v>2.2000000000000002</v>
      </c>
      <c r="CF298" s="14" t="s">
        <v>189</v>
      </c>
      <c r="CG298" s="14" t="s">
        <v>189</v>
      </c>
      <c r="CH298" s="14">
        <v>3</v>
      </c>
      <c r="CI298" s="14">
        <f>IFERROR(AVERAGE(Tabel1[[#This Row],[In - C1a]:[In - C1c]]),"")</f>
        <v>3</v>
      </c>
      <c r="CJ298" s="14">
        <v>3</v>
      </c>
      <c r="CK298" s="14">
        <v>4</v>
      </c>
      <c r="CL298" s="14">
        <v>3</v>
      </c>
      <c r="CM298" s="14">
        <f>IFERROR(AVERAGE(Tabel1[[#This Row],[In - C1]:[In - C4]]),"")</f>
        <v>3.25</v>
      </c>
      <c r="CN298" s="14">
        <v>2</v>
      </c>
      <c r="CO298" s="14">
        <v>2</v>
      </c>
      <c r="CP298" s="14">
        <v>2</v>
      </c>
      <c r="CQ298" s="14">
        <f>IFERROR(AVERAGE(Tabel1[[#This Row],[In - F1a]:[In - F1c]]),"")</f>
        <v>2</v>
      </c>
      <c r="CR298" s="14">
        <v>3</v>
      </c>
      <c r="CS298" s="14">
        <v>2</v>
      </c>
      <c r="CT298" s="14">
        <f>IFERROR(AVERAGE(Tabel1[[#This Row],[In - F2a]:[In - F2b]]),"")</f>
        <v>2.5</v>
      </c>
      <c r="CU298" s="14">
        <v>2</v>
      </c>
      <c r="CV298" s="14">
        <f>IFERROR(AVERAGE(Tabel1[[#This Row],[In - F3a]:[In - F3a]]),"")</f>
        <v>2</v>
      </c>
      <c r="CW298" s="14">
        <v>3</v>
      </c>
      <c r="CX298" s="14">
        <f>IFERROR(AVERAGE(Tabel1[[#This Row],[In - F1]],Tabel1[[#This Row],[In - F2]],Tabel1[[#This Row],[In - F3]],Tabel1[[#This Row],[In - F4]]),"")</f>
        <v>2.375</v>
      </c>
      <c r="CY298" s="14">
        <v>2</v>
      </c>
      <c r="CZ298" s="14">
        <v>3</v>
      </c>
      <c r="DA298" s="14">
        <v>2</v>
      </c>
      <c r="DB298" s="14">
        <f>IFERROR(AVERAGE(Tabel1[[#This Row],[In - V1a]:[In - V1c]]),"")</f>
        <v>2.3333333333333335</v>
      </c>
      <c r="DC298" s="14">
        <v>2</v>
      </c>
      <c r="DD298" s="14">
        <v>3</v>
      </c>
      <c r="DE298" s="14">
        <v>4</v>
      </c>
      <c r="DF298" s="14">
        <f>IFERROR(AVERAGE(Tabel1[[#This Row],[In - V2a]:[In - V2c]]),"")</f>
        <v>3</v>
      </c>
      <c r="DG298" s="14">
        <v>4</v>
      </c>
      <c r="DH298" s="14">
        <v>4</v>
      </c>
      <c r="DI298" s="14">
        <f>IFERROR(AVERAGE(Tabel1[[#This Row],[In - V3a]:[In - V3b]]),"")</f>
        <v>4</v>
      </c>
      <c r="DJ298" s="14">
        <v>4</v>
      </c>
      <c r="DK298" s="14">
        <f>IFERROR(AVERAGE(Tabel1[[#This Row],[In - V1]],Tabel1[[#This Row],[In - V2]],Tabel1[[#This Row],[In - V3]],Tabel1[[#This Row],[In - V4]]),"")</f>
        <v>3.3333333333333335</v>
      </c>
      <c r="DL298" s="14">
        <v>3</v>
      </c>
      <c r="DM298" s="14">
        <v>2</v>
      </c>
      <c r="DN298" s="14">
        <f>IFERROR(AVERAGE(Tabel1[[#This Row],[In - A1a]:[In - A1b]]),"")</f>
        <v>2.5</v>
      </c>
      <c r="DO298" s="14">
        <v>2</v>
      </c>
      <c r="DP298" s="14">
        <v>2</v>
      </c>
      <c r="DQ298" s="14">
        <f>IFERROR(AVERAGE(Tabel1[[#This Row],[In - A2a]:[In - A2b]]),"")</f>
        <v>2</v>
      </c>
      <c r="DR298" s="14">
        <v>3</v>
      </c>
      <c r="DS298" s="14">
        <v>2</v>
      </c>
      <c r="DT298" s="14">
        <f>IFERROR(AVERAGE(Tabel1[[#This Row],[In - A3a]:[In - A3a]]),"")</f>
        <v>3</v>
      </c>
      <c r="DU298" s="14">
        <v>3</v>
      </c>
      <c r="DV298" s="14">
        <f>IFERROR(AVERAGE(Tabel1[[#This Row],[In - A1]],Tabel1[[#This Row],[In - A2]],Tabel1[[#This Row],[In - A3]],Tabel1[[#This Row],[In - A4]]),"")</f>
        <v>2.625</v>
      </c>
      <c r="DW298" s="14">
        <v>2</v>
      </c>
      <c r="DX298" s="14">
        <v>4</v>
      </c>
      <c r="DY298" s="14">
        <v>3</v>
      </c>
      <c r="DZ298" s="14">
        <f>IFERROR(AVERAGE(Tabel1[[#This Row],[Do - R1a]:[Do - R1c]]),"")</f>
        <v>3</v>
      </c>
      <c r="EA298" s="14">
        <v>2</v>
      </c>
      <c r="EB298" s="14">
        <v>4</v>
      </c>
      <c r="EC298" s="14">
        <v>2</v>
      </c>
      <c r="ED298" s="14">
        <v>4</v>
      </c>
      <c r="EE298" s="14">
        <f>IFERROR(AVERAGE(Tabel1[[#This Row],[Do - R1]:[Do - R5]]),"")</f>
        <v>3</v>
      </c>
      <c r="EF298" s="14">
        <v>3</v>
      </c>
      <c r="EG298" s="14">
        <v>3</v>
      </c>
      <c r="EH298" s="14">
        <v>2</v>
      </c>
      <c r="EI298" s="14">
        <f>IFERROR(AVERAGE(Tabel1[[#This Row],[Do - C1a]:[Do - C1c]]),"")</f>
        <v>2.6666666666666665</v>
      </c>
      <c r="EJ298" s="14">
        <v>2</v>
      </c>
      <c r="EK298" s="14">
        <v>3</v>
      </c>
      <c r="EL298" s="14">
        <v>4</v>
      </c>
      <c r="EM298" s="14">
        <f>IFERROR(AVERAGE(Tabel1[[#This Row],[Do - C1]:[Do - C4]]),"")</f>
        <v>2.9166666666666665</v>
      </c>
      <c r="EN298" s="14">
        <v>3</v>
      </c>
      <c r="EO298" s="14">
        <v>2</v>
      </c>
      <c r="EP298" s="14">
        <v>3</v>
      </c>
      <c r="EQ298" s="14">
        <f>IFERROR(AVERAGE(Tabel1[[#This Row],[Do - F1a]:[Do - F1c]]),"")</f>
        <v>2.6666666666666665</v>
      </c>
      <c r="ER298" s="14">
        <v>3</v>
      </c>
      <c r="ES298" s="14">
        <f>IFERROR(AVERAGE(Tabel1[[#This Row],[Do - F2a]:[Do - F2a]]),"")</f>
        <v>3</v>
      </c>
      <c r="ET298" s="14">
        <v>4</v>
      </c>
      <c r="EU298" s="14">
        <v>3</v>
      </c>
      <c r="EV298" s="14">
        <f>IFERROR(AVERAGE(Tabel1[[#This Row],[Do - F3a]:[Do - F3b]]),"")</f>
        <v>3.5</v>
      </c>
      <c r="EW298" s="14">
        <v>3</v>
      </c>
      <c r="EX298" s="14">
        <f>IFERROR(AVERAGE(Tabel1[[#This Row],[Do - F1]],Tabel1[[#This Row],[Do - F2]],Tabel1[[#This Row],[Do - F3]],Tabel1[[#This Row],[Do - F4]]),"")</f>
        <v>3.0416666666666665</v>
      </c>
      <c r="EY298" s="14">
        <v>4</v>
      </c>
      <c r="EZ298" s="14">
        <v>3</v>
      </c>
      <c r="FA298" s="14">
        <v>3</v>
      </c>
      <c r="FB298" s="14">
        <f>IFERROR(AVERAGE(Tabel1[[#This Row],[Do - V1a]:[Do - V1c]]),"")</f>
        <v>3.3333333333333335</v>
      </c>
      <c r="FC298" s="14">
        <v>4</v>
      </c>
      <c r="FD298" s="14">
        <v>3</v>
      </c>
      <c r="FE298" s="14">
        <f>IFERROR(AVERAGE(Tabel1[[#This Row],[Do - V2a]:[Do - V2b]]),"")</f>
        <v>3.5</v>
      </c>
      <c r="FF298" s="14">
        <v>3</v>
      </c>
      <c r="FG298" s="14">
        <f>IFERROR(AVERAGE(Tabel1[[#This Row],[Do - V3a]:[Do - V3a]]),"")</f>
        <v>3</v>
      </c>
      <c r="FH298" s="14">
        <v>4</v>
      </c>
      <c r="FI298" s="14">
        <f>IFERROR(AVERAGE(Tabel1[[#This Row],[Do - V1]],Tabel1[[#This Row],[Do - V2]],Tabel1[[#This Row],[Do - V3]],Tabel1[[#This Row],[Do - V4]]),"")</f>
        <v>3.4583333333333335</v>
      </c>
      <c r="FJ298" s="14">
        <v>4</v>
      </c>
      <c r="FK298" s="14">
        <v>3</v>
      </c>
      <c r="FL298" s="14">
        <v>3</v>
      </c>
      <c r="FM298" s="14">
        <f>IFERROR(AVERAGE(Tabel1[[#This Row],[Do - A1a]:[Do - A1c]]),"")</f>
        <v>3.3333333333333335</v>
      </c>
      <c r="FN298" s="14">
        <v>4</v>
      </c>
      <c r="FO298" s="14">
        <v>5</v>
      </c>
      <c r="FP298" s="14">
        <f>IFERROR(AVERAGE(Tabel1[[#This Row],[Do - A2a]:[Do - A2b]]),"")</f>
        <v>4.5</v>
      </c>
      <c r="FQ298" s="14">
        <v>3</v>
      </c>
      <c r="FR298" s="14">
        <f>IFERROR(AVERAGE(Tabel1[[#This Row],[Do - A3a]:[Do - A3a]]),"")</f>
        <v>3</v>
      </c>
      <c r="FS298" s="14">
        <v>2</v>
      </c>
      <c r="FT298" s="14">
        <f>IFERROR(AVERAGE(Tabel1[[#This Row],[Do - A1]],Tabel1[[#This Row],[Do - A2]],Tabel1[[#This Row],[Do - A3]],Tabel1[[#This Row],[Do - A4]]),"")</f>
        <v>3.2083333333333335</v>
      </c>
      <c r="FU29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2.9922222222222223</v>
      </c>
      <c r="FV298" s="27" t="s">
        <v>1564</v>
      </c>
      <c r="FW298" t="b">
        <v>1</v>
      </c>
    </row>
    <row r="299" spans="1:179" x14ac:dyDescent="0.3">
      <c r="A299" s="13">
        <v>45418.718692129602</v>
      </c>
      <c r="B299" t="b">
        <v>0</v>
      </c>
      <c r="C299" s="14" t="s">
        <v>1565</v>
      </c>
      <c r="D299" s="14" t="s">
        <v>1566</v>
      </c>
      <c r="E299" s="14" t="s">
        <v>1567</v>
      </c>
      <c r="F299" s="14" t="s">
        <v>184</v>
      </c>
      <c r="G299" s="14" t="s">
        <v>1568</v>
      </c>
      <c r="H299" s="14" t="s">
        <v>222</v>
      </c>
      <c r="I299" s="14" t="s">
        <v>417</v>
      </c>
      <c r="J299" s="14" t="s">
        <v>248</v>
      </c>
      <c r="K299" s="28" t="s">
        <v>202</v>
      </c>
      <c r="L299" s="14" t="s">
        <v>218</v>
      </c>
      <c r="M299" s="14" t="s">
        <v>233</v>
      </c>
      <c r="N299" s="14" t="s">
        <v>316</v>
      </c>
      <c r="O299" s="14" t="s">
        <v>200</v>
      </c>
      <c r="P299" s="24" t="s">
        <v>255</v>
      </c>
      <c r="Q299" s="17" t="s">
        <v>203</v>
      </c>
      <c r="R299" s="25" t="s">
        <v>202</v>
      </c>
      <c r="S299" s="25" t="s">
        <v>187</v>
      </c>
      <c r="T299" s="14" t="s">
        <v>284</v>
      </c>
      <c r="U299" s="14" t="s">
        <v>285</v>
      </c>
      <c r="V299" s="14" t="s">
        <v>359</v>
      </c>
      <c r="W299" s="14" t="s">
        <v>207</v>
      </c>
      <c r="X299" s="14" t="s">
        <v>306</v>
      </c>
      <c r="Y299" s="14">
        <v>3</v>
      </c>
      <c r="Z299" s="14">
        <v>4</v>
      </c>
      <c r="AA299" s="14" t="s">
        <v>189</v>
      </c>
      <c r="AB299" s="15">
        <f>IFERROR(AVERAGE(Tabel1[[#This Row],[Up - R1a]:[Up - R1c]]),"")</f>
        <v>3.5</v>
      </c>
      <c r="AC299" s="14">
        <v>2</v>
      </c>
      <c r="AD299" s="14">
        <v>1</v>
      </c>
      <c r="AE299" s="14">
        <v>2</v>
      </c>
      <c r="AF299" s="14">
        <v>3</v>
      </c>
      <c r="AG299" s="14">
        <f>IFERROR(AVERAGE(Tabel1[[#This Row],[Up - R1]:[Up - R5]]),"")</f>
        <v>2.2999999999999998</v>
      </c>
      <c r="AH299" s="14">
        <v>4</v>
      </c>
      <c r="AI299" s="14">
        <v>4</v>
      </c>
      <c r="AJ299" s="14">
        <v>4</v>
      </c>
      <c r="AK299" s="14">
        <f>IFERROR(AVERAGE(Tabel1[[#This Row],[Up - C1a]:[Up - C1c]]),"")</f>
        <v>4</v>
      </c>
      <c r="AL299" s="14">
        <v>1</v>
      </c>
      <c r="AM299" s="14">
        <v>3</v>
      </c>
      <c r="AN299" s="14">
        <v>1</v>
      </c>
      <c r="AO299" s="14">
        <f>IFERROR(AVERAGE(Tabel1[[#This Row],[Up - C1]:[Up - C4]]),"")</f>
        <v>2.25</v>
      </c>
      <c r="AP299" s="14">
        <v>3</v>
      </c>
      <c r="AQ299" s="14">
        <f>IFERROR(AVERAGE(Tabel1[[#This Row],[Up - F1a]:[Up - F1a]]),"")</f>
        <v>3</v>
      </c>
      <c r="AR299" s="14" t="s">
        <v>189</v>
      </c>
      <c r="AS299" s="14">
        <v>2</v>
      </c>
      <c r="AT299" s="14">
        <f>IFERROR(AVERAGE(Tabel1[[#This Row],[Up - F2a]:[Up - F2b]]),"")</f>
        <v>2</v>
      </c>
      <c r="AU299" s="14">
        <v>5</v>
      </c>
      <c r="AV299" s="14">
        <v>3</v>
      </c>
      <c r="AW299" s="14">
        <f>IFERROR(AVERAGE(Tabel1[[#This Row],[Up - F3a]:[Up - F3b]]),"")</f>
        <v>4</v>
      </c>
      <c r="AX299" s="14" t="s">
        <v>189</v>
      </c>
      <c r="AY299" s="14">
        <f>IFERROR(AVERAGE(Tabel1[[#This Row],[Up - F1]],Tabel1[[#This Row],[Up - F2]],Tabel1[[#This Row],[Up - F3]],Tabel1[[#This Row],[Up - F4]]),"")</f>
        <v>3</v>
      </c>
      <c r="AZ299" s="14">
        <v>1</v>
      </c>
      <c r="BA299" s="14">
        <v>3</v>
      </c>
      <c r="BB299" s="14">
        <f>IFERROR(AVERAGE(Tabel1[[#This Row],[Up - V1a]:[Up - V1b]]),"")</f>
        <v>2</v>
      </c>
      <c r="BC299" s="14">
        <v>2</v>
      </c>
      <c r="BD299" s="14">
        <v>1</v>
      </c>
      <c r="BE299" s="14" t="s">
        <v>189</v>
      </c>
      <c r="BF299" s="14">
        <f>IFERROR(AVERAGE(Tabel1[[#This Row],[Up - V2a]:[Up - V2c]]),"")</f>
        <v>1.5</v>
      </c>
      <c r="BG299" s="14">
        <v>3</v>
      </c>
      <c r="BH299" s="14">
        <v>1</v>
      </c>
      <c r="BI299" s="14">
        <f>IFERROR(AVERAGE(Tabel1[[#This Row],[Up - V3a]:[Up - V3b]]),"")</f>
        <v>2</v>
      </c>
      <c r="BJ299" s="14" t="s">
        <v>189</v>
      </c>
      <c r="BK299" s="14">
        <f>IFERROR(AVERAGE(Tabel1[[#This Row],[Up - V1]],Tabel1[[#This Row],[Up - V2]],Tabel1[[#This Row],[Up - V3]],Tabel1[[#This Row],[Up - V4]]),"")</f>
        <v>1.8333333333333333</v>
      </c>
      <c r="BL299" s="14">
        <v>5</v>
      </c>
      <c r="BM299" s="14">
        <v>4</v>
      </c>
      <c r="BN299" s="14">
        <v>4</v>
      </c>
      <c r="BO299" s="14" t="s">
        <v>189</v>
      </c>
      <c r="BP299" s="14">
        <f>IFERROR(AVERAGE(Tabel1[[#This Row],[Up - A1a]:[Up - A1d]]),"")</f>
        <v>4.333333333333333</v>
      </c>
      <c r="BQ299" s="14" t="s">
        <v>189</v>
      </c>
      <c r="BR299" s="14">
        <v>3</v>
      </c>
      <c r="BS299" s="14">
        <f>IFERROR(AVERAGE(Tabel1[[#This Row],[Up - A2a]:[Up - A2b]]),"")</f>
        <v>3</v>
      </c>
      <c r="BT299" s="14">
        <v>3</v>
      </c>
      <c r="BU299" s="14">
        <f>IFERROR(AVERAGE(Tabel1[[#This Row],[Up - A3a]:[Up - A3a]]),"")</f>
        <v>3</v>
      </c>
      <c r="BV299" s="14">
        <v>3</v>
      </c>
      <c r="BW299" s="14">
        <f>IFERROR(AVERAGE(Tabel1[[#This Row],[Up - A1]],Tabel1[[#This Row],[Up - A2]],Tabel1[[#This Row],[Up - A3]]),"")</f>
        <v>3.4444444444444442</v>
      </c>
      <c r="BX299" s="14">
        <v>3</v>
      </c>
      <c r="BY299" s="14">
        <v>3</v>
      </c>
      <c r="BZ299" s="14">
        <f>IFERROR(AVERAGE(Tabel1[[#This Row],[In - R1a]:[In - R1b]]),"")</f>
        <v>3</v>
      </c>
      <c r="CA299" s="14">
        <v>2</v>
      </c>
      <c r="CB299" s="14">
        <v>1</v>
      </c>
      <c r="CC299" s="14">
        <v>2</v>
      </c>
      <c r="CD299" s="14">
        <v>5</v>
      </c>
      <c r="CE299" s="14">
        <f>IFERROR(AVERAGE(Tabel1[[#This Row],[In - R1]:[In - R5]]),"")</f>
        <v>2.6</v>
      </c>
      <c r="CF299" s="14">
        <v>4</v>
      </c>
      <c r="CG299" s="14">
        <v>3</v>
      </c>
      <c r="CH299" s="14">
        <v>3</v>
      </c>
      <c r="CI299" s="14">
        <f>IFERROR(AVERAGE(Tabel1[[#This Row],[In - C1a]:[In - C1c]]),"")</f>
        <v>3.3333333333333335</v>
      </c>
      <c r="CJ299" s="14">
        <v>1</v>
      </c>
      <c r="CK299" s="14">
        <v>2</v>
      </c>
      <c r="CL299" s="14">
        <v>1</v>
      </c>
      <c r="CM299" s="14">
        <f>IFERROR(AVERAGE(Tabel1[[#This Row],[In - C1]:[In - C4]]),"")</f>
        <v>1.8333333333333335</v>
      </c>
      <c r="CN299" s="14">
        <v>4</v>
      </c>
      <c r="CO299" s="14">
        <v>3</v>
      </c>
      <c r="CP299" s="14" t="s">
        <v>189</v>
      </c>
      <c r="CQ299" s="14">
        <f>IFERROR(AVERAGE(Tabel1[[#This Row],[In - F1a]:[In - F1c]]),"")</f>
        <v>3.5</v>
      </c>
      <c r="CR299" s="14" t="s">
        <v>189</v>
      </c>
      <c r="CS299" s="14" t="s">
        <v>189</v>
      </c>
      <c r="CT299" s="14" t="str">
        <f>IFERROR(AVERAGE(Tabel1[[#This Row],[In - F2a]:[In - F2b]]),"")</f>
        <v/>
      </c>
      <c r="CU299" s="14">
        <v>4</v>
      </c>
      <c r="CV299" s="14">
        <f>IFERROR(AVERAGE(Tabel1[[#This Row],[In - F3a]:[In - F3a]]),"")</f>
        <v>4</v>
      </c>
      <c r="CW299" s="14">
        <v>4</v>
      </c>
      <c r="CX299" s="14">
        <f>IFERROR(AVERAGE(Tabel1[[#This Row],[In - F1]],Tabel1[[#This Row],[In - F2]],Tabel1[[#This Row],[In - F3]],Tabel1[[#This Row],[In - F4]]),"")</f>
        <v>3.8333333333333335</v>
      </c>
      <c r="CY299" s="14">
        <v>5</v>
      </c>
      <c r="CZ299" s="14">
        <v>4</v>
      </c>
      <c r="DA299" s="14">
        <v>1</v>
      </c>
      <c r="DB299" s="14">
        <f>IFERROR(AVERAGE(Tabel1[[#This Row],[In - V1a]:[In - V1c]]),"")</f>
        <v>3.3333333333333335</v>
      </c>
      <c r="DC299" s="14">
        <v>4</v>
      </c>
      <c r="DD299" s="14">
        <v>4</v>
      </c>
      <c r="DE299" s="14">
        <v>4</v>
      </c>
      <c r="DF299" s="14">
        <f>IFERROR(AVERAGE(Tabel1[[#This Row],[In - V2a]:[In - V2c]]),"")</f>
        <v>4</v>
      </c>
      <c r="DG299" s="14">
        <v>4</v>
      </c>
      <c r="DH299" s="14">
        <v>3</v>
      </c>
      <c r="DI299" s="14">
        <f>IFERROR(AVERAGE(Tabel1[[#This Row],[In - V3a]:[In - V3b]]),"")</f>
        <v>3.5</v>
      </c>
      <c r="DJ299" s="14">
        <v>3</v>
      </c>
      <c r="DK299" s="14">
        <f>IFERROR(AVERAGE(Tabel1[[#This Row],[In - V1]],Tabel1[[#This Row],[In - V2]],Tabel1[[#This Row],[In - V3]],Tabel1[[#This Row],[In - V4]]),"")</f>
        <v>3.4583333333333335</v>
      </c>
      <c r="DL299" s="14">
        <v>4</v>
      </c>
      <c r="DM299" s="14" t="s">
        <v>189</v>
      </c>
      <c r="DN299" s="14">
        <f>IFERROR(AVERAGE(Tabel1[[#This Row],[In - A1a]:[In - A1b]]),"")</f>
        <v>4</v>
      </c>
      <c r="DO299" s="14" t="s">
        <v>189</v>
      </c>
      <c r="DP299" s="14">
        <v>4</v>
      </c>
      <c r="DQ299" s="14">
        <f>IFERROR(AVERAGE(Tabel1[[#This Row],[In - A2a]:[In - A2b]]),"")</f>
        <v>4</v>
      </c>
      <c r="DR299" s="14">
        <v>5</v>
      </c>
      <c r="DS299" s="14">
        <v>3</v>
      </c>
      <c r="DT299" s="14">
        <f>IFERROR(AVERAGE(Tabel1[[#This Row],[In - A3a]:[In - A3a]]),"")</f>
        <v>5</v>
      </c>
      <c r="DU299" s="14">
        <v>2</v>
      </c>
      <c r="DV299" s="14">
        <f>IFERROR(AVERAGE(Tabel1[[#This Row],[In - A1]],Tabel1[[#This Row],[In - A2]],Tabel1[[#This Row],[In - A3]],Tabel1[[#This Row],[In - A4]]),"")</f>
        <v>3.75</v>
      </c>
      <c r="DW299" s="14">
        <v>2</v>
      </c>
      <c r="DX299" s="14">
        <v>4</v>
      </c>
      <c r="DY299" s="14" t="s">
        <v>189</v>
      </c>
      <c r="DZ299" s="14">
        <f>IFERROR(AVERAGE(Tabel1[[#This Row],[Do - R1a]:[Do - R1c]]),"")</f>
        <v>3</v>
      </c>
      <c r="EA299" s="14" t="s">
        <v>189</v>
      </c>
      <c r="EB299" s="14">
        <v>1</v>
      </c>
      <c r="EC299" s="14" t="s">
        <v>189</v>
      </c>
      <c r="ED299" s="14">
        <v>2</v>
      </c>
      <c r="EE299" s="14">
        <f>IFERROR(AVERAGE(Tabel1[[#This Row],[Do - R1]:[Do - R5]]),"")</f>
        <v>2</v>
      </c>
      <c r="EF299" s="14">
        <v>4</v>
      </c>
      <c r="EG299" s="14">
        <v>4</v>
      </c>
      <c r="EH299" s="14">
        <v>4</v>
      </c>
      <c r="EI299" s="14">
        <f>IFERROR(AVERAGE(Tabel1[[#This Row],[Do - C1a]:[Do - C1c]]),"")</f>
        <v>4</v>
      </c>
      <c r="EJ299" s="14">
        <v>2</v>
      </c>
      <c r="EK299" s="14">
        <v>2</v>
      </c>
      <c r="EL299" s="14">
        <v>2</v>
      </c>
      <c r="EM299" s="14">
        <f>IFERROR(AVERAGE(Tabel1[[#This Row],[Do - C1]:[Do - C4]]),"")</f>
        <v>2.5</v>
      </c>
      <c r="EN299" s="14">
        <v>2</v>
      </c>
      <c r="EO299" s="14">
        <v>2</v>
      </c>
      <c r="EP299" s="14" t="s">
        <v>189</v>
      </c>
      <c r="EQ299" s="14">
        <f>IFERROR(AVERAGE(Tabel1[[#This Row],[Do - F1a]:[Do - F1c]]),"")</f>
        <v>2</v>
      </c>
      <c r="ER299" s="14">
        <v>3</v>
      </c>
      <c r="ES299" s="14">
        <f>IFERROR(AVERAGE(Tabel1[[#This Row],[Do - F2a]:[Do - F2a]]),"")</f>
        <v>3</v>
      </c>
      <c r="ET299" s="14">
        <v>3</v>
      </c>
      <c r="EU299" s="14" t="s">
        <v>189</v>
      </c>
      <c r="EV299" s="14">
        <f>IFERROR(AVERAGE(Tabel1[[#This Row],[Do - F3a]:[Do - F3b]]),"")</f>
        <v>3</v>
      </c>
      <c r="EW299" s="14">
        <v>3</v>
      </c>
      <c r="EX299" s="14">
        <f>IFERROR(AVERAGE(Tabel1[[#This Row],[Do - F1]],Tabel1[[#This Row],[Do - F2]],Tabel1[[#This Row],[Do - F3]],Tabel1[[#This Row],[Do - F4]]),"")</f>
        <v>2.75</v>
      </c>
      <c r="EY299" s="14">
        <v>4</v>
      </c>
      <c r="EZ299" s="14">
        <v>3</v>
      </c>
      <c r="FA299" s="14">
        <v>2</v>
      </c>
      <c r="FB299" s="14">
        <f>IFERROR(AVERAGE(Tabel1[[#This Row],[Do - V1a]:[Do - V1c]]),"")</f>
        <v>3</v>
      </c>
      <c r="FC299" s="14">
        <v>2</v>
      </c>
      <c r="FD299" s="14">
        <v>5</v>
      </c>
      <c r="FE299" s="14">
        <f>IFERROR(AVERAGE(Tabel1[[#This Row],[Do - V2a]:[Do - V2b]]),"")</f>
        <v>3.5</v>
      </c>
      <c r="FF299" s="14">
        <v>3</v>
      </c>
      <c r="FG299" s="14">
        <f>IFERROR(AVERAGE(Tabel1[[#This Row],[Do - V3a]:[Do - V3a]]),"")</f>
        <v>3</v>
      </c>
      <c r="FH299" s="14">
        <v>1</v>
      </c>
      <c r="FI299" s="14">
        <f>IFERROR(AVERAGE(Tabel1[[#This Row],[Do - V1]],Tabel1[[#This Row],[Do - V2]],Tabel1[[#This Row],[Do - V3]],Tabel1[[#This Row],[Do - V4]]),"")</f>
        <v>2.625</v>
      </c>
      <c r="FJ299" s="14">
        <v>3</v>
      </c>
      <c r="FK299" s="14">
        <v>4</v>
      </c>
      <c r="FL299" s="14">
        <v>3</v>
      </c>
      <c r="FM299" s="14">
        <f>IFERROR(AVERAGE(Tabel1[[#This Row],[Do - A1a]:[Do - A1c]]),"")</f>
        <v>3.3333333333333335</v>
      </c>
      <c r="FN299" s="14">
        <v>3</v>
      </c>
      <c r="FO299" s="14">
        <v>3</v>
      </c>
      <c r="FP299" s="14">
        <f>IFERROR(AVERAGE(Tabel1[[#This Row],[Do - A2a]:[Do - A2b]]),"")</f>
        <v>3</v>
      </c>
      <c r="FQ299" s="14">
        <v>4</v>
      </c>
      <c r="FR299" s="14">
        <f>IFERROR(AVERAGE(Tabel1[[#This Row],[Do - A3a]:[Do - A3a]]),"")</f>
        <v>4</v>
      </c>
      <c r="FS299" s="14">
        <v>2</v>
      </c>
      <c r="FT299" s="14">
        <f>IFERROR(AVERAGE(Tabel1[[#This Row],[Do - A1]],Tabel1[[#This Row],[Do - A2]],Tabel1[[#This Row],[Do - A3]],Tabel1[[#This Row],[Do - A4]]),"")</f>
        <v>3.0833333333333335</v>
      </c>
      <c r="FU29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2.7507407407407407</v>
      </c>
      <c r="FV299" s="27" t="s">
        <v>1569</v>
      </c>
      <c r="FW299" t="b">
        <v>1</v>
      </c>
    </row>
    <row r="300" spans="1:179" x14ac:dyDescent="0.3">
      <c r="A300" s="13">
        <v>45418.819317129601</v>
      </c>
      <c r="B300" t="b">
        <v>0</v>
      </c>
      <c r="C300" s="14" t="s">
        <v>1570</v>
      </c>
      <c r="D300" s="14" t="s">
        <v>192</v>
      </c>
      <c r="E300" s="14" t="s">
        <v>1571</v>
      </c>
      <c r="F300" s="14" t="s">
        <v>184</v>
      </c>
      <c r="G300" s="14" t="s">
        <v>1572</v>
      </c>
      <c r="H300" s="14" t="s">
        <v>222</v>
      </c>
      <c r="I300" s="14" t="s">
        <v>195</v>
      </c>
      <c r="J300" s="14" t="s">
        <v>273</v>
      </c>
      <c r="K300" s="28" t="s">
        <v>202</v>
      </c>
      <c r="L300" s="14" t="s">
        <v>249</v>
      </c>
      <c r="M300" s="14" t="s">
        <v>281</v>
      </c>
      <c r="N300" s="14" t="s">
        <v>199</v>
      </c>
      <c r="O300" s="14" t="s">
        <v>200</v>
      </c>
      <c r="P300" s="25" t="s">
        <v>201</v>
      </c>
      <c r="Q300" s="17" t="s">
        <v>203</v>
      </c>
      <c r="R300" s="25" t="s">
        <v>187</v>
      </c>
      <c r="S300" s="25" t="s">
        <v>201</v>
      </c>
      <c r="T300" s="14" t="s">
        <v>204</v>
      </c>
      <c r="U300" s="14" t="s">
        <v>205</v>
      </c>
      <c r="V300" s="14" t="s">
        <v>484</v>
      </c>
      <c r="W300" s="14" t="s">
        <v>207</v>
      </c>
      <c r="X300" s="14" t="s">
        <v>207</v>
      </c>
      <c r="Y300" s="14">
        <v>1</v>
      </c>
      <c r="Z300" s="14">
        <v>1</v>
      </c>
      <c r="AA300" s="14">
        <v>3</v>
      </c>
      <c r="AB300" s="15">
        <f>IFERROR(AVERAGE(Tabel1[[#This Row],[Up - R1a]:[Up - R1c]]),"")</f>
        <v>1.6666666666666667</v>
      </c>
      <c r="AC300" s="14">
        <v>1</v>
      </c>
      <c r="AD300" s="14">
        <v>2</v>
      </c>
      <c r="AE300" s="14">
        <v>2</v>
      </c>
      <c r="AF300" s="14">
        <v>2</v>
      </c>
      <c r="AG300" s="14">
        <f>IFERROR(AVERAGE(Tabel1[[#This Row],[Up - R1]:[Up - R5]]),"")</f>
        <v>1.7333333333333336</v>
      </c>
      <c r="AH300" s="14">
        <v>3</v>
      </c>
      <c r="AI300" s="14">
        <v>3</v>
      </c>
      <c r="AJ300" s="14">
        <v>2</v>
      </c>
      <c r="AK300" s="14">
        <f>IFERROR(AVERAGE(Tabel1[[#This Row],[Up - C1a]:[Up - C1c]]),"")</f>
        <v>2.6666666666666665</v>
      </c>
      <c r="AL300" s="14">
        <v>2</v>
      </c>
      <c r="AM300" s="14">
        <v>2</v>
      </c>
      <c r="AN300" s="14">
        <v>1</v>
      </c>
      <c r="AO300" s="14">
        <f>IFERROR(AVERAGE(Tabel1[[#This Row],[Up - C1]:[Up - C4]]),"")</f>
        <v>1.9166666666666665</v>
      </c>
      <c r="AP300" s="14">
        <v>1</v>
      </c>
      <c r="AQ300" s="14">
        <f>IFERROR(AVERAGE(Tabel1[[#This Row],[Up - F1a]:[Up - F1a]]),"")</f>
        <v>1</v>
      </c>
      <c r="AR300" s="14">
        <v>2</v>
      </c>
      <c r="AS300" s="14">
        <v>2</v>
      </c>
      <c r="AT300" s="14">
        <f>IFERROR(AVERAGE(Tabel1[[#This Row],[Up - F2a]:[Up - F2b]]),"")</f>
        <v>2</v>
      </c>
      <c r="AU300" s="14">
        <v>2</v>
      </c>
      <c r="AV300" s="14">
        <v>1</v>
      </c>
      <c r="AW300" s="14">
        <f>IFERROR(AVERAGE(Tabel1[[#This Row],[Up - F3a]:[Up - F3b]]),"")</f>
        <v>1.5</v>
      </c>
      <c r="AX300" s="14">
        <v>1</v>
      </c>
      <c r="AY300" s="14">
        <f>IFERROR(AVERAGE(Tabel1[[#This Row],[Up - F1]],Tabel1[[#This Row],[Up - F2]],Tabel1[[#This Row],[Up - F3]],Tabel1[[#This Row],[Up - F4]]),"")</f>
        <v>1.375</v>
      </c>
      <c r="AZ300" s="14">
        <v>3</v>
      </c>
      <c r="BA300" s="14">
        <v>2</v>
      </c>
      <c r="BB300" s="14">
        <f>IFERROR(AVERAGE(Tabel1[[#This Row],[Up - V1a]:[Up - V1b]]),"")</f>
        <v>2.5</v>
      </c>
      <c r="BC300" s="14">
        <v>1</v>
      </c>
      <c r="BD300" s="14">
        <v>1</v>
      </c>
      <c r="BE300" s="14">
        <v>2</v>
      </c>
      <c r="BF300" s="14">
        <f>IFERROR(AVERAGE(Tabel1[[#This Row],[Up - V2a]:[Up - V2c]]),"")</f>
        <v>1.3333333333333333</v>
      </c>
      <c r="BG300" s="14">
        <v>1</v>
      </c>
      <c r="BH300" s="14">
        <v>1</v>
      </c>
      <c r="BI300" s="14">
        <f>IFERROR(AVERAGE(Tabel1[[#This Row],[Up - V3a]:[Up - V3b]]),"")</f>
        <v>1</v>
      </c>
      <c r="BJ300" s="14">
        <v>1</v>
      </c>
      <c r="BK300" s="14">
        <f>IFERROR(AVERAGE(Tabel1[[#This Row],[Up - V1]],Tabel1[[#This Row],[Up - V2]],Tabel1[[#This Row],[Up - V3]],Tabel1[[#This Row],[Up - V4]]),"")</f>
        <v>1.4583333333333333</v>
      </c>
      <c r="BL300" s="14">
        <v>2</v>
      </c>
      <c r="BM300" s="14">
        <v>2</v>
      </c>
      <c r="BN300" s="14">
        <v>2</v>
      </c>
      <c r="BO300" s="14">
        <v>1</v>
      </c>
      <c r="BP300" s="14">
        <f>IFERROR(AVERAGE(Tabel1[[#This Row],[Up - A1a]:[Up - A1d]]),"")</f>
        <v>1.75</v>
      </c>
      <c r="BQ300" s="14">
        <v>2</v>
      </c>
      <c r="BR300" s="14">
        <v>2</v>
      </c>
      <c r="BS300" s="14">
        <f>IFERROR(AVERAGE(Tabel1[[#This Row],[Up - A2a]:[Up - A2b]]),"")</f>
        <v>2</v>
      </c>
      <c r="BT300" s="14">
        <v>2</v>
      </c>
      <c r="BU300" s="14">
        <f>IFERROR(AVERAGE(Tabel1[[#This Row],[Up - A3a]:[Up - A3a]]),"")</f>
        <v>2</v>
      </c>
      <c r="BV300" s="14">
        <v>1</v>
      </c>
      <c r="BW300" s="14">
        <f>IFERROR(AVERAGE(Tabel1[[#This Row],[Up - A1]],Tabel1[[#This Row],[Up - A2]],Tabel1[[#This Row],[Up - A3]]),"")</f>
        <v>1.9166666666666667</v>
      </c>
      <c r="BX300" s="14">
        <v>2</v>
      </c>
      <c r="BY300" s="14">
        <v>2</v>
      </c>
      <c r="BZ300" s="14">
        <f>IFERROR(AVERAGE(Tabel1[[#This Row],[In - R1a]:[In - R1b]]),"")</f>
        <v>2</v>
      </c>
      <c r="CA300" s="14">
        <v>2</v>
      </c>
      <c r="CB300" s="14">
        <v>2</v>
      </c>
      <c r="CC300" s="14">
        <v>2</v>
      </c>
      <c r="CD300" s="14">
        <v>2</v>
      </c>
      <c r="CE300" s="14">
        <f>IFERROR(AVERAGE(Tabel1[[#This Row],[In - R1]:[In - R5]]),"")</f>
        <v>2</v>
      </c>
      <c r="CF300" s="14">
        <v>2</v>
      </c>
      <c r="CG300" s="14">
        <v>2</v>
      </c>
      <c r="CH300" s="14">
        <v>2</v>
      </c>
      <c r="CI300" s="14">
        <f>IFERROR(AVERAGE(Tabel1[[#This Row],[In - C1a]:[In - C1c]]),"")</f>
        <v>2</v>
      </c>
      <c r="CJ300" s="14">
        <v>1</v>
      </c>
      <c r="CK300" s="14">
        <v>1</v>
      </c>
      <c r="CL300" s="14">
        <v>1</v>
      </c>
      <c r="CM300" s="14">
        <f>IFERROR(AVERAGE(Tabel1[[#This Row],[In - C1]:[In - C4]]),"")</f>
        <v>1.25</v>
      </c>
      <c r="CN300" s="14">
        <v>2</v>
      </c>
      <c r="CO300" s="14">
        <v>2</v>
      </c>
      <c r="CP300" s="14">
        <v>1</v>
      </c>
      <c r="CQ300" s="14">
        <f>IFERROR(AVERAGE(Tabel1[[#This Row],[In - F1a]:[In - F1c]]),"")</f>
        <v>1.6666666666666667</v>
      </c>
      <c r="CR300" s="14">
        <v>2</v>
      </c>
      <c r="CS300" s="14">
        <v>1</v>
      </c>
      <c r="CT300" s="14">
        <f>IFERROR(AVERAGE(Tabel1[[#This Row],[In - F2a]:[In - F2b]]),"")</f>
        <v>1.5</v>
      </c>
      <c r="CU300" s="14">
        <v>1</v>
      </c>
      <c r="CV300" s="14">
        <f>IFERROR(AVERAGE(Tabel1[[#This Row],[In - F3a]:[In - F3a]]),"")</f>
        <v>1</v>
      </c>
      <c r="CW300" s="14">
        <v>1</v>
      </c>
      <c r="CX300" s="14">
        <f>IFERROR(AVERAGE(Tabel1[[#This Row],[In - F1]],Tabel1[[#This Row],[In - F2]],Tabel1[[#This Row],[In - F3]],Tabel1[[#This Row],[In - F4]]),"")</f>
        <v>1.2916666666666667</v>
      </c>
      <c r="CY300" s="14">
        <v>2</v>
      </c>
      <c r="CZ300" s="14">
        <v>2</v>
      </c>
      <c r="DA300" s="14">
        <v>1</v>
      </c>
      <c r="DB300" s="14">
        <f>IFERROR(AVERAGE(Tabel1[[#This Row],[In - V1a]:[In - V1c]]),"")</f>
        <v>1.6666666666666667</v>
      </c>
      <c r="DC300" s="14">
        <v>1</v>
      </c>
      <c r="DD300" s="14">
        <v>1</v>
      </c>
      <c r="DE300" s="14">
        <v>1</v>
      </c>
      <c r="DF300" s="14">
        <f>IFERROR(AVERAGE(Tabel1[[#This Row],[In - V2a]:[In - V2c]]),"")</f>
        <v>1</v>
      </c>
      <c r="DG300" s="14">
        <v>1</v>
      </c>
      <c r="DH300" s="14" t="s">
        <v>189</v>
      </c>
      <c r="DI300" s="14">
        <f>IFERROR(AVERAGE(Tabel1[[#This Row],[In - V3a]:[In - V3b]]),"")</f>
        <v>1</v>
      </c>
      <c r="DJ300" s="14" t="s">
        <v>189</v>
      </c>
      <c r="DK300" s="14">
        <f>IFERROR(AVERAGE(Tabel1[[#This Row],[In - V1]],Tabel1[[#This Row],[In - V2]],Tabel1[[#This Row],[In - V3]],Tabel1[[#This Row],[In - V4]]),"")</f>
        <v>1.2222222222222223</v>
      </c>
      <c r="DL300" s="14">
        <v>2</v>
      </c>
      <c r="DM300" s="14">
        <v>1</v>
      </c>
      <c r="DN300" s="14">
        <f>IFERROR(AVERAGE(Tabel1[[#This Row],[In - A1a]:[In - A1b]]),"")</f>
        <v>1.5</v>
      </c>
      <c r="DO300" s="14">
        <v>2</v>
      </c>
      <c r="DP300" s="14">
        <v>2</v>
      </c>
      <c r="DQ300" s="14">
        <f>IFERROR(AVERAGE(Tabel1[[#This Row],[In - A2a]:[In - A2b]]),"")</f>
        <v>2</v>
      </c>
      <c r="DR300" s="14">
        <v>2</v>
      </c>
      <c r="DS300" s="14">
        <v>2</v>
      </c>
      <c r="DT300" s="14">
        <f>IFERROR(AVERAGE(Tabel1[[#This Row],[In - A3a]:[In - A3a]]),"")</f>
        <v>2</v>
      </c>
      <c r="DU300" s="14">
        <v>1</v>
      </c>
      <c r="DV300" s="14">
        <f>IFERROR(AVERAGE(Tabel1[[#This Row],[In - A1]],Tabel1[[#This Row],[In - A2]],Tabel1[[#This Row],[In - A3]],Tabel1[[#This Row],[In - A4]]),"")</f>
        <v>1.625</v>
      </c>
      <c r="DW300" s="14">
        <v>4</v>
      </c>
      <c r="DX300" s="14">
        <v>4</v>
      </c>
      <c r="DY300" s="14">
        <v>2</v>
      </c>
      <c r="DZ300" s="14">
        <f>IFERROR(AVERAGE(Tabel1[[#This Row],[Do - R1a]:[Do - R1c]]),"")</f>
        <v>3.3333333333333335</v>
      </c>
      <c r="EA300" s="14">
        <v>1</v>
      </c>
      <c r="EB300" s="14">
        <v>2</v>
      </c>
      <c r="EC300" s="14">
        <v>1</v>
      </c>
      <c r="ED300" s="14">
        <v>4</v>
      </c>
      <c r="EE300" s="14">
        <f>IFERROR(AVERAGE(Tabel1[[#This Row],[Do - R1]:[Do - R5]]),"")</f>
        <v>2.2666666666666666</v>
      </c>
      <c r="EF300" s="14">
        <v>2</v>
      </c>
      <c r="EG300" s="14">
        <v>2</v>
      </c>
      <c r="EH300" s="14">
        <v>2</v>
      </c>
      <c r="EI300" s="14">
        <f>IFERROR(AVERAGE(Tabel1[[#This Row],[Do - C1a]:[Do - C1c]]),"")</f>
        <v>2</v>
      </c>
      <c r="EJ300" s="14">
        <v>2</v>
      </c>
      <c r="EK300" s="14">
        <v>2</v>
      </c>
      <c r="EL300" s="14">
        <v>1</v>
      </c>
      <c r="EM300" s="14">
        <f>IFERROR(AVERAGE(Tabel1[[#This Row],[Do - C1]:[Do - C4]]),"")</f>
        <v>1.75</v>
      </c>
      <c r="EN300" s="14">
        <v>2</v>
      </c>
      <c r="EO300" s="14">
        <v>1</v>
      </c>
      <c r="EP300" s="14">
        <v>3</v>
      </c>
      <c r="EQ300" s="14">
        <f>IFERROR(AVERAGE(Tabel1[[#This Row],[Do - F1a]:[Do - F1c]]),"")</f>
        <v>2</v>
      </c>
      <c r="ER300" s="14">
        <v>1</v>
      </c>
      <c r="ES300" s="14">
        <f>IFERROR(AVERAGE(Tabel1[[#This Row],[Do - F2a]:[Do - F2a]]),"")</f>
        <v>1</v>
      </c>
      <c r="ET300" s="14">
        <v>2</v>
      </c>
      <c r="EU300" s="14">
        <v>2</v>
      </c>
      <c r="EV300" s="14">
        <f>IFERROR(AVERAGE(Tabel1[[#This Row],[Do - F3a]:[Do - F3b]]),"")</f>
        <v>2</v>
      </c>
      <c r="EW300" s="14">
        <v>1</v>
      </c>
      <c r="EX300" s="14">
        <f>IFERROR(AVERAGE(Tabel1[[#This Row],[Do - F1]],Tabel1[[#This Row],[Do - F2]],Tabel1[[#This Row],[Do - F3]],Tabel1[[#This Row],[Do - F4]]),"")</f>
        <v>1.5</v>
      </c>
      <c r="EY300" s="14">
        <v>2</v>
      </c>
      <c r="EZ300" s="14">
        <v>1</v>
      </c>
      <c r="FA300" s="14">
        <v>1</v>
      </c>
      <c r="FB300" s="14">
        <f>IFERROR(AVERAGE(Tabel1[[#This Row],[Do - V1a]:[Do - V1c]]),"")</f>
        <v>1.3333333333333333</v>
      </c>
      <c r="FC300" s="14">
        <v>1</v>
      </c>
      <c r="FD300" s="14">
        <v>1</v>
      </c>
      <c r="FE300" s="14">
        <f>IFERROR(AVERAGE(Tabel1[[#This Row],[Do - V2a]:[Do - V2b]]),"")</f>
        <v>1</v>
      </c>
      <c r="FF300" s="14">
        <v>1</v>
      </c>
      <c r="FG300" s="14">
        <f>IFERROR(AVERAGE(Tabel1[[#This Row],[Do - V3a]:[Do - V3a]]),"")</f>
        <v>1</v>
      </c>
      <c r="FH300" s="14">
        <v>1</v>
      </c>
      <c r="FI300" s="14">
        <f>IFERROR(AVERAGE(Tabel1[[#This Row],[Do - V1]],Tabel1[[#This Row],[Do - V2]],Tabel1[[#This Row],[Do - V3]],Tabel1[[#This Row],[Do - V4]]),"")</f>
        <v>1.0833333333333333</v>
      </c>
      <c r="FJ300" s="14">
        <v>2</v>
      </c>
      <c r="FK300" s="14">
        <v>2</v>
      </c>
      <c r="FL300" s="14">
        <v>2</v>
      </c>
      <c r="FM300" s="14">
        <f>IFERROR(AVERAGE(Tabel1[[#This Row],[Do - A1a]:[Do - A1c]]),"")</f>
        <v>2</v>
      </c>
      <c r="FN300" s="14">
        <v>1</v>
      </c>
      <c r="FO300" s="14">
        <v>2</v>
      </c>
      <c r="FP300" s="14">
        <f>IFERROR(AVERAGE(Tabel1[[#This Row],[Do - A2a]:[Do - A2b]]),"")</f>
        <v>1.5</v>
      </c>
      <c r="FQ300" s="14">
        <v>1</v>
      </c>
      <c r="FR300" s="14">
        <f>IFERROR(AVERAGE(Tabel1[[#This Row],[Do - A3a]:[Do - A3a]]),"")</f>
        <v>1</v>
      </c>
      <c r="FS300" s="14">
        <v>2</v>
      </c>
      <c r="FT300" s="14">
        <f>IFERROR(AVERAGE(Tabel1[[#This Row],[Do - A1]],Tabel1[[#This Row],[Do - A2]],Tabel1[[#This Row],[Do - A3]],Tabel1[[#This Row],[Do - A4]]),"")</f>
        <v>1.625</v>
      </c>
      <c r="FU30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1.6009259259259256</v>
      </c>
      <c r="FV300" s="27" t="s">
        <v>1573</v>
      </c>
      <c r="FW300" t="b">
        <v>1</v>
      </c>
    </row>
    <row r="301" spans="1:179" x14ac:dyDescent="0.3">
      <c r="A301" s="13">
        <v>45418.900671296302</v>
      </c>
      <c r="B301" t="b">
        <v>0</v>
      </c>
      <c r="C301" s="14" t="s">
        <v>1574</v>
      </c>
      <c r="D301" s="14" t="s">
        <v>1063</v>
      </c>
      <c r="E301" s="14" t="s">
        <v>1575</v>
      </c>
      <c r="F301" s="14" t="s">
        <v>184</v>
      </c>
      <c r="G301" s="14" t="s">
        <v>1576</v>
      </c>
      <c r="H301" s="14" t="s">
        <v>222</v>
      </c>
      <c r="I301" s="14" t="s">
        <v>542</v>
      </c>
      <c r="J301" s="14" t="s">
        <v>543</v>
      </c>
      <c r="K301" s="28" t="s">
        <v>235</v>
      </c>
      <c r="L301" s="14" t="s">
        <v>385</v>
      </c>
      <c r="M301" s="14" t="s">
        <v>188</v>
      </c>
      <c r="N301" s="14" t="s">
        <v>262</v>
      </c>
      <c r="O301" s="14" t="s">
        <v>200</v>
      </c>
      <c r="P301" s="24" t="s">
        <v>304</v>
      </c>
      <c r="Q301" s="17" t="s">
        <v>255</v>
      </c>
      <c r="R301" s="25" t="s">
        <v>203</v>
      </c>
      <c r="S301" s="25" t="s">
        <v>235</v>
      </c>
      <c r="T301" s="14" t="s">
        <v>204</v>
      </c>
      <c r="U301" s="14" t="s">
        <v>285</v>
      </c>
      <c r="V301" s="14" t="s">
        <v>359</v>
      </c>
      <c r="W301" s="14" t="s">
        <v>207</v>
      </c>
      <c r="X301" s="14" t="s">
        <v>207</v>
      </c>
      <c r="Y301" s="14" t="s">
        <v>189</v>
      </c>
      <c r="Z301" s="14">
        <v>5</v>
      </c>
      <c r="AA301" s="14" t="s">
        <v>189</v>
      </c>
      <c r="AB301" s="15">
        <f>IFERROR(AVERAGE(Tabel1[[#This Row],[Up - R1a]:[Up - R1c]]),"")</f>
        <v>5</v>
      </c>
      <c r="AC301" s="14" t="s">
        <v>189</v>
      </c>
      <c r="AD301" s="14">
        <v>3</v>
      </c>
      <c r="AE301" s="14" t="s">
        <v>189</v>
      </c>
      <c r="AF301" s="14" t="s">
        <v>189</v>
      </c>
      <c r="AG301" s="14">
        <f>IFERROR(AVERAGE(Tabel1[[#This Row],[Up - R1]:[Up - R5]]),"")</f>
        <v>4</v>
      </c>
      <c r="AH301" s="14" t="s">
        <v>189</v>
      </c>
      <c r="AI301" s="14">
        <v>3</v>
      </c>
      <c r="AJ301" s="14">
        <v>1</v>
      </c>
      <c r="AK301" s="14">
        <f>IFERROR(AVERAGE(Tabel1[[#This Row],[Up - C1a]:[Up - C1c]]),"")</f>
        <v>2</v>
      </c>
      <c r="AL301" s="14">
        <v>2</v>
      </c>
      <c r="AM301" s="14">
        <v>2</v>
      </c>
      <c r="AN301" s="14" t="s">
        <v>189</v>
      </c>
      <c r="AO301" s="14">
        <f>IFERROR(AVERAGE(Tabel1[[#This Row],[Up - C1]:[Up - C4]]),"")</f>
        <v>2</v>
      </c>
      <c r="AP301" s="14">
        <v>5</v>
      </c>
      <c r="AQ301" s="14">
        <f>IFERROR(AVERAGE(Tabel1[[#This Row],[Up - F1a]:[Up - F1a]]),"")</f>
        <v>5</v>
      </c>
      <c r="AR301" s="14">
        <v>2</v>
      </c>
      <c r="AS301" s="14">
        <v>1</v>
      </c>
      <c r="AT301" s="14">
        <f>IFERROR(AVERAGE(Tabel1[[#This Row],[Up - F2a]:[Up - F2b]]),"")</f>
        <v>1.5</v>
      </c>
      <c r="AU301" s="14" t="s">
        <v>189</v>
      </c>
      <c r="AV301" s="14" t="s">
        <v>189</v>
      </c>
      <c r="AW301" s="14" t="str">
        <f>IFERROR(AVERAGE(Tabel1[[#This Row],[Up - F3a]:[Up - F3b]]),"")</f>
        <v/>
      </c>
      <c r="AX301" s="14" t="s">
        <v>189</v>
      </c>
      <c r="AY301" s="14">
        <f>IFERROR(AVERAGE(Tabel1[[#This Row],[Up - F1]],Tabel1[[#This Row],[Up - F2]],Tabel1[[#This Row],[Up - F3]],Tabel1[[#This Row],[Up - F4]]),"")</f>
        <v>3.25</v>
      </c>
      <c r="AZ301" s="14" t="s">
        <v>189</v>
      </c>
      <c r="BA301" s="14" t="s">
        <v>189</v>
      </c>
      <c r="BB301" s="14" t="str">
        <f>IFERROR(AVERAGE(Tabel1[[#This Row],[Up - V1a]:[Up - V1b]]),"")</f>
        <v/>
      </c>
      <c r="BC301" s="14" t="s">
        <v>189</v>
      </c>
      <c r="BD301" s="14" t="s">
        <v>189</v>
      </c>
      <c r="BE301" s="14" t="s">
        <v>189</v>
      </c>
      <c r="BF301" s="14" t="str">
        <f>IFERROR(AVERAGE(Tabel1[[#This Row],[Up - V2a]:[Up - V2c]]),"")</f>
        <v/>
      </c>
      <c r="BG301" s="14" t="s">
        <v>189</v>
      </c>
      <c r="BH301" s="14" t="s">
        <v>189</v>
      </c>
      <c r="BI301" s="14" t="str">
        <f>IFERROR(AVERAGE(Tabel1[[#This Row],[Up - V3a]:[Up - V3b]]),"")</f>
        <v/>
      </c>
      <c r="BJ301" s="14" t="s">
        <v>189</v>
      </c>
      <c r="BK301" s="14" t="str">
        <f>IFERROR(AVERAGE(Tabel1[[#This Row],[Up - V1]],Tabel1[[#This Row],[Up - V2]],Tabel1[[#This Row],[Up - V3]],Tabel1[[#This Row],[Up - V4]]),"")</f>
        <v/>
      </c>
      <c r="BL301" s="14">
        <v>1</v>
      </c>
      <c r="BM301" s="14">
        <v>2</v>
      </c>
      <c r="BN301" s="14" t="s">
        <v>189</v>
      </c>
      <c r="BO301" s="14" t="s">
        <v>189</v>
      </c>
      <c r="BP301" s="14">
        <f>IFERROR(AVERAGE(Tabel1[[#This Row],[Up - A1a]:[Up - A1d]]),"")</f>
        <v>1.5</v>
      </c>
      <c r="BQ301" s="14" t="s">
        <v>189</v>
      </c>
      <c r="BR301" s="14">
        <v>4</v>
      </c>
      <c r="BS301" s="14">
        <f>IFERROR(AVERAGE(Tabel1[[#This Row],[Up - A2a]:[Up - A2b]]),"")</f>
        <v>4</v>
      </c>
      <c r="BT301" s="14" t="s">
        <v>189</v>
      </c>
      <c r="BU301" s="14" t="str">
        <f>IFERROR(AVERAGE(Tabel1[[#This Row],[Up - A3a]:[Up - A3a]]),"")</f>
        <v/>
      </c>
      <c r="BV301" s="14" t="s">
        <v>189</v>
      </c>
      <c r="BW301" s="14">
        <f>IFERROR(AVERAGE(Tabel1[[#This Row],[Up - A1]],Tabel1[[#This Row],[Up - A2]],Tabel1[[#This Row],[Up - A3]]),"")</f>
        <v>2.75</v>
      </c>
      <c r="BX301" s="14">
        <v>2</v>
      </c>
      <c r="BY301" s="14">
        <v>5</v>
      </c>
      <c r="BZ301" s="14">
        <f>IFERROR(AVERAGE(Tabel1[[#This Row],[In - R1a]:[In - R1b]]),"")</f>
        <v>3.5</v>
      </c>
      <c r="CA301" s="14">
        <v>3</v>
      </c>
      <c r="CB301" s="14">
        <v>2</v>
      </c>
      <c r="CC301" s="14">
        <v>3</v>
      </c>
      <c r="CD301" s="14">
        <v>4</v>
      </c>
      <c r="CE301" s="14">
        <f>IFERROR(AVERAGE(Tabel1[[#This Row],[In - R1]:[In - R5]]),"")</f>
        <v>3.1</v>
      </c>
      <c r="CF301" s="14">
        <v>3</v>
      </c>
      <c r="CG301" s="14">
        <v>1</v>
      </c>
      <c r="CH301" s="14">
        <v>1</v>
      </c>
      <c r="CI301" s="14">
        <f>IFERROR(AVERAGE(Tabel1[[#This Row],[In - C1a]:[In - C1c]]),"")</f>
        <v>1.6666666666666667</v>
      </c>
      <c r="CJ301" s="14">
        <v>1</v>
      </c>
      <c r="CK301" s="14">
        <v>1</v>
      </c>
      <c r="CL301" s="14">
        <v>1</v>
      </c>
      <c r="CM301" s="14">
        <f>IFERROR(AVERAGE(Tabel1[[#This Row],[In - C1]:[In - C4]]),"")</f>
        <v>1.1666666666666667</v>
      </c>
      <c r="CN301" s="14">
        <v>2</v>
      </c>
      <c r="CO301" s="14">
        <v>1</v>
      </c>
      <c r="CP301" s="14">
        <v>2</v>
      </c>
      <c r="CQ301" s="14">
        <f>IFERROR(AVERAGE(Tabel1[[#This Row],[In - F1a]:[In - F1c]]),"")</f>
        <v>1.6666666666666667</v>
      </c>
      <c r="CR301" s="14" t="s">
        <v>189</v>
      </c>
      <c r="CS301" s="14">
        <v>1</v>
      </c>
      <c r="CT301" s="14">
        <f>IFERROR(AVERAGE(Tabel1[[#This Row],[In - F2a]:[In - F2b]]),"")</f>
        <v>1</v>
      </c>
      <c r="CU301" s="14">
        <v>1</v>
      </c>
      <c r="CV301" s="14">
        <f>IFERROR(AVERAGE(Tabel1[[#This Row],[In - F3a]:[In - F3a]]),"")</f>
        <v>1</v>
      </c>
      <c r="CW301" s="14" t="s">
        <v>189</v>
      </c>
      <c r="CX301" s="14">
        <f>IFERROR(AVERAGE(Tabel1[[#This Row],[In - F1]],Tabel1[[#This Row],[In - F2]],Tabel1[[#This Row],[In - F3]],Tabel1[[#This Row],[In - F4]]),"")</f>
        <v>1.2222222222222223</v>
      </c>
      <c r="CY301" s="14">
        <v>1</v>
      </c>
      <c r="CZ301" s="14">
        <v>1</v>
      </c>
      <c r="DA301" s="14">
        <v>1</v>
      </c>
      <c r="DB301" s="14">
        <f>IFERROR(AVERAGE(Tabel1[[#This Row],[In - V1a]:[In - V1c]]),"")</f>
        <v>1</v>
      </c>
      <c r="DC301" s="14">
        <v>2</v>
      </c>
      <c r="DD301" s="14">
        <v>1</v>
      </c>
      <c r="DE301" s="14">
        <v>3</v>
      </c>
      <c r="DF301" s="14">
        <f>IFERROR(AVERAGE(Tabel1[[#This Row],[In - V2a]:[In - V2c]]),"")</f>
        <v>2</v>
      </c>
      <c r="DG301" s="14">
        <v>1</v>
      </c>
      <c r="DH301" s="14">
        <v>4</v>
      </c>
      <c r="DI301" s="14">
        <f>IFERROR(AVERAGE(Tabel1[[#This Row],[In - V3a]:[In - V3b]]),"")</f>
        <v>2.5</v>
      </c>
      <c r="DJ301" s="14">
        <v>2</v>
      </c>
      <c r="DK301" s="14">
        <f>IFERROR(AVERAGE(Tabel1[[#This Row],[In - V1]],Tabel1[[#This Row],[In - V2]],Tabel1[[#This Row],[In - V3]],Tabel1[[#This Row],[In - V4]]),"")</f>
        <v>1.875</v>
      </c>
      <c r="DL301" s="14">
        <v>1</v>
      </c>
      <c r="DM301" s="14">
        <v>3</v>
      </c>
      <c r="DN301" s="14">
        <f>IFERROR(AVERAGE(Tabel1[[#This Row],[In - A1a]:[In - A1b]]),"")</f>
        <v>2</v>
      </c>
      <c r="DO301" s="14">
        <v>1</v>
      </c>
      <c r="DP301" s="14">
        <v>2</v>
      </c>
      <c r="DQ301" s="14">
        <f>IFERROR(AVERAGE(Tabel1[[#This Row],[In - A2a]:[In - A2b]]),"")</f>
        <v>1.5</v>
      </c>
      <c r="DR301" s="14">
        <v>2</v>
      </c>
      <c r="DS301" s="14">
        <v>1</v>
      </c>
      <c r="DT301" s="14">
        <f>IFERROR(AVERAGE(Tabel1[[#This Row],[In - A3a]:[In - A3a]]),"")</f>
        <v>2</v>
      </c>
      <c r="DU301" s="14">
        <v>1</v>
      </c>
      <c r="DV301" s="14">
        <f>IFERROR(AVERAGE(Tabel1[[#This Row],[In - A1]],Tabel1[[#This Row],[In - A2]],Tabel1[[#This Row],[In - A3]],Tabel1[[#This Row],[In - A4]]),"")</f>
        <v>1.625</v>
      </c>
      <c r="DW301" s="14">
        <v>2</v>
      </c>
      <c r="DX301" s="14">
        <v>5</v>
      </c>
      <c r="DY301" s="14">
        <v>2</v>
      </c>
      <c r="DZ301" s="14">
        <f>IFERROR(AVERAGE(Tabel1[[#This Row],[Do - R1a]:[Do - R1c]]),"")</f>
        <v>3</v>
      </c>
      <c r="EA301" s="14">
        <v>2</v>
      </c>
      <c r="EB301" s="14">
        <v>4</v>
      </c>
      <c r="EC301" s="14">
        <v>3</v>
      </c>
      <c r="ED301" s="14" t="s">
        <v>189</v>
      </c>
      <c r="EE301" s="14">
        <f>IFERROR(AVERAGE(Tabel1[[#This Row],[Do - R1]:[Do - R5]]),"")</f>
        <v>3</v>
      </c>
      <c r="EF301" s="14">
        <v>4</v>
      </c>
      <c r="EG301" s="14">
        <v>2</v>
      </c>
      <c r="EH301" s="14">
        <v>1</v>
      </c>
      <c r="EI301" s="14">
        <f>IFERROR(AVERAGE(Tabel1[[#This Row],[Do - C1a]:[Do - C1c]]),"")</f>
        <v>2.3333333333333335</v>
      </c>
      <c r="EJ301" s="14">
        <v>1</v>
      </c>
      <c r="EK301" s="14">
        <v>2</v>
      </c>
      <c r="EL301" s="14" t="s">
        <v>189</v>
      </c>
      <c r="EM301" s="14">
        <f>IFERROR(AVERAGE(Tabel1[[#This Row],[Do - C1]:[Do - C4]]),"")</f>
        <v>1.7777777777777779</v>
      </c>
      <c r="EN301" s="14">
        <v>1</v>
      </c>
      <c r="EO301" s="14">
        <v>1</v>
      </c>
      <c r="EP301" s="14" t="s">
        <v>189</v>
      </c>
      <c r="EQ301" s="14">
        <f>IFERROR(AVERAGE(Tabel1[[#This Row],[Do - F1a]:[Do - F1c]]),"")</f>
        <v>1</v>
      </c>
      <c r="ER301" s="14">
        <v>4</v>
      </c>
      <c r="ES301" s="14">
        <f>IFERROR(AVERAGE(Tabel1[[#This Row],[Do - F2a]:[Do - F2a]]),"")</f>
        <v>4</v>
      </c>
      <c r="ET301" s="14">
        <v>3</v>
      </c>
      <c r="EU301" s="14">
        <v>1</v>
      </c>
      <c r="EV301" s="14">
        <f>IFERROR(AVERAGE(Tabel1[[#This Row],[Do - F3a]:[Do - F3b]]),"")</f>
        <v>2</v>
      </c>
      <c r="EW301" s="14" t="s">
        <v>189</v>
      </c>
      <c r="EX301" s="14">
        <f>IFERROR(AVERAGE(Tabel1[[#This Row],[Do - F1]],Tabel1[[#This Row],[Do - F2]],Tabel1[[#This Row],[Do - F3]],Tabel1[[#This Row],[Do - F4]]),"")</f>
        <v>2.3333333333333335</v>
      </c>
      <c r="EY301" s="14">
        <v>1</v>
      </c>
      <c r="EZ301" s="14">
        <v>1</v>
      </c>
      <c r="FA301" s="14">
        <v>4</v>
      </c>
      <c r="FB301" s="14">
        <f>IFERROR(AVERAGE(Tabel1[[#This Row],[Do - V1a]:[Do - V1c]]),"")</f>
        <v>2</v>
      </c>
      <c r="FC301" s="14" t="s">
        <v>189</v>
      </c>
      <c r="FD301" s="14" t="s">
        <v>189</v>
      </c>
      <c r="FE301" s="14" t="str">
        <f>IFERROR(AVERAGE(Tabel1[[#This Row],[Do - V2a]:[Do - V2b]]),"")</f>
        <v/>
      </c>
      <c r="FF301" s="14">
        <v>1</v>
      </c>
      <c r="FG301" s="14">
        <f>IFERROR(AVERAGE(Tabel1[[#This Row],[Do - V3a]:[Do - V3a]]),"")</f>
        <v>1</v>
      </c>
      <c r="FH301" s="14" t="s">
        <v>189</v>
      </c>
      <c r="FI301" s="14">
        <f>IFERROR(AVERAGE(Tabel1[[#This Row],[Do - V1]],Tabel1[[#This Row],[Do - V2]],Tabel1[[#This Row],[Do - V3]],Tabel1[[#This Row],[Do - V4]]),"")</f>
        <v>1.5</v>
      </c>
      <c r="FJ301" s="14">
        <v>1</v>
      </c>
      <c r="FK301" s="14">
        <v>1</v>
      </c>
      <c r="FL301" s="14">
        <v>2</v>
      </c>
      <c r="FM301" s="14">
        <f>IFERROR(AVERAGE(Tabel1[[#This Row],[Do - A1a]:[Do - A1c]]),"")</f>
        <v>1.3333333333333333</v>
      </c>
      <c r="FN301" s="14">
        <v>1</v>
      </c>
      <c r="FO301" s="14">
        <v>3</v>
      </c>
      <c r="FP301" s="14">
        <f>IFERROR(AVERAGE(Tabel1[[#This Row],[Do - A2a]:[Do - A2b]]),"")</f>
        <v>2</v>
      </c>
      <c r="FQ301" s="14">
        <v>2</v>
      </c>
      <c r="FR301" s="14">
        <f>IFERROR(AVERAGE(Tabel1[[#This Row],[Do - A3a]:[Do - A3a]]),"")</f>
        <v>2</v>
      </c>
      <c r="FS301" s="14">
        <v>3</v>
      </c>
      <c r="FT301" s="14">
        <f>IFERROR(AVERAGE(Tabel1[[#This Row],[Do - A1]],Tabel1[[#This Row],[Do - A2]],Tabel1[[#This Row],[Do - A3]],Tabel1[[#This Row],[Do - A4]]),"")</f>
        <v>2.083333333333333</v>
      </c>
      <c r="FU30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2.263095238095238</v>
      </c>
      <c r="FV301" s="27" t="s">
        <v>1577</v>
      </c>
      <c r="FW301" t="b">
        <v>1</v>
      </c>
    </row>
    <row r="302" spans="1:179" x14ac:dyDescent="0.3">
      <c r="A302" s="13">
        <v>45419.260925925897</v>
      </c>
      <c r="B302" t="b">
        <v>0</v>
      </c>
      <c r="C302" s="14" t="s">
        <v>1578</v>
      </c>
      <c r="D302" s="14" t="s">
        <v>464</v>
      </c>
      <c r="E302" s="14" t="s">
        <v>1579</v>
      </c>
      <c r="F302" s="14" t="s">
        <v>184</v>
      </c>
      <c r="G302" s="14" t="s">
        <v>1580</v>
      </c>
      <c r="H302" s="14" t="s">
        <v>222</v>
      </c>
      <c r="I302" s="14" t="s">
        <v>243</v>
      </c>
      <c r="J302" s="14" t="s">
        <v>248</v>
      </c>
      <c r="K302" s="28" t="s">
        <v>203</v>
      </c>
      <c r="L302" s="14" t="s">
        <v>218</v>
      </c>
      <c r="M302" s="14" t="s">
        <v>188</v>
      </c>
      <c r="N302" s="14" t="s">
        <v>316</v>
      </c>
      <c r="O302" s="14" t="s">
        <v>200</v>
      </c>
      <c r="P302" s="24" t="s">
        <v>304</v>
      </c>
      <c r="Q302" s="17" t="s">
        <v>201</v>
      </c>
      <c r="R302" s="25" t="s">
        <v>235</v>
      </c>
      <c r="S302" s="25" t="s">
        <v>235</v>
      </c>
      <c r="T302" s="14" t="s">
        <v>204</v>
      </c>
      <c r="U302" s="14" t="s">
        <v>285</v>
      </c>
      <c r="V302" s="14" t="s">
        <v>224</v>
      </c>
      <c r="W302" s="14" t="s">
        <v>207</v>
      </c>
      <c r="X302" s="14" t="s">
        <v>306</v>
      </c>
      <c r="Y302" s="14">
        <v>3</v>
      </c>
      <c r="Z302" s="14">
        <v>3</v>
      </c>
      <c r="AA302" s="14" t="s">
        <v>189</v>
      </c>
      <c r="AB302" s="15">
        <f>IFERROR(AVERAGE(Tabel1[[#This Row],[Up - R1a]:[Up - R1c]]),"")</f>
        <v>3</v>
      </c>
      <c r="AC302" s="14">
        <v>2</v>
      </c>
      <c r="AD302" s="14">
        <v>2</v>
      </c>
      <c r="AE302" s="14">
        <v>2</v>
      </c>
      <c r="AF302" s="14">
        <v>2</v>
      </c>
      <c r="AG302" s="14">
        <f>IFERROR(AVERAGE(Tabel1[[#This Row],[Up - R1]:[Up - R5]]),"")</f>
        <v>2.2000000000000002</v>
      </c>
      <c r="AH302" s="14">
        <v>2</v>
      </c>
      <c r="AI302" s="14">
        <v>2</v>
      </c>
      <c r="AJ302" s="14">
        <v>3</v>
      </c>
      <c r="AK302" s="14">
        <f>IFERROR(AVERAGE(Tabel1[[#This Row],[Up - C1a]:[Up - C1c]]),"")</f>
        <v>2.3333333333333335</v>
      </c>
      <c r="AL302" s="14">
        <v>2</v>
      </c>
      <c r="AM302" s="14">
        <v>1</v>
      </c>
      <c r="AN302" s="14">
        <v>2</v>
      </c>
      <c r="AO302" s="14">
        <f>IFERROR(AVERAGE(Tabel1[[#This Row],[Up - C1]:[Up - C4]]),"")</f>
        <v>1.8333333333333335</v>
      </c>
      <c r="AP302" s="14">
        <v>2</v>
      </c>
      <c r="AQ302" s="14">
        <f>IFERROR(AVERAGE(Tabel1[[#This Row],[Up - F1a]:[Up - F1a]]),"")</f>
        <v>2</v>
      </c>
      <c r="AR302" s="14">
        <v>3</v>
      </c>
      <c r="AS302" s="14">
        <v>3</v>
      </c>
      <c r="AT302" s="14">
        <f>IFERROR(AVERAGE(Tabel1[[#This Row],[Up - F2a]:[Up - F2b]]),"")</f>
        <v>3</v>
      </c>
      <c r="AU302" s="14">
        <v>2</v>
      </c>
      <c r="AV302" s="14">
        <v>3</v>
      </c>
      <c r="AW302" s="14">
        <f>IFERROR(AVERAGE(Tabel1[[#This Row],[Up - F3a]:[Up - F3b]]),"")</f>
        <v>2.5</v>
      </c>
      <c r="AX302" s="14">
        <v>2</v>
      </c>
      <c r="AY302" s="14">
        <f>IFERROR(AVERAGE(Tabel1[[#This Row],[Up - F1]],Tabel1[[#This Row],[Up - F2]],Tabel1[[#This Row],[Up - F3]],Tabel1[[#This Row],[Up - F4]]),"")</f>
        <v>2.375</v>
      </c>
      <c r="AZ302" s="14">
        <v>2</v>
      </c>
      <c r="BA302" s="14">
        <v>3</v>
      </c>
      <c r="BB302" s="14">
        <f>IFERROR(AVERAGE(Tabel1[[#This Row],[Up - V1a]:[Up - V1b]]),"")</f>
        <v>2.5</v>
      </c>
      <c r="BC302" s="14">
        <v>3</v>
      </c>
      <c r="BD302" s="14">
        <v>3</v>
      </c>
      <c r="BE302" s="14">
        <v>3</v>
      </c>
      <c r="BF302" s="14">
        <f>IFERROR(AVERAGE(Tabel1[[#This Row],[Up - V2a]:[Up - V2c]]),"")</f>
        <v>3</v>
      </c>
      <c r="BG302" s="14">
        <v>3</v>
      </c>
      <c r="BH302" s="14">
        <v>2</v>
      </c>
      <c r="BI302" s="14">
        <f>IFERROR(AVERAGE(Tabel1[[#This Row],[Up - V3a]:[Up - V3b]]),"")</f>
        <v>2.5</v>
      </c>
      <c r="BJ302" s="14">
        <v>3</v>
      </c>
      <c r="BK302" s="14">
        <f>IFERROR(AVERAGE(Tabel1[[#This Row],[Up - V1]],Tabel1[[#This Row],[Up - V2]],Tabel1[[#This Row],[Up - V3]],Tabel1[[#This Row],[Up - V4]]),"")</f>
        <v>2.75</v>
      </c>
      <c r="BL302" s="14">
        <v>3</v>
      </c>
      <c r="BM302" s="14">
        <v>3</v>
      </c>
      <c r="BN302" s="14">
        <v>3</v>
      </c>
      <c r="BO302" s="14">
        <v>4</v>
      </c>
      <c r="BP302" s="14">
        <f>IFERROR(AVERAGE(Tabel1[[#This Row],[Up - A1a]:[Up - A1d]]),"")</f>
        <v>3.25</v>
      </c>
      <c r="BQ302" s="14">
        <v>3</v>
      </c>
      <c r="BR302" s="14">
        <v>2</v>
      </c>
      <c r="BS302" s="14">
        <f>IFERROR(AVERAGE(Tabel1[[#This Row],[Up - A2a]:[Up - A2b]]),"")</f>
        <v>2.5</v>
      </c>
      <c r="BT302" s="14">
        <v>3</v>
      </c>
      <c r="BU302" s="14">
        <f>IFERROR(AVERAGE(Tabel1[[#This Row],[Up - A3a]:[Up - A3a]]),"")</f>
        <v>3</v>
      </c>
      <c r="BV302" s="14">
        <v>3</v>
      </c>
      <c r="BW302" s="14">
        <f>IFERROR(AVERAGE(Tabel1[[#This Row],[Up - A1]],Tabel1[[#This Row],[Up - A2]],Tabel1[[#This Row],[Up - A3]]),"")</f>
        <v>2.9166666666666665</v>
      </c>
      <c r="BX302" s="14" t="s">
        <v>189</v>
      </c>
      <c r="BY302" s="14">
        <v>3</v>
      </c>
      <c r="BZ302" s="14">
        <f>IFERROR(AVERAGE(Tabel1[[#This Row],[In - R1a]:[In - R1b]]),"")</f>
        <v>3</v>
      </c>
      <c r="CA302" s="14">
        <v>2</v>
      </c>
      <c r="CB302" s="14">
        <v>1</v>
      </c>
      <c r="CC302" s="14" t="s">
        <v>189</v>
      </c>
      <c r="CD302" s="14" t="s">
        <v>189</v>
      </c>
      <c r="CE302" s="14">
        <f>IFERROR(AVERAGE(Tabel1[[#This Row],[In - R1]:[In - R5]]),"")</f>
        <v>2</v>
      </c>
      <c r="CF302" s="14">
        <v>2</v>
      </c>
      <c r="CG302" s="14">
        <v>2</v>
      </c>
      <c r="CH302" s="14">
        <v>2</v>
      </c>
      <c r="CI302" s="14">
        <f>IFERROR(AVERAGE(Tabel1[[#This Row],[In - C1a]:[In - C1c]]),"")</f>
        <v>2</v>
      </c>
      <c r="CJ302" s="14">
        <v>2</v>
      </c>
      <c r="CK302" s="14">
        <v>2</v>
      </c>
      <c r="CL302" s="14">
        <v>1</v>
      </c>
      <c r="CM302" s="14">
        <f>IFERROR(AVERAGE(Tabel1[[#This Row],[In - C1]:[In - C4]]),"")</f>
        <v>1.75</v>
      </c>
      <c r="CN302" s="14">
        <v>4</v>
      </c>
      <c r="CO302" s="14">
        <v>3</v>
      </c>
      <c r="CP302" s="14">
        <v>1</v>
      </c>
      <c r="CQ302" s="14">
        <f>IFERROR(AVERAGE(Tabel1[[#This Row],[In - F1a]:[In - F1c]]),"")</f>
        <v>2.6666666666666665</v>
      </c>
      <c r="CR302" s="14" t="s">
        <v>189</v>
      </c>
      <c r="CS302" s="14">
        <v>2</v>
      </c>
      <c r="CT302" s="14">
        <f>IFERROR(AVERAGE(Tabel1[[#This Row],[In - F2a]:[In - F2b]]),"")</f>
        <v>2</v>
      </c>
      <c r="CU302" s="14">
        <v>2</v>
      </c>
      <c r="CV302" s="14">
        <f>IFERROR(AVERAGE(Tabel1[[#This Row],[In - F3a]:[In - F3a]]),"")</f>
        <v>2</v>
      </c>
      <c r="CW302" s="14">
        <v>1</v>
      </c>
      <c r="CX302" s="14">
        <f>IFERROR(AVERAGE(Tabel1[[#This Row],[In - F1]],Tabel1[[#This Row],[In - F2]],Tabel1[[#This Row],[In - F3]],Tabel1[[#This Row],[In - F4]]),"")</f>
        <v>1.9166666666666665</v>
      </c>
      <c r="CY302" s="14">
        <v>4</v>
      </c>
      <c r="CZ302" s="14">
        <v>2</v>
      </c>
      <c r="DA302" s="14">
        <v>2</v>
      </c>
      <c r="DB302" s="14">
        <f>IFERROR(AVERAGE(Tabel1[[#This Row],[In - V1a]:[In - V1c]]),"")</f>
        <v>2.6666666666666665</v>
      </c>
      <c r="DC302" s="14">
        <v>4</v>
      </c>
      <c r="DD302" s="14">
        <v>2</v>
      </c>
      <c r="DE302" s="14">
        <v>3</v>
      </c>
      <c r="DF302" s="14">
        <f>IFERROR(AVERAGE(Tabel1[[#This Row],[In - V2a]:[In - V2c]]),"")</f>
        <v>3</v>
      </c>
      <c r="DG302" s="14">
        <v>3</v>
      </c>
      <c r="DH302" s="14">
        <v>3</v>
      </c>
      <c r="DI302" s="14">
        <f>IFERROR(AVERAGE(Tabel1[[#This Row],[In - V3a]:[In - V3b]]),"")</f>
        <v>3</v>
      </c>
      <c r="DJ302" s="14">
        <v>2</v>
      </c>
      <c r="DK302" s="14">
        <f>IFERROR(AVERAGE(Tabel1[[#This Row],[In - V1]],Tabel1[[#This Row],[In - V2]],Tabel1[[#This Row],[In - V3]],Tabel1[[#This Row],[In - V4]]),"")</f>
        <v>2.6666666666666665</v>
      </c>
      <c r="DL302" s="14">
        <v>3</v>
      </c>
      <c r="DM302" s="14">
        <v>3</v>
      </c>
      <c r="DN302" s="14">
        <f>IFERROR(AVERAGE(Tabel1[[#This Row],[In - A1a]:[In - A1b]]),"")</f>
        <v>3</v>
      </c>
      <c r="DO302" s="14" t="s">
        <v>189</v>
      </c>
      <c r="DP302" s="14">
        <v>2</v>
      </c>
      <c r="DQ302" s="14">
        <f>IFERROR(AVERAGE(Tabel1[[#This Row],[In - A2a]:[In - A2b]]),"")</f>
        <v>2</v>
      </c>
      <c r="DR302" s="14">
        <v>4</v>
      </c>
      <c r="DS302" s="14">
        <v>2</v>
      </c>
      <c r="DT302" s="14">
        <f>IFERROR(AVERAGE(Tabel1[[#This Row],[In - A3a]:[In - A3a]]),"")</f>
        <v>4</v>
      </c>
      <c r="DU302" s="14">
        <v>4</v>
      </c>
      <c r="DV302" s="14">
        <f>IFERROR(AVERAGE(Tabel1[[#This Row],[In - A1]],Tabel1[[#This Row],[In - A2]],Tabel1[[#This Row],[In - A3]],Tabel1[[#This Row],[In - A4]]),"")</f>
        <v>3.25</v>
      </c>
      <c r="DW302" s="14">
        <v>3</v>
      </c>
      <c r="DX302" s="14">
        <v>2</v>
      </c>
      <c r="DY302" s="14">
        <v>1</v>
      </c>
      <c r="DZ302" s="14">
        <f>IFERROR(AVERAGE(Tabel1[[#This Row],[Do - R1a]:[Do - R1c]]),"")</f>
        <v>2</v>
      </c>
      <c r="EA302" s="14">
        <v>2</v>
      </c>
      <c r="EB302" s="14">
        <v>2</v>
      </c>
      <c r="EC302" s="14">
        <v>1</v>
      </c>
      <c r="ED302" s="14">
        <v>2</v>
      </c>
      <c r="EE302" s="14">
        <f>IFERROR(AVERAGE(Tabel1[[#This Row],[Do - R1]:[Do - R5]]),"")</f>
        <v>1.8</v>
      </c>
      <c r="EF302" s="14">
        <v>2</v>
      </c>
      <c r="EG302" s="14">
        <v>2</v>
      </c>
      <c r="EH302" s="14">
        <v>3</v>
      </c>
      <c r="EI302" s="14">
        <f>IFERROR(AVERAGE(Tabel1[[#This Row],[Do - C1a]:[Do - C1c]]),"")</f>
        <v>2.3333333333333335</v>
      </c>
      <c r="EJ302" s="14">
        <v>3</v>
      </c>
      <c r="EK302" s="14">
        <v>1</v>
      </c>
      <c r="EL302" s="14">
        <v>2</v>
      </c>
      <c r="EM302" s="14">
        <f>IFERROR(AVERAGE(Tabel1[[#This Row],[Do - C1]:[Do - C4]]),"")</f>
        <v>2.0833333333333335</v>
      </c>
      <c r="EN302" s="14">
        <v>2</v>
      </c>
      <c r="EO302" s="14">
        <v>2</v>
      </c>
      <c r="EP302" s="14">
        <v>3</v>
      </c>
      <c r="EQ302" s="14">
        <f>IFERROR(AVERAGE(Tabel1[[#This Row],[Do - F1a]:[Do - F1c]]),"")</f>
        <v>2.3333333333333335</v>
      </c>
      <c r="ER302" s="14">
        <v>2</v>
      </c>
      <c r="ES302" s="14">
        <f>IFERROR(AVERAGE(Tabel1[[#This Row],[Do - F2a]:[Do - F2a]]),"")</f>
        <v>2</v>
      </c>
      <c r="ET302" s="14">
        <v>3</v>
      </c>
      <c r="EU302" s="14">
        <v>3</v>
      </c>
      <c r="EV302" s="14">
        <f>IFERROR(AVERAGE(Tabel1[[#This Row],[Do - F3a]:[Do - F3b]]),"")</f>
        <v>3</v>
      </c>
      <c r="EW302" s="14">
        <v>2</v>
      </c>
      <c r="EX302" s="14">
        <f>IFERROR(AVERAGE(Tabel1[[#This Row],[Do - F1]],Tabel1[[#This Row],[Do - F2]],Tabel1[[#This Row],[Do - F3]],Tabel1[[#This Row],[Do - F4]]),"")</f>
        <v>2.3333333333333335</v>
      </c>
      <c r="EY302" s="14">
        <v>4</v>
      </c>
      <c r="EZ302" s="14">
        <v>2</v>
      </c>
      <c r="FA302" s="14">
        <v>2</v>
      </c>
      <c r="FB302" s="14">
        <f>IFERROR(AVERAGE(Tabel1[[#This Row],[Do - V1a]:[Do - V1c]]),"")</f>
        <v>2.6666666666666665</v>
      </c>
      <c r="FC302" s="14">
        <v>3</v>
      </c>
      <c r="FD302" s="14">
        <v>4</v>
      </c>
      <c r="FE302" s="14">
        <f>IFERROR(AVERAGE(Tabel1[[#This Row],[Do - V2a]:[Do - V2b]]),"")</f>
        <v>3.5</v>
      </c>
      <c r="FF302" s="14">
        <v>2</v>
      </c>
      <c r="FG302" s="14">
        <f>IFERROR(AVERAGE(Tabel1[[#This Row],[Do - V3a]:[Do - V3a]]),"")</f>
        <v>2</v>
      </c>
      <c r="FH302" s="14">
        <v>3</v>
      </c>
      <c r="FI302" s="14">
        <f>IFERROR(AVERAGE(Tabel1[[#This Row],[Do - V1]],Tabel1[[#This Row],[Do - V2]],Tabel1[[#This Row],[Do - V3]],Tabel1[[#This Row],[Do - V4]]),"")</f>
        <v>2.7916666666666665</v>
      </c>
      <c r="FJ302" s="14">
        <v>5</v>
      </c>
      <c r="FK302" s="14">
        <v>3</v>
      </c>
      <c r="FL302" s="14">
        <v>3</v>
      </c>
      <c r="FM302" s="14">
        <f>IFERROR(AVERAGE(Tabel1[[#This Row],[Do - A1a]:[Do - A1c]]),"")</f>
        <v>3.6666666666666665</v>
      </c>
      <c r="FN302" s="14">
        <v>2</v>
      </c>
      <c r="FO302" s="14">
        <v>2</v>
      </c>
      <c r="FP302" s="14">
        <f>IFERROR(AVERAGE(Tabel1[[#This Row],[Do - A2a]:[Do - A2b]]),"")</f>
        <v>2</v>
      </c>
      <c r="FQ302" s="14">
        <v>3</v>
      </c>
      <c r="FR302" s="14">
        <f>IFERROR(AVERAGE(Tabel1[[#This Row],[Do - A3a]:[Do - A3a]]),"")</f>
        <v>3</v>
      </c>
      <c r="FS302" s="14">
        <v>4</v>
      </c>
      <c r="FT302" s="14">
        <f>IFERROR(AVERAGE(Tabel1[[#This Row],[Do - A1]],Tabel1[[#This Row],[Do - A2]],Tabel1[[#This Row],[Do - A3]],Tabel1[[#This Row],[Do - A4]]),"")</f>
        <v>3.1666666666666665</v>
      </c>
      <c r="FU30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2.3888888888888884</v>
      </c>
      <c r="FV302" s="27" t="s">
        <v>1581</v>
      </c>
      <c r="FW302" t="b">
        <v>1</v>
      </c>
    </row>
    <row r="303" spans="1:179" x14ac:dyDescent="0.3">
      <c r="A303" s="13">
        <v>45419.328414351898</v>
      </c>
      <c r="B303" t="b">
        <v>0</v>
      </c>
      <c r="C303" s="14" t="s">
        <v>1582</v>
      </c>
      <c r="D303" s="14" t="s">
        <v>1583</v>
      </c>
      <c r="E303" s="14" t="s">
        <v>1584</v>
      </c>
      <c r="F303" s="14" t="s">
        <v>184</v>
      </c>
      <c r="G303" s="14" t="s">
        <v>1585</v>
      </c>
      <c r="H303" s="14" t="s">
        <v>222</v>
      </c>
      <c r="I303" s="14" t="s">
        <v>195</v>
      </c>
      <c r="J303" s="14" t="s">
        <v>461</v>
      </c>
      <c r="K303" s="28" t="s">
        <v>201</v>
      </c>
      <c r="L303" s="14" t="s">
        <v>249</v>
      </c>
      <c r="M303" s="14" t="s">
        <v>198</v>
      </c>
      <c r="N303" s="14" t="s">
        <v>199</v>
      </c>
      <c r="O303" s="14" t="s">
        <v>256</v>
      </c>
      <c r="P303" s="24" t="s">
        <v>304</v>
      </c>
      <c r="Q303" s="17" t="s">
        <v>304</v>
      </c>
      <c r="R303" s="25" t="s">
        <v>201</v>
      </c>
      <c r="S303" s="25" t="s">
        <v>201</v>
      </c>
      <c r="T303" s="14" t="s">
        <v>204</v>
      </c>
      <c r="U303" s="14" t="s">
        <v>285</v>
      </c>
      <c r="V303" s="14" t="s">
        <v>224</v>
      </c>
      <c r="W303" s="14" t="s">
        <v>395</v>
      </c>
      <c r="X303" s="14" t="s">
        <v>395</v>
      </c>
      <c r="Y303" s="14">
        <v>3</v>
      </c>
      <c r="Z303" s="14">
        <v>5</v>
      </c>
      <c r="AA303" s="14">
        <v>5</v>
      </c>
      <c r="AB303" s="15">
        <f>IFERROR(AVERAGE(Tabel1[[#This Row],[Up - R1a]:[Up - R1c]]),"")</f>
        <v>4.333333333333333</v>
      </c>
      <c r="AC303" s="14">
        <v>3</v>
      </c>
      <c r="AD303" s="14">
        <v>5</v>
      </c>
      <c r="AE303" s="14">
        <v>2</v>
      </c>
      <c r="AF303" s="14">
        <v>3</v>
      </c>
      <c r="AG303" s="14">
        <f>IFERROR(AVERAGE(Tabel1[[#This Row],[Up - R1]:[Up - R5]]),"")</f>
        <v>3.4666666666666663</v>
      </c>
      <c r="AH303" s="14">
        <v>4</v>
      </c>
      <c r="AI303" s="14">
        <v>4</v>
      </c>
      <c r="AJ303" s="14">
        <v>3</v>
      </c>
      <c r="AK303" s="14">
        <f>IFERROR(AVERAGE(Tabel1[[#This Row],[Up - C1a]:[Up - C1c]]),"")</f>
        <v>3.6666666666666665</v>
      </c>
      <c r="AL303" s="14">
        <v>3</v>
      </c>
      <c r="AM303" s="14">
        <v>2</v>
      </c>
      <c r="AN303" s="14">
        <v>4</v>
      </c>
      <c r="AO303" s="14">
        <f>IFERROR(AVERAGE(Tabel1[[#This Row],[Up - C1]:[Up - C4]]),"")</f>
        <v>3.1666666666666665</v>
      </c>
      <c r="AP303" s="14">
        <v>2</v>
      </c>
      <c r="AQ303" s="14">
        <f>IFERROR(AVERAGE(Tabel1[[#This Row],[Up - F1a]:[Up - F1a]]),"")</f>
        <v>2</v>
      </c>
      <c r="AR303" s="14">
        <v>2</v>
      </c>
      <c r="AS303" s="14">
        <v>5</v>
      </c>
      <c r="AT303" s="14">
        <f>IFERROR(AVERAGE(Tabel1[[#This Row],[Up - F2a]:[Up - F2b]]),"")</f>
        <v>3.5</v>
      </c>
      <c r="AU303" s="14">
        <v>5</v>
      </c>
      <c r="AV303" s="14">
        <v>2</v>
      </c>
      <c r="AW303" s="14">
        <f>IFERROR(AVERAGE(Tabel1[[#This Row],[Up - F3a]:[Up - F3b]]),"")</f>
        <v>3.5</v>
      </c>
      <c r="AX303" s="14">
        <v>3</v>
      </c>
      <c r="AY303" s="14">
        <f>IFERROR(AVERAGE(Tabel1[[#This Row],[Up - F1]],Tabel1[[#This Row],[Up - F2]],Tabel1[[#This Row],[Up - F3]],Tabel1[[#This Row],[Up - F4]]),"")</f>
        <v>3</v>
      </c>
      <c r="AZ303" s="14">
        <v>4</v>
      </c>
      <c r="BA303" s="14">
        <v>3</v>
      </c>
      <c r="BB303" s="14">
        <f>IFERROR(AVERAGE(Tabel1[[#This Row],[Up - V1a]:[Up - V1b]]),"")</f>
        <v>3.5</v>
      </c>
      <c r="BC303" s="14">
        <v>2</v>
      </c>
      <c r="BD303" s="14">
        <v>4</v>
      </c>
      <c r="BE303" s="14">
        <v>2</v>
      </c>
      <c r="BF303" s="14">
        <f>IFERROR(AVERAGE(Tabel1[[#This Row],[Up - V2a]:[Up - V2c]]),"")</f>
        <v>2.6666666666666665</v>
      </c>
      <c r="BG303" s="14">
        <v>3</v>
      </c>
      <c r="BH303" s="14">
        <v>1</v>
      </c>
      <c r="BI303" s="14">
        <f>IFERROR(AVERAGE(Tabel1[[#This Row],[Up - V3a]:[Up - V3b]]),"")</f>
        <v>2</v>
      </c>
      <c r="BJ303" s="14">
        <v>3</v>
      </c>
      <c r="BK303" s="14">
        <f>IFERROR(AVERAGE(Tabel1[[#This Row],[Up - V1]],Tabel1[[#This Row],[Up - V2]],Tabel1[[#This Row],[Up - V3]],Tabel1[[#This Row],[Up - V4]]),"")</f>
        <v>2.7916666666666665</v>
      </c>
      <c r="BL303" s="14">
        <v>3</v>
      </c>
      <c r="BM303" s="14">
        <v>2</v>
      </c>
      <c r="BN303" s="14">
        <v>1</v>
      </c>
      <c r="BO303" s="14">
        <v>3</v>
      </c>
      <c r="BP303" s="14">
        <f>IFERROR(AVERAGE(Tabel1[[#This Row],[Up - A1a]:[Up - A1d]]),"")</f>
        <v>2.25</v>
      </c>
      <c r="BQ303" s="14">
        <v>4</v>
      </c>
      <c r="BR303" s="14">
        <v>5</v>
      </c>
      <c r="BS303" s="14">
        <f>IFERROR(AVERAGE(Tabel1[[#This Row],[Up - A2a]:[Up - A2b]]),"")</f>
        <v>4.5</v>
      </c>
      <c r="BT303" s="14">
        <v>4</v>
      </c>
      <c r="BU303" s="14">
        <f>IFERROR(AVERAGE(Tabel1[[#This Row],[Up - A3a]:[Up - A3a]]),"")</f>
        <v>4</v>
      </c>
      <c r="BV303" s="14">
        <v>3</v>
      </c>
      <c r="BW303" s="14">
        <f>IFERROR(AVERAGE(Tabel1[[#This Row],[Up - A1]],Tabel1[[#This Row],[Up - A2]],Tabel1[[#This Row],[Up - A3]]),"")</f>
        <v>3.5833333333333335</v>
      </c>
      <c r="BX303" s="14">
        <v>2</v>
      </c>
      <c r="BY303" s="14">
        <v>5</v>
      </c>
      <c r="BZ303" s="14">
        <f>IFERROR(AVERAGE(Tabel1[[#This Row],[In - R1a]:[In - R1b]]),"")</f>
        <v>3.5</v>
      </c>
      <c r="CA303" s="14">
        <v>3</v>
      </c>
      <c r="CB303" s="14">
        <v>1</v>
      </c>
      <c r="CC303" s="14">
        <v>3</v>
      </c>
      <c r="CD303" s="14">
        <v>2</v>
      </c>
      <c r="CE303" s="14">
        <f>IFERROR(AVERAGE(Tabel1[[#This Row],[In - R1]:[In - R5]]),"")</f>
        <v>2.5</v>
      </c>
      <c r="CF303" s="14">
        <v>2</v>
      </c>
      <c r="CG303" s="14">
        <v>2</v>
      </c>
      <c r="CH303" s="14">
        <v>2</v>
      </c>
      <c r="CI303" s="14">
        <f>IFERROR(AVERAGE(Tabel1[[#This Row],[In - C1a]:[In - C1c]]),"")</f>
        <v>2</v>
      </c>
      <c r="CJ303" s="14">
        <v>3</v>
      </c>
      <c r="CK303" s="14">
        <v>2</v>
      </c>
      <c r="CL303" s="14">
        <v>4</v>
      </c>
      <c r="CM303" s="14">
        <f>IFERROR(AVERAGE(Tabel1[[#This Row],[In - C1]:[In - C4]]),"")</f>
        <v>2.75</v>
      </c>
      <c r="CN303" s="14">
        <v>4</v>
      </c>
      <c r="CO303" s="14">
        <v>3</v>
      </c>
      <c r="CP303" s="14">
        <v>4</v>
      </c>
      <c r="CQ303" s="14">
        <f>IFERROR(AVERAGE(Tabel1[[#This Row],[In - F1a]:[In - F1c]]),"")</f>
        <v>3.6666666666666665</v>
      </c>
      <c r="CR303" s="14">
        <v>5</v>
      </c>
      <c r="CS303" s="14">
        <v>3</v>
      </c>
      <c r="CT303" s="14">
        <f>IFERROR(AVERAGE(Tabel1[[#This Row],[In - F2a]:[In - F2b]]),"")</f>
        <v>4</v>
      </c>
      <c r="CU303" s="14">
        <v>4</v>
      </c>
      <c r="CV303" s="14">
        <f>IFERROR(AVERAGE(Tabel1[[#This Row],[In - F3a]:[In - F3a]]),"")</f>
        <v>4</v>
      </c>
      <c r="CW303" s="14">
        <v>4</v>
      </c>
      <c r="CX303" s="14">
        <f>IFERROR(AVERAGE(Tabel1[[#This Row],[In - F1]],Tabel1[[#This Row],[In - F2]],Tabel1[[#This Row],[In - F3]],Tabel1[[#This Row],[In - F4]]),"")</f>
        <v>3.9166666666666665</v>
      </c>
      <c r="CY303" s="14">
        <v>3</v>
      </c>
      <c r="CZ303" s="14">
        <v>1</v>
      </c>
      <c r="DA303" s="14">
        <v>1</v>
      </c>
      <c r="DB303" s="14">
        <f>IFERROR(AVERAGE(Tabel1[[#This Row],[In - V1a]:[In - V1c]]),"")</f>
        <v>1.6666666666666667</v>
      </c>
      <c r="DC303" s="14">
        <v>3</v>
      </c>
      <c r="DD303" s="14">
        <v>3</v>
      </c>
      <c r="DE303" s="14">
        <v>2</v>
      </c>
      <c r="DF303" s="14">
        <f>IFERROR(AVERAGE(Tabel1[[#This Row],[In - V2a]:[In - V2c]]),"")</f>
        <v>2.6666666666666665</v>
      </c>
      <c r="DG303" s="14">
        <v>1</v>
      </c>
      <c r="DH303" s="14">
        <v>4</v>
      </c>
      <c r="DI303" s="14">
        <f>IFERROR(AVERAGE(Tabel1[[#This Row],[In - V3a]:[In - V3b]]),"")</f>
        <v>2.5</v>
      </c>
      <c r="DJ303" s="14">
        <v>3</v>
      </c>
      <c r="DK303" s="14">
        <f>IFERROR(AVERAGE(Tabel1[[#This Row],[In - V1]],Tabel1[[#This Row],[In - V2]],Tabel1[[#This Row],[In - V3]],Tabel1[[#This Row],[In - V4]]),"")</f>
        <v>2.458333333333333</v>
      </c>
      <c r="DL303" s="14">
        <v>4</v>
      </c>
      <c r="DM303" s="14">
        <v>2</v>
      </c>
      <c r="DN303" s="14">
        <f>IFERROR(AVERAGE(Tabel1[[#This Row],[In - A1a]:[In - A1b]]),"")</f>
        <v>3</v>
      </c>
      <c r="DO303" s="14">
        <v>1</v>
      </c>
      <c r="DP303" s="14">
        <v>2</v>
      </c>
      <c r="DQ303" s="14">
        <f>IFERROR(AVERAGE(Tabel1[[#This Row],[In - A2a]:[In - A2b]]),"")</f>
        <v>1.5</v>
      </c>
      <c r="DR303" s="14">
        <v>4</v>
      </c>
      <c r="DS303" s="14">
        <v>3</v>
      </c>
      <c r="DT303" s="14">
        <f>IFERROR(AVERAGE(Tabel1[[#This Row],[In - A3a]:[In - A3a]]),"")</f>
        <v>4</v>
      </c>
      <c r="DU303" s="14">
        <v>1</v>
      </c>
      <c r="DV303" s="14">
        <f>IFERROR(AVERAGE(Tabel1[[#This Row],[In - A1]],Tabel1[[#This Row],[In - A2]],Tabel1[[#This Row],[In - A3]],Tabel1[[#This Row],[In - A4]]),"")</f>
        <v>2.375</v>
      </c>
      <c r="DW303" s="14">
        <v>1</v>
      </c>
      <c r="DX303" s="14">
        <v>4</v>
      </c>
      <c r="DY303" s="14">
        <v>1</v>
      </c>
      <c r="DZ303" s="14">
        <f>IFERROR(AVERAGE(Tabel1[[#This Row],[Do - R1a]:[Do - R1c]]),"")</f>
        <v>2</v>
      </c>
      <c r="EA303" s="14">
        <v>2</v>
      </c>
      <c r="EB303" s="14">
        <v>5</v>
      </c>
      <c r="EC303" s="14">
        <v>1</v>
      </c>
      <c r="ED303" s="14">
        <v>3</v>
      </c>
      <c r="EE303" s="14">
        <f>IFERROR(AVERAGE(Tabel1[[#This Row],[Do - R1]:[Do - R5]]),"")</f>
        <v>2.6</v>
      </c>
      <c r="EF303" s="14">
        <v>4</v>
      </c>
      <c r="EG303" s="14">
        <v>4</v>
      </c>
      <c r="EH303" s="14">
        <v>2</v>
      </c>
      <c r="EI303" s="14">
        <f>IFERROR(AVERAGE(Tabel1[[#This Row],[Do - C1a]:[Do - C1c]]),"")</f>
        <v>3.3333333333333335</v>
      </c>
      <c r="EJ303" s="14">
        <v>3</v>
      </c>
      <c r="EK303" s="14">
        <v>2</v>
      </c>
      <c r="EL303" s="14">
        <v>5</v>
      </c>
      <c r="EM303" s="14">
        <f>IFERROR(AVERAGE(Tabel1[[#This Row],[Do - C1]:[Do - C4]]),"")</f>
        <v>3.3333333333333335</v>
      </c>
      <c r="EN303" s="14">
        <v>3</v>
      </c>
      <c r="EO303" s="14">
        <v>1</v>
      </c>
      <c r="EP303" s="14">
        <v>2</v>
      </c>
      <c r="EQ303" s="14">
        <f>IFERROR(AVERAGE(Tabel1[[#This Row],[Do - F1a]:[Do - F1c]]),"")</f>
        <v>2</v>
      </c>
      <c r="ER303" s="14">
        <v>3</v>
      </c>
      <c r="ES303" s="14">
        <f>IFERROR(AVERAGE(Tabel1[[#This Row],[Do - F2a]:[Do - F2a]]),"")</f>
        <v>3</v>
      </c>
      <c r="ET303" s="14">
        <v>5</v>
      </c>
      <c r="EU303" s="14">
        <v>4</v>
      </c>
      <c r="EV303" s="14">
        <f>IFERROR(AVERAGE(Tabel1[[#This Row],[Do - F3a]:[Do - F3b]]),"")</f>
        <v>4.5</v>
      </c>
      <c r="EW303" s="14">
        <v>3</v>
      </c>
      <c r="EX303" s="14">
        <f>IFERROR(AVERAGE(Tabel1[[#This Row],[Do - F1]],Tabel1[[#This Row],[Do - F2]],Tabel1[[#This Row],[Do - F3]],Tabel1[[#This Row],[Do - F4]]),"")</f>
        <v>3.125</v>
      </c>
      <c r="EY303" s="14">
        <v>2</v>
      </c>
      <c r="EZ303" s="14">
        <v>1</v>
      </c>
      <c r="FA303" s="14">
        <v>3</v>
      </c>
      <c r="FB303" s="14">
        <f>IFERROR(AVERAGE(Tabel1[[#This Row],[Do - V1a]:[Do - V1c]]),"")</f>
        <v>2</v>
      </c>
      <c r="FC303" s="14">
        <v>1</v>
      </c>
      <c r="FD303" s="14">
        <v>3</v>
      </c>
      <c r="FE303" s="14">
        <f>IFERROR(AVERAGE(Tabel1[[#This Row],[Do - V2a]:[Do - V2b]]),"")</f>
        <v>2</v>
      </c>
      <c r="FF303" s="14">
        <v>4</v>
      </c>
      <c r="FG303" s="14">
        <f>IFERROR(AVERAGE(Tabel1[[#This Row],[Do - V3a]:[Do - V3a]]),"")</f>
        <v>4</v>
      </c>
      <c r="FH303" s="14">
        <v>2</v>
      </c>
      <c r="FI303" s="14">
        <f>IFERROR(AVERAGE(Tabel1[[#This Row],[Do - V1]],Tabel1[[#This Row],[Do - V2]],Tabel1[[#This Row],[Do - V3]],Tabel1[[#This Row],[Do - V4]]),"")</f>
        <v>2.5</v>
      </c>
      <c r="FJ303" s="14">
        <v>4</v>
      </c>
      <c r="FK303" s="14">
        <v>3</v>
      </c>
      <c r="FL303" s="14">
        <v>4</v>
      </c>
      <c r="FM303" s="14">
        <f>IFERROR(AVERAGE(Tabel1[[#This Row],[Do - A1a]:[Do - A1c]]),"")</f>
        <v>3.6666666666666665</v>
      </c>
      <c r="FN303" s="14">
        <v>5</v>
      </c>
      <c r="FO303" s="14">
        <v>5</v>
      </c>
      <c r="FP303" s="14">
        <f>IFERROR(AVERAGE(Tabel1[[#This Row],[Do - A2a]:[Do - A2b]]),"")</f>
        <v>5</v>
      </c>
      <c r="FQ303" s="14">
        <v>5</v>
      </c>
      <c r="FR303" s="14">
        <f>IFERROR(AVERAGE(Tabel1[[#This Row],[Do - A3a]:[Do - A3a]]),"")</f>
        <v>5</v>
      </c>
      <c r="FS303" s="14">
        <v>2</v>
      </c>
      <c r="FT303" s="14">
        <f>IFERROR(AVERAGE(Tabel1[[#This Row],[Do - A1]],Tabel1[[#This Row],[Do - A2]],Tabel1[[#This Row],[Do - A3]],Tabel1[[#This Row],[Do - A4]]),"")</f>
        <v>3.9166666666666665</v>
      </c>
      <c r="FU30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3.0322222222222224</v>
      </c>
      <c r="FV303" s="27" t="s">
        <v>1586</v>
      </c>
      <c r="FW303" t="b">
        <v>1</v>
      </c>
    </row>
    <row r="304" spans="1:179" x14ac:dyDescent="0.3">
      <c r="A304" s="13">
        <v>45419.361724536997</v>
      </c>
      <c r="B304" t="b">
        <v>0</v>
      </c>
      <c r="C304" s="14" t="s">
        <v>1587</v>
      </c>
      <c r="D304" s="14" t="s">
        <v>1588</v>
      </c>
      <c r="E304" t="s">
        <v>1589</v>
      </c>
      <c r="F304" s="14" t="s">
        <v>184</v>
      </c>
      <c r="G304" s="14" t="s">
        <v>1590</v>
      </c>
      <c r="H304" s="14" t="s">
        <v>222</v>
      </c>
      <c r="I304" s="14" t="s">
        <v>195</v>
      </c>
      <c r="J304" s="14" t="s">
        <v>406</v>
      </c>
      <c r="K304" s="28" t="s">
        <v>235</v>
      </c>
      <c r="L304" s="14" t="s">
        <v>249</v>
      </c>
      <c r="M304" s="14" t="s">
        <v>198</v>
      </c>
      <c r="N304" s="14" t="s">
        <v>262</v>
      </c>
      <c r="O304" s="14" t="s">
        <v>200</v>
      </c>
      <c r="P304" s="24" t="s">
        <v>255</v>
      </c>
      <c r="Q304" s="17" t="s">
        <v>201</v>
      </c>
      <c r="R304" s="25" t="s">
        <v>235</v>
      </c>
      <c r="S304" s="25" t="s">
        <v>235</v>
      </c>
      <c r="T304" s="14" t="s">
        <v>236</v>
      </c>
      <c r="U304" s="14" t="s">
        <v>205</v>
      </c>
      <c r="V304" s="14" t="s">
        <v>224</v>
      </c>
      <c r="W304" s="14" t="s">
        <v>207</v>
      </c>
      <c r="X304" s="14" t="s">
        <v>395</v>
      </c>
      <c r="Y304" s="14">
        <v>2</v>
      </c>
      <c r="Z304" s="14">
        <v>3</v>
      </c>
      <c r="AA304" s="14">
        <v>2</v>
      </c>
      <c r="AB304" s="15">
        <f>IFERROR(AVERAGE(Tabel1[[#This Row],[Up - R1a]:[Up - R1c]]),"")</f>
        <v>2.3333333333333335</v>
      </c>
      <c r="AC304" s="14">
        <v>1</v>
      </c>
      <c r="AD304" s="14">
        <v>5</v>
      </c>
      <c r="AE304" s="14" t="s">
        <v>189</v>
      </c>
      <c r="AF304" s="14" t="s">
        <v>189</v>
      </c>
      <c r="AG304" s="14">
        <f>IFERROR(AVERAGE(Tabel1[[#This Row],[Up - R1]:[Up - R5]]),"")</f>
        <v>2.7777777777777781</v>
      </c>
      <c r="AH304" s="14">
        <v>3</v>
      </c>
      <c r="AI304" s="14">
        <v>3</v>
      </c>
      <c r="AJ304" s="14">
        <v>3</v>
      </c>
      <c r="AK304" s="14">
        <f>IFERROR(AVERAGE(Tabel1[[#This Row],[Up - C1a]:[Up - C1c]]),"")</f>
        <v>3</v>
      </c>
      <c r="AL304" s="14">
        <v>1</v>
      </c>
      <c r="AM304" s="14" t="s">
        <v>189</v>
      </c>
      <c r="AN304" s="14">
        <v>2</v>
      </c>
      <c r="AO304" s="14">
        <f>IFERROR(AVERAGE(Tabel1[[#This Row],[Up - C1]:[Up - C4]]),"")</f>
        <v>2</v>
      </c>
      <c r="AP304" s="14" t="s">
        <v>189</v>
      </c>
      <c r="AQ304" s="14" t="str">
        <f>IFERROR(AVERAGE(Tabel1[[#This Row],[Up - F1a]:[Up - F1a]]),"")</f>
        <v/>
      </c>
      <c r="AR304" s="14">
        <v>1</v>
      </c>
      <c r="AS304" s="14">
        <v>1</v>
      </c>
      <c r="AT304" s="14">
        <f>IFERROR(AVERAGE(Tabel1[[#This Row],[Up - F2a]:[Up - F2b]]),"")</f>
        <v>1</v>
      </c>
      <c r="AU304" s="14">
        <v>2</v>
      </c>
      <c r="AV304" s="14">
        <v>1</v>
      </c>
      <c r="AW304" s="14">
        <f>IFERROR(AVERAGE(Tabel1[[#This Row],[Up - F3a]:[Up - F3b]]),"")</f>
        <v>1.5</v>
      </c>
      <c r="AX304" s="14">
        <v>3</v>
      </c>
      <c r="AY304" s="14">
        <f>IFERROR(AVERAGE(Tabel1[[#This Row],[Up - F1]],Tabel1[[#This Row],[Up - F2]],Tabel1[[#This Row],[Up - F3]],Tabel1[[#This Row],[Up - F4]]),"")</f>
        <v>1.8333333333333333</v>
      </c>
      <c r="AZ304" s="14">
        <v>1</v>
      </c>
      <c r="BA304" s="14">
        <v>2</v>
      </c>
      <c r="BB304" s="14">
        <f>IFERROR(AVERAGE(Tabel1[[#This Row],[Up - V1a]:[Up - V1b]]),"")</f>
        <v>1.5</v>
      </c>
      <c r="BC304" s="14">
        <v>1</v>
      </c>
      <c r="BD304" s="14">
        <v>2</v>
      </c>
      <c r="BE304" s="14">
        <v>2</v>
      </c>
      <c r="BF304" s="14">
        <f>IFERROR(AVERAGE(Tabel1[[#This Row],[Up - V2a]:[Up - V2c]]),"")</f>
        <v>1.6666666666666667</v>
      </c>
      <c r="BG304" s="14">
        <v>3</v>
      </c>
      <c r="BH304" s="14" t="s">
        <v>189</v>
      </c>
      <c r="BI304" s="14">
        <f>IFERROR(AVERAGE(Tabel1[[#This Row],[Up - V3a]:[Up - V3b]]),"")</f>
        <v>3</v>
      </c>
      <c r="BJ304" s="14">
        <v>1</v>
      </c>
      <c r="BK304" s="14">
        <f>IFERROR(AVERAGE(Tabel1[[#This Row],[Up - V1]],Tabel1[[#This Row],[Up - V2]],Tabel1[[#This Row],[Up - V3]],Tabel1[[#This Row],[Up - V4]]),"")</f>
        <v>1.7916666666666667</v>
      </c>
      <c r="BL304" s="14">
        <v>1</v>
      </c>
      <c r="BM304" s="14">
        <v>2</v>
      </c>
      <c r="BN304" s="14">
        <v>1</v>
      </c>
      <c r="BO304" s="14" t="s">
        <v>189</v>
      </c>
      <c r="BP304" s="14">
        <f>IFERROR(AVERAGE(Tabel1[[#This Row],[Up - A1a]:[Up - A1d]]),"")</f>
        <v>1.3333333333333333</v>
      </c>
      <c r="BQ304" s="14" t="s">
        <v>189</v>
      </c>
      <c r="BR304" s="14">
        <v>5</v>
      </c>
      <c r="BS304" s="14">
        <f>IFERROR(AVERAGE(Tabel1[[#This Row],[Up - A2a]:[Up - A2b]]),"")</f>
        <v>5</v>
      </c>
      <c r="BT304" s="14">
        <v>2</v>
      </c>
      <c r="BU304" s="14">
        <f>IFERROR(AVERAGE(Tabel1[[#This Row],[Up - A3a]:[Up - A3a]]),"")</f>
        <v>2</v>
      </c>
      <c r="BV304" s="14">
        <v>2</v>
      </c>
      <c r="BW304" s="14">
        <f>IFERROR(AVERAGE(Tabel1[[#This Row],[Up - A1]],Tabel1[[#This Row],[Up - A2]],Tabel1[[#This Row],[Up - A3]]),"")</f>
        <v>2.7777777777777772</v>
      </c>
      <c r="BX304" s="14">
        <v>5</v>
      </c>
      <c r="BY304" s="14">
        <v>5</v>
      </c>
      <c r="BZ304" s="14">
        <f>IFERROR(AVERAGE(Tabel1[[#This Row],[In - R1a]:[In - R1b]]),"")</f>
        <v>5</v>
      </c>
      <c r="CA304" s="14">
        <v>2</v>
      </c>
      <c r="CB304" s="14">
        <v>4</v>
      </c>
      <c r="CC304" s="14">
        <v>2</v>
      </c>
      <c r="CD304" s="14">
        <v>3</v>
      </c>
      <c r="CE304" s="14">
        <f>IFERROR(AVERAGE(Tabel1[[#This Row],[In - R1]:[In - R5]]),"")</f>
        <v>3.2</v>
      </c>
      <c r="CF304" s="14">
        <v>5</v>
      </c>
      <c r="CG304" s="14">
        <v>5</v>
      </c>
      <c r="CH304" s="14">
        <v>4</v>
      </c>
      <c r="CI304" s="14">
        <f>IFERROR(AVERAGE(Tabel1[[#This Row],[In - C1a]:[In - C1c]]),"")</f>
        <v>4.666666666666667</v>
      </c>
      <c r="CJ304" s="14">
        <v>4</v>
      </c>
      <c r="CK304" s="14">
        <v>3</v>
      </c>
      <c r="CL304" s="14">
        <v>4</v>
      </c>
      <c r="CM304" s="14">
        <f>IFERROR(AVERAGE(Tabel1[[#This Row],[In - C1]:[In - C4]]),"")</f>
        <v>3.916666666666667</v>
      </c>
      <c r="CN304" s="14">
        <v>3</v>
      </c>
      <c r="CO304" s="14">
        <v>4</v>
      </c>
      <c r="CP304" s="14">
        <v>4</v>
      </c>
      <c r="CQ304" s="14">
        <f>IFERROR(AVERAGE(Tabel1[[#This Row],[In - F1a]:[In - F1c]]),"")</f>
        <v>3.6666666666666665</v>
      </c>
      <c r="CR304" s="14">
        <v>4</v>
      </c>
      <c r="CS304" s="14">
        <v>1</v>
      </c>
      <c r="CT304" s="14">
        <f>IFERROR(AVERAGE(Tabel1[[#This Row],[In - F2a]:[In - F2b]]),"")</f>
        <v>2.5</v>
      </c>
      <c r="CU304" s="14">
        <v>2</v>
      </c>
      <c r="CV304" s="14">
        <f>IFERROR(AVERAGE(Tabel1[[#This Row],[In - F3a]:[In - F3a]]),"")</f>
        <v>2</v>
      </c>
      <c r="CW304" s="14">
        <v>2</v>
      </c>
      <c r="CX304" s="14">
        <f>IFERROR(AVERAGE(Tabel1[[#This Row],[In - F1]],Tabel1[[#This Row],[In - F2]],Tabel1[[#This Row],[In - F3]],Tabel1[[#This Row],[In - F4]]),"")</f>
        <v>2.5416666666666665</v>
      </c>
      <c r="CY304" s="14">
        <v>4</v>
      </c>
      <c r="CZ304" s="14">
        <v>2</v>
      </c>
      <c r="DA304" s="14">
        <v>3</v>
      </c>
      <c r="DB304" s="14">
        <f>IFERROR(AVERAGE(Tabel1[[#This Row],[In - V1a]:[In - V1c]]),"")</f>
        <v>3</v>
      </c>
      <c r="DC304" s="14">
        <v>2</v>
      </c>
      <c r="DD304" s="14">
        <v>3</v>
      </c>
      <c r="DE304" s="14">
        <v>2</v>
      </c>
      <c r="DF304" s="14">
        <f>IFERROR(AVERAGE(Tabel1[[#This Row],[In - V2a]:[In - V2c]]),"")</f>
        <v>2.3333333333333335</v>
      </c>
      <c r="DG304" s="14">
        <v>1</v>
      </c>
      <c r="DH304" s="14">
        <v>4</v>
      </c>
      <c r="DI304" s="14">
        <f>IFERROR(AVERAGE(Tabel1[[#This Row],[In - V3a]:[In - V3b]]),"")</f>
        <v>2.5</v>
      </c>
      <c r="DJ304" s="14">
        <v>1</v>
      </c>
      <c r="DK304" s="14">
        <f>IFERROR(AVERAGE(Tabel1[[#This Row],[In - V1]],Tabel1[[#This Row],[In - V2]],Tabel1[[#This Row],[In - V3]],Tabel1[[#This Row],[In - V4]]),"")</f>
        <v>2.2083333333333335</v>
      </c>
      <c r="DL304" s="14">
        <v>2</v>
      </c>
      <c r="DM304" s="14">
        <v>2</v>
      </c>
      <c r="DN304" s="14">
        <f>IFERROR(AVERAGE(Tabel1[[#This Row],[In - A1a]:[In - A1b]]),"")</f>
        <v>2</v>
      </c>
      <c r="DO304" s="14">
        <v>2</v>
      </c>
      <c r="DP304" s="14">
        <v>2</v>
      </c>
      <c r="DQ304" s="14">
        <f>IFERROR(AVERAGE(Tabel1[[#This Row],[In - A2a]:[In - A2b]]),"")</f>
        <v>2</v>
      </c>
      <c r="DR304" s="14">
        <v>2</v>
      </c>
      <c r="DS304" s="14" t="s">
        <v>189</v>
      </c>
      <c r="DT304" s="14">
        <f>IFERROR(AVERAGE(Tabel1[[#This Row],[In - A3a]:[In - A3a]]),"")</f>
        <v>2</v>
      </c>
      <c r="DU304" s="14">
        <v>3</v>
      </c>
      <c r="DV304" s="14">
        <f>IFERROR(AVERAGE(Tabel1[[#This Row],[In - A1]],Tabel1[[#This Row],[In - A2]],Tabel1[[#This Row],[In - A3]],Tabel1[[#This Row],[In - A4]]),"")</f>
        <v>2.25</v>
      </c>
      <c r="DW304" s="14" t="s">
        <v>189</v>
      </c>
      <c r="DX304" s="14">
        <v>5</v>
      </c>
      <c r="DY304" s="14">
        <v>3</v>
      </c>
      <c r="DZ304" s="14">
        <f>IFERROR(AVERAGE(Tabel1[[#This Row],[Do - R1a]:[Do - R1c]]),"")</f>
        <v>4</v>
      </c>
      <c r="EA304" s="14">
        <v>3</v>
      </c>
      <c r="EB304" s="14">
        <v>5</v>
      </c>
      <c r="EC304" s="14">
        <v>1</v>
      </c>
      <c r="ED304" s="14" t="s">
        <v>189</v>
      </c>
      <c r="EE304" s="14">
        <f>IFERROR(AVERAGE(Tabel1[[#This Row],[Do - R1]:[Do - R5]]),"")</f>
        <v>3.25</v>
      </c>
      <c r="EF304" s="14">
        <v>5</v>
      </c>
      <c r="EG304" s="14">
        <v>5</v>
      </c>
      <c r="EH304" s="14">
        <v>3</v>
      </c>
      <c r="EI304" s="14">
        <f>IFERROR(AVERAGE(Tabel1[[#This Row],[Do - C1a]:[Do - C1c]]),"")</f>
        <v>4.333333333333333</v>
      </c>
      <c r="EJ304" s="14">
        <v>2</v>
      </c>
      <c r="EK304" s="14">
        <v>1</v>
      </c>
      <c r="EL304" s="14">
        <v>2</v>
      </c>
      <c r="EM304" s="14">
        <f>IFERROR(AVERAGE(Tabel1[[#This Row],[Do - C1]:[Do - C4]]),"")</f>
        <v>2.333333333333333</v>
      </c>
      <c r="EN304" s="14">
        <v>3</v>
      </c>
      <c r="EO304" s="14">
        <v>1</v>
      </c>
      <c r="EP304" s="14">
        <v>2</v>
      </c>
      <c r="EQ304" s="14">
        <f>IFERROR(AVERAGE(Tabel1[[#This Row],[Do - F1a]:[Do - F1c]]),"")</f>
        <v>2</v>
      </c>
      <c r="ER304" s="14">
        <v>2</v>
      </c>
      <c r="ES304" s="14">
        <f>IFERROR(AVERAGE(Tabel1[[#This Row],[Do - F2a]:[Do - F2a]]),"")</f>
        <v>2</v>
      </c>
      <c r="ET304" s="14">
        <v>5</v>
      </c>
      <c r="EU304" s="14">
        <v>4</v>
      </c>
      <c r="EV304" s="14">
        <f>IFERROR(AVERAGE(Tabel1[[#This Row],[Do - F3a]:[Do - F3b]]),"")</f>
        <v>4.5</v>
      </c>
      <c r="EW304" s="14">
        <v>2</v>
      </c>
      <c r="EX304" s="14">
        <f>IFERROR(AVERAGE(Tabel1[[#This Row],[Do - F1]],Tabel1[[#This Row],[Do - F2]],Tabel1[[#This Row],[Do - F3]],Tabel1[[#This Row],[Do - F4]]),"")</f>
        <v>2.625</v>
      </c>
      <c r="EY304" s="14">
        <v>3</v>
      </c>
      <c r="EZ304" s="14">
        <v>2</v>
      </c>
      <c r="FA304" s="14">
        <v>2</v>
      </c>
      <c r="FB304" s="14">
        <f>IFERROR(AVERAGE(Tabel1[[#This Row],[Do - V1a]:[Do - V1c]]),"")</f>
        <v>2.3333333333333335</v>
      </c>
      <c r="FC304" s="14">
        <v>3</v>
      </c>
      <c r="FD304" s="14">
        <v>2</v>
      </c>
      <c r="FE304" s="14">
        <f>IFERROR(AVERAGE(Tabel1[[#This Row],[Do - V2a]:[Do - V2b]]),"")</f>
        <v>2.5</v>
      </c>
      <c r="FF304" s="14">
        <v>2</v>
      </c>
      <c r="FG304" s="14">
        <f>IFERROR(AVERAGE(Tabel1[[#This Row],[Do - V3a]:[Do - V3a]]),"")</f>
        <v>2</v>
      </c>
      <c r="FH304" s="14">
        <v>1</v>
      </c>
      <c r="FI304" s="14">
        <f>IFERROR(AVERAGE(Tabel1[[#This Row],[Do - V1]],Tabel1[[#This Row],[Do - V2]],Tabel1[[#This Row],[Do - V3]],Tabel1[[#This Row],[Do - V4]]),"")</f>
        <v>1.9583333333333335</v>
      </c>
      <c r="FJ304" s="14">
        <v>2</v>
      </c>
      <c r="FK304" s="14">
        <v>1</v>
      </c>
      <c r="FL304" s="14">
        <v>1</v>
      </c>
      <c r="FM304" s="14">
        <f>IFERROR(AVERAGE(Tabel1[[#This Row],[Do - A1a]:[Do - A1c]]),"")</f>
        <v>1.3333333333333333</v>
      </c>
      <c r="FN304" s="14">
        <v>3</v>
      </c>
      <c r="FO304" s="14">
        <v>5</v>
      </c>
      <c r="FP304" s="14">
        <f>IFERROR(AVERAGE(Tabel1[[#This Row],[Do - A2a]:[Do - A2b]]),"")</f>
        <v>4</v>
      </c>
      <c r="FQ304" s="14">
        <v>2</v>
      </c>
      <c r="FR304" s="14">
        <f>IFERROR(AVERAGE(Tabel1[[#This Row],[Do - A3a]:[Do - A3a]]),"")</f>
        <v>2</v>
      </c>
      <c r="FS304" s="14">
        <v>3</v>
      </c>
      <c r="FT304" s="14">
        <f>IFERROR(AVERAGE(Tabel1[[#This Row],[Do - A1]],Tabel1[[#This Row],[Do - A2]],Tabel1[[#This Row],[Do - A3]],Tabel1[[#This Row],[Do - A4]]),"")</f>
        <v>2.583333333333333</v>
      </c>
      <c r="FU30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2.536481481481482</v>
      </c>
      <c r="FV304" s="27" t="s">
        <v>1591</v>
      </c>
      <c r="FW304" t="b">
        <v>1</v>
      </c>
    </row>
    <row r="305" spans="1:179" x14ac:dyDescent="0.3">
      <c r="A305" s="13">
        <v>45419.378333333298</v>
      </c>
      <c r="B305" t="b">
        <v>0</v>
      </c>
      <c r="C305" s="14" t="s">
        <v>1592</v>
      </c>
      <c r="D305" s="14" t="s">
        <v>1593</v>
      </c>
      <c r="E305" s="14" t="s">
        <v>1594</v>
      </c>
      <c r="F305" s="14" t="s">
        <v>184</v>
      </c>
      <c r="G305" s="14" t="s">
        <v>1595</v>
      </c>
      <c r="H305" s="14" t="s">
        <v>222</v>
      </c>
      <c r="I305" s="14" t="s">
        <v>195</v>
      </c>
      <c r="J305" s="14" t="s">
        <v>533</v>
      </c>
      <c r="K305" s="28" t="s">
        <v>201</v>
      </c>
      <c r="L305" s="14" t="s">
        <v>249</v>
      </c>
      <c r="M305" s="14" t="s">
        <v>198</v>
      </c>
      <c r="N305" s="14" t="s">
        <v>262</v>
      </c>
      <c r="O305" s="14" t="s">
        <v>200</v>
      </c>
      <c r="P305" s="24" t="s">
        <v>255</v>
      </c>
      <c r="Q305" s="17" t="s">
        <v>304</v>
      </c>
      <c r="R305" s="25" t="s">
        <v>202</v>
      </c>
      <c r="S305" s="25" t="s">
        <v>235</v>
      </c>
      <c r="T305" s="14" t="s">
        <v>380</v>
      </c>
      <c r="U305" s="14" t="s">
        <v>285</v>
      </c>
      <c r="V305" s="14" t="s">
        <v>224</v>
      </c>
      <c r="W305" s="14" t="s">
        <v>395</v>
      </c>
      <c r="X305" s="14" t="s">
        <v>395</v>
      </c>
      <c r="Y305" s="14">
        <v>2</v>
      </c>
      <c r="Z305" s="14">
        <v>2</v>
      </c>
      <c r="AA305" s="14">
        <v>3</v>
      </c>
      <c r="AB305" s="15">
        <f>IFERROR(AVERAGE(Tabel1[[#This Row],[Up - R1a]:[Up - R1c]]),"")</f>
        <v>2.3333333333333335</v>
      </c>
      <c r="AC305" s="14">
        <v>3</v>
      </c>
      <c r="AD305" s="14">
        <v>2</v>
      </c>
      <c r="AE305" s="14">
        <v>2</v>
      </c>
      <c r="AF305" s="14" t="s">
        <v>189</v>
      </c>
      <c r="AG305" s="14">
        <f>IFERROR(AVERAGE(Tabel1[[#This Row],[Up - R1]:[Up - R5]]),"")</f>
        <v>2.3333333333333335</v>
      </c>
      <c r="AH305" s="14">
        <v>3</v>
      </c>
      <c r="AI305" s="14">
        <v>3</v>
      </c>
      <c r="AJ305" s="14">
        <v>3</v>
      </c>
      <c r="AK305" s="14">
        <f>IFERROR(AVERAGE(Tabel1[[#This Row],[Up - C1a]:[Up - C1c]]),"")</f>
        <v>3</v>
      </c>
      <c r="AL305" s="14">
        <v>2</v>
      </c>
      <c r="AM305" s="14">
        <v>1</v>
      </c>
      <c r="AN305" s="14">
        <v>1</v>
      </c>
      <c r="AO305" s="14">
        <f>IFERROR(AVERAGE(Tabel1[[#This Row],[Up - C1]:[Up - C4]]),"")</f>
        <v>1.75</v>
      </c>
      <c r="AP305" s="14">
        <v>1</v>
      </c>
      <c r="AQ305" s="14">
        <f>IFERROR(AVERAGE(Tabel1[[#This Row],[Up - F1a]:[Up - F1a]]),"")</f>
        <v>1</v>
      </c>
      <c r="AR305" s="14">
        <v>2</v>
      </c>
      <c r="AS305" s="14">
        <v>4</v>
      </c>
      <c r="AT305" s="14">
        <f>IFERROR(AVERAGE(Tabel1[[#This Row],[Up - F2a]:[Up - F2b]]),"")</f>
        <v>3</v>
      </c>
      <c r="AU305" s="14">
        <v>2</v>
      </c>
      <c r="AV305" s="14">
        <v>1</v>
      </c>
      <c r="AW305" s="14">
        <f>IFERROR(AVERAGE(Tabel1[[#This Row],[Up - F3a]:[Up - F3b]]),"")</f>
        <v>1.5</v>
      </c>
      <c r="AX305" s="14">
        <v>1</v>
      </c>
      <c r="AY305" s="14">
        <f>IFERROR(AVERAGE(Tabel1[[#This Row],[Up - F1]],Tabel1[[#This Row],[Up - F2]],Tabel1[[#This Row],[Up - F3]],Tabel1[[#This Row],[Up - F4]]),"")</f>
        <v>1.625</v>
      </c>
      <c r="AZ305" s="14">
        <v>2</v>
      </c>
      <c r="BA305" s="14">
        <v>2</v>
      </c>
      <c r="BB305" s="14">
        <f>IFERROR(AVERAGE(Tabel1[[#This Row],[Up - V1a]:[Up - V1b]]),"")</f>
        <v>2</v>
      </c>
      <c r="BC305" s="14">
        <v>3</v>
      </c>
      <c r="BD305" s="14">
        <v>2</v>
      </c>
      <c r="BE305" s="14">
        <v>1</v>
      </c>
      <c r="BF305" s="14">
        <f>IFERROR(AVERAGE(Tabel1[[#This Row],[Up - V2a]:[Up - V2c]]),"")</f>
        <v>2</v>
      </c>
      <c r="BG305" s="14">
        <v>1</v>
      </c>
      <c r="BH305" s="14">
        <v>2</v>
      </c>
      <c r="BI305" s="14">
        <f>IFERROR(AVERAGE(Tabel1[[#This Row],[Up - V3a]:[Up - V3b]]),"")</f>
        <v>1.5</v>
      </c>
      <c r="BJ305" s="14">
        <v>1</v>
      </c>
      <c r="BK305" s="14">
        <f>IFERROR(AVERAGE(Tabel1[[#This Row],[Up - V1]],Tabel1[[#This Row],[Up - V2]],Tabel1[[#This Row],[Up - V3]],Tabel1[[#This Row],[Up - V4]]),"")</f>
        <v>1.625</v>
      </c>
      <c r="BL305" s="14">
        <v>2</v>
      </c>
      <c r="BM305" s="14">
        <v>2</v>
      </c>
      <c r="BN305" s="14">
        <v>3</v>
      </c>
      <c r="BO305" s="14">
        <v>2</v>
      </c>
      <c r="BP305" s="14">
        <f>IFERROR(AVERAGE(Tabel1[[#This Row],[Up - A1a]:[Up - A1d]]),"")</f>
        <v>2.25</v>
      </c>
      <c r="BQ305" s="14">
        <v>3</v>
      </c>
      <c r="BR305" s="14">
        <v>4</v>
      </c>
      <c r="BS305" s="14">
        <f>IFERROR(AVERAGE(Tabel1[[#This Row],[Up - A2a]:[Up - A2b]]),"")</f>
        <v>3.5</v>
      </c>
      <c r="BT305" s="14">
        <v>4</v>
      </c>
      <c r="BU305" s="14">
        <f>IFERROR(AVERAGE(Tabel1[[#This Row],[Up - A3a]:[Up - A3a]]),"")</f>
        <v>4</v>
      </c>
      <c r="BV305" s="14">
        <v>3</v>
      </c>
      <c r="BW305" s="14">
        <f>IFERROR(AVERAGE(Tabel1[[#This Row],[Up - A1]],Tabel1[[#This Row],[Up - A2]],Tabel1[[#This Row],[Up - A3]]),"")</f>
        <v>3.25</v>
      </c>
      <c r="BX305" s="14">
        <v>1</v>
      </c>
      <c r="BY305" s="14">
        <v>3</v>
      </c>
      <c r="BZ305" s="14">
        <f>IFERROR(AVERAGE(Tabel1[[#This Row],[In - R1a]:[In - R1b]]),"")</f>
        <v>2</v>
      </c>
      <c r="CA305" s="14">
        <v>4</v>
      </c>
      <c r="CB305" s="14">
        <v>2</v>
      </c>
      <c r="CC305" s="14">
        <v>1</v>
      </c>
      <c r="CD305" s="14">
        <v>3</v>
      </c>
      <c r="CE305" s="14">
        <f>IFERROR(AVERAGE(Tabel1[[#This Row],[In - R1]:[In - R5]]),"")</f>
        <v>2.4</v>
      </c>
      <c r="CF305" s="14">
        <v>4</v>
      </c>
      <c r="CG305" s="14">
        <v>4</v>
      </c>
      <c r="CH305" s="14">
        <v>4</v>
      </c>
      <c r="CI305" s="14">
        <f>IFERROR(AVERAGE(Tabel1[[#This Row],[In - C1a]:[In - C1c]]),"")</f>
        <v>4</v>
      </c>
      <c r="CJ305" s="14">
        <v>1</v>
      </c>
      <c r="CK305" s="14">
        <v>3</v>
      </c>
      <c r="CL305" s="14">
        <v>2</v>
      </c>
      <c r="CM305" s="14">
        <f>IFERROR(AVERAGE(Tabel1[[#This Row],[In - C1]:[In - C4]]),"")</f>
        <v>2.5</v>
      </c>
      <c r="CN305" s="14">
        <v>3</v>
      </c>
      <c r="CO305" s="14">
        <v>2</v>
      </c>
      <c r="CP305" s="14">
        <v>2</v>
      </c>
      <c r="CQ305" s="14">
        <f>IFERROR(AVERAGE(Tabel1[[#This Row],[In - F1a]:[In - F1c]]),"")</f>
        <v>2.3333333333333335</v>
      </c>
      <c r="CR305" s="14">
        <v>3</v>
      </c>
      <c r="CS305" s="14">
        <v>2</v>
      </c>
      <c r="CT305" s="14">
        <f>IFERROR(AVERAGE(Tabel1[[#This Row],[In - F2a]:[In - F2b]]),"")</f>
        <v>2.5</v>
      </c>
      <c r="CU305" s="14">
        <v>1</v>
      </c>
      <c r="CV305" s="14">
        <f>IFERROR(AVERAGE(Tabel1[[#This Row],[In - F3a]:[In - F3a]]),"")</f>
        <v>1</v>
      </c>
      <c r="CW305" s="14">
        <v>2</v>
      </c>
      <c r="CX305" s="14">
        <f>IFERROR(AVERAGE(Tabel1[[#This Row],[In - F1]],Tabel1[[#This Row],[In - F2]],Tabel1[[#This Row],[In - F3]],Tabel1[[#This Row],[In - F4]]),"")</f>
        <v>1.9583333333333335</v>
      </c>
      <c r="CY305" s="14">
        <v>4</v>
      </c>
      <c r="CZ305" s="14">
        <v>2</v>
      </c>
      <c r="DA305" s="14">
        <v>1</v>
      </c>
      <c r="DB305" s="14">
        <f>IFERROR(AVERAGE(Tabel1[[#This Row],[In - V1a]:[In - V1c]]),"")</f>
        <v>2.3333333333333335</v>
      </c>
      <c r="DC305" s="14">
        <v>1</v>
      </c>
      <c r="DD305" s="14">
        <v>1</v>
      </c>
      <c r="DE305" s="14">
        <v>1</v>
      </c>
      <c r="DF305" s="14">
        <f>IFERROR(AVERAGE(Tabel1[[#This Row],[In - V2a]:[In - V2c]]),"")</f>
        <v>1</v>
      </c>
      <c r="DG305" s="14">
        <v>3</v>
      </c>
      <c r="DH305" s="14">
        <v>4</v>
      </c>
      <c r="DI305" s="14">
        <f>IFERROR(AVERAGE(Tabel1[[#This Row],[In - V3a]:[In - V3b]]),"")</f>
        <v>3.5</v>
      </c>
      <c r="DJ305" s="14">
        <v>2</v>
      </c>
      <c r="DK305" s="14">
        <f>IFERROR(AVERAGE(Tabel1[[#This Row],[In - V1]],Tabel1[[#This Row],[In - V2]],Tabel1[[#This Row],[In - V3]],Tabel1[[#This Row],[In - V4]]),"")</f>
        <v>2.2083333333333335</v>
      </c>
      <c r="DL305" s="14">
        <v>2</v>
      </c>
      <c r="DM305" s="14">
        <v>3</v>
      </c>
      <c r="DN305" s="14">
        <f>IFERROR(AVERAGE(Tabel1[[#This Row],[In - A1a]:[In - A1b]]),"")</f>
        <v>2.5</v>
      </c>
      <c r="DO305" s="14">
        <v>3</v>
      </c>
      <c r="DP305" s="14">
        <v>3</v>
      </c>
      <c r="DQ305" s="14">
        <f>IFERROR(AVERAGE(Tabel1[[#This Row],[In - A2a]:[In - A2b]]),"")</f>
        <v>3</v>
      </c>
      <c r="DR305" s="14">
        <v>4</v>
      </c>
      <c r="DS305" s="14">
        <v>2</v>
      </c>
      <c r="DT305" s="14">
        <f>IFERROR(AVERAGE(Tabel1[[#This Row],[In - A3a]:[In - A3a]]),"")</f>
        <v>4</v>
      </c>
      <c r="DU305" s="14">
        <v>3</v>
      </c>
      <c r="DV305" s="14">
        <f>IFERROR(AVERAGE(Tabel1[[#This Row],[In - A1]],Tabel1[[#This Row],[In - A2]],Tabel1[[#This Row],[In - A3]],Tabel1[[#This Row],[In - A4]]),"")</f>
        <v>3.125</v>
      </c>
      <c r="DW305" s="14" t="s">
        <v>189</v>
      </c>
      <c r="DX305" s="14">
        <v>4</v>
      </c>
      <c r="DY305" s="14">
        <v>1</v>
      </c>
      <c r="DZ305" s="14">
        <f>IFERROR(AVERAGE(Tabel1[[#This Row],[Do - R1a]:[Do - R1c]]),"")</f>
        <v>2.5</v>
      </c>
      <c r="EA305" s="14" t="s">
        <v>189</v>
      </c>
      <c r="EB305" s="14">
        <v>1</v>
      </c>
      <c r="EC305" s="14">
        <v>1</v>
      </c>
      <c r="ED305" s="14" t="s">
        <v>189</v>
      </c>
      <c r="EE305" s="14">
        <f>IFERROR(AVERAGE(Tabel1[[#This Row],[Do - R1]:[Do - R5]]),"")</f>
        <v>1.5</v>
      </c>
      <c r="EF305" s="14">
        <v>3</v>
      </c>
      <c r="EG305" s="14">
        <v>3</v>
      </c>
      <c r="EH305" s="14">
        <v>2</v>
      </c>
      <c r="EI305" s="14">
        <f>IFERROR(AVERAGE(Tabel1[[#This Row],[Do - C1a]:[Do - C1c]]),"")</f>
        <v>2.6666666666666665</v>
      </c>
      <c r="EJ305" s="14">
        <v>2</v>
      </c>
      <c r="EK305" s="14">
        <v>1</v>
      </c>
      <c r="EL305" s="14">
        <v>1</v>
      </c>
      <c r="EM305" s="14">
        <f>IFERROR(AVERAGE(Tabel1[[#This Row],[Do - C1]:[Do - C4]]),"")</f>
        <v>1.6666666666666665</v>
      </c>
      <c r="EN305" s="14">
        <v>1</v>
      </c>
      <c r="EO305" s="14">
        <v>2</v>
      </c>
      <c r="EP305" s="14">
        <v>4</v>
      </c>
      <c r="EQ305" s="14">
        <f>IFERROR(AVERAGE(Tabel1[[#This Row],[Do - F1a]:[Do - F1c]]),"")</f>
        <v>2.3333333333333335</v>
      </c>
      <c r="ER305" s="14">
        <v>3</v>
      </c>
      <c r="ES305" s="14">
        <f>IFERROR(AVERAGE(Tabel1[[#This Row],[Do - F2a]:[Do - F2a]]),"")</f>
        <v>3</v>
      </c>
      <c r="ET305" s="14">
        <v>1</v>
      </c>
      <c r="EU305" s="14">
        <v>1</v>
      </c>
      <c r="EV305" s="14">
        <f>IFERROR(AVERAGE(Tabel1[[#This Row],[Do - F3a]:[Do - F3b]]),"")</f>
        <v>1</v>
      </c>
      <c r="EW305" s="14">
        <v>1</v>
      </c>
      <c r="EX305" s="14">
        <f>IFERROR(AVERAGE(Tabel1[[#This Row],[Do - F1]],Tabel1[[#This Row],[Do - F2]],Tabel1[[#This Row],[Do - F3]],Tabel1[[#This Row],[Do - F4]]),"")</f>
        <v>1.8333333333333335</v>
      </c>
      <c r="EY305" s="14">
        <v>3</v>
      </c>
      <c r="EZ305" s="14">
        <v>1</v>
      </c>
      <c r="FA305" s="14">
        <v>3</v>
      </c>
      <c r="FB305" s="14">
        <f>IFERROR(AVERAGE(Tabel1[[#This Row],[Do - V1a]:[Do - V1c]]),"")</f>
        <v>2.3333333333333335</v>
      </c>
      <c r="FC305" s="14">
        <v>1</v>
      </c>
      <c r="FD305" s="14">
        <v>3</v>
      </c>
      <c r="FE305" s="14">
        <f>IFERROR(AVERAGE(Tabel1[[#This Row],[Do - V2a]:[Do - V2b]]),"")</f>
        <v>2</v>
      </c>
      <c r="FF305" s="14">
        <v>2</v>
      </c>
      <c r="FG305" s="14">
        <f>IFERROR(AVERAGE(Tabel1[[#This Row],[Do - V3a]:[Do - V3a]]),"")</f>
        <v>2</v>
      </c>
      <c r="FH305" s="14">
        <v>2</v>
      </c>
      <c r="FI305" s="14">
        <f>IFERROR(AVERAGE(Tabel1[[#This Row],[Do - V1]],Tabel1[[#This Row],[Do - V2]],Tabel1[[#This Row],[Do - V3]],Tabel1[[#This Row],[Do - V4]]),"")</f>
        <v>2.0833333333333335</v>
      </c>
      <c r="FJ305" s="14">
        <v>3</v>
      </c>
      <c r="FK305" s="14">
        <v>2</v>
      </c>
      <c r="FL305" s="14">
        <v>3</v>
      </c>
      <c r="FM305" s="14">
        <f>IFERROR(AVERAGE(Tabel1[[#This Row],[Do - A1a]:[Do - A1c]]),"")</f>
        <v>2.6666666666666665</v>
      </c>
      <c r="FN305" s="14">
        <v>1</v>
      </c>
      <c r="FO305" s="14">
        <v>2</v>
      </c>
      <c r="FP305" s="14">
        <f>IFERROR(AVERAGE(Tabel1[[#This Row],[Do - A2a]:[Do - A2b]]),"")</f>
        <v>1.5</v>
      </c>
      <c r="FQ305" s="14">
        <v>2</v>
      </c>
      <c r="FR305" s="14">
        <f>IFERROR(AVERAGE(Tabel1[[#This Row],[Do - A3a]:[Do - A3a]]),"")</f>
        <v>2</v>
      </c>
      <c r="FS305" s="14">
        <v>3</v>
      </c>
      <c r="FT305" s="14">
        <f>IFERROR(AVERAGE(Tabel1[[#This Row],[Do - A1]],Tabel1[[#This Row],[Do - A2]],Tabel1[[#This Row],[Do - A3]],Tabel1[[#This Row],[Do - A4]]),"")</f>
        <v>2.2916666666666665</v>
      </c>
      <c r="FU30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2.1433333333333331</v>
      </c>
      <c r="FV305" s="27" t="s">
        <v>1596</v>
      </c>
      <c r="FW305" t="b">
        <v>1</v>
      </c>
    </row>
    <row r="306" spans="1:179" x14ac:dyDescent="0.3">
      <c r="A306" s="13">
        <v>45419.386342592603</v>
      </c>
      <c r="B306" t="b">
        <v>0</v>
      </c>
      <c r="C306" s="14" t="s">
        <v>1597</v>
      </c>
      <c r="D306" s="14" t="s">
        <v>1180</v>
      </c>
      <c r="E306" s="14" t="s">
        <v>1598</v>
      </c>
      <c r="F306" s="14" t="s">
        <v>184</v>
      </c>
      <c r="G306" s="14" t="s">
        <v>1599</v>
      </c>
      <c r="H306" s="14" t="s">
        <v>222</v>
      </c>
      <c r="I306" s="14" t="s">
        <v>243</v>
      </c>
      <c r="J306" s="14" t="s">
        <v>248</v>
      </c>
      <c r="K306" s="26" t="s">
        <v>304</v>
      </c>
      <c r="L306" s="14" t="s">
        <v>249</v>
      </c>
      <c r="M306" s="14" t="s">
        <v>198</v>
      </c>
      <c r="N306" s="14" t="s">
        <v>316</v>
      </c>
      <c r="O306" s="14"/>
      <c r="P306" s="24" t="s">
        <v>255</v>
      </c>
      <c r="Q306" s="17"/>
      <c r="R306" s="25" t="s">
        <v>201</v>
      </c>
      <c r="S306" s="25" t="s">
        <v>201</v>
      </c>
      <c r="T306" s="14" t="s">
        <v>204</v>
      </c>
      <c r="U306" s="14" t="s">
        <v>285</v>
      </c>
      <c r="V306" s="14" t="s">
        <v>224</v>
      </c>
      <c r="W306" s="14" t="s">
        <v>207</v>
      </c>
      <c r="X306" s="14" t="s">
        <v>395</v>
      </c>
      <c r="Y306" s="14" t="s">
        <v>189</v>
      </c>
      <c r="Z306" s="14" t="s">
        <v>189</v>
      </c>
      <c r="AA306" s="14" t="s">
        <v>189</v>
      </c>
      <c r="AB306" s="15" t="str">
        <f>IFERROR(AVERAGE(Tabel1[[#This Row],[Up - R1a]:[Up - R1c]]),"")</f>
        <v/>
      </c>
      <c r="AC306" s="14" t="s">
        <v>189</v>
      </c>
      <c r="AD306" s="14">
        <v>3</v>
      </c>
      <c r="AE306" s="14" t="s">
        <v>189</v>
      </c>
      <c r="AF306" s="14" t="s">
        <v>189</v>
      </c>
      <c r="AG306" s="14">
        <f>IFERROR(AVERAGE(Tabel1[[#This Row],[Up - R1]:[Up - R5]]),"")</f>
        <v>3</v>
      </c>
      <c r="AH306" s="14">
        <v>4</v>
      </c>
      <c r="AI306" s="14">
        <v>3</v>
      </c>
      <c r="AJ306" s="14">
        <v>2</v>
      </c>
      <c r="AK306" s="14">
        <f>IFERROR(AVERAGE(Tabel1[[#This Row],[Up - C1a]:[Up - C1c]]),"")</f>
        <v>3</v>
      </c>
      <c r="AL306" s="14">
        <v>1</v>
      </c>
      <c r="AM306" s="14" t="s">
        <v>189</v>
      </c>
      <c r="AN306" s="14" t="s">
        <v>189</v>
      </c>
      <c r="AO306" s="14">
        <f>IFERROR(AVERAGE(Tabel1[[#This Row],[Up - C1]:[Up - C4]]),"")</f>
        <v>2</v>
      </c>
      <c r="AP306" s="14" t="s">
        <v>189</v>
      </c>
      <c r="AQ306" s="14" t="str">
        <f>IFERROR(AVERAGE(Tabel1[[#This Row],[Up - F1a]:[Up - F1a]]),"")</f>
        <v/>
      </c>
      <c r="AR306" s="14" t="s">
        <v>189</v>
      </c>
      <c r="AS306" s="14" t="s">
        <v>189</v>
      </c>
      <c r="AT306" s="14" t="str">
        <f>IFERROR(AVERAGE(Tabel1[[#This Row],[Up - F2a]:[Up - F2b]]),"")</f>
        <v/>
      </c>
      <c r="AU306" s="14">
        <v>3</v>
      </c>
      <c r="AV306" s="14" t="s">
        <v>189</v>
      </c>
      <c r="AW306" s="14">
        <f>IFERROR(AVERAGE(Tabel1[[#This Row],[Up - F3a]:[Up - F3b]]),"")</f>
        <v>3</v>
      </c>
      <c r="AX306" s="14" t="s">
        <v>189</v>
      </c>
      <c r="AY306" s="14">
        <f>IFERROR(AVERAGE(Tabel1[[#This Row],[Up - F1]],Tabel1[[#This Row],[Up - F2]],Tabel1[[#This Row],[Up - F3]],Tabel1[[#This Row],[Up - F4]]),"")</f>
        <v>3</v>
      </c>
      <c r="AZ306" s="14" t="s">
        <v>189</v>
      </c>
      <c r="BA306" s="14" t="s">
        <v>189</v>
      </c>
      <c r="BB306" s="14" t="str">
        <f>IFERROR(AVERAGE(Tabel1[[#This Row],[Up - V1a]:[Up - V1b]]),"")</f>
        <v/>
      </c>
      <c r="BC306" s="14" t="s">
        <v>189</v>
      </c>
      <c r="BD306" s="14" t="s">
        <v>189</v>
      </c>
      <c r="BE306" s="14" t="s">
        <v>189</v>
      </c>
      <c r="BF306" s="14" t="str">
        <f>IFERROR(AVERAGE(Tabel1[[#This Row],[Up - V2a]:[Up - V2c]]),"")</f>
        <v/>
      </c>
      <c r="BG306" s="14" t="s">
        <v>189</v>
      </c>
      <c r="BH306" s="14" t="s">
        <v>189</v>
      </c>
      <c r="BI306" s="14" t="str">
        <f>IFERROR(AVERAGE(Tabel1[[#This Row],[Up - V3a]:[Up - V3b]]),"")</f>
        <v/>
      </c>
      <c r="BJ306" s="14" t="s">
        <v>189</v>
      </c>
      <c r="BK306" s="14" t="str">
        <f>IFERROR(AVERAGE(Tabel1[[#This Row],[Up - V1]],Tabel1[[#This Row],[Up - V2]],Tabel1[[#This Row],[Up - V3]],Tabel1[[#This Row],[Up - V4]]),"")</f>
        <v/>
      </c>
      <c r="BL306" s="14" t="s">
        <v>189</v>
      </c>
      <c r="BM306" s="14" t="s">
        <v>189</v>
      </c>
      <c r="BN306" s="14" t="s">
        <v>189</v>
      </c>
      <c r="BO306" s="14" t="s">
        <v>189</v>
      </c>
      <c r="BP306" s="14" t="str">
        <f>IFERROR(AVERAGE(Tabel1[[#This Row],[Up - A1a]:[Up - A1d]]),"")</f>
        <v/>
      </c>
      <c r="BQ306" s="14" t="s">
        <v>189</v>
      </c>
      <c r="BR306" s="14" t="s">
        <v>189</v>
      </c>
      <c r="BS306" s="14" t="str">
        <f>IFERROR(AVERAGE(Tabel1[[#This Row],[Up - A2a]:[Up - A2b]]),"")</f>
        <v/>
      </c>
      <c r="BT306" s="14" t="s">
        <v>189</v>
      </c>
      <c r="BU306" s="14" t="str">
        <f>IFERROR(AVERAGE(Tabel1[[#This Row],[Up - A3a]:[Up - A3a]]),"")</f>
        <v/>
      </c>
      <c r="BV306" s="14" t="s">
        <v>189</v>
      </c>
      <c r="BW306" s="14" t="str">
        <f>IFERROR(AVERAGE(Tabel1[[#This Row],[Up - A1]],Tabel1[[#This Row],[Up - A2]],Tabel1[[#This Row],[Up - A3]]),"")</f>
        <v/>
      </c>
      <c r="BX306" s="14">
        <v>2</v>
      </c>
      <c r="BY306" s="14">
        <v>2</v>
      </c>
      <c r="BZ306" s="14">
        <f>IFERROR(AVERAGE(Tabel1[[#This Row],[In - R1a]:[In - R1b]]),"")</f>
        <v>2</v>
      </c>
      <c r="CA306" s="14">
        <v>4</v>
      </c>
      <c r="CB306" s="14">
        <v>3</v>
      </c>
      <c r="CC306" s="14">
        <v>1</v>
      </c>
      <c r="CD306" s="14">
        <v>5</v>
      </c>
      <c r="CE306" s="14">
        <f>IFERROR(AVERAGE(Tabel1[[#This Row],[In - R1]:[In - R5]]),"")</f>
        <v>3</v>
      </c>
      <c r="CF306" s="14">
        <v>2</v>
      </c>
      <c r="CG306" s="14">
        <v>2</v>
      </c>
      <c r="CH306" s="14">
        <v>1</v>
      </c>
      <c r="CI306" s="14">
        <f>IFERROR(AVERAGE(Tabel1[[#This Row],[In - C1a]:[In - C1c]]),"")</f>
        <v>1.6666666666666667</v>
      </c>
      <c r="CJ306" s="14">
        <v>1</v>
      </c>
      <c r="CK306" s="14">
        <v>1</v>
      </c>
      <c r="CL306" s="14">
        <v>2</v>
      </c>
      <c r="CM306" s="14">
        <f>IFERROR(AVERAGE(Tabel1[[#This Row],[In - C1]:[In - C4]]),"")</f>
        <v>1.4166666666666667</v>
      </c>
      <c r="CN306" s="14" t="s">
        <v>189</v>
      </c>
      <c r="CO306" s="14">
        <v>2</v>
      </c>
      <c r="CP306" s="14" t="s">
        <v>189</v>
      </c>
      <c r="CQ306" s="14">
        <f>IFERROR(AVERAGE(Tabel1[[#This Row],[In - F1a]:[In - F1c]]),"")</f>
        <v>2</v>
      </c>
      <c r="CR306" s="14" t="s">
        <v>189</v>
      </c>
      <c r="CS306" s="14" t="s">
        <v>189</v>
      </c>
      <c r="CT306" s="14" t="str">
        <f>IFERROR(AVERAGE(Tabel1[[#This Row],[In - F2a]:[In - F2b]]),"")</f>
        <v/>
      </c>
      <c r="CU306" s="14" t="s">
        <v>189</v>
      </c>
      <c r="CV306" s="14" t="str">
        <f>IFERROR(AVERAGE(Tabel1[[#This Row],[In - F3a]:[In - F3a]]),"")</f>
        <v/>
      </c>
      <c r="CW306" s="14" t="s">
        <v>189</v>
      </c>
      <c r="CX306" s="14">
        <f>IFERROR(AVERAGE(Tabel1[[#This Row],[In - F1]],Tabel1[[#This Row],[In - F2]],Tabel1[[#This Row],[In - F3]],Tabel1[[#This Row],[In - F4]]),"")</f>
        <v>2</v>
      </c>
      <c r="CY306" s="14">
        <v>3</v>
      </c>
      <c r="CZ306" s="14">
        <v>2</v>
      </c>
      <c r="DA306" s="14">
        <v>1</v>
      </c>
      <c r="DB306" s="14">
        <f>IFERROR(AVERAGE(Tabel1[[#This Row],[In - V1a]:[In - V1c]]),"")</f>
        <v>2</v>
      </c>
      <c r="DC306" s="14">
        <v>1</v>
      </c>
      <c r="DD306" s="14">
        <v>1</v>
      </c>
      <c r="DE306" s="14">
        <v>2</v>
      </c>
      <c r="DF306" s="14">
        <f>IFERROR(AVERAGE(Tabel1[[#This Row],[In - V2a]:[In - V2c]]),"")</f>
        <v>1.3333333333333333</v>
      </c>
      <c r="DG306" s="14">
        <v>1</v>
      </c>
      <c r="DH306" s="14">
        <v>2</v>
      </c>
      <c r="DI306" s="14">
        <f>IFERROR(AVERAGE(Tabel1[[#This Row],[In - V3a]:[In - V3b]]),"")</f>
        <v>1.5</v>
      </c>
      <c r="DJ306" s="14" t="s">
        <v>189</v>
      </c>
      <c r="DK306" s="14">
        <f>IFERROR(AVERAGE(Tabel1[[#This Row],[In - V1]],Tabel1[[#This Row],[In - V2]],Tabel1[[#This Row],[In - V3]],Tabel1[[#This Row],[In - V4]]),"")</f>
        <v>1.6111111111111109</v>
      </c>
      <c r="DL306" s="14">
        <v>1</v>
      </c>
      <c r="DM306" s="14">
        <v>1</v>
      </c>
      <c r="DN306" s="14">
        <f>IFERROR(AVERAGE(Tabel1[[#This Row],[In - A1a]:[In - A1b]]),"")</f>
        <v>1</v>
      </c>
      <c r="DO306" s="14">
        <v>1</v>
      </c>
      <c r="DP306" s="14">
        <v>1</v>
      </c>
      <c r="DQ306" s="14">
        <f>IFERROR(AVERAGE(Tabel1[[#This Row],[In - A2a]:[In - A2b]]),"")</f>
        <v>1</v>
      </c>
      <c r="DR306" s="14">
        <v>2</v>
      </c>
      <c r="DS306" s="14">
        <v>1</v>
      </c>
      <c r="DT306" s="14">
        <f>IFERROR(AVERAGE(Tabel1[[#This Row],[In - A3a]:[In - A3a]]),"")</f>
        <v>2</v>
      </c>
      <c r="DU306" s="14" t="s">
        <v>189</v>
      </c>
      <c r="DV306" s="14">
        <f>IFERROR(AVERAGE(Tabel1[[#This Row],[In - A1]],Tabel1[[#This Row],[In - A2]],Tabel1[[#This Row],[In - A3]],Tabel1[[#This Row],[In - A4]]),"")</f>
        <v>1.3333333333333333</v>
      </c>
      <c r="DW306" s="14">
        <v>2</v>
      </c>
      <c r="DX306" s="14">
        <v>5</v>
      </c>
      <c r="DY306" s="14">
        <v>2</v>
      </c>
      <c r="DZ306" s="14">
        <f>IFERROR(AVERAGE(Tabel1[[#This Row],[Do - R1a]:[Do - R1c]]),"")</f>
        <v>3</v>
      </c>
      <c r="EA306" s="14">
        <v>2</v>
      </c>
      <c r="EB306" s="14">
        <v>3</v>
      </c>
      <c r="EC306" s="14">
        <v>3</v>
      </c>
      <c r="ED306" s="14">
        <v>3</v>
      </c>
      <c r="EE306" s="14">
        <f>IFERROR(AVERAGE(Tabel1[[#This Row],[Do - R1]:[Do - R5]]),"")</f>
        <v>2.8</v>
      </c>
      <c r="EF306" s="14">
        <v>2</v>
      </c>
      <c r="EG306" s="14">
        <v>2</v>
      </c>
      <c r="EH306" s="14">
        <v>1</v>
      </c>
      <c r="EI306" s="14">
        <f>IFERROR(AVERAGE(Tabel1[[#This Row],[Do - C1a]:[Do - C1c]]),"")</f>
        <v>1.6666666666666667</v>
      </c>
      <c r="EJ306" s="14">
        <v>1</v>
      </c>
      <c r="EK306" s="14">
        <v>1</v>
      </c>
      <c r="EL306" s="14">
        <v>1</v>
      </c>
      <c r="EM306" s="14">
        <f>IFERROR(AVERAGE(Tabel1[[#This Row],[Do - C1]:[Do - C4]]),"")</f>
        <v>1.1666666666666667</v>
      </c>
      <c r="EN306" s="14">
        <v>3</v>
      </c>
      <c r="EO306" s="14">
        <v>2</v>
      </c>
      <c r="EP306" s="14">
        <v>5</v>
      </c>
      <c r="EQ306" s="14">
        <f>IFERROR(AVERAGE(Tabel1[[#This Row],[Do - F1a]:[Do - F1c]]),"")</f>
        <v>3.3333333333333335</v>
      </c>
      <c r="ER306" s="14">
        <v>2</v>
      </c>
      <c r="ES306" s="14">
        <f>IFERROR(AVERAGE(Tabel1[[#This Row],[Do - F2a]:[Do - F2a]]),"")</f>
        <v>2</v>
      </c>
      <c r="ET306" s="14">
        <v>4</v>
      </c>
      <c r="EU306" s="14">
        <v>3</v>
      </c>
      <c r="EV306" s="14">
        <f>IFERROR(AVERAGE(Tabel1[[#This Row],[Do - F3a]:[Do - F3b]]),"")</f>
        <v>3.5</v>
      </c>
      <c r="EW306" s="14">
        <v>3</v>
      </c>
      <c r="EX306" s="14">
        <f>IFERROR(AVERAGE(Tabel1[[#This Row],[Do - F1]],Tabel1[[#This Row],[Do - F2]],Tabel1[[#This Row],[Do - F3]],Tabel1[[#This Row],[Do - F4]]),"")</f>
        <v>2.9583333333333335</v>
      </c>
      <c r="EY306" s="14">
        <v>3</v>
      </c>
      <c r="EZ306" s="14">
        <v>1</v>
      </c>
      <c r="FA306" s="14">
        <v>2</v>
      </c>
      <c r="FB306" s="14">
        <f>IFERROR(AVERAGE(Tabel1[[#This Row],[Do - V1a]:[Do - V1c]]),"")</f>
        <v>2</v>
      </c>
      <c r="FC306" s="14">
        <v>1</v>
      </c>
      <c r="FD306" s="14">
        <v>1</v>
      </c>
      <c r="FE306" s="14">
        <f>IFERROR(AVERAGE(Tabel1[[#This Row],[Do - V2a]:[Do - V2b]]),"")</f>
        <v>1</v>
      </c>
      <c r="FF306" s="14">
        <v>2</v>
      </c>
      <c r="FG306" s="14">
        <f>IFERROR(AVERAGE(Tabel1[[#This Row],[Do - V3a]:[Do - V3a]]),"")</f>
        <v>2</v>
      </c>
      <c r="FH306" s="14">
        <v>3</v>
      </c>
      <c r="FI306" s="14">
        <f>IFERROR(AVERAGE(Tabel1[[#This Row],[Do - V1]],Tabel1[[#This Row],[Do - V2]],Tabel1[[#This Row],[Do - V3]],Tabel1[[#This Row],[Do - V4]]),"")</f>
        <v>2</v>
      </c>
      <c r="FJ306" s="14">
        <v>4</v>
      </c>
      <c r="FK306" s="14">
        <v>1</v>
      </c>
      <c r="FL306" s="14">
        <v>2</v>
      </c>
      <c r="FM306" s="14">
        <f>IFERROR(AVERAGE(Tabel1[[#This Row],[Do - A1a]:[Do - A1c]]),"")</f>
        <v>2.3333333333333335</v>
      </c>
      <c r="FN306" s="14">
        <v>2</v>
      </c>
      <c r="FO306" s="14">
        <v>2</v>
      </c>
      <c r="FP306" s="14">
        <f>IFERROR(AVERAGE(Tabel1[[#This Row],[Do - A2a]:[Do - A2b]]),"")</f>
        <v>2</v>
      </c>
      <c r="FQ306" s="14">
        <v>1</v>
      </c>
      <c r="FR306" s="14">
        <f>IFERROR(AVERAGE(Tabel1[[#This Row],[Do - A3a]:[Do - A3a]]),"")</f>
        <v>1</v>
      </c>
      <c r="FS306" s="14">
        <v>1</v>
      </c>
      <c r="FT306" s="14">
        <f>IFERROR(AVERAGE(Tabel1[[#This Row],[Do - A1]],Tabel1[[#This Row],[Do - A2]],Tabel1[[#This Row],[Do - A3]],Tabel1[[#This Row],[Do - A4]]),"")</f>
        <v>1.5833333333333335</v>
      </c>
      <c r="FU30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2.1438034188034187</v>
      </c>
      <c r="FV306" s="27" t="s">
        <v>1600</v>
      </c>
      <c r="FW306" t="b">
        <v>1</v>
      </c>
    </row>
    <row r="307" spans="1:179" x14ac:dyDescent="0.3">
      <c r="A307" s="13">
        <v>45419.5144097222</v>
      </c>
      <c r="B307" t="b">
        <v>0</v>
      </c>
      <c r="C307" s="14" t="s">
        <v>1601</v>
      </c>
      <c r="D307" s="14" t="s">
        <v>1602</v>
      </c>
      <c r="E307" s="14" t="s">
        <v>1603</v>
      </c>
      <c r="F307" s="14" t="s">
        <v>184</v>
      </c>
      <c r="G307" s="14" t="s">
        <v>1604</v>
      </c>
      <c r="H307" s="14" t="s">
        <v>222</v>
      </c>
      <c r="I307" s="14" t="s">
        <v>385</v>
      </c>
      <c r="J307" s="14"/>
      <c r="K307" s="28" t="s">
        <v>201</v>
      </c>
      <c r="L307" s="14" t="s">
        <v>218</v>
      </c>
      <c r="M307" s="14" t="s">
        <v>198</v>
      </c>
      <c r="N307" s="14" t="s">
        <v>199</v>
      </c>
      <c r="O307" s="14" t="s">
        <v>200</v>
      </c>
      <c r="P307" s="25" t="s">
        <v>1605</v>
      </c>
      <c r="Q307" s="17" t="s">
        <v>201</v>
      </c>
      <c r="R307" s="25" t="s">
        <v>203</v>
      </c>
      <c r="S307" s="25" t="s">
        <v>202</v>
      </c>
      <c r="T307" s="14" t="s">
        <v>236</v>
      </c>
      <c r="U307" s="14" t="s">
        <v>285</v>
      </c>
      <c r="V307" s="14" t="s">
        <v>484</v>
      </c>
      <c r="W307" s="14" t="s">
        <v>207</v>
      </c>
      <c r="X307" s="14" t="s">
        <v>207</v>
      </c>
      <c r="Y307" s="14">
        <v>1</v>
      </c>
      <c r="Z307" s="14">
        <v>4</v>
      </c>
      <c r="AA307" s="14">
        <v>2</v>
      </c>
      <c r="AB307" s="15">
        <f>IFERROR(AVERAGE(Tabel1[[#This Row],[Up - R1a]:[Up - R1c]]),"")</f>
        <v>2.3333333333333335</v>
      </c>
      <c r="AC307" s="14">
        <v>4</v>
      </c>
      <c r="AD307" s="14">
        <v>4</v>
      </c>
      <c r="AE307" s="14">
        <v>2</v>
      </c>
      <c r="AF307" s="14">
        <v>4</v>
      </c>
      <c r="AG307" s="14">
        <f>IFERROR(AVERAGE(Tabel1[[#This Row],[Up - R1]:[Up - R5]]),"")</f>
        <v>3.2666666666666671</v>
      </c>
      <c r="AH307" s="14">
        <v>2</v>
      </c>
      <c r="AI307" s="14">
        <v>1</v>
      </c>
      <c r="AJ307" s="14">
        <v>4</v>
      </c>
      <c r="AK307" s="14">
        <f>IFERROR(AVERAGE(Tabel1[[#This Row],[Up - C1a]:[Up - C1c]]),"")</f>
        <v>2.3333333333333335</v>
      </c>
      <c r="AL307" s="14">
        <v>1</v>
      </c>
      <c r="AM307" s="14">
        <v>1</v>
      </c>
      <c r="AN307" s="14">
        <v>1</v>
      </c>
      <c r="AO307" s="14">
        <f>IFERROR(AVERAGE(Tabel1[[#This Row],[Up - C1]:[Up - C4]]),"")</f>
        <v>1.3333333333333335</v>
      </c>
      <c r="AP307" s="14">
        <v>5</v>
      </c>
      <c r="AQ307" s="14">
        <f>IFERROR(AVERAGE(Tabel1[[#This Row],[Up - F1a]:[Up - F1a]]),"")</f>
        <v>5</v>
      </c>
      <c r="AR307" s="14">
        <v>2</v>
      </c>
      <c r="AS307" s="14">
        <v>3</v>
      </c>
      <c r="AT307" s="14">
        <f>IFERROR(AVERAGE(Tabel1[[#This Row],[Up - F2a]:[Up - F2b]]),"")</f>
        <v>2.5</v>
      </c>
      <c r="AU307" s="14">
        <v>5</v>
      </c>
      <c r="AV307" s="14">
        <v>3</v>
      </c>
      <c r="AW307" s="14">
        <f>IFERROR(AVERAGE(Tabel1[[#This Row],[Up - F3a]:[Up - F3b]]),"")</f>
        <v>4</v>
      </c>
      <c r="AX307" s="14">
        <v>2</v>
      </c>
      <c r="AY307" s="14">
        <f>IFERROR(AVERAGE(Tabel1[[#This Row],[Up - F1]],Tabel1[[#This Row],[Up - F2]],Tabel1[[#This Row],[Up - F3]],Tabel1[[#This Row],[Up - F4]]),"")</f>
        <v>3.375</v>
      </c>
      <c r="AZ307" s="14" t="s">
        <v>189</v>
      </c>
      <c r="BA307" s="14" t="s">
        <v>189</v>
      </c>
      <c r="BB307" s="14" t="str">
        <f>IFERROR(AVERAGE(Tabel1[[#This Row],[Up - V1a]:[Up - V1b]]),"")</f>
        <v/>
      </c>
      <c r="BC307" s="14" t="s">
        <v>189</v>
      </c>
      <c r="BD307" s="14" t="s">
        <v>189</v>
      </c>
      <c r="BE307" s="14" t="s">
        <v>189</v>
      </c>
      <c r="BF307" s="14" t="str">
        <f>IFERROR(AVERAGE(Tabel1[[#This Row],[Up - V2a]:[Up - V2c]]),"")</f>
        <v/>
      </c>
      <c r="BG307" s="14" t="s">
        <v>189</v>
      </c>
      <c r="BH307" s="14" t="s">
        <v>189</v>
      </c>
      <c r="BI307" s="14" t="str">
        <f>IFERROR(AVERAGE(Tabel1[[#This Row],[Up - V3a]:[Up - V3b]]),"")</f>
        <v/>
      </c>
      <c r="BJ307" s="14" t="s">
        <v>189</v>
      </c>
      <c r="BK307" s="14" t="str">
        <f>IFERROR(AVERAGE(Tabel1[[#This Row],[Up - V1]],Tabel1[[#This Row],[Up - V2]],Tabel1[[#This Row],[Up - V3]],Tabel1[[#This Row],[Up - V4]]),"")</f>
        <v/>
      </c>
      <c r="BL307" s="14">
        <v>2</v>
      </c>
      <c r="BM307" s="14">
        <v>2</v>
      </c>
      <c r="BN307" s="14">
        <v>4</v>
      </c>
      <c r="BO307" s="14">
        <v>3</v>
      </c>
      <c r="BP307" s="14">
        <f>IFERROR(AVERAGE(Tabel1[[#This Row],[Up - A1a]:[Up - A1d]]),"")</f>
        <v>2.75</v>
      </c>
      <c r="BQ307" s="14">
        <v>2</v>
      </c>
      <c r="BR307" s="14">
        <v>5</v>
      </c>
      <c r="BS307" s="14">
        <f>IFERROR(AVERAGE(Tabel1[[#This Row],[Up - A2a]:[Up - A2b]]),"")</f>
        <v>3.5</v>
      </c>
      <c r="BT307" s="14">
        <v>5</v>
      </c>
      <c r="BU307" s="14">
        <f>IFERROR(AVERAGE(Tabel1[[#This Row],[Up - A3a]:[Up - A3a]]),"")</f>
        <v>5</v>
      </c>
      <c r="BV307" s="14">
        <v>3</v>
      </c>
      <c r="BW307" s="14">
        <f>IFERROR(AVERAGE(Tabel1[[#This Row],[Up - A1]],Tabel1[[#This Row],[Up - A2]],Tabel1[[#This Row],[Up - A3]]),"")</f>
        <v>3.75</v>
      </c>
      <c r="BX307" s="14">
        <v>2</v>
      </c>
      <c r="BY307" s="14">
        <v>1</v>
      </c>
      <c r="BZ307" s="14">
        <f>IFERROR(AVERAGE(Tabel1[[#This Row],[In - R1a]:[In - R1b]]),"")</f>
        <v>1.5</v>
      </c>
      <c r="CA307" s="14">
        <v>2</v>
      </c>
      <c r="CB307" s="14">
        <v>1</v>
      </c>
      <c r="CC307" s="14">
        <v>1</v>
      </c>
      <c r="CD307" s="14">
        <v>1</v>
      </c>
      <c r="CE307" s="14">
        <f>IFERROR(AVERAGE(Tabel1[[#This Row],[In - R1]:[In - R5]]),"")</f>
        <v>1.3</v>
      </c>
      <c r="CF307" s="14">
        <v>3</v>
      </c>
      <c r="CG307" s="14">
        <v>2</v>
      </c>
      <c r="CH307" s="14">
        <v>2</v>
      </c>
      <c r="CI307" s="14">
        <f>IFERROR(AVERAGE(Tabel1[[#This Row],[In - C1a]:[In - C1c]]),"")</f>
        <v>2.3333333333333335</v>
      </c>
      <c r="CJ307" s="14">
        <v>2</v>
      </c>
      <c r="CK307" s="14">
        <v>1</v>
      </c>
      <c r="CL307" s="14">
        <v>1</v>
      </c>
      <c r="CM307" s="14">
        <f>IFERROR(AVERAGE(Tabel1[[#This Row],[In - C1]:[In - C4]]),"")</f>
        <v>1.5833333333333335</v>
      </c>
      <c r="CN307" s="14">
        <v>4</v>
      </c>
      <c r="CO307" s="14">
        <v>5</v>
      </c>
      <c r="CP307" s="14">
        <v>1</v>
      </c>
      <c r="CQ307" s="14">
        <f>IFERROR(AVERAGE(Tabel1[[#This Row],[In - F1a]:[In - F1c]]),"")</f>
        <v>3.3333333333333335</v>
      </c>
      <c r="CR307" s="14">
        <v>3</v>
      </c>
      <c r="CS307" s="14">
        <v>1</v>
      </c>
      <c r="CT307" s="14">
        <f>IFERROR(AVERAGE(Tabel1[[#This Row],[In - F2a]:[In - F2b]]),"")</f>
        <v>2</v>
      </c>
      <c r="CU307" s="14">
        <v>4</v>
      </c>
      <c r="CV307" s="14">
        <f>IFERROR(AVERAGE(Tabel1[[#This Row],[In - F3a]:[In - F3a]]),"")</f>
        <v>4</v>
      </c>
      <c r="CW307" s="14">
        <v>2</v>
      </c>
      <c r="CX307" s="14">
        <f>IFERROR(AVERAGE(Tabel1[[#This Row],[In - F1]],Tabel1[[#This Row],[In - F2]],Tabel1[[#This Row],[In - F3]],Tabel1[[#This Row],[In - F4]]),"")</f>
        <v>2.8333333333333335</v>
      </c>
      <c r="CY307" s="14" t="s">
        <v>189</v>
      </c>
      <c r="CZ307" s="14" t="s">
        <v>189</v>
      </c>
      <c r="DA307" s="14" t="s">
        <v>189</v>
      </c>
      <c r="DB307" s="14" t="str">
        <f>IFERROR(AVERAGE(Tabel1[[#This Row],[In - V1a]:[In - V1c]]),"")</f>
        <v/>
      </c>
      <c r="DC307" s="14" t="s">
        <v>189</v>
      </c>
      <c r="DD307" s="14" t="s">
        <v>189</v>
      </c>
      <c r="DE307" s="14" t="s">
        <v>189</v>
      </c>
      <c r="DF307" s="14" t="str">
        <f>IFERROR(AVERAGE(Tabel1[[#This Row],[In - V2a]:[In - V2c]]),"")</f>
        <v/>
      </c>
      <c r="DG307" s="14" t="s">
        <v>189</v>
      </c>
      <c r="DH307" s="14" t="s">
        <v>189</v>
      </c>
      <c r="DI307" s="14" t="str">
        <f>IFERROR(AVERAGE(Tabel1[[#This Row],[In - V3a]:[In - V3b]]),"")</f>
        <v/>
      </c>
      <c r="DJ307" s="14" t="s">
        <v>189</v>
      </c>
      <c r="DK307" s="14" t="str">
        <f>IFERROR(AVERAGE(Tabel1[[#This Row],[In - V1]],Tabel1[[#This Row],[In - V2]],Tabel1[[#This Row],[In - V3]],Tabel1[[#This Row],[In - V4]]),"")</f>
        <v/>
      </c>
      <c r="DL307" s="14">
        <v>2</v>
      </c>
      <c r="DM307" s="14">
        <v>2</v>
      </c>
      <c r="DN307" s="14">
        <f>IFERROR(AVERAGE(Tabel1[[#This Row],[In - A1a]:[In - A1b]]),"")</f>
        <v>2</v>
      </c>
      <c r="DO307" s="14" t="s">
        <v>189</v>
      </c>
      <c r="DP307" s="14">
        <v>5</v>
      </c>
      <c r="DQ307" s="14">
        <f>IFERROR(AVERAGE(Tabel1[[#This Row],[In - A2a]:[In - A2b]]),"")</f>
        <v>5</v>
      </c>
      <c r="DR307" s="14">
        <v>5</v>
      </c>
      <c r="DS307" s="14">
        <v>3</v>
      </c>
      <c r="DT307" s="14">
        <f>IFERROR(AVERAGE(Tabel1[[#This Row],[In - A3a]:[In - A3a]]),"")</f>
        <v>5</v>
      </c>
      <c r="DU307" s="14">
        <v>2</v>
      </c>
      <c r="DV307" s="14">
        <f>IFERROR(AVERAGE(Tabel1[[#This Row],[In - A1]],Tabel1[[#This Row],[In - A2]],Tabel1[[#This Row],[In - A3]],Tabel1[[#This Row],[In - A4]]),"")</f>
        <v>3.5</v>
      </c>
      <c r="DW307" s="14">
        <v>1</v>
      </c>
      <c r="DX307" s="14">
        <v>3</v>
      </c>
      <c r="DY307" s="14">
        <v>2</v>
      </c>
      <c r="DZ307" s="14">
        <f>IFERROR(AVERAGE(Tabel1[[#This Row],[Do - R1a]:[Do - R1c]]),"")</f>
        <v>2</v>
      </c>
      <c r="EA307" s="14">
        <v>1</v>
      </c>
      <c r="EB307" s="14">
        <v>4</v>
      </c>
      <c r="EC307" s="14">
        <v>2</v>
      </c>
      <c r="ED307" s="14">
        <v>1</v>
      </c>
      <c r="EE307" s="14">
        <f>IFERROR(AVERAGE(Tabel1[[#This Row],[Do - R1]:[Do - R5]]),"")</f>
        <v>2</v>
      </c>
      <c r="EF307" s="14">
        <v>2</v>
      </c>
      <c r="EG307" s="14">
        <v>3</v>
      </c>
      <c r="EH307" s="14">
        <v>3</v>
      </c>
      <c r="EI307" s="14">
        <f>IFERROR(AVERAGE(Tabel1[[#This Row],[Do - C1a]:[Do - C1c]]),"")</f>
        <v>2.6666666666666665</v>
      </c>
      <c r="EJ307" s="14">
        <v>1</v>
      </c>
      <c r="EK307" s="14">
        <v>1</v>
      </c>
      <c r="EL307" s="14">
        <v>1</v>
      </c>
      <c r="EM307" s="14">
        <f>IFERROR(AVERAGE(Tabel1[[#This Row],[Do - C1]:[Do - C4]]),"")</f>
        <v>1.4166666666666665</v>
      </c>
      <c r="EN307" s="14">
        <v>4</v>
      </c>
      <c r="EO307" s="14">
        <v>1</v>
      </c>
      <c r="EP307" s="14">
        <v>2</v>
      </c>
      <c r="EQ307" s="14">
        <f>IFERROR(AVERAGE(Tabel1[[#This Row],[Do - F1a]:[Do - F1c]]),"")</f>
        <v>2.3333333333333335</v>
      </c>
      <c r="ER307" s="14">
        <v>1</v>
      </c>
      <c r="ES307" s="14">
        <f>IFERROR(AVERAGE(Tabel1[[#This Row],[Do - F2a]:[Do - F2a]]),"")</f>
        <v>1</v>
      </c>
      <c r="ET307" s="14">
        <v>4</v>
      </c>
      <c r="EU307" s="14">
        <v>3</v>
      </c>
      <c r="EV307" s="14">
        <f>IFERROR(AVERAGE(Tabel1[[#This Row],[Do - F3a]:[Do - F3b]]),"")</f>
        <v>3.5</v>
      </c>
      <c r="EW307" s="14">
        <v>4</v>
      </c>
      <c r="EX307" s="14">
        <f>IFERROR(AVERAGE(Tabel1[[#This Row],[Do - F1]],Tabel1[[#This Row],[Do - F2]],Tabel1[[#This Row],[Do - F3]],Tabel1[[#This Row],[Do - F4]]),"")</f>
        <v>2.7083333333333335</v>
      </c>
      <c r="EY307" s="14" t="s">
        <v>189</v>
      </c>
      <c r="EZ307" s="14" t="s">
        <v>189</v>
      </c>
      <c r="FA307" s="14" t="s">
        <v>189</v>
      </c>
      <c r="FB307" s="14" t="str">
        <f>IFERROR(AVERAGE(Tabel1[[#This Row],[Do - V1a]:[Do - V1c]]),"")</f>
        <v/>
      </c>
      <c r="FC307" s="14" t="s">
        <v>189</v>
      </c>
      <c r="FD307" s="14" t="s">
        <v>189</v>
      </c>
      <c r="FE307" s="14" t="str">
        <f>IFERROR(AVERAGE(Tabel1[[#This Row],[Do - V2a]:[Do - V2b]]),"")</f>
        <v/>
      </c>
      <c r="FF307" s="14" t="s">
        <v>189</v>
      </c>
      <c r="FG307" s="14" t="str">
        <f>IFERROR(AVERAGE(Tabel1[[#This Row],[Do - V3a]:[Do - V3a]]),"")</f>
        <v/>
      </c>
      <c r="FH307" s="14" t="s">
        <v>189</v>
      </c>
      <c r="FI307" s="14" t="str">
        <f>IFERROR(AVERAGE(Tabel1[[#This Row],[Do - V1]],Tabel1[[#This Row],[Do - V2]],Tabel1[[#This Row],[Do - V3]],Tabel1[[#This Row],[Do - V4]]),"")</f>
        <v/>
      </c>
      <c r="FJ307" s="14">
        <v>2</v>
      </c>
      <c r="FK307" s="14">
        <v>1</v>
      </c>
      <c r="FL307" s="14">
        <v>4</v>
      </c>
      <c r="FM307" s="14">
        <f>IFERROR(AVERAGE(Tabel1[[#This Row],[Do - A1a]:[Do - A1c]]),"")</f>
        <v>2.3333333333333335</v>
      </c>
      <c r="FN307" s="14">
        <v>5</v>
      </c>
      <c r="FO307" s="14">
        <v>5</v>
      </c>
      <c r="FP307" s="14">
        <f>IFERROR(AVERAGE(Tabel1[[#This Row],[Do - A2a]:[Do - A2b]]),"")</f>
        <v>5</v>
      </c>
      <c r="FQ307" s="14">
        <v>2</v>
      </c>
      <c r="FR307" s="14">
        <f>IFERROR(AVERAGE(Tabel1[[#This Row],[Do - A3a]:[Do - A3a]]),"")</f>
        <v>2</v>
      </c>
      <c r="FS307" s="14">
        <v>2</v>
      </c>
      <c r="FT307" s="14">
        <f>IFERROR(AVERAGE(Tabel1[[#This Row],[Do - A1]],Tabel1[[#This Row],[Do - A2]],Tabel1[[#This Row],[Do - A3]],Tabel1[[#This Row],[Do - A4]]),"")</f>
        <v>2.8333333333333335</v>
      </c>
      <c r="FU30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2.4916666666666667</v>
      </c>
      <c r="FV307" s="27" t="s">
        <v>1606</v>
      </c>
      <c r="FW307" t="b">
        <v>1</v>
      </c>
    </row>
    <row r="308" spans="1:179" x14ac:dyDescent="0.3">
      <c r="A308" s="13">
        <v>45419.567418981504</v>
      </c>
      <c r="B308" t="b">
        <v>0</v>
      </c>
      <c r="C308" s="14" t="s">
        <v>1607</v>
      </c>
      <c r="D308" s="14" t="s">
        <v>1608</v>
      </c>
      <c r="E308" s="14" t="s">
        <v>1609</v>
      </c>
      <c r="F308" s="14" t="s">
        <v>184</v>
      </c>
      <c r="G308" s="14" t="s">
        <v>1610</v>
      </c>
      <c r="H308" s="14" t="s">
        <v>222</v>
      </c>
      <c r="I308" s="14" t="s">
        <v>243</v>
      </c>
      <c r="J308" s="14" t="s">
        <v>248</v>
      </c>
      <c r="K308" s="28" t="s">
        <v>201</v>
      </c>
      <c r="L308" s="14" t="s">
        <v>197</v>
      </c>
      <c r="M308" s="14" t="s">
        <v>198</v>
      </c>
      <c r="N308" s="14" t="s">
        <v>199</v>
      </c>
      <c r="O308" s="14" t="s">
        <v>256</v>
      </c>
      <c r="P308" s="24" t="s">
        <v>255</v>
      </c>
      <c r="Q308" s="17" t="s">
        <v>201</v>
      </c>
      <c r="R308" s="25" t="s">
        <v>187</v>
      </c>
      <c r="S308" s="25" t="s">
        <v>235</v>
      </c>
      <c r="T308" s="14" t="s">
        <v>204</v>
      </c>
      <c r="U308" s="14" t="s">
        <v>349</v>
      </c>
      <c r="V308" s="14" t="s">
        <v>224</v>
      </c>
      <c r="W308" s="14" t="s">
        <v>207</v>
      </c>
      <c r="X308" s="14" t="s">
        <v>207</v>
      </c>
      <c r="Y308" s="14">
        <v>2</v>
      </c>
      <c r="Z308" s="14">
        <v>1</v>
      </c>
      <c r="AA308" s="14">
        <v>2</v>
      </c>
      <c r="AB308" s="15">
        <f>IFERROR(AVERAGE(Tabel1[[#This Row],[Up - R1a]:[Up - R1c]]),"")</f>
        <v>1.6666666666666667</v>
      </c>
      <c r="AC308" s="14">
        <v>2</v>
      </c>
      <c r="AD308" s="14">
        <v>1</v>
      </c>
      <c r="AE308" s="14">
        <v>1</v>
      </c>
      <c r="AF308" s="14">
        <v>1</v>
      </c>
      <c r="AG308" s="14">
        <f>IFERROR(AVERAGE(Tabel1[[#This Row],[Up - R1]:[Up - R5]]),"")</f>
        <v>1.3333333333333335</v>
      </c>
      <c r="AH308" s="14">
        <v>3</v>
      </c>
      <c r="AI308" s="14">
        <v>3</v>
      </c>
      <c r="AJ308" s="14">
        <v>2</v>
      </c>
      <c r="AK308" s="14">
        <f>IFERROR(AVERAGE(Tabel1[[#This Row],[Up - C1a]:[Up - C1c]]),"")</f>
        <v>2.6666666666666665</v>
      </c>
      <c r="AL308" s="14">
        <v>3</v>
      </c>
      <c r="AM308" s="14">
        <v>1</v>
      </c>
      <c r="AN308" s="14">
        <v>2</v>
      </c>
      <c r="AO308" s="14">
        <f>IFERROR(AVERAGE(Tabel1[[#This Row],[Up - C1]:[Up - C4]]),"")</f>
        <v>2.1666666666666665</v>
      </c>
      <c r="AP308" s="14">
        <v>3</v>
      </c>
      <c r="AQ308" s="14">
        <f>IFERROR(AVERAGE(Tabel1[[#This Row],[Up - F1a]:[Up - F1a]]),"")</f>
        <v>3</v>
      </c>
      <c r="AR308" s="14">
        <v>2</v>
      </c>
      <c r="AS308" s="14">
        <v>3</v>
      </c>
      <c r="AT308" s="14">
        <f>IFERROR(AVERAGE(Tabel1[[#This Row],[Up - F2a]:[Up - F2b]]),"")</f>
        <v>2.5</v>
      </c>
      <c r="AU308" s="14">
        <v>2</v>
      </c>
      <c r="AV308" s="14">
        <v>2</v>
      </c>
      <c r="AW308" s="14">
        <f>IFERROR(AVERAGE(Tabel1[[#This Row],[Up - F3a]:[Up - F3b]]),"")</f>
        <v>2</v>
      </c>
      <c r="AX308" s="14">
        <v>2</v>
      </c>
      <c r="AY308" s="14">
        <f>IFERROR(AVERAGE(Tabel1[[#This Row],[Up - F1]],Tabel1[[#This Row],[Up - F2]],Tabel1[[#This Row],[Up - F3]],Tabel1[[#This Row],[Up - F4]]),"")</f>
        <v>2.375</v>
      </c>
      <c r="AZ308" s="14">
        <v>4</v>
      </c>
      <c r="BA308" s="14">
        <v>3</v>
      </c>
      <c r="BB308" s="14">
        <f>IFERROR(AVERAGE(Tabel1[[#This Row],[Up - V1a]:[Up - V1b]]),"")</f>
        <v>3.5</v>
      </c>
      <c r="BC308" s="14">
        <v>3</v>
      </c>
      <c r="BD308" s="14">
        <v>3</v>
      </c>
      <c r="BE308" s="14">
        <v>2</v>
      </c>
      <c r="BF308" s="14">
        <f>IFERROR(AVERAGE(Tabel1[[#This Row],[Up - V2a]:[Up - V2c]]),"")</f>
        <v>2.6666666666666665</v>
      </c>
      <c r="BG308" s="14">
        <v>2</v>
      </c>
      <c r="BH308" s="14">
        <v>2</v>
      </c>
      <c r="BI308" s="14">
        <f>IFERROR(AVERAGE(Tabel1[[#This Row],[Up - V3a]:[Up - V3b]]),"")</f>
        <v>2</v>
      </c>
      <c r="BJ308" s="14">
        <v>3</v>
      </c>
      <c r="BK308" s="14">
        <f>IFERROR(AVERAGE(Tabel1[[#This Row],[Up - V1]],Tabel1[[#This Row],[Up - V2]],Tabel1[[#This Row],[Up - V3]],Tabel1[[#This Row],[Up - V4]]),"")</f>
        <v>2.7916666666666665</v>
      </c>
      <c r="BL308" s="14">
        <v>3</v>
      </c>
      <c r="BM308" s="14">
        <v>3</v>
      </c>
      <c r="BN308" s="14">
        <v>4</v>
      </c>
      <c r="BO308" s="14">
        <v>4</v>
      </c>
      <c r="BP308" s="14">
        <f>IFERROR(AVERAGE(Tabel1[[#This Row],[Up - A1a]:[Up - A1d]]),"")</f>
        <v>3.5</v>
      </c>
      <c r="BQ308" s="14">
        <v>2</v>
      </c>
      <c r="BR308" s="14">
        <v>2</v>
      </c>
      <c r="BS308" s="14">
        <f>IFERROR(AVERAGE(Tabel1[[#This Row],[Up - A2a]:[Up - A2b]]),"")</f>
        <v>2</v>
      </c>
      <c r="BT308" s="14">
        <v>2</v>
      </c>
      <c r="BU308" s="14">
        <f>IFERROR(AVERAGE(Tabel1[[#This Row],[Up - A3a]:[Up - A3a]]),"")</f>
        <v>2</v>
      </c>
      <c r="BV308" s="14">
        <v>2</v>
      </c>
      <c r="BW308" s="14">
        <f>IFERROR(AVERAGE(Tabel1[[#This Row],[Up - A1]],Tabel1[[#This Row],[Up - A2]],Tabel1[[#This Row],[Up - A3]]),"")</f>
        <v>2.5</v>
      </c>
      <c r="BX308" s="14" t="s">
        <v>189</v>
      </c>
      <c r="BY308" s="14" t="s">
        <v>189</v>
      </c>
      <c r="BZ308" s="14" t="str">
        <f>IFERROR(AVERAGE(Tabel1[[#This Row],[In - R1a]:[In - R1b]]),"")</f>
        <v/>
      </c>
      <c r="CA308" s="14">
        <v>2</v>
      </c>
      <c r="CB308" s="14">
        <v>1</v>
      </c>
      <c r="CC308" s="14" t="s">
        <v>189</v>
      </c>
      <c r="CD308" s="14" t="s">
        <v>189</v>
      </c>
      <c r="CE308" s="14">
        <f>IFERROR(AVERAGE(Tabel1[[#This Row],[In - R1]:[In - R5]]),"")</f>
        <v>1.5</v>
      </c>
      <c r="CF308" s="14">
        <v>3</v>
      </c>
      <c r="CG308" s="14">
        <v>3</v>
      </c>
      <c r="CH308" s="14">
        <v>3</v>
      </c>
      <c r="CI308" s="14">
        <f>IFERROR(AVERAGE(Tabel1[[#This Row],[In - C1a]:[In - C1c]]),"")</f>
        <v>3</v>
      </c>
      <c r="CJ308" s="14">
        <v>3</v>
      </c>
      <c r="CK308" s="14">
        <v>3</v>
      </c>
      <c r="CL308" s="14">
        <v>3</v>
      </c>
      <c r="CM308" s="14">
        <f>IFERROR(AVERAGE(Tabel1[[#This Row],[In - C1]:[In - C4]]),"")</f>
        <v>3</v>
      </c>
      <c r="CN308" s="14" t="s">
        <v>189</v>
      </c>
      <c r="CO308" s="14">
        <v>3</v>
      </c>
      <c r="CP308" s="14">
        <v>2</v>
      </c>
      <c r="CQ308" s="14">
        <f>IFERROR(AVERAGE(Tabel1[[#This Row],[In - F1a]:[In - F1c]]),"")</f>
        <v>2.5</v>
      </c>
      <c r="CR308" s="14">
        <v>2</v>
      </c>
      <c r="CS308" s="14">
        <v>2</v>
      </c>
      <c r="CT308" s="14">
        <f>IFERROR(AVERAGE(Tabel1[[#This Row],[In - F2a]:[In - F2b]]),"")</f>
        <v>2</v>
      </c>
      <c r="CU308" s="14">
        <v>2</v>
      </c>
      <c r="CV308" s="14">
        <f>IFERROR(AVERAGE(Tabel1[[#This Row],[In - F3a]:[In - F3a]]),"")</f>
        <v>2</v>
      </c>
      <c r="CW308" s="14">
        <v>2</v>
      </c>
      <c r="CX308" s="14">
        <f>IFERROR(AVERAGE(Tabel1[[#This Row],[In - F1]],Tabel1[[#This Row],[In - F2]],Tabel1[[#This Row],[In - F3]],Tabel1[[#This Row],[In - F4]]),"")</f>
        <v>2.125</v>
      </c>
      <c r="CY308" s="14">
        <v>4</v>
      </c>
      <c r="CZ308" s="14">
        <v>3</v>
      </c>
      <c r="DA308" s="14">
        <v>3</v>
      </c>
      <c r="DB308" s="14">
        <f>IFERROR(AVERAGE(Tabel1[[#This Row],[In - V1a]:[In - V1c]]),"")</f>
        <v>3.3333333333333335</v>
      </c>
      <c r="DC308" s="14">
        <v>4</v>
      </c>
      <c r="DD308" s="14">
        <v>3</v>
      </c>
      <c r="DE308" s="14">
        <v>2</v>
      </c>
      <c r="DF308" s="14">
        <f>IFERROR(AVERAGE(Tabel1[[#This Row],[In - V2a]:[In - V2c]]),"")</f>
        <v>3</v>
      </c>
      <c r="DG308" s="14">
        <v>2</v>
      </c>
      <c r="DH308" s="14">
        <v>2</v>
      </c>
      <c r="DI308" s="14">
        <f>IFERROR(AVERAGE(Tabel1[[#This Row],[In - V3a]:[In - V3b]]),"")</f>
        <v>2</v>
      </c>
      <c r="DJ308" s="14">
        <v>3</v>
      </c>
      <c r="DK308" s="14">
        <f>IFERROR(AVERAGE(Tabel1[[#This Row],[In - V1]],Tabel1[[#This Row],[In - V2]],Tabel1[[#This Row],[In - V3]],Tabel1[[#This Row],[In - V4]]),"")</f>
        <v>2.8333333333333335</v>
      </c>
      <c r="DL308" s="14">
        <v>3</v>
      </c>
      <c r="DM308" s="14">
        <v>3</v>
      </c>
      <c r="DN308" s="14">
        <f>IFERROR(AVERAGE(Tabel1[[#This Row],[In - A1a]:[In - A1b]]),"")</f>
        <v>3</v>
      </c>
      <c r="DO308" s="14">
        <v>3</v>
      </c>
      <c r="DP308" s="14">
        <v>4</v>
      </c>
      <c r="DQ308" s="14">
        <f>IFERROR(AVERAGE(Tabel1[[#This Row],[In - A2a]:[In - A2b]]),"")</f>
        <v>3.5</v>
      </c>
      <c r="DR308" s="14">
        <v>3</v>
      </c>
      <c r="DS308" s="14">
        <v>2</v>
      </c>
      <c r="DT308" s="14">
        <f>IFERROR(AVERAGE(Tabel1[[#This Row],[In - A3a]:[In - A3a]]),"")</f>
        <v>3</v>
      </c>
      <c r="DU308" s="14">
        <v>3</v>
      </c>
      <c r="DV308" s="14">
        <f>IFERROR(AVERAGE(Tabel1[[#This Row],[In - A1]],Tabel1[[#This Row],[In - A2]],Tabel1[[#This Row],[In - A3]],Tabel1[[#This Row],[In - A4]]),"")</f>
        <v>3.125</v>
      </c>
      <c r="DW308" s="14">
        <v>2</v>
      </c>
      <c r="DX308" s="14">
        <v>2</v>
      </c>
      <c r="DY308" s="14">
        <v>2</v>
      </c>
      <c r="DZ308" s="14">
        <f>IFERROR(AVERAGE(Tabel1[[#This Row],[Do - R1a]:[Do - R1c]]),"")</f>
        <v>2</v>
      </c>
      <c r="EA308" s="14" t="s">
        <v>189</v>
      </c>
      <c r="EB308" s="14">
        <v>1</v>
      </c>
      <c r="EC308" s="14">
        <v>1</v>
      </c>
      <c r="ED308" s="14">
        <v>1</v>
      </c>
      <c r="EE308" s="14">
        <f>IFERROR(AVERAGE(Tabel1[[#This Row],[Do - R1]:[Do - R5]]),"")</f>
        <v>1.25</v>
      </c>
      <c r="EF308" s="14">
        <v>3</v>
      </c>
      <c r="EG308" s="14">
        <v>3</v>
      </c>
      <c r="EH308" s="14">
        <v>2</v>
      </c>
      <c r="EI308" s="14">
        <f>IFERROR(AVERAGE(Tabel1[[#This Row],[Do - C1a]:[Do - C1c]]),"")</f>
        <v>2.6666666666666665</v>
      </c>
      <c r="EJ308" s="14" t="s">
        <v>189</v>
      </c>
      <c r="EK308" s="14">
        <v>1</v>
      </c>
      <c r="EL308" s="14">
        <v>1</v>
      </c>
      <c r="EM308" s="14">
        <f>IFERROR(AVERAGE(Tabel1[[#This Row],[Do - C1]:[Do - C4]]),"")</f>
        <v>1.5555555555555554</v>
      </c>
      <c r="EN308" s="14">
        <v>1</v>
      </c>
      <c r="EO308" s="14">
        <v>2</v>
      </c>
      <c r="EP308" s="14">
        <v>1</v>
      </c>
      <c r="EQ308" s="14">
        <f>IFERROR(AVERAGE(Tabel1[[#This Row],[Do - F1a]:[Do - F1c]]),"")</f>
        <v>1.3333333333333333</v>
      </c>
      <c r="ER308" s="14">
        <v>3</v>
      </c>
      <c r="ES308" s="14">
        <f>IFERROR(AVERAGE(Tabel1[[#This Row],[Do - F2a]:[Do - F2a]]),"")</f>
        <v>3</v>
      </c>
      <c r="ET308" s="14">
        <v>1</v>
      </c>
      <c r="EU308" s="14">
        <v>1</v>
      </c>
      <c r="EV308" s="14">
        <f>IFERROR(AVERAGE(Tabel1[[#This Row],[Do - F3a]:[Do - F3b]]),"")</f>
        <v>1</v>
      </c>
      <c r="EW308" s="14">
        <v>2</v>
      </c>
      <c r="EX308" s="14">
        <f>IFERROR(AVERAGE(Tabel1[[#This Row],[Do - F1]],Tabel1[[#This Row],[Do - F2]],Tabel1[[#This Row],[Do - F3]],Tabel1[[#This Row],[Do - F4]]),"")</f>
        <v>1.8333333333333333</v>
      </c>
      <c r="EY308" s="14">
        <v>2</v>
      </c>
      <c r="EZ308" s="14" t="s">
        <v>189</v>
      </c>
      <c r="FA308" s="14">
        <v>2</v>
      </c>
      <c r="FB308" s="14">
        <f>IFERROR(AVERAGE(Tabel1[[#This Row],[Do - V1a]:[Do - V1c]]),"")</f>
        <v>2</v>
      </c>
      <c r="FC308" s="14">
        <v>5</v>
      </c>
      <c r="FD308" s="14">
        <v>2</v>
      </c>
      <c r="FE308" s="14">
        <f>IFERROR(AVERAGE(Tabel1[[#This Row],[Do - V2a]:[Do - V2b]]),"")</f>
        <v>3.5</v>
      </c>
      <c r="FF308" s="14" t="s">
        <v>189</v>
      </c>
      <c r="FG308" s="14" t="str">
        <f>IFERROR(AVERAGE(Tabel1[[#This Row],[Do - V3a]:[Do - V3a]]),"")</f>
        <v/>
      </c>
      <c r="FH308" s="14">
        <v>2</v>
      </c>
      <c r="FI308" s="14">
        <f>IFERROR(AVERAGE(Tabel1[[#This Row],[Do - V1]],Tabel1[[#This Row],[Do - V2]],Tabel1[[#This Row],[Do - V3]],Tabel1[[#This Row],[Do - V4]]),"")</f>
        <v>2.5</v>
      </c>
      <c r="FJ308" s="14">
        <v>2</v>
      </c>
      <c r="FK308" s="14">
        <v>3</v>
      </c>
      <c r="FL308" s="14">
        <v>5</v>
      </c>
      <c r="FM308" s="14">
        <f>IFERROR(AVERAGE(Tabel1[[#This Row],[Do - A1a]:[Do - A1c]]),"")</f>
        <v>3.3333333333333335</v>
      </c>
      <c r="FN308" s="14" t="s">
        <v>189</v>
      </c>
      <c r="FO308" s="14">
        <v>2</v>
      </c>
      <c r="FP308" s="14">
        <f>IFERROR(AVERAGE(Tabel1[[#This Row],[Do - A2a]:[Do - A2b]]),"")</f>
        <v>2</v>
      </c>
      <c r="FQ308" s="14">
        <v>2</v>
      </c>
      <c r="FR308" s="14">
        <f>IFERROR(AVERAGE(Tabel1[[#This Row],[Do - A3a]:[Do - A3a]]),"")</f>
        <v>2</v>
      </c>
      <c r="FS308" s="14">
        <v>3</v>
      </c>
      <c r="FT308" s="14">
        <f>IFERROR(AVERAGE(Tabel1[[#This Row],[Do - A1]],Tabel1[[#This Row],[Do - A2]],Tabel1[[#This Row],[Do - A3]],Tabel1[[#This Row],[Do - A4]]),"")</f>
        <v>2.5833333333333335</v>
      </c>
      <c r="FU30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2.231481481481481</v>
      </c>
      <c r="FV308" s="27" t="s">
        <v>1611</v>
      </c>
      <c r="FW308" t="b">
        <v>1</v>
      </c>
    </row>
    <row r="309" spans="1:179" x14ac:dyDescent="0.3">
      <c r="A309" s="13">
        <v>45420.285416666702</v>
      </c>
      <c r="B309" t="b">
        <v>0</v>
      </c>
      <c r="C309" s="14" t="s">
        <v>1612</v>
      </c>
      <c r="D309" s="14" t="s">
        <v>1613</v>
      </c>
      <c r="E309" s="14" t="s">
        <v>1614</v>
      </c>
      <c r="F309" s="14" t="s">
        <v>184</v>
      </c>
      <c r="G309" s="14" t="s">
        <v>1615</v>
      </c>
      <c r="H309" s="14" t="s">
        <v>222</v>
      </c>
      <c r="I309" s="14"/>
      <c r="J309" s="14"/>
      <c r="K309" s="28"/>
      <c r="L309" s="14"/>
      <c r="M309" s="14"/>
      <c r="N309" s="14"/>
      <c r="O309" s="14"/>
      <c r="P309" s="25"/>
      <c r="Q309" s="17"/>
      <c r="R309" s="25"/>
      <c r="S309" s="25"/>
      <c r="T309" s="14"/>
      <c r="U309" s="14"/>
      <c r="V309" s="14"/>
      <c r="W309" s="14"/>
      <c r="X309" s="14"/>
      <c r="Y309" s="14">
        <v>3</v>
      </c>
      <c r="Z309" s="14">
        <v>2</v>
      </c>
      <c r="AA309" s="14" t="s">
        <v>189</v>
      </c>
      <c r="AB309" s="15">
        <f>IFERROR(AVERAGE(Tabel1[[#This Row],[Up - R1a]:[Up - R1c]]),"")</f>
        <v>2.5</v>
      </c>
      <c r="AC309" s="14">
        <v>3</v>
      </c>
      <c r="AD309" s="14">
        <v>5</v>
      </c>
      <c r="AE309" s="14" t="s">
        <v>189</v>
      </c>
      <c r="AF309" s="14" t="s">
        <v>189</v>
      </c>
      <c r="AG309" s="14">
        <f>IFERROR(AVERAGE(Tabel1[[#This Row],[Up - R1]:[Up - R5]]),"")</f>
        <v>3.5</v>
      </c>
      <c r="AH309" s="14">
        <v>3</v>
      </c>
      <c r="AI309" s="14">
        <v>4</v>
      </c>
      <c r="AJ309" s="14">
        <v>3</v>
      </c>
      <c r="AK309" s="14">
        <f>IFERROR(AVERAGE(Tabel1[[#This Row],[Up - C1a]:[Up - C1c]]),"")</f>
        <v>3.3333333333333335</v>
      </c>
      <c r="AL309" s="14">
        <v>3</v>
      </c>
      <c r="AM309" s="14">
        <v>4</v>
      </c>
      <c r="AN309" s="14" t="s">
        <v>189</v>
      </c>
      <c r="AO309" s="14">
        <f>IFERROR(AVERAGE(Tabel1[[#This Row],[Up - C1]:[Up - C4]]),"")</f>
        <v>3.4444444444444446</v>
      </c>
      <c r="AP309" s="14">
        <v>2</v>
      </c>
      <c r="AQ309" s="14">
        <f>IFERROR(AVERAGE(Tabel1[[#This Row],[Up - F1a]:[Up - F1a]]),"")</f>
        <v>2</v>
      </c>
      <c r="AR309" s="14">
        <v>2</v>
      </c>
      <c r="AS309" s="14">
        <v>3</v>
      </c>
      <c r="AT309" s="14">
        <f>IFERROR(AVERAGE(Tabel1[[#This Row],[Up - F2a]:[Up - F2b]]),"")</f>
        <v>2.5</v>
      </c>
      <c r="AU309" s="14">
        <v>4</v>
      </c>
      <c r="AV309" s="14">
        <v>3</v>
      </c>
      <c r="AW309" s="14">
        <f>IFERROR(AVERAGE(Tabel1[[#This Row],[Up - F3a]:[Up - F3b]]),"")</f>
        <v>3.5</v>
      </c>
      <c r="AX309" s="14" t="s">
        <v>189</v>
      </c>
      <c r="AY309" s="14">
        <f>IFERROR(AVERAGE(Tabel1[[#This Row],[Up - F1]],Tabel1[[#This Row],[Up - F2]],Tabel1[[#This Row],[Up - F3]],Tabel1[[#This Row],[Up - F4]]),"")</f>
        <v>2.6666666666666665</v>
      </c>
      <c r="AZ309" s="14">
        <v>3</v>
      </c>
      <c r="BA309" s="14">
        <v>3</v>
      </c>
      <c r="BB309" s="14">
        <f>IFERROR(AVERAGE(Tabel1[[#This Row],[Up - V1a]:[Up - V1b]]),"")</f>
        <v>3</v>
      </c>
      <c r="BC309" s="14" t="s">
        <v>189</v>
      </c>
      <c r="BD309" s="14">
        <v>3</v>
      </c>
      <c r="BE309" s="14">
        <v>2</v>
      </c>
      <c r="BF309" s="14">
        <f>IFERROR(AVERAGE(Tabel1[[#This Row],[Up - V2a]:[Up - V2c]]),"")</f>
        <v>2.5</v>
      </c>
      <c r="BG309" s="14">
        <v>2</v>
      </c>
      <c r="BH309" s="14">
        <v>2</v>
      </c>
      <c r="BI309" s="14">
        <f>IFERROR(AVERAGE(Tabel1[[#This Row],[Up - V3a]:[Up - V3b]]),"")</f>
        <v>2</v>
      </c>
      <c r="BJ309" s="14" t="s">
        <v>189</v>
      </c>
      <c r="BK309" s="14">
        <f>IFERROR(AVERAGE(Tabel1[[#This Row],[Up - V1]],Tabel1[[#This Row],[Up - V2]],Tabel1[[#This Row],[Up - V3]],Tabel1[[#This Row],[Up - V4]]),"")</f>
        <v>2.5</v>
      </c>
      <c r="BL309" s="14">
        <v>3</v>
      </c>
      <c r="BM309" s="14">
        <v>2</v>
      </c>
      <c r="BN309" s="14" t="s">
        <v>189</v>
      </c>
      <c r="BO309" s="14" t="s">
        <v>189</v>
      </c>
      <c r="BP309" s="14">
        <f>IFERROR(AVERAGE(Tabel1[[#This Row],[Up - A1a]:[Up - A1d]]),"")</f>
        <v>2.5</v>
      </c>
      <c r="BQ309" s="14" t="s">
        <v>189</v>
      </c>
      <c r="BR309" s="14" t="s">
        <v>189</v>
      </c>
      <c r="BS309" s="14" t="str">
        <f>IFERROR(AVERAGE(Tabel1[[#This Row],[Up - A2a]:[Up - A2b]]),"")</f>
        <v/>
      </c>
      <c r="BT309" s="14" t="s">
        <v>189</v>
      </c>
      <c r="BU309" s="14" t="str">
        <f>IFERROR(AVERAGE(Tabel1[[#This Row],[Up - A3a]:[Up - A3a]]),"")</f>
        <v/>
      </c>
      <c r="BV309" s="14" t="s">
        <v>189</v>
      </c>
      <c r="BW309" s="14">
        <f>IFERROR(AVERAGE(Tabel1[[#This Row],[Up - A1]],Tabel1[[#This Row],[Up - A2]],Tabel1[[#This Row],[Up - A3]]),"")</f>
        <v>2.5</v>
      </c>
      <c r="BX309" s="14">
        <v>3</v>
      </c>
      <c r="BY309" s="14">
        <v>4</v>
      </c>
      <c r="BZ309" s="14">
        <f>IFERROR(AVERAGE(Tabel1[[#This Row],[In - R1a]:[In - R1b]]),"")</f>
        <v>3.5</v>
      </c>
      <c r="CA309" s="14">
        <v>3</v>
      </c>
      <c r="CB309" s="14">
        <v>5</v>
      </c>
      <c r="CC309" s="14" t="s">
        <v>189</v>
      </c>
      <c r="CD309" s="14" t="s">
        <v>189</v>
      </c>
      <c r="CE309" s="14">
        <f>IFERROR(AVERAGE(Tabel1[[#This Row],[In - R1]:[In - R5]]),"")</f>
        <v>3.8333333333333335</v>
      </c>
      <c r="CF309" s="14">
        <v>4</v>
      </c>
      <c r="CG309" s="14">
        <v>4</v>
      </c>
      <c r="CH309" s="14">
        <v>5</v>
      </c>
      <c r="CI309" s="14">
        <f>IFERROR(AVERAGE(Tabel1[[#This Row],[In - C1a]:[In - C1c]]),"")</f>
        <v>4.333333333333333</v>
      </c>
      <c r="CJ309" s="14">
        <v>3</v>
      </c>
      <c r="CK309" s="14">
        <v>3</v>
      </c>
      <c r="CL309" s="14" t="s">
        <v>189</v>
      </c>
      <c r="CM309" s="14">
        <f>IFERROR(AVERAGE(Tabel1[[#This Row],[In - C1]:[In - C4]]),"")</f>
        <v>3.4444444444444442</v>
      </c>
      <c r="CN309" s="14">
        <v>3</v>
      </c>
      <c r="CO309" s="14">
        <v>2</v>
      </c>
      <c r="CP309" s="14" t="s">
        <v>189</v>
      </c>
      <c r="CQ309" s="14">
        <f>IFERROR(AVERAGE(Tabel1[[#This Row],[In - F1a]:[In - F1c]]),"")</f>
        <v>2.5</v>
      </c>
      <c r="CR309" s="14" t="s">
        <v>189</v>
      </c>
      <c r="CS309" s="14" t="s">
        <v>189</v>
      </c>
      <c r="CT309" s="14" t="str">
        <f>IFERROR(AVERAGE(Tabel1[[#This Row],[In - F2a]:[In - F2b]]),"")</f>
        <v/>
      </c>
      <c r="CU309" s="14">
        <v>3</v>
      </c>
      <c r="CV309" s="14">
        <f>IFERROR(AVERAGE(Tabel1[[#This Row],[In - F3a]:[In - F3a]]),"")</f>
        <v>3</v>
      </c>
      <c r="CW309" s="14" t="s">
        <v>189</v>
      </c>
      <c r="CX309" s="14">
        <f>IFERROR(AVERAGE(Tabel1[[#This Row],[In - F1]],Tabel1[[#This Row],[In - F2]],Tabel1[[#This Row],[In - F3]],Tabel1[[#This Row],[In - F4]]),"")</f>
        <v>2.75</v>
      </c>
      <c r="CY309" s="14">
        <v>4</v>
      </c>
      <c r="CZ309" s="14">
        <v>4</v>
      </c>
      <c r="DA309" s="14">
        <v>3</v>
      </c>
      <c r="DB309" s="14">
        <f>IFERROR(AVERAGE(Tabel1[[#This Row],[In - V1a]:[In - V1c]]),"")</f>
        <v>3.6666666666666665</v>
      </c>
      <c r="DC309" s="14">
        <v>2</v>
      </c>
      <c r="DD309" s="14">
        <v>3</v>
      </c>
      <c r="DE309" s="14">
        <v>1</v>
      </c>
      <c r="DF309" s="14">
        <f>IFERROR(AVERAGE(Tabel1[[#This Row],[In - V2a]:[In - V2c]]),"")</f>
        <v>2</v>
      </c>
      <c r="DG309" s="14">
        <v>4</v>
      </c>
      <c r="DH309" s="14">
        <v>2</v>
      </c>
      <c r="DI309" s="14">
        <f>IFERROR(AVERAGE(Tabel1[[#This Row],[In - V3a]:[In - V3b]]),"")</f>
        <v>3</v>
      </c>
      <c r="DJ309" s="14" t="s">
        <v>189</v>
      </c>
      <c r="DK309" s="14">
        <f>IFERROR(AVERAGE(Tabel1[[#This Row],[In - V1]],Tabel1[[#This Row],[In - V2]],Tabel1[[#This Row],[In - V3]],Tabel1[[#This Row],[In - V4]]),"")</f>
        <v>2.8888888888888888</v>
      </c>
      <c r="DL309" s="14">
        <v>2</v>
      </c>
      <c r="DM309" s="14">
        <v>3</v>
      </c>
      <c r="DN309" s="14">
        <f>IFERROR(AVERAGE(Tabel1[[#This Row],[In - A1a]:[In - A1b]]),"")</f>
        <v>2.5</v>
      </c>
      <c r="DO309" s="14" t="s">
        <v>189</v>
      </c>
      <c r="DP309" s="14">
        <v>4</v>
      </c>
      <c r="DQ309" s="14">
        <f>IFERROR(AVERAGE(Tabel1[[#This Row],[In - A2a]:[In - A2b]]),"")</f>
        <v>4</v>
      </c>
      <c r="DR309" s="14">
        <v>4</v>
      </c>
      <c r="DS309" s="14">
        <v>3</v>
      </c>
      <c r="DT309" s="14">
        <f>IFERROR(AVERAGE(Tabel1[[#This Row],[In - A3a]:[In - A3a]]),"")</f>
        <v>4</v>
      </c>
      <c r="DU309" s="14" t="s">
        <v>189</v>
      </c>
      <c r="DV309" s="14">
        <f>IFERROR(AVERAGE(Tabel1[[#This Row],[In - A1]],Tabel1[[#This Row],[In - A2]],Tabel1[[#This Row],[In - A3]],Tabel1[[#This Row],[In - A4]]),"")</f>
        <v>3.5</v>
      </c>
      <c r="DW309" s="14" t="s">
        <v>189</v>
      </c>
      <c r="DX309" s="14">
        <v>5</v>
      </c>
      <c r="DY309" s="14" t="s">
        <v>189</v>
      </c>
      <c r="DZ309" s="14">
        <f>IFERROR(AVERAGE(Tabel1[[#This Row],[Do - R1a]:[Do - R1c]]),"")</f>
        <v>5</v>
      </c>
      <c r="EA309" s="14" t="s">
        <v>189</v>
      </c>
      <c r="EB309" s="14">
        <v>5</v>
      </c>
      <c r="EC309" s="14" t="s">
        <v>189</v>
      </c>
      <c r="ED309" s="14" t="s">
        <v>189</v>
      </c>
      <c r="EE309" s="14">
        <f>IFERROR(AVERAGE(Tabel1[[#This Row],[Do - R1]:[Do - R5]]),"")</f>
        <v>5</v>
      </c>
      <c r="EF309" s="14">
        <v>2</v>
      </c>
      <c r="EG309" s="14">
        <v>4</v>
      </c>
      <c r="EH309" s="14">
        <v>3</v>
      </c>
      <c r="EI309" s="14">
        <f>IFERROR(AVERAGE(Tabel1[[#This Row],[Do - C1a]:[Do - C1c]]),"")</f>
        <v>3</v>
      </c>
      <c r="EJ309" s="14" t="s">
        <v>189</v>
      </c>
      <c r="EK309" s="14">
        <v>4</v>
      </c>
      <c r="EL309" s="14" t="s">
        <v>189</v>
      </c>
      <c r="EM309" s="14">
        <f>IFERROR(AVERAGE(Tabel1[[#This Row],[Do - C1]:[Do - C4]]),"")</f>
        <v>3.5</v>
      </c>
      <c r="EN309" s="14" t="s">
        <v>189</v>
      </c>
      <c r="EO309" s="14" t="s">
        <v>189</v>
      </c>
      <c r="EP309" s="14">
        <v>3</v>
      </c>
      <c r="EQ309" s="14">
        <f>IFERROR(AVERAGE(Tabel1[[#This Row],[Do - F1a]:[Do - F1c]]),"")</f>
        <v>3</v>
      </c>
      <c r="ER309" s="14" t="s">
        <v>189</v>
      </c>
      <c r="ES309" s="14" t="str">
        <f>IFERROR(AVERAGE(Tabel1[[#This Row],[Do - F2a]:[Do - F2a]]),"")</f>
        <v/>
      </c>
      <c r="ET309" s="14">
        <v>3</v>
      </c>
      <c r="EU309" s="14" t="s">
        <v>189</v>
      </c>
      <c r="EV309" s="14">
        <f>IFERROR(AVERAGE(Tabel1[[#This Row],[Do - F3a]:[Do - F3b]]),"")</f>
        <v>3</v>
      </c>
      <c r="EW309" s="14" t="s">
        <v>189</v>
      </c>
      <c r="EX309" s="14">
        <f>IFERROR(AVERAGE(Tabel1[[#This Row],[Do - F1]],Tabel1[[#This Row],[Do - F2]],Tabel1[[#This Row],[Do - F3]],Tabel1[[#This Row],[Do - F4]]),"")</f>
        <v>3</v>
      </c>
      <c r="EY309" s="14">
        <v>3</v>
      </c>
      <c r="EZ309" s="14">
        <v>3</v>
      </c>
      <c r="FA309" s="14">
        <v>2</v>
      </c>
      <c r="FB309" s="14">
        <f>IFERROR(AVERAGE(Tabel1[[#This Row],[Do - V1a]:[Do - V1c]]),"")</f>
        <v>2.6666666666666665</v>
      </c>
      <c r="FC309" s="14" t="s">
        <v>189</v>
      </c>
      <c r="FD309" s="14">
        <v>5</v>
      </c>
      <c r="FE309" s="14">
        <f>IFERROR(AVERAGE(Tabel1[[#This Row],[Do - V2a]:[Do - V2b]]),"")</f>
        <v>5</v>
      </c>
      <c r="FF309" s="14" t="s">
        <v>189</v>
      </c>
      <c r="FG309" s="14" t="str">
        <f>IFERROR(AVERAGE(Tabel1[[#This Row],[Do - V3a]:[Do - V3a]]),"")</f>
        <v/>
      </c>
      <c r="FH309" s="14" t="s">
        <v>189</v>
      </c>
      <c r="FI309" s="14">
        <f>IFERROR(AVERAGE(Tabel1[[#This Row],[Do - V1]],Tabel1[[#This Row],[Do - V2]],Tabel1[[#This Row],[Do - V3]],Tabel1[[#This Row],[Do - V4]]),"")</f>
        <v>3.833333333333333</v>
      </c>
      <c r="FJ309" s="14">
        <v>3</v>
      </c>
      <c r="FK309" s="14" t="s">
        <v>189</v>
      </c>
      <c r="FL309" s="14" t="s">
        <v>189</v>
      </c>
      <c r="FM309" s="14">
        <f>IFERROR(AVERAGE(Tabel1[[#This Row],[Do - A1a]:[Do - A1c]]),"")</f>
        <v>3</v>
      </c>
      <c r="FN309" s="14">
        <v>3</v>
      </c>
      <c r="FO309" s="14">
        <v>3</v>
      </c>
      <c r="FP309" s="14">
        <f>IFERROR(AVERAGE(Tabel1[[#This Row],[Do - A2a]:[Do - A2b]]),"")</f>
        <v>3</v>
      </c>
      <c r="FQ309" s="14">
        <v>2</v>
      </c>
      <c r="FR309" s="14">
        <f>IFERROR(AVERAGE(Tabel1[[#This Row],[Do - A3a]:[Do - A3a]]),"")</f>
        <v>2</v>
      </c>
      <c r="FS309" s="14" t="s">
        <v>189</v>
      </c>
      <c r="FT309" s="14">
        <f>IFERROR(AVERAGE(Tabel1[[#This Row],[Do - A1]],Tabel1[[#This Row],[Do - A2]],Tabel1[[#This Row],[Do - A3]],Tabel1[[#This Row],[Do - A4]]),"")</f>
        <v>2.6666666666666665</v>
      </c>
      <c r="FU30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3.2685185185185182</v>
      </c>
      <c r="FV309" s="27" t="s">
        <v>1616</v>
      </c>
      <c r="FW309" t="b">
        <v>1</v>
      </c>
    </row>
    <row r="310" spans="1:179" x14ac:dyDescent="0.3">
      <c r="A310" s="13">
        <v>45420.285578703697</v>
      </c>
      <c r="B310" t="b">
        <v>0</v>
      </c>
      <c r="C310" s="14" t="s">
        <v>1617</v>
      </c>
      <c r="D310" s="14" t="s">
        <v>215</v>
      </c>
      <c r="E310" s="14" t="s">
        <v>1618</v>
      </c>
      <c r="F310" s="14" t="s">
        <v>184</v>
      </c>
      <c r="G310" s="14" t="s">
        <v>1619</v>
      </c>
      <c r="H310" s="14" t="s">
        <v>194</v>
      </c>
      <c r="I310" s="14" t="s">
        <v>195</v>
      </c>
      <c r="J310" s="14" t="s">
        <v>261</v>
      </c>
      <c r="K310" s="28" t="s">
        <v>202</v>
      </c>
      <c r="L310" s="14" t="s">
        <v>218</v>
      </c>
      <c r="M310" s="14" t="s">
        <v>188</v>
      </c>
      <c r="N310" s="14" t="s">
        <v>199</v>
      </c>
      <c r="O310" s="14" t="s">
        <v>200</v>
      </c>
      <c r="P310" s="24" t="s">
        <v>304</v>
      </c>
      <c r="Q310" s="17" t="s">
        <v>203</v>
      </c>
      <c r="R310" s="25" t="s">
        <v>201</v>
      </c>
      <c r="S310" s="25" t="s">
        <v>202</v>
      </c>
      <c r="T310" s="14" t="s">
        <v>236</v>
      </c>
      <c r="U310" s="14" t="s">
        <v>285</v>
      </c>
      <c r="V310" s="14" t="s">
        <v>359</v>
      </c>
      <c r="W310" s="14" t="s">
        <v>395</v>
      </c>
      <c r="X310" s="14" t="s">
        <v>207</v>
      </c>
      <c r="Y310" s="14">
        <v>2</v>
      </c>
      <c r="Z310" s="14">
        <v>2</v>
      </c>
      <c r="AA310" s="14">
        <v>3</v>
      </c>
      <c r="AB310" s="15">
        <f>IFERROR(AVERAGE(Tabel1[[#This Row],[Up - R1a]:[Up - R1c]]),"")</f>
        <v>2.3333333333333335</v>
      </c>
      <c r="AC310" s="14">
        <v>4</v>
      </c>
      <c r="AD310" s="14">
        <v>2</v>
      </c>
      <c r="AE310" s="14">
        <v>3</v>
      </c>
      <c r="AF310" s="14">
        <v>3</v>
      </c>
      <c r="AG310" s="14">
        <f>IFERROR(AVERAGE(Tabel1[[#This Row],[Up - R1]:[Up - R5]]),"")</f>
        <v>2.8666666666666667</v>
      </c>
      <c r="AH310" s="14">
        <v>2</v>
      </c>
      <c r="AI310" s="14">
        <v>3</v>
      </c>
      <c r="AJ310" s="14">
        <v>3</v>
      </c>
      <c r="AK310" s="14">
        <f>IFERROR(AVERAGE(Tabel1[[#This Row],[Up - C1a]:[Up - C1c]]),"")</f>
        <v>2.6666666666666665</v>
      </c>
      <c r="AL310" s="14">
        <v>2</v>
      </c>
      <c r="AM310" s="14">
        <v>1</v>
      </c>
      <c r="AN310" s="14">
        <v>2</v>
      </c>
      <c r="AO310" s="14">
        <f>IFERROR(AVERAGE(Tabel1[[#This Row],[Up - C1]:[Up - C4]]),"")</f>
        <v>1.9166666666666665</v>
      </c>
      <c r="AP310" s="14">
        <v>3</v>
      </c>
      <c r="AQ310" s="14">
        <f>IFERROR(AVERAGE(Tabel1[[#This Row],[Up - F1a]:[Up - F1a]]),"")</f>
        <v>3</v>
      </c>
      <c r="AR310" s="14">
        <v>1</v>
      </c>
      <c r="AS310" s="14">
        <v>3</v>
      </c>
      <c r="AT310" s="14">
        <f>IFERROR(AVERAGE(Tabel1[[#This Row],[Up - F2a]:[Up - F2b]]),"")</f>
        <v>2</v>
      </c>
      <c r="AU310" s="14">
        <v>2</v>
      </c>
      <c r="AV310" s="14">
        <v>2</v>
      </c>
      <c r="AW310" s="14">
        <f>IFERROR(AVERAGE(Tabel1[[#This Row],[Up - F3a]:[Up - F3b]]),"")</f>
        <v>2</v>
      </c>
      <c r="AX310" s="14">
        <v>3</v>
      </c>
      <c r="AY310" s="14">
        <f>IFERROR(AVERAGE(Tabel1[[#This Row],[Up - F1]],Tabel1[[#This Row],[Up - F2]],Tabel1[[#This Row],[Up - F3]],Tabel1[[#This Row],[Up - F4]]),"")</f>
        <v>2.5</v>
      </c>
      <c r="AZ310" s="14">
        <v>2</v>
      </c>
      <c r="BA310" s="14">
        <v>4</v>
      </c>
      <c r="BB310" s="14">
        <f>IFERROR(AVERAGE(Tabel1[[#This Row],[Up - V1a]:[Up - V1b]]),"")</f>
        <v>3</v>
      </c>
      <c r="BC310" s="14">
        <v>1</v>
      </c>
      <c r="BD310" s="14">
        <v>2</v>
      </c>
      <c r="BE310" s="14">
        <v>1</v>
      </c>
      <c r="BF310" s="14">
        <f>IFERROR(AVERAGE(Tabel1[[#This Row],[Up - V2a]:[Up - V2c]]),"")</f>
        <v>1.3333333333333333</v>
      </c>
      <c r="BG310" s="14">
        <v>1</v>
      </c>
      <c r="BH310" s="14">
        <v>3</v>
      </c>
      <c r="BI310" s="14">
        <f>IFERROR(AVERAGE(Tabel1[[#This Row],[Up - V3a]:[Up - V3b]]),"")</f>
        <v>2</v>
      </c>
      <c r="BJ310" s="14">
        <v>2</v>
      </c>
      <c r="BK310" s="14">
        <f>IFERROR(AVERAGE(Tabel1[[#This Row],[Up - V1]],Tabel1[[#This Row],[Up - V2]],Tabel1[[#This Row],[Up - V3]],Tabel1[[#This Row],[Up - V4]]),"")</f>
        <v>2.083333333333333</v>
      </c>
      <c r="BL310" s="14">
        <v>4</v>
      </c>
      <c r="BM310" s="14">
        <v>3</v>
      </c>
      <c r="BN310" s="14">
        <v>3</v>
      </c>
      <c r="BO310" s="14">
        <v>4</v>
      </c>
      <c r="BP310" s="14">
        <f>IFERROR(AVERAGE(Tabel1[[#This Row],[Up - A1a]:[Up - A1d]]),"")</f>
        <v>3.5</v>
      </c>
      <c r="BQ310" s="14">
        <v>4</v>
      </c>
      <c r="BR310" s="14">
        <v>3</v>
      </c>
      <c r="BS310" s="14">
        <f>IFERROR(AVERAGE(Tabel1[[#This Row],[Up - A2a]:[Up - A2b]]),"")</f>
        <v>3.5</v>
      </c>
      <c r="BT310" s="14">
        <v>4</v>
      </c>
      <c r="BU310" s="14">
        <f>IFERROR(AVERAGE(Tabel1[[#This Row],[Up - A3a]:[Up - A3a]]),"")</f>
        <v>4</v>
      </c>
      <c r="BV310" s="14">
        <v>3</v>
      </c>
      <c r="BW310" s="14">
        <f>IFERROR(AVERAGE(Tabel1[[#This Row],[Up - A1]],Tabel1[[#This Row],[Up - A2]],Tabel1[[#This Row],[Up - A3]]),"")</f>
        <v>3.6666666666666665</v>
      </c>
      <c r="BX310" s="14">
        <v>2</v>
      </c>
      <c r="BY310" s="14">
        <v>3</v>
      </c>
      <c r="BZ310" s="14">
        <f>IFERROR(AVERAGE(Tabel1[[#This Row],[In - R1a]:[In - R1b]]),"")</f>
        <v>2.5</v>
      </c>
      <c r="CA310" s="14">
        <v>2</v>
      </c>
      <c r="CB310" s="14">
        <v>1</v>
      </c>
      <c r="CC310" s="14">
        <v>1</v>
      </c>
      <c r="CD310" s="14">
        <v>4</v>
      </c>
      <c r="CE310" s="14">
        <f>IFERROR(AVERAGE(Tabel1[[#This Row],[In - R1]:[In - R5]]),"")</f>
        <v>2.1</v>
      </c>
      <c r="CF310" s="14">
        <v>3</v>
      </c>
      <c r="CG310" s="14">
        <v>2</v>
      </c>
      <c r="CH310" s="14">
        <v>4</v>
      </c>
      <c r="CI310" s="14">
        <f>IFERROR(AVERAGE(Tabel1[[#This Row],[In - C1a]:[In - C1c]]),"")</f>
        <v>3</v>
      </c>
      <c r="CJ310" s="14">
        <v>2</v>
      </c>
      <c r="CK310" s="14">
        <v>3</v>
      </c>
      <c r="CL310" s="14">
        <v>1</v>
      </c>
      <c r="CM310" s="14">
        <f>IFERROR(AVERAGE(Tabel1[[#This Row],[In - C1]:[In - C4]]),"")</f>
        <v>2.25</v>
      </c>
      <c r="CN310" s="14">
        <v>2</v>
      </c>
      <c r="CO310" s="14">
        <v>2</v>
      </c>
      <c r="CP310" s="14">
        <v>4</v>
      </c>
      <c r="CQ310" s="14">
        <f>IFERROR(AVERAGE(Tabel1[[#This Row],[In - F1a]:[In - F1c]]),"")</f>
        <v>2.6666666666666665</v>
      </c>
      <c r="CR310" s="14">
        <v>4</v>
      </c>
      <c r="CS310" s="14">
        <v>3</v>
      </c>
      <c r="CT310" s="14">
        <f>IFERROR(AVERAGE(Tabel1[[#This Row],[In - F2a]:[In - F2b]]),"")</f>
        <v>3.5</v>
      </c>
      <c r="CU310" s="14">
        <v>3</v>
      </c>
      <c r="CV310" s="14">
        <f>IFERROR(AVERAGE(Tabel1[[#This Row],[In - F3a]:[In - F3a]]),"")</f>
        <v>3</v>
      </c>
      <c r="CW310" s="14">
        <v>3</v>
      </c>
      <c r="CX310" s="14">
        <f>IFERROR(AVERAGE(Tabel1[[#This Row],[In - F1]],Tabel1[[#This Row],[In - F2]],Tabel1[[#This Row],[In - F3]],Tabel1[[#This Row],[In - F4]]),"")</f>
        <v>3.0416666666666665</v>
      </c>
      <c r="CY310" s="14">
        <v>3</v>
      </c>
      <c r="CZ310" s="14">
        <v>2</v>
      </c>
      <c r="DA310" s="14">
        <v>2</v>
      </c>
      <c r="DB310" s="14">
        <f>IFERROR(AVERAGE(Tabel1[[#This Row],[In - V1a]:[In - V1c]]),"")</f>
        <v>2.3333333333333335</v>
      </c>
      <c r="DC310" s="14">
        <v>3</v>
      </c>
      <c r="DD310" s="14">
        <v>3</v>
      </c>
      <c r="DE310" s="14">
        <v>2</v>
      </c>
      <c r="DF310" s="14">
        <f>IFERROR(AVERAGE(Tabel1[[#This Row],[In - V2a]:[In - V2c]]),"")</f>
        <v>2.6666666666666665</v>
      </c>
      <c r="DG310" s="14">
        <v>2</v>
      </c>
      <c r="DH310" s="14">
        <v>2</v>
      </c>
      <c r="DI310" s="14">
        <f>IFERROR(AVERAGE(Tabel1[[#This Row],[In - V3a]:[In - V3b]]),"")</f>
        <v>2</v>
      </c>
      <c r="DJ310" s="14">
        <v>4</v>
      </c>
      <c r="DK310" s="14">
        <f>IFERROR(AVERAGE(Tabel1[[#This Row],[In - V1]],Tabel1[[#This Row],[In - V2]],Tabel1[[#This Row],[In - V3]],Tabel1[[#This Row],[In - V4]]),"")</f>
        <v>2.75</v>
      </c>
      <c r="DL310" s="14">
        <v>5</v>
      </c>
      <c r="DM310" s="14">
        <v>3</v>
      </c>
      <c r="DN310" s="14">
        <f>IFERROR(AVERAGE(Tabel1[[#This Row],[In - A1a]:[In - A1b]]),"")</f>
        <v>4</v>
      </c>
      <c r="DO310" s="14">
        <v>4</v>
      </c>
      <c r="DP310" s="14">
        <v>3</v>
      </c>
      <c r="DQ310" s="14">
        <f>IFERROR(AVERAGE(Tabel1[[#This Row],[In - A2a]:[In - A2b]]),"")</f>
        <v>3.5</v>
      </c>
      <c r="DR310" s="14">
        <v>4</v>
      </c>
      <c r="DS310" s="14">
        <v>3</v>
      </c>
      <c r="DT310" s="14">
        <f>IFERROR(AVERAGE(Tabel1[[#This Row],[In - A3a]:[In - A3a]]),"")</f>
        <v>4</v>
      </c>
      <c r="DU310" s="14">
        <v>3</v>
      </c>
      <c r="DV310" s="14">
        <f>IFERROR(AVERAGE(Tabel1[[#This Row],[In - A1]],Tabel1[[#This Row],[In - A2]],Tabel1[[#This Row],[In - A3]],Tabel1[[#This Row],[In - A4]]),"")</f>
        <v>3.625</v>
      </c>
      <c r="DW310" s="14">
        <v>2</v>
      </c>
      <c r="DX310" s="14">
        <v>4</v>
      </c>
      <c r="DY310" s="14">
        <v>3</v>
      </c>
      <c r="DZ310" s="14">
        <f>IFERROR(AVERAGE(Tabel1[[#This Row],[Do - R1a]:[Do - R1c]]),"")</f>
        <v>3</v>
      </c>
      <c r="EA310" s="14">
        <v>2</v>
      </c>
      <c r="EB310" s="14">
        <v>3</v>
      </c>
      <c r="EC310" s="14">
        <v>1</v>
      </c>
      <c r="ED310" s="14">
        <v>4</v>
      </c>
      <c r="EE310" s="14">
        <f>IFERROR(AVERAGE(Tabel1[[#This Row],[Do - R1]:[Do - R5]]),"")</f>
        <v>2.6</v>
      </c>
      <c r="EF310" s="14">
        <v>4</v>
      </c>
      <c r="EG310" s="14">
        <v>2</v>
      </c>
      <c r="EH310" s="14">
        <v>2</v>
      </c>
      <c r="EI310" s="14">
        <f>IFERROR(AVERAGE(Tabel1[[#This Row],[Do - C1a]:[Do - C1c]]),"")</f>
        <v>2.6666666666666665</v>
      </c>
      <c r="EJ310" s="14">
        <v>1</v>
      </c>
      <c r="EK310" s="14">
        <v>1</v>
      </c>
      <c r="EL310" s="14">
        <v>2</v>
      </c>
      <c r="EM310" s="14">
        <f>IFERROR(AVERAGE(Tabel1[[#This Row],[Do - C1]:[Do - C4]]),"")</f>
        <v>1.6666666666666665</v>
      </c>
      <c r="EN310" s="14">
        <v>2</v>
      </c>
      <c r="EO310" s="14">
        <v>2</v>
      </c>
      <c r="EP310" s="14">
        <v>2</v>
      </c>
      <c r="EQ310" s="14">
        <f>IFERROR(AVERAGE(Tabel1[[#This Row],[Do - F1a]:[Do - F1c]]),"")</f>
        <v>2</v>
      </c>
      <c r="ER310" s="14">
        <v>2</v>
      </c>
      <c r="ES310" s="14">
        <f>IFERROR(AVERAGE(Tabel1[[#This Row],[Do - F2a]:[Do - F2a]]),"")</f>
        <v>2</v>
      </c>
      <c r="ET310" s="14">
        <v>3</v>
      </c>
      <c r="EU310" s="14">
        <v>2</v>
      </c>
      <c r="EV310" s="14">
        <f>IFERROR(AVERAGE(Tabel1[[#This Row],[Do - F3a]:[Do - F3b]]),"")</f>
        <v>2.5</v>
      </c>
      <c r="EW310" s="14">
        <v>3</v>
      </c>
      <c r="EX310" s="14">
        <f>IFERROR(AVERAGE(Tabel1[[#This Row],[Do - F1]],Tabel1[[#This Row],[Do - F2]],Tabel1[[#This Row],[Do - F3]],Tabel1[[#This Row],[Do - F4]]),"")</f>
        <v>2.375</v>
      </c>
      <c r="EY310" s="14">
        <v>1</v>
      </c>
      <c r="EZ310" s="14">
        <v>1</v>
      </c>
      <c r="FA310" s="14">
        <v>3</v>
      </c>
      <c r="FB310" s="14">
        <f>IFERROR(AVERAGE(Tabel1[[#This Row],[Do - V1a]:[Do - V1c]]),"")</f>
        <v>1.6666666666666667</v>
      </c>
      <c r="FC310" s="14">
        <v>2</v>
      </c>
      <c r="FD310" s="14">
        <v>3</v>
      </c>
      <c r="FE310" s="14">
        <f>IFERROR(AVERAGE(Tabel1[[#This Row],[Do - V2a]:[Do - V2b]]),"")</f>
        <v>2.5</v>
      </c>
      <c r="FF310" s="14">
        <v>1</v>
      </c>
      <c r="FG310" s="14">
        <f>IFERROR(AVERAGE(Tabel1[[#This Row],[Do - V3a]:[Do - V3a]]),"")</f>
        <v>1</v>
      </c>
      <c r="FH310" s="14">
        <v>4</v>
      </c>
      <c r="FI310" s="14">
        <f>IFERROR(AVERAGE(Tabel1[[#This Row],[Do - V1]],Tabel1[[#This Row],[Do - V2]],Tabel1[[#This Row],[Do - V3]],Tabel1[[#This Row],[Do - V4]]),"")</f>
        <v>2.291666666666667</v>
      </c>
      <c r="FJ310" s="14">
        <v>4</v>
      </c>
      <c r="FK310" s="14">
        <v>3</v>
      </c>
      <c r="FL310" s="14">
        <v>4</v>
      </c>
      <c r="FM310" s="14">
        <f>IFERROR(AVERAGE(Tabel1[[#This Row],[Do - A1a]:[Do - A1c]]),"")</f>
        <v>3.6666666666666665</v>
      </c>
      <c r="FN310" s="14" t="s">
        <v>189</v>
      </c>
      <c r="FO310" s="14">
        <v>4</v>
      </c>
      <c r="FP310" s="14">
        <f>IFERROR(AVERAGE(Tabel1[[#This Row],[Do - A2a]:[Do - A2b]]),"")</f>
        <v>4</v>
      </c>
      <c r="FQ310" s="14">
        <v>4</v>
      </c>
      <c r="FR310" s="14">
        <f>IFERROR(AVERAGE(Tabel1[[#This Row],[Do - A3a]:[Do - A3a]]),"")</f>
        <v>4</v>
      </c>
      <c r="FS310" s="14">
        <v>3</v>
      </c>
      <c r="FT310" s="14">
        <f>IFERROR(AVERAGE(Tabel1[[#This Row],[Do - A1]],Tabel1[[#This Row],[Do - A2]],Tabel1[[#This Row],[Do - A3]],Tabel1[[#This Row],[Do - A4]]),"")</f>
        <v>3.6666666666666665</v>
      </c>
      <c r="FU31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2.6266666666666665</v>
      </c>
      <c r="FV310" s="27" t="s">
        <v>1620</v>
      </c>
      <c r="FW310" t="b">
        <v>1</v>
      </c>
    </row>
    <row r="311" spans="1:179" x14ac:dyDescent="0.3">
      <c r="A311" s="13">
        <v>45420.4129861111</v>
      </c>
      <c r="B311" t="b">
        <v>0</v>
      </c>
      <c r="C311" s="14" t="s">
        <v>1621</v>
      </c>
      <c r="D311" s="14" t="s">
        <v>1622</v>
      </c>
      <c r="E311" s="14" t="s">
        <v>1623</v>
      </c>
      <c r="F311" s="14" t="s">
        <v>184</v>
      </c>
      <c r="G311" s="14" t="s">
        <v>1624</v>
      </c>
      <c r="H311" s="14" t="s">
        <v>222</v>
      </c>
      <c r="I311" s="14" t="s">
        <v>542</v>
      </c>
      <c r="J311" s="14" t="s">
        <v>543</v>
      </c>
      <c r="K311" s="28" t="s">
        <v>235</v>
      </c>
      <c r="L311" s="14" t="s">
        <v>249</v>
      </c>
      <c r="M311" s="14" t="s">
        <v>281</v>
      </c>
      <c r="N311" s="14" t="s">
        <v>479</v>
      </c>
      <c r="O311" s="14" t="s">
        <v>200</v>
      </c>
      <c r="P311" s="24" t="s">
        <v>255</v>
      </c>
      <c r="Q311" s="17" t="s">
        <v>201</v>
      </c>
      <c r="R311" s="25" t="s">
        <v>187</v>
      </c>
      <c r="S311" s="25" t="s">
        <v>235</v>
      </c>
      <c r="T311" s="14" t="s">
        <v>204</v>
      </c>
      <c r="U311" s="14" t="s">
        <v>285</v>
      </c>
      <c r="V311" s="14" t="s">
        <v>224</v>
      </c>
      <c r="W311" s="14" t="s">
        <v>207</v>
      </c>
      <c r="X311" s="14" t="s">
        <v>207</v>
      </c>
      <c r="Y311" s="14">
        <v>4</v>
      </c>
      <c r="Z311" s="14">
        <v>5</v>
      </c>
      <c r="AA311" s="14">
        <v>4</v>
      </c>
      <c r="AB311" s="15">
        <f>IFERROR(AVERAGE(Tabel1[[#This Row],[Up - R1a]:[Up - R1c]]),"")</f>
        <v>4.333333333333333</v>
      </c>
      <c r="AC311" s="14" t="s">
        <v>189</v>
      </c>
      <c r="AD311" s="14">
        <v>4</v>
      </c>
      <c r="AE311" s="14" t="s">
        <v>189</v>
      </c>
      <c r="AF311" s="14">
        <v>2</v>
      </c>
      <c r="AG311" s="14">
        <f>IFERROR(AVERAGE(Tabel1[[#This Row],[Up - R1]:[Up - R5]]),"")</f>
        <v>3.4444444444444442</v>
      </c>
      <c r="AH311" s="14">
        <v>4</v>
      </c>
      <c r="AI311" s="14">
        <v>2</v>
      </c>
      <c r="AJ311" s="14">
        <v>2</v>
      </c>
      <c r="AK311" s="14">
        <f>IFERROR(AVERAGE(Tabel1[[#This Row],[Up - C1a]:[Up - C1c]]),"")</f>
        <v>2.6666666666666665</v>
      </c>
      <c r="AL311" s="14">
        <v>3</v>
      </c>
      <c r="AM311" s="14">
        <v>1</v>
      </c>
      <c r="AN311" s="14">
        <v>3</v>
      </c>
      <c r="AO311" s="14">
        <f>IFERROR(AVERAGE(Tabel1[[#This Row],[Up - C1]:[Up - C4]]),"")</f>
        <v>2.4166666666666665</v>
      </c>
      <c r="AP311" s="14">
        <v>3</v>
      </c>
      <c r="AQ311" s="14">
        <f>IFERROR(AVERAGE(Tabel1[[#This Row],[Up - F1a]:[Up - F1a]]),"")</f>
        <v>3</v>
      </c>
      <c r="AR311" s="14">
        <v>1</v>
      </c>
      <c r="AS311" s="14">
        <v>3</v>
      </c>
      <c r="AT311" s="14">
        <f>IFERROR(AVERAGE(Tabel1[[#This Row],[Up - F2a]:[Up - F2b]]),"")</f>
        <v>2</v>
      </c>
      <c r="AU311" s="14">
        <v>3</v>
      </c>
      <c r="AV311" s="14">
        <v>1</v>
      </c>
      <c r="AW311" s="14">
        <f>IFERROR(AVERAGE(Tabel1[[#This Row],[Up - F3a]:[Up - F3b]]),"")</f>
        <v>2</v>
      </c>
      <c r="AX311" s="14">
        <v>2</v>
      </c>
      <c r="AY311" s="14">
        <f>IFERROR(AVERAGE(Tabel1[[#This Row],[Up - F1]],Tabel1[[#This Row],[Up - F2]],Tabel1[[#This Row],[Up - F3]],Tabel1[[#This Row],[Up - F4]]),"")</f>
        <v>2.25</v>
      </c>
      <c r="AZ311" s="14">
        <v>3</v>
      </c>
      <c r="BA311" s="14">
        <v>2</v>
      </c>
      <c r="BB311" s="14">
        <f>IFERROR(AVERAGE(Tabel1[[#This Row],[Up - V1a]:[Up - V1b]]),"")</f>
        <v>2.5</v>
      </c>
      <c r="BC311" s="14">
        <v>3</v>
      </c>
      <c r="BD311" s="14">
        <v>3</v>
      </c>
      <c r="BE311" s="14">
        <v>3</v>
      </c>
      <c r="BF311" s="14">
        <f>IFERROR(AVERAGE(Tabel1[[#This Row],[Up - V2a]:[Up - V2c]]),"")</f>
        <v>3</v>
      </c>
      <c r="BG311" s="14">
        <v>1</v>
      </c>
      <c r="BH311" s="14">
        <v>2</v>
      </c>
      <c r="BI311" s="14">
        <f>IFERROR(AVERAGE(Tabel1[[#This Row],[Up - V3a]:[Up - V3b]]),"")</f>
        <v>1.5</v>
      </c>
      <c r="BJ311" s="14">
        <v>2</v>
      </c>
      <c r="BK311" s="14">
        <f>IFERROR(AVERAGE(Tabel1[[#This Row],[Up - V1]],Tabel1[[#This Row],[Up - V2]],Tabel1[[#This Row],[Up - V3]],Tabel1[[#This Row],[Up - V4]]),"")</f>
        <v>2.25</v>
      </c>
      <c r="BL311" s="14">
        <v>1</v>
      </c>
      <c r="BM311" s="14">
        <v>2</v>
      </c>
      <c r="BN311" s="14">
        <v>2</v>
      </c>
      <c r="BO311" s="14">
        <v>2</v>
      </c>
      <c r="BP311" s="14">
        <f>IFERROR(AVERAGE(Tabel1[[#This Row],[Up - A1a]:[Up - A1d]]),"")</f>
        <v>1.75</v>
      </c>
      <c r="BQ311" s="14">
        <v>2</v>
      </c>
      <c r="BR311" s="14">
        <v>4</v>
      </c>
      <c r="BS311" s="14">
        <f>IFERROR(AVERAGE(Tabel1[[#This Row],[Up - A2a]:[Up - A2b]]),"")</f>
        <v>3</v>
      </c>
      <c r="BT311" s="14">
        <v>3</v>
      </c>
      <c r="BU311" s="14">
        <f>IFERROR(AVERAGE(Tabel1[[#This Row],[Up - A3a]:[Up - A3a]]),"")</f>
        <v>3</v>
      </c>
      <c r="BV311" s="14">
        <v>2</v>
      </c>
      <c r="BW311" s="14">
        <f>IFERROR(AVERAGE(Tabel1[[#This Row],[Up - A1]],Tabel1[[#This Row],[Up - A2]],Tabel1[[#This Row],[Up - A3]]),"")</f>
        <v>2.5833333333333335</v>
      </c>
      <c r="BX311" s="14">
        <v>2</v>
      </c>
      <c r="BY311" s="14">
        <v>3</v>
      </c>
      <c r="BZ311" s="14">
        <f>IFERROR(AVERAGE(Tabel1[[#This Row],[In - R1a]:[In - R1b]]),"")</f>
        <v>2.5</v>
      </c>
      <c r="CA311" s="14">
        <v>4</v>
      </c>
      <c r="CB311" s="14">
        <v>4</v>
      </c>
      <c r="CC311" s="14">
        <v>2</v>
      </c>
      <c r="CD311" s="14">
        <v>1</v>
      </c>
      <c r="CE311" s="14">
        <f>IFERROR(AVERAGE(Tabel1[[#This Row],[In - R1]:[In - R5]]),"")</f>
        <v>2.7</v>
      </c>
      <c r="CF311" s="14">
        <v>3</v>
      </c>
      <c r="CG311" s="14">
        <v>1</v>
      </c>
      <c r="CH311" s="14">
        <v>3</v>
      </c>
      <c r="CI311" s="14">
        <f>IFERROR(AVERAGE(Tabel1[[#This Row],[In - C1a]:[In - C1c]]),"")</f>
        <v>2.3333333333333335</v>
      </c>
      <c r="CJ311" s="14">
        <v>2</v>
      </c>
      <c r="CK311" s="14">
        <v>2</v>
      </c>
      <c r="CL311" s="14">
        <v>2</v>
      </c>
      <c r="CM311" s="14">
        <f>IFERROR(AVERAGE(Tabel1[[#This Row],[In - C1]:[In - C4]]),"")</f>
        <v>2.0833333333333335</v>
      </c>
      <c r="CN311" s="14">
        <v>3</v>
      </c>
      <c r="CO311" s="14">
        <v>1</v>
      </c>
      <c r="CP311" s="14">
        <v>3</v>
      </c>
      <c r="CQ311" s="14">
        <f>IFERROR(AVERAGE(Tabel1[[#This Row],[In - F1a]:[In - F1c]]),"")</f>
        <v>2.3333333333333335</v>
      </c>
      <c r="CR311" s="14">
        <v>2</v>
      </c>
      <c r="CS311" s="14">
        <v>1</v>
      </c>
      <c r="CT311" s="14">
        <f>IFERROR(AVERAGE(Tabel1[[#This Row],[In - F2a]:[In - F2b]]),"")</f>
        <v>1.5</v>
      </c>
      <c r="CU311" s="14">
        <v>1</v>
      </c>
      <c r="CV311" s="14">
        <f>IFERROR(AVERAGE(Tabel1[[#This Row],[In - F3a]:[In - F3a]]),"")</f>
        <v>1</v>
      </c>
      <c r="CW311" s="14">
        <v>2</v>
      </c>
      <c r="CX311" s="14">
        <f>IFERROR(AVERAGE(Tabel1[[#This Row],[In - F1]],Tabel1[[#This Row],[In - F2]],Tabel1[[#This Row],[In - F3]],Tabel1[[#This Row],[In - F4]]),"")</f>
        <v>1.7083333333333335</v>
      </c>
      <c r="CY311" s="14">
        <v>3</v>
      </c>
      <c r="CZ311" s="14">
        <v>1</v>
      </c>
      <c r="DA311" s="14">
        <v>1</v>
      </c>
      <c r="DB311" s="14">
        <f>IFERROR(AVERAGE(Tabel1[[#This Row],[In - V1a]:[In - V1c]]),"")</f>
        <v>1.6666666666666667</v>
      </c>
      <c r="DC311" s="14">
        <v>4</v>
      </c>
      <c r="DD311" s="14">
        <v>2</v>
      </c>
      <c r="DE311" s="14">
        <v>3</v>
      </c>
      <c r="DF311" s="14">
        <f>IFERROR(AVERAGE(Tabel1[[#This Row],[In - V2a]:[In - V2c]]),"")</f>
        <v>3</v>
      </c>
      <c r="DG311" s="14">
        <v>2</v>
      </c>
      <c r="DH311" s="14">
        <v>3</v>
      </c>
      <c r="DI311" s="14">
        <f>IFERROR(AVERAGE(Tabel1[[#This Row],[In - V3a]:[In - V3b]]),"")</f>
        <v>2.5</v>
      </c>
      <c r="DJ311" s="14">
        <v>1</v>
      </c>
      <c r="DK311" s="14">
        <f>IFERROR(AVERAGE(Tabel1[[#This Row],[In - V1]],Tabel1[[#This Row],[In - V2]],Tabel1[[#This Row],[In - V3]],Tabel1[[#This Row],[In - V4]]),"")</f>
        <v>2.041666666666667</v>
      </c>
      <c r="DL311" s="14">
        <v>1</v>
      </c>
      <c r="DM311" s="14">
        <v>3</v>
      </c>
      <c r="DN311" s="14">
        <f>IFERROR(AVERAGE(Tabel1[[#This Row],[In - A1a]:[In - A1b]]),"")</f>
        <v>2</v>
      </c>
      <c r="DO311" s="14">
        <v>3</v>
      </c>
      <c r="DP311" s="14">
        <v>3</v>
      </c>
      <c r="DQ311" s="14">
        <f>IFERROR(AVERAGE(Tabel1[[#This Row],[In - A2a]:[In - A2b]]),"")</f>
        <v>3</v>
      </c>
      <c r="DR311" s="14">
        <v>4</v>
      </c>
      <c r="DS311" s="14">
        <v>3</v>
      </c>
      <c r="DT311" s="14">
        <f>IFERROR(AVERAGE(Tabel1[[#This Row],[In - A3a]:[In - A3a]]),"")</f>
        <v>4</v>
      </c>
      <c r="DU311" s="14">
        <v>1</v>
      </c>
      <c r="DV311" s="14">
        <f>IFERROR(AVERAGE(Tabel1[[#This Row],[In - A1]],Tabel1[[#This Row],[In - A2]],Tabel1[[#This Row],[In - A3]],Tabel1[[#This Row],[In - A4]]),"")</f>
        <v>2.5</v>
      </c>
      <c r="DW311" s="14">
        <v>4</v>
      </c>
      <c r="DX311" s="14">
        <v>5</v>
      </c>
      <c r="DY311" s="14">
        <v>4</v>
      </c>
      <c r="DZ311" s="14">
        <f>IFERROR(AVERAGE(Tabel1[[#This Row],[Do - R1a]:[Do - R1c]]),"")</f>
        <v>4.333333333333333</v>
      </c>
      <c r="EA311" s="14">
        <v>1</v>
      </c>
      <c r="EB311" s="14">
        <v>3</v>
      </c>
      <c r="EC311" s="14">
        <v>2</v>
      </c>
      <c r="ED311" s="14">
        <v>2</v>
      </c>
      <c r="EE311" s="14">
        <f>IFERROR(AVERAGE(Tabel1[[#This Row],[Do - R1]:[Do - R5]]),"")</f>
        <v>2.4666666666666663</v>
      </c>
      <c r="EF311" s="14">
        <v>3</v>
      </c>
      <c r="EG311" s="14">
        <v>2</v>
      </c>
      <c r="EH311" s="14">
        <v>2</v>
      </c>
      <c r="EI311" s="14">
        <f>IFERROR(AVERAGE(Tabel1[[#This Row],[Do - C1a]:[Do - C1c]]),"")</f>
        <v>2.3333333333333335</v>
      </c>
      <c r="EJ311" s="14">
        <v>1</v>
      </c>
      <c r="EK311" s="14">
        <v>1</v>
      </c>
      <c r="EL311" s="14">
        <v>2</v>
      </c>
      <c r="EM311" s="14">
        <f>IFERROR(AVERAGE(Tabel1[[#This Row],[Do - C1]:[Do - C4]]),"")</f>
        <v>1.5833333333333335</v>
      </c>
      <c r="EN311" s="14">
        <v>2</v>
      </c>
      <c r="EO311" s="14">
        <v>2</v>
      </c>
      <c r="EP311" s="14">
        <v>3</v>
      </c>
      <c r="EQ311" s="14">
        <f>IFERROR(AVERAGE(Tabel1[[#This Row],[Do - F1a]:[Do - F1c]]),"")</f>
        <v>2.3333333333333335</v>
      </c>
      <c r="ER311" s="14">
        <v>2</v>
      </c>
      <c r="ES311" s="14">
        <f>IFERROR(AVERAGE(Tabel1[[#This Row],[Do - F2a]:[Do - F2a]]),"")</f>
        <v>2</v>
      </c>
      <c r="ET311" s="14">
        <v>2</v>
      </c>
      <c r="EU311" s="14">
        <v>2</v>
      </c>
      <c r="EV311" s="14">
        <f>IFERROR(AVERAGE(Tabel1[[#This Row],[Do - F3a]:[Do - F3b]]),"")</f>
        <v>2</v>
      </c>
      <c r="EW311" s="14">
        <v>1</v>
      </c>
      <c r="EX311" s="14">
        <f>IFERROR(AVERAGE(Tabel1[[#This Row],[Do - F1]],Tabel1[[#This Row],[Do - F2]],Tabel1[[#This Row],[Do - F3]],Tabel1[[#This Row],[Do - F4]]),"")</f>
        <v>1.8333333333333335</v>
      </c>
      <c r="EY311" s="14">
        <v>2</v>
      </c>
      <c r="EZ311" s="14">
        <v>2</v>
      </c>
      <c r="FA311" s="14">
        <v>2</v>
      </c>
      <c r="FB311" s="14">
        <f>IFERROR(AVERAGE(Tabel1[[#This Row],[Do - V1a]:[Do - V1c]]),"")</f>
        <v>2</v>
      </c>
      <c r="FC311" s="14">
        <v>3</v>
      </c>
      <c r="FD311" s="14">
        <v>3</v>
      </c>
      <c r="FE311" s="14">
        <f>IFERROR(AVERAGE(Tabel1[[#This Row],[Do - V2a]:[Do - V2b]]),"")</f>
        <v>3</v>
      </c>
      <c r="FF311" s="14">
        <v>3</v>
      </c>
      <c r="FG311" s="14">
        <f>IFERROR(AVERAGE(Tabel1[[#This Row],[Do - V3a]:[Do - V3a]]),"")</f>
        <v>3</v>
      </c>
      <c r="FH311" s="14">
        <v>2</v>
      </c>
      <c r="FI311" s="14">
        <f>IFERROR(AVERAGE(Tabel1[[#This Row],[Do - V1]],Tabel1[[#This Row],[Do - V2]],Tabel1[[#This Row],[Do - V3]],Tabel1[[#This Row],[Do - V4]]),"")</f>
        <v>2.5</v>
      </c>
      <c r="FJ311" s="14">
        <v>3</v>
      </c>
      <c r="FK311" s="14">
        <v>1</v>
      </c>
      <c r="FL311" s="14">
        <v>2</v>
      </c>
      <c r="FM311" s="14">
        <f>IFERROR(AVERAGE(Tabel1[[#This Row],[Do - A1a]:[Do - A1c]]),"")</f>
        <v>2</v>
      </c>
      <c r="FN311" s="14">
        <v>3</v>
      </c>
      <c r="FO311" s="14">
        <v>4</v>
      </c>
      <c r="FP311" s="14">
        <f>IFERROR(AVERAGE(Tabel1[[#This Row],[Do - A2a]:[Do - A2b]]),"")</f>
        <v>3.5</v>
      </c>
      <c r="FQ311" s="14">
        <v>4</v>
      </c>
      <c r="FR311" s="14">
        <f>IFERROR(AVERAGE(Tabel1[[#This Row],[Do - A3a]:[Do - A3a]]),"")</f>
        <v>4</v>
      </c>
      <c r="FS311" s="14">
        <v>2</v>
      </c>
      <c r="FT311" s="14">
        <f>IFERROR(AVERAGE(Tabel1[[#This Row],[Do - A1]],Tabel1[[#This Row],[Do - A2]],Tabel1[[#This Row],[Do - A3]],Tabel1[[#This Row],[Do - A4]]),"")</f>
        <v>2.875</v>
      </c>
      <c r="FU31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2.3490740740740739</v>
      </c>
      <c r="FV311" s="27" t="s">
        <v>1625</v>
      </c>
      <c r="FW311" t="b">
        <v>1</v>
      </c>
    </row>
    <row r="312" spans="1:179" x14ac:dyDescent="0.3">
      <c r="A312" s="13">
        <v>45420.483287037001</v>
      </c>
      <c r="B312" t="b">
        <v>0</v>
      </c>
      <c r="C312" s="14" t="s">
        <v>1626</v>
      </c>
      <c r="D312" s="14" t="s">
        <v>1627</v>
      </c>
      <c r="E312" s="14" t="s">
        <v>1628</v>
      </c>
      <c r="F312" s="14" t="s">
        <v>184</v>
      </c>
      <c r="G312" s="14" t="s">
        <v>1629</v>
      </c>
      <c r="H312" s="14" t="s">
        <v>222</v>
      </c>
      <c r="I312" s="14" t="s">
        <v>195</v>
      </c>
      <c r="J312" s="14" t="s">
        <v>212</v>
      </c>
      <c r="K312" s="28" t="s">
        <v>187</v>
      </c>
      <c r="L312" s="14" t="s">
        <v>249</v>
      </c>
      <c r="M312" s="14" t="s">
        <v>198</v>
      </c>
      <c r="N312" s="14" t="s">
        <v>199</v>
      </c>
      <c r="O312" s="14" t="s">
        <v>200</v>
      </c>
      <c r="P312" s="24" t="s">
        <v>304</v>
      </c>
      <c r="Q312" s="17" t="s">
        <v>304</v>
      </c>
      <c r="R312" s="25" t="s">
        <v>235</v>
      </c>
      <c r="S312" s="25" t="s">
        <v>187</v>
      </c>
      <c r="T312" s="14" t="s">
        <v>284</v>
      </c>
      <c r="U312" s="14" t="s">
        <v>237</v>
      </c>
      <c r="V312" s="14" t="s">
        <v>484</v>
      </c>
      <c r="W312" s="14" t="s">
        <v>395</v>
      </c>
      <c r="X312" s="14" t="s">
        <v>395</v>
      </c>
      <c r="Y312" s="14">
        <v>2</v>
      </c>
      <c r="Z312" s="14">
        <v>2</v>
      </c>
      <c r="AA312" s="14" t="s">
        <v>189</v>
      </c>
      <c r="AB312" s="15">
        <f>IFERROR(AVERAGE(Tabel1[[#This Row],[Up - R1a]:[Up - R1c]]),"")</f>
        <v>2</v>
      </c>
      <c r="AC312" s="14" t="s">
        <v>189</v>
      </c>
      <c r="AD312" s="14">
        <v>3</v>
      </c>
      <c r="AE312" s="14" t="s">
        <v>189</v>
      </c>
      <c r="AF312" s="14" t="s">
        <v>189</v>
      </c>
      <c r="AG312" s="14">
        <f>IFERROR(AVERAGE(Tabel1[[#This Row],[Up - R1]:[Up - R5]]),"")</f>
        <v>2.5</v>
      </c>
      <c r="AH312" s="14">
        <v>2</v>
      </c>
      <c r="AI312" s="14">
        <v>2</v>
      </c>
      <c r="AJ312" s="14">
        <v>1</v>
      </c>
      <c r="AK312" s="14">
        <f>IFERROR(AVERAGE(Tabel1[[#This Row],[Up - C1a]:[Up - C1c]]),"")</f>
        <v>1.6666666666666667</v>
      </c>
      <c r="AL312" s="14">
        <v>2</v>
      </c>
      <c r="AM312" s="14">
        <v>2</v>
      </c>
      <c r="AN312" s="14">
        <v>2</v>
      </c>
      <c r="AO312" s="14">
        <f>IFERROR(AVERAGE(Tabel1[[#This Row],[Up - C1]:[Up - C4]]),"")</f>
        <v>1.9166666666666667</v>
      </c>
      <c r="AP312" s="14">
        <v>3</v>
      </c>
      <c r="AQ312" s="14">
        <f>IFERROR(AVERAGE(Tabel1[[#This Row],[Up - F1a]:[Up - F1a]]),"")</f>
        <v>3</v>
      </c>
      <c r="AR312" s="14">
        <v>2</v>
      </c>
      <c r="AS312" s="14">
        <v>3</v>
      </c>
      <c r="AT312" s="14">
        <f>IFERROR(AVERAGE(Tabel1[[#This Row],[Up - F2a]:[Up - F2b]]),"")</f>
        <v>2.5</v>
      </c>
      <c r="AU312" s="14">
        <v>2</v>
      </c>
      <c r="AV312" s="14">
        <v>2</v>
      </c>
      <c r="AW312" s="14">
        <f>IFERROR(AVERAGE(Tabel1[[#This Row],[Up - F3a]:[Up - F3b]]),"")</f>
        <v>2</v>
      </c>
      <c r="AX312" s="14">
        <v>3</v>
      </c>
      <c r="AY312" s="14">
        <f>IFERROR(AVERAGE(Tabel1[[#This Row],[Up - F1]],Tabel1[[#This Row],[Up - F2]],Tabel1[[#This Row],[Up - F3]],Tabel1[[#This Row],[Up - F4]]),"")</f>
        <v>2.625</v>
      </c>
      <c r="AZ312" s="14" t="s">
        <v>189</v>
      </c>
      <c r="BA312" s="14">
        <v>2</v>
      </c>
      <c r="BB312" s="14">
        <f>IFERROR(AVERAGE(Tabel1[[#This Row],[Up - V1a]:[Up - V1b]]),"")</f>
        <v>2</v>
      </c>
      <c r="BC312" s="14">
        <v>2</v>
      </c>
      <c r="BD312" s="14" t="s">
        <v>189</v>
      </c>
      <c r="BE312" s="14">
        <v>3</v>
      </c>
      <c r="BF312" s="14">
        <f>IFERROR(AVERAGE(Tabel1[[#This Row],[Up - V2a]:[Up - V2c]]),"")</f>
        <v>2.5</v>
      </c>
      <c r="BG312" s="14" t="s">
        <v>189</v>
      </c>
      <c r="BH312" s="14">
        <v>3</v>
      </c>
      <c r="BI312" s="14">
        <f>IFERROR(AVERAGE(Tabel1[[#This Row],[Up - V3a]:[Up - V3b]]),"")</f>
        <v>3</v>
      </c>
      <c r="BJ312" s="14" t="s">
        <v>189</v>
      </c>
      <c r="BK312" s="14">
        <f>IFERROR(AVERAGE(Tabel1[[#This Row],[Up - V1]],Tabel1[[#This Row],[Up - V2]],Tabel1[[#This Row],[Up - V3]],Tabel1[[#This Row],[Up - V4]]),"")</f>
        <v>2.5</v>
      </c>
      <c r="BL312" s="14">
        <v>3</v>
      </c>
      <c r="BM312" s="14">
        <v>2</v>
      </c>
      <c r="BN312" s="14">
        <v>1</v>
      </c>
      <c r="BO312" s="14">
        <v>2</v>
      </c>
      <c r="BP312" s="14">
        <f>IFERROR(AVERAGE(Tabel1[[#This Row],[Up - A1a]:[Up - A1d]]),"")</f>
        <v>2</v>
      </c>
      <c r="BQ312" s="14">
        <v>2</v>
      </c>
      <c r="BR312" s="14">
        <v>3</v>
      </c>
      <c r="BS312" s="14">
        <f>IFERROR(AVERAGE(Tabel1[[#This Row],[Up - A2a]:[Up - A2b]]),"")</f>
        <v>2.5</v>
      </c>
      <c r="BT312" s="14">
        <v>2</v>
      </c>
      <c r="BU312" s="14">
        <f>IFERROR(AVERAGE(Tabel1[[#This Row],[Up - A3a]:[Up - A3a]]),"")</f>
        <v>2</v>
      </c>
      <c r="BV312" s="14" t="s">
        <v>189</v>
      </c>
      <c r="BW312" s="14">
        <f>IFERROR(AVERAGE(Tabel1[[#This Row],[Up - A1]],Tabel1[[#This Row],[Up - A2]],Tabel1[[#This Row],[Up - A3]]),"")</f>
        <v>2.1666666666666665</v>
      </c>
      <c r="BX312" s="14">
        <v>3</v>
      </c>
      <c r="BY312" s="14">
        <v>4</v>
      </c>
      <c r="BZ312" s="14">
        <f>IFERROR(AVERAGE(Tabel1[[#This Row],[In - R1a]:[In - R1b]]),"")</f>
        <v>3.5</v>
      </c>
      <c r="CA312" s="14" t="s">
        <v>189</v>
      </c>
      <c r="CB312" s="14">
        <v>2</v>
      </c>
      <c r="CC312" s="14">
        <v>1</v>
      </c>
      <c r="CD312" s="14">
        <v>2</v>
      </c>
      <c r="CE312" s="14">
        <f>IFERROR(AVERAGE(Tabel1[[#This Row],[In - R1]:[In - R5]]),"")</f>
        <v>2.125</v>
      </c>
      <c r="CF312" s="14">
        <v>3</v>
      </c>
      <c r="CG312" s="14">
        <v>4</v>
      </c>
      <c r="CH312" s="14">
        <v>3</v>
      </c>
      <c r="CI312" s="14">
        <f>IFERROR(AVERAGE(Tabel1[[#This Row],[In - C1a]:[In - C1c]]),"")</f>
        <v>3.3333333333333335</v>
      </c>
      <c r="CJ312" s="14">
        <v>3</v>
      </c>
      <c r="CK312" s="14">
        <v>4</v>
      </c>
      <c r="CL312" s="14">
        <v>3</v>
      </c>
      <c r="CM312" s="14">
        <f>IFERROR(AVERAGE(Tabel1[[#This Row],[In - C1]:[In - C4]]),"")</f>
        <v>3.3333333333333335</v>
      </c>
      <c r="CN312" s="14">
        <v>5</v>
      </c>
      <c r="CO312" s="14">
        <v>2</v>
      </c>
      <c r="CP312" s="14">
        <v>2</v>
      </c>
      <c r="CQ312" s="14">
        <f>IFERROR(AVERAGE(Tabel1[[#This Row],[In - F1a]:[In - F1c]]),"")</f>
        <v>3</v>
      </c>
      <c r="CR312" s="14">
        <v>3</v>
      </c>
      <c r="CS312" s="14">
        <v>1</v>
      </c>
      <c r="CT312" s="14">
        <f>IFERROR(AVERAGE(Tabel1[[#This Row],[In - F2a]:[In - F2b]]),"")</f>
        <v>2</v>
      </c>
      <c r="CU312" s="14">
        <v>2</v>
      </c>
      <c r="CV312" s="14">
        <f>IFERROR(AVERAGE(Tabel1[[#This Row],[In - F3a]:[In - F3a]]),"")</f>
        <v>2</v>
      </c>
      <c r="CW312" s="14" t="s">
        <v>189</v>
      </c>
      <c r="CX312" s="14">
        <f>IFERROR(AVERAGE(Tabel1[[#This Row],[In - F1]],Tabel1[[#This Row],[In - F2]],Tabel1[[#This Row],[In - F3]],Tabel1[[#This Row],[In - F4]]),"")</f>
        <v>2.3333333333333335</v>
      </c>
      <c r="CY312" s="14">
        <v>4</v>
      </c>
      <c r="CZ312" s="14">
        <v>3</v>
      </c>
      <c r="DA312" s="14">
        <v>2</v>
      </c>
      <c r="DB312" s="14">
        <f>IFERROR(AVERAGE(Tabel1[[#This Row],[In - V1a]:[In - V1c]]),"")</f>
        <v>3</v>
      </c>
      <c r="DC312" s="14">
        <v>4</v>
      </c>
      <c r="DD312" s="14">
        <v>4</v>
      </c>
      <c r="DE312" s="14">
        <v>3</v>
      </c>
      <c r="DF312" s="14">
        <f>IFERROR(AVERAGE(Tabel1[[#This Row],[In - V2a]:[In - V2c]]),"")</f>
        <v>3.6666666666666665</v>
      </c>
      <c r="DG312" s="14">
        <v>3</v>
      </c>
      <c r="DH312" s="14">
        <v>3</v>
      </c>
      <c r="DI312" s="14">
        <f>IFERROR(AVERAGE(Tabel1[[#This Row],[In - V3a]:[In - V3b]]),"")</f>
        <v>3</v>
      </c>
      <c r="DJ312" s="14">
        <v>3</v>
      </c>
      <c r="DK312" s="14">
        <f>IFERROR(AVERAGE(Tabel1[[#This Row],[In - V1]],Tabel1[[#This Row],[In - V2]],Tabel1[[#This Row],[In - V3]],Tabel1[[#This Row],[In - V4]]),"")</f>
        <v>3.1666666666666665</v>
      </c>
      <c r="DL312" s="14">
        <v>4</v>
      </c>
      <c r="DM312" s="14">
        <v>4</v>
      </c>
      <c r="DN312" s="14">
        <f>IFERROR(AVERAGE(Tabel1[[#This Row],[In - A1a]:[In - A1b]]),"")</f>
        <v>4</v>
      </c>
      <c r="DO312" s="14">
        <v>3</v>
      </c>
      <c r="DP312" s="14">
        <v>3</v>
      </c>
      <c r="DQ312" s="14">
        <f>IFERROR(AVERAGE(Tabel1[[#This Row],[In - A2a]:[In - A2b]]),"")</f>
        <v>3</v>
      </c>
      <c r="DR312" s="14">
        <v>3</v>
      </c>
      <c r="DS312" s="14">
        <v>3</v>
      </c>
      <c r="DT312" s="14">
        <f>IFERROR(AVERAGE(Tabel1[[#This Row],[In - A3a]:[In - A3a]]),"")</f>
        <v>3</v>
      </c>
      <c r="DU312" s="14">
        <v>3</v>
      </c>
      <c r="DV312" s="14">
        <f>IFERROR(AVERAGE(Tabel1[[#This Row],[In - A1]],Tabel1[[#This Row],[In - A2]],Tabel1[[#This Row],[In - A3]],Tabel1[[#This Row],[In - A4]]),"")</f>
        <v>3.25</v>
      </c>
      <c r="DW312" s="14">
        <v>2</v>
      </c>
      <c r="DX312" s="14">
        <v>5</v>
      </c>
      <c r="DY312" s="14">
        <v>3</v>
      </c>
      <c r="DZ312" s="14">
        <f>IFERROR(AVERAGE(Tabel1[[#This Row],[Do - R1a]:[Do - R1c]]),"")</f>
        <v>3.3333333333333335</v>
      </c>
      <c r="EA312" s="14" t="s">
        <v>189</v>
      </c>
      <c r="EB312" s="14">
        <v>3</v>
      </c>
      <c r="EC312" s="14">
        <v>2</v>
      </c>
      <c r="ED312" s="14">
        <v>3</v>
      </c>
      <c r="EE312" s="14">
        <f>IFERROR(AVERAGE(Tabel1[[#This Row],[Do - R1]:[Do - R5]]),"")</f>
        <v>2.8333333333333335</v>
      </c>
      <c r="EF312" s="14">
        <v>2</v>
      </c>
      <c r="EG312" s="14">
        <v>2</v>
      </c>
      <c r="EH312" s="14">
        <v>2</v>
      </c>
      <c r="EI312" s="14">
        <f>IFERROR(AVERAGE(Tabel1[[#This Row],[Do - C1a]:[Do - C1c]]),"")</f>
        <v>2</v>
      </c>
      <c r="EJ312" s="14">
        <v>2</v>
      </c>
      <c r="EK312" s="14">
        <v>3</v>
      </c>
      <c r="EL312" s="14" t="s">
        <v>189</v>
      </c>
      <c r="EM312" s="14">
        <f>IFERROR(AVERAGE(Tabel1[[#This Row],[Do - C1]:[Do - C4]]),"")</f>
        <v>2.3333333333333335</v>
      </c>
      <c r="EN312" s="14">
        <v>3</v>
      </c>
      <c r="EO312" s="14">
        <v>1</v>
      </c>
      <c r="EP312" s="14">
        <v>3</v>
      </c>
      <c r="EQ312" s="14">
        <f>IFERROR(AVERAGE(Tabel1[[#This Row],[Do - F1a]:[Do - F1c]]),"")</f>
        <v>2.3333333333333335</v>
      </c>
      <c r="ER312" s="14">
        <v>3</v>
      </c>
      <c r="ES312" s="14">
        <f>IFERROR(AVERAGE(Tabel1[[#This Row],[Do - F2a]:[Do - F2a]]),"")</f>
        <v>3</v>
      </c>
      <c r="ET312" s="14">
        <v>2</v>
      </c>
      <c r="EU312" s="14">
        <v>3</v>
      </c>
      <c r="EV312" s="14">
        <f>IFERROR(AVERAGE(Tabel1[[#This Row],[Do - F3a]:[Do - F3b]]),"")</f>
        <v>2.5</v>
      </c>
      <c r="EW312" s="14">
        <v>2</v>
      </c>
      <c r="EX312" s="14">
        <f>IFERROR(AVERAGE(Tabel1[[#This Row],[Do - F1]],Tabel1[[#This Row],[Do - F2]],Tabel1[[#This Row],[Do - F3]],Tabel1[[#This Row],[Do - F4]]),"")</f>
        <v>2.4583333333333335</v>
      </c>
      <c r="EY312" s="14">
        <v>2</v>
      </c>
      <c r="EZ312" s="14">
        <v>2</v>
      </c>
      <c r="FA312" s="14">
        <v>3</v>
      </c>
      <c r="FB312" s="14">
        <f>IFERROR(AVERAGE(Tabel1[[#This Row],[Do - V1a]:[Do - V1c]]),"")</f>
        <v>2.3333333333333335</v>
      </c>
      <c r="FC312" s="14">
        <v>4</v>
      </c>
      <c r="FD312" s="14">
        <v>2</v>
      </c>
      <c r="FE312" s="14">
        <f>IFERROR(AVERAGE(Tabel1[[#This Row],[Do - V2a]:[Do - V2b]]),"")</f>
        <v>3</v>
      </c>
      <c r="FF312" s="14">
        <v>3</v>
      </c>
      <c r="FG312" s="14">
        <f>IFERROR(AVERAGE(Tabel1[[#This Row],[Do - V3a]:[Do - V3a]]),"")</f>
        <v>3</v>
      </c>
      <c r="FH312" s="14">
        <v>3</v>
      </c>
      <c r="FI312" s="14">
        <f>IFERROR(AVERAGE(Tabel1[[#This Row],[Do - V1]],Tabel1[[#This Row],[Do - V2]],Tabel1[[#This Row],[Do - V3]],Tabel1[[#This Row],[Do - V4]]),"")</f>
        <v>2.8333333333333335</v>
      </c>
      <c r="FJ312" s="14">
        <v>3</v>
      </c>
      <c r="FK312" s="14">
        <v>2</v>
      </c>
      <c r="FL312" s="14">
        <v>3</v>
      </c>
      <c r="FM312" s="14">
        <f>IFERROR(AVERAGE(Tabel1[[#This Row],[Do - A1a]:[Do - A1c]]),"")</f>
        <v>2.6666666666666665</v>
      </c>
      <c r="FN312" s="14">
        <v>4</v>
      </c>
      <c r="FO312" s="14">
        <v>4</v>
      </c>
      <c r="FP312" s="14">
        <f>IFERROR(AVERAGE(Tabel1[[#This Row],[Do - A2a]:[Do - A2b]]),"")</f>
        <v>4</v>
      </c>
      <c r="FQ312" s="14">
        <v>3</v>
      </c>
      <c r="FR312" s="14">
        <f>IFERROR(AVERAGE(Tabel1[[#This Row],[Do - A3a]:[Do - A3a]]),"")</f>
        <v>3</v>
      </c>
      <c r="FS312" s="14">
        <v>3</v>
      </c>
      <c r="FT312" s="14">
        <f>IFERROR(AVERAGE(Tabel1[[#This Row],[Do - A1]],Tabel1[[#This Row],[Do - A2]],Tabel1[[#This Row],[Do - A3]],Tabel1[[#This Row],[Do - A4]]),"")</f>
        <v>3.1666666666666665</v>
      </c>
      <c r="FU31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2.6361111111111111</v>
      </c>
      <c r="FV312" s="27" t="s">
        <v>1630</v>
      </c>
      <c r="FW312" t="b">
        <v>1</v>
      </c>
    </row>
    <row r="313" spans="1:179" x14ac:dyDescent="0.3">
      <c r="A313" s="13">
        <v>45420.497719907398</v>
      </c>
      <c r="B313" t="b">
        <v>0</v>
      </c>
      <c r="C313" s="14" t="s">
        <v>1631</v>
      </c>
      <c r="D313" s="14" t="s">
        <v>1632</v>
      </c>
      <c r="E313" s="14" t="s">
        <v>1633</v>
      </c>
      <c r="F313" s="14" t="s">
        <v>184</v>
      </c>
      <c r="G313" s="14" t="s">
        <v>1634</v>
      </c>
      <c r="H313" s="14" t="s">
        <v>222</v>
      </c>
      <c r="I313" s="14" t="s">
        <v>322</v>
      </c>
      <c r="J313" s="14" t="s">
        <v>323</v>
      </c>
      <c r="K313" s="28" t="s">
        <v>201</v>
      </c>
      <c r="L313" s="14" t="s">
        <v>197</v>
      </c>
      <c r="M313" s="14" t="s">
        <v>233</v>
      </c>
      <c r="N313" s="14" t="s">
        <v>199</v>
      </c>
      <c r="O313" s="14" t="s">
        <v>200</v>
      </c>
      <c r="P313" s="25" t="s">
        <v>235</v>
      </c>
      <c r="Q313" s="17" t="s">
        <v>201</v>
      </c>
      <c r="R313" s="25" t="s">
        <v>235</v>
      </c>
      <c r="S313" s="25" t="s">
        <v>187</v>
      </c>
      <c r="T313" s="14" t="s">
        <v>236</v>
      </c>
      <c r="U313" s="14" t="s">
        <v>205</v>
      </c>
      <c r="V313" s="14" t="s">
        <v>224</v>
      </c>
      <c r="W313" s="14" t="s">
        <v>207</v>
      </c>
      <c r="X313" s="14" t="s">
        <v>395</v>
      </c>
      <c r="Y313" s="14">
        <v>3</v>
      </c>
      <c r="Z313" s="14">
        <v>4</v>
      </c>
      <c r="AA313" s="14">
        <v>1</v>
      </c>
      <c r="AB313" s="15">
        <f>IFERROR(AVERAGE(Tabel1[[#This Row],[Up - R1a]:[Up - R1c]]),"")</f>
        <v>2.6666666666666665</v>
      </c>
      <c r="AC313" s="14">
        <v>1</v>
      </c>
      <c r="AD313" s="14">
        <v>4</v>
      </c>
      <c r="AE313" s="14">
        <v>1</v>
      </c>
      <c r="AF313" s="14">
        <v>1</v>
      </c>
      <c r="AG313" s="14">
        <f>IFERROR(AVERAGE(Tabel1[[#This Row],[Up - R1]:[Up - R5]]),"")</f>
        <v>1.9333333333333331</v>
      </c>
      <c r="AH313" s="14">
        <v>3</v>
      </c>
      <c r="AI313" s="14">
        <v>1</v>
      </c>
      <c r="AJ313" s="14">
        <v>1</v>
      </c>
      <c r="AK313" s="14">
        <f>IFERROR(AVERAGE(Tabel1[[#This Row],[Up - C1a]:[Up - C1c]]),"")</f>
        <v>1.6666666666666667</v>
      </c>
      <c r="AL313" s="14">
        <v>1</v>
      </c>
      <c r="AM313" s="14">
        <v>1</v>
      </c>
      <c r="AN313" s="14">
        <v>2</v>
      </c>
      <c r="AO313" s="14">
        <f>IFERROR(AVERAGE(Tabel1[[#This Row],[Up - C1]:[Up - C4]]),"")</f>
        <v>1.4166666666666667</v>
      </c>
      <c r="AP313" s="14">
        <v>3</v>
      </c>
      <c r="AQ313" s="14">
        <f>IFERROR(AVERAGE(Tabel1[[#This Row],[Up - F1a]:[Up - F1a]]),"")</f>
        <v>3</v>
      </c>
      <c r="AR313" s="14" t="s">
        <v>189</v>
      </c>
      <c r="AS313" s="14">
        <v>3</v>
      </c>
      <c r="AT313" s="14">
        <f>IFERROR(AVERAGE(Tabel1[[#This Row],[Up - F2a]:[Up - F2b]]),"")</f>
        <v>3</v>
      </c>
      <c r="AU313" s="14">
        <v>4</v>
      </c>
      <c r="AV313" s="14" t="s">
        <v>189</v>
      </c>
      <c r="AW313" s="14">
        <f>IFERROR(AVERAGE(Tabel1[[#This Row],[Up - F3a]:[Up - F3b]]),"")</f>
        <v>4</v>
      </c>
      <c r="AX313" s="14" t="s">
        <v>189</v>
      </c>
      <c r="AY313" s="14">
        <f>IFERROR(AVERAGE(Tabel1[[#This Row],[Up - F1]],Tabel1[[#This Row],[Up - F2]],Tabel1[[#This Row],[Up - F3]],Tabel1[[#This Row],[Up - F4]]),"")</f>
        <v>3.3333333333333335</v>
      </c>
      <c r="AZ313" s="14" t="s">
        <v>189</v>
      </c>
      <c r="BA313" s="14">
        <v>4</v>
      </c>
      <c r="BB313" s="14">
        <f>IFERROR(AVERAGE(Tabel1[[#This Row],[Up - V1a]:[Up - V1b]]),"")</f>
        <v>4</v>
      </c>
      <c r="BC313" s="14">
        <v>1</v>
      </c>
      <c r="BD313" s="14">
        <v>4</v>
      </c>
      <c r="BE313" s="14">
        <v>4</v>
      </c>
      <c r="BF313" s="14">
        <f>IFERROR(AVERAGE(Tabel1[[#This Row],[Up - V2a]:[Up - V2c]]),"")</f>
        <v>3</v>
      </c>
      <c r="BG313" s="14" t="s">
        <v>189</v>
      </c>
      <c r="BH313" s="14" t="s">
        <v>189</v>
      </c>
      <c r="BI313" s="14" t="str">
        <f>IFERROR(AVERAGE(Tabel1[[#This Row],[Up - V3a]:[Up - V3b]]),"")</f>
        <v/>
      </c>
      <c r="BJ313" s="14" t="s">
        <v>189</v>
      </c>
      <c r="BK313" s="14">
        <f>IFERROR(AVERAGE(Tabel1[[#This Row],[Up - V1]],Tabel1[[#This Row],[Up - V2]],Tabel1[[#This Row],[Up - V3]],Tabel1[[#This Row],[Up - V4]]),"")</f>
        <v>3.5</v>
      </c>
      <c r="BL313" s="14" t="s">
        <v>189</v>
      </c>
      <c r="BM313" s="14">
        <v>2</v>
      </c>
      <c r="BN313" s="14">
        <v>3</v>
      </c>
      <c r="BO313" s="14">
        <v>4</v>
      </c>
      <c r="BP313" s="14">
        <f>IFERROR(AVERAGE(Tabel1[[#This Row],[Up - A1a]:[Up - A1d]]),"")</f>
        <v>3</v>
      </c>
      <c r="BQ313" s="14">
        <v>4</v>
      </c>
      <c r="BR313" s="14">
        <v>4</v>
      </c>
      <c r="BS313" s="14">
        <f>IFERROR(AVERAGE(Tabel1[[#This Row],[Up - A2a]:[Up - A2b]]),"")</f>
        <v>4</v>
      </c>
      <c r="BT313" s="14">
        <v>3</v>
      </c>
      <c r="BU313" s="14">
        <f>IFERROR(AVERAGE(Tabel1[[#This Row],[Up - A3a]:[Up - A3a]]),"")</f>
        <v>3</v>
      </c>
      <c r="BV313" s="14">
        <v>1</v>
      </c>
      <c r="BW313" s="14">
        <f>IFERROR(AVERAGE(Tabel1[[#This Row],[Up - A1]],Tabel1[[#This Row],[Up - A2]],Tabel1[[#This Row],[Up - A3]]),"")</f>
        <v>3.3333333333333335</v>
      </c>
      <c r="BX313" s="14">
        <v>3</v>
      </c>
      <c r="BY313" s="14">
        <v>2</v>
      </c>
      <c r="BZ313" s="14">
        <f>IFERROR(AVERAGE(Tabel1[[#This Row],[In - R1a]:[In - R1b]]),"")</f>
        <v>2.5</v>
      </c>
      <c r="CA313" s="14">
        <v>3</v>
      </c>
      <c r="CB313" s="14">
        <v>3</v>
      </c>
      <c r="CC313" s="14">
        <v>2</v>
      </c>
      <c r="CD313" s="14">
        <v>5</v>
      </c>
      <c r="CE313" s="14">
        <f>IFERROR(AVERAGE(Tabel1[[#This Row],[In - R1]:[In - R5]]),"")</f>
        <v>3.1</v>
      </c>
      <c r="CF313" s="14">
        <v>2</v>
      </c>
      <c r="CG313" s="14">
        <v>1</v>
      </c>
      <c r="CH313" s="14">
        <v>1</v>
      </c>
      <c r="CI313" s="14">
        <f>IFERROR(AVERAGE(Tabel1[[#This Row],[In - C1a]:[In - C1c]]),"")</f>
        <v>1.3333333333333333</v>
      </c>
      <c r="CJ313" s="14">
        <v>1</v>
      </c>
      <c r="CK313" s="14">
        <v>1</v>
      </c>
      <c r="CL313" s="14">
        <v>1</v>
      </c>
      <c r="CM313" s="14">
        <f>IFERROR(AVERAGE(Tabel1[[#This Row],[In - C1]:[In - C4]]),"")</f>
        <v>1.0833333333333333</v>
      </c>
      <c r="CN313" s="14">
        <v>4</v>
      </c>
      <c r="CO313" s="14">
        <v>4</v>
      </c>
      <c r="CP313" s="14" t="s">
        <v>189</v>
      </c>
      <c r="CQ313" s="14">
        <f>IFERROR(AVERAGE(Tabel1[[#This Row],[In - F1a]:[In - F1c]]),"")</f>
        <v>4</v>
      </c>
      <c r="CR313" s="14" t="s">
        <v>189</v>
      </c>
      <c r="CS313" s="14" t="s">
        <v>189</v>
      </c>
      <c r="CT313" s="14" t="str">
        <f>IFERROR(AVERAGE(Tabel1[[#This Row],[In - F2a]:[In - F2b]]),"")</f>
        <v/>
      </c>
      <c r="CU313" s="14" t="s">
        <v>189</v>
      </c>
      <c r="CV313" s="14" t="str">
        <f>IFERROR(AVERAGE(Tabel1[[#This Row],[In - F3a]:[In - F3a]]),"")</f>
        <v/>
      </c>
      <c r="CW313" s="14">
        <v>4</v>
      </c>
      <c r="CX313" s="14">
        <f>IFERROR(AVERAGE(Tabel1[[#This Row],[In - F1]],Tabel1[[#This Row],[In - F2]],Tabel1[[#This Row],[In - F3]],Tabel1[[#This Row],[In - F4]]),"")</f>
        <v>4</v>
      </c>
      <c r="CY313" s="14">
        <v>5</v>
      </c>
      <c r="CZ313" s="14">
        <v>2</v>
      </c>
      <c r="DA313" s="14">
        <v>2</v>
      </c>
      <c r="DB313" s="14">
        <f>IFERROR(AVERAGE(Tabel1[[#This Row],[In - V1a]:[In - V1c]]),"")</f>
        <v>3</v>
      </c>
      <c r="DC313" s="14">
        <v>2</v>
      </c>
      <c r="DD313" s="14">
        <v>1</v>
      </c>
      <c r="DE313" s="14">
        <v>1</v>
      </c>
      <c r="DF313" s="14">
        <f>IFERROR(AVERAGE(Tabel1[[#This Row],[In - V2a]:[In - V2c]]),"")</f>
        <v>1.3333333333333333</v>
      </c>
      <c r="DG313" s="14" t="s">
        <v>189</v>
      </c>
      <c r="DH313" s="14" t="s">
        <v>189</v>
      </c>
      <c r="DI313" s="14" t="str">
        <f>IFERROR(AVERAGE(Tabel1[[#This Row],[In - V3a]:[In - V3b]]),"")</f>
        <v/>
      </c>
      <c r="DJ313" s="14" t="s">
        <v>189</v>
      </c>
      <c r="DK313" s="14">
        <f>IFERROR(AVERAGE(Tabel1[[#This Row],[In - V1]],Tabel1[[#This Row],[In - V2]],Tabel1[[#This Row],[In - V3]],Tabel1[[#This Row],[In - V4]]),"")</f>
        <v>2.1666666666666665</v>
      </c>
      <c r="DL313" s="14">
        <v>1</v>
      </c>
      <c r="DM313" s="14">
        <v>1</v>
      </c>
      <c r="DN313" s="14">
        <f>IFERROR(AVERAGE(Tabel1[[#This Row],[In - A1a]:[In - A1b]]),"")</f>
        <v>1</v>
      </c>
      <c r="DO313" s="14" t="s">
        <v>189</v>
      </c>
      <c r="DP313" s="14" t="s">
        <v>189</v>
      </c>
      <c r="DQ313" s="14" t="str">
        <f>IFERROR(AVERAGE(Tabel1[[#This Row],[In - A2a]:[In - A2b]]),"")</f>
        <v/>
      </c>
      <c r="DR313" s="14">
        <v>1</v>
      </c>
      <c r="DS313" s="14">
        <v>2</v>
      </c>
      <c r="DT313" s="14">
        <f>IFERROR(AVERAGE(Tabel1[[#This Row],[In - A3a]:[In - A3a]]),"")</f>
        <v>1</v>
      </c>
      <c r="DU313" s="14">
        <v>5</v>
      </c>
      <c r="DV313" s="14">
        <f>IFERROR(AVERAGE(Tabel1[[#This Row],[In - A1]],Tabel1[[#This Row],[In - A2]],Tabel1[[#This Row],[In - A3]],Tabel1[[#This Row],[In - A4]]),"")</f>
        <v>2.3333333333333335</v>
      </c>
      <c r="DW313" s="14">
        <v>1</v>
      </c>
      <c r="DX313" s="14">
        <v>5</v>
      </c>
      <c r="DY313" s="14">
        <v>1</v>
      </c>
      <c r="DZ313" s="14">
        <f>IFERROR(AVERAGE(Tabel1[[#This Row],[Do - R1a]:[Do - R1c]]),"")</f>
        <v>2.3333333333333335</v>
      </c>
      <c r="EA313" s="14" t="s">
        <v>189</v>
      </c>
      <c r="EB313" s="14">
        <v>4</v>
      </c>
      <c r="EC313" s="14" t="s">
        <v>189</v>
      </c>
      <c r="ED313" s="14">
        <v>3</v>
      </c>
      <c r="EE313" s="14">
        <f>IFERROR(AVERAGE(Tabel1[[#This Row],[Do - R1]:[Do - R5]]),"")</f>
        <v>3.1111111111111112</v>
      </c>
      <c r="EF313" s="14">
        <v>4</v>
      </c>
      <c r="EG313" s="14">
        <v>4</v>
      </c>
      <c r="EH313" s="14">
        <v>4</v>
      </c>
      <c r="EI313" s="14">
        <f>IFERROR(AVERAGE(Tabel1[[#This Row],[Do - C1a]:[Do - C1c]]),"")</f>
        <v>4</v>
      </c>
      <c r="EJ313" s="14">
        <v>3</v>
      </c>
      <c r="EK313" s="14">
        <v>3</v>
      </c>
      <c r="EL313" s="14">
        <v>3</v>
      </c>
      <c r="EM313" s="14">
        <f>IFERROR(AVERAGE(Tabel1[[#This Row],[Do - C1]:[Do - C4]]),"")</f>
        <v>3.25</v>
      </c>
      <c r="EN313" s="14">
        <v>3</v>
      </c>
      <c r="EO313" s="14">
        <v>4</v>
      </c>
      <c r="EP313" s="14">
        <v>4</v>
      </c>
      <c r="EQ313" s="14">
        <f>IFERROR(AVERAGE(Tabel1[[#This Row],[Do - F1a]:[Do - F1c]]),"")</f>
        <v>3.6666666666666665</v>
      </c>
      <c r="ER313" s="14" t="s">
        <v>189</v>
      </c>
      <c r="ES313" s="14" t="str">
        <f>IFERROR(AVERAGE(Tabel1[[#This Row],[Do - F2a]:[Do - F2a]]),"")</f>
        <v/>
      </c>
      <c r="ET313" s="14">
        <v>4</v>
      </c>
      <c r="EU313" s="14">
        <v>4</v>
      </c>
      <c r="EV313" s="14">
        <f>IFERROR(AVERAGE(Tabel1[[#This Row],[Do - F3a]:[Do - F3b]]),"")</f>
        <v>4</v>
      </c>
      <c r="EW313" s="14">
        <v>3</v>
      </c>
      <c r="EX313" s="14">
        <f>IFERROR(AVERAGE(Tabel1[[#This Row],[Do - F1]],Tabel1[[#This Row],[Do - F2]],Tabel1[[#This Row],[Do - F3]],Tabel1[[#This Row],[Do - F4]]),"")</f>
        <v>3.5555555555555554</v>
      </c>
      <c r="EY313" s="14" t="s">
        <v>189</v>
      </c>
      <c r="EZ313" s="14">
        <v>3</v>
      </c>
      <c r="FA313" s="14">
        <v>3</v>
      </c>
      <c r="FB313" s="14">
        <f>IFERROR(AVERAGE(Tabel1[[#This Row],[Do - V1a]:[Do - V1c]]),"")</f>
        <v>3</v>
      </c>
      <c r="FC313" s="14">
        <v>1</v>
      </c>
      <c r="FD313" s="14" t="s">
        <v>189</v>
      </c>
      <c r="FE313" s="14">
        <f>IFERROR(AVERAGE(Tabel1[[#This Row],[Do - V2a]:[Do - V2b]]),"")</f>
        <v>1</v>
      </c>
      <c r="FF313" s="14">
        <v>3</v>
      </c>
      <c r="FG313" s="14">
        <f>IFERROR(AVERAGE(Tabel1[[#This Row],[Do - V3a]:[Do - V3a]]),"")</f>
        <v>3</v>
      </c>
      <c r="FH313" s="14" t="s">
        <v>189</v>
      </c>
      <c r="FI313" s="14">
        <f>IFERROR(AVERAGE(Tabel1[[#This Row],[Do - V1]],Tabel1[[#This Row],[Do - V2]],Tabel1[[#This Row],[Do - V3]],Tabel1[[#This Row],[Do - V4]]),"")</f>
        <v>2.3333333333333335</v>
      </c>
      <c r="FJ313" s="14">
        <v>4</v>
      </c>
      <c r="FK313" s="14">
        <v>4</v>
      </c>
      <c r="FL313" s="14">
        <v>4</v>
      </c>
      <c r="FM313" s="14">
        <f>IFERROR(AVERAGE(Tabel1[[#This Row],[Do - A1a]:[Do - A1c]]),"")</f>
        <v>4</v>
      </c>
      <c r="FN313" s="14">
        <v>4</v>
      </c>
      <c r="FO313" s="14">
        <v>5</v>
      </c>
      <c r="FP313" s="14">
        <f>IFERROR(AVERAGE(Tabel1[[#This Row],[Do - A2a]:[Do - A2b]]),"")</f>
        <v>4.5</v>
      </c>
      <c r="FQ313" s="14">
        <v>4</v>
      </c>
      <c r="FR313" s="14">
        <f>IFERROR(AVERAGE(Tabel1[[#This Row],[Do - A3a]:[Do - A3a]]),"")</f>
        <v>4</v>
      </c>
      <c r="FS313" s="14">
        <v>2</v>
      </c>
      <c r="FT313" s="14">
        <f>IFERROR(AVERAGE(Tabel1[[#This Row],[Do - A1]],Tabel1[[#This Row],[Do - A2]],Tabel1[[#This Row],[Do - A3]],Tabel1[[#This Row],[Do - A4]]),"")</f>
        <v>3.625</v>
      </c>
      <c r="FU31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2.8050000000000002</v>
      </c>
      <c r="FV313" s="27" t="s">
        <v>1635</v>
      </c>
      <c r="FW313" t="b">
        <v>1</v>
      </c>
    </row>
    <row r="314" spans="1:179" x14ac:dyDescent="0.3">
      <c r="A314" s="13">
        <v>45420.840115740699</v>
      </c>
      <c r="B314" t="b">
        <v>0</v>
      </c>
      <c r="C314" s="14" t="s">
        <v>1636</v>
      </c>
      <c r="D314" s="14" t="s">
        <v>454</v>
      </c>
      <c r="E314" s="14" t="s">
        <v>1637</v>
      </c>
      <c r="F314" s="14" t="s">
        <v>184</v>
      </c>
      <c r="G314" s="14" t="s">
        <v>1638</v>
      </c>
      <c r="H314" s="14" t="s">
        <v>222</v>
      </c>
      <c r="I314" s="14" t="s">
        <v>385</v>
      </c>
      <c r="J314" s="14"/>
      <c r="K314" s="26" t="s">
        <v>304</v>
      </c>
      <c r="L314" s="14" t="s">
        <v>218</v>
      </c>
      <c r="M314" s="14" t="s">
        <v>188</v>
      </c>
      <c r="N314" s="14" t="s">
        <v>262</v>
      </c>
      <c r="O314" s="14" t="s">
        <v>200</v>
      </c>
      <c r="P314" s="24" t="s">
        <v>255</v>
      </c>
      <c r="Q314" s="17" t="s">
        <v>304</v>
      </c>
      <c r="R314" s="24" t="s">
        <v>304</v>
      </c>
      <c r="S314" s="25" t="s">
        <v>201</v>
      </c>
      <c r="T314" s="14" t="s">
        <v>204</v>
      </c>
      <c r="U314" s="14" t="s">
        <v>285</v>
      </c>
      <c r="V314" s="14" t="s">
        <v>206</v>
      </c>
      <c r="W314" s="14" t="s">
        <v>306</v>
      </c>
      <c r="X314" s="14" t="s">
        <v>395</v>
      </c>
      <c r="Y314" s="14">
        <v>3</v>
      </c>
      <c r="Z314" s="14">
        <v>3</v>
      </c>
      <c r="AA314" s="14">
        <v>2</v>
      </c>
      <c r="AB314" s="15">
        <f>IFERROR(AVERAGE(Tabel1[[#This Row],[Up - R1a]:[Up - R1c]]),"")</f>
        <v>2.6666666666666665</v>
      </c>
      <c r="AC314" s="14">
        <v>1</v>
      </c>
      <c r="AD314" s="14">
        <v>1</v>
      </c>
      <c r="AE314" s="14" t="s">
        <v>189</v>
      </c>
      <c r="AF314" s="14">
        <v>4</v>
      </c>
      <c r="AG314" s="14">
        <f>IFERROR(AVERAGE(Tabel1[[#This Row],[Up - R1]:[Up - R5]]),"")</f>
        <v>2.1666666666666665</v>
      </c>
      <c r="AH314" s="14">
        <v>4</v>
      </c>
      <c r="AI314" s="14">
        <v>1</v>
      </c>
      <c r="AJ314" s="14">
        <v>2</v>
      </c>
      <c r="AK314" s="14">
        <f>IFERROR(AVERAGE(Tabel1[[#This Row],[Up - C1a]:[Up - C1c]]),"")</f>
        <v>2.3333333333333335</v>
      </c>
      <c r="AL314" s="14">
        <v>3</v>
      </c>
      <c r="AM314" s="14">
        <v>1</v>
      </c>
      <c r="AN314" s="14">
        <v>1</v>
      </c>
      <c r="AO314" s="14">
        <f>IFERROR(AVERAGE(Tabel1[[#This Row],[Up - C1]:[Up - C4]]),"")</f>
        <v>1.8333333333333335</v>
      </c>
      <c r="AP314" s="14">
        <v>2</v>
      </c>
      <c r="AQ314" s="14">
        <f>IFERROR(AVERAGE(Tabel1[[#This Row],[Up - F1a]:[Up - F1a]]),"")</f>
        <v>2</v>
      </c>
      <c r="AR314" s="14">
        <v>1</v>
      </c>
      <c r="AS314" s="14">
        <v>2</v>
      </c>
      <c r="AT314" s="14">
        <f>IFERROR(AVERAGE(Tabel1[[#This Row],[Up - F2a]:[Up - F2b]]),"")</f>
        <v>1.5</v>
      </c>
      <c r="AU314" s="14">
        <v>3</v>
      </c>
      <c r="AV314" s="14" t="s">
        <v>189</v>
      </c>
      <c r="AW314" s="14">
        <f>IFERROR(AVERAGE(Tabel1[[#This Row],[Up - F3a]:[Up - F3b]]),"")</f>
        <v>3</v>
      </c>
      <c r="AX314" s="14">
        <v>4</v>
      </c>
      <c r="AY314" s="14">
        <f>IFERROR(AVERAGE(Tabel1[[#This Row],[Up - F1]],Tabel1[[#This Row],[Up - F2]],Tabel1[[#This Row],[Up - F3]],Tabel1[[#This Row],[Up - F4]]),"")</f>
        <v>2.625</v>
      </c>
      <c r="AZ314" s="14">
        <v>4</v>
      </c>
      <c r="BA314" s="14">
        <v>4</v>
      </c>
      <c r="BB314" s="14">
        <f>IFERROR(AVERAGE(Tabel1[[#This Row],[Up - V1a]:[Up - V1b]]),"")</f>
        <v>4</v>
      </c>
      <c r="BC314" s="14">
        <v>1</v>
      </c>
      <c r="BD314" s="14">
        <v>3</v>
      </c>
      <c r="BE314" s="14">
        <v>1</v>
      </c>
      <c r="BF314" s="14">
        <f>IFERROR(AVERAGE(Tabel1[[#This Row],[Up - V2a]:[Up - V2c]]),"")</f>
        <v>1.6666666666666667</v>
      </c>
      <c r="BG314" s="14">
        <v>1</v>
      </c>
      <c r="BH314" s="14">
        <v>2</v>
      </c>
      <c r="BI314" s="14">
        <f>IFERROR(AVERAGE(Tabel1[[#This Row],[Up - V3a]:[Up - V3b]]),"")</f>
        <v>1.5</v>
      </c>
      <c r="BJ314" s="14">
        <v>3</v>
      </c>
      <c r="BK314" s="14">
        <f>IFERROR(AVERAGE(Tabel1[[#This Row],[Up - V1]],Tabel1[[#This Row],[Up - V2]],Tabel1[[#This Row],[Up - V3]],Tabel1[[#This Row],[Up - V4]]),"")</f>
        <v>2.541666666666667</v>
      </c>
      <c r="BL314" s="14">
        <v>4</v>
      </c>
      <c r="BM314" s="14">
        <v>2</v>
      </c>
      <c r="BN314" s="14">
        <v>3</v>
      </c>
      <c r="BO314" s="14">
        <v>3</v>
      </c>
      <c r="BP314" s="14">
        <f>IFERROR(AVERAGE(Tabel1[[#This Row],[Up - A1a]:[Up - A1d]]),"")</f>
        <v>3</v>
      </c>
      <c r="BQ314" s="14">
        <v>3</v>
      </c>
      <c r="BR314" s="14">
        <v>1</v>
      </c>
      <c r="BS314" s="14">
        <f>IFERROR(AVERAGE(Tabel1[[#This Row],[Up - A2a]:[Up - A2b]]),"")</f>
        <v>2</v>
      </c>
      <c r="BT314" s="14">
        <v>4</v>
      </c>
      <c r="BU314" s="14">
        <f>IFERROR(AVERAGE(Tabel1[[#This Row],[Up - A3a]:[Up - A3a]]),"")</f>
        <v>4</v>
      </c>
      <c r="BV314" s="14">
        <v>2</v>
      </c>
      <c r="BW314" s="14">
        <f>IFERROR(AVERAGE(Tabel1[[#This Row],[Up - A1]],Tabel1[[#This Row],[Up - A2]],Tabel1[[#This Row],[Up - A3]]),"")</f>
        <v>3</v>
      </c>
      <c r="BX314" s="14">
        <v>3</v>
      </c>
      <c r="BY314" s="14">
        <v>3</v>
      </c>
      <c r="BZ314" s="14">
        <f>IFERROR(AVERAGE(Tabel1[[#This Row],[In - R1a]:[In - R1b]]),"")</f>
        <v>3</v>
      </c>
      <c r="CA314" s="14">
        <v>1</v>
      </c>
      <c r="CB314" s="14">
        <v>3</v>
      </c>
      <c r="CC314" s="14" t="s">
        <v>189</v>
      </c>
      <c r="CD314" s="14">
        <v>3</v>
      </c>
      <c r="CE314" s="14">
        <f>IFERROR(AVERAGE(Tabel1[[#This Row],[In - R1]:[In - R5]]),"")</f>
        <v>2.5</v>
      </c>
      <c r="CF314" s="14">
        <v>2</v>
      </c>
      <c r="CG314" s="14">
        <v>1</v>
      </c>
      <c r="CH314" s="14">
        <v>5</v>
      </c>
      <c r="CI314" s="14">
        <f>IFERROR(AVERAGE(Tabel1[[#This Row],[In - C1a]:[In - C1c]]),"")</f>
        <v>2.6666666666666665</v>
      </c>
      <c r="CJ314" s="14">
        <v>2</v>
      </c>
      <c r="CK314" s="14">
        <v>1</v>
      </c>
      <c r="CL314" s="14">
        <v>1</v>
      </c>
      <c r="CM314" s="14">
        <f>IFERROR(AVERAGE(Tabel1[[#This Row],[In - C1]:[In - C4]]),"")</f>
        <v>1.6666666666666665</v>
      </c>
      <c r="CN314" s="14">
        <v>3</v>
      </c>
      <c r="CO314" s="14">
        <v>3</v>
      </c>
      <c r="CP314" s="14">
        <v>2</v>
      </c>
      <c r="CQ314" s="14">
        <f>IFERROR(AVERAGE(Tabel1[[#This Row],[In - F1a]:[In - F1c]]),"")</f>
        <v>2.6666666666666665</v>
      </c>
      <c r="CR314" s="14">
        <v>3</v>
      </c>
      <c r="CS314" s="14">
        <v>4</v>
      </c>
      <c r="CT314" s="14">
        <f>IFERROR(AVERAGE(Tabel1[[#This Row],[In - F2a]:[In - F2b]]),"")</f>
        <v>3.5</v>
      </c>
      <c r="CU314" s="14">
        <v>1</v>
      </c>
      <c r="CV314" s="14">
        <f>IFERROR(AVERAGE(Tabel1[[#This Row],[In - F3a]:[In - F3a]]),"")</f>
        <v>1</v>
      </c>
      <c r="CW314" s="14" t="s">
        <v>189</v>
      </c>
      <c r="CX314" s="14">
        <f>IFERROR(AVERAGE(Tabel1[[#This Row],[In - F1]],Tabel1[[#This Row],[In - F2]],Tabel1[[#This Row],[In - F3]],Tabel1[[#This Row],[In - F4]]),"")</f>
        <v>2.3888888888888888</v>
      </c>
      <c r="CY314" s="14">
        <v>2</v>
      </c>
      <c r="CZ314" s="14">
        <v>2</v>
      </c>
      <c r="DA314" s="14">
        <v>1</v>
      </c>
      <c r="DB314" s="14">
        <f>IFERROR(AVERAGE(Tabel1[[#This Row],[In - V1a]:[In - V1c]]),"")</f>
        <v>1.6666666666666667</v>
      </c>
      <c r="DC314" s="14">
        <v>2</v>
      </c>
      <c r="DD314" s="14">
        <v>1</v>
      </c>
      <c r="DE314" s="14">
        <v>3</v>
      </c>
      <c r="DF314" s="14">
        <f>IFERROR(AVERAGE(Tabel1[[#This Row],[In - V2a]:[In - V2c]]),"")</f>
        <v>2</v>
      </c>
      <c r="DG314" s="14">
        <v>1</v>
      </c>
      <c r="DH314" s="14">
        <v>3</v>
      </c>
      <c r="DI314" s="14">
        <f>IFERROR(AVERAGE(Tabel1[[#This Row],[In - V3a]:[In - V3b]]),"")</f>
        <v>2</v>
      </c>
      <c r="DJ314" s="14">
        <v>3</v>
      </c>
      <c r="DK314" s="14">
        <f>IFERROR(AVERAGE(Tabel1[[#This Row],[In - V1]],Tabel1[[#This Row],[In - V2]],Tabel1[[#This Row],[In - V3]],Tabel1[[#This Row],[In - V4]]),"")</f>
        <v>2.166666666666667</v>
      </c>
      <c r="DL314" s="14">
        <v>5</v>
      </c>
      <c r="DM314" s="14">
        <v>2</v>
      </c>
      <c r="DN314" s="14">
        <f>IFERROR(AVERAGE(Tabel1[[#This Row],[In - A1a]:[In - A1b]]),"")</f>
        <v>3.5</v>
      </c>
      <c r="DO314" s="14">
        <v>4</v>
      </c>
      <c r="DP314" s="14">
        <v>2</v>
      </c>
      <c r="DQ314" s="14">
        <f>IFERROR(AVERAGE(Tabel1[[#This Row],[In - A2a]:[In - A2b]]),"")</f>
        <v>3</v>
      </c>
      <c r="DR314" s="14">
        <v>3</v>
      </c>
      <c r="DS314" s="14">
        <v>3</v>
      </c>
      <c r="DT314" s="14">
        <f>IFERROR(AVERAGE(Tabel1[[#This Row],[In - A3a]:[In - A3a]]),"")</f>
        <v>3</v>
      </c>
      <c r="DU314" s="14">
        <v>5</v>
      </c>
      <c r="DV314" s="14">
        <f>IFERROR(AVERAGE(Tabel1[[#This Row],[In - A1]],Tabel1[[#This Row],[In - A2]],Tabel1[[#This Row],[In - A3]],Tabel1[[#This Row],[In - A4]]),"")</f>
        <v>3.625</v>
      </c>
      <c r="DW314" s="14">
        <v>1</v>
      </c>
      <c r="DX314" s="14">
        <v>5</v>
      </c>
      <c r="DY314" s="14">
        <v>1</v>
      </c>
      <c r="DZ314" s="14">
        <f>IFERROR(AVERAGE(Tabel1[[#This Row],[Do - R1a]:[Do - R1c]]),"")</f>
        <v>2.3333333333333335</v>
      </c>
      <c r="EA314" s="14">
        <v>1</v>
      </c>
      <c r="EB314" s="14">
        <v>1</v>
      </c>
      <c r="EC314" s="14">
        <v>1</v>
      </c>
      <c r="ED314" s="14">
        <v>5</v>
      </c>
      <c r="EE314" s="14">
        <f>IFERROR(AVERAGE(Tabel1[[#This Row],[Do - R1]:[Do - R5]]),"")</f>
        <v>2.0666666666666669</v>
      </c>
      <c r="EF314" s="14">
        <v>4</v>
      </c>
      <c r="EG314" s="14">
        <v>2</v>
      </c>
      <c r="EH314" s="14">
        <v>2</v>
      </c>
      <c r="EI314" s="14">
        <f>IFERROR(AVERAGE(Tabel1[[#This Row],[Do - C1a]:[Do - C1c]]),"")</f>
        <v>2.6666666666666665</v>
      </c>
      <c r="EJ314" s="14">
        <v>3</v>
      </c>
      <c r="EK314" s="14">
        <v>1</v>
      </c>
      <c r="EL314" s="14">
        <v>1</v>
      </c>
      <c r="EM314" s="14">
        <f>IFERROR(AVERAGE(Tabel1[[#This Row],[Do - C1]:[Do - C4]]),"")</f>
        <v>1.9166666666666665</v>
      </c>
      <c r="EN314" s="14">
        <v>3</v>
      </c>
      <c r="EO314" s="14">
        <v>1</v>
      </c>
      <c r="EP314" s="14">
        <v>1</v>
      </c>
      <c r="EQ314" s="14">
        <f>IFERROR(AVERAGE(Tabel1[[#This Row],[Do - F1a]:[Do - F1c]]),"")</f>
        <v>1.6666666666666667</v>
      </c>
      <c r="ER314" s="14">
        <v>3</v>
      </c>
      <c r="ES314" s="14">
        <f>IFERROR(AVERAGE(Tabel1[[#This Row],[Do - F2a]:[Do - F2a]]),"")</f>
        <v>3</v>
      </c>
      <c r="ET314" s="14">
        <v>1</v>
      </c>
      <c r="EU314" s="14">
        <v>3</v>
      </c>
      <c r="EV314" s="14">
        <f>IFERROR(AVERAGE(Tabel1[[#This Row],[Do - F3a]:[Do - F3b]]),"")</f>
        <v>2</v>
      </c>
      <c r="EW314" s="14">
        <v>1</v>
      </c>
      <c r="EX314" s="14">
        <f>IFERROR(AVERAGE(Tabel1[[#This Row],[Do - F1]],Tabel1[[#This Row],[Do - F2]],Tabel1[[#This Row],[Do - F3]],Tabel1[[#This Row],[Do - F4]]),"")</f>
        <v>1.9166666666666667</v>
      </c>
      <c r="EY314" s="14">
        <v>4</v>
      </c>
      <c r="EZ314" s="14">
        <v>2</v>
      </c>
      <c r="FA314" s="14">
        <v>3</v>
      </c>
      <c r="FB314" s="14">
        <f>IFERROR(AVERAGE(Tabel1[[#This Row],[Do - V1a]:[Do - V1c]]),"")</f>
        <v>3</v>
      </c>
      <c r="FC314" s="14">
        <v>3</v>
      </c>
      <c r="FD314" s="14">
        <v>3</v>
      </c>
      <c r="FE314" s="14">
        <f>IFERROR(AVERAGE(Tabel1[[#This Row],[Do - V2a]:[Do - V2b]]),"")</f>
        <v>3</v>
      </c>
      <c r="FF314" s="14">
        <v>2</v>
      </c>
      <c r="FG314" s="14">
        <f>IFERROR(AVERAGE(Tabel1[[#This Row],[Do - V3a]:[Do - V3a]]),"")</f>
        <v>2</v>
      </c>
      <c r="FH314" s="14">
        <v>5</v>
      </c>
      <c r="FI314" s="14">
        <f>IFERROR(AVERAGE(Tabel1[[#This Row],[Do - V1]],Tabel1[[#This Row],[Do - V2]],Tabel1[[#This Row],[Do - V3]],Tabel1[[#This Row],[Do - V4]]),"")</f>
        <v>3.25</v>
      </c>
      <c r="FJ314" s="14">
        <v>5</v>
      </c>
      <c r="FK314" s="14">
        <v>3</v>
      </c>
      <c r="FL314" s="14">
        <v>4</v>
      </c>
      <c r="FM314" s="14">
        <f>IFERROR(AVERAGE(Tabel1[[#This Row],[Do - A1a]:[Do - A1c]]),"")</f>
        <v>4</v>
      </c>
      <c r="FN314" s="14">
        <v>4</v>
      </c>
      <c r="FO314" s="14">
        <v>1</v>
      </c>
      <c r="FP314" s="14">
        <f>IFERROR(AVERAGE(Tabel1[[#This Row],[Do - A2a]:[Do - A2b]]),"")</f>
        <v>2.5</v>
      </c>
      <c r="FQ314" s="14">
        <v>3</v>
      </c>
      <c r="FR314" s="14">
        <f>IFERROR(AVERAGE(Tabel1[[#This Row],[Do - A3a]:[Do - A3a]]),"")</f>
        <v>3</v>
      </c>
      <c r="FS314" s="14">
        <v>3</v>
      </c>
      <c r="FT314" s="14">
        <f>IFERROR(AVERAGE(Tabel1[[#This Row],[Do - A1]],Tabel1[[#This Row],[Do - A2]],Tabel1[[#This Row],[Do - A3]],Tabel1[[#This Row],[Do - A4]]),"")</f>
        <v>3.125</v>
      </c>
      <c r="FU31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2.4525925925925929</v>
      </c>
      <c r="FV314" s="27" t="s">
        <v>1639</v>
      </c>
      <c r="FW314" t="b">
        <v>1</v>
      </c>
    </row>
    <row r="315" spans="1:179" x14ac:dyDescent="0.3">
      <c r="A315" s="13">
        <v>45421.293541666702</v>
      </c>
      <c r="B315" t="b">
        <v>0</v>
      </c>
      <c r="C315" s="14" t="s">
        <v>1640</v>
      </c>
      <c r="D315" s="14" t="s">
        <v>1641</v>
      </c>
      <c r="E315" s="14" t="s">
        <v>1642</v>
      </c>
      <c r="F315" s="14" t="s">
        <v>184</v>
      </c>
      <c r="G315" s="14" t="s">
        <v>1643</v>
      </c>
      <c r="H315" s="14" t="s">
        <v>222</v>
      </c>
      <c r="I315" s="14" t="s">
        <v>195</v>
      </c>
      <c r="J315" s="14" t="s">
        <v>196</v>
      </c>
      <c r="K315" s="28" t="s">
        <v>202</v>
      </c>
      <c r="L315" s="14" t="s">
        <v>197</v>
      </c>
      <c r="M315" s="14" t="s">
        <v>233</v>
      </c>
      <c r="N315" s="14" t="s">
        <v>199</v>
      </c>
      <c r="O315" s="14" t="s">
        <v>200</v>
      </c>
      <c r="P315" s="24" t="s">
        <v>304</v>
      </c>
      <c r="Q315" s="17" t="s">
        <v>201</v>
      </c>
      <c r="R315" s="25" t="s">
        <v>201</v>
      </c>
      <c r="S315" s="25" t="s">
        <v>201</v>
      </c>
      <c r="T315" s="14" t="s">
        <v>204</v>
      </c>
      <c r="U315" s="14" t="s">
        <v>205</v>
      </c>
      <c r="V315" s="14" t="s">
        <v>224</v>
      </c>
      <c r="W315" s="14" t="s">
        <v>395</v>
      </c>
      <c r="X315" s="14" t="s">
        <v>306</v>
      </c>
      <c r="Y315" s="14">
        <v>3</v>
      </c>
      <c r="Z315" s="14">
        <v>3</v>
      </c>
      <c r="AA315" s="14" t="s">
        <v>189</v>
      </c>
      <c r="AB315" s="15">
        <f>IFERROR(AVERAGE(Tabel1[[#This Row],[Up - R1a]:[Up - R1c]]),"")</f>
        <v>3</v>
      </c>
      <c r="AC315" s="14">
        <v>5</v>
      </c>
      <c r="AD315" s="14">
        <v>1</v>
      </c>
      <c r="AE315" s="14">
        <v>1</v>
      </c>
      <c r="AF315" s="14" t="s">
        <v>189</v>
      </c>
      <c r="AG315" s="14">
        <f>IFERROR(AVERAGE(Tabel1[[#This Row],[Up - R1]:[Up - R5]]),"")</f>
        <v>2.5</v>
      </c>
      <c r="AH315" s="14" t="s">
        <v>189</v>
      </c>
      <c r="AI315" s="14">
        <v>1</v>
      </c>
      <c r="AJ315" s="14">
        <v>3</v>
      </c>
      <c r="AK315" s="14">
        <f>IFERROR(AVERAGE(Tabel1[[#This Row],[Up - C1a]:[Up - C1c]]),"")</f>
        <v>2</v>
      </c>
      <c r="AL315" s="14">
        <v>4</v>
      </c>
      <c r="AM315" s="14">
        <v>3</v>
      </c>
      <c r="AN315" s="14" t="s">
        <v>189</v>
      </c>
      <c r="AO315" s="14">
        <f>IFERROR(AVERAGE(Tabel1[[#This Row],[Up - C1]:[Up - C4]]),"")</f>
        <v>3</v>
      </c>
      <c r="AP315" s="14">
        <v>5</v>
      </c>
      <c r="AQ315" s="14">
        <f>IFERROR(AVERAGE(Tabel1[[#This Row],[Up - F1a]:[Up - F1a]]),"")</f>
        <v>5</v>
      </c>
      <c r="AR315" s="14">
        <v>1</v>
      </c>
      <c r="AS315" s="14">
        <v>1</v>
      </c>
      <c r="AT315" s="14">
        <f>IFERROR(AVERAGE(Tabel1[[#This Row],[Up - F2a]:[Up - F2b]]),"")</f>
        <v>1</v>
      </c>
      <c r="AU315" s="14">
        <v>2</v>
      </c>
      <c r="AV315" s="14">
        <v>5</v>
      </c>
      <c r="AW315" s="14">
        <f>IFERROR(AVERAGE(Tabel1[[#This Row],[Up - F3a]:[Up - F3b]]),"")</f>
        <v>3.5</v>
      </c>
      <c r="AX315" s="14" t="s">
        <v>189</v>
      </c>
      <c r="AY315" s="14">
        <f>IFERROR(AVERAGE(Tabel1[[#This Row],[Up - F1]],Tabel1[[#This Row],[Up - F2]],Tabel1[[#This Row],[Up - F3]],Tabel1[[#This Row],[Up - F4]]),"")</f>
        <v>3.1666666666666665</v>
      </c>
      <c r="AZ315" s="14" t="s">
        <v>189</v>
      </c>
      <c r="BA315" s="14" t="s">
        <v>189</v>
      </c>
      <c r="BB315" s="14" t="str">
        <f>IFERROR(AVERAGE(Tabel1[[#This Row],[Up - V1a]:[Up - V1b]]),"")</f>
        <v/>
      </c>
      <c r="BC315" s="14">
        <v>2</v>
      </c>
      <c r="BD315" s="14">
        <v>1</v>
      </c>
      <c r="BE315" s="14">
        <v>5</v>
      </c>
      <c r="BF315" s="14">
        <f>IFERROR(AVERAGE(Tabel1[[#This Row],[Up - V2a]:[Up - V2c]]),"")</f>
        <v>2.6666666666666665</v>
      </c>
      <c r="BG315" s="14" t="s">
        <v>189</v>
      </c>
      <c r="BH315" s="14">
        <v>5</v>
      </c>
      <c r="BI315" s="14">
        <f>IFERROR(AVERAGE(Tabel1[[#This Row],[Up - V3a]:[Up - V3b]]),"")</f>
        <v>5</v>
      </c>
      <c r="BJ315" s="14" t="s">
        <v>189</v>
      </c>
      <c r="BK315" s="14">
        <f>IFERROR(AVERAGE(Tabel1[[#This Row],[Up - V1]],Tabel1[[#This Row],[Up - V2]],Tabel1[[#This Row],[Up - V3]],Tabel1[[#This Row],[Up - V4]]),"")</f>
        <v>3.833333333333333</v>
      </c>
      <c r="BL315" s="14">
        <v>5</v>
      </c>
      <c r="BM315" s="14">
        <v>5</v>
      </c>
      <c r="BN315" s="14">
        <v>5</v>
      </c>
      <c r="BO315" s="14" t="s">
        <v>189</v>
      </c>
      <c r="BP315" s="14">
        <f>IFERROR(AVERAGE(Tabel1[[#This Row],[Up - A1a]:[Up - A1d]]),"")</f>
        <v>5</v>
      </c>
      <c r="BQ315" s="14">
        <v>5</v>
      </c>
      <c r="BR315" s="14">
        <v>3</v>
      </c>
      <c r="BS315" s="14">
        <f>IFERROR(AVERAGE(Tabel1[[#This Row],[Up - A2a]:[Up - A2b]]),"")</f>
        <v>4</v>
      </c>
      <c r="BT315" s="14">
        <v>5</v>
      </c>
      <c r="BU315" s="14">
        <f>IFERROR(AVERAGE(Tabel1[[#This Row],[Up - A3a]:[Up - A3a]]),"")</f>
        <v>5</v>
      </c>
      <c r="BV315" s="14" t="s">
        <v>189</v>
      </c>
      <c r="BW315" s="14">
        <f>IFERROR(AVERAGE(Tabel1[[#This Row],[Up - A1]],Tabel1[[#This Row],[Up - A2]],Tabel1[[#This Row],[Up - A3]]),"")</f>
        <v>4.666666666666667</v>
      </c>
      <c r="BX315" s="14">
        <v>5</v>
      </c>
      <c r="BY315" s="14">
        <v>5</v>
      </c>
      <c r="BZ315" s="14">
        <f>IFERROR(AVERAGE(Tabel1[[#This Row],[In - R1a]:[In - R1b]]),"")</f>
        <v>5</v>
      </c>
      <c r="CA315" s="14">
        <v>5</v>
      </c>
      <c r="CB315" s="14">
        <v>1</v>
      </c>
      <c r="CC315" s="14">
        <v>1</v>
      </c>
      <c r="CD315" s="14" t="s">
        <v>189</v>
      </c>
      <c r="CE315" s="14">
        <f>IFERROR(AVERAGE(Tabel1[[#This Row],[In - R1]:[In - R5]]),"")</f>
        <v>3</v>
      </c>
      <c r="CF315" s="14">
        <v>1</v>
      </c>
      <c r="CG315" s="14">
        <v>1</v>
      </c>
      <c r="CH315" s="14">
        <v>3</v>
      </c>
      <c r="CI315" s="14">
        <f>IFERROR(AVERAGE(Tabel1[[#This Row],[In - C1a]:[In - C1c]]),"")</f>
        <v>1.6666666666666667</v>
      </c>
      <c r="CJ315" s="14">
        <v>5</v>
      </c>
      <c r="CK315" s="14">
        <v>5</v>
      </c>
      <c r="CL315" s="14">
        <v>5</v>
      </c>
      <c r="CM315" s="14">
        <f>IFERROR(AVERAGE(Tabel1[[#This Row],[In - C1]:[In - C4]]),"")</f>
        <v>4.166666666666667</v>
      </c>
      <c r="CN315" s="14">
        <v>5</v>
      </c>
      <c r="CO315" s="14">
        <v>3</v>
      </c>
      <c r="CP315" s="14">
        <v>3</v>
      </c>
      <c r="CQ315" s="14">
        <f>IFERROR(AVERAGE(Tabel1[[#This Row],[In - F1a]:[In - F1c]]),"")</f>
        <v>3.6666666666666665</v>
      </c>
      <c r="CR315" s="14">
        <v>1</v>
      </c>
      <c r="CS315" s="14">
        <v>1</v>
      </c>
      <c r="CT315" s="14">
        <f>IFERROR(AVERAGE(Tabel1[[#This Row],[In - F2a]:[In - F2b]]),"")</f>
        <v>1</v>
      </c>
      <c r="CU315" s="14">
        <v>1</v>
      </c>
      <c r="CV315" s="14">
        <f>IFERROR(AVERAGE(Tabel1[[#This Row],[In - F3a]:[In - F3a]]),"")</f>
        <v>1</v>
      </c>
      <c r="CW315" s="14">
        <v>5</v>
      </c>
      <c r="CX315" s="14">
        <f>IFERROR(AVERAGE(Tabel1[[#This Row],[In - F1]],Tabel1[[#This Row],[In - F2]],Tabel1[[#This Row],[In - F3]],Tabel1[[#This Row],[In - F4]]),"")</f>
        <v>2.6666666666666665</v>
      </c>
      <c r="CY315" s="14">
        <v>5</v>
      </c>
      <c r="CZ315" s="14">
        <v>5</v>
      </c>
      <c r="DA315" s="14">
        <v>1</v>
      </c>
      <c r="DB315" s="14">
        <f>IFERROR(AVERAGE(Tabel1[[#This Row],[In - V1a]:[In - V1c]]),"")</f>
        <v>3.6666666666666665</v>
      </c>
      <c r="DC315" s="14">
        <v>5</v>
      </c>
      <c r="DD315" s="14">
        <v>4</v>
      </c>
      <c r="DE315" s="14">
        <v>5</v>
      </c>
      <c r="DF315" s="14">
        <f>IFERROR(AVERAGE(Tabel1[[#This Row],[In - V2a]:[In - V2c]]),"")</f>
        <v>4.666666666666667</v>
      </c>
      <c r="DG315" s="14">
        <v>4</v>
      </c>
      <c r="DH315" s="14">
        <v>5</v>
      </c>
      <c r="DI315" s="14">
        <f>IFERROR(AVERAGE(Tabel1[[#This Row],[In - V3a]:[In - V3b]]),"")</f>
        <v>4.5</v>
      </c>
      <c r="DJ315" s="14" t="s">
        <v>189</v>
      </c>
      <c r="DK315" s="14">
        <f>IFERROR(AVERAGE(Tabel1[[#This Row],[In - V1]],Tabel1[[#This Row],[In - V2]],Tabel1[[#This Row],[In - V3]],Tabel1[[#This Row],[In - V4]]),"")</f>
        <v>4.2777777777777777</v>
      </c>
      <c r="DL315" s="14">
        <v>3</v>
      </c>
      <c r="DM315" s="14">
        <v>3</v>
      </c>
      <c r="DN315" s="14">
        <f>IFERROR(AVERAGE(Tabel1[[#This Row],[In - A1a]:[In - A1b]]),"")</f>
        <v>3</v>
      </c>
      <c r="DO315" s="14">
        <v>5</v>
      </c>
      <c r="DP315" s="14">
        <v>5</v>
      </c>
      <c r="DQ315" s="14">
        <f>IFERROR(AVERAGE(Tabel1[[#This Row],[In - A2a]:[In - A2b]]),"")</f>
        <v>5</v>
      </c>
      <c r="DR315" s="14">
        <v>5</v>
      </c>
      <c r="DS315" s="14">
        <v>3</v>
      </c>
      <c r="DT315" s="14">
        <f>IFERROR(AVERAGE(Tabel1[[#This Row],[In - A3a]:[In - A3a]]),"")</f>
        <v>5</v>
      </c>
      <c r="DU315" s="14" t="s">
        <v>189</v>
      </c>
      <c r="DV315" s="14">
        <f>IFERROR(AVERAGE(Tabel1[[#This Row],[In - A1]],Tabel1[[#This Row],[In - A2]],Tabel1[[#This Row],[In - A3]],Tabel1[[#This Row],[In - A4]]),"")</f>
        <v>4.333333333333333</v>
      </c>
      <c r="DW315" s="14">
        <v>5</v>
      </c>
      <c r="DX315" s="14">
        <v>5</v>
      </c>
      <c r="DY315" s="14">
        <v>5</v>
      </c>
      <c r="DZ315" s="14">
        <f>IFERROR(AVERAGE(Tabel1[[#This Row],[Do - R1a]:[Do - R1c]]),"")</f>
        <v>5</v>
      </c>
      <c r="EA315" s="14">
        <v>1</v>
      </c>
      <c r="EB315" s="14">
        <v>1</v>
      </c>
      <c r="EC315" s="14">
        <v>5</v>
      </c>
      <c r="ED315" s="14">
        <v>3</v>
      </c>
      <c r="EE315" s="14">
        <f>IFERROR(AVERAGE(Tabel1[[#This Row],[Do - R1]:[Do - R5]]),"")</f>
        <v>3</v>
      </c>
      <c r="EF315" s="14" t="s">
        <v>189</v>
      </c>
      <c r="EG315" s="14">
        <v>1</v>
      </c>
      <c r="EH315" s="14">
        <v>3</v>
      </c>
      <c r="EI315" s="14">
        <f>IFERROR(AVERAGE(Tabel1[[#This Row],[Do - C1a]:[Do - C1c]]),"")</f>
        <v>2</v>
      </c>
      <c r="EJ315" s="14">
        <v>5</v>
      </c>
      <c r="EK315" s="14">
        <v>5</v>
      </c>
      <c r="EL315" s="14" t="s">
        <v>189</v>
      </c>
      <c r="EM315" s="14">
        <f>IFERROR(AVERAGE(Tabel1[[#This Row],[Do - C1]:[Do - C4]]),"")</f>
        <v>4</v>
      </c>
      <c r="EN315" s="14" t="s">
        <v>189</v>
      </c>
      <c r="EO315" s="14">
        <v>3</v>
      </c>
      <c r="EP315" s="14">
        <v>5</v>
      </c>
      <c r="EQ315" s="14">
        <f>IFERROR(AVERAGE(Tabel1[[#This Row],[Do - F1a]:[Do - F1c]]),"")</f>
        <v>4</v>
      </c>
      <c r="ER315" s="14" t="s">
        <v>189</v>
      </c>
      <c r="ES315" s="14" t="str">
        <f>IFERROR(AVERAGE(Tabel1[[#This Row],[Do - F2a]:[Do - F2a]]),"")</f>
        <v/>
      </c>
      <c r="ET315" s="14">
        <v>5</v>
      </c>
      <c r="EU315" s="14">
        <v>5</v>
      </c>
      <c r="EV315" s="14">
        <f>IFERROR(AVERAGE(Tabel1[[#This Row],[Do - F3a]:[Do - F3b]]),"")</f>
        <v>5</v>
      </c>
      <c r="EW315" s="14" t="s">
        <v>189</v>
      </c>
      <c r="EX315" s="14">
        <f>IFERROR(AVERAGE(Tabel1[[#This Row],[Do - F1]],Tabel1[[#This Row],[Do - F2]],Tabel1[[#This Row],[Do - F3]],Tabel1[[#This Row],[Do - F4]]),"")</f>
        <v>4.5</v>
      </c>
      <c r="EY315" s="14">
        <v>5</v>
      </c>
      <c r="EZ315" s="14">
        <v>4</v>
      </c>
      <c r="FA315" s="14">
        <v>5</v>
      </c>
      <c r="FB315" s="14">
        <f>IFERROR(AVERAGE(Tabel1[[#This Row],[Do - V1a]:[Do - V1c]]),"")</f>
        <v>4.666666666666667</v>
      </c>
      <c r="FC315" s="14">
        <v>5</v>
      </c>
      <c r="FD315" s="14">
        <v>5</v>
      </c>
      <c r="FE315" s="14">
        <f>IFERROR(AVERAGE(Tabel1[[#This Row],[Do - V2a]:[Do - V2b]]),"")</f>
        <v>5</v>
      </c>
      <c r="FF315" s="14">
        <v>5</v>
      </c>
      <c r="FG315" s="14">
        <f>IFERROR(AVERAGE(Tabel1[[#This Row],[Do - V3a]:[Do - V3a]]),"")</f>
        <v>5</v>
      </c>
      <c r="FH315" s="14" t="s">
        <v>189</v>
      </c>
      <c r="FI315" s="14">
        <f>IFERROR(AVERAGE(Tabel1[[#This Row],[Do - V1]],Tabel1[[#This Row],[Do - V2]],Tabel1[[#This Row],[Do - V3]],Tabel1[[#This Row],[Do - V4]]),"")</f>
        <v>4.8888888888888893</v>
      </c>
      <c r="FJ315" s="14">
        <v>5</v>
      </c>
      <c r="FK315" s="14">
        <v>5</v>
      </c>
      <c r="FL315" s="14">
        <v>5</v>
      </c>
      <c r="FM315" s="14">
        <f>IFERROR(AVERAGE(Tabel1[[#This Row],[Do - A1a]:[Do - A1c]]),"")</f>
        <v>5</v>
      </c>
      <c r="FN315" s="14">
        <v>5</v>
      </c>
      <c r="FO315" s="14">
        <v>3</v>
      </c>
      <c r="FP315" s="14">
        <f>IFERROR(AVERAGE(Tabel1[[#This Row],[Do - A2a]:[Do - A2b]]),"")</f>
        <v>4</v>
      </c>
      <c r="FQ315" s="14">
        <v>5</v>
      </c>
      <c r="FR315" s="14">
        <f>IFERROR(AVERAGE(Tabel1[[#This Row],[Do - A3a]:[Do - A3a]]),"")</f>
        <v>5</v>
      </c>
      <c r="FS315" s="14" t="s">
        <v>189</v>
      </c>
      <c r="FT315" s="14">
        <f>IFERROR(AVERAGE(Tabel1[[#This Row],[Do - A1]],Tabel1[[#This Row],[Do - A2]],Tabel1[[#This Row],[Do - A3]],Tabel1[[#This Row],[Do - A4]]),"")</f>
        <v>4.666666666666667</v>
      </c>
      <c r="FU31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3.7777777777777777</v>
      </c>
      <c r="FV315" s="27" t="s">
        <v>1644</v>
      </c>
      <c r="FW315" t="b">
        <v>1</v>
      </c>
    </row>
    <row r="316" spans="1:179" x14ac:dyDescent="0.3">
      <c r="A316" s="13">
        <v>45425.302986111099</v>
      </c>
      <c r="B316" t="b">
        <v>0</v>
      </c>
      <c r="C316" s="14" t="s">
        <v>1645</v>
      </c>
      <c r="D316" s="14" t="s">
        <v>629</v>
      </c>
      <c r="E316" s="14" t="s">
        <v>1646</v>
      </c>
      <c r="F316" s="14" t="s">
        <v>184</v>
      </c>
      <c r="G316" s="14" t="s">
        <v>1647</v>
      </c>
      <c r="H316" s="14" t="s">
        <v>222</v>
      </c>
      <c r="I316" s="14" t="s">
        <v>195</v>
      </c>
      <c r="J316" s="14" t="s">
        <v>1154</v>
      </c>
      <c r="K316" s="28" t="s">
        <v>201</v>
      </c>
      <c r="L316" s="14" t="s">
        <v>385</v>
      </c>
      <c r="M316" s="14" t="s">
        <v>198</v>
      </c>
      <c r="N316" s="14" t="s">
        <v>199</v>
      </c>
      <c r="O316" s="14" t="s">
        <v>200</v>
      </c>
      <c r="P316" s="25" t="s">
        <v>203</v>
      </c>
      <c r="Q316" s="17" t="s">
        <v>201</v>
      </c>
      <c r="R316" s="25" t="s">
        <v>201</v>
      </c>
      <c r="S316" s="25" t="s">
        <v>201</v>
      </c>
      <c r="T316" s="14" t="s">
        <v>236</v>
      </c>
      <c r="U316" s="14" t="s">
        <v>285</v>
      </c>
      <c r="V316" s="14" t="s">
        <v>359</v>
      </c>
      <c r="W316" s="14" t="s">
        <v>395</v>
      </c>
      <c r="X316" s="14" t="s">
        <v>207</v>
      </c>
      <c r="Y316" s="14">
        <v>2</v>
      </c>
      <c r="Z316" s="14">
        <v>3</v>
      </c>
      <c r="AA316" s="14">
        <v>2</v>
      </c>
      <c r="AB316" s="15">
        <f>IFERROR(AVERAGE(Tabel1[[#This Row],[Up - R1a]:[Up - R1c]]),"")</f>
        <v>2.3333333333333335</v>
      </c>
      <c r="AC316" s="14">
        <v>2</v>
      </c>
      <c r="AD316" s="14">
        <v>1</v>
      </c>
      <c r="AE316" s="14">
        <v>1</v>
      </c>
      <c r="AF316" s="14">
        <v>2</v>
      </c>
      <c r="AG316" s="14">
        <f>IFERROR(AVERAGE(Tabel1[[#This Row],[Up - R1]:[Up - R5]]),"")</f>
        <v>1.6666666666666667</v>
      </c>
      <c r="AH316" s="14">
        <v>3</v>
      </c>
      <c r="AI316" s="14">
        <v>2</v>
      </c>
      <c r="AJ316" s="14">
        <v>2</v>
      </c>
      <c r="AK316" s="14">
        <f>IFERROR(AVERAGE(Tabel1[[#This Row],[Up - C1a]:[Up - C1c]]),"")</f>
        <v>2.3333333333333335</v>
      </c>
      <c r="AL316" s="14">
        <v>1</v>
      </c>
      <c r="AM316" s="14">
        <v>1</v>
      </c>
      <c r="AN316" s="14">
        <v>2</v>
      </c>
      <c r="AO316" s="14">
        <f>IFERROR(AVERAGE(Tabel1[[#This Row],[Up - C1]:[Up - C4]]),"")</f>
        <v>1.5833333333333335</v>
      </c>
      <c r="AP316" s="14">
        <v>1</v>
      </c>
      <c r="AQ316" s="14">
        <f>IFERROR(AVERAGE(Tabel1[[#This Row],[Up - F1a]:[Up - F1a]]),"")</f>
        <v>1</v>
      </c>
      <c r="AR316" s="14">
        <v>1</v>
      </c>
      <c r="AS316" s="14">
        <v>2</v>
      </c>
      <c r="AT316" s="14">
        <f>IFERROR(AVERAGE(Tabel1[[#This Row],[Up - F2a]:[Up - F2b]]),"")</f>
        <v>1.5</v>
      </c>
      <c r="AU316" s="14">
        <v>2</v>
      </c>
      <c r="AV316" s="14">
        <v>1</v>
      </c>
      <c r="AW316" s="14">
        <f>IFERROR(AVERAGE(Tabel1[[#This Row],[Up - F3a]:[Up - F3b]]),"")</f>
        <v>1.5</v>
      </c>
      <c r="AX316" s="14">
        <v>1</v>
      </c>
      <c r="AY316" s="14">
        <f>IFERROR(AVERAGE(Tabel1[[#This Row],[Up - F1]],Tabel1[[#This Row],[Up - F2]],Tabel1[[#This Row],[Up - F3]],Tabel1[[#This Row],[Up - F4]]),"")</f>
        <v>1.25</v>
      </c>
      <c r="AZ316" s="14">
        <v>1</v>
      </c>
      <c r="BA316" s="14">
        <v>2</v>
      </c>
      <c r="BB316" s="14">
        <f>IFERROR(AVERAGE(Tabel1[[#This Row],[Up - V1a]:[Up - V1b]]),"")</f>
        <v>1.5</v>
      </c>
      <c r="BC316" s="14">
        <v>2</v>
      </c>
      <c r="BD316" s="14">
        <v>1</v>
      </c>
      <c r="BE316" s="14">
        <v>2</v>
      </c>
      <c r="BF316" s="14">
        <f>IFERROR(AVERAGE(Tabel1[[#This Row],[Up - V2a]:[Up - V2c]]),"")</f>
        <v>1.6666666666666667</v>
      </c>
      <c r="BG316" s="14">
        <v>2</v>
      </c>
      <c r="BH316" s="14">
        <v>1</v>
      </c>
      <c r="BI316" s="14">
        <f>IFERROR(AVERAGE(Tabel1[[#This Row],[Up - V3a]:[Up - V3b]]),"")</f>
        <v>1.5</v>
      </c>
      <c r="BJ316" s="14">
        <v>1</v>
      </c>
      <c r="BK316" s="14">
        <f>IFERROR(AVERAGE(Tabel1[[#This Row],[Up - V1]],Tabel1[[#This Row],[Up - V2]],Tabel1[[#This Row],[Up - V3]],Tabel1[[#This Row],[Up - V4]]),"")</f>
        <v>1.4166666666666667</v>
      </c>
      <c r="BL316" s="14">
        <v>3</v>
      </c>
      <c r="BM316" s="14">
        <v>3</v>
      </c>
      <c r="BN316" s="14">
        <v>3</v>
      </c>
      <c r="BO316" s="14">
        <v>3</v>
      </c>
      <c r="BP316" s="14">
        <f>IFERROR(AVERAGE(Tabel1[[#This Row],[Up - A1a]:[Up - A1d]]),"")</f>
        <v>3</v>
      </c>
      <c r="BQ316" s="14">
        <v>2</v>
      </c>
      <c r="BR316" s="14">
        <v>1</v>
      </c>
      <c r="BS316" s="14">
        <f>IFERROR(AVERAGE(Tabel1[[#This Row],[Up - A2a]:[Up - A2b]]),"")</f>
        <v>1.5</v>
      </c>
      <c r="BT316" s="14">
        <v>2</v>
      </c>
      <c r="BU316" s="14">
        <f>IFERROR(AVERAGE(Tabel1[[#This Row],[Up - A3a]:[Up - A3a]]),"")</f>
        <v>2</v>
      </c>
      <c r="BV316" s="14">
        <v>3</v>
      </c>
      <c r="BW316" s="14">
        <f>IFERROR(AVERAGE(Tabel1[[#This Row],[Up - A1]],Tabel1[[#This Row],[Up - A2]],Tabel1[[#This Row],[Up - A3]]),"")</f>
        <v>2.1666666666666665</v>
      </c>
      <c r="BX316" s="14">
        <v>1</v>
      </c>
      <c r="BY316" s="14">
        <v>2</v>
      </c>
      <c r="BZ316" s="14">
        <f>IFERROR(AVERAGE(Tabel1[[#This Row],[In - R1a]:[In - R1b]]),"")</f>
        <v>1.5</v>
      </c>
      <c r="CA316" s="14">
        <v>2</v>
      </c>
      <c r="CB316" s="14">
        <v>1</v>
      </c>
      <c r="CC316" s="14">
        <v>3</v>
      </c>
      <c r="CD316" s="14">
        <v>2</v>
      </c>
      <c r="CE316" s="14">
        <f>IFERROR(AVERAGE(Tabel1[[#This Row],[In - R1]:[In - R5]]),"")</f>
        <v>1.9</v>
      </c>
      <c r="CF316" s="14">
        <v>2</v>
      </c>
      <c r="CG316" s="14">
        <v>3</v>
      </c>
      <c r="CH316" s="14">
        <v>3</v>
      </c>
      <c r="CI316" s="14">
        <f>IFERROR(AVERAGE(Tabel1[[#This Row],[In - C1a]:[In - C1c]]),"")</f>
        <v>2.6666666666666665</v>
      </c>
      <c r="CJ316" s="14">
        <v>3</v>
      </c>
      <c r="CK316" s="14">
        <v>2</v>
      </c>
      <c r="CL316" s="14">
        <v>4</v>
      </c>
      <c r="CM316" s="14">
        <f>IFERROR(AVERAGE(Tabel1[[#This Row],[In - C1]:[In - C4]]),"")</f>
        <v>2.9166666666666665</v>
      </c>
      <c r="CN316" s="14">
        <v>3</v>
      </c>
      <c r="CO316" s="14">
        <v>2</v>
      </c>
      <c r="CP316" s="14">
        <v>1</v>
      </c>
      <c r="CQ316" s="14">
        <f>IFERROR(AVERAGE(Tabel1[[#This Row],[In - F1a]:[In - F1c]]),"")</f>
        <v>2</v>
      </c>
      <c r="CR316" s="14">
        <v>1</v>
      </c>
      <c r="CS316" s="14">
        <v>1</v>
      </c>
      <c r="CT316" s="14">
        <f>IFERROR(AVERAGE(Tabel1[[#This Row],[In - F2a]:[In - F2b]]),"")</f>
        <v>1</v>
      </c>
      <c r="CU316" s="14">
        <v>1</v>
      </c>
      <c r="CV316" s="14">
        <f>IFERROR(AVERAGE(Tabel1[[#This Row],[In - F3a]:[In - F3a]]),"")</f>
        <v>1</v>
      </c>
      <c r="CW316" s="14">
        <v>2</v>
      </c>
      <c r="CX316" s="14">
        <f>IFERROR(AVERAGE(Tabel1[[#This Row],[In - F1]],Tabel1[[#This Row],[In - F2]],Tabel1[[#This Row],[In - F3]],Tabel1[[#This Row],[In - F4]]),"")</f>
        <v>1.5</v>
      </c>
      <c r="CY316" s="14">
        <v>3</v>
      </c>
      <c r="CZ316" s="14">
        <v>3</v>
      </c>
      <c r="DA316" s="14">
        <v>1</v>
      </c>
      <c r="DB316" s="14">
        <f>IFERROR(AVERAGE(Tabel1[[#This Row],[In - V1a]:[In - V1c]]),"")</f>
        <v>2.3333333333333335</v>
      </c>
      <c r="DC316" s="14">
        <v>4</v>
      </c>
      <c r="DD316" s="14">
        <v>2</v>
      </c>
      <c r="DE316" s="14">
        <v>2</v>
      </c>
      <c r="DF316" s="14">
        <f>IFERROR(AVERAGE(Tabel1[[#This Row],[In - V2a]:[In - V2c]]),"")</f>
        <v>2.6666666666666665</v>
      </c>
      <c r="DG316" s="14">
        <v>2</v>
      </c>
      <c r="DH316" s="14">
        <v>4</v>
      </c>
      <c r="DI316" s="14">
        <f>IFERROR(AVERAGE(Tabel1[[#This Row],[In - V3a]:[In - V3b]]),"")</f>
        <v>3</v>
      </c>
      <c r="DJ316" s="14">
        <v>4</v>
      </c>
      <c r="DK316" s="14">
        <f>IFERROR(AVERAGE(Tabel1[[#This Row],[In - V1]],Tabel1[[#This Row],[In - V2]],Tabel1[[#This Row],[In - V3]],Tabel1[[#This Row],[In - V4]]),"")</f>
        <v>3</v>
      </c>
      <c r="DL316" s="14">
        <v>3</v>
      </c>
      <c r="DM316" s="14">
        <v>3</v>
      </c>
      <c r="DN316" s="14">
        <f>IFERROR(AVERAGE(Tabel1[[#This Row],[In - A1a]:[In - A1b]]),"")</f>
        <v>3</v>
      </c>
      <c r="DO316" s="14">
        <v>3</v>
      </c>
      <c r="DP316" s="14">
        <v>2</v>
      </c>
      <c r="DQ316" s="14">
        <f>IFERROR(AVERAGE(Tabel1[[#This Row],[In - A2a]:[In - A2b]]),"")</f>
        <v>2.5</v>
      </c>
      <c r="DR316" s="14">
        <v>3</v>
      </c>
      <c r="DS316" s="14">
        <v>2</v>
      </c>
      <c r="DT316" s="14">
        <f>IFERROR(AVERAGE(Tabel1[[#This Row],[In - A3a]:[In - A3a]]),"")</f>
        <v>3</v>
      </c>
      <c r="DU316" s="14">
        <v>3</v>
      </c>
      <c r="DV316" s="14">
        <f>IFERROR(AVERAGE(Tabel1[[#This Row],[In - A1]],Tabel1[[#This Row],[In - A2]],Tabel1[[#This Row],[In - A3]],Tabel1[[#This Row],[In - A4]]),"")</f>
        <v>2.875</v>
      </c>
      <c r="DW316" s="14">
        <v>1</v>
      </c>
      <c r="DX316" s="14">
        <v>4</v>
      </c>
      <c r="DY316" s="14">
        <v>1</v>
      </c>
      <c r="DZ316" s="14">
        <f>IFERROR(AVERAGE(Tabel1[[#This Row],[Do - R1a]:[Do - R1c]]),"")</f>
        <v>2</v>
      </c>
      <c r="EA316" s="14">
        <v>1</v>
      </c>
      <c r="EB316" s="14">
        <v>1</v>
      </c>
      <c r="EC316" s="14">
        <v>1</v>
      </c>
      <c r="ED316" s="14">
        <v>3</v>
      </c>
      <c r="EE316" s="14">
        <f>IFERROR(AVERAGE(Tabel1[[#This Row],[Do - R1]:[Do - R5]]),"")</f>
        <v>1.6</v>
      </c>
      <c r="EF316" s="14">
        <v>4</v>
      </c>
      <c r="EG316" s="14">
        <v>2</v>
      </c>
      <c r="EH316" s="14">
        <v>2</v>
      </c>
      <c r="EI316" s="14">
        <f>IFERROR(AVERAGE(Tabel1[[#This Row],[Do - C1a]:[Do - C1c]]),"")</f>
        <v>2.6666666666666665</v>
      </c>
      <c r="EJ316" s="14">
        <v>2</v>
      </c>
      <c r="EK316" s="14">
        <v>1</v>
      </c>
      <c r="EL316" s="14">
        <v>2</v>
      </c>
      <c r="EM316" s="14">
        <f>IFERROR(AVERAGE(Tabel1[[#This Row],[Do - C1]:[Do - C4]]),"")</f>
        <v>1.9166666666666665</v>
      </c>
      <c r="EN316" s="14">
        <v>1</v>
      </c>
      <c r="EO316" s="14">
        <v>1</v>
      </c>
      <c r="EP316" s="14">
        <v>1</v>
      </c>
      <c r="EQ316" s="14">
        <f>IFERROR(AVERAGE(Tabel1[[#This Row],[Do - F1a]:[Do - F1c]]),"")</f>
        <v>1</v>
      </c>
      <c r="ER316" s="14">
        <v>1</v>
      </c>
      <c r="ES316" s="14">
        <f>IFERROR(AVERAGE(Tabel1[[#This Row],[Do - F2a]:[Do - F2a]]),"")</f>
        <v>1</v>
      </c>
      <c r="ET316" s="14">
        <v>1</v>
      </c>
      <c r="EU316" s="14">
        <v>1</v>
      </c>
      <c r="EV316" s="14">
        <f>IFERROR(AVERAGE(Tabel1[[#This Row],[Do - F3a]:[Do - F3b]]),"")</f>
        <v>1</v>
      </c>
      <c r="EW316" s="14">
        <v>1</v>
      </c>
      <c r="EX316" s="14">
        <f>IFERROR(AVERAGE(Tabel1[[#This Row],[Do - F1]],Tabel1[[#This Row],[Do - F2]],Tabel1[[#This Row],[Do - F3]],Tabel1[[#This Row],[Do - F4]]),"")</f>
        <v>1</v>
      </c>
      <c r="EY316" s="14">
        <v>2</v>
      </c>
      <c r="EZ316" s="14" t="s">
        <v>189</v>
      </c>
      <c r="FA316" s="14">
        <v>1</v>
      </c>
      <c r="FB316" s="14">
        <f>IFERROR(AVERAGE(Tabel1[[#This Row],[Do - V1a]:[Do - V1c]]),"")</f>
        <v>1.5</v>
      </c>
      <c r="FC316" s="14">
        <v>2</v>
      </c>
      <c r="FD316" s="14">
        <v>2</v>
      </c>
      <c r="FE316" s="14">
        <f>IFERROR(AVERAGE(Tabel1[[#This Row],[Do - V2a]:[Do - V2b]]),"")</f>
        <v>2</v>
      </c>
      <c r="FF316" s="14">
        <v>2</v>
      </c>
      <c r="FG316" s="14">
        <f>IFERROR(AVERAGE(Tabel1[[#This Row],[Do - V3a]:[Do - V3a]]),"")</f>
        <v>2</v>
      </c>
      <c r="FH316" s="14">
        <v>2</v>
      </c>
      <c r="FI316" s="14">
        <f>IFERROR(AVERAGE(Tabel1[[#This Row],[Do - V1]],Tabel1[[#This Row],[Do - V2]],Tabel1[[#This Row],[Do - V3]],Tabel1[[#This Row],[Do - V4]]),"")</f>
        <v>1.875</v>
      </c>
      <c r="FJ316" s="14">
        <v>3</v>
      </c>
      <c r="FK316" s="14">
        <v>3</v>
      </c>
      <c r="FL316" s="14">
        <v>3</v>
      </c>
      <c r="FM316" s="14">
        <f>IFERROR(AVERAGE(Tabel1[[#This Row],[Do - A1a]:[Do - A1c]]),"")</f>
        <v>3</v>
      </c>
      <c r="FN316" s="14" t="s">
        <v>189</v>
      </c>
      <c r="FO316" s="14">
        <v>1</v>
      </c>
      <c r="FP316" s="14">
        <f>IFERROR(AVERAGE(Tabel1[[#This Row],[Do - A2a]:[Do - A2b]]),"")</f>
        <v>1</v>
      </c>
      <c r="FQ316" s="14">
        <v>3</v>
      </c>
      <c r="FR316" s="14">
        <f>IFERROR(AVERAGE(Tabel1[[#This Row],[Do - A3a]:[Do - A3a]]),"")</f>
        <v>3</v>
      </c>
      <c r="FS316" s="14">
        <v>3</v>
      </c>
      <c r="FT316" s="14">
        <f>IFERROR(AVERAGE(Tabel1[[#This Row],[Do - A1]],Tabel1[[#This Row],[Do - A2]],Tabel1[[#This Row],[Do - A3]],Tabel1[[#This Row],[Do - A4]]),"")</f>
        <v>2.5</v>
      </c>
      <c r="FU31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1.9444444444444444</v>
      </c>
      <c r="FV316" s="27" t="s">
        <v>1648</v>
      </c>
      <c r="FW316" t="b">
        <v>1</v>
      </c>
    </row>
    <row r="317" spans="1:179" x14ac:dyDescent="0.3">
      <c r="A317" s="13">
        <v>45425.305</v>
      </c>
      <c r="B317" t="b">
        <v>0</v>
      </c>
      <c r="C317" s="14" t="s">
        <v>1649</v>
      </c>
      <c r="D317" s="14" t="s">
        <v>1650</v>
      </c>
      <c r="E317" s="14" t="s">
        <v>1651</v>
      </c>
      <c r="F317" s="14" t="s">
        <v>184</v>
      </c>
      <c r="G317" s="14" t="s">
        <v>1652</v>
      </c>
      <c r="H317" s="14" t="s">
        <v>222</v>
      </c>
      <c r="I317" s="14" t="s">
        <v>195</v>
      </c>
      <c r="J317" s="14" t="s">
        <v>261</v>
      </c>
      <c r="K317" s="28" t="s">
        <v>235</v>
      </c>
      <c r="L317" s="14" t="s">
        <v>197</v>
      </c>
      <c r="M317" s="14" t="s">
        <v>188</v>
      </c>
      <c r="N317" s="14" t="s">
        <v>199</v>
      </c>
      <c r="O317" s="14" t="s">
        <v>200</v>
      </c>
      <c r="P317" s="24" t="s">
        <v>255</v>
      </c>
      <c r="Q317" s="17" t="s">
        <v>201</v>
      </c>
      <c r="R317" s="24" t="s">
        <v>304</v>
      </c>
      <c r="S317" s="25" t="s">
        <v>201</v>
      </c>
      <c r="T317" s="14" t="s">
        <v>284</v>
      </c>
      <c r="U317" s="14" t="s">
        <v>237</v>
      </c>
      <c r="V317" s="14" t="s">
        <v>224</v>
      </c>
      <c r="W317" s="14" t="s">
        <v>306</v>
      </c>
      <c r="X317" s="14" t="s">
        <v>306</v>
      </c>
      <c r="Y317" s="14">
        <v>4</v>
      </c>
      <c r="Z317" s="14">
        <v>5</v>
      </c>
      <c r="AA317" s="14">
        <v>3</v>
      </c>
      <c r="AB317" s="15">
        <f>IFERROR(AVERAGE(Tabel1[[#This Row],[Up - R1a]:[Up - R1c]]),"")</f>
        <v>4</v>
      </c>
      <c r="AC317" s="14">
        <v>4</v>
      </c>
      <c r="AD317" s="14">
        <v>5</v>
      </c>
      <c r="AE317" s="14">
        <v>3</v>
      </c>
      <c r="AF317" s="14" t="s">
        <v>189</v>
      </c>
      <c r="AG317" s="14">
        <f>IFERROR(AVERAGE(Tabel1[[#This Row],[Up - R1]:[Up - R5]]),"")</f>
        <v>4</v>
      </c>
      <c r="AH317" s="14">
        <v>5</v>
      </c>
      <c r="AI317" s="14">
        <v>4</v>
      </c>
      <c r="AJ317" s="14">
        <v>4</v>
      </c>
      <c r="AK317" s="14">
        <f>IFERROR(AVERAGE(Tabel1[[#This Row],[Up - C1a]:[Up - C1c]]),"")</f>
        <v>4.333333333333333</v>
      </c>
      <c r="AL317" s="14">
        <v>5</v>
      </c>
      <c r="AM317" s="14">
        <v>5</v>
      </c>
      <c r="AN317" s="14" t="s">
        <v>189</v>
      </c>
      <c r="AO317" s="14">
        <f>IFERROR(AVERAGE(Tabel1[[#This Row],[Up - C1]:[Up - C4]]),"")</f>
        <v>4.7777777777777777</v>
      </c>
      <c r="AP317" s="14">
        <v>4</v>
      </c>
      <c r="AQ317" s="14">
        <f>IFERROR(AVERAGE(Tabel1[[#This Row],[Up - F1a]:[Up - F1a]]),"")</f>
        <v>4</v>
      </c>
      <c r="AR317" s="14">
        <v>3</v>
      </c>
      <c r="AS317" s="14">
        <v>3</v>
      </c>
      <c r="AT317" s="14">
        <f>IFERROR(AVERAGE(Tabel1[[#This Row],[Up - F2a]:[Up - F2b]]),"")</f>
        <v>3</v>
      </c>
      <c r="AU317" s="14">
        <v>4</v>
      </c>
      <c r="AV317" s="14">
        <v>3</v>
      </c>
      <c r="AW317" s="14">
        <f>IFERROR(AVERAGE(Tabel1[[#This Row],[Up - F3a]:[Up - F3b]]),"")</f>
        <v>3.5</v>
      </c>
      <c r="AX317" s="14" t="s">
        <v>189</v>
      </c>
      <c r="AY317" s="14">
        <f>IFERROR(AVERAGE(Tabel1[[#This Row],[Up - F1]],Tabel1[[#This Row],[Up - F2]],Tabel1[[#This Row],[Up - F3]],Tabel1[[#This Row],[Up - F4]]),"")</f>
        <v>3.5</v>
      </c>
      <c r="AZ317" s="14">
        <v>5</v>
      </c>
      <c r="BA317" s="14">
        <v>4</v>
      </c>
      <c r="BB317" s="14">
        <f>IFERROR(AVERAGE(Tabel1[[#This Row],[Up - V1a]:[Up - V1b]]),"")</f>
        <v>4.5</v>
      </c>
      <c r="BC317" s="14">
        <v>5</v>
      </c>
      <c r="BD317" s="14">
        <v>5</v>
      </c>
      <c r="BE317" s="14">
        <v>4</v>
      </c>
      <c r="BF317" s="14">
        <f>IFERROR(AVERAGE(Tabel1[[#This Row],[Up - V2a]:[Up - V2c]]),"")</f>
        <v>4.666666666666667</v>
      </c>
      <c r="BG317" s="14">
        <v>4</v>
      </c>
      <c r="BH317" s="14">
        <v>5</v>
      </c>
      <c r="BI317" s="14">
        <f>IFERROR(AVERAGE(Tabel1[[#This Row],[Up - V3a]:[Up - V3b]]),"")</f>
        <v>4.5</v>
      </c>
      <c r="BJ317" s="14" t="s">
        <v>189</v>
      </c>
      <c r="BK317" s="14">
        <f>IFERROR(AVERAGE(Tabel1[[#This Row],[Up - V1]],Tabel1[[#This Row],[Up - V2]],Tabel1[[#This Row],[Up - V3]],Tabel1[[#This Row],[Up - V4]]),"")</f>
        <v>4.5555555555555562</v>
      </c>
      <c r="BL317" s="14">
        <v>4</v>
      </c>
      <c r="BM317" s="14">
        <v>5</v>
      </c>
      <c r="BN317" s="14" t="s">
        <v>189</v>
      </c>
      <c r="BO317" s="14" t="s">
        <v>189</v>
      </c>
      <c r="BP317" s="14">
        <f>IFERROR(AVERAGE(Tabel1[[#This Row],[Up - A1a]:[Up - A1d]]),"")</f>
        <v>4.5</v>
      </c>
      <c r="BQ317" s="14">
        <v>3</v>
      </c>
      <c r="BR317" s="14">
        <v>5</v>
      </c>
      <c r="BS317" s="14">
        <f>IFERROR(AVERAGE(Tabel1[[#This Row],[Up - A2a]:[Up - A2b]]),"")</f>
        <v>4</v>
      </c>
      <c r="BT317" s="14">
        <v>4</v>
      </c>
      <c r="BU317" s="14">
        <f>IFERROR(AVERAGE(Tabel1[[#This Row],[Up - A3a]:[Up - A3a]]),"")</f>
        <v>4</v>
      </c>
      <c r="BV317" s="14">
        <v>4</v>
      </c>
      <c r="BW317" s="14">
        <f>IFERROR(AVERAGE(Tabel1[[#This Row],[Up - A1]],Tabel1[[#This Row],[Up - A2]],Tabel1[[#This Row],[Up - A3]]),"")</f>
        <v>4.166666666666667</v>
      </c>
      <c r="BX317" s="14">
        <v>5</v>
      </c>
      <c r="BY317" s="14">
        <v>5</v>
      </c>
      <c r="BZ317" s="14">
        <f>IFERROR(AVERAGE(Tabel1[[#This Row],[In - R1a]:[In - R1b]]),"")</f>
        <v>5</v>
      </c>
      <c r="CA317" s="14">
        <v>2</v>
      </c>
      <c r="CB317" s="14">
        <v>1</v>
      </c>
      <c r="CC317" s="14">
        <v>4</v>
      </c>
      <c r="CD317" s="14" t="s">
        <v>189</v>
      </c>
      <c r="CE317" s="14">
        <f>IFERROR(AVERAGE(Tabel1[[#This Row],[In - R1]:[In - R5]]),"")</f>
        <v>3</v>
      </c>
      <c r="CF317" s="14">
        <v>4</v>
      </c>
      <c r="CG317" s="14">
        <v>4</v>
      </c>
      <c r="CH317" s="14">
        <v>4</v>
      </c>
      <c r="CI317" s="14">
        <f>IFERROR(AVERAGE(Tabel1[[#This Row],[In - C1a]:[In - C1c]]),"")</f>
        <v>4</v>
      </c>
      <c r="CJ317" s="14">
        <v>5</v>
      </c>
      <c r="CK317" s="14">
        <v>4</v>
      </c>
      <c r="CL317" s="14">
        <v>5</v>
      </c>
      <c r="CM317" s="14">
        <f>IFERROR(AVERAGE(Tabel1[[#This Row],[In - C1]:[In - C4]]),"")</f>
        <v>4.5</v>
      </c>
      <c r="CN317" s="14">
        <v>5</v>
      </c>
      <c r="CO317" s="14">
        <v>4</v>
      </c>
      <c r="CP317" s="14">
        <v>5</v>
      </c>
      <c r="CQ317" s="14">
        <f>IFERROR(AVERAGE(Tabel1[[#This Row],[In - F1a]:[In - F1c]]),"")</f>
        <v>4.666666666666667</v>
      </c>
      <c r="CR317" s="14">
        <v>3</v>
      </c>
      <c r="CS317" s="14">
        <v>3</v>
      </c>
      <c r="CT317" s="14">
        <f>IFERROR(AVERAGE(Tabel1[[#This Row],[In - F2a]:[In - F2b]]),"")</f>
        <v>3</v>
      </c>
      <c r="CU317" s="14">
        <v>5</v>
      </c>
      <c r="CV317" s="14">
        <f>IFERROR(AVERAGE(Tabel1[[#This Row],[In - F3a]:[In - F3a]]),"")</f>
        <v>5</v>
      </c>
      <c r="CW317" s="14" t="s">
        <v>189</v>
      </c>
      <c r="CX317" s="14">
        <f>IFERROR(AVERAGE(Tabel1[[#This Row],[In - F1]],Tabel1[[#This Row],[In - F2]],Tabel1[[#This Row],[In - F3]],Tabel1[[#This Row],[In - F4]]),"")</f>
        <v>4.2222222222222223</v>
      </c>
      <c r="CY317" s="14">
        <v>5</v>
      </c>
      <c r="CZ317" s="14">
        <v>5</v>
      </c>
      <c r="DA317" s="14">
        <v>3</v>
      </c>
      <c r="DB317" s="14">
        <f>IFERROR(AVERAGE(Tabel1[[#This Row],[In - V1a]:[In - V1c]]),"")</f>
        <v>4.333333333333333</v>
      </c>
      <c r="DC317" s="14">
        <v>5</v>
      </c>
      <c r="DD317" s="14">
        <v>5</v>
      </c>
      <c r="DE317" s="14">
        <v>5</v>
      </c>
      <c r="DF317" s="14">
        <f>IFERROR(AVERAGE(Tabel1[[#This Row],[In - V2a]:[In - V2c]]),"")</f>
        <v>5</v>
      </c>
      <c r="DG317" s="14">
        <v>5</v>
      </c>
      <c r="DH317" s="14">
        <v>5</v>
      </c>
      <c r="DI317" s="14">
        <f>IFERROR(AVERAGE(Tabel1[[#This Row],[In - V3a]:[In - V3b]]),"")</f>
        <v>5</v>
      </c>
      <c r="DJ317" s="14">
        <v>4</v>
      </c>
      <c r="DK317" s="14">
        <f>IFERROR(AVERAGE(Tabel1[[#This Row],[In - V1]],Tabel1[[#This Row],[In - V2]],Tabel1[[#This Row],[In - V3]],Tabel1[[#This Row],[In - V4]]),"")</f>
        <v>4.583333333333333</v>
      </c>
      <c r="DL317" s="14">
        <v>4</v>
      </c>
      <c r="DM317" s="14">
        <v>4</v>
      </c>
      <c r="DN317" s="14">
        <f>IFERROR(AVERAGE(Tabel1[[#This Row],[In - A1a]:[In - A1b]]),"")</f>
        <v>4</v>
      </c>
      <c r="DO317" s="14">
        <v>4</v>
      </c>
      <c r="DP317" s="14">
        <v>4</v>
      </c>
      <c r="DQ317" s="14">
        <f>IFERROR(AVERAGE(Tabel1[[#This Row],[In - A2a]:[In - A2b]]),"")</f>
        <v>4</v>
      </c>
      <c r="DR317" s="14">
        <v>5</v>
      </c>
      <c r="DS317" s="14">
        <v>3</v>
      </c>
      <c r="DT317" s="14">
        <f>IFERROR(AVERAGE(Tabel1[[#This Row],[In - A3a]:[In - A3a]]),"")</f>
        <v>5</v>
      </c>
      <c r="DU317" s="14">
        <v>4</v>
      </c>
      <c r="DV317" s="14">
        <f>IFERROR(AVERAGE(Tabel1[[#This Row],[In - A1]],Tabel1[[#This Row],[In - A2]],Tabel1[[#This Row],[In - A3]],Tabel1[[#This Row],[In - A4]]),"")</f>
        <v>4.25</v>
      </c>
      <c r="DW317" s="14">
        <v>3</v>
      </c>
      <c r="DX317" s="14">
        <v>2</v>
      </c>
      <c r="DY317" s="14">
        <v>2</v>
      </c>
      <c r="DZ317" s="14">
        <f>IFERROR(AVERAGE(Tabel1[[#This Row],[Do - R1a]:[Do - R1c]]),"")</f>
        <v>2.3333333333333335</v>
      </c>
      <c r="EA317" s="14">
        <v>1</v>
      </c>
      <c r="EB317" s="14">
        <v>2</v>
      </c>
      <c r="EC317" s="14" t="s">
        <v>189</v>
      </c>
      <c r="ED317" s="14" t="s">
        <v>189</v>
      </c>
      <c r="EE317" s="14">
        <f>IFERROR(AVERAGE(Tabel1[[#This Row],[Do - R1]:[Do - R5]]),"")</f>
        <v>1.7777777777777779</v>
      </c>
      <c r="EF317" s="14">
        <v>4</v>
      </c>
      <c r="EG317" s="14">
        <v>4</v>
      </c>
      <c r="EH317" s="14">
        <v>5</v>
      </c>
      <c r="EI317" s="14">
        <f>IFERROR(AVERAGE(Tabel1[[#This Row],[Do - C1a]:[Do - C1c]]),"")</f>
        <v>4.333333333333333</v>
      </c>
      <c r="EJ317" s="14">
        <v>4</v>
      </c>
      <c r="EK317" s="14">
        <v>3</v>
      </c>
      <c r="EL317" s="14" t="s">
        <v>189</v>
      </c>
      <c r="EM317" s="14">
        <f>IFERROR(AVERAGE(Tabel1[[#This Row],[Do - C1]:[Do - C4]]),"")</f>
        <v>3.7777777777777772</v>
      </c>
      <c r="EN317" s="14">
        <v>3</v>
      </c>
      <c r="EO317" s="14" t="s">
        <v>189</v>
      </c>
      <c r="EP317" s="14">
        <v>2</v>
      </c>
      <c r="EQ317" s="14">
        <f>IFERROR(AVERAGE(Tabel1[[#This Row],[Do - F1a]:[Do - F1c]]),"")</f>
        <v>2.5</v>
      </c>
      <c r="ER317" s="14" t="s">
        <v>189</v>
      </c>
      <c r="ES317" s="14" t="str">
        <f>IFERROR(AVERAGE(Tabel1[[#This Row],[Do - F2a]:[Do - F2a]]),"")</f>
        <v/>
      </c>
      <c r="ET317" s="14">
        <v>3</v>
      </c>
      <c r="EU317" s="14">
        <v>3</v>
      </c>
      <c r="EV317" s="14">
        <f>IFERROR(AVERAGE(Tabel1[[#This Row],[Do - F3a]:[Do - F3b]]),"")</f>
        <v>3</v>
      </c>
      <c r="EW317" s="14" t="s">
        <v>189</v>
      </c>
      <c r="EX317" s="14">
        <f>IFERROR(AVERAGE(Tabel1[[#This Row],[Do - F1]],Tabel1[[#This Row],[Do - F2]],Tabel1[[#This Row],[Do - F3]],Tabel1[[#This Row],[Do - F4]]),"")</f>
        <v>2.75</v>
      </c>
      <c r="EY317" s="14">
        <v>4</v>
      </c>
      <c r="EZ317" s="14">
        <v>4</v>
      </c>
      <c r="FA317" s="14">
        <v>5</v>
      </c>
      <c r="FB317" s="14">
        <f>IFERROR(AVERAGE(Tabel1[[#This Row],[Do - V1a]:[Do - V1c]]),"")</f>
        <v>4.333333333333333</v>
      </c>
      <c r="FC317" s="14">
        <v>5</v>
      </c>
      <c r="FD317" s="14">
        <v>4</v>
      </c>
      <c r="FE317" s="14">
        <f>IFERROR(AVERAGE(Tabel1[[#This Row],[Do - V2a]:[Do - V2b]]),"")</f>
        <v>4.5</v>
      </c>
      <c r="FF317" s="14">
        <v>4</v>
      </c>
      <c r="FG317" s="14">
        <f>IFERROR(AVERAGE(Tabel1[[#This Row],[Do - V3a]:[Do - V3a]]),"")</f>
        <v>4</v>
      </c>
      <c r="FH317" s="14" t="s">
        <v>189</v>
      </c>
      <c r="FI317" s="14">
        <f>IFERROR(AVERAGE(Tabel1[[#This Row],[Do - V1]],Tabel1[[#This Row],[Do - V2]],Tabel1[[#This Row],[Do - V3]],Tabel1[[#This Row],[Do - V4]]),"")</f>
        <v>4.2777777777777777</v>
      </c>
      <c r="FJ317" s="14">
        <v>4</v>
      </c>
      <c r="FK317" s="14">
        <v>3</v>
      </c>
      <c r="FL317" s="14">
        <v>4</v>
      </c>
      <c r="FM317" s="14">
        <f>IFERROR(AVERAGE(Tabel1[[#This Row],[Do - A1a]:[Do - A1c]]),"")</f>
        <v>3.6666666666666665</v>
      </c>
      <c r="FN317" s="14">
        <v>3</v>
      </c>
      <c r="FO317" s="14">
        <v>4</v>
      </c>
      <c r="FP317" s="14">
        <f>IFERROR(AVERAGE(Tabel1[[#This Row],[Do - A2a]:[Do - A2b]]),"")</f>
        <v>3.5</v>
      </c>
      <c r="FQ317" s="14">
        <v>3</v>
      </c>
      <c r="FR317" s="14">
        <f>IFERROR(AVERAGE(Tabel1[[#This Row],[Do - A3a]:[Do - A3a]]),"")</f>
        <v>3</v>
      </c>
      <c r="FS317" s="14">
        <v>3</v>
      </c>
      <c r="FT317" s="14">
        <f>IFERROR(AVERAGE(Tabel1[[#This Row],[Do - A1]],Tabel1[[#This Row],[Do - A2]],Tabel1[[#This Row],[Do - A3]],Tabel1[[#This Row],[Do - A4]]),"")</f>
        <v>3.2916666666666665</v>
      </c>
      <c r="FU31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3.8287037037037042</v>
      </c>
      <c r="FV317" s="27" t="s">
        <v>1653</v>
      </c>
      <c r="FW317" t="b">
        <v>1</v>
      </c>
    </row>
    <row r="318" spans="1:179" x14ac:dyDescent="0.3">
      <c r="A318" s="13">
        <v>45425.607592592598</v>
      </c>
      <c r="B318" t="b">
        <v>0</v>
      </c>
      <c r="C318" s="14" t="s">
        <v>1654</v>
      </c>
      <c r="D318" s="14" t="s">
        <v>1655</v>
      </c>
      <c r="E318" s="14" t="s">
        <v>1656</v>
      </c>
      <c r="F318" s="14" t="s">
        <v>184</v>
      </c>
      <c r="G318" s="14" t="s">
        <v>1657</v>
      </c>
      <c r="H318" s="14" t="s">
        <v>222</v>
      </c>
      <c r="I318" s="14" t="s">
        <v>572</v>
      </c>
      <c r="J318" s="14" t="s">
        <v>573</v>
      </c>
      <c r="K318" s="28" t="s">
        <v>235</v>
      </c>
      <c r="L318" s="14" t="s">
        <v>249</v>
      </c>
      <c r="M318" s="14" t="s">
        <v>198</v>
      </c>
      <c r="N318" s="14" t="s">
        <v>199</v>
      </c>
      <c r="O318" s="14" t="s">
        <v>200</v>
      </c>
      <c r="P318" s="24" t="s">
        <v>255</v>
      </c>
      <c r="Q318" s="17" t="s">
        <v>304</v>
      </c>
      <c r="R318" s="25" t="s">
        <v>201</v>
      </c>
      <c r="S318" s="25" t="s">
        <v>235</v>
      </c>
      <c r="T318" s="14" t="s">
        <v>236</v>
      </c>
      <c r="U318" s="14" t="s">
        <v>237</v>
      </c>
      <c r="V318" s="14" t="s">
        <v>484</v>
      </c>
      <c r="W318" s="14" t="s">
        <v>207</v>
      </c>
      <c r="X318" s="14" t="s">
        <v>207</v>
      </c>
      <c r="Y318" s="14">
        <v>4</v>
      </c>
      <c r="Z318" s="14">
        <v>4</v>
      </c>
      <c r="AA318" s="14">
        <v>4</v>
      </c>
      <c r="AB318" s="15">
        <f>IFERROR(AVERAGE(Tabel1[[#This Row],[Up - R1a]:[Up - R1c]]),"")</f>
        <v>4</v>
      </c>
      <c r="AC318" s="14">
        <v>4</v>
      </c>
      <c r="AD318" s="14">
        <v>4</v>
      </c>
      <c r="AE318" s="14">
        <v>3</v>
      </c>
      <c r="AF318" s="14">
        <v>3</v>
      </c>
      <c r="AG318" s="14">
        <f>IFERROR(AVERAGE(Tabel1[[#This Row],[Up - R1]:[Up - R5]]),"")</f>
        <v>3.6</v>
      </c>
      <c r="AH318" s="14">
        <v>4</v>
      </c>
      <c r="AI318" s="14">
        <v>2</v>
      </c>
      <c r="AJ318" s="14">
        <v>3</v>
      </c>
      <c r="AK318" s="14">
        <f>IFERROR(AVERAGE(Tabel1[[#This Row],[Up - C1a]:[Up - C1c]]),"")</f>
        <v>3</v>
      </c>
      <c r="AL318" s="14">
        <v>2</v>
      </c>
      <c r="AM318" s="14">
        <v>1</v>
      </c>
      <c r="AN318" s="14">
        <v>2</v>
      </c>
      <c r="AO318" s="14">
        <f>IFERROR(AVERAGE(Tabel1[[#This Row],[Up - C1]:[Up - C4]]),"")</f>
        <v>2</v>
      </c>
      <c r="AP318" s="14">
        <v>1</v>
      </c>
      <c r="AQ318" s="14">
        <f>IFERROR(AVERAGE(Tabel1[[#This Row],[Up - F1a]:[Up - F1a]]),"")</f>
        <v>1</v>
      </c>
      <c r="AR318" s="14">
        <v>1</v>
      </c>
      <c r="AS318" s="14">
        <v>1</v>
      </c>
      <c r="AT318" s="14">
        <f>IFERROR(AVERAGE(Tabel1[[#This Row],[Up - F2a]:[Up - F2b]]),"")</f>
        <v>1</v>
      </c>
      <c r="AU318" s="14">
        <v>2</v>
      </c>
      <c r="AV318" s="14">
        <v>2</v>
      </c>
      <c r="AW318" s="14">
        <f>IFERROR(AVERAGE(Tabel1[[#This Row],[Up - F3a]:[Up - F3b]]),"")</f>
        <v>2</v>
      </c>
      <c r="AX318" s="14">
        <v>2</v>
      </c>
      <c r="AY318" s="14">
        <f>IFERROR(AVERAGE(Tabel1[[#This Row],[Up - F1]],Tabel1[[#This Row],[Up - F2]],Tabel1[[#This Row],[Up - F3]],Tabel1[[#This Row],[Up - F4]]),"")</f>
        <v>1.5</v>
      </c>
      <c r="AZ318" s="14">
        <v>3</v>
      </c>
      <c r="BA318" s="14">
        <v>3</v>
      </c>
      <c r="BB318" s="14">
        <f>IFERROR(AVERAGE(Tabel1[[#This Row],[Up - V1a]:[Up - V1b]]),"")</f>
        <v>3</v>
      </c>
      <c r="BC318" s="14">
        <v>4</v>
      </c>
      <c r="BD318" s="14">
        <v>2</v>
      </c>
      <c r="BE318" s="14">
        <v>4</v>
      </c>
      <c r="BF318" s="14">
        <f>IFERROR(AVERAGE(Tabel1[[#This Row],[Up - V2a]:[Up - V2c]]),"")</f>
        <v>3.3333333333333335</v>
      </c>
      <c r="BG318" s="14">
        <v>4</v>
      </c>
      <c r="BH318" s="14">
        <v>3</v>
      </c>
      <c r="BI318" s="14">
        <f>IFERROR(AVERAGE(Tabel1[[#This Row],[Up - V3a]:[Up - V3b]]),"")</f>
        <v>3.5</v>
      </c>
      <c r="BJ318" s="14">
        <v>3</v>
      </c>
      <c r="BK318" s="14">
        <f>IFERROR(AVERAGE(Tabel1[[#This Row],[Up - V1]],Tabel1[[#This Row],[Up - V2]],Tabel1[[#This Row],[Up - V3]],Tabel1[[#This Row],[Up - V4]]),"")</f>
        <v>3.2083333333333335</v>
      </c>
      <c r="BL318" s="14">
        <v>4</v>
      </c>
      <c r="BM318" s="14">
        <v>3</v>
      </c>
      <c r="BN318" s="14">
        <v>2</v>
      </c>
      <c r="BO318" s="14">
        <v>1</v>
      </c>
      <c r="BP318" s="14">
        <f>IFERROR(AVERAGE(Tabel1[[#This Row],[Up - A1a]:[Up - A1d]]),"")</f>
        <v>2.5</v>
      </c>
      <c r="BQ318" s="14">
        <v>1</v>
      </c>
      <c r="BR318" s="14">
        <v>4</v>
      </c>
      <c r="BS318" s="14">
        <f>IFERROR(AVERAGE(Tabel1[[#This Row],[Up - A2a]:[Up - A2b]]),"")</f>
        <v>2.5</v>
      </c>
      <c r="BT318" s="14">
        <v>3</v>
      </c>
      <c r="BU318" s="14">
        <f>IFERROR(AVERAGE(Tabel1[[#This Row],[Up - A3a]:[Up - A3a]]),"")</f>
        <v>3</v>
      </c>
      <c r="BV318" s="14">
        <v>2</v>
      </c>
      <c r="BW318" s="14">
        <f>IFERROR(AVERAGE(Tabel1[[#This Row],[Up - A1]],Tabel1[[#This Row],[Up - A2]],Tabel1[[#This Row],[Up - A3]]),"")</f>
        <v>2.6666666666666665</v>
      </c>
      <c r="BX318" s="14">
        <v>3</v>
      </c>
      <c r="BY318" s="14">
        <v>4</v>
      </c>
      <c r="BZ318" s="14">
        <f>IFERROR(AVERAGE(Tabel1[[#This Row],[In - R1a]:[In - R1b]]),"")</f>
        <v>3.5</v>
      </c>
      <c r="CA318" s="14">
        <v>4</v>
      </c>
      <c r="CB318" s="14">
        <v>4</v>
      </c>
      <c r="CC318" s="14">
        <v>2</v>
      </c>
      <c r="CD318" s="14">
        <v>5</v>
      </c>
      <c r="CE318" s="14">
        <f>IFERROR(AVERAGE(Tabel1[[#This Row],[In - R1]:[In - R5]]),"")</f>
        <v>3.7</v>
      </c>
      <c r="CF318" s="14">
        <v>4</v>
      </c>
      <c r="CG318" s="14">
        <v>4</v>
      </c>
      <c r="CH318" s="14">
        <v>5</v>
      </c>
      <c r="CI318" s="14">
        <f>IFERROR(AVERAGE(Tabel1[[#This Row],[In - C1a]:[In - C1c]]),"")</f>
        <v>4.333333333333333</v>
      </c>
      <c r="CJ318" s="14">
        <v>3</v>
      </c>
      <c r="CK318" s="14">
        <v>4</v>
      </c>
      <c r="CL318" s="14">
        <v>3</v>
      </c>
      <c r="CM318" s="14">
        <f>IFERROR(AVERAGE(Tabel1[[#This Row],[In - C1]:[In - C4]]),"")</f>
        <v>3.583333333333333</v>
      </c>
      <c r="CN318" s="14">
        <v>2</v>
      </c>
      <c r="CO318" s="14">
        <v>2</v>
      </c>
      <c r="CP318" s="14">
        <v>3</v>
      </c>
      <c r="CQ318" s="14">
        <f>IFERROR(AVERAGE(Tabel1[[#This Row],[In - F1a]:[In - F1c]]),"")</f>
        <v>2.3333333333333335</v>
      </c>
      <c r="CR318" s="14">
        <v>2</v>
      </c>
      <c r="CS318" s="14">
        <v>1</v>
      </c>
      <c r="CT318" s="14">
        <f>IFERROR(AVERAGE(Tabel1[[#This Row],[In - F2a]:[In - F2b]]),"")</f>
        <v>1.5</v>
      </c>
      <c r="CU318" s="14">
        <v>1</v>
      </c>
      <c r="CV318" s="14">
        <f>IFERROR(AVERAGE(Tabel1[[#This Row],[In - F3a]:[In - F3a]]),"")</f>
        <v>1</v>
      </c>
      <c r="CW318" s="14">
        <v>2</v>
      </c>
      <c r="CX318" s="14">
        <f>IFERROR(AVERAGE(Tabel1[[#This Row],[In - F1]],Tabel1[[#This Row],[In - F2]],Tabel1[[#This Row],[In - F3]],Tabel1[[#This Row],[In - F4]]),"")</f>
        <v>1.7083333333333335</v>
      </c>
      <c r="CY318" s="14">
        <v>4</v>
      </c>
      <c r="CZ318" s="14">
        <v>4</v>
      </c>
      <c r="DA318" s="14">
        <v>2</v>
      </c>
      <c r="DB318" s="14">
        <f>IFERROR(AVERAGE(Tabel1[[#This Row],[In - V1a]:[In - V1c]]),"")</f>
        <v>3.3333333333333335</v>
      </c>
      <c r="DC318" s="14">
        <v>3</v>
      </c>
      <c r="DD318" s="14">
        <v>3</v>
      </c>
      <c r="DE318" s="14">
        <v>4</v>
      </c>
      <c r="DF318" s="14">
        <f>IFERROR(AVERAGE(Tabel1[[#This Row],[In - V2a]:[In - V2c]]),"")</f>
        <v>3.3333333333333335</v>
      </c>
      <c r="DG318" s="14">
        <v>4</v>
      </c>
      <c r="DH318" s="14">
        <v>5</v>
      </c>
      <c r="DI318" s="14">
        <f>IFERROR(AVERAGE(Tabel1[[#This Row],[In - V3a]:[In - V3b]]),"")</f>
        <v>4.5</v>
      </c>
      <c r="DJ318" s="14">
        <v>5</v>
      </c>
      <c r="DK318" s="14">
        <f>IFERROR(AVERAGE(Tabel1[[#This Row],[In - V1]],Tabel1[[#This Row],[In - V2]],Tabel1[[#This Row],[In - V3]],Tabel1[[#This Row],[In - V4]]),"")</f>
        <v>4.041666666666667</v>
      </c>
      <c r="DL318" s="14">
        <v>3</v>
      </c>
      <c r="DM318" s="14">
        <v>4</v>
      </c>
      <c r="DN318" s="14">
        <f>IFERROR(AVERAGE(Tabel1[[#This Row],[In - A1a]:[In - A1b]]),"")</f>
        <v>3.5</v>
      </c>
      <c r="DO318" s="14">
        <v>4</v>
      </c>
      <c r="DP318" s="14">
        <v>2</v>
      </c>
      <c r="DQ318" s="14">
        <f>IFERROR(AVERAGE(Tabel1[[#This Row],[In - A2a]:[In - A2b]]),"")</f>
        <v>3</v>
      </c>
      <c r="DR318" s="14">
        <v>3</v>
      </c>
      <c r="DS318" s="14">
        <v>3</v>
      </c>
      <c r="DT318" s="14">
        <f>IFERROR(AVERAGE(Tabel1[[#This Row],[In - A3a]:[In - A3a]]),"")</f>
        <v>3</v>
      </c>
      <c r="DU318" s="14">
        <v>2</v>
      </c>
      <c r="DV318" s="14">
        <f>IFERROR(AVERAGE(Tabel1[[#This Row],[In - A1]],Tabel1[[#This Row],[In - A2]],Tabel1[[#This Row],[In - A3]],Tabel1[[#This Row],[In - A4]]),"")</f>
        <v>2.875</v>
      </c>
      <c r="DW318" s="14">
        <v>4</v>
      </c>
      <c r="DX318" s="14">
        <v>5</v>
      </c>
      <c r="DY318" s="14">
        <v>2</v>
      </c>
      <c r="DZ318" s="14">
        <f>IFERROR(AVERAGE(Tabel1[[#This Row],[Do - R1a]:[Do - R1c]]),"")</f>
        <v>3.6666666666666665</v>
      </c>
      <c r="EA318" s="14">
        <v>4</v>
      </c>
      <c r="EB318" s="14">
        <v>4</v>
      </c>
      <c r="EC318" s="14">
        <v>2</v>
      </c>
      <c r="ED318" s="14">
        <v>5</v>
      </c>
      <c r="EE318" s="14">
        <f>IFERROR(AVERAGE(Tabel1[[#This Row],[Do - R1]:[Do - R5]]),"")</f>
        <v>3.7333333333333329</v>
      </c>
      <c r="EF318" s="14">
        <v>5</v>
      </c>
      <c r="EG318" s="14">
        <v>2</v>
      </c>
      <c r="EH318" s="14">
        <v>2</v>
      </c>
      <c r="EI318" s="14">
        <f>IFERROR(AVERAGE(Tabel1[[#This Row],[Do - C1a]:[Do - C1c]]),"")</f>
        <v>3</v>
      </c>
      <c r="EJ318" s="14">
        <v>2</v>
      </c>
      <c r="EK318" s="14">
        <v>1</v>
      </c>
      <c r="EL318" s="14">
        <v>2</v>
      </c>
      <c r="EM318" s="14">
        <f>IFERROR(AVERAGE(Tabel1[[#This Row],[Do - C1]:[Do - C4]]),"")</f>
        <v>2</v>
      </c>
      <c r="EN318" s="14">
        <v>1</v>
      </c>
      <c r="EO318" s="14">
        <v>1</v>
      </c>
      <c r="EP318" s="14">
        <v>3</v>
      </c>
      <c r="EQ318" s="14">
        <f>IFERROR(AVERAGE(Tabel1[[#This Row],[Do - F1a]:[Do - F1c]]),"")</f>
        <v>1.6666666666666667</v>
      </c>
      <c r="ER318" s="14">
        <v>1</v>
      </c>
      <c r="ES318" s="14">
        <f>IFERROR(AVERAGE(Tabel1[[#This Row],[Do - F2a]:[Do - F2a]]),"")</f>
        <v>1</v>
      </c>
      <c r="ET318" s="14">
        <v>2</v>
      </c>
      <c r="EU318" s="14">
        <v>1</v>
      </c>
      <c r="EV318" s="14">
        <f>IFERROR(AVERAGE(Tabel1[[#This Row],[Do - F3a]:[Do - F3b]]),"")</f>
        <v>1.5</v>
      </c>
      <c r="EW318" s="14">
        <v>2</v>
      </c>
      <c r="EX318" s="14">
        <f>IFERROR(AVERAGE(Tabel1[[#This Row],[Do - F1]],Tabel1[[#This Row],[Do - F2]],Tabel1[[#This Row],[Do - F3]],Tabel1[[#This Row],[Do - F4]]),"")</f>
        <v>1.5416666666666667</v>
      </c>
      <c r="EY318" s="14">
        <v>4</v>
      </c>
      <c r="EZ318" s="14">
        <v>2</v>
      </c>
      <c r="FA318" s="14">
        <v>2</v>
      </c>
      <c r="FB318" s="14">
        <f>IFERROR(AVERAGE(Tabel1[[#This Row],[Do - V1a]:[Do - V1c]]),"")</f>
        <v>2.6666666666666665</v>
      </c>
      <c r="FC318" s="14">
        <v>3</v>
      </c>
      <c r="FD318" s="14">
        <v>4</v>
      </c>
      <c r="FE318" s="14">
        <f>IFERROR(AVERAGE(Tabel1[[#This Row],[Do - V2a]:[Do - V2b]]),"")</f>
        <v>3.5</v>
      </c>
      <c r="FF318" s="14">
        <v>3</v>
      </c>
      <c r="FG318" s="14">
        <f>IFERROR(AVERAGE(Tabel1[[#This Row],[Do - V3a]:[Do - V3a]]),"")</f>
        <v>3</v>
      </c>
      <c r="FH318" s="14">
        <v>4</v>
      </c>
      <c r="FI318" s="14">
        <f>IFERROR(AVERAGE(Tabel1[[#This Row],[Do - V1]],Tabel1[[#This Row],[Do - V2]],Tabel1[[#This Row],[Do - V3]],Tabel1[[#This Row],[Do - V4]]),"")</f>
        <v>3.2916666666666665</v>
      </c>
      <c r="FJ318" s="14">
        <v>4</v>
      </c>
      <c r="FK318" s="14">
        <v>1</v>
      </c>
      <c r="FL318" s="14">
        <v>2</v>
      </c>
      <c r="FM318" s="14">
        <f>IFERROR(AVERAGE(Tabel1[[#This Row],[Do - A1a]:[Do - A1c]]),"")</f>
        <v>2.3333333333333335</v>
      </c>
      <c r="FN318" s="14">
        <v>3</v>
      </c>
      <c r="FO318" s="14">
        <v>4</v>
      </c>
      <c r="FP318" s="14">
        <f>IFERROR(AVERAGE(Tabel1[[#This Row],[Do - A2a]:[Do - A2b]]),"")</f>
        <v>3.5</v>
      </c>
      <c r="FQ318" s="14">
        <v>2</v>
      </c>
      <c r="FR318" s="14">
        <f>IFERROR(AVERAGE(Tabel1[[#This Row],[Do - A3a]:[Do - A3a]]),"")</f>
        <v>2</v>
      </c>
      <c r="FS318" s="14">
        <v>2</v>
      </c>
      <c r="FT318" s="14">
        <f>IFERROR(AVERAGE(Tabel1[[#This Row],[Do - A1]],Tabel1[[#This Row],[Do - A2]],Tabel1[[#This Row],[Do - A3]],Tabel1[[#This Row],[Do - A4]]),"")</f>
        <v>2.4583333333333335</v>
      </c>
      <c r="FU31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2.7938888888888886</v>
      </c>
      <c r="FV318" s="27" t="s">
        <v>1658</v>
      </c>
      <c r="FW318" t="b">
        <v>1</v>
      </c>
    </row>
    <row r="319" spans="1:179" x14ac:dyDescent="0.3">
      <c r="A319" s="13">
        <v>45425.7414236111</v>
      </c>
      <c r="B319" t="b">
        <v>0</v>
      </c>
      <c r="C319" s="14" t="s">
        <v>1659</v>
      </c>
      <c r="D319" s="14" t="s">
        <v>215</v>
      </c>
      <c r="E319" s="14" t="s">
        <v>1660</v>
      </c>
      <c r="F319" s="14" t="s">
        <v>184</v>
      </c>
      <c r="G319" s="14" t="s">
        <v>1661</v>
      </c>
      <c r="H319" s="14" t="s">
        <v>222</v>
      </c>
      <c r="I319" s="14" t="s">
        <v>542</v>
      </c>
      <c r="J319" s="14" t="s">
        <v>543</v>
      </c>
      <c r="K319" s="28" t="s">
        <v>235</v>
      </c>
      <c r="L319" s="14" t="s">
        <v>249</v>
      </c>
      <c r="M319" s="14" t="s">
        <v>198</v>
      </c>
      <c r="N319" s="14" t="s">
        <v>199</v>
      </c>
      <c r="O319" s="14" t="s">
        <v>200</v>
      </c>
      <c r="P319" s="24" t="s">
        <v>255</v>
      </c>
      <c r="Q319" s="17" t="s">
        <v>201</v>
      </c>
      <c r="R319" s="25" t="s">
        <v>235</v>
      </c>
      <c r="S319" s="25" t="s">
        <v>202</v>
      </c>
      <c r="T319" s="14" t="s">
        <v>236</v>
      </c>
      <c r="U319" s="14" t="s">
        <v>285</v>
      </c>
      <c r="V319" s="14" t="s">
        <v>359</v>
      </c>
      <c r="W319" s="14" t="s">
        <v>207</v>
      </c>
      <c r="X319" s="14" t="s">
        <v>207</v>
      </c>
      <c r="Y319" s="14">
        <v>2</v>
      </c>
      <c r="Z319" s="14">
        <v>1</v>
      </c>
      <c r="AA319" s="14" t="s">
        <v>189</v>
      </c>
      <c r="AB319" s="15">
        <f>IFERROR(AVERAGE(Tabel1[[#This Row],[Up - R1a]:[Up - R1c]]),"")</f>
        <v>1.5</v>
      </c>
      <c r="AC319" s="14">
        <v>3</v>
      </c>
      <c r="AD319" s="14">
        <v>2</v>
      </c>
      <c r="AE319" s="14">
        <v>2</v>
      </c>
      <c r="AF319" s="14" t="s">
        <v>189</v>
      </c>
      <c r="AG319" s="14">
        <f>IFERROR(AVERAGE(Tabel1[[#This Row],[Up - R1]:[Up - R5]]),"")</f>
        <v>2.125</v>
      </c>
      <c r="AH319" s="14">
        <v>3</v>
      </c>
      <c r="AI319" s="14">
        <v>3</v>
      </c>
      <c r="AJ319" s="14">
        <v>3</v>
      </c>
      <c r="AK319" s="14">
        <f>IFERROR(AVERAGE(Tabel1[[#This Row],[Up - C1a]:[Up - C1c]]),"")</f>
        <v>3</v>
      </c>
      <c r="AL319" s="14">
        <v>3</v>
      </c>
      <c r="AM319" s="14">
        <v>1</v>
      </c>
      <c r="AN319" s="14" t="s">
        <v>189</v>
      </c>
      <c r="AO319" s="14">
        <f>IFERROR(AVERAGE(Tabel1[[#This Row],[Up - C1]:[Up - C4]]),"")</f>
        <v>2.3333333333333335</v>
      </c>
      <c r="AP319" s="14">
        <v>2</v>
      </c>
      <c r="AQ319" s="14">
        <f>IFERROR(AVERAGE(Tabel1[[#This Row],[Up - F1a]:[Up - F1a]]),"")</f>
        <v>2</v>
      </c>
      <c r="AR319" s="14">
        <v>1</v>
      </c>
      <c r="AS319" s="14">
        <v>2</v>
      </c>
      <c r="AT319" s="14">
        <f>IFERROR(AVERAGE(Tabel1[[#This Row],[Up - F2a]:[Up - F2b]]),"")</f>
        <v>1.5</v>
      </c>
      <c r="AU319" s="14">
        <v>3</v>
      </c>
      <c r="AV319" s="14" t="s">
        <v>189</v>
      </c>
      <c r="AW319" s="14">
        <f>IFERROR(AVERAGE(Tabel1[[#This Row],[Up - F3a]:[Up - F3b]]),"")</f>
        <v>3</v>
      </c>
      <c r="AX319" s="14" t="s">
        <v>189</v>
      </c>
      <c r="AY319" s="14">
        <f>IFERROR(AVERAGE(Tabel1[[#This Row],[Up - F1]],Tabel1[[#This Row],[Up - F2]],Tabel1[[#This Row],[Up - F3]],Tabel1[[#This Row],[Up - F4]]),"")</f>
        <v>2.1666666666666665</v>
      </c>
      <c r="AZ319" s="14">
        <v>2</v>
      </c>
      <c r="BA319" s="14">
        <v>3</v>
      </c>
      <c r="BB319" s="14">
        <f>IFERROR(AVERAGE(Tabel1[[#This Row],[Up - V1a]:[Up - V1b]]),"")</f>
        <v>2.5</v>
      </c>
      <c r="BC319" s="14">
        <v>1</v>
      </c>
      <c r="BD319" s="14">
        <v>1</v>
      </c>
      <c r="BE319" s="14" t="s">
        <v>189</v>
      </c>
      <c r="BF319" s="14">
        <f>IFERROR(AVERAGE(Tabel1[[#This Row],[Up - V2a]:[Up - V2c]]),"")</f>
        <v>1</v>
      </c>
      <c r="BG319" s="14">
        <v>1</v>
      </c>
      <c r="BH319" s="14">
        <v>1</v>
      </c>
      <c r="BI319" s="14">
        <f>IFERROR(AVERAGE(Tabel1[[#This Row],[Up - V3a]:[Up - V3b]]),"")</f>
        <v>1</v>
      </c>
      <c r="BJ319" s="14">
        <v>1</v>
      </c>
      <c r="BK319" s="14">
        <f>IFERROR(AVERAGE(Tabel1[[#This Row],[Up - V1]],Tabel1[[#This Row],[Up - V2]],Tabel1[[#This Row],[Up - V3]],Tabel1[[#This Row],[Up - V4]]),"")</f>
        <v>1.375</v>
      </c>
      <c r="BL319" s="14">
        <v>3</v>
      </c>
      <c r="BM319" s="14">
        <v>1</v>
      </c>
      <c r="BN319" s="14">
        <v>2</v>
      </c>
      <c r="BO319" s="14" t="s">
        <v>189</v>
      </c>
      <c r="BP319" s="14">
        <f>IFERROR(AVERAGE(Tabel1[[#This Row],[Up - A1a]:[Up - A1d]]),"")</f>
        <v>2</v>
      </c>
      <c r="BQ319" s="14">
        <v>3</v>
      </c>
      <c r="BR319" s="14">
        <v>3</v>
      </c>
      <c r="BS319" s="14">
        <f>IFERROR(AVERAGE(Tabel1[[#This Row],[Up - A2a]:[Up - A2b]]),"")</f>
        <v>3</v>
      </c>
      <c r="BT319" s="14">
        <v>2</v>
      </c>
      <c r="BU319" s="14">
        <f>IFERROR(AVERAGE(Tabel1[[#This Row],[Up - A3a]:[Up - A3a]]),"")</f>
        <v>2</v>
      </c>
      <c r="BV319" s="14">
        <v>1</v>
      </c>
      <c r="BW319" s="14">
        <f>IFERROR(AVERAGE(Tabel1[[#This Row],[Up - A1]],Tabel1[[#This Row],[Up - A2]],Tabel1[[#This Row],[Up - A3]]),"")</f>
        <v>2.3333333333333335</v>
      </c>
      <c r="BX319" s="14">
        <v>2</v>
      </c>
      <c r="BY319" s="14">
        <v>4</v>
      </c>
      <c r="BZ319" s="14">
        <f>IFERROR(AVERAGE(Tabel1[[#This Row],[In - R1a]:[In - R1b]]),"")</f>
        <v>3</v>
      </c>
      <c r="CA319" s="14">
        <v>3</v>
      </c>
      <c r="CB319" s="14">
        <v>5</v>
      </c>
      <c r="CC319" s="14">
        <v>4</v>
      </c>
      <c r="CD319" s="14">
        <v>3</v>
      </c>
      <c r="CE319" s="14">
        <f>IFERROR(AVERAGE(Tabel1[[#This Row],[In - R1]:[In - R5]]),"")</f>
        <v>3.6</v>
      </c>
      <c r="CF319" s="14">
        <v>4</v>
      </c>
      <c r="CG319" s="14">
        <v>2</v>
      </c>
      <c r="CH319" s="14">
        <v>3</v>
      </c>
      <c r="CI319" s="14">
        <f>IFERROR(AVERAGE(Tabel1[[#This Row],[In - C1a]:[In - C1c]]),"")</f>
        <v>3</v>
      </c>
      <c r="CJ319" s="14">
        <v>3</v>
      </c>
      <c r="CK319" s="14">
        <v>2</v>
      </c>
      <c r="CL319" s="14">
        <v>1</v>
      </c>
      <c r="CM319" s="14">
        <f>IFERROR(AVERAGE(Tabel1[[#This Row],[In - C1]:[In - C4]]),"")</f>
        <v>2.25</v>
      </c>
      <c r="CN319" s="14">
        <v>4</v>
      </c>
      <c r="CO319" s="14">
        <v>3</v>
      </c>
      <c r="CP319" s="14">
        <v>1</v>
      </c>
      <c r="CQ319" s="14">
        <f>IFERROR(AVERAGE(Tabel1[[#This Row],[In - F1a]:[In - F1c]]),"")</f>
        <v>2.6666666666666665</v>
      </c>
      <c r="CR319" s="14">
        <v>3</v>
      </c>
      <c r="CS319" s="14">
        <v>1</v>
      </c>
      <c r="CT319" s="14">
        <f>IFERROR(AVERAGE(Tabel1[[#This Row],[In - F2a]:[In - F2b]]),"")</f>
        <v>2</v>
      </c>
      <c r="CU319" s="14">
        <v>1</v>
      </c>
      <c r="CV319" s="14">
        <f>IFERROR(AVERAGE(Tabel1[[#This Row],[In - F3a]:[In - F3a]]),"")</f>
        <v>1</v>
      </c>
      <c r="CW319" s="14" t="s">
        <v>189</v>
      </c>
      <c r="CX319" s="14">
        <f>IFERROR(AVERAGE(Tabel1[[#This Row],[In - F1]],Tabel1[[#This Row],[In - F2]],Tabel1[[#This Row],[In - F3]],Tabel1[[#This Row],[In - F4]]),"")</f>
        <v>1.8888888888888886</v>
      </c>
      <c r="CY319" s="14">
        <v>1</v>
      </c>
      <c r="CZ319" s="14">
        <v>3</v>
      </c>
      <c r="DA319" s="14">
        <v>1</v>
      </c>
      <c r="DB319" s="14">
        <f>IFERROR(AVERAGE(Tabel1[[#This Row],[In - V1a]:[In - V1c]]),"")</f>
        <v>1.6666666666666667</v>
      </c>
      <c r="DC319" s="14">
        <v>1</v>
      </c>
      <c r="DD319" s="14">
        <v>2</v>
      </c>
      <c r="DE319" s="14">
        <v>2</v>
      </c>
      <c r="DF319" s="14">
        <f>IFERROR(AVERAGE(Tabel1[[#This Row],[In - V2a]:[In - V2c]]),"")</f>
        <v>1.6666666666666667</v>
      </c>
      <c r="DG319" s="14">
        <v>1</v>
      </c>
      <c r="DH319" s="14">
        <v>3</v>
      </c>
      <c r="DI319" s="14">
        <f>IFERROR(AVERAGE(Tabel1[[#This Row],[In - V3a]:[In - V3b]]),"")</f>
        <v>2</v>
      </c>
      <c r="DJ319" s="14" t="s">
        <v>189</v>
      </c>
      <c r="DK319" s="14">
        <f>IFERROR(AVERAGE(Tabel1[[#This Row],[In - V1]],Tabel1[[#This Row],[In - V2]],Tabel1[[#This Row],[In - V3]],Tabel1[[#This Row],[In - V4]]),"")</f>
        <v>1.7777777777777779</v>
      </c>
      <c r="DL319" s="14">
        <v>3</v>
      </c>
      <c r="DM319" s="14">
        <v>1</v>
      </c>
      <c r="DN319" s="14">
        <f>IFERROR(AVERAGE(Tabel1[[#This Row],[In - A1a]:[In - A1b]]),"")</f>
        <v>2</v>
      </c>
      <c r="DO319" s="14">
        <v>4</v>
      </c>
      <c r="DP319" s="14">
        <v>2</v>
      </c>
      <c r="DQ319" s="14">
        <f>IFERROR(AVERAGE(Tabel1[[#This Row],[In - A2a]:[In - A2b]]),"")</f>
        <v>3</v>
      </c>
      <c r="DR319" s="14">
        <v>1</v>
      </c>
      <c r="DS319" s="14">
        <v>1</v>
      </c>
      <c r="DT319" s="14">
        <f>IFERROR(AVERAGE(Tabel1[[#This Row],[In - A3a]:[In - A3a]]),"")</f>
        <v>1</v>
      </c>
      <c r="DU319" s="14">
        <v>3</v>
      </c>
      <c r="DV319" s="14">
        <f>IFERROR(AVERAGE(Tabel1[[#This Row],[In - A1]],Tabel1[[#This Row],[In - A2]],Tabel1[[#This Row],[In - A3]],Tabel1[[#This Row],[In - A4]]),"")</f>
        <v>2.25</v>
      </c>
      <c r="DW319" s="14">
        <v>2</v>
      </c>
      <c r="DX319" s="14">
        <v>4</v>
      </c>
      <c r="DY319" s="14">
        <v>1</v>
      </c>
      <c r="DZ319" s="14">
        <f>IFERROR(AVERAGE(Tabel1[[#This Row],[Do - R1a]:[Do - R1c]]),"")</f>
        <v>2.3333333333333335</v>
      </c>
      <c r="EA319" s="14">
        <v>1</v>
      </c>
      <c r="EB319" s="14">
        <v>2</v>
      </c>
      <c r="EC319" s="14" t="s">
        <v>189</v>
      </c>
      <c r="ED319" s="14">
        <v>3</v>
      </c>
      <c r="EE319" s="14">
        <f>IFERROR(AVERAGE(Tabel1[[#This Row],[Do - R1]:[Do - R5]]),"")</f>
        <v>2.0833333333333335</v>
      </c>
      <c r="EF319" s="14">
        <v>5</v>
      </c>
      <c r="EG319" s="14">
        <v>4</v>
      </c>
      <c r="EH319" s="14">
        <v>2</v>
      </c>
      <c r="EI319" s="14">
        <f>IFERROR(AVERAGE(Tabel1[[#This Row],[Do - C1a]:[Do - C1c]]),"")</f>
        <v>3.6666666666666665</v>
      </c>
      <c r="EJ319" s="14">
        <v>3</v>
      </c>
      <c r="EK319" s="14">
        <v>2</v>
      </c>
      <c r="EL319" s="14" t="s">
        <v>189</v>
      </c>
      <c r="EM319" s="14">
        <f>IFERROR(AVERAGE(Tabel1[[#This Row],[Do - C1]:[Do - C4]]),"")</f>
        <v>2.8888888888888888</v>
      </c>
      <c r="EN319" s="14" t="s">
        <v>189</v>
      </c>
      <c r="EO319" s="14">
        <v>1</v>
      </c>
      <c r="EP319" s="14" t="s">
        <v>189</v>
      </c>
      <c r="EQ319" s="14">
        <f>IFERROR(AVERAGE(Tabel1[[#This Row],[Do - F1a]:[Do - F1c]]),"")</f>
        <v>1</v>
      </c>
      <c r="ER319" s="14">
        <v>3</v>
      </c>
      <c r="ES319" s="14">
        <f>IFERROR(AVERAGE(Tabel1[[#This Row],[Do - F2a]:[Do - F2a]]),"")</f>
        <v>3</v>
      </c>
      <c r="ET319" s="14">
        <v>2</v>
      </c>
      <c r="EU319" s="14">
        <v>1</v>
      </c>
      <c r="EV319" s="14">
        <f>IFERROR(AVERAGE(Tabel1[[#This Row],[Do - F3a]:[Do - F3b]]),"")</f>
        <v>1.5</v>
      </c>
      <c r="EW319" s="14">
        <v>3</v>
      </c>
      <c r="EX319" s="14">
        <f>IFERROR(AVERAGE(Tabel1[[#This Row],[Do - F1]],Tabel1[[#This Row],[Do - F2]],Tabel1[[#This Row],[Do - F3]],Tabel1[[#This Row],[Do - F4]]),"")</f>
        <v>2.125</v>
      </c>
      <c r="EY319" s="14">
        <v>2</v>
      </c>
      <c r="EZ319" s="14" t="s">
        <v>189</v>
      </c>
      <c r="FA319" s="14" t="s">
        <v>189</v>
      </c>
      <c r="FB319" s="14">
        <f>IFERROR(AVERAGE(Tabel1[[#This Row],[Do - V1a]:[Do - V1c]]),"")</f>
        <v>2</v>
      </c>
      <c r="FC319" s="14">
        <v>2</v>
      </c>
      <c r="FD319" s="14">
        <v>1</v>
      </c>
      <c r="FE319" s="14">
        <f>IFERROR(AVERAGE(Tabel1[[#This Row],[Do - V2a]:[Do - V2b]]),"")</f>
        <v>1.5</v>
      </c>
      <c r="FF319" s="14" t="s">
        <v>189</v>
      </c>
      <c r="FG319" s="14" t="str">
        <f>IFERROR(AVERAGE(Tabel1[[#This Row],[Do - V3a]:[Do - V3a]]),"")</f>
        <v/>
      </c>
      <c r="FH319" s="14" t="s">
        <v>189</v>
      </c>
      <c r="FI319" s="14">
        <f>IFERROR(AVERAGE(Tabel1[[#This Row],[Do - V1]],Tabel1[[#This Row],[Do - V2]],Tabel1[[#This Row],[Do - V3]],Tabel1[[#This Row],[Do - V4]]),"")</f>
        <v>1.75</v>
      </c>
      <c r="FJ319" s="14">
        <v>1</v>
      </c>
      <c r="FK319" s="14">
        <v>1</v>
      </c>
      <c r="FL319" s="14">
        <v>2</v>
      </c>
      <c r="FM319" s="14">
        <f>IFERROR(AVERAGE(Tabel1[[#This Row],[Do - A1a]:[Do - A1c]]),"")</f>
        <v>1.3333333333333333</v>
      </c>
      <c r="FN319" s="14">
        <v>1</v>
      </c>
      <c r="FO319" s="14">
        <v>3</v>
      </c>
      <c r="FP319" s="14">
        <f>IFERROR(AVERAGE(Tabel1[[#This Row],[Do - A2a]:[Do - A2b]]),"")</f>
        <v>2</v>
      </c>
      <c r="FQ319" s="14">
        <v>2</v>
      </c>
      <c r="FR319" s="14">
        <f>IFERROR(AVERAGE(Tabel1[[#This Row],[Do - A3a]:[Do - A3a]]),"")</f>
        <v>2</v>
      </c>
      <c r="FS319" s="14" t="s">
        <v>189</v>
      </c>
      <c r="FT319" s="14">
        <f>IFERROR(AVERAGE(Tabel1[[#This Row],[Do - A1]],Tabel1[[#This Row],[Do - A2]],Tabel1[[#This Row],[Do - A3]],Tabel1[[#This Row],[Do - A4]]),"")</f>
        <v>1.7777777777777777</v>
      </c>
      <c r="FU31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2.1816666666666666</v>
      </c>
      <c r="FV319" s="27" t="s">
        <v>1662</v>
      </c>
      <c r="FW319" t="b">
        <v>1</v>
      </c>
    </row>
    <row r="320" spans="1:179" x14ac:dyDescent="0.3">
      <c r="A320" s="13">
        <v>45425.7753703704</v>
      </c>
      <c r="B320" t="b">
        <v>0</v>
      </c>
      <c r="C320" s="14" t="s">
        <v>1663</v>
      </c>
      <c r="D320" s="14" t="s">
        <v>1664</v>
      </c>
      <c r="E320" s="14" t="s">
        <v>1543</v>
      </c>
      <c r="F320" s="14" t="s">
        <v>184</v>
      </c>
      <c r="G320" s="14" t="s">
        <v>1665</v>
      </c>
      <c r="H320" s="14" t="s">
        <v>222</v>
      </c>
      <c r="I320" s="14" t="s">
        <v>542</v>
      </c>
      <c r="J320" s="14"/>
      <c r="K320" s="28" t="s">
        <v>235</v>
      </c>
      <c r="L320" s="14" t="s">
        <v>385</v>
      </c>
      <c r="M320" s="14" t="s">
        <v>198</v>
      </c>
      <c r="N320" s="14" t="s">
        <v>316</v>
      </c>
      <c r="O320" s="14" t="s">
        <v>200</v>
      </c>
      <c r="P320" s="25"/>
      <c r="Q320" s="17" t="s">
        <v>235</v>
      </c>
      <c r="R320" s="25" t="s">
        <v>235</v>
      </c>
      <c r="S320" s="25" t="s">
        <v>187</v>
      </c>
      <c r="T320" s="14" t="s">
        <v>284</v>
      </c>
      <c r="U320" s="14" t="s">
        <v>237</v>
      </c>
      <c r="V320" s="14" t="s">
        <v>206</v>
      </c>
      <c r="W320" s="14" t="s">
        <v>207</v>
      </c>
      <c r="X320" s="14" t="s">
        <v>207</v>
      </c>
      <c r="Y320" s="14">
        <v>3</v>
      </c>
      <c r="Z320" s="14">
        <v>3</v>
      </c>
      <c r="AA320" s="14" t="s">
        <v>189</v>
      </c>
      <c r="AB320" s="15">
        <f>IFERROR(AVERAGE(Tabel1[[#This Row],[Up - R1a]:[Up - R1c]]),"")</f>
        <v>3</v>
      </c>
      <c r="AC320" s="14" t="s">
        <v>189</v>
      </c>
      <c r="AD320" s="14">
        <v>3</v>
      </c>
      <c r="AE320" s="14" t="s">
        <v>189</v>
      </c>
      <c r="AF320" s="14" t="s">
        <v>189</v>
      </c>
      <c r="AG320" s="14">
        <f>IFERROR(AVERAGE(Tabel1[[#This Row],[Up - R1]:[Up - R5]]),"")</f>
        <v>3</v>
      </c>
      <c r="AH320" s="14">
        <v>3</v>
      </c>
      <c r="AI320" s="14">
        <v>3</v>
      </c>
      <c r="AJ320" s="14">
        <v>3</v>
      </c>
      <c r="AK320" s="14">
        <f>IFERROR(AVERAGE(Tabel1[[#This Row],[Up - C1a]:[Up - C1c]]),"")</f>
        <v>3</v>
      </c>
      <c r="AL320" s="14">
        <v>1</v>
      </c>
      <c r="AM320" s="14">
        <v>2</v>
      </c>
      <c r="AN320" s="14">
        <v>1</v>
      </c>
      <c r="AO320" s="14">
        <f>IFERROR(AVERAGE(Tabel1[[#This Row],[Up - C1]:[Up - C4]]),"")</f>
        <v>1.75</v>
      </c>
      <c r="AP320" s="14" t="s">
        <v>189</v>
      </c>
      <c r="AQ320" s="14" t="str">
        <f>IFERROR(AVERAGE(Tabel1[[#This Row],[Up - F1a]:[Up - F1a]]),"")</f>
        <v/>
      </c>
      <c r="AR320" s="14">
        <v>1</v>
      </c>
      <c r="AS320" s="14">
        <v>4</v>
      </c>
      <c r="AT320" s="14">
        <f>IFERROR(AVERAGE(Tabel1[[#This Row],[Up - F2a]:[Up - F2b]]),"")</f>
        <v>2.5</v>
      </c>
      <c r="AU320" s="14">
        <v>1</v>
      </c>
      <c r="AV320" s="14">
        <v>4</v>
      </c>
      <c r="AW320" s="14">
        <f>IFERROR(AVERAGE(Tabel1[[#This Row],[Up - F3a]:[Up - F3b]]),"")</f>
        <v>2.5</v>
      </c>
      <c r="AX320" s="14">
        <v>1</v>
      </c>
      <c r="AY320" s="14">
        <f>IFERROR(AVERAGE(Tabel1[[#This Row],[Up - F1]],Tabel1[[#This Row],[Up - F2]],Tabel1[[#This Row],[Up - F3]],Tabel1[[#This Row],[Up - F4]]),"")</f>
        <v>2</v>
      </c>
      <c r="AZ320" s="14">
        <v>1</v>
      </c>
      <c r="BA320" s="14">
        <v>3</v>
      </c>
      <c r="BB320" s="14">
        <f>IFERROR(AVERAGE(Tabel1[[#This Row],[Up - V1a]:[Up - V1b]]),"")</f>
        <v>2</v>
      </c>
      <c r="BC320" s="14">
        <v>1</v>
      </c>
      <c r="BD320" s="14">
        <v>1</v>
      </c>
      <c r="BE320" s="14">
        <v>1</v>
      </c>
      <c r="BF320" s="14">
        <f>IFERROR(AVERAGE(Tabel1[[#This Row],[Up - V2a]:[Up - V2c]]),"")</f>
        <v>1</v>
      </c>
      <c r="BG320" s="14">
        <v>1</v>
      </c>
      <c r="BH320" s="14">
        <v>1</v>
      </c>
      <c r="BI320" s="14">
        <f>IFERROR(AVERAGE(Tabel1[[#This Row],[Up - V3a]:[Up - V3b]]),"")</f>
        <v>1</v>
      </c>
      <c r="BJ320" s="14">
        <v>3</v>
      </c>
      <c r="BK320" s="14">
        <f>IFERROR(AVERAGE(Tabel1[[#This Row],[Up - V1]],Tabel1[[#This Row],[Up - V2]],Tabel1[[#This Row],[Up - V3]],Tabel1[[#This Row],[Up - V4]]),"")</f>
        <v>1.75</v>
      </c>
      <c r="BL320" s="14" t="s">
        <v>189</v>
      </c>
      <c r="BM320" s="14" t="s">
        <v>189</v>
      </c>
      <c r="BN320" s="14">
        <v>2</v>
      </c>
      <c r="BO320" s="14" t="s">
        <v>189</v>
      </c>
      <c r="BP320" s="14">
        <f>IFERROR(AVERAGE(Tabel1[[#This Row],[Up - A1a]:[Up - A1d]]),"")</f>
        <v>2</v>
      </c>
      <c r="BQ320" s="14" t="s">
        <v>189</v>
      </c>
      <c r="BR320" s="14">
        <v>1</v>
      </c>
      <c r="BS320" s="14">
        <f>IFERROR(AVERAGE(Tabel1[[#This Row],[Up - A2a]:[Up - A2b]]),"")</f>
        <v>1</v>
      </c>
      <c r="BT320" s="14">
        <v>2</v>
      </c>
      <c r="BU320" s="14">
        <f>IFERROR(AVERAGE(Tabel1[[#This Row],[Up - A3a]:[Up - A3a]]),"")</f>
        <v>2</v>
      </c>
      <c r="BV320" s="14" t="s">
        <v>189</v>
      </c>
      <c r="BW320" s="14">
        <f>IFERROR(AVERAGE(Tabel1[[#This Row],[Up - A1]],Tabel1[[#This Row],[Up - A2]],Tabel1[[#This Row],[Up - A3]]),"")</f>
        <v>1.6666666666666667</v>
      </c>
      <c r="BX320" s="14">
        <v>5</v>
      </c>
      <c r="BY320" s="14">
        <v>3</v>
      </c>
      <c r="BZ320" s="14">
        <f>IFERROR(AVERAGE(Tabel1[[#This Row],[In - R1a]:[In - R1b]]),"")</f>
        <v>4</v>
      </c>
      <c r="CA320" s="14">
        <v>1</v>
      </c>
      <c r="CB320" s="14">
        <v>1</v>
      </c>
      <c r="CC320" s="14">
        <v>3</v>
      </c>
      <c r="CD320" s="14">
        <v>4</v>
      </c>
      <c r="CE320" s="14">
        <f>IFERROR(AVERAGE(Tabel1[[#This Row],[In - R1]:[In - R5]]),"")</f>
        <v>2.6</v>
      </c>
      <c r="CF320" s="14">
        <v>5</v>
      </c>
      <c r="CG320" s="14">
        <v>5</v>
      </c>
      <c r="CH320" s="14">
        <v>5</v>
      </c>
      <c r="CI320" s="14">
        <f>IFERROR(AVERAGE(Tabel1[[#This Row],[In - C1a]:[In - C1c]]),"")</f>
        <v>5</v>
      </c>
      <c r="CJ320" s="14">
        <v>1</v>
      </c>
      <c r="CK320" s="14">
        <v>3</v>
      </c>
      <c r="CL320" s="14" t="s">
        <v>189</v>
      </c>
      <c r="CM320" s="14">
        <f>IFERROR(AVERAGE(Tabel1[[#This Row],[In - C1]:[In - C4]]),"")</f>
        <v>3</v>
      </c>
      <c r="CN320" s="14">
        <v>2</v>
      </c>
      <c r="CO320" s="14">
        <v>2</v>
      </c>
      <c r="CP320" s="14">
        <v>2</v>
      </c>
      <c r="CQ320" s="14">
        <f>IFERROR(AVERAGE(Tabel1[[#This Row],[In - F1a]:[In - F1c]]),"")</f>
        <v>2</v>
      </c>
      <c r="CR320" s="14" t="s">
        <v>189</v>
      </c>
      <c r="CS320" s="14" t="s">
        <v>189</v>
      </c>
      <c r="CT320" s="14" t="str">
        <f>IFERROR(AVERAGE(Tabel1[[#This Row],[In - F2a]:[In - F2b]]),"")</f>
        <v/>
      </c>
      <c r="CU320" s="14">
        <v>1</v>
      </c>
      <c r="CV320" s="14">
        <f>IFERROR(AVERAGE(Tabel1[[#This Row],[In - F3a]:[In - F3a]]),"")</f>
        <v>1</v>
      </c>
      <c r="CW320" s="14" t="s">
        <v>189</v>
      </c>
      <c r="CX320" s="14">
        <f>IFERROR(AVERAGE(Tabel1[[#This Row],[In - F1]],Tabel1[[#This Row],[In - F2]],Tabel1[[#This Row],[In - F3]],Tabel1[[#This Row],[In - F4]]),"")</f>
        <v>1.5</v>
      </c>
      <c r="CY320" s="14">
        <v>2</v>
      </c>
      <c r="CZ320" s="14">
        <v>5</v>
      </c>
      <c r="DA320" s="14">
        <v>3</v>
      </c>
      <c r="DB320" s="14">
        <f>IFERROR(AVERAGE(Tabel1[[#This Row],[In - V1a]:[In - V1c]]),"")</f>
        <v>3.3333333333333335</v>
      </c>
      <c r="DC320" s="14">
        <v>5</v>
      </c>
      <c r="DD320" s="14" t="s">
        <v>189</v>
      </c>
      <c r="DE320" s="14">
        <v>4</v>
      </c>
      <c r="DF320" s="14">
        <f>IFERROR(AVERAGE(Tabel1[[#This Row],[In - V2a]:[In - V2c]]),"")</f>
        <v>4.5</v>
      </c>
      <c r="DG320" s="14">
        <v>5</v>
      </c>
      <c r="DH320" s="14">
        <v>5</v>
      </c>
      <c r="DI320" s="14">
        <f>IFERROR(AVERAGE(Tabel1[[#This Row],[In - V3a]:[In - V3b]]),"")</f>
        <v>5</v>
      </c>
      <c r="DJ320" s="14">
        <v>4</v>
      </c>
      <c r="DK320" s="14">
        <f>IFERROR(AVERAGE(Tabel1[[#This Row],[In - V1]],Tabel1[[#This Row],[In - V2]],Tabel1[[#This Row],[In - V3]],Tabel1[[#This Row],[In - V4]]),"")</f>
        <v>4.2083333333333339</v>
      </c>
      <c r="DL320" s="14">
        <v>5</v>
      </c>
      <c r="DM320" s="14">
        <v>3</v>
      </c>
      <c r="DN320" s="14">
        <f>IFERROR(AVERAGE(Tabel1[[#This Row],[In - A1a]:[In - A1b]]),"")</f>
        <v>4</v>
      </c>
      <c r="DO320" s="14" t="s">
        <v>189</v>
      </c>
      <c r="DP320" s="14">
        <v>4</v>
      </c>
      <c r="DQ320" s="14">
        <f>IFERROR(AVERAGE(Tabel1[[#This Row],[In - A2a]:[In - A2b]]),"")</f>
        <v>4</v>
      </c>
      <c r="DR320" s="14">
        <v>3</v>
      </c>
      <c r="DS320" s="14">
        <v>2</v>
      </c>
      <c r="DT320" s="14">
        <f>IFERROR(AVERAGE(Tabel1[[#This Row],[In - A3a]:[In - A3a]]),"")</f>
        <v>3</v>
      </c>
      <c r="DU320" s="14">
        <v>5</v>
      </c>
      <c r="DV320" s="14">
        <f>IFERROR(AVERAGE(Tabel1[[#This Row],[In - A1]],Tabel1[[#This Row],[In - A2]],Tabel1[[#This Row],[In - A3]],Tabel1[[#This Row],[In - A4]]),"")</f>
        <v>4</v>
      </c>
      <c r="DW320" s="14">
        <v>2</v>
      </c>
      <c r="DX320" s="14">
        <v>4</v>
      </c>
      <c r="DY320" s="14">
        <v>3</v>
      </c>
      <c r="DZ320" s="14">
        <f>IFERROR(AVERAGE(Tabel1[[#This Row],[Do - R1a]:[Do - R1c]]),"")</f>
        <v>3</v>
      </c>
      <c r="EA320" s="14">
        <v>1</v>
      </c>
      <c r="EB320" s="14">
        <v>2</v>
      </c>
      <c r="EC320" s="14" t="s">
        <v>189</v>
      </c>
      <c r="ED320" s="14">
        <v>3</v>
      </c>
      <c r="EE320" s="14">
        <f>IFERROR(AVERAGE(Tabel1[[#This Row],[Do - R1]:[Do - R5]]),"")</f>
        <v>2.25</v>
      </c>
      <c r="EF320" s="14">
        <v>3</v>
      </c>
      <c r="EG320" s="14">
        <v>1</v>
      </c>
      <c r="EH320" s="14">
        <v>3</v>
      </c>
      <c r="EI320" s="14">
        <f>IFERROR(AVERAGE(Tabel1[[#This Row],[Do - C1a]:[Do - C1c]]),"")</f>
        <v>2.3333333333333335</v>
      </c>
      <c r="EJ320" s="14">
        <v>1</v>
      </c>
      <c r="EK320" s="14">
        <v>1</v>
      </c>
      <c r="EL320" s="14">
        <v>1</v>
      </c>
      <c r="EM320" s="14">
        <f>IFERROR(AVERAGE(Tabel1[[#This Row],[Do - C1]:[Do - C4]]),"")</f>
        <v>1.3333333333333335</v>
      </c>
      <c r="EN320" s="14" t="s">
        <v>189</v>
      </c>
      <c r="EO320" s="14">
        <v>2</v>
      </c>
      <c r="EP320" s="14">
        <v>5</v>
      </c>
      <c r="EQ320" s="14">
        <f>IFERROR(AVERAGE(Tabel1[[#This Row],[Do - F1a]:[Do - F1c]]),"")</f>
        <v>3.5</v>
      </c>
      <c r="ER320" s="14">
        <v>4</v>
      </c>
      <c r="ES320" s="14">
        <f>IFERROR(AVERAGE(Tabel1[[#This Row],[Do - F2a]:[Do - F2a]]),"")</f>
        <v>4</v>
      </c>
      <c r="ET320" s="14">
        <v>1</v>
      </c>
      <c r="EU320" s="14">
        <v>2</v>
      </c>
      <c r="EV320" s="14">
        <f>IFERROR(AVERAGE(Tabel1[[#This Row],[Do - F3a]:[Do - F3b]]),"")</f>
        <v>1.5</v>
      </c>
      <c r="EW320" s="14">
        <v>1</v>
      </c>
      <c r="EX320" s="14">
        <f>IFERROR(AVERAGE(Tabel1[[#This Row],[Do - F1]],Tabel1[[#This Row],[Do - F2]],Tabel1[[#This Row],[Do - F3]],Tabel1[[#This Row],[Do - F4]]),"")</f>
        <v>2.5</v>
      </c>
      <c r="EY320" s="14">
        <v>1</v>
      </c>
      <c r="EZ320" s="14">
        <v>1</v>
      </c>
      <c r="FA320" s="14">
        <v>3</v>
      </c>
      <c r="FB320" s="14">
        <f>IFERROR(AVERAGE(Tabel1[[#This Row],[Do - V1a]:[Do - V1c]]),"")</f>
        <v>1.6666666666666667</v>
      </c>
      <c r="FC320" s="14">
        <v>1</v>
      </c>
      <c r="FD320" s="14">
        <v>1</v>
      </c>
      <c r="FE320" s="14">
        <f>IFERROR(AVERAGE(Tabel1[[#This Row],[Do - V2a]:[Do - V2b]]),"")</f>
        <v>1</v>
      </c>
      <c r="FF320" s="14">
        <v>3</v>
      </c>
      <c r="FG320" s="14">
        <f>IFERROR(AVERAGE(Tabel1[[#This Row],[Do - V3a]:[Do - V3a]]),"")</f>
        <v>3</v>
      </c>
      <c r="FH320" s="14">
        <v>3</v>
      </c>
      <c r="FI320" s="14">
        <f>IFERROR(AVERAGE(Tabel1[[#This Row],[Do - V1]],Tabel1[[#This Row],[Do - V2]],Tabel1[[#This Row],[Do - V3]],Tabel1[[#This Row],[Do - V4]]),"")</f>
        <v>2.166666666666667</v>
      </c>
      <c r="FJ320" s="14" t="s">
        <v>189</v>
      </c>
      <c r="FK320" s="14" t="s">
        <v>189</v>
      </c>
      <c r="FL320" s="14">
        <v>2</v>
      </c>
      <c r="FM320" s="14">
        <f>IFERROR(AVERAGE(Tabel1[[#This Row],[Do - A1a]:[Do - A1c]]),"")</f>
        <v>2</v>
      </c>
      <c r="FN320" s="14" t="s">
        <v>189</v>
      </c>
      <c r="FO320" s="14">
        <v>1</v>
      </c>
      <c r="FP320" s="14">
        <f>IFERROR(AVERAGE(Tabel1[[#This Row],[Do - A2a]:[Do - A2b]]),"")</f>
        <v>1</v>
      </c>
      <c r="FQ320" s="14" t="s">
        <v>189</v>
      </c>
      <c r="FR320" s="14" t="str">
        <f>IFERROR(AVERAGE(Tabel1[[#This Row],[Do - A3a]:[Do - A3a]]),"")</f>
        <v/>
      </c>
      <c r="FS320" s="14">
        <v>5</v>
      </c>
      <c r="FT320" s="14">
        <f>IFERROR(AVERAGE(Tabel1[[#This Row],[Do - A1]],Tabel1[[#This Row],[Do - A2]],Tabel1[[#This Row],[Do - A3]],Tabel1[[#This Row],[Do - A4]]),"")</f>
        <v>2.6666666666666665</v>
      </c>
      <c r="FU32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2.4261111111111111</v>
      </c>
      <c r="FV320" s="27" t="s">
        <v>1666</v>
      </c>
      <c r="FW320" t="b">
        <v>1</v>
      </c>
    </row>
    <row r="321" spans="1:179" x14ac:dyDescent="0.3">
      <c r="A321" s="13">
        <v>45425.815925925897</v>
      </c>
      <c r="B321" t="b">
        <v>0</v>
      </c>
      <c r="C321" s="14" t="s">
        <v>1667</v>
      </c>
      <c r="D321" s="14" t="s">
        <v>403</v>
      </c>
      <c r="E321" s="14" t="s">
        <v>1518</v>
      </c>
      <c r="F321" s="14" t="s">
        <v>184</v>
      </c>
      <c r="G321" s="14" t="s">
        <v>1668</v>
      </c>
      <c r="H321" s="14" t="s">
        <v>222</v>
      </c>
      <c r="I321" s="14" t="s">
        <v>195</v>
      </c>
      <c r="J321" s="14" t="s">
        <v>261</v>
      </c>
      <c r="K321" s="28" t="s">
        <v>235</v>
      </c>
      <c r="L321" s="14" t="s">
        <v>218</v>
      </c>
      <c r="M321" s="14" t="s">
        <v>198</v>
      </c>
      <c r="N321" s="14" t="s">
        <v>316</v>
      </c>
      <c r="O321" s="14" t="s">
        <v>200</v>
      </c>
      <c r="P321" s="24" t="s">
        <v>304</v>
      </c>
      <c r="Q321" s="17" t="s">
        <v>203</v>
      </c>
      <c r="R321" s="25" t="s">
        <v>202</v>
      </c>
      <c r="S321" s="25" t="s">
        <v>201</v>
      </c>
      <c r="T321" s="14" t="s">
        <v>204</v>
      </c>
      <c r="U321" s="14" t="s">
        <v>285</v>
      </c>
      <c r="V321" s="14" t="s">
        <v>359</v>
      </c>
      <c r="W321" s="14" t="s">
        <v>306</v>
      </c>
      <c r="X321" s="14" t="s">
        <v>207</v>
      </c>
      <c r="Y321" s="14">
        <v>3</v>
      </c>
      <c r="Z321" s="14">
        <v>2</v>
      </c>
      <c r="AA321" s="14">
        <v>4</v>
      </c>
      <c r="AB321" s="15">
        <f>IFERROR(AVERAGE(Tabel1[[#This Row],[Up - R1a]:[Up - R1c]]),"")</f>
        <v>3</v>
      </c>
      <c r="AC321" s="14">
        <v>4</v>
      </c>
      <c r="AD321" s="14">
        <v>1</v>
      </c>
      <c r="AE321" s="14">
        <v>1</v>
      </c>
      <c r="AF321" s="14">
        <v>3</v>
      </c>
      <c r="AG321" s="14">
        <f>IFERROR(AVERAGE(Tabel1[[#This Row],[Up - R1]:[Up - R5]]),"")</f>
        <v>2.4</v>
      </c>
      <c r="AH321" s="14">
        <v>4</v>
      </c>
      <c r="AI321" s="14">
        <v>4</v>
      </c>
      <c r="AJ321" s="14">
        <v>3</v>
      </c>
      <c r="AK321" s="14">
        <f>IFERROR(AVERAGE(Tabel1[[#This Row],[Up - C1a]:[Up - C1c]]),"")</f>
        <v>3.6666666666666665</v>
      </c>
      <c r="AL321" s="14">
        <v>4</v>
      </c>
      <c r="AM321" s="14">
        <v>2</v>
      </c>
      <c r="AN321" s="14">
        <v>2</v>
      </c>
      <c r="AO321" s="14">
        <f>IFERROR(AVERAGE(Tabel1[[#This Row],[Up - C1]:[Up - C4]]),"")</f>
        <v>2.9166666666666665</v>
      </c>
      <c r="AP321" s="14">
        <v>3</v>
      </c>
      <c r="AQ321" s="14">
        <f>IFERROR(AVERAGE(Tabel1[[#This Row],[Up - F1a]:[Up - F1a]]),"")</f>
        <v>3</v>
      </c>
      <c r="AR321" s="14">
        <v>2</v>
      </c>
      <c r="AS321" s="14">
        <v>2</v>
      </c>
      <c r="AT321" s="14">
        <f>IFERROR(AVERAGE(Tabel1[[#This Row],[Up - F2a]:[Up - F2b]]),"")</f>
        <v>2</v>
      </c>
      <c r="AU321" s="14">
        <v>2</v>
      </c>
      <c r="AV321" s="14">
        <v>1</v>
      </c>
      <c r="AW321" s="14">
        <f>IFERROR(AVERAGE(Tabel1[[#This Row],[Up - F3a]:[Up - F3b]]),"")</f>
        <v>1.5</v>
      </c>
      <c r="AX321" s="14">
        <v>4</v>
      </c>
      <c r="AY321" s="14">
        <f>IFERROR(AVERAGE(Tabel1[[#This Row],[Up - F1]],Tabel1[[#This Row],[Up - F2]],Tabel1[[#This Row],[Up - F3]],Tabel1[[#This Row],[Up - F4]]),"")</f>
        <v>2.625</v>
      </c>
      <c r="AZ321" s="14">
        <v>2</v>
      </c>
      <c r="BA321" s="14">
        <v>3</v>
      </c>
      <c r="BB321" s="14">
        <f>IFERROR(AVERAGE(Tabel1[[#This Row],[Up - V1a]:[Up - V1b]]),"")</f>
        <v>2.5</v>
      </c>
      <c r="BC321" s="14">
        <v>2</v>
      </c>
      <c r="BD321" s="14">
        <v>2</v>
      </c>
      <c r="BE321" s="14">
        <v>5</v>
      </c>
      <c r="BF321" s="14">
        <f>IFERROR(AVERAGE(Tabel1[[#This Row],[Up - V2a]:[Up - V2c]]),"")</f>
        <v>3</v>
      </c>
      <c r="BG321" s="14">
        <v>2</v>
      </c>
      <c r="BH321" s="14">
        <v>1</v>
      </c>
      <c r="BI321" s="14">
        <f>IFERROR(AVERAGE(Tabel1[[#This Row],[Up - V3a]:[Up - V3b]]),"")</f>
        <v>1.5</v>
      </c>
      <c r="BJ321" s="14">
        <v>1</v>
      </c>
      <c r="BK321" s="14">
        <f>IFERROR(AVERAGE(Tabel1[[#This Row],[Up - V1]],Tabel1[[#This Row],[Up - V2]],Tabel1[[#This Row],[Up - V3]],Tabel1[[#This Row],[Up - V4]]),"")</f>
        <v>2</v>
      </c>
      <c r="BL321" s="14">
        <v>5</v>
      </c>
      <c r="BM321" s="14">
        <v>3</v>
      </c>
      <c r="BN321" s="14">
        <v>5</v>
      </c>
      <c r="BO321" s="14">
        <v>3</v>
      </c>
      <c r="BP321" s="14">
        <f>IFERROR(AVERAGE(Tabel1[[#This Row],[Up - A1a]:[Up - A1d]]),"")</f>
        <v>4</v>
      </c>
      <c r="BQ321" s="14">
        <v>4</v>
      </c>
      <c r="BR321" s="14">
        <v>3</v>
      </c>
      <c r="BS321" s="14">
        <f>IFERROR(AVERAGE(Tabel1[[#This Row],[Up - A2a]:[Up - A2b]]),"")</f>
        <v>3.5</v>
      </c>
      <c r="BT321" s="14">
        <v>5</v>
      </c>
      <c r="BU321" s="14">
        <f>IFERROR(AVERAGE(Tabel1[[#This Row],[Up - A3a]:[Up - A3a]]),"")</f>
        <v>5</v>
      </c>
      <c r="BV321" s="14">
        <v>3</v>
      </c>
      <c r="BW321" s="14">
        <f>IFERROR(AVERAGE(Tabel1[[#This Row],[Up - A1]],Tabel1[[#This Row],[Up - A2]],Tabel1[[#This Row],[Up - A3]]),"")</f>
        <v>4.166666666666667</v>
      </c>
      <c r="BX321" s="14">
        <v>4</v>
      </c>
      <c r="BY321" s="14">
        <v>2</v>
      </c>
      <c r="BZ321" s="14">
        <f>IFERROR(AVERAGE(Tabel1[[#This Row],[In - R1a]:[In - R1b]]),"")</f>
        <v>3</v>
      </c>
      <c r="CA321" s="14">
        <v>1</v>
      </c>
      <c r="CB321" s="14">
        <v>2</v>
      </c>
      <c r="CC321" s="14">
        <v>1</v>
      </c>
      <c r="CD321" s="14">
        <v>4</v>
      </c>
      <c r="CE321" s="14">
        <f>IFERROR(AVERAGE(Tabel1[[#This Row],[In - R1]:[In - R5]]),"")</f>
        <v>2.2000000000000002</v>
      </c>
      <c r="CF321" s="14">
        <v>4</v>
      </c>
      <c r="CG321" s="14">
        <v>3</v>
      </c>
      <c r="CH321" s="14">
        <v>3</v>
      </c>
      <c r="CI321" s="14">
        <f>IFERROR(AVERAGE(Tabel1[[#This Row],[In - C1a]:[In - C1c]]),"")</f>
        <v>3.3333333333333335</v>
      </c>
      <c r="CJ321" s="14">
        <v>3</v>
      </c>
      <c r="CK321" s="14">
        <v>2</v>
      </c>
      <c r="CL321" s="14" t="s">
        <v>189</v>
      </c>
      <c r="CM321" s="14">
        <f>IFERROR(AVERAGE(Tabel1[[#This Row],[In - C1]:[In - C4]]),"")</f>
        <v>2.7777777777777781</v>
      </c>
      <c r="CN321" s="14">
        <v>3</v>
      </c>
      <c r="CO321" s="14">
        <v>3</v>
      </c>
      <c r="CP321" s="14">
        <v>2</v>
      </c>
      <c r="CQ321" s="14">
        <f>IFERROR(AVERAGE(Tabel1[[#This Row],[In - F1a]:[In - F1c]]),"")</f>
        <v>2.6666666666666665</v>
      </c>
      <c r="CR321" s="14">
        <v>3</v>
      </c>
      <c r="CS321" s="14">
        <v>1</v>
      </c>
      <c r="CT321" s="14">
        <f>IFERROR(AVERAGE(Tabel1[[#This Row],[In - F2a]:[In - F2b]]),"")</f>
        <v>2</v>
      </c>
      <c r="CU321" s="14">
        <v>2</v>
      </c>
      <c r="CV321" s="14">
        <f>IFERROR(AVERAGE(Tabel1[[#This Row],[In - F3a]:[In - F3a]]),"")</f>
        <v>2</v>
      </c>
      <c r="CW321" s="14">
        <v>3</v>
      </c>
      <c r="CX321" s="14">
        <f>IFERROR(AVERAGE(Tabel1[[#This Row],[In - F1]],Tabel1[[#This Row],[In - F2]],Tabel1[[#This Row],[In - F3]],Tabel1[[#This Row],[In - F4]]),"")</f>
        <v>2.4166666666666665</v>
      </c>
      <c r="CY321" s="14">
        <v>3</v>
      </c>
      <c r="CZ321" s="14">
        <v>2</v>
      </c>
      <c r="DA321" s="14">
        <v>2</v>
      </c>
      <c r="DB321" s="14">
        <f>IFERROR(AVERAGE(Tabel1[[#This Row],[In - V1a]:[In - V1c]]),"")</f>
        <v>2.3333333333333335</v>
      </c>
      <c r="DC321" s="14">
        <v>2</v>
      </c>
      <c r="DD321" s="14">
        <v>2</v>
      </c>
      <c r="DE321" s="14">
        <v>2</v>
      </c>
      <c r="DF321" s="14">
        <f>IFERROR(AVERAGE(Tabel1[[#This Row],[In - V2a]:[In - V2c]]),"")</f>
        <v>2</v>
      </c>
      <c r="DG321" s="14">
        <v>2</v>
      </c>
      <c r="DH321" s="14">
        <v>1</v>
      </c>
      <c r="DI321" s="14">
        <f>IFERROR(AVERAGE(Tabel1[[#This Row],[In - V3a]:[In - V3b]]),"")</f>
        <v>1.5</v>
      </c>
      <c r="DJ321" s="14">
        <v>2</v>
      </c>
      <c r="DK321" s="14">
        <f>IFERROR(AVERAGE(Tabel1[[#This Row],[In - V1]],Tabel1[[#This Row],[In - V2]],Tabel1[[#This Row],[In - V3]],Tabel1[[#This Row],[In - V4]]),"")</f>
        <v>1.9583333333333335</v>
      </c>
      <c r="DL321" s="14">
        <v>4</v>
      </c>
      <c r="DM321" s="14">
        <v>3</v>
      </c>
      <c r="DN321" s="14">
        <f>IFERROR(AVERAGE(Tabel1[[#This Row],[In - A1a]:[In - A1b]]),"")</f>
        <v>3.5</v>
      </c>
      <c r="DO321" s="14">
        <v>3</v>
      </c>
      <c r="DP321" s="14">
        <v>2</v>
      </c>
      <c r="DQ321" s="14">
        <f>IFERROR(AVERAGE(Tabel1[[#This Row],[In - A2a]:[In - A2b]]),"")</f>
        <v>2.5</v>
      </c>
      <c r="DR321" s="14">
        <v>5</v>
      </c>
      <c r="DS321" s="14">
        <v>4</v>
      </c>
      <c r="DT321" s="14">
        <f>IFERROR(AVERAGE(Tabel1[[#This Row],[In - A3a]:[In - A3a]]),"")</f>
        <v>5</v>
      </c>
      <c r="DU321" s="14">
        <v>3</v>
      </c>
      <c r="DV321" s="14">
        <f>IFERROR(AVERAGE(Tabel1[[#This Row],[In - A1]],Tabel1[[#This Row],[In - A2]],Tabel1[[#This Row],[In - A3]],Tabel1[[#This Row],[In - A4]]),"")</f>
        <v>3.5</v>
      </c>
      <c r="DW321" s="14">
        <v>2</v>
      </c>
      <c r="DX321" s="14">
        <v>5</v>
      </c>
      <c r="DY321" s="14">
        <v>3</v>
      </c>
      <c r="DZ321" s="14">
        <f>IFERROR(AVERAGE(Tabel1[[#This Row],[Do - R1a]:[Do - R1c]]),"")</f>
        <v>3.3333333333333335</v>
      </c>
      <c r="EA321" s="14" t="s">
        <v>189</v>
      </c>
      <c r="EB321" s="14">
        <v>1</v>
      </c>
      <c r="EC321" s="14" t="s">
        <v>189</v>
      </c>
      <c r="ED321" s="14" t="s">
        <v>189</v>
      </c>
      <c r="EE321" s="14">
        <f>IFERROR(AVERAGE(Tabel1[[#This Row],[Do - R1]:[Do - R5]]),"")</f>
        <v>2.166666666666667</v>
      </c>
      <c r="EF321" s="14">
        <v>4</v>
      </c>
      <c r="EG321" s="14">
        <v>3</v>
      </c>
      <c r="EH321" s="14">
        <v>2</v>
      </c>
      <c r="EI321" s="14">
        <f>IFERROR(AVERAGE(Tabel1[[#This Row],[Do - C1a]:[Do - C1c]]),"")</f>
        <v>3</v>
      </c>
      <c r="EJ321" s="14">
        <v>2</v>
      </c>
      <c r="EK321" s="14">
        <v>2</v>
      </c>
      <c r="EL321" s="14" t="s">
        <v>189</v>
      </c>
      <c r="EM321" s="14">
        <f>IFERROR(AVERAGE(Tabel1[[#This Row],[Do - C1]:[Do - C4]]),"")</f>
        <v>2.3333333333333335</v>
      </c>
      <c r="EN321" s="14" t="s">
        <v>189</v>
      </c>
      <c r="EO321" s="14">
        <v>1</v>
      </c>
      <c r="EP321" s="14">
        <v>3</v>
      </c>
      <c r="EQ321" s="14">
        <f>IFERROR(AVERAGE(Tabel1[[#This Row],[Do - F1a]:[Do - F1c]]),"")</f>
        <v>2</v>
      </c>
      <c r="ER321" s="14">
        <v>2</v>
      </c>
      <c r="ES321" s="14">
        <f>IFERROR(AVERAGE(Tabel1[[#This Row],[Do - F2a]:[Do - F2a]]),"")</f>
        <v>2</v>
      </c>
      <c r="ET321" s="14">
        <v>1</v>
      </c>
      <c r="EU321" s="14" t="s">
        <v>189</v>
      </c>
      <c r="EV321" s="14">
        <f>IFERROR(AVERAGE(Tabel1[[#This Row],[Do - F3a]:[Do - F3b]]),"")</f>
        <v>1</v>
      </c>
      <c r="EW321" s="14">
        <v>4</v>
      </c>
      <c r="EX321" s="14">
        <f>IFERROR(AVERAGE(Tabel1[[#This Row],[Do - F1]],Tabel1[[#This Row],[Do - F2]],Tabel1[[#This Row],[Do - F3]],Tabel1[[#This Row],[Do - F4]]),"")</f>
        <v>2.25</v>
      </c>
      <c r="EY321" s="14">
        <v>2</v>
      </c>
      <c r="EZ321" s="14">
        <v>2</v>
      </c>
      <c r="FA321" s="14">
        <v>4</v>
      </c>
      <c r="FB321" s="14">
        <f>IFERROR(AVERAGE(Tabel1[[#This Row],[Do - V1a]:[Do - V1c]]),"")</f>
        <v>2.6666666666666665</v>
      </c>
      <c r="FC321" s="14">
        <v>2</v>
      </c>
      <c r="FD321" s="14">
        <v>2</v>
      </c>
      <c r="FE321" s="14">
        <f>IFERROR(AVERAGE(Tabel1[[#This Row],[Do - V2a]:[Do - V2b]]),"")</f>
        <v>2</v>
      </c>
      <c r="FF321" s="14">
        <v>2</v>
      </c>
      <c r="FG321" s="14">
        <f>IFERROR(AVERAGE(Tabel1[[#This Row],[Do - V3a]:[Do - V3a]]),"")</f>
        <v>2</v>
      </c>
      <c r="FH321" s="14" t="s">
        <v>189</v>
      </c>
      <c r="FI321" s="14">
        <f>IFERROR(AVERAGE(Tabel1[[#This Row],[Do - V1]],Tabel1[[#This Row],[Do - V2]],Tabel1[[#This Row],[Do - V3]],Tabel1[[#This Row],[Do - V4]]),"")</f>
        <v>2.2222222222222219</v>
      </c>
      <c r="FJ321" s="14">
        <v>4</v>
      </c>
      <c r="FK321" s="14">
        <v>2</v>
      </c>
      <c r="FL321" s="14" t="s">
        <v>189</v>
      </c>
      <c r="FM321" s="14">
        <f>IFERROR(AVERAGE(Tabel1[[#This Row],[Do - A1a]:[Do - A1c]]),"")</f>
        <v>3</v>
      </c>
      <c r="FN321" s="14">
        <v>4</v>
      </c>
      <c r="FO321" s="14">
        <v>4</v>
      </c>
      <c r="FP321" s="14">
        <f>IFERROR(AVERAGE(Tabel1[[#This Row],[Do - A2a]:[Do - A2b]]),"")</f>
        <v>4</v>
      </c>
      <c r="FQ321" s="14">
        <v>5</v>
      </c>
      <c r="FR321" s="14">
        <f>IFERROR(AVERAGE(Tabel1[[#This Row],[Do - A3a]:[Do - A3a]]),"")</f>
        <v>5</v>
      </c>
      <c r="FS321" s="14">
        <v>3</v>
      </c>
      <c r="FT321" s="14">
        <f>IFERROR(AVERAGE(Tabel1[[#This Row],[Do - A1]],Tabel1[[#This Row],[Do - A2]],Tabel1[[#This Row],[Do - A3]],Tabel1[[#This Row],[Do - A4]]),"")</f>
        <v>3.75</v>
      </c>
      <c r="FU32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2.6455555555555552</v>
      </c>
      <c r="FV321" s="27" t="s">
        <v>1669</v>
      </c>
      <c r="FW321" t="b">
        <v>1</v>
      </c>
    </row>
    <row r="322" spans="1:179" x14ac:dyDescent="0.3">
      <c r="A322" s="13">
        <v>45426.392442129603</v>
      </c>
      <c r="B322" t="b">
        <v>0</v>
      </c>
      <c r="C322" s="14" t="s">
        <v>1670</v>
      </c>
      <c r="D322" s="14" t="s">
        <v>1671</v>
      </c>
      <c r="E322" s="14" t="s">
        <v>1672</v>
      </c>
      <c r="F322" s="14" t="s">
        <v>184</v>
      </c>
      <c r="G322" s="14" t="s">
        <v>1673</v>
      </c>
      <c r="H322" s="14" t="s">
        <v>222</v>
      </c>
      <c r="I322" s="14" t="s">
        <v>385</v>
      </c>
      <c r="J322" s="14"/>
      <c r="K322" s="28" t="s">
        <v>203</v>
      </c>
      <c r="L322" s="14" t="s">
        <v>197</v>
      </c>
      <c r="M322" s="14" t="s">
        <v>233</v>
      </c>
      <c r="N322" s="14" t="s">
        <v>316</v>
      </c>
      <c r="O322" s="14" t="s">
        <v>200</v>
      </c>
      <c r="P322" s="24" t="s">
        <v>255</v>
      </c>
      <c r="Q322" s="17" t="s">
        <v>304</v>
      </c>
      <c r="R322" s="25" t="s">
        <v>201</v>
      </c>
      <c r="S322" s="25" t="s">
        <v>202</v>
      </c>
      <c r="T322" s="14" t="s">
        <v>284</v>
      </c>
      <c r="U322" s="14" t="s">
        <v>349</v>
      </c>
      <c r="V322" s="14" t="s">
        <v>359</v>
      </c>
      <c r="W322" s="14" t="s">
        <v>207</v>
      </c>
      <c r="X322" s="14" t="s">
        <v>306</v>
      </c>
      <c r="Y322" s="14">
        <v>5</v>
      </c>
      <c r="Z322" s="14">
        <v>2</v>
      </c>
      <c r="AA322" s="14">
        <v>3</v>
      </c>
      <c r="AB322" s="15">
        <f>IFERROR(AVERAGE(Tabel1[[#This Row],[Up - R1a]:[Up - R1c]]),"")</f>
        <v>3.3333333333333335</v>
      </c>
      <c r="AC322" s="14">
        <v>4</v>
      </c>
      <c r="AD322" s="14">
        <v>3</v>
      </c>
      <c r="AE322" s="14">
        <v>2</v>
      </c>
      <c r="AF322" s="14">
        <v>3</v>
      </c>
      <c r="AG322" s="14">
        <f>IFERROR(AVERAGE(Tabel1[[#This Row],[Up - R1]:[Up - R5]]),"")</f>
        <v>3.0666666666666669</v>
      </c>
      <c r="AH322" s="14">
        <v>5</v>
      </c>
      <c r="AI322" s="14">
        <v>4</v>
      </c>
      <c r="AJ322" s="14">
        <v>3</v>
      </c>
      <c r="AK322" s="14">
        <f>IFERROR(AVERAGE(Tabel1[[#This Row],[Up - C1a]:[Up - C1c]]),"")</f>
        <v>4</v>
      </c>
      <c r="AL322" s="14">
        <v>2</v>
      </c>
      <c r="AM322" s="14" t="s">
        <v>189</v>
      </c>
      <c r="AN322" s="14" t="s">
        <v>189</v>
      </c>
      <c r="AO322" s="14">
        <f>IFERROR(AVERAGE(Tabel1[[#This Row],[Up - C1]:[Up - C4]]),"")</f>
        <v>3</v>
      </c>
      <c r="AP322" s="14">
        <v>4</v>
      </c>
      <c r="AQ322" s="14">
        <f>IFERROR(AVERAGE(Tabel1[[#This Row],[Up - F1a]:[Up - F1a]]),"")</f>
        <v>4</v>
      </c>
      <c r="AR322" s="14">
        <v>1</v>
      </c>
      <c r="AS322" s="14">
        <v>4</v>
      </c>
      <c r="AT322" s="14">
        <f>IFERROR(AVERAGE(Tabel1[[#This Row],[Up - F2a]:[Up - F2b]]),"")</f>
        <v>2.5</v>
      </c>
      <c r="AU322" s="14">
        <v>2</v>
      </c>
      <c r="AV322" s="14">
        <v>1</v>
      </c>
      <c r="AW322" s="14">
        <f>IFERROR(AVERAGE(Tabel1[[#This Row],[Up - F3a]:[Up - F3b]]),"")</f>
        <v>1.5</v>
      </c>
      <c r="AX322" s="14">
        <v>3</v>
      </c>
      <c r="AY322" s="14">
        <f>IFERROR(AVERAGE(Tabel1[[#This Row],[Up - F1]],Tabel1[[#This Row],[Up - F2]],Tabel1[[#This Row],[Up - F3]],Tabel1[[#This Row],[Up - F4]]),"")</f>
        <v>2.75</v>
      </c>
      <c r="AZ322" s="14">
        <v>3</v>
      </c>
      <c r="BA322" s="14">
        <v>1</v>
      </c>
      <c r="BB322" s="14">
        <f>IFERROR(AVERAGE(Tabel1[[#This Row],[Up - V1a]:[Up - V1b]]),"")</f>
        <v>2</v>
      </c>
      <c r="BC322" s="14">
        <v>4</v>
      </c>
      <c r="BD322" s="14">
        <v>3</v>
      </c>
      <c r="BE322" s="14">
        <v>4</v>
      </c>
      <c r="BF322" s="14">
        <f>IFERROR(AVERAGE(Tabel1[[#This Row],[Up - V2a]:[Up - V2c]]),"")</f>
        <v>3.6666666666666665</v>
      </c>
      <c r="BG322" s="14">
        <v>3</v>
      </c>
      <c r="BH322" s="14" t="s">
        <v>189</v>
      </c>
      <c r="BI322" s="14">
        <f>IFERROR(AVERAGE(Tabel1[[#This Row],[Up - V3a]:[Up - V3b]]),"")</f>
        <v>3</v>
      </c>
      <c r="BJ322" s="14">
        <v>4</v>
      </c>
      <c r="BK322" s="14">
        <f>IFERROR(AVERAGE(Tabel1[[#This Row],[Up - V1]],Tabel1[[#This Row],[Up - V2]],Tabel1[[#This Row],[Up - V3]],Tabel1[[#This Row],[Up - V4]]),"")</f>
        <v>3.1666666666666665</v>
      </c>
      <c r="BL322" s="14">
        <v>3</v>
      </c>
      <c r="BM322" s="14">
        <v>4</v>
      </c>
      <c r="BN322" s="14">
        <v>4</v>
      </c>
      <c r="BO322" s="14">
        <v>3</v>
      </c>
      <c r="BP322" s="14">
        <f>IFERROR(AVERAGE(Tabel1[[#This Row],[Up - A1a]:[Up - A1d]]),"")</f>
        <v>3.5</v>
      </c>
      <c r="BQ322" s="14">
        <v>3</v>
      </c>
      <c r="BR322" s="14">
        <v>1</v>
      </c>
      <c r="BS322" s="14">
        <f>IFERROR(AVERAGE(Tabel1[[#This Row],[Up - A2a]:[Up - A2b]]),"")</f>
        <v>2</v>
      </c>
      <c r="BT322" s="14">
        <v>4</v>
      </c>
      <c r="BU322" s="14">
        <f>IFERROR(AVERAGE(Tabel1[[#This Row],[Up - A3a]:[Up - A3a]]),"")</f>
        <v>4</v>
      </c>
      <c r="BV322" s="14" t="s">
        <v>189</v>
      </c>
      <c r="BW322" s="14">
        <f>IFERROR(AVERAGE(Tabel1[[#This Row],[Up - A1]],Tabel1[[#This Row],[Up - A2]],Tabel1[[#This Row],[Up - A3]]),"")</f>
        <v>3.1666666666666665</v>
      </c>
      <c r="BX322" s="14" t="s">
        <v>189</v>
      </c>
      <c r="BY322" s="14" t="s">
        <v>189</v>
      </c>
      <c r="BZ322" s="14" t="str">
        <f>IFERROR(AVERAGE(Tabel1[[#This Row],[In - R1a]:[In - R1b]]),"")</f>
        <v/>
      </c>
      <c r="CA322" s="14">
        <v>4</v>
      </c>
      <c r="CB322" s="14">
        <v>4</v>
      </c>
      <c r="CC322" s="14">
        <v>4</v>
      </c>
      <c r="CD322" s="14">
        <v>4</v>
      </c>
      <c r="CE322" s="14">
        <f>IFERROR(AVERAGE(Tabel1[[#This Row],[In - R1]:[In - R5]]),"")</f>
        <v>4</v>
      </c>
      <c r="CF322" s="14">
        <v>5</v>
      </c>
      <c r="CG322" s="14">
        <v>4</v>
      </c>
      <c r="CH322" s="14">
        <v>4</v>
      </c>
      <c r="CI322" s="14">
        <f>IFERROR(AVERAGE(Tabel1[[#This Row],[In - C1a]:[In - C1c]]),"")</f>
        <v>4.333333333333333</v>
      </c>
      <c r="CJ322" s="14">
        <v>2</v>
      </c>
      <c r="CK322" s="14">
        <v>3</v>
      </c>
      <c r="CL322" s="14">
        <v>2</v>
      </c>
      <c r="CM322" s="14">
        <f>IFERROR(AVERAGE(Tabel1[[#This Row],[In - C1]:[In - C4]]),"")</f>
        <v>2.833333333333333</v>
      </c>
      <c r="CN322" s="14">
        <v>3</v>
      </c>
      <c r="CO322" s="14">
        <v>4</v>
      </c>
      <c r="CP322" s="14" t="s">
        <v>189</v>
      </c>
      <c r="CQ322" s="14">
        <f>IFERROR(AVERAGE(Tabel1[[#This Row],[In - F1a]:[In - F1c]]),"")</f>
        <v>3.5</v>
      </c>
      <c r="CR322" s="14" t="s">
        <v>189</v>
      </c>
      <c r="CS322" s="14" t="s">
        <v>189</v>
      </c>
      <c r="CT322" s="14" t="str">
        <f>IFERROR(AVERAGE(Tabel1[[#This Row],[In - F2a]:[In - F2b]]),"")</f>
        <v/>
      </c>
      <c r="CU322" s="14" t="s">
        <v>189</v>
      </c>
      <c r="CV322" s="14" t="str">
        <f>IFERROR(AVERAGE(Tabel1[[#This Row],[In - F3a]:[In - F3a]]),"")</f>
        <v/>
      </c>
      <c r="CW322" s="14" t="s">
        <v>189</v>
      </c>
      <c r="CX322" s="14">
        <f>IFERROR(AVERAGE(Tabel1[[#This Row],[In - F1]],Tabel1[[#This Row],[In - F2]],Tabel1[[#This Row],[In - F3]],Tabel1[[#This Row],[In - F4]]),"")</f>
        <v>3.5</v>
      </c>
      <c r="CY322" s="14">
        <v>3</v>
      </c>
      <c r="CZ322" s="14">
        <v>4</v>
      </c>
      <c r="DA322" s="14">
        <v>3</v>
      </c>
      <c r="DB322" s="14">
        <f>IFERROR(AVERAGE(Tabel1[[#This Row],[In - V1a]:[In - V1c]]),"")</f>
        <v>3.3333333333333335</v>
      </c>
      <c r="DC322" s="14">
        <v>1</v>
      </c>
      <c r="DD322" s="14">
        <v>4</v>
      </c>
      <c r="DE322" s="14">
        <v>4</v>
      </c>
      <c r="DF322" s="14">
        <f>IFERROR(AVERAGE(Tabel1[[#This Row],[In - V2a]:[In - V2c]]),"")</f>
        <v>3</v>
      </c>
      <c r="DG322" s="14" t="s">
        <v>189</v>
      </c>
      <c r="DH322" s="14" t="s">
        <v>189</v>
      </c>
      <c r="DI322" s="14" t="str">
        <f>IFERROR(AVERAGE(Tabel1[[#This Row],[In - V3a]:[In - V3b]]),"")</f>
        <v/>
      </c>
      <c r="DJ322" s="14">
        <v>3</v>
      </c>
      <c r="DK322" s="14">
        <f>IFERROR(AVERAGE(Tabel1[[#This Row],[In - V1]],Tabel1[[#This Row],[In - V2]],Tabel1[[#This Row],[In - V3]],Tabel1[[#This Row],[In - V4]]),"")</f>
        <v>3.1111111111111112</v>
      </c>
      <c r="DL322" s="14">
        <v>3</v>
      </c>
      <c r="DM322" s="14">
        <v>3</v>
      </c>
      <c r="DN322" s="14">
        <f>IFERROR(AVERAGE(Tabel1[[#This Row],[In - A1a]:[In - A1b]]),"")</f>
        <v>3</v>
      </c>
      <c r="DO322" s="14">
        <v>2</v>
      </c>
      <c r="DP322" s="14">
        <v>3</v>
      </c>
      <c r="DQ322" s="14">
        <f>IFERROR(AVERAGE(Tabel1[[#This Row],[In - A2a]:[In - A2b]]),"")</f>
        <v>2.5</v>
      </c>
      <c r="DR322" s="14">
        <v>3</v>
      </c>
      <c r="DS322" s="14">
        <v>2</v>
      </c>
      <c r="DT322" s="14">
        <f>IFERROR(AVERAGE(Tabel1[[#This Row],[In - A3a]:[In - A3a]]),"")</f>
        <v>3</v>
      </c>
      <c r="DU322" s="14" t="s">
        <v>189</v>
      </c>
      <c r="DV322" s="14">
        <f>IFERROR(AVERAGE(Tabel1[[#This Row],[In - A1]],Tabel1[[#This Row],[In - A2]],Tabel1[[#This Row],[In - A3]],Tabel1[[#This Row],[In - A4]]),"")</f>
        <v>2.8333333333333335</v>
      </c>
      <c r="DW322" s="14">
        <v>3</v>
      </c>
      <c r="DX322" s="14">
        <v>4</v>
      </c>
      <c r="DY322" s="14">
        <v>1</v>
      </c>
      <c r="DZ322" s="14">
        <f>IFERROR(AVERAGE(Tabel1[[#This Row],[Do - R1a]:[Do - R1c]]),"")</f>
        <v>2.6666666666666665</v>
      </c>
      <c r="EA322" s="14">
        <v>1</v>
      </c>
      <c r="EB322" s="14">
        <v>4</v>
      </c>
      <c r="EC322" s="14">
        <v>3</v>
      </c>
      <c r="ED322" s="14">
        <v>3</v>
      </c>
      <c r="EE322" s="14">
        <f>IFERROR(AVERAGE(Tabel1[[#This Row],[Do - R1]:[Do - R5]]),"")</f>
        <v>2.7333333333333334</v>
      </c>
      <c r="EF322" s="14">
        <v>4</v>
      </c>
      <c r="EG322" s="14">
        <v>4</v>
      </c>
      <c r="EH322" s="14">
        <v>4</v>
      </c>
      <c r="EI322" s="14">
        <f>IFERROR(AVERAGE(Tabel1[[#This Row],[Do - C1a]:[Do - C1c]]),"")</f>
        <v>4</v>
      </c>
      <c r="EJ322" s="14">
        <v>4</v>
      </c>
      <c r="EK322" s="14" t="s">
        <v>189</v>
      </c>
      <c r="EL322" s="14">
        <v>3</v>
      </c>
      <c r="EM322" s="14">
        <f>IFERROR(AVERAGE(Tabel1[[#This Row],[Do - C1]:[Do - C4]]),"")</f>
        <v>3.6666666666666665</v>
      </c>
      <c r="EN322" s="14">
        <v>3</v>
      </c>
      <c r="EO322" s="14">
        <v>3</v>
      </c>
      <c r="EP322" s="14">
        <v>3</v>
      </c>
      <c r="EQ322" s="14">
        <f>IFERROR(AVERAGE(Tabel1[[#This Row],[Do - F1a]:[Do - F1c]]),"")</f>
        <v>3</v>
      </c>
      <c r="ER322" s="14">
        <v>4</v>
      </c>
      <c r="ES322" s="14">
        <f>IFERROR(AVERAGE(Tabel1[[#This Row],[Do - F2a]:[Do - F2a]]),"")</f>
        <v>4</v>
      </c>
      <c r="ET322" s="14">
        <v>3</v>
      </c>
      <c r="EU322" s="14">
        <v>4</v>
      </c>
      <c r="EV322" s="14">
        <f>IFERROR(AVERAGE(Tabel1[[#This Row],[Do - F3a]:[Do - F3b]]),"")</f>
        <v>3.5</v>
      </c>
      <c r="EW322" s="14">
        <v>4</v>
      </c>
      <c r="EX322" s="14">
        <f>IFERROR(AVERAGE(Tabel1[[#This Row],[Do - F1]],Tabel1[[#This Row],[Do - F2]],Tabel1[[#This Row],[Do - F3]],Tabel1[[#This Row],[Do - F4]]),"")</f>
        <v>3.625</v>
      </c>
      <c r="EY322" s="14">
        <v>3</v>
      </c>
      <c r="EZ322" s="14">
        <v>3</v>
      </c>
      <c r="FA322" s="14">
        <v>3</v>
      </c>
      <c r="FB322" s="14">
        <f>IFERROR(AVERAGE(Tabel1[[#This Row],[Do - V1a]:[Do - V1c]]),"")</f>
        <v>3</v>
      </c>
      <c r="FC322" s="14">
        <v>3</v>
      </c>
      <c r="FD322" s="14">
        <v>5</v>
      </c>
      <c r="FE322" s="14">
        <f>IFERROR(AVERAGE(Tabel1[[#This Row],[Do - V2a]:[Do - V2b]]),"")</f>
        <v>4</v>
      </c>
      <c r="FF322" s="14">
        <v>4</v>
      </c>
      <c r="FG322" s="14">
        <f>IFERROR(AVERAGE(Tabel1[[#This Row],[Do - V3a]:[Do - V3a]]),"")</f>
        <v>4</v>
      </c>
      <c r="FH322" s="14">
        <v>4</v>
      </c>
      <c r="FI322" s="14">
        <f>IFERROR(AVERAGE(Tabel1[[#This Row],[Do - V1]],Tabel1[[#This Row],[Do - V2]],Tabel1[[#This Row],[Do - V3]],Tabel1[[#This Row],[Do - V4]]),"")</f>
        <v>3.75</v>
      </c>
      <c r="FJ322" s="14">
        <v>3</v>
      </c>
      <c r="FK322" s="14">
        <v>3</v>
      </c>
      <c r="FL322" s="14">
        <v>2</v>
      </c>
      <c r="FM322" s="14">
        <f>IFERROR(AVERAGE(Tabel1[[#This Row],[Do - A1a]:[Do - A1c]]),"")</f>
        <v>2.6666666666666665</v>
      </c>
      <c r="FN322" s="14" t="s">
        <v>189</v>
      </c>
      <c r="FO322" s="14">
        <v>4</v>
      </c>
      <c r="FP322" s="14">
        <f>IFERROR(AVERAGE(Tabel1[[#This Row],[Do - A2a]:[Do - A2b]]),"")</f>
        <v>4</v>
      </c>
      <c r="FQ322" s="14">
        <v>4</v>
      </c>
      <c r="FR322" s="14">
        <f>IFERROR(AVERAGE(Tabel1[[#This Row],[Do - A3a]:[Do - A3a]]),"")</f>
        <v>4</v>
      </c>
      <c r="FS322" s="14" t="s">
        <v>189</v>
      </c>
      <c r="FT322" s="14">
        <f>IFERROR(AVERAGE(Tabel1[[#This Row],[Do - A1]],Tabel1[[#This Row],[Do - A2]],Tabel1[[#This Row],[Do - A3]],Tabel1[[#This Row],[Do - A4]]),"")</f>
        <v>3.5555555555555554</v>
      </c>
      <c r="FU32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3.2505555555555552</v>
      </c>
      <c r="FV322" s="27" t="s">
        <v>1674</v>
      </c>
      <c r="FW322" t="b">
        <v>1</v>
      </c>
    </row>
    <row r="323" spans="1:179" x14ac:dyDescent="0.3">
      <c r="A323" s="13">
        <v>45426.446377314802</v>
      </c>
      <c r="B323" t="b">
        <v>0</v>
      </c>
      <c r="C323" s="14" t="s">
        <v>1675</v>
      </c>
      <c r="D323" s="14" t="s">
        <v>1676</v>
      </c>
      <c r="E323" s="14" t="s">
        <v>1677</v>
      </c>
      <c r="F323" s="14" t="s">
        <v>184</v>
      </c>
      <c r="G323" s="14" t="s">
        <v>1678</v>
      </c>
      <c r="H323" s="14" t="s">
        <v>222</v>
      </c>
      <c r="I323" s="14" t="s">
        <v>195</v>
      </c>
      <c r="J323" s="14" t="s">
        <v>273</v>
      </c>
      <c r="K323" s="28" t="s">
        <v>201</v>
      </c>
      <c r="L323" s="14" t="s">
        <v>218</v>
      </c>
      <c r="M323" s="14" t="s">
        <v>233</v>
      </c>
      <c r="N323" s="14" t="s">
        <v>199</v>
      </c>
      <c r="O323" s="14" t="s">
        <v>200</v>
      </c>
      <c r="P323" s="24" t="s">
        <v>304</v>
      </c>
      <c r="Q323" s="17" t="s">
        <v>255</v>
      </c>
      <c r="R323" s="25" t="s">
        <v>203</v>
      </c>
      <c r="S323" s="24" t="s">
        <v>304</v>
      </c>
      <c r="T323" s="14" t="s">
        <v>204</v>
      </c>
      <c r="U323" s="14" t="s">
        <v>349</v>
      </c>
      <c r="V323" s="14" t="s">
        <v>224</v>
      </c>
      <c r="W323" s="14" t="s">
        <v>395</v>
      </c>
      <c r="X323" s="14" t="s">
        <v>305</v>
      </c>
      <c r="Y323" s="14">
        <v>3</v>
      </c>
      <c r="Z323" s="14">
        <v>3</v>
      </c>
      <c r="AA323" s="14">
        <v>2</v>
      </c>
      <c r="AB323" s="15">
        <f>IFERROR(AVERAGE(Tabel1[[#This Row],[Up - R1a]:[Up - R1c]]),"")</f>
        <v>2.6666666666666665</v>
      </c>
      <c r="AC323" s="14" t="s">
        <v>189</v>
      </c>
      <c r="AD323" s="14">
        <v>4</v>
      </c>
      <c r="AE323" s="14" t="s">
        <v>189</v>
      </c>
      <c r="AF323" s="14">
        <v>3</v>
      </c>
      <c r="AG323" s="14">
        <f>IFERROR(AVERAGE(Tabel1[[#This Row],[Up - R1]:[Up - R5]]),"")</f>
        <v>3.2222222222222219</v>
      </c>
      <c r="AH323" s="14">
        <v>3</v>
      </c>
      <c r="AI323" s="14">
        <v>3</v>
      </c>
      <c r="AJ323" s="14">
        <v>3</v>
      </c>
      <c r="AK323" s="14">
        <f>IFERROR(AVERAGE(Tabel1[[#This Row],[Up - C1a]:[Up - C1c]]),"")</f>
        <v>3</v>
      </c>
      <c r="AL323" s="14">
        <v>2</v>
      </c>
      <c r="AM323" s="14">
        <v>1</v>
      </c>
      <c r="AN323" s="14">
        <v>1</v>
      </c>
      <c r="AO323" s="14">
        <f>IFERROR(AVERAGE(Tabel1[[#This Row],[Up - C1]:[Up - C4]]),"")</f>
        <v>1.75</v>
      </c>
      <c r="AP323" s="14" t="s">
        <v>189</v>
      </c>
      <c r="AQ323" s="14" t="str">
        <f>IFERROR(AVERAGE(Tabel1[[#This Row],[Up - F1a]:[Up - F1a]]),"")</f>
        <v/>
      </c>
      <c r="AR323" s="14" t="s">
        <v>189</v>
      </c>
      <c r="AS323" s="14" t="s">
        <v>189</v>
      </c>
      <c r="AT323" s="14" t="str">
        <f>IFERROR(AVERAGE(Tabel1[[#This Row],[Up - F2a]:[Up - F2b]]),"")</f>
        <v/>
      </c>
      <c r="AU323" s="14">
        <v>1</v>
      </c>
      <c r="AV323" s="14">
        <v>1</v>
      </c>
      <c r="AW323" s="14">
        <f>IFERROR(AVERAGE(Tabel1[[#This Row],[Up - F3a]:[Up - F3b]]),"")</f>
        <v>1</v>
      </c>
      <c r="AX323" s="14">
        <v>2</v>
      </c>
      <c r="AY323" s="14">
        <f>IFERROR(AVERAGE(Tabel1[[#This Row],[Up - F1]],Tabel1[[#This Row],[Up - F2]],Tabel1[[#This Row],[Up - F3]],Tabel1[[#This Row],[Up - F4]]),"")</f>
        <v>1.5</v>
      </c>
      <c r="AZ323" s="14">
        <v>3</v>
      </c>
      <c r="BA323" s="14">
        <v>4</v>
      </c>
      <c r="BB323" s="14">
        <f>IFERROR(AVERAGE(Tabel1[[#This Row],[Up - V1a]:[Up - V1b]]),"")</f>
        <v>3.5</v>
      </c>
      <c r="BC323" s="14">
        <v>2</v>
      </c>
      <c r="BD323" s="14">
        <v>3</v>
      </c>
      <c r="BE323" s="14">
        <v>3</v>
      </c>
      <c r="BF323" s="14">
        <f>IFERROR(AVERAGE(Tabel1[[#This Row],[Up - V2a]:[Up - V2c]]),"")</f>
        <v>2.6666666666666665</v>
      </c>
      <c r="BG323" s="14">
        <v>2</v>
      </c>
      <c r="BH323" s="14" t="s">
        <v>189</v>
      </c>
      <c r="BI323" s="14">
        <f>IFERROR(AVERAGE(Tabel1[[#This Row],[Up - V3a]:[Up - V3b]]),"")</f>
        <v>2</v>
      </c>
      <c r="BJ323" s="14">
        <v>3</v>
      </c>
      <c r="BK323" s="14">
        <f>IFERROR(AVERAGE(Tabel1[[#This Row],[Up - V1]],Tabel1[[#This Row],[Up - V2]],Tabel1[[#This Row],[Up - V3]],Tabel1[[#This Row],[Up - V4]]),"")</f>
        <v>2.7916666666666665</v>
      </c>
      <c r="BL323" s="14">
        <v>2</v>
      </c>
      <c r="BM323" s="14">
        <v>2</v>
      </c>
      <c r="BN323" s="14">
        <v>3</v>
      </c>
      <c r="BO323" s="14">
        <v>3</v>
      </c>
      <c r="BP323" s="14">
        <f>IFERROR(AVERAGE(Tabel1[[#This Row],[Up - A1a]:[Up - A1d]]),"")</f>
        <v>2.5</v>
      </c>
      <c r="BQ323" s="14">
        <v>3</v>
      </c>
      <c r="BR323" s="14">
        <v>4</v>
      </c>
      <c r="BS323" s="14">
        <f>IFERROR(AVERAGE(Tabel1[[#This Row],[Up - A2a]:[Up - A2b]]),"")</f>
        <v>3.5</v>
      </c>
      <c r="BT323" s="14">
        <v>3</v>
      </c>
      <c r="BU323" s="14">
        <f>IFERROR(AVERAGE(Tabel1[[#This Row],[Up - A3a]:[Up - A3a]]),"")</f>
        <v>3</v>
      </c>
      <c r="BV323" s="14" t="s">
        <v>189</v>
      </c>
      <c r="BW323" s="14">
        <f>IFERROR(AVERAGE(Tabel1[[#This Row],[Up - A1]],Tabel1[[#This Row],[Up - A2]],Tabel1[[#This Row],[Up - A3]]),"")</f>
        <v>3</v>
      </c>
      <c r="BX323" s="14" t="s">
        <v>189</v>
      </c>
      <c r="BY323" s="14" t="s">
        <v>189</v>
      </c>
      <c r="BZ323" s="14" t="str">
        <f>IFERROR(AVERAGE(Tabel1[[#This Row],[In - R1a]:[In - R1b]]),"")</f>
        <v/>
      </c>
      <c r="CA323" s="14">
        <v>4</v>
      </c>
      <c r="CB323" s="14">
        <v>3</v>
      </c>
      <c r="CC323" s="14" t="s">
        <v>189</v>
      </c>
      <c r="CD323" s="14">
        <v>4</v>
      </c>
      <c r="CE323" s="14">
        <f>IFERROR(AVERAGE(Tabel1[[#This Row],[In - R1]:[In - R5]]),"")</f>
        <v>3.6666666666666665</v>
      </c>
      <c r="CF323" s="14">
        <v>4</v>
      </c>
      <c r="CG323" s="14">
        <v>3</v>
      </c>
      <c r="CH323" s="14">
        <v>3</v>
      </c>
      <c r="CI323" s="14">
        <f>IFERROR(AVERAGE(Tabel1[[#This Row],[In - C1a]:[In - C1c]]),"")</f>
        <v>3.3333333333333335</v>
      </c>
      <c r="CJ323" s="14">
        <v>2</v>
      </c>
      <c r="CK323" s="14">
        <v>3</v>
      </c>
      <c r="CL323" s="14">
        <v>2</v>
      </c>
      <c r="CM323" s="14">
        <f>IFERROR(AVERAGE(Tabel1[[#This Row],[In - C1]:[In - C4]]),"")</f>
        <v>2.5833333333333335</v>
      </c>
      <c r="CN323" s="14">
        <v>4</v>
      </c>
      <c r="CO323" s="14" t="s">
        <v>189</v>
      </c>
      <c r="CP323" s="14" t="s">
        <v>189</v>
      </c>
      <c r="CQ323" s="14">
        <f>IFERROR(AVERAGE(Tabel1[[#This Row],[In - F1a]:[In - F1c]]),"")</f>
        <v>4</v>
      </c>
      <c r="CR323" s="14">
        <v>4</v>
      </c>
      <c r="CS323" s="14" t="s">
        <v>189</v>
      </c>
      <c r="CT323" s="14">
        <f>IFERROR(AVERAGE(Tabel1[[#This Row],[In - F2a]:[In - F2b]]),"")</f>
        <v>4</v>
      </c>
      <c r="CU323" s="14" t="s">
        <v>189</v>
      </c>
      <c r="CV323" s="14" t="str">
        <f>IFERROR(AVERAGE(Tabel1[[#This Row],[In - F3a]:[In - F3a]]),"")</f>
        <v/>
      </c>
      <c r="CW323" s="14" t="s">
        <v>189</v>
      </c>
      <c r="CX323" s="14">
        <f>IFERROR(AVERAGE(Tabel1[[#This Row],[In - F1]],Tabel1[[#This Row],[In - F2]],Tabel1[[#This Row],[In - F3]],Tabel1[[#This Row],[In - F4]]),"")</f>
        <v>4</v>
      </c>
      <c r="CY323" s="14">
        <v>2</v>
      </c>
      <c r="CZ323" s="14">
        <v>2</v>
      </c>
      <c r="DA323" s="14">
        <v>1</v>
      </c>
      <c r="DB323" s="14">
        <f>IFERROR(AVERAGE(Tabel1[[#This Row],[In - V1a]:[In - V1c]]),"")</f>
        <v>1.6666666666666667</v>
      </c>
      <c r="DC323" s="14">
        <v>1</v>
      </c>
      <c r="DD323" s="14">
        <v>1</v>
      </c>
      <c r="DE323" s="14">
        <v>1</v>
      </c>
      <c r="DF323" s="14">
        <f>IFERROR(AVERAGE(Tabel1[[#This Row],[In - V2a]:[In - V2c]]),"")</f>
        <v>1</v>
      </c>
      <c r="DG323" s="14">
        <v>3</v>
      </c>
      <c r="DH323" s="14">
        <v>4</v>
      </c>
      <c r="DI323" s="14">
        <f>IFERROR(AVERAGE(Tabel1[[#This Row],[In - V3a]:[In - V3b]]),"")</f>
        <v>3.5</v>
      </c>
      <c r="DJ323" s="14">
        <v>3</v>
      </c>
      <c r="DK323" s="14">
        <f>IFERROR(AVERAGE(Tabel1[[#This Row],[In - V1]],Tabel1[[#This Row],[In - V2]],Tabel1[[#This Row],[In - V3]],Tabel1[[#This Row],[In - V4]]),"")</f>
        <v>2.291666666666667</v>
      </c>
      <c r="DL323" s="14">
        <v>3</v>
      </c>
      <c r="DM323" s="14" t="s">
        <v>189</v>
      </c>
      <c r="DN323" s="14">
        <f>IFERROR(AVERAGE(Tabel1[[#This Row],[In - A1a]:[In - A1b]]),"")</f>
        <v>3</v>
      </c>
      <c r="DO323" s="14" t="s">
        <v>189</v>
      </c>
      <c r="DP323" s="14" t="s">
        <v>189</v>
      </c>
      <c r="DQ323" s="14" t="str">
        <f>IFERROR(AVERAGE(Tabel1[[#This Row],[In - A2a]:[In - A2b]]),"")</f>
        <v/>
      </c>
      <c r="DR323" s="14" t="s">
        <v>189</v>
      </c>
      <c r="DS323" s="14" t="s">
        <v>189</v>
      </c>
      <c r="DT323" s="14" t="str">
        <f>IFERROR(AVERAGE(Tabel1[[#This Row],[In - A3a]:[In - A3a]]),"")</f>
        <v/>
      </c>
      <c r="DU323" s="14">
        <v>2</v>
      </c>
      <c r="DV323" s="14">
        <f>IFERROR(AVERAGE(Tabel1[[#This Row],[In - A1]],Tabel1[[#This Row],[In - A2]],Tabel1[[#This Row],[In - A3]],Tabel1[[#This Row],[In - A4]]),"")</f>
        <v>2.5</v>
      </c>
      <c r="DW323" s="14">
        <v>4</v>
      </c>
      <c r="DX323" s="14">
        <v>4</v>
      </c>
      <c r="DY323" s="14">
        <v>3</v>
      </c>
      <c r="DZ323" s="14">
        <f>IFERROR(AVERAGE(Tabel1[[#This Row],[Do - R1a]:[Do - R1c]]),"")</f>
        <v>3.6666666666666665</v>
      </c>
      <c r="EA323" s="14">
        <v>3</v>
      </c>
      <c r="EB323" s="14">
        <v>2</v>
      </c>
      <c r="EC323" s="14" t="s">
        <v>189</v>
      </c>
      <c r="ED323" s="14" t="s">
        <v>189</v>
      </c>
      <c r="EE323" s="14">
        <f>IFERROR(AVERAGE(Tabel1[[#This Row],[Do - R1]:[Do - R5]]),"")</f>
        <v>2.8888888888888888</v>
      </c>
      <c r="EF323" s="14">
        <v>3</v>
      </c>
      <c r="EG323" s="14">
        <v>2</v>
      </c>
      <c r="EH323" s="14">
        <v>2</v>
      </c>
      <c r="EI323" s="14">
        <f>IFERROR(AVERAGE(Tabel1[[#This Row],[Do - C1a]:[Do - C1c]]),"")</f>
        <v>2.3333333333333335</v>
      </c>
      <c r="EJ323" s="14">
        <v>1</v>
      </c>
      <c r="EK323" s="14">
        <v>2</v>
      </c>
      <c r="EL323" s="14">
        <v>3</v>
      </c>
      <c r="EM323" s="14">
        <f>IFERROR(AVERAGE(Tabel1[[#This Row],[Do - C1]:[Do - C4]]),"")</f>
        <v>2.0833333333333335</v>
      </c>
      <c r="EN323" s="14">
        <v>3</v>
      </c>
      <c r="EO323" s="14" t="s">
        <v>189</v>
      </c>
      <c r="EP323" s="14">
        <v>4</v>
      </c>
      <c r="EQ323" s="14">
        <f>IFERROR(AVERAGE(Tabel1[[#This Row],[Do - F1a]:[Do - F1c]]),"")</f>
        <v>3.5</v>
      </c>
      <c r="ER323" s="14">
        <v>2</v>
      </c>
      <c r="ES323" s="14">
        <f>IFERROR(AVERAGE(Tabel1[[#This Row],[Do - F2a]:[Do - F2a]]),"")</f>
        <v>2</v>
      </c>
      <c r="ET323" s="14" t="s">
        <v>189</v>
      </c>
      <c r="EU323" s="14" t="s">
        <v>189</v>
      </c>
      <c r="EV323" s="14" t="str">
        <f>IFERROR(AVERAGE(Tabel1[[#This Row],[Do - F3a]:[Do - F3b]]),"")</f>
        <v/>
      </c>
      <c r="EW323" s="14" t="s">
        <v>189</v>
      </c>
      <c r="EX323" s="14">
        <f>IFERROR(AVERAGE(Tabel1[[#This Row],[Do - F1]],Tabel1[[#This Row],[Do - F2]],Tabel1[[#This Row],[Do - F3]],Tabel1[[#This Row],[Do - F4]]),"")</f>
        <v>2.75</v>
      </c>
      <c r="EY323" s="14">
        <v>3</v>
      </c>
      <c r="EZ323" s="14">
        <v>2</v>
      </c>
      <c r="FA323" s="14">
        <v>3</v>
      </c>
      <c r="FB323" s="14">
        <f>IFERROR(AVERAGE(Tabel1[[#This Row],[Do - V1a]:[Do - V1c]]),"")</f>
        <v>2.6666666666666665</v>
      </c>
      <c r="FC323" s="14">
        <v>2</v>
      </c>
      <c r="FD323" s="14">
        <v>2</v>
      </c>
      <c r="FE323" s="14">
        <f>IFERROR(AVERAGE(Tabel1[[#This Row],[Do - V2a]:[Do - V2b]]),"")</f>
        <v>2</v>
      </c>
      <c r="FF323" s="14">
        <v>2</v>
      </c>
      <c r="FG323" s="14">
        <f>IFERROR(AVERAGE(Tabel1[[#This Row],[Do - V3a]:[Do - V3a]]),"")</f>
        <v>2</v>
      </c>
      <c r="FH323" s="14">
        <v>2</v>
      </c>
      <c r="FI323" s="14">
        <f>IFERROR(AVERAGE(Tabel1[[#This Row],[Do - V1]],Tabel1[[#This Row],[Do - V2]],Tabel1[[#This Row],[Do - V3]],Tabel1[[#This Row],[Do - V4]]),"")</f>
        <v>2.1666666666666665</v>
      </c>
      <c r="FJ323" s="14" t="s">
        <v>189</v>
      </c>
      <c r="FK323" s="14" t="s">
        <v>189</v>
      </c>
      <c r="FL323" s="14" t="s">
        <v>189</v>
      </c>
      <c r="FM323" s="14" t="str">
        <f>IFERROR(AVERAGE(Tabel1[[#This Row],[Do - A1a]:[Do - A1c]]),"")</f>
        <v/>
      </c>
      <c r="FN323" s="14" t="s">
        <v>189</v>
      </c>
      <c r="FO323" s="14" t="s">
        <v>189</v>
      </c>
      <c r="FP323" s="14" t="str">
        <f>IFERROR(AVERAGE(Tabel1[[#This Row],[Do - A2a]:[Do - A2b]]),"")</f>
        <v/>
      </c>
      <c r="FQ323" s="14" t="s">
        <v>189</v>
      </c>
      <c r="FR323" s="14" t="str">
        <f>IFERROR(AVERAGE(Tabel1[[#This Row],[Do - A3a]:[Do - A3a]]),"")</f>
        <v/>
      </c>
      <c r="FS323" s="14" t="s">
        <v>189</v>
      </c>
      <c r="FT323" s="14" t="str">
        <f>IFERROR(AVERAGE(Tabel1[[#This Row],[Do - A1]],Tabel1[[#This Row],[Do - A2]],Tabel1[[#This Row],[Do - A3]],Tabel1[[#This Row],[Do - A4]]),"")</f>
        <v/>
      </c>
      <c r="FU32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2.6567460317460316</v>
      </c>
      <c r="FV323" s="27" t="s">
        <v>1679</v>
      </c>
      <c r="FW323" t="b">
        <v>1</v>
      </c>
    </row>
    <row r="324" spans="1:179" x14ac:dyDescent="0.3">
      <c r="A324" s="13">
        <v>45426.551863425899</v>
      </c>
      <c r="B324" t="b">
        <v>0</v>
      </c>
      <c r="C324" s="14" t="s">
        <v>1680</v>
      </c>
      <c r="D324" s="14" t="s">
        <v>1476</v>
      </c>
      <c r="E324" s="14" t="s">
        <v>1681</v>
      </c>
      <c r="F324" s="14" t="s">
        <v>184</v>
      </c>
      <c r="G324" s="14" t="s">
        <v>1682</v>
      </c>
      <c r="H324" s="14" t="s">
        <v>222</v>
      </c>
      <c r="I324" s="14" t="s">
        <v>385</v>
      </c>
      <c r="J324" s="14"/>
      <c r="K324" s="28" t="s">
        <v>235</v>
      </c>
      <c r="L324" s="14" t="s">
        <v>197</v>
      </c>
      <c r="M324" s="14" t="s">
        <v>188</v>
      </c>
      <c r="N324" s="14" t="s">
        <v>316</v>
      </c>
      <c r="O324" s="14" t="s">
        <v>200</v>
      </c>
      <c r="P324" s="24" t="s">
        <v>255</v>
      </c>
      <c r="Q324" s="17" t="s">
        <v>201</v>
      </c>
      <c r="R324" s="25" t="s">
        <v>202</v>
      </c>
      <c r="S324" s="25" t="s">
        <v>187</v>
      </c>
      <c r="T324" s="14" t="s">
        <v>284</v>
      </c>
      <c r="U324" s="14" t="s">
        <v>205</v>
      </c>
      <c r="V324" s="14" t="s">
        <v>206</v>
      </c>
      <c r="W324" s="14" t="s">
        <v>207</v>
      </c>
      <c r="X324" s="14" t="s">
        <v>306</v>
      </c>
      <c r="Y324" s="14">
        <v>1</v>
      </c>
      <c r="Z324" s="14">
        <v>4</v>
      </c>
      <c r="AA324" s="14">
        <v>3</v>
      </c>
      <c r="AB324" s="15">
        <f>IFERROR(AVERAGE(Tabel1[[#This Row],[Up - R1a]:[Up - R1c]]),"")</f>
        <v>2.6666666666666665</v>
      </c>
      <c r="AC324" s="14">
        <v>2</v>
      </c>
      <c r="AD324" s="14">
        <v>3</v>
      </c>
      <c r="AE324" s="14">
        <v>1</v>
      </c>
      <c r="AF324" s="14">
        <v>5</v>
      </c>
      <c r="AG324" s="14">
        <f>IFERROR(AVERAGE(Tabel1[[#This Row],[Up - R1]:[Up - R5]]),"")</f>
        <v>2.7333333333333334</v>
      </c>
      <c r="AH324" s="14">
        <v>1</v>
      </c>
      <c r="AI324" s="14">
        <v>1</v>
      </c>
      <c r="AJ324" s="14">
        <v>1</v>
      </c>
      <c r="AK324" s="14">
        <f>IFERROR(AVERAGE(Tabel1[[#This Row],[Up - C1a]:[Up - C1c]]),"")</f>
        <v>1</v>
      </c>
      <c r="AL324" s="14">
        <v>1</v>
      </c>
      <c r="AM324" s="14">
        <v>3</v>
      </c>
      <c r="AN324" s="14">
        <v>1</v>
      </c>
      <c r="AO324" s="14">
        <f>IFERROR(AVERAGE(Tabel1[[#This Row],[Up - C1]:[Up - C4]]),"")</f>
        <v>1.5</v>
      </c>
      <c r="AP324" s="14">
        <v>3</v>
      </c>
      <c r="AQ324" s="14">
        <f>IFERROR(AVERAGE(Tabel1[[#This Row],[Up - F1a]:[Up - F1a]]),"")</f>
        <v>3</v>
      </c>
      <c r="AR324" s="14">
        <v>1</v>
      </c>
      <c r="AS324" s="14">
        <v>2</v>
      </c>
      <c r="AT324" s="14">
        <f>IFERROR(AVERAGE(Tabel1[[#This Row],[Up - F2a]:[Up - F2b]]),"")</f>
        <v>1.5</v>
      </c>
      <c r="AU324" s="14">
        <v>1</v>
      </c>
      <c r="AV324" s="14">
        <v>1</v>
      </c>
      <c r="AW324" s="14">
        <f>IFERROR(AVERAGE(Tabel1[[#This Row],[Up - F3a]:[Up - F3b]]),"")</f>
        <v>1</v>
      </c>
      <c r="AX324" s="14">
        <v>2</v>
      </c>
      <c r="AY324" s="14">
        <f>IFERROR(AVERAGE(Tabel1[[#This Row],[Up - F1]],Tabel1[[#This Row],[Up - F2]],Tabel1[[#This Row],[Up - F3]],Tabel1[[#This Row],[Up - F4]]),"")</f>
        <v>1.875</v>
      </c>
      <c r="AZ324" s="14">
        <v>1</v>
      </c>
      <c r="BA324" s="14">
        <v>5</v>
      </c>
      <c r="BB324" s="14">
        <f>IFERROR(AVERAGE(Tabel1[[#This Row],[Up - V1a]:[Up - V1b]]),"")</f>
        <v>3</v>
      </c>
      <c r="BC324" s="14">
        <v>2</v>
      </c>
      <c r="BD324" s="14">
        <v>2</v>
      </c>
      <c r="BE324" s="14">
        <v>3</v>
      </c>
      <c r="BF324" s="14">
        <f>IFERROR(AVERAGE(Tabel1[[#This Row],[Up - V2a]:[Up - V2c]]),"")</f>
        <v>2.3333333333333335</v>
      </c>
      <c r="BG324" s="14">
        <v>2</v>
      </c>
      <c r="BH324" s="14">
        <v>2</v>
      </c>
      <c r="BI324" s="14">
        <f>IFERROR(AVERAGE(Tabel1[[#This Row],[Up - V3a]:[Up - V3b]]),"")</f>
        <v>2</v>
      </c>
      <c r="BJ324" s="14">
        <v>5</v>
      </c>
      <c r="BK324" s="14">
        <f>IFERROR(AVERAGE(Tabel1[[#This Row],[Up - V1]],Tabel1[[#This Row],[Up - V2]],Tabel1[[#This Row],[Up - V3]],Tabel1[[#This Row],[Up - V4]]),"")</f>
        <v>3.0833333333333335</v>
      </c>
      <c r="BL324" s="14">
        <v>4</v>
      </c>
      <c r="BM324" s="14">
        <v>5</v>
      </c>
      <c r="BN324" s="14">
        <v>5</v>
      </c>
      <c r="BO324" s="14">
        <v>5</v>
      </c>
      <c r="BP324" s="14">
        <f>IFERROR(AVERAGE(Tabel1[[#This Row],[Up - A1a]:[Up - A1d]]),"")</f>
        <v>4.75</v>
      </c>
      <c r="BQ324" s="14">
        <v>5</v>
      </c>
      <c r="BR324" s="14">
        <v>5</v>
      </c>
      <c r="BS324" s="14">
        <f>IFERROR(AVERAGE(Tabel1[[#This Row],[Up - A2a]:[Up - A2b]]),"")</f>
        <v>5</v>
      </c>
      <c r="BT324" s="14">
        <v>4</v>
      </c>
      <c r="BU324" s="14">
        <f>IFERROR(AVERAGE(Tabel1[[#This Row],[Up - A3a]:[Up - A3a]]),"")</f>
        <v>4</v>
      </c>
      <c r="BV324" s="14">
        <v>2</v>
      </c>
      <c r="BW324" s="14">
        <f>IFERROR(AVERAGE(Tabel1[[#This Row],[Up - A1]],Tabel1[[#This Row],[Up - A2]],Tabel1[[#This Row],[Up - A3]]),"")</f>
        <v>4.583333333333333</v>
      </c>
      <c r="BX324" s="14" t="s">
        <v>189</v>
      </c>
      <c r="BY324" s="14">
        <v>4</v>
      </c>
      <c r="BZ324" s="14">
        <f>IFERROR(AVERAGE(Tabel1[[#This Row],[In - R1a]:[In - R1b]]),"")</f>
        <v>4</v>
      </c>
      <c r="CA324" s="14" t="s">
        <v>189</v>
      </c>
      <c r="CB324" s="14">
        <v>2</v>
      </c>
      <c r="CC324" s="14">
        <v>1</v>
      </c>
      <c r="CD324" s="14">
        <v>5</v>
      </c>
      <c r="CE324" s="14">
        <f>IFERROR(AVERAGE(Tabel1[[#This Row],[In - R1]:[In - R5]]),"")</f>
        <v>3</v>
      </c>
      <c r="CF324" s="14">
        <v>2</v>
      </c>
      <c r="CG324" s="14">
        <v>5</v>
      </c>
      <c r="CH324" s="14">
        <v>3</v>
      </c>
      <c r="CI324" s="14">
        <f>IFERROR(AVERAGE(Tabel1[[#This Row],[In - C1a]:[In - C1c]]),"")</f>
        <v>3.3333333333333335</v>
      </c>
      <c r="CJ324" s="14">
        <v>5</v>
      </c>
      <c r="CK324" s="14">
        <v>3</v>
      </c>
      <c r="CL324" s="14">
        <v>3</v>
      </c>
      <c r="CM324" s="14">
        <f>IFERROR(AVERAGE(Tabel1[[#This Row],[In - C1]:[In - C4]]),"")</f>
        <v>3.5833333333333335</v>
      </c>
      <c r="CN324" s="14">
        <v>5</v>
      </c>
      <c r="CO324" s="14">
        <v>5</v>
      </c>
      <c r="CP324" s="14">
        <v>1</v>
      </c>
      <c r="CQ324" s="14">
        <f>IFERROR(AVERAGE(Tabel1[[#This Row],[In - F1a]:[In - F1c]]),"")</f>
        <v>3.6666666666666665</v>
      </c>
      <c r="CR324" s="14">
        <v>1</v>
      </c>
      <c r="CS324" s="14">
        <v>1</v>
      </c>
      <c r="CT324" s="14">
        <f>IFERROR(AVERAGE(Tabel1[[#This Row],[In - F2a]:[In - F2b]]),"")</f>
        <v>1</v>
      </c>
      <c r="CU324" s="14">
        <v>1</v>
      </c>
      <c r="CV324" s="14">
        <f>IFERROR(AVERAGE(Tabel1[[#This Row],[In - F3a]:[In - F3a]]),"")</f>
        <v>1</v>
      </c>
      <c r="CW324" s="14">
        <v>3</v>
      </c>
      <c r="CX324" s="14">
        <f>IFERROR(AVERAGE(Tabel1[[#This Row],[In - F1]],Tabel1[[#This Row],[In - F2]],Tabel1[[#This Row],[In - F3]],Tabel1[[#This Row],[In - F4]]),"")</f>
        <v>2.1666666666666665</v>
      </c>
      <c r="CY324" s="14">
        <v>4</v>
      </c>
      <c r="CZ324" s="14">
        <v>5</v>
      </c>
      <c r="DA324" s="14">
        <v>3</v>
      </c>
      <c r="DB324" s="14">
        <f>IFERROR(AVERAGE(Tabel1[[#This Row],[In - V1a]:[In - V1c]]),"")</f>
        <v>4</v>
      </c>
      <c r="DC324" s="14">
        <v>4</v>
      </c>
      <c r="DD324" s="14">
        <v>2</v>
      </c>
      <c r="DE324" s="14">
        <v>3</v>
      </c>
      <c r="DF324" s="14">
        <f>IFERROR(AVERAGE(Tabel1[[#This Row],[In - V2a]:[In - V2c]]),"")</f>
        <v>3</v>
      </c>
      <c r="DG324" s="14">
        <v>2</v>
      </c>
      <c r="DH324" s="14">
        <v>5</v>
      </c>
      <c r="DI324" s="14">
        <f>IFERROR(AVERAGE(Tabel1[[#This Row],[In - V3a]:[In - V3b]]),"")</f>
        <v>3.5</v>
      </c>
      <c r="DJ324" s="14">
        <v>5</v>
      </c>
      <c r="DK324" s="14">
        <f>IFERROR(AVERAGE(Tabel1[[#This Row],[In - V1]],Tabel1[[#This Row],[In - V2]],Tabel1[[#This Row],[In - V3]],Tabel1[[#This Row],[In - V4]]),"")</f>
        <v>3.875</v>
      </c>
      <c r="DL324" s="14">
        <v>5</v>
      </c>
      <c r="DM324" s="14">
        <v>3</v>
      </c>
      <c r="DN324" s="14">
        <f>IFERROR(AVERAGE(Tabel1[[#This Row],[In - A1a]:[In - A1b]]),"")</f>
        <v>4</v>
      </c>
      <c r="DO324" s="14">
        <v>3</v>
      </c>
      <c r="DP324" s="14">
        <v>3</v>
      </c>
      <c r="DQ324" s="14">
        <f>IFERROR(AVERAGE(Tabel1[[#This Row],[In - A2a]:[In - A2b]]),"")</f>
        <v>3</v>
      </c>
      <c r="DR324" s="14">
        <v>2</v>
      </c>
      <c r="DS324" s="14">
        <v>3</v>
      </c>
      <c r="DT324" s="14">
        <f>IFERROR(AVERAGE(Tabel1[[#This Row],[In - A3a]:[In - A3a]]),"")</f>
        <v>2</v>
      </c>
      <c r="DU324" s="14">
        <v>2</v>
      </c>
      <c r="DV324" s="14">
        <f>IFERROR(AVERAGE(Tabel1[[#This Row],[In - A1]],Tabel1[[#This Row],[In - A2]],Tabel1[[#This Row],[In - A3]],Tabel1[[#This Row],[In - A4]]),"")</f>
        <v>2.75</v>
      </c>
      <c r="DW324" s="14">
        <v>1</v>
      </c>
      <c r="DX324" s="14">
        <v>5</v>
      </c>
      <c r="DY324" s="14">
        <v>1</v>
      </c>
      <c r="DZ324" s="14">
        <f>IFERROR(AVERAGE(Tabel1[[#This Row],[Do - R1a]:[Do - R1c]]),"")</f>
        <v>2.3333333333333335</v>
      </c>
      <c r="EA324" s="14">
        <v>1</v>
      </c>
      <c r="EB324" s="14">
        <v>1</v>
      </c>
      <c r="EC324" s="14">
        <v>1</v>
      </c>
      <c r="ED324" s="14">
        <v>1</v>
      </c>
      <c r="EE324" s="14">
        <f>IFERROR(AVERAGE(Tabel1[[#This Row],[Do - R1]:[Do - R5]]),"")</f>
        <v>1.2666666666666668</v>
      </c>
      <c r="EF324" s="14">
        <v>2</v>
      </c>
      <c r="EG324" s="14">
        <v>3</v>
      </c>
      <c r="EH324" s="14">
        <v>1</v>
      </c>
      <c r="EI324" s="14">
        <f>IFERROR(AVERAGE(Tabel1[[#This Row],[Do - C1a]:[Do - C1c]]),"")</f>
        <v>2</v>
      </c>
      <c r="EJ324" s="14">
        <v>1</v>
      </c>
      <c r="EK324" s="14">
        <v>1</v>
      </c>
      <c r="EL324" s="14">
        <v>3</v>
      </c>
      <c r="EM324" s="14">
        <f>IFERROR(AVERAGE(Tabel1[[#This Row],[Do - C1]:[Do - C4]]),"")</f>
        <v>1.75</v>
      </c>
      <c r="EN324" s="14">
        <v>4</v>
      </c>
      <c r="EO324" s="14">
        <v>2</v>
      </c>
      <c r="EP324" s="14">
        <v>2</v>
      </c>
      <c r="EQ324" s="14">
        <f>IFERROR(AVERAGE(Tabel1[[#This Row],[Do - F1a]:[Do - F1c]]),"")</f>
        <v>2.6666666666666665</v>
      </c>
      <c r="ER324" s="14">
        <v>1</v>
      </c>
      <c r="ES324" s="14">
        <f>IFERROR(AVERAGE(Tabel1[[#This Row],[Do - F2a]:[Do - F2a]]),"")</f>
        <v>1</v>
      </c>
      <c r="ET324" s="14">
        <v>1</v>
      </c>
      <c r="EU324" s="14">
        <v>2</v>
      </c>
      <c r="EV324" s="14">
        <f>IFERROR(AVERAGE(Tabel1[[#This Row],[Do - F3a]:[Do - F3b]]),"")</f>
        <v>1.5</v>
      </c>
      <c r="EW324" s="14">
        <v>1</v>
      </c>
      <c r="EX324" s="14">
        <f>IFERROR(AVERAGE(Tabel1[[#This Row],[Do - F1]],Tabel1[[#This Row],[Do - F2]],Tabel1[[#This Row],[Do - F3]],Tabel1[[#This Row],[Do - F4]]),"")</f>
        <v>1.5416666666666665</v>
      </c>
      <c r="EY324" s="14">
        <v>4</v>
      </c>
      <c r="EZ324" s="14">
        <v>5</v>
      </c>
      <c r="FA324" s="14">
        <v>3</v>
      </c>
      <c r="FB324" s="14">
        <f>IFERROR(AVERAGE(Tabel1[[#This Row],[Do - V1a]:[Do - V1c]]),"")</f>
        <v>4</v>
      </c>
      <c r="FC324" s="14">
        <v>4</v>
      </c>
      <c r="FD324" s="14">
        <v>1</v>
      </c>
      <c r="FE324" s="14">
        <f>IFERROR(AVERAGE(Tabel1[[#This Row],[Do - V2a]:[Do - V2b]]),"")</f>
        <v>2.5</v>
      </c>
      <c r="FF324" s="14">
        <v>2</v>
      </c>
      <c r="FG324" s="14">
        <f>IFERROR(AVERAGE(Tabel1[[#This Row],[Do - V3a]:[Do - V3a]]),"")</f>
        <v>2</v>
      </c>
      <c r="FH324" s="14">
        <v>5</v>
      </c>
      <c r="FI324" s="14">
        <f>IFERROR(AVERAGE(Tabel1[[#This Row],[Do - V1]],Tabel1[[#This Row],[Do - V2]],Tabel1[[#This Row],[Do - V3]],Tabel1[[#This Row],[Do - V4]]),"")</f>
        <v>3.375</v>
      </c>
      <c r="FJ324" s="14">
        <v>3</v>
      </c>
      <c r="FK324" s="14">
        <v>3</v>
      </c>
      <c r="FL324" s="14">
        <v>3</v>
      </c>
      <c r="FM324" s="14">
        <f>IFERROR(AVERAGE(Tabel1[[#This Row],[Do - A1a]:[Do - A1c]]),"")</f>
        <v>3</v>
      </c>
      <c r="FN324" s="14">
        <v>4</v>
      </c>
      <c r="FO324" s="14">
        <v>3</v>
      </c>
      <c r="FP324" s="14">
        <f>IFERROR(AVERAGE(Tabel1[[#This Row],[Do - A2a]:[Do - A2b]]),"")</f>
        <v>3.5</v>
      </c>
      <c r="FQ324" s="14">
        <v>3</v>
      </c>
      <c r="FR324" s="14">
        <f>IFERROR(AVERAGE(Tabel1[[#This Row],[Do - A3a]:[Do - A3a]]),"")</f>
        <v>3</v>
      </c>
      <c r="FS324" s="14">
        <v>3</v>
      </c>
      <c r="FT324" s="14">
        <f>IFERROR(AVERAGE(Tabel1[[#This Row],[Do - A1]],Tabel1[[#This Row],[Do - A2]],Tabel1[[#This Row],[Do - A3]],Tabel1[[#This Row],[Do - A4]]),"")</f>
        <v>3.125</v>
      </c>
      <c r="FU32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2.6805555555555554</v>
      </c>
      <c r="FV324" s="27" t="s">
        <v>1683</v>
      </c>
      <c r="FW324" t="b">
        <v>1</v>
      </c>
    </row>
    <row r="325" spans="1:179" x14ac:dyDescent="0.3">
      <c r="A325" s="13">
        <v>45426.585243055597</v>
      </c>
      <c r="B325" t="b">
        <v>0</v>
      </c>
      <c r="C325" s="14" t="s">
        <v>1684</v>
      </c>
      <c r="D325" s="14" t="s">
        <v>1685</v>
      </c>
      <c r="E325" s="14" t="s">
        <v>1686</v>
      </c>
      <c r="F325" s="14" t="s">
        <v>184</v>
      </c>
      <c r="G325" s="14" t="s">
        <v>1687</v>
      </c>
      <c r="H325" s="14" t="s">
        <v>222</v>
      </c>
      <c r="I325" s="14" t="s">
        <v>195</v>
      </c>
      <c r="J325" s="14" t="s">
        <v>1305</v>
      </c>
      <c r="K325" s="28" t="s">
        <v>201</v>
      </c>
      <c r="L325" s="14" t="s">
        <v>249</v>
      </c>
      <c r="M325" s="14" t="s">
        <v>281</v>
      </c>
      <c r="N325" s="14" t="s">
        <v>199</v>
      </c>
      <c r="O325" s="14" t="s">
        <v>200</v>
      </c>
      <c r="P325" s="24" t="s">
        <v>255</v>
      </c>
      <c r="Q325" s="17" t="s">
        <v>203</v>
      </c>
      <c r="R325" s="25" t="s">
        <v>235</v>
      </c>
      <c r="S325" s="25" t="s">
        <v>203</v>
      </c>
      <c r="T325" s="14"/>
      <c r="U325" s="14" t="s">
        <v>237</v>
      </c>
      <c r="V325" s="14" t="s">
        <v>224</v>
      </c>
      <c r="W325" s="14" t="s">
        <v>207</v>
      </c>
      <c r="X325" s="14" t="s">
        <v>207</v>
      </c>
      <c r="Y325" s="14">
        <v>2</v>
      </c>
      <c r="Z325" s="14">
        <v>3</v>
      </c>
      <c r="AA325" s="14">
        <v>2</v>
      </c>
      <c r="AB325" s="15">
        <f>IFERROR(AVERAGE(Tabel1[[#This Row],[Up - R1a]:[Up - R1c]]),"")</f>
        <v>2.3333333333333335</v>
      </c>
      <c r="AC325" s="14">
        <v>1</v>
      </c>
      <c r="AD325" s="14">
        <v>1</v>
      </c>
      <c r="AE325" s="14">
        <v>2</v>
      </c>
      <c r="AF325" s="14">
        <v>4</v>
      </c>
      <c r="AG325" s="14">
        <f>IFERROR(AVERAGE(Tabel1[[#This Row],[Up - R1]:[Up - R5]]),"")</f>
        <v>2.0666666666666669</v>
      </c>
      <c r="AH325" s="14">
        <v>4</v>
      </c>
      <c r="AI325" s="14">
        <v>3</v>
      </c>
      <c r="AJ325" s="14">
        <v>2</v>
      </c>
      <c r="AK325" s="14">
        <f>IFERROR(AVERAGE(Tabel1[[#This Row],[Up - C1a]:[Up - C1c]]),"")</f>
        <v>3</v>
      </c>
      <c r="AL325" s="14">
        <v>4</v>
      </c>
      <c r="AM325" s="14">
        <v>2</v>
      </c>
      <c r="AN325" s="14">
        <v>3</v>
      </c>
      <c r="AO325" s="14">
        <f>IFERROR(AVERAGE(Tabel1[[#This Row],[Up - C1]:[Up - C4]]),"")</f>
        <v>3</v>
      </c>
      <c r="AP325" s="14">
        <v>2</v>
      </c>
      <c r="AQ325" s="14">
        <f>IFERROR(AVERAGE(Tabel1[[#This Row],[Up - F1a]:[Up - F1a]]),"")</f>
        <v>2</v>
      </c>
      <c r="AR325" s="14">
        <v>1</v>
      </c>
      <c r="AS325" s="14">
        <v>2</v>
      </c>
      <c r="AT325" s="14">
        <f>IFERROR(AVERAGE(Tabel1[[#This Row],[Up - F2a]:[Up - F2b]]),"")</f>
        <v>1.5</v>
      </c>
      <c r="AU325" s="14">
        <v>2</v>
      </c>
      <c r="AV325" s="14">
        <v>2</v>
      </c>
      <c r="AW325" s="14">
        <f>IFERROR(AVERAGE(Tabel1[[#This Row],[Up - F3a]:[Up - F3b]]),"")</f>
        <v>2</v>
      </c>
      <c r="AX325" s="14">
        <v>4</v>
      </c>
      <c r="AY325" s="14">
        <f>IFERROR(AVERAGE(Tabel1[[#This Row],[Up - F1]],Tabel1[[#This Row],[Up - F2]],Tabel1[[#This Row],[Up - F3]],Tabel1[[#This Row],[Up - F4]]),"")</f>
        <v>2.375</v>
      </c>
      <c r="AZ325" s="14">
        <v>4</v>
      </c>
      <c r="BA325" s="14">
        <v>4</v>
      </c>
      <c r="BB325" s="14">
        <f>IFERROR(AVERAGE(Tabel1[[#This Row],[Up - V1a]:[Up - V1b]]),"")</f>
        <v>4</v>
      </c>
      <c r="BC325" s="14">
        <v>3</v>
      </c>
      <c r="BD325" s="14">
        <v>2</v>
      </c>
      <c r="BE325" s="14">
        <v>5</v>
      </c>
      <c r="BF325" s="14">
        <f>IFERROR(AVERAGE(Tabel1[[#This Row],[Up - V2a]:[Up - V2c]]),"")</f>
        <v>3.3333333333333335</v>
      </c>
      <c r="BG325" s="14">
        <v>5</v>
      </c>
      <c r="BH325" s="14">
        <v>5</v>
      </c>
      <c r="BI325" s="14">
        <f>IFERROR(AVERAGE(Tabel1[[#This Row],[Up - V3a]:[Up - V3b]]),"")</f>
        <v>5</v>
      </c>
      <c r="BJ325" s="14">
        <v>4</v>
      </c>
      <c r="BK325" s="14">
        <f>IFERROR(AVERAGE(Tabel1[[#This Row],[Up - V1]],Tabel1[[#This Row],[Up - V2]],Tabel1[[#This Row],[Up - V3]],Tabel1[[#This Row],[Up - V4]]),"")</f>
        <v>4.0833333333333339</v>
      </c>
      <c r="BL325" s="14">
        <v>4</v>
      </c>
      <c r="BM325" s="14">
        <v>3</v>
      </c>
      <c r="BN325" s="14">
        <v>2</v>
      </c>
      <c r="BO325" s="14">
        <v>2</v>
      </c>
      <c r="BP325" s="14">
        <f>IFERROR(AVERAGE(Tabel1[[#This Row],[Up - A1a]:[Up - A1d]]),"")</f>
        <v>2.75</v>
      </c>
      <c r="BQ325" s="14">
        <v>4</v>
      </c>
      <c r="BR325" s="14">
        <v>5</v>
      </c>
      <c r="BS325" s="14">
        <f>IFERROR(AVERAGE(Tabel1[[#This Row],[Up - A2a]:[Up - A2b]]),"")</f>
        <v>4.5</v>
      </c>
      <c r="BT325" s="14">
        <v>4</v>
      </c>
      <c r="BU325" s="14">
        <f>IFERROR(AVERAGE(Tabel1[[#This Row],[Up - A3a]:[Up - A3a]]),"")</f>
        <v>4</v>
      </c>
      <c r="BV325" s="14">
        <v>2</v>
      </c>
      <c r="BW325" s="14">
        <f>IFERROR(AVERAGE(Tabel1[[#This Row],[Up - A1]],Tabel1[[#This Row],[Up - A2]],Tabel1[[#This Row],[Up - A3]]),"")</f>
        <v>3.75</v>
      </c>
      <c r="BX325" s="14">
        <v>1</v>
      </c>
      <c r="BY325" s="14">
        <v>1</v>
      </c>
      <c r="BZ325" s="14">
        <f>IFERROR(AVERAGE(Tabel1[[#This Row],[In - R1a]:[In - R1b]]),"")</f>
        <v>1</v>
      </c>
      <c r="CA325" s="14">
        <v>1</v>
      </c>
      <c r="CB325" s="14">
        <v>1</v>
      </c>
      <c r="CC325" s="14">
        <v>1</v>
      </c>
      <c r="CD325" s="14">
        <v>4</v>
      </c>
      <c r="CE325" s="14">
        <f>IFERROR(AVERAGE(Tabel1[[#This Row],[In - R1]:[In - R5]]),"")</f>
        <v>1.6</v>
      </c>
      <c r="CF325" s="14">
        <v>5</v>
      </c>
      <c r="CG325" s="14">
        <v>4</v>
      </c>
      <c r="CH325" s="14">
        <v>2</v>
      </c>
      <c r="CI325" s="14">
        <f>IFERROR(AVERAGE(Tabel1[[#This Row],[In - C1a]:[In - C1c]]),"")</f>
        <v>3.6666666666666665</v>
      </c>
      <c r="CJ325" s="14">
        <v>4</v>
      </c>
      <c r="CK325" s="14">
        <v>5</v>
      </c>
      <c r="CL325" s="14">
        <v>4</v>
      </c>
      <c r="CM325" s="14">
        <f>IFERROR(AVERAGE(Tabel1[[#This Row],[In - C1]:[In - C4]]),"")</f>
        <v>4.1666666666666661</v>
      </c>
      <c r="CN325" s="14">
        <v>1</v>
      </c>
      <c r="CO325" s="14">
        <v>4</v>
      </c>
      <c r="CP325" s="14">
        <v>1</v>
      </c>
      <c r="CQ325" s="14">
        <f>IFERROR(AVERAGE(Tabel1[[#This Row],[In - F1a]:[In - F1c]]),"")</f>
        <v>2</v>
      </c>
      <c r="CR325" s="14">
        <v>2</v>
      </c>
      <c r="CS325" s="14">
        <v>2</v>
      </c>
      <c r="CT325" s="14">
        <f>IFERROR(AVERAGE(Tabel1[[#This Row],[In - F2a]:[In - F2b]]),"")</f>
        <v>2</v>
      </c>
      <c r="CU325" s="14">
        <v>1</v>
      </c>
      <c r="CV325" s="14">
        <f>IFERROR(AVERAGE(Tabel1[[#This Row],[In - F3a]:[In - F3a]]),"")</f>
        <v>1</v>
      </c>
      <c r="CW325" s="14">
        <v>4</v>
      </c>
      <c r="CX325" s="14">
        <f>IFERROR(AVERAGE(Tabel1[[#This Row],[In - F1]],Tabel1[[#This Row],[In - F2]],Tabel1[[#This Row],[In - F3]],Tabel1[[#This Row],[In - F4]]),"")</f>
        <v>2.25</v>
      </c>
      <c r="CY325" s="14">
        <v>3</v>
      </c>
      <c r="CZ325" s="14">
        <v>3</v>
      </c>
      <c r="DA325" s="14">
        <v>2</v>
      </c>
      <c r="DB325" s="14">
        <f>IFERROR(AVERAGE(Tabel1[[#This Row],[In - V1a]:[In - V1c]]),"")</f>
        <v>2.6666666666666665</v>
      </c>
      <c r="DC325" s="14">
        <v>2</v>
      </c>
      <c r="DD325" s="14">
        <v>3</v>
      </c>
      <c r="DE325" s="14">
        <v>2</v>
      </c>
      <c r="DF325" s="14">
        <f>IFERROR(AVERAGE(Tabel1[[#This Row],[In - V2a]:[In - V2c]]),"")</f>
        <v>2.3333333333333335</v>
      </c>
      <c r="DG325" s="14">
        <v>4</v>
      </c>
      <c r="DH325" s="14">
        <v>3</v>
      </c>
      <c r="DI325" s="14">
        <f>IFERROR(AVERAGE(Tabel1[[#This Row],[In - V3a]:[In - V3b]]),"")</f>
        <v>3.5</v>
      </c>
      <c r="DJ325" s="14">
        <v>3</v>
      </c>
      <c r="DK325" s="14">
        <f>IFERROR(AVERAGE(Tabel1[[#This Row],[In - V1]],Tabel1[[#This Row],[In - V2]],Tabel1[[#This Row],[In - V3]],Tabel1[[#This Row],[In - V4]]),"")</f>
        <v>2.875</v>
      </c>
      <c r="DL325" s="14">
        <v>5</v>
      </c>
      <c r="DM325" s="14">
        <v>2</v>
      </c>
      <c r="DN325" s="14">
        <f>IFERROR(AVERAGE(Tabel1[[#This Row],[In - A1a]:[In - A1b]]),"")</f>
        <v>3.5</v>
      </c>
      <c r="DO325" s="14">
        <v>4</v>
      </c>
      <c r="DP325" s="14">
        <v>2</v>
      </c>
      <c r="DQ325" s="14">
        <f>IFERROR(AVERAGE(Tabel1[[#This Row],[In - A2a]:[In - A2b]]),"")</f>
        <v>3</v>
      </c>
      <c r="DR325" s="14">
        <v>4</v>
      </c>
      <c r="DS325" s="14">
        <v>3</v>
      </c>
      <c r="DT325" s="14">
        <f>IFERROR(AVERAGE(Tabel1[[#This Row],[In - A3a]:[In - A3a]]),"")</f>
        <v>4</v>
      </c>
      <c r="DU325" s="14">
        <v>2</v>
      </c>
      <c r="DV325" s="14">
        <f>IFERROR(AVERAGE(Tabel1[[#This Row],[In - A1]],Tabel1[[#This Row],[In - A2]],Tabel1[[#This Row],[In - A3]],Tabel1[[#This Row],[In - A4]]),"")</f>
        <v>3.125</v>
      </c>
      <c r="DW325" s="14">
        <v>1</v>
      </c>
      <c r="DX325" s="14">
        <v>5</v>
      </c>
      <c r="DY325" s="14">
        <v>3</v>
      </c>
      <c r="DZ325" s="14">
        <f>IFERROR(AVERAGE(Tabel1[[#This Row],[Do - R1a]:[Do - R1c]]),"")</f>
        <v>3</v>
      </c>
      <c r="EA325" s="14">
        <v>1</v>
      </c>
      <c r="EB325" s="14">
        <v>3</v>
      </c>
      <c r="EC325" s="14">
        <v>1</v>
      </c>
      <c r="ED325" s="14">
        <v>3</v>
      </c>
      <c r="EE325" s="14">
        <f>IFERROR(AVERAGE(Tabel1[[#This Row],[Do - R1]:[Do - R5]]),"")</f>
        <v>2.2000000000000002</v>
      </c>
      <c r="EF325" s="14">
        <v>4</v>
      </c>
      <c r="EG325" s="14">
        <v>3</v>
      </c>
      <c r="EH325" s="14">
        <v>3</v>
      </c>
      <c r="EI325" s="14">
        <f>IFERROR(AVERAGE(Tabel1[[#This Row],[Do - C1a]:[Do - C1c]]),"")</f>
        <v>3.3333333333333335</v>
      </c>
      <c r="EJ325" s="14">
        <v>4</v>
      </c>
      <c r="EK325" s="14">
        <v>2</v>
      </c>
      <c r="EL325" s="14">
        <v>3</v>
      </c>
      <c r="EM325" s="14">
        <f>IFERROR(AVERAGE(Tabel1[[#This Row],[Do - C1]:[Do - C4]]),"")</f>
        <v>3.0833333333333335</v>
      </c>
      <c r="EN325" s="14">
        <v>2</v>
      </c>
      <c r="EO325" s="14">
        <v>2</v>
      </c>
      <c r="EP325" s="14">
        <v>2</v>
      </c>
      <c r="EQ325" s="14">
        <f>IFERROR(AVERAGE(Tabel1[[#This Row],[Do - F1a]:[Do - F1c]]),"")</f>
        <v>2</v>
      </c>
      <c r="ER325" s="14">
        <v>2</v>
      </c>
      <c r="ES325" s="14">
        <f>IFERROR(AVERAGE(Tabel1[[#This Row],[Do - F2a]:[Do - F2a]]),"")</f>
        <v>2</v>
      </c>
      <c r="ET325" s="14">
        <v>4</v>
      </c>
      <c r="EU325" s="14">
        <v>2</v>
      </c>
      <c r="EV325" s="14">
        <f>IFERROR(AVERAGE(Tabel1[[#This Row],[Do - F3a]:[Do - F3b]]),"")</f>
        <v>3</v>
      </c>
      <c r="EW325" s="14">
        <v>4</v>
      </c>
      <c r="EX325" s="14">
        <f>IFERROR(AVERAGE(Tabel1[[#This Row],[Do - F1]],Tabel1[[#This Row],[Do - F2]],Tabel1[[#This Row],[Do - F3]],Tabel1[[#This Row],[Do - F4]]),"")</f>
        <v>2.75</v>
      </c>
      <c r="EY325" s="14">
        <v>4</v>
      </c>
      <c r="EZ325" s="14">
        <v>2</v>
      </c>
      <c r="FA325" s="14">
        <v>5</v>
      </c>
      <c r="FB325" s="14">
        <f>IFERROR(AVERAGE(Tabel1[[#This Row],[Do - V1a]:[Do - V1c]]),"")</f>
        <v>3.6666666666666665</v>
      </c>
      <c r="FC325" s="14">
        <v>2</v>
      </c>
      <c r="FD325" s="14">
        <v>2</v>
      </c>
      <c r="FE325" s="14">
        <f>IFERROR(AVERAGE(Tabel1[[#This Row],[Do - V2a]:[Do - V2b]]),"")</f>
        <v>2</v>
      </c>
      <c r="FF325" s="14">
        <v>3</v>
      </c>
      <c r="FG325" s="14">
        <f>IFERROR(AVERAGE(Tabel1[[#This Row],[Do - V3a]:[Do - V3a]]),"")</f>
        <v>3</v>
      </c>
      <c r="FH325" s="14">
        <v>3</v>
      </c>
      <c r="FI325" s="14">
        <f>IFERROR(AVERAGE(Tabel1[[#This Row],[Do - V1]],Tabel1[[#This Row],[Do - V2]],Tabel1[[#This Row],[Do - V3]],Tabel1[[#This Row],[Do - V4]]),"")</f>
        <v>2.9166666666666665</v>
      </c>
      <c r="FJ325" s="14">
        <v>5</v>
      </c>
      <c r="FK325" s="14">
        <v>1</v>
      </c>
      <c r="FL325" s="14">
        <v>2</v>
      </c>
      <c r="FM325" s="14">
        <f>IFERROR(AVERAGE(Tabel1[[#This Row],[Do - A1a]:[Do - A1c]]),"")</f>
        <v>2.6666666666666665</v>
      </c>
      <c r="FN325" s="14">
        <v>1</v>
      </c>
      <c r="FO325" s="14">
        <v>5</v>
      </c>
      <c r="FP325" s="14">
        <f>IFERROR(AVERAGE(Tabel1[[#This Row],[Do - A2a]:[Do - A2b]]),"")</f>
        <v>3</v>
      </c>
      <c r="FQ325" s="14">
        <v>3</v>
      </c>
      <c r="FR325" s="14">
        <f>IFERROR(AVERAGE(Tabel1[[#This Row],[Do - A3a]:[Do - A3a]]),"")</f>
        <v>3</v>
      </c>
      <c r="FS325" s="14">
        <v>2</v>
      </c>
      <c r="FT325" s="14">
        <f>IFERROR(AVERAGE(Tabel1[[#This Row],[Do - A1]],Tabel1[[#This Row],[Do - A2]],Tabel1[[#This Row],[Do - A3]],Tabel1[[#This Row],[Do - A4]]),"")</f>
        <v>2.6666666666666665</v>
      </c>
      <c r="FU32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2.8605555555555551</v>
      </c>
      <c r="FV325" s="27" t="s">
        <v>1688</v>
      </c>
      <c r="FW325" t="b">
        <v>1</v>
      </c>
    </row>
    <row r="326" spans="1:179" x14ac:dyDescent="0.3">
      <c r="A326" s="13">
        <v>45427.395057870403</v>
      </c>
      <c r="B326" t="b">
        <v>0</v>
      </c>
      <c r="C326" s="14" t="s">
        <v>1689</v>
      </c>
      <c r="D326" s="14" t="s">
        <v>714</v>
      </c>
      <c r="E326" s="14" t="s">
        <v>1690</v>
      </c>
      <c r="F326" s="14" t="s">
        <v>184</v>
      </c>
      <c r="G326" s="14" t="s">
        <v>1691</v>
      </c>
      <c r="H326" s="14" t="s">
        <v>222</v>
      </c>
      <c r="I326" s="14" t="s">
        <v>195</v>
      </c>
      <c r="J326" s="14" t="s">
        <v>533</v>
      </c>
      <c r="K326" s="28" t="s">
        <v>235</v>
      </c>
      <c r="L326" s="14" t="s">
        <v>385</v>
      </c>
      <c r="M326" s="14" t="s">
        <v>281</v>
      </c>
      <c r="N326" s="14" t="s">
        <v>262</v>
      </c>
      <c r="O326" s="14" t="s">
        <v>200</v>
      </c>
      <c r="P326" s="24" t="s">
        <v>255</v>
      </c>
      <c r="Q326" s="17" t="s">
        <v>203</v>
      </c>
      <c r="R326" s="25" t="s">
        <v>201</v>
      </c>
      <c r="S326" s="25" t="s">
        <v>235</v>
      </c>
      <c r="T326" s="14" t="s">
        <v>380</v>
      </c>
      <c r="U326" s="14" t="s">
        <v>205</v>
      </c>
      <c r="V326" s="14" t="s">
        <v>224</v>
      </c>
      <c r="W326" s="14" t="s">
        <v>306</v>
      </c>
      <c r="X326" s="14" t="s">
        <v>305</v>
      </c>
      <c r="Y326" s="14">
        <v>3</v>
      </c>
      <c r="Z326" s="14">
        <v>4</v>
      </c>
      <c r="AA326" s="14">
        <v>4</v>
      </c>
      <c r="AB326" s="15">
        <f>IFERROR(AVERAGE(Tabel1[[#This Row],[Up - R1a]:[Up - R1c]]),"")</f>
        <v>3.6666666666666665</v>
      </c>
      <c r="AC326" s="14">
        <v>4</v>
      </c>
      <c r="AD326" s="14">
        <v>2</v>
      </c>
      <c r="AE326" s="14">
        <v>1</v>
      </c>
      <c r="AF326" s="14">
        <v>3</v>
      </c>
      <c r="AG326" s="14">
        <f>IFERROR(AVERAGE(Tabel1[[#This Row],[Up - R1]:[Up - R5]]),"")</f>
        <v>2.7333333333333334</v>
      </c>
      <c r="AH326" s="14">
        <v>4</v>
      </c>
      <c r="AI326" s="14">
        <v>2</v>
      </c>
      <c r="AJ326" s="14">
        <v>2</v>
      </c>
      <c r="AK326" s="14">
        <f>IFERROR(AVERAGE(Tabel1[[#This Row],[Up - C1a]:[Up - C1c]]),"")</f>
        <v>2.6666666666666665</v>
      </c>
      <c r="AL326" s="14">
        <v>3</v>
      </c>
      <c r="AM326" s="14">
        <v>3</v>
      </c>
      <c r="AN326" s="14">
        <v>2</v>
      </c>
      <c r="AO326" s="14">
        <f>IFERROR(AVERAGE(Tabel1[[#This Row],[Up - C1]:[Up - C4]]),"")</f>
        <v>2.6666666666666665</v>
      </c>
      <c r="AP326" s="14">
        <v>3</v>
      </c>
      <c r="AQ326" s="14">
        <f>IFERROR(AVERAGE(Tabel1[[#This Row],[Up - F1a]:[Up - F1a]]),"")</f>
        <v>3</v>
      </c>
      <c r="AR326" s="14">
        <v>3</v>
      </c>
      <c r="AS326" s="14">
        <v>4</v>
      </c>
      <c r="AT326" s="14">
        <f>IFERROR(AVERAGE(Tabel1[[#This Row],[Up - F2a]:[Up - F2b]]),"")</f>
        <v>3.5</v>
      </c>
      <c r="AU326" s="14">
        <v>3</v>
      </c>
      <c r="AV326" s="14">
        <v>4</v>
      </c>
      <c r="AW326" s="14">
        <f>IFERROR(AVERAGE(Tabel1[[#This Row],[Up - F3a]:[Up - F3b]]),"")</f>
        <v>3.5</v>
      </c>
      <c r="AX326" s="14">
        <v>3</v>
      </c>
      <c r="AY326" s="14">
        <f>IFERROR(AVERAGE(Tabel1[[#This Row],[Up - F1]],Tabel1[[#This Row],[Up - F2]],Tabel1[[#This Row],[Up - F3]],Tabel1[[#This Row],[Up - F4]]),"")</f>
        <v>3.25</v>
      </c>
      <c r="AZ326" s="14">
        <v>4</v>
      </c>
      <c r="BA326" s="14">
        <v>4</v>
      </c>
      <c r="BB326" s="14">
        <f>IFERROR(AVERAGE(Tabel1[[#This Row],[Up - V1a]:[Up - V1b]]),"")</f>
        <v>4</v>
      </c>
      <c r="BC326" s="14">
        <v>2</v>
      </c>
      <c r="BD326" s="14">
        <v>3</v>
      </c>
      <c r="BE326" s="14">
        <v>2</v>
      </c>
      <c r="BF326" s="14">
        <f>IFERROR(AVERAGE(Tabel1[[#This Row],[Up - V2a]:[Up - V2c]]),"")</f>
        <v>2.3333333333333335</v>
      </c>
      <c r="BG326" s="14">
        <v>1</v>
      </c>
      <c r="BH326" s="14">
        <v>1</v>
      </c>
      <c r="BI326" s="14">
        <f>IFERROR(AVERAGE(Tabel1[[#This Row],[Up - V3a]:[Up - V3b]]),"")</f>
        <v>1</v>
      </c>
      <c r="BJ326" s="14">
        <v>3</v>
      </c>
      <c r="BK326" s="14">
        <f>IFERROR(AVERAGE(Tabel1[[#This Row],[Up - V1]],Tabel1[[#This Row],[Up - V2]],Tabel1[[#This Row],[Up - V3]],Tabel1[[#This Row],[Up - V4]]),"")</f>
        <v>2.5833333333333335</v>
      </c>
      <c r="BL326" s="14">
        <v>3</v>
      </c>
      <c r="BM326" s="14">
        <v>3</v>
      </c>
      <c r="BN326" s="14">
        <v>4</v>
      </c>
      <c r="BO326" s="14">
        <v>4</v>
      </c>
      <c r="BP326" s="14">
        <f>IFERROR(AVERAGE(Tabel1[[#This Row],[Up - A1a]:[Up - A1d]]),"")</f>
        <v>3.5</v>
      </c>
      <c r="BQ326" s="14" t="s">
        <v>189</v>
      </c>
      <c r="BR326" s="14">
        <v>2</v>
      </c>
      <c r="BS326" s="14">
        <f>IFERROR(AVERAGE(Tabel1[[#This Row],[Up - A2a]:[Up - A2b]]),"")</f>
        <v>2</v>
      </c>
      <c r="BT326" s="14">
        <v>3</v>
      </c>
      <c r="BU326" s="14">
        <f>IFERROR(AVERAGE(Tabel1[[#This Row],[Up - A3a]:[Up - A3a]]),"")</f>
        <v>3</v>
      </c>
      <c r="BV326" s="14">
        <v>2</v>
      </c>
      <c r="BW326" s="14">
        <f>IFERROR(AVERAGE(Tabel1[[#This Row],[Up - A1]],Tabel1[[#This Row],[Up - A2]],Tabel1[[#This Row],[Up - A3]]),"")</f>
        <v>2.8333333333333335</v>
      </c>
      <c r="BX326" s="14">
        <v>4</v>
      </c>
      <c r="BY326" s="14">
        <v>5</v>
      </c>
      <c r="BZ326" s="14">
        <f>IFERROR(AVERAGE(Tabel1[[#This Row],[In - R1a]:[In - R1b]]),"")</f>
        <v>4.5</v>
      </c>
      <c r="CA326" s="14">
        <v>1</v>
      </c>
      <c r="CB326" s="14">
        <v>4</v>
      </c>
      <c r="CC326" s="14">
        <v>1</v>
      </c>
      <c r="CD326" s="14">
        <v>1</v>
      </c>
      <c r="CE326" s="14">
        <f>IFERROR(AVERAGE(Tabel1[[#This Row],[In - R1]:[In - R5]]),"")</f>
        <v>2.2999999999999998</v>
      </c>
      <c r="CF326" s="14">
        <v>4</v>
      </c>
      <c r="CG326" s="14">
        <v>3</v>
      </c>
      <c r="CH326" s="14">
        <v>4</v>
      </c>
      <c r="CI326" s="14">
        <f>IFERROR(AVERAGE(Tabel1[[#This Row],[In - C1a]:[In - C1c]]),"")</f>
        <v>3.6666666666666665</v>
      </c>
      <c r="CJ326" s="14">
        <v>2</v>
      </c>
      <c r="CK326" s="14">
        <v>2</v>
      </c>
      <c r="CL326" s="14">
        <v>1</v>
      </c>
      <c r="CM326" s="14">
        <f>IFERROR(AVERAGE(Tabel1[[#This Row],[In - C1]:[In - C4]]),"")</f>
        <v>2.1666666666666665</v>
      </c>
      <c r="CN326" s="14">
        <v>5</v>
      </c>
      <c r="CO326" s="14">
        <v>3</v>
      </c>
      <c r="CP326" s="14">
        <v>2</v>
      </c>
      <c r="CQ326" s="14">
        <f>IFERROR(AVERAGE(Tabel1[[#This Row],[In - F1a]:[In - F1c]]),"")</f>
        <v>3.3333333333333335</v>
      </c>
      <c r="CR326" s="14">
        <v>4</v>
      </c>
      <c r="CS326" s="14">
        <v>1</v>
      </c>
      <c r="CT326" s="14">
        <f>IFERROR(AVERAGE(Tabel1[[#This Row],[In - F2a]:[In - F2b]]),"")</f>
        <v>2.5</v>
      </c>
      <c r="CU326" s="14">
        <v>1</v>
      </c>
      <c r="CV326" s="14">
        <f>IFERROR(AVERAGE(Tabel1[[#This Row],[In - F3a]:[In - F3a]]),"")</f>
        <v>1</v>
      </c>
      <c r="CW326" s="14">
        <v>3</v>
      </c>
      <c r="CX326" s="14">
        <f>IFERROR(AVERAGE(Tabel1[[#This Row],[In - F1]],Tabel1[[#This Row],[In - F2]],Tabel1[[#This Row],[In - F3]],Tabel1[[#This Row],[In - F4]]),"")</f>
        <v>2.4583333333333335</v>
      </c>
      <c r="CY326" s="14">
        <v>3</v>
      </c>
      <c r="CZ326" s="14">
        <v>4</v>
      </c>
      <c r="DA326" s="14">
        <v>3</v>
      </c>
      <c r="DB326" s="14">
        <f>IFERROR(AVERAGE(Tabel1[[#This Row],[In - V1a]:[In - V1c]]),"")</f>
        <v>3.3333333333333335</v>
      </c>
      <c r="DC326" s="14">
        <v>3</v>
      </c>
      <c r="DD326" s="14">
        <v>4</v>
      </c>
      <c r="DE326" s="14">
        <v>1</v>
      </c>
      <c r="DF326" s="14">
        <f>IFERROR(AVERAGE(Tabel1[[#This Row],[In - V2a]:[In - V2c]]),"")</f>
        <v>2.6666666666666665</v>
      </c>
      <c r="DG326" s="14">
        <v>2</v>
      </c>
      <c r="DH326" s="14">
        <v>3</v>
      </c>
      <c r="DI326" s="14">
        <f>IFERROR(AVERAGE(Tabel1[[#This Row],[In - V3a]:[In - V3b]]),"")</f>
        <v>2.5</v>
      </c>
      <c r="DJ326" s="14">
        <v>2</v>
      </c>
      <c r="DK326" s="14">
        <f>IFERROR(AVERAGE(Tabel1[[#This Row],[In - V1]],Tabel1[[#This Row],[In - V2]],Tabel1[[#This Row],[In - V3]],Tabel1[[#This Row],[In - V4]]),"")</f>
        <v>2.625</v>
      </c>
      <c r="DL326" s="14">
        <v>4</v>
      </c>
      <c r="DM326" s="14" t="s">
        <v>189</v>
      </c>
      <c r="DN326" s="14">
        <f>IFERROR(AVERAGE(Tabel1[[#This Row],[In - A1a]:[In - A1b]]),"")</f>
        <v>4</v>
      </c>
      <c r="DO326" s="14" t="s">
        <v>189</v>
      </c>
      <c r="DP326" s="14">
        <v>2</v>
      </c>
      <c r="DQ326" s="14">
        <f>IFERROR(AVERAGE(Tabel1[[#This Row],[In - A2a]:[In - A2b]]),"")</f>
        <v>2</v>
      </c>
      <c r="DR326" s="14">
        <v>4</v>
      </c>
      <c r="DS326" s="14">
        <v>1</v>
      </c>
      <c r="DT326" s="14">
        <f>IFERROR(AVERAGE(Tabel1[[#This Row],[In - A3a]:[In - A3a]]),"")</f>
        <v>4</v>
      </c>
      <c r="DU326" s="14" t="s">
        <v>189</v>
      </c>
      <c r="DV326" s="14">
        <f>IFERROR(AVERAGE(Tabel1[[#This Row],[In - A1]],Tabel1[[#This Row],[In - A2]],Tabel1[[#This Row],[In - A3]],Tabel1[[#This Row],[In - A4]]),"")</f>
        <v>3.3333333333333335</v>
      </c>
      <c r="DW326" s="14">
        <v>1</v>
      </c>
      <c r="DX326" s="14">
        <v>5</v>
      </c>
      <c r="DY326" s="14">
        <v>2</v>
      </c>
      <c r="DZ326" s="14">
        <f>IFERROR(AVERAGE(Tabel1[[#This Row],[Do - R1a]:[Do - R1c]]),"")</f>
        <v>2.6666666666666665</v>
      </c>
      <c r="EA326" s="14">
        <v>3</v>
      </c>
      <c r="EB326" s="14">
        <v>2</v>
      </c>
      <c r="EC326" s="14">
        <v>3</v>
      </c>
      <c r="ED326" s="14">
        <v>4</v>
      </c>
      <c r="EE326" s="14">
        <f>IFERROR(AVERAGE(Tabel1[[#This Row],[Do - R1]:[Do - R5]]),"")</f>
        <v>2.9333333333333331</v>
      </c>
      <c r="EF326" s="14">
        <v>4</v>
      </c>
      <c r="EG326" s="14">
        <v>4</v>
      </c>
      <c r="EH326" s="14">
        <v>3</v>
      </c>
      <c r="EI326" s="14">
        <f>IFERROR(AVERAGE(Tabel1[[#This Row],[Do - C1a]:[Do - C1c]]),"")</f>
        <v>3.6666666666666665</v>
      </c>
      <c r="EJ326" s="14">
        <v>2</v>
      </c>
      <c r="EK326" s="14">
        <v>3</v>
      </c>
      <c r="EL326" s="14">
        <v>2</v>
      </c>
      <c r="EM326" s="14">
        <f>IFERROR(AVERAGE(Tabel1[[#This Row],[Do - C1]:[Do - C4]]),"")</f>
        <v>2.6666666666666665</v>
      </c>
      <c r="EN326" s="14">
        <v>2</v>
      </c>
      <c r="EO326" s="14">
        <v>1</v>
      </c>
      <c r="EP326" s="14">
        <v>1</v>
      </c>
      <c r="EQ326" s="14">
        <f>IFERROR(AVERAGE(Tabel1[[#This Row],[Do - F1a]:[Do - F1c]]),"")</f>
        <v>1.3333333333333333</v>
      </c>
      <c r="ER326" s="14">
        <v>3</v>
      </c>
      <c r="ES326" s="14">
        <f>IFERROR(AVERAGE(Tabel1[[#This Row],[Do - F2a]:[Do - F2a]]),"")</f>
        <v>3</v>
      </c>
      <c r="ET326" s="14">
        <v>1</v>
      </c>
      <c r="EU326" s="14">
        <v>1</v>
      </c>
      <c r="EV326" s="14">
        <f>IFERROR(AVERAGE(Tabel1[[#This Row],[Do - F3a]:[Do - F3b]]),"")</f>
        <v>1</v>
      </c>
      <c r="EW326" s="14">
        <v>1</v>
      </c>
      <c r="EX326" s="14">
        <f>IFERROR(AVERAGE(Tabel1[[#This Row],[Do - F1]],Tabel1[[#This Row],[Do - F2]],Tabel1[[#This Row],[Do - F3]],Tabel1[[#This Row],[Do - F4]]),"")</f>
        <v>1.5833333333333333</v>
      </c>
      <c r="EY326" s="14">
        <v>2</v>
      </c>
      <c r="EZ326" s="14">
        <v>2</v>
      </c>
      <c r="FA326" s="14">
        <v>5</v>
      </c>
      <c r="FB326" s="14">
        <f>IFERROR(AVERAGE(Tabel1[[#This Row],[Do - V1a]:[Do - V1c]]),"")</f>
        <v>3</v>
      </c>
      <c r="FC326" s="14">
        <v>4</v>
      </c>
      <c r="FD326" s="14">
        <v>2</v>
      </c>
      <c r="FE326" s="14">
        <f>IFERROR(AVERAGE(Tabel1[[#This Row],[Do - V2a]:[Do - V2b]]),"")</f>
        <v>3</v>
      </c>
      <c r="FF326" s="14">
        <v>3</v>
      </c>
      <c r="FG326" s="14">
        <f>IFERROR(AVERAGE(Tabel1[[#This Row],[Do - V3a]:[Do - V3a]]),"")</f>
        <v>3</v>
      </c>
      <c r="FH326" s="14">
        <v>4</v>
      </c>
      <c r="FI326" s="14">
        <f>IFERROR(AVERAGE(Tabel1[[#This Row],[Do - V1]],Tabel1[[#This Row],[Do - V2]],Tabel1[[#This Row],[Do - V3]],Tabel1[[#This Row],[Do - V4]]),"")</f>
        <v>3.25</v>
      </c>
      <c r="FJ326" s="14">
        <v>3</v>
      </c>
      <c r="FK326" s="14">
        <v>1</v>
      </c>
      <c r="FL326" s="14">
        <v>2</v>
      </c>
      <c r="FM326" s="14">
        <f>IFERROR(AVERAGE(Tabel1[[#This Row],[Do - A1a]:[Do - A1c]]),"")</f>
        <v>2</v>
      </c>
      <c r="FN326" s="14" t="s">
        <v>189</v>
      </c>
      <c r="FO326" s="14">
        <v>5</v>
      </c>
      <c r="FP326" s="14">
        <f>IFERROR(AVERAGE(Tabel1[[#This Row],[Do - A2a]:[Do - A2b]]),"")</f>
        <v>5</v>
      </c>
      <c r="FQ326" s="14">
        <v>2</v>
      </c>
      <c r="FR326" s="14">
        <f>IFERROR(AVERAGE(Tabel1[[#This Row],[Do - A3a]:[Do - A3a]]),"")</f>
        <v>2</v>
      </c>
      <c r="FS326" s="14">
        <v>4</v>
      </c>
      <c r="FT326" s="14">
        <f>IFERROR(AVERAGE(Tabel1[[#This Row],[Do - A1]],Tabel1[[#This Row],[Do - A2]],Tabel1[[#This Row],[Do - A3]],Tabel1[[#This Row],[Do - A4]]),"")</f>
        <v>3.25</v>
      </c>
      <c r="FU32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2.7088888888888887</v>
      </c>
      <c r="FV326" s="27" t="s">
        <v>1692</v>
      </c>
      <c r="FW326" t="b">
        <v>1</v>
      </c>
    </row>
    <row r="327" spans="1:179" x14ac:dyDescent="0.3">
      <c r="A327" s="13">
        <v>45427.4544328704</v>
      </c>
      <c r="B327" t="b">
        <v>0</v>
      </c>
      <c r="C327" s="14" t="s">
        <v>1693</v>
      </c>
      <c r="D327" s="14" t="s">
        <v>1235</v>
      </c>
      <c r="E327" s="14" t="s">
        <v>1694</v>
      </c>
      <c r="F327" s="14" t="s">
        <v>184</v>
      </c>
      <c r="G327" s="14" t="s">
        <v>1695</v>
      </c>
      <c r="H327" s="14" t="s">
        <v>222</v>
      </c>
      <c r="I327" s="14" t="s">
        <v>243</v>
      </c>
      <c r="J327" s="14" t="s">
        <v>244</v>
      </c>
      <c r="K327" s="26" t="s">
        <v>304</v>
      </c>
      <c r="L327" s="14" t="s">
        <v>249</v>
      </c>
      <c r="M327" s="14" t="s">
        <v>233</v>
      </c>
      <c r="N327" s="14" t="s">
        <v>199</v>
      </c>
      <c r="O327" s="14" t="s">
        <v>256</v>
      </c>
      <c r="P327" s="24" t="s">
        <v>255</v>
      </c>
      <c r="Q327" s="17" t="s">
        <v>255</v>
      </c>
      <c r="R327" s="25" t="s">
        <v>187</v>
      </c>
      <c r="S327" s="25" t="s">
        <v>203</v>
      </c>
      <c r="T327" s="14" t="s">
        <v>236</v>
      </c>
      <c r="U327" s="14" t="s">
        <v>349</v>
      </c>
      <c r="V327" s="14" t="s">
        <v>224</v>
      </c>
      <c r="W327" s="14" t="s">
        <v>207</v>
      </c>
      <c r="X327" s="14" t="s">
        <v>305</v>
      </c>
      <c r="Y327" s="14">
        <v>4</v>
      </c>
      <c r="Z327" s="14">
        <v>5</v>
      </c>
      <c r="AA327" s="14">
        <v>4</v>
      </c>
      <c r="AB327" s="15">
        <f>IFERROR(AVERAGE(Tabel1[[#This Row],[Up - R1a]:[Up - R1c]]),"")</f>
        <v>4.333333333333333</v>
      </c>
      <c r="AC327" s="14">
        <v>4</v>
      </c>
      <c r="AD327" s="14">
        <v>3</v>
      </c>
      <c r="AE327" s="14">
        <v>4</v>
      </c>
      <c r="AF327" s="14">
        <v>5</v>
      </c>
      <c r="AG327" s="14">
        <f>IFERROR(AVERAGE(Tabel1[[#This Row],[Up - R1]:[Up - R5]]),"")</f>
        <v>4.0666666666666664</v>
      </c>
      <c r="AH327" s="14">
        <v>5</v>
      </c>
      <c r="AI327" s="14">
        <v>4</v>
      </c>
      <c r="AJ327" s="14">
        <v>5</v>
      </c>
      <c r="AK327" s="14">
        <f>IFERROR(AVERAGE(Tabel1[[#This Row],[Up - C1a]:[Up - C1c]]),"")</f>
        <v>4.666666666666667</v>
      </c>
      <c r="AL327" s="14">
        <v>3</v>
      </c>
      <c r="AM327" s="14" t="s">
        <v>189</v>
      </c>
      <c r="AN327" s="14">
        <v>4</v>
      </c>
      <c r="AO327" s="14">
        <f>IFERROR(AVERAGE(Tabel1[[#This Row],[Up - C1]:[Up - C4]]),"")</f>
        <v>3.8888888888888893</v>
      </c>
      <c r="AP327" s="14">
        <v>3</v>
      </c>
      <c r="AQ327" s="14">
        <f>IFERROR(AVERAGE(Tabel1[[#This Row],[Up - F1a]:[Up - F1a]]),"")</f>
        <v>3</v>
      </c>
      <c r="AR327" s="14">
        <v>4</v>
      </c>
      <c r="AS327" s="14">
        <v>5</v>
      </c>
      <c r="AT327" s="14">
        <f>IFERROR(AVERAGE(Tabel1[[#This Row],[Up - F2a]:[Up - F2b]]),"")</f>
        <v>4.5</v>
      </c>
      <c r="AU327" s="14">
        <v>4</v>
      </c>
      <c r="AV327" s="14">
        <v>3</v>
      </c>
      <c r="AW327" s="14">
        <f>IFERROR(AVERAGE(Tabel1[[#This Row],[Up - F3a]:[Up - F3b]]),"")</f>
        <v>3.5</v>
      </c>
      <c r="AX327" s="14">
        <v>4</v>
      </c>
      <c r="AY327" s="14">
        <f>IFERROR(AVERAGE(Tabel1[[#This Row],[Up - F1]],Tabel1[[#This Row],[Up - F2]],Tabel1[[#This Row],[Up - F3]],Tabel1[[#This Row],[Up - F4]]),"")</f>
        <v>3.75</v>
      </c>
      <c r="AZ327" s="14">
        <v>4</v>
      </c>
      <c r="BA327" s="14">
        <v>4</v>
      </c>
      <c r="BB327" s="14">
        <f>IFERROR(AVERAGE(Tabel1[[#This Row],[Up - V1a]:[Up - V1b]]),"")</f>
        <v>4</v>
      </c>
      <c r="BC327" s="14">
        <v>5</v>
      </c>
      <c r="BD327" s="14">
        <v>5</v>
      </c>
      <c r="BE327" s="14">
        <v>5</v>
      </c>
      <c r="BF327" s="14">
        <f>IFERROR(AVERAGE(Tabel1[[#This Row],[Up - V2a]:[Up - V2c]]),"")</f>
        <v>5</v>
      </c>
      <c r="BG327" s="14">
        <v>3</v>
      </c>
      <c r="BH327" s="14">
        <v>4</v>
      </c>
      <c r="BI327" s="14">
        <f>IFERROR(AVERAGE(Tabel1[[#This Row],[Up - V3a]:[Up - V3b]]),"")</f>
        <v>3.5</v>
      </c>
      <c r="BJ327" s="14">
        <v>4</v>
      </c>
      <c r="BK327" s="14">
        <f>IFERROR(AVERAGE(Tabel1[[#This Row],[Up - V1]],Tabel1[[#This Row],[Up - V2]],Tabel1[[#This Row],[Up - V3]],Tabel1[[#This Row],[Up - V4]]),"")</f>
        <v>4.125</v>
      </c>
      <c r="BL327" s="14">
        <v>4</v>
      </c>
      <c r="BM327" s="14">
        <v>4</v>
      </c>
      <c r="BN327" s="14">
        <v>2</v>
      </c>
      <c r="BO327" s="14">
        <v>3</v>
      </c>
      <c r="BP327" s="14">
        <f>IFERROR(AVERAGE(Tabel1[[#This Row],[Up - A1a]:[Up - A1d]]),"")</f>
        <v>3.25</v>
      </c>
      <c r="BQ327" s="14">
        <v>4</v>
      </c>
      <c r="BR327" s="14">
        <v>4</v>
      </c>
      <c r="BS327" s="14">
        <f>IFERROR(AVERAGE(Tabel1[[#This Row],[Up - A2a]:[Up - A2b]]),"")</f>
        <v>4</v>
      </c>
      <c r="BT327" s="14">
        <v>5</v>
      </c>
      <c r="BU327" s="14">
        <f>IFERROR(AVERAGE(Tabel1[[#This Row],[Up - A3a]:[Up - A3a]]),"")</f>
        <v>5</v>
      </c>
      <c r="BV327" s="14">
        <v>4</v>
      </c>
      <c r="BW327" s="14">
        <f>IFERROR(AVERAGE(Tabel1[[#This Row],[Up - A1]],Tabel1[[#This Row],[Up - A2]],Tabel1[[#This Row],[Up - A3]]),"")</f>
        <v>4.083333333333333</v>
      </c>
      <c r="BX327" s="14">
        <v>2</v>
      </c>
      <c r="BY327" s="14">
        <v>1</v>
      </c>
      <c r="BZ327" s="14">
        <f>IFERROR(AVERAGE(Tabel1[[#This Row],[In - R1a]:[In - R1b]]),"")</f>
        <v>1.5</v>
      </c>
      <c r="CA327" s="14">
        <v>3</v>
      </c>
      <c r="CB327" s="14">
        <v>2</v>
      </c>
      <c r="CC327" s="14">
        <v>3</v>
      </c>
      <c r="CD327" s="14">
        <v>4</v>
      </c>
      <c r="CE327" s="14">
        <f>IFERROR(AVERAGE(Tabel1[[#This Row],[In - R1]:[In - R5]]),"")</f>
        <v>2.7</v>
      </c>
      <c r="CF327" s="14">
        <v>4</v>
      </c>
      <c r="CG327" s="14">
        <v>5</v>
      </c>
      <c r="CH327" s="14">
        <v>4</v>
      </c>
      <c r="CI327" s="14">
        <f>IFERROR(AVERAGE(Tabel1[[#This Row],[In - C1a]:[In - C1c]]),"")</f>
        <v>4.333333333333333</v>
      </c>
      <c r="CJ327" s="14">
        <v>2</v>
      </c>
      <c r="CK327" s="14" t="s">
        <v>189</v>
      </c>
      <c r="CL327" s="14">
        <v>4</v>
      </c>
      <c r="CM327" s="14">
        <f>IFERROR(AVERAGE(Tabel1[[#This Row],[In - C1]:[In - C4]]),"")</f>
        <v>3.4444444444444442</v>
      </c>
      <c r="CN327" s="14">
        <v>5</v>
      </c>
      <c r="CO327" s="14">
        <v>5</v>
      </c>
      <c r="CP327" s="14">
        <v>1</v>
      </c>
      <c r="CQ327" s="14">
        <f>IFERROR(AVERAGE(Tabel1[[#This Row],[In - F1a]:[In - F1c]]),"")</f>
        <v>3.6666666666666665</v>
      </c>
      <c r="CR327" s="14">
        <v>5</v>
      </c>
      <c r="CS327" s="14">
        <v>2</v>
      </c>
      <c r="CT327" s="14">
        <f>IFERROR(AVERAGE(Tabel1[[#This Row],[In - F2a]:[In - F2b]]),"")</f>
        <v>3.5</v>
      </c>
      <c r="CU327" s="14" t="s">
        <v>189</v>
      </c>
      <c r="CV327" s="14" t="str">
        <f>IFERROR(AVERAGE(Tabel1[[#This Row],[In - F3a]:[In - F3a]]),"")</f>
        <v/>
      </c>
      <c r="CW327" s="14">
        <v>2</v>
      </c>
      <c r="CX327" s="14">
        <f>IFERROR(AVERAGE(Tabel1[[#This Row],[In - F1]],Tabel1[[#This Row],[In - F2]],Tabel1[[#This Row],[In - F3]],Tabel1[[#This Row],[In - F4]]),"")</f>
        <v>3.0555555555555554</v>
      </c>
      <c r="CY327" s="14">
        <v>2</v>
      </c>
      <c r="CZ327" s="14">
        <v>3</v>
      </c>
      <c r="DA327" s="14">
        <v>5</v>
      </c>
      <c r="DB327" s="14">
        <f>IFERROR(AVERAGE(Tabel1[[#This Row],[In - V1a]:[In - V1c]]),"")</f>
        <v>3.3333333333333335</v>
      </c>
      <c r="DC327" s="14">
        <v>4</v>
      </c>
      <c r="DD327" s="14" t="s">
        <v>189</v>
      </c>
      <c r="DE327" s="14">
        <v>3</v>
      </c>
      <c r="DF327" s="14">
        <f>IFERROR(AVERAGE(Tabel1[[#This Row],[In - V2a]:[In - V2c]]),"")</f>
        <v>3.5</v>
      </c>
      <c r="DG327" s="14">
        <v>3</v>
      </c>
      <c r="DH327" s="14">
        <v>4</v>
      </c>
      <c r="DI327" s="14">
        <f>IFERROR(AVERAGE(Tabel1[[#This Row],[In - V3a]:[In - V3b]]),"")</f>
        <v>3.5</v>
      </c>
      <c r="DJ327" s="14">
        <v>3</v>
      </c>
      <c r="DK327" s="14">
        <f>IFERROR(AVERAGE(Tabel1[[#This Row],[In - V1]],Tabel1[[#This Row],[In - V2]],Tabel1[[#This Row],[In - V3]],Tabel1[[#This Row],[In - V4]]),"")</f>
        <v>3.3333333333333335</v>
      </c>
      <c r="DL327" s="14">
        <v>5</v>
      </c>
      <c r="DM327" s="14">
        <v>4</v>
      </c>
      <c r="DN327" s="14">
        <f>IFERROR(AVERAGE(Tabel1[[#This Row],[In - A1a]:[In - A1b]]),"")</f>
        <v>4.5</v>
      </c>
      <c r="DO327" s="14" t="s">
        <v>189</v>
      </c>
      <c r="DP327" s="14">
        <v>4</v>
      </c>
      <c r="DQ327" s="14">
        <f>IFERROR(AVERAGE(Tabel1[[#This Row],[In - A2a]:[In - A2b]]),"")</f>
        <v>4</v>
      </c>
      <c r="DR327" s="14">
        <v>5</v>
      </c>
      <c r="DS327" s="14">
        <v>3</v>
      </c>
      <c r="DT327" s="14">
        <f>IFERROR(AVERAGE(Tabel1[[#This Row],[In - A3a]:[In - A3a]]),"")</f>
        <v>5</v>
      </c>
      <c r="DU327" s="14">
        <v>4</v>
      </c>
      <c r="DV327" s="14">
        <f>IFERROR(AVERAGE(Tabel1[[#This Row],[In - A1]],Tabel1[[#This Row],[In - A2]],Tabel1[[#This Row],[In - A3]],Tabel1[[#This Row],[In - A4]]),"")</f>
        <v>4.375</v>
      </c>
      <c r="DW327" s="14">
        <v>3</v>
      </c>
      <c r="DX327" s="14">
        <v>2</v>
      </c>
      <c r="DY327" s="14">
        <v>1</v>
      </c>
      <c r="DZ327" s="14">
        <f>IFERROR(AVERAGE(Tabel1[[#This Row],[Do - R1a]:[Do - R1c]]),"")</f>
        <v>2</v>
      </c>
      <c r="EA327" s="14">
        <v>1</v>
      </c>
      <c r="EB327" s="14">
        <v>4</v>
      </c>
      <c r="EC327" s="14">
        <v>5</v>
      </c>
      <c r="ED327" s="14" t="s">
        <v>189</v>
      </c>
      <c r="EE327" s="14">
        <f>IFERROR(AVERAGE(Tabel1[[#This Row],[Do - R1]:[Do - R5]]),"")</f>
        <v>3</v>
      </c>
      <c r="EF327" s="14">
        <v>5</v>
      </c>
      <c r="EG327" s="14">
        <v>4</v>
      </c>
      <c r="EH327" s="14">
        <v>3</v>
      </c>
      <c r="EI327" s="14">
        <f>IFERROR(AVERAGE(Tabel1[[#This Row],[Do - C1a]:[Do - C1c]]),"")</f>
        <v>4</v>
      </c>
      <c r="EJ327" s="14">
        <v>5</v>
      </c>
      <c r="EK327" s="14" t="s">
        <v>189</v>
      </c>
      <c r="EL327" s="14">
        <v>4</v>
      </c>
      <c r="EM327" s="14">
        <f>IFERROR(AVERAGE(Tabel1[[#This Row],[Do - C1]:[Do - C4]]),"")</f>
        <v>4.333333333333333</v>
      </c>
      <c r="EN327" s="14">
        <v>2</v>
      </c>
      <c r="EO327" s="14">
        <v>5</v>
      </c>
      <c r="EP327" s="14">
        <v>4</v>
      </c>
      <c r="EQ327" s="14">
        <f>IFERROR(AVERAGE(Tabel1[[#This Row],[Do - F1a]:[Do - F1c]]),"")</f>
        <v>3.6666666666666665</v>
      </c>
      <c r="ER327" s="14">
        <v>3</v>
      </c>
      <c r="ES327" s="14">
        <f>IFERROR(AVERAGE(Tabel1[[#This Row],[Do - F2a]:[Do - F2a]]),"")</f>
        <v>3</v>
      </c>
      <c r="ET327" s="14" t="s">
        <v>189</v>
      </c>
      <c r="EU327" s="14">
        <v>2</v>
      </c>
      <c r="EV327" s="14">
        <f>IFERROR(AVERAGE(Tabel1[[#This Row],[Do - F3a]:[Do - F3b]]),"")</f>
        <v>2</v>
      </c>
      <c r="EW327" s="14">
        <v>2</v>
      </c>
      <c r="EX327" s="14">
        <f>IFERROR(AVERAGE(Tabel1[[#This Row],[Do - F1]],Tabel1[[#This Row],[Do - F2]],Tabel1[[#This Row],[Do - F3]],Tabel1[[#This Row],[Do - F4]]),"")</f>
        <v>2.6666666666666665</v>
      </c>
      <c r="EY327" s="14">
        <v>4</v>
      </c>
      <c r="EZ327" s="14">
        <v>5</v>
      </c>
      <c r="FA327" s="14">
        <v>5</v>
      </c>
      <c r="FB327" s="14">
        <f>IFERROR(AVERAGE(Tabel1[[#This Row],[Do - V1a]:[Do - V1c]]),"")</f>
        <v>4.666666666666667</v>
      </c>
      <c r="FC327" s="14">
        <v>5</v>
      </c>
      <c r="FD327" s="14">
        <v>5</v>
      </c>
      <c r="FE327" s="14">
        <f>IFERROR(AVERAGE(Tabel1[[#This Row],[Do - V2a]:[Do - V2b]]),"")</f>
        <v>5</v>
      </c>
      <c r="FF327" s="14">
        <v>5</v>
      </c>
      <c r="FG327" s="14">
        <f>IFERROR(AVERAGE(Tabel1[[#This Row],[Do - V3a]:[Do - V3a]]),"")</f>
        <v>5</v>
      </c>
      <c r="FH327" s="14" t="s">
        <v>189</v>
      </c>
      <c r="FI327" s="14">
        <f>IFERROR(AVERAGE(Tabel1[[#This Row],[Do - V1]],Tabel1[[#This Row],[Do - V2]],Tabel1[[#This Row],[Do - V3]],Tabel1[[#This Row],[Do - V4]]),"")</f>
        <v>4.8888888888888893</v>
      </c>
      <c r="FJ327" s="14">
        <v>4</v>
      </c>
      <c r="FK327" s="14">
        <v>5</v>
      </c>
      <c r="FL327" s="14">
        <v>5</v>
      </c>
      <c r="FM327" s="14">
        <f>IFERROR(AVERAGE(Tabel1[[#This Row],[Do - A1a]:[Do - A1c]]),"")</f>
        <v>4.666666666666667</v>
      </c>
      <c r="FN327" s="14">
        <v>4</v>
      </c>
      <c r="FO327" s="14" t="s">
        <v>189</v>
      </c>
      <c r="FP327" s="14">
        <f>IFERROR(AVERAGE(Tabel1[[#This Row],[Do - A2a]:[Do - A2b]]),"")</f>
        <v>4</v>
      </c>
      <c r="FQ327" s="14">
        <v>5</v>
      </c>
      <c r="FR327" s="14">
        <f>IFERROR(AVERAGE(Tabel1[[#This Row],[Do - A3a]:[Do - A3a]]),"")</f>
        <v>5</v>
      </c>
      <c r="FS327" s="14">
        <v>5</v>
      </c>
      <c r="FT327" s="14">
        <f>IFERROR(AVERAGE(Tabel1[[#This Row],[Do - A1]],Tabel1[[#This Row],[Do - A2]],Tabel1[[#This Row],[Do - A3]],Tabel1[[#This Row],[Do - A4]]),"")</f>
        <v>4.666666666666667</v>
      </c>
      <c r="FU32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3.7585185185185184</v>
      </c>
      <c r="FV327" s="27" t="s">
        <v>1696</v>
      </c>
      <c r="FW327" t="b">
        <v>1</v>
      </c>
    </row>
    <row r="328" spans="1:179" x14ac:dyDescent="0.3">
      <c r="A328" s="13">
        <v>45428.6149421296</v>
      </c>
      <c r="B328" t="b">
        <v>0</v>
      </c>
      <c r="C328" s="14" t="s">
        <v>1697</v>
      </c>
      <c r="D328" s="14" t="s">
        <v>1698</v>
      </c>
      <c r="E328" s="14" t="s">
        <v>1699</v>
      </c>
      <c r="F328" s="14" t="s">
        <v>184</v>
      </c>
      <c r="G328" s="14" t="s">
        <v>1700</v>
      </c>
      <c r="H328" s="14" t="s">
        <v>222</v>
      </c>
      <c r="I328" s="14" t="s">
        <v>195</v>
      </c>
      <c r="J328" s="14" t="s">
        <v>1305</v>
      </c>
      <c r="K328" s="28" t="s">
        <v>187</v>
      </c>
      <c r="L328" s="14" t="s">
        <v>197</v>
      </c>
      <c r="M328" s="14" t="s">
        <v>198</v>
      </c>
      <c r="N328" s="14" t="s">
        <v>199</v>
      </c>
      <c r="O328" s="14" t="s">
        <v>200</v>
      </c>
      <c r="P328" s="24" t="s">
        <v>304</v>
      </c>
      <c r="Q328" s="17" t="s">
        <v>203</v>
      </c>
      <c r="R328" s="25" t="s">
        <v>235</v>
      </c>
      <c r="S328" s="25" t="s">
        <v>235</v>
      </c>
      <c r="T328" s="14" t="s">
        <v>204</v>
      </c>
      <c r="U328" s="14" t="s">
        <v>205</v>
      </c>
      <c r="V328" s="14" t="s">
        <v>224</v>
      </c>
      <c r="W328" s="14" t="s">
        <v>207</v>
      </c>
      <c r="X328" s="14" t="s">
        <v>207</v>
      </c>
      <c r="Y328" s="14">
        <v>2</v>
      </c>
      <c r="Z328" s="14">
        <v>3</v>
      </c>
      <c r="AA328" s="14" t="s">
        <v>189</v>
      </c>
      <c r="AB328" s="15">
        <f>IFERROR(AVERAGE(Tabel1[[#This Row],[Up - R1a]:[Up - R1c]]),"")</f>
        <v>2.5</v>
      </c>
      <c r="AC328" s="14">
        <v>2</v>
      </c>
      <c r="AD328" s="14">
        <v>4</v>
      </c>
      <c r="AE328" s="14">
        <v>1</v>
      </c>
      <c r="AF328" s="14" t="s">
        <v>189</v>
      </c>
      <c r="AG328" s="14">
        <f>IFERROR(AVERAGE(Tabel1[[#This Row],[Up - R1]:[Up - R5]]),"")</f>
        <v>2.375</v>
      </c>
      <c r="AH328" s="14">
        <v>4</v>
      </c>
      <c r="AI328" s="14">
        <v>3</v>
      </c>
      <c r="AJ328" s="14">
        <v>2</v>
      </c>
      <c r="AK328" s="14">
        <f>IFERROR(AVERAGE(Tabel1[[#This Row],[Up - C1a]:[Up - C1c]]),"")</f>
        <v>3</v>
      </c>
      <c r="AL328" s="14">
        <v>3</v>
      </c>
      <c r="AM328" s="14">
        <v>3</v>
      </c>
      <c r="AN328" s="14">
        <v>3</v>
      </c>
      <c r="AO328" s="14">
        <f>IFERROR(AVERAGE(Tabel1[[#This Row],[Up - C1]:[Up - C4]]),"")</f>
        <v>3</v>
      </c>
      <c r="AP328" s="14">
        <v>2</v>
      </c>
      <c r="AQ328" s="14">
        <f>IFERROR(AVERAGE(Tabel1[[#This Row],[Up - F1a]:[Up - F1a]]),"")</f>
        <v>2</v>
      </c>
      <c r="AR328" s="14">
        <v>2</v>
      </c>
      <c r="AS328" s="14">
        <v>2</v>
      </c>
      <c r="AT328" s="14">
        <f>IFERROR(AVERAGE(Tabel1[[#This Row],[Up - F2a]:[Up - F2b]]),"")</f>
        <v>2</v>
      </c>
      <c r="AU328" s="14">
        <v>3</v>
      </c>
      <c r="AV328" s="14">
        <v>2</v>
      </c>
      <c r="AW328" s="14">
        <f>IFERROR(AVERAGE(Tabel1[[#This Row],[Up - F3a]:[Up - F3b]]),"")</f>
        <v>2.5</v>
      </c>
      <c r="AX328" s="14" t="s">
        <v>189</v>
      </c>
      <c r="AY328" s="14">
        <f>IFERROR(AVERAGE(Tabel1[[#This Row],[Up - F1]],Tabel1[[#This Row],[Up - F2]],Tabel1[[#This Row],[Up - F3]],Tabel1[[#This Row],[Up - F4]]),"")</f>
        <v>2.1666666666666665</v>
      </c>
      <c r="AZ328" s="14">
        <v>3</v>
      </c>
      <c r="BA328" s="14">
        <v>4</v>
      </c>
      <c r="BB328" s="14">
        <f>IFERROR(AVERAGE(Tabel1[[#This Row],[Up - V1a]:[Up - V1b]]),"")</f>
        <v>3.5</v>
      </c>
      <c r="BC328" s="14">
        <v>3</v>
      </c>
      <c r="BD328" s="14">
        <v>3</v>
      </c>
      <c r="BE328" s="14">
        <v>4</v>
      </c>
      <c r="BF328" s="14">
        <f>IFERROR(AVERAGE(Tabel1[[#This Row],[Up - V2a]:[Up - V2c]]),"")</f>
        <v>3.3333333333333335</v>
      </c>
      <c r="BG328" s="14">
        <v>3</v>
      </c>
      <c r="BH328" s="14" t="s">
        <v>189</v>
      </c>
      <c r="BI328" s="14">
        <f>IFERROR(AVERAGE(Tabel1[[#This Row],[Up - V3a]:[Up - V3b]]),"")</f>
        <v>3</v>
      </c>
      <c r="BJ328" s="14">
        <v>4</v>
      </c>
      <c r="BK328" s="14">
        <f>IFERROR(AVERAGE(Tabel1[[#This Row],[Up - V1]],Tabel1[[#This Row],[Up - V2]],Tabel1[[#This Row],[Up - V3]],Tabel1[[#This Row],[Up - V4]]),"")</f>
        <v>3.4583333333333335</v>
      </c>
      <c r="BL328" s="14">
        <v>3</v>
      </c>
      <c r="BM328" s="14">
        <v>4</v>
      </c>
      <c r="BN328" s="14">
        <v>3</v>
      </c>
      <c r="BO328" s="14">
        <v>2</v>
      </c>
      <c r="BP328" s="14">
        <f>IFERROR(AVERAGE(Tabel1[[#This Row],[Up - A1a]:[Up - A1d]]),"")</f>
        <v>3</v>
      </c>
      <c r="BQ328" s="14">
        <v>3</v>
      </c>
      <c r="BR328" s="14">
        <v>3</v>
      </c>
      <c r="BS328" s="14">
        <f>IFERROR(AVERAGE(Tabel1[[#This Row],[Up - A2a]:[Up - A2b]]),"")</f>
        <v>3</v>
      </c>
      <c r="BT328" s="14">
        <v>3</v>
      </c>
      <c r="BU328" s="14">
        <f>IFERROR(AVERAGE(Tabel1[[#This Row],[Up - A3a]:[Up - A3a]]),"")</f>
        <v>3</v>
      </c>
      <c r="BV328" s="14">
        <v>3</v>
      </c>
      <c r="BW328" s="14">
        <f>IFERROR(AVERAGE(Tabel1[[#This Row],[Up - A1]],Tabel1[[#This Row],[Up - A2]],Tabel1[[#This Row],[Up - A3]]),"")</f>
        <v>3</v>
      </c>
      <c r="BX328" s="14">
        <v>1</v>
      </c>
      <c r="BY328" s="14">
        <v>4</v>
      </c>
      <c r="BZ328" s="14">
        <f>IFERROR(AVERAGE(Tabel1[[#This Row],[In - R1a]:[In - R1b]]),"")</f>
        <v>2.5</v>
      </c>
      <c r="CA328" s="14">
        <v>3</v>
      </c>
      <c r="CB328" s="14">
        <v>4</v>
      </c>
      <c r="CC328" s="14">
        <v>1</v>
      </c>
      <c r="CD328" s="14" t="s">
        <v>189</v>
      </c>
      <c r="CE328" s="14">
        <f>IFERROR(AVERAGE(Tabel1[[#This Row],[In - R1]:[In - R5]]),"")</f>
        <v>2.625</v>
      </c>
      <c r="CF328" s="14">
        <v>4</v>
      </c>
      <c r="CG328" s="14">
        <v>3</v>
      </c>
      <c r="CH328" s="14">
        <v>3</v>
      </c>
      <c r="CI328" s="14">
        <f>IFERROR(AVERAGE(Tabel1[[#This Row],[In - C1a]:[In - C1c]]),"")</f>
        <v>3.3333333333333335</v>
      </c>
      <c r="CJ328" s="14">
        <v>4</v>
      </c>
      <c r="CK328" s="14">
        <v>3</v>
      </c>
      <c r="CL328" s="14">
        <v>3</v>
      </c>
      <c r="CM328" s="14">
        <f>IFERROR(AVERAGE(Tabel1[[#This Row],[In - C1]:[In - C4]]),"")</f>
        <v>3.3333333333333335</v>
      </c>
      <c r="CN328" s="14">
        <v>2</v>
      </c>
      <c r="CO328" s="14">
        <v>1</v>
      </c>
      <c r="CP328" s="14">
        <v>2</v>
      </c>
      <c r="CQ328" s="14">
        <f>IFERROR(AVERAGE(Tabel1[[#This Row],[In - F1a]:[In - F1c]]),"")</f>
        <v>1.6666666666666667</v>
      </c>
      <c r="CR328" s="14">
        <v>3</v>
      </c>
      <c r="CS328" s="14">
        <v>1</v>
      </c>
      <c r="CT328" s="14">
        <f>IFERROR(AVERAGE(Tabel1[[#This Row],[In - F2a]:[In - F2b]]),"")</f>
        <v>2</v>
      </c>
      <c r="CU328" s="14">
        <v>2</v>
      </c>
      <c r="CV328" s="14">
        <f>IFERROR(AVERAGE(Tabel1[[#This Row],[In - F3a]:[In - F3a]]),"")</f>
        <v>2</v>
      </c>
      <c r="CW328" s="14" t="s">
        <v>189</v>
      </c>
      <c r="CX328" s="14">
        <f>IFERROR(AVERAGE(Tabel1[[#This Row],[In - F1]],Tabel1[[#This Row],[In - F2]],Tabel1[[#This Row],[In - F3]],Tabel1[[#This Row],[In - F4]]),"")</f>
        <v>1.8888888888888891</v>
      </c>
      <c r="CY328" s="14">
        <v>3</v>
      </c>
      <c r="CZ328" s="14">
        <v>4</v>
      </c>
      <c r="DA328" s="14">
        <v>3</v>
      </c>
      <c r="DB328" s="14">
        <f>IFERROR(AVERAGE(Tabel1[[#This Row],[In - V1a]:[In - V1c]]),"")</f>
        <v>3.3333333333333335</v>
      </c>
      <c r="DC328" s="14">
        <v>3</v>
      </c>
      <c r="DD328" s="14">
        <v>3</v>
      </c>
      <c r="DE328" s="14">
        <v>4</v>
      </c>
      <c r="DF328" s="14">
        <f>IFERROR(AVERAGE(Tabel1[[#This Row],[In - V2a]:[In - V2c]]),"")</f>
        <v>3.3333333333333335</v>
      </c>
      <c r="DG328" s="14">
        <v>3</v>
      </c>
      <c r="DH328" s="14" t="s">
        <v>189</v>
      </c>
      <c r="DI328" s="14">
        <f>IFERROR(AVERAGE(Tabel1[[#This Row],[In - V3a]:[In - V3b]]),"")</f>
        <v>3</v>
      </c>
      <c r="DJ328" s="14">
        <v>4</v>
      </c>
      <c r="DK328" s="14">
        <f>IFERROR(AVERAGE(Tabel1[[#This Row],[In - V1]],Tabel1[[#This Row],[In - V2]],Tabel1[[#This Row],[In - V3]],Tabel1[[#This Row],[In - V4]]),"")</f>
        <v>3.416666666666667</v>
      </c>
      <c r="DL328" s="14">
        <v>3</v>
      </c>
      <c r="DM328" s="14">
        <v>4</v>
      </c>
      <c r="DN328" s="14">
        <f>IFERROR(AVERAGE(Tabel1[[#This Row],[In - A1a]:[In - A1b]]),"")</f>
        <v>3.5</v>
      </c>
      <c r="DO328" s="14">
        <v>4</v>
      </c>
      <c r="DP328" s="14">
        <v>4</v>
      </c>
      <c r="DQ328" s="14">
        <f>IFERROR(AVERAGE(Tabel1[[#This Row],[In - A2a]:[In - A2b]]),"")</f>
        <v>4</v>
      </c>
      <c r="DR328" s="14">
        <v>4</v>
      </c>
      <c r="DS328" s="14">
        <v>4</v>
      </c>
      <c r="DT328" s="14">
        <f>IFERROR(AVERAGE(Tabel1[[#This Row],[In - A3a]:[In - A3a]]),"")</f>
        <v>4</v>
      </c>
      <c r="DU328" s="14">
        <v>3</v>
      </c>
      <c r="DV328" s="14">
        <f>IFERROR(AVERAGE(Tabel1[[#This Row],[In - A1]],Tabel1[[#This Row],[In - A2]],Tabel1[[#This Row],[In - A3]],Tabel1[[#This Row],[In - A4]]),"")</f>
        <v>3.625</v>
      </c>
      <c r="DW328" s="14">
        <v>2</v>
      </c>
      <c r="DX328" s="14">
        <v>4</v>
      </c>
      <c r="DY328" s="14">
        <v>1</v>
      </c>
      <c r="DZ328" s="14">
        <f>IFERROR(AVERAGE(Tabel1[[#This Row],[Do - R1a]:[Do - R1c]]),"")</f>
        <v>2.3333333333333335</v>
      </c>
      <c r="EA328" s="14">
        <v>3</v>
      </c>
      <c r="EB328" s="14">
        <v>3</v>
      </c>
      <c r="EC328" s="14">
        <v>2</v>
      </c>
      <c r="ED328" s="14" t="s">
        <v>189</v>
      </c>
      <c r="EE328" s="14">
        <f>IFERROR(AVERAGE(Tabel1[[#This Row],[Do - R1]:[Do - R5]]),"")</f>
        <v>2.5833333333333335</v>
      </c>
      <c r="EF328" s="14">
        <v>4</v>
      </c>
      <c r="EG328" s="14">
        <v>3</v>
      </c>
      <c r="EH328" s="14">
        <v>2</v>
      </c>
      <c r="EI328" s="14">
        <f>IFERROR(AVERAGE(Tabel1[[#This Row],[Do - C1a]:[Do - C1c]]),"")</f>
        <v>3</v>
      </c>
      <c r="EJ328" s="14">
        <v>3</v>
      </c>
      <c r="EK328" s="14">
        <v>3</v>
      </c>
      <c r="EL328" s="14">
        <v>3</v>
      </c>
      <c r="EM328" s="14">
        <f>IFERROR(AVERAGE(Tabel1[[#This Row],[Do - C1]:[Do - C4]]),"")</f>
        <v>3</v>
      </c>
      <c r="EN328" s="14">
        <v>2</v>
      </c>
      <c r="EO328" s="14">
        <v>1</v>
      </c>
      <c r="EP328" s="14">
        <v>2</v>
      </c>
      <c r="EQ328" s="14">
        <f>IFERROR(AVERAGE(Tabel1[[#This Row],[Do - F1a]:[Do - F1c]]),"")</f>
        <v>1.6666666666666667</v>
      </c>
      <c r="ER328" s="14">
        <v>3</v>
      </c>
      <c r="ES328" s="14">
        <f>IFERROR(AVERAGE(Tabel1[[#This Row],[Do - F2a]:[Do - F2a]]),"")</f>
        <v>3</v>
      </c>
      <c r="ET328" s="14">
        <v>2</v>
      </c>
      <c r="EU328" s="14">
        <v>2</v>
      </c>
      <c r="EV328" s="14">
        <f>IFERROR(AVERAGE(Tabel1[[#This Row],[Do - F3a]:[Do - F3b]]),"")</f>
        <v>2</v>
      </c>
      <c r="EW328" s="14" t="s">
        <v>189</v>
      </c>
      <c r="EX328" s="14">
        <f>IFERROR(AVERAGE(Tabel1[[#This Row],[Do - F1]],Tabel1[[#This Row],[Do - F2]],Tabel1[[#This Row],[Do - F3]],Tabel1[[#This Row],[Do - F4]]),"")</f>
        <v>2.2222222222222223</v>
      </c>
      <c r="EY328" s="14">
        <v>3</v>
      </c>
      <c r="EZ328" s="14">
        <v>2</v>
      </c>
      <c r="FA328" s="14">
        <v>3</v>
      </c>
      <c r="FB328" s="14">
        <f>IFERROR(AVERAGE(Tabel1[[#This Row],[Do - V1a]:[Do - V1c]]),"")</f>
        <v>2.6666666666666665</v>
      </c>
      <c r="FC328" s="14">
        <v>3</v>
      </c>
      <c r="FD328" s="14">
        <v>4</v>
      </c>
      <c r="FE328" s="14">
        <f>IFERROR(AVERAGE(Tabel1[[#This Row],[Do - V2a]:[Do - V2b]]),"")</f>
        <v>3.5</v>
      </c>
      <c r="FF328" s="14">
        <v>3</v>
      </c>
      <c r="FG328" s="14">
        <f>IFERROR(AVERAGE(Tabel1[[#This Row],[Do - V3a]:[Do - V3a]]),"")</f>
        <v>3</v>
      </c>
      <c r="FH328" s="14">
        <v>4</v>
      </c>
      <c r="FI328" s="14">
        <f>IFERROR(AVERAGE(Tabel1[[#This Row],[Do - V1]],Tabel1[[#This Row],[Do - V2]],Tabel1[[#This Row],[Do - V3]],Tabel1[[#This Row],[Do - V4]]),"")</f>
        <v>3.2916666666666665</v>
      </c>
      <c r="FJ328" s="14">
        <v>3</v>
      </c>
      <c r="FK328" s="14">
        <v>1</v>
      </c>
      <c r="FL328" s="14">
        <v>4</v>
      </c>
      <c r="FM328" s="14">
        <f>IFERROR(AVERAGE(Tabel1[[#This Row],[Do - A1a]:[Do - A1c]]),"")</f>
        <v>2.6666666666666665</v>
      </c>
      <c r="FN328" s="14">
        <v>1</v>
      </c>
      <c r="FO328" s="14">
        <v>4</v>
      </c>
      <c r="FP328" s="14">
        <f>IFERROR(AVERAGE(Tabel1[[#This Row],[Do - A2a]:[Do - A2b]]),"")</f>
        <v>2.5</v>
      </c>
      <c r="FQ328" s="14">
        <v>4</v>
      </c>
      <c r="FR328" s="14">
        <f>IFERROR(AVERAGE(Tabel1[[#This Row],[Do - A3a]:[Do - A3a]]),"")</f>
        <v>4</v>
      </c>
      <c r="FS328" s="14">
        <v>3</v>
      </c>
      <c r="FT328" s="14">
        <f>IFERROR(AVERAGE(Tabel1[[#This Row],[Do - A1]],Tabel1[[#This Row],[Do - A2]],Tabel1[[#This Row],[Do - A3]],Tabel1[[#This Row],[Do - A4]]),"")</f>
        <v>3.0416666666666665</v>
      </c>
      <c r="FU32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2.8685185185185182</v>
      </c>
      <c r="FV328" s="27" t="s">
        <v>1701</v>
      </c>
      <c r="FW328" t="b">
        <v>1</v>
      </c>
    </row>
    <row r="329" spans="1:179" x14ac:dyDescent="0.3">
      <c r="A329" s="13">
        <v>45429.429710648103</v>
      </c>
      <c r="B329" t="b">
        <v>0</v>
      </c>
      <c r="C329" s="14" t="s">
        <v>1702</v>
      </c>
      <c r="D329" s="14" t="s">
        <v>1703</v>
      </c>
      <c r="E329" s="14" t="s">
        <v>1704</v>
      </c>
      <c r="F329" s="14" t="s">
        <v>184</v>
      </c>
      <c r="G329" s="14" t="s">
        <v>1705</v>
      </c>
      <c r="H329" s="14" t="s">
        <v>222</v>
      </c>
      <c r="I329" s="14" t="s">
        <v>195</v>
      </c>
      <c r="J329" s="14" t="s">
        <v>1305</v>
      </c>
      <c r="K329" s="28" t="s">
        <v>202</v>
      </c>
      <c r="L329" s="14" t="s">
        <v>249</v>
      </c>
      <c r="M329" s="14" t="s">
        <v>233</v>
      </c>
      <c r="N329" s="14" t="s">
        <v>199</v>
      </c>
      <c r="O329" s="14" t="s">
        <v>200</v>
      </c>
      <c r="P329" s="24" t="s">
        <v>304</v>
      </c>
      <c r="Q329" s="17" t="s">
        <v>201</v>
      </c>
      <c r="R329" s="25" t="s">
        <v>187</v>
      </c>
      <c r="S329" s="25" t="s">
        <v>235</v>
      </c>
      <c r="T329" s="14" t="s">
        <v>204</v>
      </c>
      <c r="U329" s="14" t="s">
        <v>237</v>
      </c>
      <c r="V329" s="14" t="s">
        <v>610</v>
      </c>
      <c r="W329" s="14" t="s">
        <v>207</v>
      </c>
      <c r="X329" s="14" t="s">
        <v>207</v>
      </c>
      <c r="Y329" s="14">
        <v>3</v>
      </c>
      <c r="Z329" s="14">
        <v>2</v>
      </c>
      <c r="AA329" s="14">
        <v>3</v>
      </c>
      <c r="AB329" s="15">
        <f>IFERROR(AVERAGE(Tabel1[[#This Row],[Up - R1a]:[Up - R1c]]),"")</f>
        <v>2.6666666666666665</v>
      </c>
      <c r="AC329" s="14">
        <v>2</v>
      </c>
      <c r="AD329" s="14">
        <v>3</v>
      </c>
      <c r="AE329" s="14">
        <v>1</v>
      </c>
      <c r="AF329" s="14">
        <v>3</v>
      </c>
      <c r="AG329" s="14">
        <f>IFERROR(AVERAGE(Tabel1[[#This Row],[Up - R1]:[Up - R5]]),"")</f>
        <v>2.333333333333333</v>
      </c>
      <c r="AH329" s="14">
        <v>3</v>
      </c>
      <c r="AI329" s="14">
        <v>2</v>
      </c>
      <c r="AJ329" s="14">
        <v>3</v>
      </c>
      <c r="AK329" s="14">
        <f>IFERROR(AVERAGE(Tabel1[[#This Row],[Up - C1a]:[Up - C1c]]),"")</f>
        <v>2.6666666666666665</v>
      </c>
      <c r="AL329" s="14">
        <v>2</v>
      </c>
      <c r="AM329" s="14">
        <v>2</v>
      </c>
      <c r="AN329" s="14">
        <v>1</v>
      </c>
      <c r="AO329" s="14">
        <f>IFERROR(AVERAGE(Tabel1[[#This Row],[Up - C1]:[Up - C4]]),"")</f>
        <v>1.9166666666666665</v>
      </c>
      <c r="AP329" s="14">
        <v>2</v>
      </c>
      <c r="AQ329" s="14">
        <f>IFERROR(AVERAGE(Tabel1[[#This Row],[Up - F1a]:[Up - F1a]]),"")</f>
        <v>2</v>
      </c>
      <c r="AR329" s="14">
        <v>1</v>
      </c>
      <c r="AS329" s="14">
        <v>2</v>
      </c>
      <c r="AT329" s="14">
        <f>IFERROR(AVERAGE(Tabel1[[#This Row],[Up - F2a]:[Up - F2b]]),"")</f>
        <v>1.5</v>
      </c>
      <c r="AU329" s="14">
        <v>3</v>
      </c>
      <c r="AV329" s="14">
        <v>1</v>
      </c>
      <c r="AW329" s="14">
        <f>IFERROR(AVERAGE(Tabel1[[#This Row],[Up - F3a]:[Up - F3b]]),"")</f>
        <v>2</v>
      </c>
      <c r="AX329" s="14" t="s">
        <v>189</v>
      </c>
      <c r="AY329" s="14">
        <f>IFERROR(AVERAGE(Tabel1[[#This Row],[Up - F1]],Tabel1[[#This Row],[Up - F2]],Tabel1[[#This Row],[Up - F3]],Tabel1[[#This Row],[Up - F4]]),"")</f>
        <v>1.8333333333333333</v>
      </c>
      <c r="AZ329" s="14">
        <v>4</v>
      </c>
      <c r="BA329" s="14">
        <v>2</v>
      </c>
      <c r="BB329" s="14">
        <f>IFERROR(AVERAGE(Tabel1[[#This Row],[Up - V1a]:[Up - V1b]]),"")</f>
        <v>3</v>
      </c>
      <c r="BC329" s="14">
        <v>4</v>
      </c>
      <c r="BD329" s="14">
        <v>3</v>
      </c>
      <c r="BE329" s="14">
        <v>3</v>
      </c>
      <c r="BF329" s="14">
        <f>IFERROR(AVERAGE(Tabel1[[#This Row],[Up - V2a]:[Up - V2c]]),"")</f>
        <v>3.3333333333333335</v>
      </c>
      <c r="BG329" s="14">
        <v>2</v>
      </c>
      <c r="BH329" s="14">
        <v>4</v>
      </c>
      <c r="BI329" s="14">
        <f>IFERROR(AVERAGE(Tabel1[[#This Row],[Up - V3a]:[Up - V3b]]),"")</f>
        <v>3</v>
      </c>
      <c r="BJ329" s="14">
        <v>3</v>
      </c>
      <c r="BK329" s="14">
        <f>IFERROR(AVERAGE(Tabel1[[#This Row],[Up - V1]],Tabel1[[#This Row],[Up - V2]],Tabel1[[#This Row],[Up - V3]],Tabel1[[#This Row],[Up - V4]]),"")</f>
        <v>3.0833333333333335</v>
      </c>
      <c r="BL329" s="14">
        <v>3</v>
      </c>
      <c r="BM329" s="14">
        <v>2</v>
      </c>
      <c r="BN329" s="14">
        <v>2</v>
      </c>
      <c r="BO329" s="14">
        <v>2</v>
      </c>
      <c r="BP329" s="14">
        <f>IFERROR(AVERAGE(Tabel1[[#This Row],[Up - A1a]:[Up - A1d]]),"")</f>
        <v>2.25</v>
      </c>
      <c r="BQ329" s="14">
        <v>2</v>
      </c>
      <c r="BR329" s="14">
        <v>5</v>
      </c>
      <c r="BS329" s="14">
        <f>IFERROR(AVERAGE(Tabel1[[#This Row],[Up - A2a]:[Up - A2b]]),"")</f>
        <v>3.5</v>
      </c>
      <c r="BT329" s="14">
        <v>3</v>
      </c>
      <c r="BU329" s="14">
        <f>IFERROR(AVERAGE(Tabel1[[#This Row],[Up - A3a]:[Up - A3a]]),"")</f>
        <v>3</v>
      </c>
      <c r="BV329" s="14">
        <v>3</v>
      </c>
      <c r="BW329" s="14">
        <f>IFERROR(AVERAGE(Tabel1[[#This Row],[Up - A1]],Tabel1[[#This Row],[Up - A2]],Tabel1[[#This Row],[Up - A3]]),"")</f>
        <v>2.9166666666666665</v>
      </c>
      <c r="BX329" s="14">
        <v>2</v>
      </c>
      <c r="BY329" s="14">
        <v>3</v>
      </c>
      <c r="BZ329" s="14">
        <f>IFERROR(AVERAGE(Tabel1[[#This Row],[In - R1a]:[In - R1b]]),"")</f>
        <v>2.5</v>
      </c>
      <c r="CA329" s="14">
        <v>4</v>
      </c>
      <c r="CB329" s="14">
        <v>3</v>
      </c>
      <c r="CC329" s="14">
        <v>1</v>
      </c>
      <c r="CD329" s="14">
        <v>5</v>
      </c>
      <c r="CE329" s="14">
        <f>IFERROR(AVERAGE(Tabel1[[#This Row],[In - R1]:[In - R5]]),"")</f>
        <v>3.1</v>
      </c>
      <c r="CF329" s="14">
        <v>4</v>
      </c>
      <c r="CG329" s="14">
        <v>4</v>
      </c>
      <c r="CH329" s="14">
        <v>5</v>
      </c>
      <c r="CI329" s="14">
        <f>IFERROR(AVERAGE(Tabel1[[#This Row],[In - C1a]:[In - C1c]]),"")</f>
        <v>4.333333333333333</v>
      </c>
      <c r="CJ329" s="14">
        <v>4</v>
      </c>
      <c r="CK329" s="14">
        <v>4</v>
      </c>
      <c r="CL329" s="14">
        <v>4</v>
      </c>
      <c r="CM329" s="14">
        <f>IFERROR(AVERAGE(Tabel1[[#This Row],[In - C1]:[In - C4]]),"")</f>
        <v>4.083333333333333</v>
      </c>
      <c r="CN329" s="14">
        <v>2</v>
      </c>
      <c r="CO329" s="14">
        <v>2</v>
      </c>
      <c r="CP329" s="14">
        <v>2</v>
      </c>
      <c r="CQ329" s="14">
        <f>IFERROR(AVERAGE(Tabel1[[#This Row],[In - F1a]:[In - F1c]]),"")</f>
        <v>2</v>
      </c>
      <c r="CR329" s="14">
        <v>4</v>
      </c>
      <c r="CS329" s="14">
        <v>1</v>
      </c>
      <c r="CT329" s="14">
        <f>IFERROR(AVERAGE(Tabel1[[#This Row],[In - F2a]:[In - F2b]]),"")</f>
        <v>2.5</v>
      </c>
      <c r="CU329" s="14">
        <v>2</v>
      </c>
      <c r="CV329" s="14">
        <f>IFERROR(AVERAGE(Tabel1[[#This Row],[In - F3a]:[In - F3a]]),"")</f>
        <v>2</v>
      </c>
      <c r="CW329" s="14" t="s">
        <v>189</v>
      </c>
      <c r="CX329" s="14">
        <f>IFERROR(AVERAGE(Tabel1[[#This Row],[In - F1]],Tabel1[[#This Row],[In - F2]],Tabel1[[#This Row],[In - F3]],Tabel1[[#This Row],[In - F4]]),"")</f>
        <v>2.1666666666666665</v>
      </c>
      <c r="CY329" s="14">
        <v>5</v>
      </c>
      <c r="CZ329" s="14">
        <v>3</v>
      </c>
      <c r="DA329" s="14">
        <v>4</v>
      </c>
      <c r="DB329" s="14">
        <f>IFERROR(AVERAGE(Tabel1[[#This Row],[In - V1a]:[In - V1c]]),"")</f>
        <v>4</v>
      </c>
      <c r="DC329" s="14">
        <v>5</v>
      </c>
      <c r="DD329" s="14">
        <v>4</v>
      </c>
      <c r="DE329" s="14">
        <v>2</v>
      </c>
      <c r="DF329" s="14">
        <f>IFERROR(AVERAGE(Tabel1[[#This Row],[In - V2a]:[In - V2c]]),"")</f>
        <v>3.6666666666666665</v>
      </c>
      <c r="DG329" s="14">
        <v>4</v>
      </c>
      <c r="DH329" s="14">
        <v>5</v>
      </c>
      <c r="DI329" s="14">
        <f>IFERROR(AVERAGE(Tabel1[[#This Row],[In - V3a]:[In - V3b]]),"")</f>
        <v>4.5</v>
      </c>
      <c r="DJ329" s="14" t="s">
        <v>189</v>
      </c>
      <c r="DK329" s="14">
        <f>IFERROR(AVERAGE(Tabel1[[#This Row],[In - V1]],Tabel1[[#This Row],[In - V2]],Tabel1[[#This Row],[In - V3]],Tabel1[[#This Row],[In - V4]]),"")</f>
        <v>4.0555555555555554</v>
      </c>
      <c r="DL329" s="14">
        <v>3</v>
      </c>
      <c r="DM329" s="14">
        <v>5</v>
      </c>
      <c r="DN329" s="14">
        <f>IFERROR(AVERAGE(Tabel1[[#This Row],[In - A1a]:[In - A1b]]),"")</f>
        <v>4</v>
      </c>
      <c r="DO329" s="14">
        <v>4</v>
      </c>
      <c r="DP329" s="14">
        <v>4</v>
      </c>
      <c r="DQ329" s="14">
        <f>IFERROR(AVERAGE(Tabel1[[#This Row],[In - A2a]:[In - A2b]]),"")</f>
        <v>4</v>
      </c>
      <c r="DR329" s="14">
        <v>4</v>
      </c>
      <c r="DS329" s="14">
        <v>2</v>
      </c>
      <c r="DT329" s="14">
        <f>IFERROR(AVERAGE(Tabel1[[#This Row],[In - A3a]:[In - A3a]]),"")</f>
        <v>4</v>
      </c>
      <c r="DU329" s="14">
        <v>2</v>
      </c>
      <c r="DV329" s="14">
        <f>IFERROR(AVERAGE(Tabel1[[#This Row],[In - A1]],Tabel1[[#This Row],[In - A2]],Tabel1[[#This Row],[In - A3]],Tabel1[[#This Row],[In - A4]]),"")</f>
        <v>3.5</v>
      </c>
      <c r="DW329" s="14">
        <v>1</v>
      </c>
      <c r="DX329" s="14">
        <v>5</v>
      </c>
      <c r="DY329" s="14">
        <v>1</v>
      </c>
      <c r="DZ329" s="14">
        <f>IFERROR(AVERAGE(Tabel1[[#This Row],[Do - R1a]:[Do - R1c]]),"")</f>
        <v>2.3333333333333335</v>
      </c>
      <c r="EA329" s="14">
        <v>2</v>
      </c>
      <c r="EB329" s="14">
        <v>3</v>
      </c>
      <c r="EC329" s="14">
        <v>1</v>
      </c>
      <c r="ED329" s="14">
        <v>4</v>
      </c>
      <c r="EE329" s="14">
        <f>IFERROR(AVERAGE(Tabel1[[#This Row],[Do - R1]:[Do - R5]]),"")</f>
        <v>2.4666666666666668</v>
      </c>
      <c r="EF329" s="14">
        <v>3</v>
      </c>
      <c r="EG329" s="14">
        <v>1</v>
      </c>
      <c r="EH329" s="14">
        <v>2</v>
      </c>
      <c r="EI329" s="14">
        <f>IFERROR(AVERAGE(Tabel1[[#This Row],[Do - C1a]:[Do - C1c]]),"")</f>
        <v>2</v>
      </c>
      <c r="EJ329" s="14">
        <v>2</v>
      </c>
      <c r="EK329" s="14">
        <v>1</v>
      </c>
      <c r="EL329" s="14">
        <v>2</v>
      </c>
      <c r="EM329" s="14">
        <f>IFERROR(AVERAGE(Tabel1[[#This Row],[Do - C1]:[Do - C4]]),"")</f>
        <v>1.75</v>
      </c>
      <c r="EN329" s="14">
        <v>1</v>
      </c>
      <c r="EO329" s="14">
        <v>1</v>
      </c>
      <c r="EP329" s="14">
        <v>1</v>
      </c>
      <c r="EQ329" s="14">
        <f>IFERROR(AVERAGE(Tabel1[[#This Row],[Do - F1a]:[Do - F1c]]),"")</f>
        <v>1</v>
      </c>
      <c r="ER329" s="14">
        <v>1</v>
      </c>
      <c r="ES329" s="14">
        <f>IFERROR(AVERAGE(Tabel1[[#This Row],[Do - F2a]:[Do - F2a]]),"")</f>
        <v>1</v>
      </c>
      <c r="ET329" s="14">
        <v>2</v>
      </c>
      <c r="EU329" s="14">
        <v>1</v>
      </c>
      <c r="EV329" s="14">
        <f>IFERROR(AVERAGE(Tabel1[[#This Row],[Do - F3a]:[Do - F3b]]),"")</f>
        <v>1.5</v>
      </c>
      <c r="EW329" s="14" t="s">
        <v>189</v>
      </c>
      <c r="EX329" s="14">
        <f>IFERROR(AVERAGE(Tabel1[[#This Row],[Do - F1]],Tabel1[[#This Row],[Do - F2]],Tabel1[[#This Row],[Do - F3]],Tabel1[[#This Row],[Do - F4]]),"")</f>
        <v>1.1666666666666667</v>
      </c>
      <c r="EY329" s="14">
        <v>3</v>
      </c>
      <c r="EZ329" s="14">
        <v>1</v>
      </c>
      <c r="FA329" s="14">
        <v>3</v>
      </c>
      <c r="FB329" s="14">
        <f>IFERROR(AVERAGE(Tabel1[[#This Row],[Do - V1a]:[Do - V1c]]),"")</f>
        <v>2.3333333333333335</v>
      </c>
      <c r="FC329" s="14">
        <v>3</v>
      </c>
      <c r="FD329" s="14">
        <v>5</v>
      </c>
      <c r="FE329" s="14">
        <f>IFERROR(AVERAGE(Tabel1[[#This Row],[Do - V2a]:[Do - V2b]]),"")</f>
        <v>4</v>
      </c>
      <c r="FF329" s="14">
        <v>1</v>
      </c>
      <c r="FG329" s="14">
        <f>IFERROR(AVERAGE(Tabel1[[#This Row],[Do - V3a]:[Do - V3a]]),"")</f>
        <v>1</v>
      </c>
      <c r="FH329" s="14">
        <v>3</v>
      </c>
      <c r="FI329" s="14">
        <f>IFERROR(AVERAGE(Tabel1[[#This Row],[Do - V1]],Tabel1[[#This Row],[Do - V2]],Tabel1[[#This Row],[Do - V3]],Tabel1[[#This Row],[Do - V4]]),"")</f>
        <v>2.5833333333333335</v>
      </c>
      <c r="FJ329" s="14">
        <v>3</v>
      </c>
      <c r="FK329" s="14">
        <v>2</v>
      </c>
      <c r="FL329" s="14">
        <v>3</v>
      </c>
      <c r="FM329" s="14">
        <f>IFERROR(AVERAGE(Tabel1[[#This Row],[Do - A1a]:[Do - A1c]]),"")</f>
        <v>2.6666666666666665</v>
      </c>
      <c r="FN329" s="14">
        <v>2</v>
      </c>
      <c r="FO329" s="14">
        <v>4</v>
      </c>
      <c r="FP329" s="14">
        <f>IFERROR(AVERAGE(Tabel1[[#This Row],[Do - A2a]:[Do - A2b]]),"")</f>
        <v>3</v>
      </c>
      <c r="FQ329" s="14">
        <v>1</v>
      </c>
      <c r="FR329" s="14">
        <f>IFERROR(AVERAGE(Tabel1[[#This Row],[Do - A3a]:[Do - A3a]]),"")</f>
        <v>1</v>
      </c>
      <c r="FS329" s="14">
        <v>5</v>
      </c>
      <c r="FT329" s="14">
        <f>IFERROR(AVERAGE(Tabel1[[#This Row],[Do - A1]],Tabel1[[#This Row],[Do - A2]],Tabel1[[#This Row],[Do - A3]],Tabel1[[#This Row],[Do - A4]]),"")</f>
        <v>2.9166666666666665</v>
      </c>
      <c r="FU32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2.6581481481481481</v>
      </c>
      <c r="FV329" s="27" t="s">
        <v>1706</v>
      </c>
      <c r="FW329" t="b">
        <v>1</v>
      </c>
    </row>
    <row r="330" spans="1:179" x14ac:dyDescent="0.3">
      <c r="A330" s="13">
        <v>45429.617314814801</v>
      </c>
      <c r="B330" t="b">
        <v>0</v>
      </c>
      <c r="C330" s="14" t="s">
        <v>1707</v>
      </c>
      <c r="D330" s="14" t="s">
        <v>1708</v>
      </c>
      <c r="E330" s="14" t="s">
        <v>1709</v>
      </c>
      <c r="F330" s="14" t="s">
        <v>184</v>
      </c>
      <c r="G330" s="14" t="s">
        <v>1710</v>
      </c>
      <c r="H330" s="14" t="s">
        <v>222</v>
      </c>
      <c r="I330" s="14" t="s">
        <v>385</v>
      </c>
      <c r="J330" s="14"/>
      <c r="K330" s="28" t="s">
        <v>201</v>
      </c>
      <c r="L330" s="14" t="s">
        <v>197</v>
      </c>
      <c r="M330" s="14" t="s">
        <v>233</v>
      </c>
      <c r="N330" s="14" t="s">
        <v>199</v>
      </c>
      <c r="O330" s="14" t="s">
        <v>200</v>
      </c>
      <c r="P330" s="25"/>
      <c r="Q330" s="17" t="s">
        <v>235</v>
      </c>
      <c r="R330" s="25" t="s">
        <v>187</v>
      </c>
      <c r="S330" s="25" t="s">
        <v>187</v>
      </c>
      <c r="T330" s="14" t="s">
        <v>204</v>
      </c>
      <c r="U330" s="14" t="s">
        <v>285</v>
      </c>
      <c r="V330" s="14" t="s">
        <v>224</v>
      </c>
      <c r="W330" s="14" t="s">
        <v>207</v>
      </c>
      <c r="X330" s="14" t="s">
        <v>207</v>
      </c>
      <c r="Y330" s="14">
        <v>3</v>
      </c>
      <c r="Z330" s="14">
        <v>3</v>
      </c>
      <c r="AA330" s="14" t="s">
        <v>189</v>
      </c>
      <c r="AB330" s="15">
        <f>IFERROR(AVERAGE(Tabel1[[#This Row],[Up - R1a]:[Up - R1c]]),"")</f>
        <v>3</v>
      </c>
      <c r="AC330" s="14" t="s">
        <v>189</v>
      </c>
      <c r="AD330" s="14">
        <v>3</v>
      </c>
      <c r="AE330" s="14" t="s">
        <v>189</v>
      </c>
      <c r="AF330" s="14">
        <v>4</v>
      </c>
      <c r="AG330" s="14">
        <f>IFERROR(AVERAGE(Tabel1[[#This Row],[Up - R1]:[Up - R5]]),"")</f>
        <v>3.3333333333333335</v>
      </c>
      <c r="AH330" s="14">
        <v>3</v>
      </c>
      <c r="AI330" s="14">
        <v>1</v>
      </c>
      <c r="AJ330" s="14" t="s">
        <v>189</v>
      </c>
      <c r="AK330" s="14">
        <f>IFERROR(AVERAGE(Tabel1[[#This Row],[Up - C1a]:[Up - C1c]]),"")</f>
        <v>2</v>
      </c>
      <c r="AL330" s="14" t="s">
        <v>189</v>
      </c>
      <c r="AM330" s="14">
        <v>2</v>
      </c>
      <c r="AN330" s="14" t="s">
        <v>189</v>
      </c>
      <c r="AO330" s="14">
        <f>IFERROR(AVERAGE(Tabel1[[#This Row],[Up - C1]:[Up - C4]]),"")</f>
        <v>2</v>
      </c>
      <c r="AP330" s="14">
        <v>3</v>
      </c>
      <c r="AQ330" s="14">
        <f>IFERROR(AVERAGE(Tabel1[[#This Row],[Up - F1a]:[Up - F1a]]),"")</f>
        <v>3</v>
      </c>
      <c r="AR330" s="14">
        <v>1</v>
      </c>
      <c r="AS330" s="14">
        <v>3</v>
      </c>
      <c r="AT330" s="14">
        <f>IFERROR(AVERAGE(Tabel1[[#This Row],[Up - F2a]:[Up - F2b]]),"")</f>
        <v>2</v>
      </c>
      <c r="AU330" s="14">
        <v>4</v>
      </c>
      <c r="AV330" s="14">
        <v>2</v>
      </c>
      <c r="AW330" s="14">
        <f>IFERROR(AVERAGE(Tabel1[[#This Row],[Up - F3a]:[Up - F3b]]),"")</f>
        <v>3</v>
      </c>
      <c r="AX330" s="14">
        <v>3</v>
      </c>
      <c r="AY330" s="14">
        <f>IFERROR(AVERAGE(Tabel1[[#This Row],[Up - F1]],Tabel1[[#This Row],[Up - F2]],Tabel1[[#This Row],[Up - F3]],Tabel1[[#This Row],[Up - F4]]),"")</f>
        <v>2.75</v>
      </c>
      <c r="AZ330" s="14">
        <v>3</v>
      </c>
      <c r="BA330" s="14">
        <v>4</v>
      </c>
      <c r="BB330" s="14">
        <f>IFERROR(AVERAGE(Tabel1[[#This Row],[Up - V1a]:[Up - V1b]]),"")</f>
        <v>3.5</v>
      </c>
      <c r="BC330" s="14">
        <v>3</v>
      </c>
      <c r="BD330" s="14">
        <v>4</v>
      </c>
      <c r="BE330" s="14" t="s">
        <v>189</v>
      </c>
      <c r="BF330" s="14">
        <f>IFERROR(AVERAGE(Tabel1[[#This Row],[Up - V2a]:[Up - V2c]]),"")</f>
        <v>3.5</v>
      </c>
      <c r="BG330" s="14">
        <v>2</v>
      </c>
      <c r="BH330" s="14">
        <v>2</v>
      </c>
      <c r="BI330" s="14">
        <f>IFERROR(AVERAGE(Tabel1[[#This Row],[Up - V3a]:[Up - V3b]]),"")</f>
        <v>2</v>
      </c>
      <c r="BJ330" s="14">
        <v>4</v>
      </c>
      <c r="BK330" s="14">
        <f>IFERROR(AVERAGE(Tabel1[[#This Row],[Up - V1]],Tabel1[[#This Row],[Up - V2]],Tabel1[[#This Row],[Up - V3]],Tabel1[[#This Row],[Up - V4]]),"")</f>
        <v>3.25</v>
      </c>
      <c r="BL330" s="14">
        <v>3</v>
      </c>
      <c r="BM330" s="14" t="s">
        <v>189</v>
      </c>
      <c r="BN330" s="14">
        <v>4</v>
      </c>
      <c r="BO330" s="14" t="s">
        <v>189</v>
      </c>
      <c r="BP330" s="14">
        <f>IFERROR(AVERAGE(Tabel1[[#This Row],[Up - A1a]:[Up - A1d]]),"")</f>
        <v>3.5</v>
      </c>
      <c r="BQ330" s="14" t="s">
        <v>189</v>
      </c>
      <c r="BR330" s="14">
        <v>4</v>
      </c>
      <c r="BS330" s="14">
        <f>IFERROR(AVERAGE(Tabel1[[#This Row],[Up - A2a]:[Up - A2b]]),"")</f>
        <v>4</v>
      </c>
      <c r="BT330" s="14" t="s">
        <v>189</v>
      </c>
      <c r="BU330" s="14" t="str">
        <f>IFERROR(AVERAGE(Tabel1[[#This Row],[Up - A3a]:[Up - A3a]]),"")</f>
        <v/>
      </c>
      <c r="BV330" s="14" t="s">
        <v>189</v>
      </c>
      <c r="BW330" s="14">
        <f>IFERROR(AVERAGE(Tabel1[[#This Row],[Up - A1]],Tabel1[[#This Row],[Up - A2]],Tabel1[[#This Row],[Up - A3]]),"")</f>
        <v>3.75</v>
      </c>
      <c r="BX330" s="14">
        <v>2</v>
      </c>
      <c r="BY330" s="14">
        <v>2</v>
      </c>
      <c r="BZ330" s="14">
        <f>IFERROR(AVERAGE(Tabel1[[#This Row],[In - R1a]:[In - R1b]]),"")</f>
        <v>2</v>
      </c>
      <c r="CA330" s="14">
        <v>3</v>
      </c>
      <c r="CB330" s="14">
        <v>3</v>
      </c>
      <c r="CC330" s="14" t="s">
        <v>189</v>
      </c>
      <c r="CD330" s="14">
        <v>5</v>
      </c>
      <c r="CE330" s="14">
        <f>IFERROR(AVERAGE(Tabel1[[#This Row],[In - R1]:[In - R5]]),"")</f>
        <v>3.25</v>
      </c>
      <c r="CF330" s="14">
        <v>4</v>
      </c>
      <c r="CG330" s="14">
        <v>2</v>
      </c>
      <c r="CH330" s="14">
        <v>3</v>
      </c>
      <c r="CI330" s="14">
        <f>IFERROR(AVERAGE(Tabel1[[#This Row],[In - C1a]:[In - C1c]]),"")</f>
        <v>3</v>
      </c>
      <c r="CJ330" s="14">
        <v>3</v>
      </c>
      <c r="CK330" s="14">
        <v>2</v>
      </c>
      <c r="CL330" s="14" t="s">
        <v>189</v>
      </c>
      <c r="CM330" s="14">
        <f>IFERROR(AVERAGE(Tabel1[[#This Row],[In - C1]:[In - C4]]),"")</f>
        <v>2.6666666666666665</v>
      </c>
      <c r="CN330" s="14">
        <v>4</v>
      </c>
      <c r="CO330" s="14">
        <v>3</v>
      </c>
      <c r="CP330" s="14">
        <v>1</v>
      </c>
      <c r="CQ330" s="14">
        <f>IFERROR(AVERAGE(Tabel1[[#This Row],[In - F1a]:[In - F1c]]),"")</f>
        <v>2.6666666666666665</v>
      </c>
      <c r="CR330" s="14">
        <v>3</v>
      </c>
      <c r="CS330" s="14">
        <v>1</v>
      </c>
      <c r="CT330" s="14">
        <f>IFERROR(AVERAGE(Tabel1[[#This Row],[In - F2a]:[In - F2b]]),"")</f>
        <v>2</v>
      </c>
      <c r="CU330" s="14">
        <v>2</v>
      </c>
      <c r="CV330" s="14">
        <f>IFERROR(AVERAGE(Tabel1[[#This Row],[In - F3a]:[In - F3a]]),"")</f>
        <v>2</v>
      </c>
      <c r="CW330" s="14">
        <v>4</v>
      </c>
      <c r="CX330" s="14">
        <f>IFERROR(AVERAGE(Tabel1[[#This Row],[In - F1]],Tabel1[[#This Row],[In - F2]],Tabel1[[#This Row],[In - F3]],Tabel1[[#This Row],[In - F4]]),"")</f>
        <v>2.6666666666666665</v>
      </c>
      <c r="CY330" s="14">
        <v>3</v>
      </c>
      <c r="CZ330" s="14">
        <v>2</v>
      </c>
      <c r="DA330" s="14">
        <v>3</v>
      </c>
      <c r="DB330" s="14">
        <f>IFERROR(AVERAGE(Tabel1[[#This Row],[In - V1a]:[In - V1c]]),"")</f>
        <v>2.6666666666666665</v>
      </c>
      <c r="DC330" s="14" t="s">
        <v>189</v>
      </c>
      <c r="DD330" s="14">
        <v>3</v>
      </c>
      <c r="DE330" s="14">
        <v>3</v>
      </c>
      <c r="DF330" s="14">
        <f>IFERROR(AVERAGE(Tabel1[[#This Row],[In - V2a]:[In - V2c]]),"")</f>
        <v>3</v>
      </c>
      <c r="DG330" s="14">
        <v>2</v>
      </c>
      <c r="DH330" s="14">
        <v>4</v>
      </c>
      <c r="DI330" s="14">
        <f>IFERROR(AVERAGE(Tabel1[[#This Row],[In - V3a]:[In - V3b]]),"")</f>
        <v>3</v>
      </c>
      <c r="DJ330" s="14">
        <v>3</v>
      </c>
      <c r="DK330" s="14">
        <f>IFERROR(AVERAGE(Tabel1[[#This Row],[In - V1]],Tabel1[[#This Row],[In - V2]],Tabel1[[#This Row],[In - V3]],Tabel1[[#This Row],[In - V4]]),"")</f>
        <v>2.9166666666666665</v>
      </c>
      <c r="DL330" s="14">
        <v>3</v>
      </c>
      <c r="DM330" s="14">
        <v>3</v>
      </c>
      <c r="DN330" s="14">
        <f>IFERROR(AVERAGE(Tabel1[[#This Row],[In - A1a]:[In - A1b]]),"")</f>
        <v>3</v>
      </c>
      <c r="DO330" s="14" t="s">
        <v>189</v>
      </c>
      <c r="DP330" s="14">
        <v>3</v>
      </c>
      <c r="DQ330" s="14">
        <f>IFERROR(AVERAGE(Tabel1[[#This Row],[In - A2a]:[In - A2b]]),"")</f>
        <v>3</v>
      </c>
      <c r="DR330" s="14">
        <v>3</v>
      </c>
      <c r="DS330" s="14">
        <v>2</v>
      </c>
      <c r="DT330" s="14">
        <f>IFERROR(AVERAGE(Tabel1[[#This Row],[In - A3a]:[In - A3a]]),"")</f>
        <v>3</v>
      </c>
      <c r="DU330" s="14">
        <v>3</v>
      </c>
      <c r="DV330" s="14">
        <f>IFERROR(AVERAGE(Tabel1[[#This Row],[In - A1]],Tabel1[[#This Row],[In - A2]],Tabel1[[#This Row],[In - A3]],Tabel1[[#This Row],[In - A4]]),"")</f>
        <v>3</v>
      </c>
      <c r="DW330" s="14">
        <v>2</v>
      </c>
      <c r="DX330" s="14">
        <v>4</v>
      </c>
      <c r="DY330" s="14">
        <v>2</v>
      </c>
      <c r="DZ330" s="14">
        <f>IFERROR(AVERAGE(Tabel1[[#This Row],[Do - R1a]:[Do - R1c]]),"")</f>
        <v>2.6666666666666665</v>
      </c>
      <c r="EA330" s="14" t="s">
        <v>189</v>
      </c>
      <c r="EB330" s="14">
        <v>4</v>
      </c>
      <c r="EC330" s="14" t="s">
        <v>189</v>
      </c>
      <c r="ED330" s="14">
        <v>4</v>
      </c>
      <c r="EE330" s="14">
        <f>IFERROR(AVERAGE(Tabel1[[#This Row],[Do - R1]:[Do - R5]]),"")</f>
        <v>3.5555555555555554</v>
      </c>
      <c r="EF330" s="14">
        <v>3</v>
      </c>
      <c r="EG330" s="14">
        <v>2</v>
      </c>
      <c r="EH330" s="14" t="s">
        <v>189</v>
      </c>
      <c r="EI330" s="14">
        <f>IFERROR(AVERAGE(Tabel1[[#This Row],[Do - C1a]:[Do - C1c]]),"")</f>
        <v>2.5</v>
      </c>
      <c r="EJ330" s="14" t="s">
        <v>189</v>
      </c>
      <c r="EK330" s="14" t="s">
        <v>189</v>
      </c>
      <c r="EL330" s="14" t="s">
        <v>189</v>
      </c>
      <c r="EM330" s="14">
        <f>IFERROR(AVERAGE(Tabel1[[#This Row],[Do - C1]:[Do - C4]]),"")</f>
        <v>2.5</v>
      </c>
      <c r="EN330" s="14" t="s">
        <v>189</v>
      </c>
      <c r="EO330" s="14" t="s">
        <v>189</v>
      </c>
      <c r="EP330" s="14">
        <v>3</v>
      </c>
      <c r="EQ330" s="14">
        <f>IFERROR(AVERAGE(Tabel1[[#This Row],[Do - F1a]:[Do - F1c]]),"")</f>
        <v>3</v>
      </c>
      <c r="ER330" s="14" t="s">
        <v>189</v>
      </c>
      <c r="ES330" s="14" t="str">
        <f>IFERROR(AVERAGE(Tabel1[[#This Row],[Do - F2a]:[Do - F2a]]),"")</f>
        <v/>
      </c>
      <c r="ET330" s="14">
        <v>3</v>
      </c>
      <c r="EU330" s="14" t="s">
        <v>189</v>
      </c>
      <c r="EV330" s="14">
        <f>IFERROR(AVERAGE(Tabel1[[#This Row],[Do - F3a]:[Do - F3b]]),"")</f>
        <v>3</v>
      </c>
      <c r="EW330" s="14" t="s">
        <v>189</v>
      </c>
      <c r="EX330" s="14">
        <f>IFERROR(AVERAGE(Tabel1[[#This Row],[Do - F1]],Tabel1[[#This Row],[Do - F2]],Tabel1[[#This Row],[Do - F3]],Tabel1[[#This Row],[Do - F4]]),"")</f>
        <v>3</v>
      </c>
      <c r="EY330" s="14" t="s">
        <v>189</v>
      </c>
      <c r="EZ330" s="14" t="s">
        <v>189</v>
      </c>
      <c r="FA330" s="14">
        <v>3</v>
      </c>
      <c r="FB330" s="14">
        <f>IFERROR(AVERAGE(Tabel1[[#This Row],[Do - V1a]:[Do - V1c]]),"")</f>
        <v>3</v>
      </c>
      <c r="FC330" s="14">
        <v>3</v>
      </c>
      <c r="FD330" s="14">
        <v>3</v>
      </c>
      <c r="FE330" s="14">
        <f>IFERROR(AVERAGE(Tabel1[[#This Row],[Do - V2a]:[Do - V2b]]),"")</f>
        <v>3</v>
      </c>
      <c r="FF330" s="14">
        <v>2</v>
      </c>
      <c r="FG330" s="14">
        <f>IFERROR(AVERAGE(Tabel1[[#This Row],[Do - V3a]:[Do - V3a]]),"")</f>
        <v>2</v>
      </c>
      <c r="FH330" s="14">
        <v>4</v>
      </c>
      <c r="FI330" s="14">
        <f>IFERROR(AVERAGE(Tabel1[[#This Row],[Do - V1]],Tabel1[[#This Row],[Do - V2]],Tabel1[[#This Row],[Do - V3]],Tabel1[[#This Row],[Do - V4]]),"")</f>
        <v>3</v>
      </c>
      <c r="FJ330" s="14">
        <v>4</v>
      </c>
      <c r="FK330" s="14">
        <v>2</v>
      </c>
      <c r="FL330" s="14">
        <v>3</v>
      </c>
      <c r="FM330" s="14">
        <f>IFERROR(AVERAGE(Tabel1[[#This Row],[Do - A1a]:[Do - A1c]]),"")</f>
        <v>3</v>
      </c>
      <c r="FN330" s="14">
        <v>3</v>
      </c>
      <c r="FO330" s="14">
        <v>3</v>
      </c>
      <c r="FP330" s="14">
        <f>IFERROR(AVERAGE(Tabel1[[#This Row],[Do - A2a]:[Do - A2b]]),"")</f>
        <v>3</v>
      </c>
      <c r="FQ330" s="14">
        <v>3</v>
      </c>
      <c r="FR330" s="14">
        <f>IFERROR(AVERAGE(Tabel1[[#This Row],[Do - A3a]:[Do - A3a]]),"")</f>
        <v>3</v>
      </c>
      <c r="FS330" s="14" t="s">
        <v>189</v>
      </c>
      <c r="FT330" s="14">
        <f>IFERROR(AVERAGE(Tabel1[[#This Row],[Do - A1]],Tabel1[[#This Row],[Do - A2]],Tabel1[[#This Row],[Do - A3]],Tabel1[[#This Row],[Do - A4]]),"")</f>
        <v>3</v>
      </c>
      <c r="FU33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2.9759259259259263</v>
      </c>
      <c r="FV330" s="27" t="s">
        <v>1711</v>
      </c>
      <c r="FW330" t="b">
        <v>1</v>
      </c>
    </row>
    <row r="331" spans="1:179" x14ac:dyDescent="0.3">
      <c r="A331" s="13">
        <v>45433.464791666702</v>
      </c>
      <c r="B331" t="b">
        <v>0</v>
      </c>
      <c r="C331" s="14" t="s">
        <v>1712</v>
      </c>
      <c r="D331" s="14" t="s">
        <v>1713</v>
      </c>
      <c r="E331" s="14" t="s">
        <v>1714</v>
      </c>
      <c r="F331" s="14" t="s">
        <v>184</v>
      </c>
      <c r="G331" s="14" t="s">
        <v>1715</v>
      </c>
      <c r="H331" s="14" t="s">
        <v>222</v>
      </c>
      <c r="I331" s="14" t="s">
        <v>542</v>
      </c>
      <c r="J331" s="14" t="s">
        <v>543</v>
      </c>
      <c r="K331" s="28" t="s">
        <v>203</v>
      </c>
      <c r="L331" s="14" t="s">
        <v>197</v>
      </c>
      <c r="M331" s="14" t="s">
        <v>188</v>
      </c>
      <c r="N331" s="14" t="s">
        <v>199</v>
      </c>
      <c r="O331" s="14" t="s">
        <v>200</v>
      </c>
      <c r="P331" s="24" t="s">
        <v>255</v>
      </c>
      <c r="Q331" s="17" t="s">
        <v>235</v>
      </c>
      <c r="R331" s="25" t="s">
        <v>201</v>
      </c>
      <c r="S331" s="25" t="s">
        <v>201</v>
      </c>
      <c r="T331" s="14" t="s">
        <v>204</v>
      </c>
      <c r="U331" s="14" t="s">
        <v>285</v>
      </c>
      <c r="V331" s="14" t="s">
        <v>359</v>
      </c>
      <c r="W331" s="14" t="s">
        <v>207</v>
      </c>
      <c r="X331" s="14" t="s">
        <v>306</v>
      </c>
      <c r="Y331" s="14">
        <v>2</v>
      </c>
      <c r="Z331" s="14">
        <v>2</v>
      </c>
      <c r="AA331" s="14">
        <v>2</v>
      </c>
      <c r="AB331" s="15">
        <f>IFERROR(AVERAGE(Tabel1[[#This Row],[Up - R1a]:[Up - R1c]]),"")</f>
        <v>2</v>
      </c>
      <c r="AC331" s="14">
        <v>2</v>
      </c>
      <c r="AD331" s="14">
        <v>4</v>
      </c>
      <c r="AE331" s="14">
        <v>1</v>
      </c>
      <c r="AF331" s="14" t="s">
        <v>189</v>
      </c>
      <c r="AG331" s="14">
        <f>IFERROR(AVERAGE(Tabel1[[#This Row],[Up - R1]:[Up - R5]]),"")</f>
        <v>2.25</v>
      </c>
      <c r="AH331" s="14">
        <v>4</v>
      </c>
      <c r="AI331" s="14">
        <v>4</v>
      </c>
      <c r="AJ331" s="14">
        <v>1</v>
      </c>
      <c r="AK331" s="14">
        <f>IFERROR(AVERAGE(Tabel1[[#This Row],[Up - C1a]:[Up - C1c]]),"")</f>
        <v>3</v>
      </c>
      <c r="AL331" s="14">
        <v>3</v>
      </c>
      <c r="AM331" s="14">
        <v>2</v>
      </c>
      <c r="AN331" s="14" t="s">
        <v>189</v>
      </c>
      <c r="AO331" s="14">
        <f>IFERROR(AVERAGE(Tabel1[[#This Row],[Up - C1]:[Up - C4]]),"")</f>
        <v>2.6666666666666665</v>
      </c>
      <c r="AP331" s="14">
        <v>3</v>
      </c>
      <c r="AQ331" s="14">
        <f>IFERROR(AVERAGE(Tabel1[[#This Row],[Up - F1a]:[Up - F1a]]),"")</f>
        <v>3</v>
      </c>
      <c r="AR331" s="14">
        <v>1</v>
      </c>
      <c r="AS331" s="14">
        <v>1</v>
      </c>
      <c r="AT331" s="14">
        <f>IFERROR(AVERAGE(Tabel1[[#This Row],[Up - F2a]:[Up - F2b]]),"")</f>
        <v>1</v>
      </c>
      <c r="AU331" s="14">
        <v>2</v>
      </c>
      <c r="AV331" s="14">
        <v>3</v>
      </c>
      <c r="AW331" s="14">
        <f>IFERROR(AVERAGE(Tabel1[[#This Row],[Up - F3a]:[Up - F3b]]),"")</f>
        <v>2.5</v>
      </c>
      <c r="AX331" s="14">
        <v>3</v>
      </c>
      <c r="AY331" s="14">
        <f>IFERROR(AVERAGE(Tabel1[[#This Row],[Up - F1]],Tabel1[[#This Row],[Up - F2]],Tabel1[[#This Row],[Up - F3]],Tabel1[[#This Row],[Up - F4]]),"")</f>
        <v>2.375</v>
      </c>
      <c r="AZ331" s="14">
        <v>2</v>
      </c>
      <c r="BA331" s="14">
        <v>2</v>
      </c>
      <c r="BB331" s="14">
        <f>IFERROR(AVERAGE(Tabel1[[#This Row],[Up - V1a]:[Up - V1b]]),"")</f>
        <v>2</v>
      </c>
      <c r="BC331" s="14">
        <v>5</v>
      </c>
      <c r="BD331" s="14">
        <v>3</v>
      </c>
      <c r="BE331" s="14">
        <v>2</v>
      </c>
      <c r="BF331" s="14">
        <f>IFERROR(AVERAGE(Tabel1[[#This Row],[Up - V2a]:[Up - V2c]]),"")</f>
        <v>3.3333333333333335</v>
      </c>
      <c r="BG331" s="14" t="s">
        <v>189</v>
      </c>
      <c r="BH331" s="14" t="s">
        <v>189</v>
      </c>
      <c r="BI331" s="14" t="str">
        <f>IFERROR(AVERAGE(Tabel1[[#This Row],[Up - V3a]:[Up - V3b]]),"")</f>
        <v/>
      </c>
      <c r="BJ331" s="14" t="s">
        <v>189</v>
      </c>
      <c r="BK331" s="14">
        <f>IFERROR(AVERAGE(Tabel1[[#This Row],[Up - V1]],Tabel1[[#This Row],[Up - V2]],Tabel1[[#This Row],[Up - V3]],Tabel1[[#This Row],[Up - V4]]),"")</f>
        <v>2.666666666666667</v>
      </c>
      <c r="BL331" s="14">
        <v>2</v>
      </c>
      <c r="BM331" s="14">
        <v>4</v>
      </c>
      <c r="BN331" s="14">
        <v>2</v>
      </c>
      <c r="BO331" s="14">
        <v>2</v>
      </c>
      <c r="BP331" s="14">
        <f>IFERROR(AVERAGE(Tabel1[[#This Row],[Up - A1a]:[Up - A1d]]),"")</f>
        <v>2.5</v>
      </c>
      <c r="BQ331" s="14">
        <v>3</v>
      </c>
      <c r="BR331" s="14">
        <v>3</v>
      </c>
      <c r="BS331" s="14">
        <f>IFERROR(AVERAGE(Tabel1[[#This Row],[Up - A2a]:[Up - A2b]]),"")</f>
        <v>3</v>
      </c>
      <c r="BT331" s="14">
        <v>3</v>
      </c>
      <c r="BU331" s="14">
        <f>IFERROR(AVERAGE(Tabel1[[#This Row],[Up - A3a]:[Up - A3a]]),"")</f>
        <v>3</v>
      </c>
      <c r="BV331" s="14" t="s">
        <v>189</v>
      </c>
      <c r="BW331" s="14">
        <f>IFERROR(AVERAGE(Tabel1[[#This Row],[Up - A1]],Tabel1[[#This Row],[Up - A2]],Tabel1[[#This Row],[Up - A3]]),"")</f>
        <v>2.8333333333333335</v>
      </c>
      <c r="BX331" s="14">
        <v>2</v>
      </c>
      <c r="BY331" s="14">
        <v>3</v>
      </c>
      <c r="BZ331" s="14">
        <f>IFERROR(AVERAGE(Tabel1[[#This Row],[In - R1a]:[In - R1b]]),"")</f>
        <v>2.5</v>
      </c>
      <c r="CA331" s="14">
        <v>2</v>
      </c>
      <c r="CB331" s="14">
        <v>3</v>
      </c>
      <c r="CC331" s="14">
        <v>1</v>
      </c>
      <c r="CD331" s="14" t="s">
        <v>189</v>
      </c>
      <c r="CE331" s="14">
        <f>IFERROR(AVERAGE(Tabel1[[#This Row],[In - R1]:[In - R5]]),"")</f>
        <v>2.125</v>
      </c>
      <c r="CF331" s="14">
        <v>2</v>
      </c>
      <c r="CG331" s="14">
        <v>4</v>
      </c>
      <c r="CH331" s="14">
        <v>2</v>
      </c>
      <c r="CI331" s="14">
        <f>IFERROR(AVERAGE(Tabel1[[#This Row],[In - C1a]:[In - C1c]]),"")</f>
        <v>2.6666666666666665</v>
      </c>
      <c r="CJ331" s="14">
        <v>4</v>
      </c>
      <c r="CK331" s="14">
        <v>2</v>
      </c>
      <c r="CL331" s="14">
        <v>4</v>
      </c>
      <c r="CM331" s="14">
        <f>IFERROR(AVERAGE(Tabel1[[#This Row],[In - C1]:[In - C4]]),"")</f>
        <v>3.1666666666666665</v>
      </c>
      <c r="CN331" s="14">
        <v>4</v>
      </c>
      <c r="CO331" s="14">
        <v>1</v>
      </c>
      <c r="CP331" s="14">
        <v>2</v>
      </c>
      <c r="CQ331" s="14">
        <f>IFERROR(AVERAGE(Tabel1[[#This Row],[In - F1a]:[In - F1c]]),"")</f>
        <v>2.3333333333333335</v>
      </c>
      <c r="CR331" s="14">
        <v>4</v>
      </c>
      <c r="CS331" s="14">
        <v>1</v>
      </c>
      <c r="CT331" s="14">
        <f>IFERROR(AVERAGE(Tabel1[[#This Row],[In - F2a]:[In - F2b]]),"")</f>
        <v>2.5</v>
      </c>
      <c r="CU331" s="14">
        <v>1</v>
      </c>
      <c r="CV331" s="14">
        <f>IFERROR(AVERAGE(Tabel1[[#This Row],[In - F3a]:[In - F3a]]),"")</f>
        <v>1</v>
      </c>
      <c r="CW331" s="14" t="s">
        <v>189</v>
      </c>
      <c r="CX331" s="14">
        <f>IFERROR(AVERAGE(Tabel1[[#This Row],[In - F1]],Tabel1[[#This Row],[In - F2]],Tabel1[[#This Row],[In - F3]],Tabel1[[#This Row],[In - F4]]),"")</f>
        <v>1.9444444444444446</v>
      </c>
      <c r="CY331" s="14">
        <v>1</v>
      </c>
      <c r="CZ331" s="14">
        <v>3</v>
      </c>
      <c r="DA331" s="14">
        <v>2</v>
      </c>
      <c r="DB331" s="14">
        <f>IFERROR(AVERAGE(Tabel1[[#This Row],[In - V1a]:[In - V1c]]),"")</f>
        <v>2</v>
      </c>
      <c r="DC331" s="14" t="s">
        <v>189</v>
      </c>
      <c r="DD331" s="14">
        <v>2</v>
      </c>
      <c r="DE331" s="14">
        <v>2</v>
      </c>
      <c r="DF331" s="14">
        <f>IFERROR(AVERAGE(Tabel1[[#This Row],[In - V2a]:[In - V2c]]),"")</f>
        <v>2</v>
      </c>
      <c r="DG331" s="14" t="s">
        <v>189</v>
      </c>
      <c r="DH331" s="14">
        <v>2</v>
      </c>
      <c r="DI331" s="14">
        <f>IFERROR(AVERAGE(Tabel1[[#This Row],[In - V3a]:[In - V3b]]),"")</f>
        <v>2</v>
      </c>
      <c r="DJ331" s="14">
        <v>3</v>
      </c>
      <c r="DK331" s="14">
        <f>IFERROR(AVERAGE(Tabel1[[#This Row],[In - V1]],Tabel1[[#This Row],[In - V2]],Tabel1[[#This Row],[In - V3]],Tabel1[[#This Row],[In - V4]]),"")</f>
        <v>2.25</v>
      </c>
      <c r="DL331" s="14">
        <v>2</v>
      </c>
      <c r="DM331" s="14">
        <v>2</v>
      </c>
      <c r="DN331" s="14">
        <f>IFERROR(AVERAGE(Tabel1[[#This Row],[In - A1a]:[In - A1b]]),"")</f>
        <v>2</v>
      </c>
      <c r="DO331" s="14">
        <v>1</v>
      </c>
      <c r="DP331" s="14">
        <v>2</v>
      </c>
      <c r="DQ331" s="14">
        <f>IFERROR(AVERAGE(Tabel1[[#This Row],[In - A2a]:[In - A2b]]),"")</f>
        <v>1.5</v>
      </c>
      <c r="DR331" s="14">
        <v>3</v>
      </c>
      <c r="DS331" s="14">
        <v>3</v>
      </c>
      <c r="DT331" s="14">
        <f>IFERROR(AVERAGE(Tabel1[[#This Row],[In - A3a]:[In - A3a]]),"")</f>
        <v>3</v>
      </c>
      <c r="DU331" s="14" t="s">
        <v>189</v>
      </c>
      <c r="DV331" s="14">
        <f>IFERROR(AVERAGE(Tabel1[[#This Row],[In - A1]],Tabel1[[#This Row],[In - A2]],Tabel1[[#This Row],[In - A3]],Tabel1[[#This Row],[In - A4]]),"")</f>
        <v>2.1666666666666665</v>
      </c>
      <c r="DW331" s="14">
        <v>1</v>
      </c>
      <c r="DX331" s="14">
        <v>4</v>
      </c>
      <c r="DY331" s="14">
        <v>2</v>
      </c>
      <c r="DZ331" s="14">
        <f>IFERROR(AVERAGE(Tabel1[[#This Row],[Do - R1a]:[Do - R1c]]),"")</f>
        <v>2.3333333333333335</v>
      </c>
      <c r="EA331" s="14">
        <v>2</v>
      </c>
      <c r="EB331" s="14">
        <v>3</v>
      </c>
      <c r="EC331" s="14">
        <v>2</v>
      </c>
      <c r="ED331" s="14" t="s">
        <v>189</v>
      </c>
      <c r="EE331" s="14">
        <f>IFERROR(AVERAGE(Tabel1[[#This Row],[Do - R1]:[Do - R5]]),"")</f>
        <v>2.3333333333333335</v>
      </c>
      <c r="EF331" s="14">
        <v>4</v>
      </c>
      <c r="EG331" s="14">
        <v>3</v>
      </c>
      <c r="EH331" s="14">
        <v>2</v>
      </c>
      <c r="EI331" s="14">
        <f>IFERROR(AVERAGE(Tabel1[[#This Row],[Do - C1a]:[Do - C1c]]),"")</f>
        <v>3</v>
      </c>
      <c r="EJ331" s="14">
        <v>4</v>
      </c>
      <c r="EK331" s="14">
        <v>2</v>
      </c>
      <c r="EL331" s="14" t="s">
        <v>189</v>
      </c>
      <c r="EM331" s="14">
        <f>IFERROR(AVERAGE(Tabel1[[#This Row],[Do - C1]:[Do - C4]]),"")</f>
        <v>3</v>
      </c>
      <c r="EN331" s="14">
        <v>3</v>
      </c>
      <c r="EO331" s="14">
        <v>3</v>
      </c>
      <c r="EP331" s="14">
        <v>3</v>
      </c>
      <c r="EQ331" s="14">
        <f>IFERROR(AVERAGE(Tabel1[[#This Row],[Do - F1a]:[Do - F1c]]),"")</f>
        <v>3</v>
      </c>
      <c r="ER331" s="14">
        <v>4</v>
      </c>
      <c r="ES331" s="14">
        <f>IFERROR(AVERAGE(Tabel1[[#This Row],[Do - F2a]:[Do - F2a]]),"")</f>
        <v>4</v>
      </c>
      <c r="ET331" s="14">
        <v>2</v>
      </c>
      <c r="EU331" s="14">
        <v>3</v>
      </c>
      <c r="EV331" s="14">
        <f>IFERROR(AVERAGE(Tabel1[[#This Row],[Do - F3a]:[Do - F3b]]),"")</f>
        <v>2.5</v>
      </c>
      <c r="EW331" s="14" t="s">
        <v>189</v>
      </c>
      <c r="EX331" s="14">
        <f>IFERROR(AVERAGE(Tabel1[[#This Row],[Do - F1]],Tabel1[[#This Row],[Do - F2]],Tabel1[[#This Row],[Do - F3]],Tabel1[[#This Row],[Do - F4]]),"")</f>
        <v>3.1666666666666665</v>
      </c>
      <c r="EY331" s="14">
        <v>1</v>
      </c>
      <c r="EZ331" s="14">
        <v>2</v>
      </c>
      <c r="FA331" s="14">
        <v>5</v>
      </c>
      <c r="FB331" s="14">
        <f>IFERROR(AVERAGE(Tabel1[[#This Row],[Do - V1a]:[Do - V1c]]),"")</f>
        <v>2.6666666666666665</v>
      </c>
      <c r="FC331" s="14">
        <v>5</v>
      </c>
      <c r="FD331" s="14">
        <v>3</v>
      </c>
      <c r="FE331" s="14">
        <f>IFERROR(AVERAGE(Tabel1[[#This Row],[Do - V2a]:[Do - V2b]]),"")</f>
        <v>4</v>
      </c>
      <c r="FF331" s="14" t="s">
        <v>189</v>
      </c>
      <c r="FG331" s="14" t="str">
        <f>IFERROR(AVERAGE(Tabel1[[#This Row],[Do - V3a]:[Do - V3a]]),"")</f>
        <v/>
      </c>
      <c r="FH331" s="14" t="s">
        <v>189</v>
      </c>
      <c r="FI331" s="14">
        <f>IFERROR(AVERAGE(Tabel1[[#This Row],[Do - V1]],Tabel1[[#This Row],[Do - V2]],Tabel1[[#This Row],[Do - V3]],Tabel1[[#This Row],[Do - V4]]),"")</f>
        <v>3.333333333333333</v>
      </c>
      <c r="FJ331" s="14">
        <v>3</v>
      </c>
      <c r="FK331" s="14">
        <v>2</v>
      </c>
      <c r="FL331" s="14">
        <v>3</v>
      </c>
      <c r="FM331" s="14">
        <f>IFERROR(AVERAGE(Tabel1[[#This Row],[Do - A1a]:[Do - A1c]]),"")</f>
        <v>2.6666666666666665</v>
      </c>
      <c r="FN331" s="14">
        <v>3</v>
      </c>
      <c r="FO331" s="14">
        <v>3</v>
      </c>
      <c r="FP331" s="14">
        <f>IFERROR(AVERAGE(Tabel1[[#This Row],[Do - A2a]:[Do - A2b]]),"")</f>
        <v>3</v>
      </c>
      <c r="FQ331" s="14">
        <v>4</v>
      </c>
      <c r="FR331" s="14">
        <f>IFERROR(AVERAGE(Tabel1[[#This Row],[Do - A3a]:[Do - A3a]]),"")</f>
        <v>4</v>
      </c>
      <c r="FS331" s="14" t="s">
        <v>189</v>
      </c>
      <c r="FT331" s="14">
        <f>IFERROR(AVERAGE(Tabel1[[#This Row],[Do - A1]],Tabel1[[#This Row],[Do - A2]],Tabel1[[#This Row],[Do - A3]],Tabel1[[#This Row],[Do - A4]]),"")</f>
        <v>3.2222222222222219</v>
      </c>
      <c r="FU33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2.6333333333333333</v>
      </c>
      <c r="FV331" s="27" t="s">
        <v>1716</v>
      </c>
      <c r="FW331" t="b">
        <v>1</v>
      </c>
    </row>
    <row r="332" spans="1:179" x14ac:dyDescent="0.3">
      <c r="A332" s="13">
        <v>45434.019872685203</v>
      </c>
      <c r="B332" t="b">
        <v>0</v>
      </c>
      <c r="C332" s="14" t="s">
        <v>1717</v>
      </c>
      <c r="D332" s="14" t="s">
        <v>1718</v>
      </c>
      <c r="E332" s="14" t="s">
        <v>1719</v>
      </c>
      <c r="F332" s="14" t="s">
        <v>1133</v>
      </c>
      <c r="G332" s="14" t="s">
        <v>1720</v>
      </c>
      <c r="H332" s="14" t="s">
        <v>194</v>
      </c>
      <c r="I332" s="14" t="s">
        <v>385</v>
      </c>
      <c r="J332" s="14"/>
      <c r="K332" s="28" t="s">
        <v>187</v>
      </c>
      <c r="L332" s="14" t="s">
        <v>249</v>
      </c>
      <c r="M332" s="14" t="s">
        <v>198</v>
      </c>
      <c r="N332" s="14" t="s">
        <v>199</v>
      </c>
      <c r="O332" s="14" t="s">
        <v>256</v>
      </c>
      <c r="P332" s="25"/>
      <c r="Q332" s="17" t="s">
        <v>187</v>
      </c>
      <c r="R332" s="25" t="s">
        <v>187</v>
      </c>
      <c r="S332" s="25" t="s">
        <v>235</v>
      </c>
      <c r="T332" s="14" t="s">
        <v>204</v>
      </c>
      <c r="U332" s="14" t="s">
        <v>205</v>
      </c>
      <c r="V332" s="14" t="s">
        <v>206</v>
      </c>
      <c r="W332" s="14" t="s">
        <v>207</v>
      </c>
      <c r="X332" s="14" t="s">
        <v>207</v>
      </c>
      <c r="Y332" s="14">
        <v>2</v>
      </c>
      <c r="Z332" s="14">
        <v>3</v>
      </c>
      <c r="AA332" s="14">
        <v>4</v>
      </c>
      <c r="AB332" s="15">
        <f>IFERROR(AVERAGE(Tabel1[[#This Row],[Up - R1a]:[Up - R1c]]),"")</f>
        <v>3</v>
      </c>
      <c r="AC332" s="14">
        <v>3</v>
      </c>
      <c r="AD332" s="14">
        <v>4</v>
      </c>
      <c r="AE332" s="14">
        <v>2</v>
      </c>
      <c r="AF332" s="14">
        <v>3</v>
      </c>
      <c r="AG332" s="14">
        <f>IFERROR(AVERAGE(Tabel1[[#This Row],[Up - R1]:[Up - R5]]),"")</f>
        <v>3</v>
      </c>
      <c r="AH332" s="14">
        <v>2</v>
      </c>
      <c r="AI332" s="14">
        <v>4</v>
      </c>
      <c r="AJ332" s="14">
        <v>5</v>
      </c>
      <c r="AK332" s="14">
        <f>IFERROR(AVERAGE(Tabel1[[#This Row],[Up - C1a]:[Up - C1c]]),"")</f>
        <v>3.6666666666666665</v>
      </c>
      <c r="AL332" s="14">
        <v>3</v>
      </c>
      <c r="AM332" s="14">
        <v>1</v>
      </c>
      <c r="AN332" s="14">
        <v>4</v>
      </c>
      <c r="AO332" s="14">
        <f>IFERROR(AVERAGE(Tabel1[[#This Row],[Up - C1]:[Up - C4]]),"")</f>
        <v>2.9166666666666665</v>
      </c>
      <c r="AP332" s="14">
        <v>2</v>
      </c>
      <c r="AQ332" s="14">
        <f>IFERROR(AVERAGE(Tabel1[[#This Row],[Up - F1a]:[Up - F1a]]),"")</f>
        <v>2</v>
      </c>
      <c r="AR332" s="14">
        <v>1</v>
      </c>
      <c r="AS332" s="14">
        <v>4</v>
      </c>
      <c r="AT332" s="14">
        <f>IFERROR(AVERAGE(Tabel1[[#This Row],[Up - F2a]:[Up - F2b]]),"")</f>
        <v>2.5</v>
      </c>
      <c r="AU332" s="14">
        <v>2</v>
      </c>
      <c r="AV332" s="14">
        <v>2</v>
      </c>
      <c r="AW332" s="14">
        <f>IFERROR(AVERAGE(Tabel1[[#This Row],[Up - F3a]:[Up - F3b]]),"")</f>
        <v>2</v>
      </c>
      <c r="AX332" s="14">
        <v>3</v>
      </c>
      <c r="AY332" s="14">
        <f>IFERROR(AVERAGE(Tabel1[[#This Row],[Up - F1]],Tabel1[[#This Row],[Up - F2]],Tabel1[[#This Row],[Up - F3]],Tabel1[[#This Row],[Up - F4]]),"")</f>
        <v>2.375</v>
      </c>
      <c r="AZ332" s="14">
        <v>4</v>
      </c>
      <c r="BA332" s="14">
        <v>2</v>
      </c>
      <c r="BB332" s="14">
        <f>IFERROR(AVERAGE(Tabel1[[#This Row],[Up - V1a]:[Up - V1b]]),"")</f>
        <v>3</v>
      </c>
      <c r="BC332" s="14">
        <v>5</v>
      </c>
      <c r="BD332" s="14">
        <v>2</v>
      </c>
      <c r="BE332" s="14">
        <v>3</v>
      </c>
      <c r="BF332" s="14">
        <f>IFERROR(AVERAGE(Tabel1[[#This Row],[Up - V2a]:[Up - V2c]]),"")</f>
        <v>3.3333333333333335</v>
      </c>
      <c r="BG332" s="14">
        <v>2</v>
      </c>
      <c r="BH332" s="14">
        <v>3</v>
      </c>
      <c r="BI332" s="14">
        <f>IFERROR(AVERAGE(Tabel1[[#This Row],[Up - V3a]:[Up - V3b]]),"")</f>
        <v>2.5</v>
      </c>
      <c r="BJ332" s="14">
        <v>5</v>
      </c>
      <c r="BK332" s="14">
        <f>IFERROR(AVERAGE(Tabel1[[#This Row],[Up - V1]],Tabel1[[#This Row],[Up - V2]],Tabel1[[#This Row],[Up - V3]],Tabel1[[#This Row],[Up - V4]]),"")</f>
        <v>3.4583333333333335</v>
      </c>
      <c r="BL332" s="14">
        <v>2</v>
      </c>
      <c r="BM332" s="14">
        <v>4</v>
      </c>
      <c r="BN332" s="14">
        <v>2</v>
      </c>
      <c r="BO332" s="14">
        <v>2</v>
      </c>
      <c r="BP332" s="14">
        <f>IFERROR(AVERAGE(Tabel1[[#This Row],[Up - A1a]:[Up - A1d]]),"")</f>
        <v>2.5</v>
      </c>
      <c r="BQ332" s="14">
        <v>3</v>
      </c>
      <c r="BR332" s="14">
        <v>4</v>
      </c>
      <c r="BS332" s="14">
        <f>IFERROR(AVERAGE(Tabel1[[#This Row],[Up - A2a]:[Up - A2b]]),"")</f>
        <v>3.5</v>
      </c>
      <c r="BT332" s="14">
        <v>2</v>
      </c>
      <c r="BU332" s="14">
        <f>IFERROR(AVERAGE(Tabel1[[#This Row],[Up - A3a]:[Up - A3a]]),"")</f>
        <v>2</v>
      </c>
      <c r="BV332" s="14">
        <v>2</v>
      </c>
      <c r="BW332" s="14">
        <f>IFERROR(AVERAGE(Tabel1[[#This Row],[Up - A1]],Tabel1[[#This Row],[Up - A2]],Tabel1[[#This Row],[Up - A3]]),"")</f>
        <v>2.6666666666666665</v>
      </c>
      <c r="BX332" s="14">
        <v>3</v>
      </c>
      <c r="BY332" s="14">
        <v>4</v>
      </c>
      <c r="BZ332" s="14">
        <f>IFERROR(AVERAGE(Tabel1[[#This Row],[In - R1a]:[In - R1b]]),"")</f>
        <v>3.5</v>
      </c>
      <c r="CA332" s="14">
        <v>3</v>
      </c>
      <c r="CB332" s="14">
        <v>3</v>
      </c>
      <c r="CC332" s="14">
        <v>3</v>
      </c>
      <c r="CD332" s="14">
        <v>3</v>
      </c>
      <c r="CE332" s="14">
        <f>IFERROR(AVERAGE(Tabel1[[#This Row],[In - R1]:[In - R5]]),"")</f>
        <v>3.1</v>
      </c>
      <c r="CF332" s="14">
        <v>5</v>
      </c>
      <c r="CG332" s="14">
        <v>4</v>
      </c>
      <c r="CH332" s="14">
        <v>4</v>
      </c>
      <c r="CI332" s="14">
        <f>IFERROR(AVERAGE(Tabel1[[#This Row],[In - C1a]:[In - C1c]]),"")</f>
        <v>4.333333333333333</v>
      </c>
      <c r="CJ332" s="14">
        <v>3</v>
      </c>
      <c r="CK332" s="14">
        <v>5</v>
      </c>
      <c r="CL332" s="14">
        <v>5</v>
      </c>
      <c r="CM332" s="14">
        <f>IFERROR(AVERAGE(Tabel1[[#This Row],[In - C1]:[In - C4]]),"")</f>
        <v>4.333333333333333</v>
      </c>
      <c r="CN332" s="14">
        <v>3</v>
      </c>
      <c r="CO332" s="14">
        <v>4</v>
      </c>
      <c r="CP332" s="14">
        <v>2</v>
      </c>
      <c r="CQ332" s="14">
        <f>IFERROR(AVERAGE(Tabel1[[#This Row],[In - F1a]:[In - F1c]]),"")</f>
        <v>3</v>
      </c>
      <c r="CR332" s="14">
        <v>3</v>
      </c>
      <c r="CS332" s="14">
        <v>2</v>
      </c>
      <c r="CT332" s="14">
        <f>IFERROR(AVERAGE(Tabel1[[#This Row],[In - F2a]:[In - F2b]]),"")</f>
        <v>2.5</v>
      </c>
      <c r="CU332" s="14">
        <v>2</v>
      </c>
      <c r="CV332" s="14">
        <f>IFERROR(AVERAGE(Tabel1[[#This Row],[In - F3a]:[In - F3a]]),"")</f>
        <v>2</v>
      </c>
      <c r="CW332" s="14" t="s">
        <v>189</v>
      </c>
      <c r="CX332" s="14">
        <f>IFERROR(AVERAGE(Tabel1[[#This Row],[In - F1]],Tabel1[[#This Row],[In - F2]],Tabel1[[#This Row],[In - F3]],Tabel1[[#This Row],[In - F4]]),"")</f>
        <v>2.5</v>
      </c>
      <c r="CY332" s="14">
        <v>4</v>
      </c>
      <c r="CZ332" s="14">
        <v>3</v>
      </c>
      <c r="DA332" s="14">
        <v>4</v>
      </c>
      <c r="DB332" s="14">
        <f>IFERROR(AVERAGE(Tabel1[[#This Row],[In - V1a]:[In - V1c]]),"")</f>
        <v>3.6666666666666665</v>
      </c>
      <c r="DC332" s="14">
        <v>4</v>
      </c>
      <c r="DD332" s="14">
        <v>3</v>
      </c>
      <c r="DE332" s="14">
        <v>5</v>
      </c>
      <c r="DF332" s="14">
        <f>IFERROR(AVERAGE(Tabel1[[#This Row],[In - V2a]:[In - V2c]]),"")</f>
        <v>4</v>
      </c>
      <c r="DG332" s="14">
        <v>4</v>
      </c>
      <c r="DH332" s="14">
        <v>4</v>
      </c>
      <c r="DI332" s="14">
        <f>IFERROR(AVERAGE(Tabel1[[#This Row],[In - V3a]:[In - V3b]]),"")</f>
        <v>4</v>
      </c>
      <c r="DJ332" s="14">
        <v>4</v>
      </c>
      <c r="DK332" s="14">
        <f>IFERROR(AVERAGE(Tabel1[[#This Row],[In - V1]],Tabel1[[#This Row],[In - V2]],Tabel1[[#This Row],[In - V3]],Tabel1[[#This Row],[In - V4]]),"")</f>
        <v>3.9166666666666665</v>
      </c>
      <c r="DL332" s="14">
        <v>2</v>
      </c>
      <c r="DM332" s="14">
        <v>4</v>
      </c>
      <c r="DN332" s="14">
        <f>IFERROR(AVERAGE(Tabel1[[#This Row],[In - A1a]:[In - A1b]]),"")</f>
        <v>3</v>
      </c>
      <c r="DO332" s="14">
        <v>2</v>
      </c>
      <c r="DP332" s="14">
        <v>3</v>
      </c>
      <c r="DQ332" s="14">
        <f>IFERROR(AVERAGE(Tabel1[[#This Row],[In - A2a]:[In - A2b]]),"")</f>
        <v>2.5</v>
      </c>
      <c r="DR332" s="14">
        <v>4</v>
      </c>
      <c r="DS332" s="14">
        <v>2</v>
      </c>
      <c r="DT332" s="14">
        <f>IFERROR(AVERAGE(Tabel1[[#This Row],[In - A3a]:[In - A3a]]),"")</f>
        <v>4</v>
      </c>
      <c r="DU332" s="14">
        <v>2</v>
      </c>
      <c r="DV332" s="14">
        <f>IFERROR(AVERAGE(Tabel1[[#This Row],[In - A1]],Tabel1[[#This Row],[In - A2]],Tabel1[[#This Row],[In - A3]],Tabel1[[#This Row],[In - A4]]),"")</f>
        <v>2.875</v>
      </c>
      <c r="DW332" s="14">
        <v>3</v>
      </c>
      <c r="DX332" s="14">
        <v>4</v>
      </c>
      <c r="DY332" s="14" t="s">
        <v>189</v>
      </c>
      <c r="DZ332" s="14">
        <f>IFERROR(AVERAGE(Tabel1[[#This Row],[Do - R1a]:[Do - R1c]]),"")</f>
        <v>3.5</v>
      </c>
      <c r="EA332" s="14">
        <v>2</v>
      </c>
      <c r="EB332" s="14">
        <v>4</v>
      </c>
      <c r="EC332" s="14" t="s">
        <v>189</v>
      </c>
      <c r="ED332" s="14" t="s">
        <v>189</v>
      </c>
      <c r="EE332" s="14">
        <f>IFERROR(AVERAGE(Tabel1[[#This Row],[Do - R1]:[Do - R5]]),"")</f>
        <v>3.1666666666666665</v>
      </c>
      <c r="EF332" s="14">
        <v>3</v>
      </c>
      <c r="EG332" s="14">
        <v>4</v>
      </c>
      <c r="EH332" s="14">
        <v>5</v>
      </c>
      <c r="EI332" s="14">
        <f>IFERROR(AVERAGE(Tabel1[[#This Row],[Do - C1a]:[Do - C1c]]),"")</f>
        <v>4</v>
      </c>
      <c r="EJ332" s="14">
        <v>3</v>
      </c>
      <c r="EK332" s="14" t="s">
        <v>189</v>
      </c>
      <c r="EL332" s="14" t="s">
        <v>189</v>
      </c>
      <c r="EM332" s="14">
        <f>IFERROR(AVERAGE(Tabel1[[#This Row],[Do - C1]:[Do - C4]]),"")</f>
        <v>3.5</v>
      </c>
      <c r="EN332" s="14" t="s">
        <v>189</v>
      </c>
      <c r="EO332" s="14" t="s">
        <v>189</v>
      </c>
      <c r="EP332" s="14">
        <v>4</v>
      </c>
      <c r="EQ332" s="14">
        <f>IFERROR(AVERAGE(Tabel1[[#This Row],[Do - F1a]:[Do - F1c]]),"")</f>
        <v>4</v>
      </c>
      <c r="ER332" s="14" t="s">
        <v>189</v>
      </c>
      <c r="ES332" s="14" t="str">
        <f>IFERROR(AVERAGE(Tabel1[[#This Row],[Do - F2a]:[Do - F2a]]),"")</f>
        <v/>
      </c>
      <c r="ET332" s="14">
        <v>4</v>
      </c>
      <c r="EU332" s="14" t="s">
        <v>189</v>
      </c>
      <c r="EV332" s="14">
        <f>IFERROR(AVERAGE(Tabel1[[#This Row],[Do - F3a]:[Do - F3b]]),"")</f>
        <v>4</v>
      </c>
      <c r="EW332" s="14" t="s">
        <v>189</v>
      </c>
      <c r="EX332" s="14">
        <f>IFERROR(AVERAGE(Tabel1[[#This Row],[Do - F1]],Tabel1[[#This Row],[Do - F2]],Tabel1[[#This Row],[Do - F3]],Tabel1[[#This Row],[Do - F4]]),"")</f>
        <v>4</v>
      </c>
      <c r="EY332" s="14">
        <v>3</v>
      </c>
      <c r="EZ332" s="14" t="s">
        <v>189</v>
      </c>
      <c r="FA332" s="14">
        <v>4</v>
      </c>
      <c r="FB332" s="14">
        <f>IFERROR(AVERAGE(Tabel1[[#This Row],[Do - V1a]:[Do - V1c]]),"")</f>
        <v>3.5</v>
      </c>
      <c r="FC332" s="14" t="s">
        <v>189</v>
      </c>
      <c r="FD332" s="14" t="s">
        <v>189</v>
      </c>
      <c r="FE332" s="14" t="str">
        <f>IFERROR(AVERAGE(Tabel1[[#This Row],[Do - V2a]:[Do - V2b]]),"")</f>
        <v/>
      </c>
      <c r="FF332" s="14" t="s">
        <v>189</v>
      </c>
      <c r="FG332" s="14" t="str">
        <f>IFERROR(AVERAGE(Tabel1[[#This Row],[Do - V3a]:[Do - V3a]]),"")</f>
        <v/>
      </c>
      <c r="FH332" s="14">
        <v>4</v>
      </c>
      <c r="FI332" s="14">
        <f>IFERROR(AVERAGE(Tabel1[[#This Row],[Do - V1]],Tabel1[[#This Row],[Do - V2]],Tabel1[[#This Row],[Do - V3]],Tabel1[[#This Row],[Do - V4]]),"")</f>
        <v>3.75</v>
      </c>
      <c r="FJ332" s="14">
        <v>4</v>
      </c>
      <c r="FK332" s="14">
        <v>2</v>
      </c>
      <c r="FL332" s="14" t="s">
        <v>189</v>
      </c>
      <c r="FM332" s="14">
        <f>IFERROR(AVERAGE(Tabel1[[#This Row],[Do - A1a]:[Do - A1c]]),"")</f>
        <v>3</v>
      </c>
      <c r="FN332" s="14">
        <v>3</v>
      </c>
      <c r="FO332" s="14">
        <v>4</v>
      </c>
      <c r="FP332" s="14">
        <f>IFERROR(AVERAGE(Tabel1[[#This Row],[Do - A2a]:[Do - A2b]]),"")</f>
        <v>3.5</v>
      </c>
      <c r="FQ332" s="14">
        <v>3</v>
      </c>
      <c r="FR332" s="14">
        <f>IFERROR(AVERAGE(Tabel1[[#This Row],[Do - A3a]:[Do - A3a]]),"")</f>
        <v>3</v>
      </c>
      <c r="FS332" s="14" t="s">
        <v>189</v>
      </c>
      <c r="FT332" s="14">
        <f>IFERROR(AVERAGE(Tabel1[[#This Row],[Do - A1]],Tabel1[[#This Row],[Do - A2]],Tabel1[[#This Row],[Do - A3]],Tabel1[[#This Row],[Do - A4]]),"")</f>
        <v>3.1666666666666665</v>
      </c>
      <c r="FU33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3.2483333333333331</v>
      </c>
      <c r="FV332" s="27" t="s">
        <v>1721</v>
      </c>
      <c r="FW332" t="b">
        <v>1</v>
      </c>
    </row>
    <row r="333" spans="1:179" x14ac:dyDescent="0.3">
      <c r="A333" s="13">
        <v>45439.3132175926</v>
      </c>
      <c r="B333" t="b">
        <v>0</v>
      </c>
      <c r="C333" s="14" t="s">
        <v>1722</v>
      </c>
      <c r="D333" s="14" t="s">
        <v>1723</v>
      </c>
      <c r="E333" s="14" t="s">
        <v>1724</v>
      </c>
      <c r="F333" s="14" t="s">
        <v>184</v>
      </c>
      <c r="G333" s="14" t="s">
        <v>1725</v>
      </c>
      <c r="H333" s="14" t="s">
        <v>222</v>
      </c>
      <c r="I333" s="14" t="s">
        <v>195</v>
      </c>
      <c r="J333" s="14" t="s">
        <v>406</v>
      </c>
      <c r="K333" s="28" t="s">
        <v>201</v>
      </c>
      <c r="L333" s="14" t="s">
        <v>218</v>
      </c>
      <c r="M333" s="14" t="s">
        <v>281</v>
      </c>
      <c r="N333" s="14" t="s">
        <v>316</v>
      </c>
      <c r="O333" s="14" t="s">
        <v>200</v>
      </c>
      <c r="P333" s="25" t="s">
        <v>201</v>
      </c>
      <c r="Q333" s="17" t="s">
        <v>203</v>
      </c>
      <c r="R333" s="25" t="s">
        <v>201</v>
      </c>
      <c r="S333" s="24" t="s">
        <v>304</v>
      </c>
      <c r="T333" s="14" t="s">
        <v>380</v>
      </c>
      <c r="U333" s="14" t="s">
        <v>285</v>
      </c>
      <c r="V333" s="14" t="s">
        <v>224</v>
      </c>
      <c r="W333" s="14" t="s">
        <v>306</v>
      </c>
      <c r="X333" s="14" t="s">
        <v>306</v>
      </c>
      <c r="Y333" s="14">
        <v>3</v>
      </c>
      <c r="Z333" s="14">
        <v>3</v>
      </c>
      <c r="AA333" s="14">
        <v>3</v>
      </c>
      <c r="AB333" s="15">
        <f>IFERROR(AVERAGE(Tabel1[[#This Row],[Up - R1a]:[Up - R1c]]),"")</f>
        <v>3</v>
      </c>
      <c r="AC333" s="14">
        <v>3</v>
      </c>
      <c r="AD333" s="14">
        <v>3</v>
      </c>
      <c r="AE333" s="14">
        <v>4</v>
      </c>
      <c r="AF333" s="14">
        <v>2</v>
      </c>
      <c r="AG333" s="14">
        <f>IFERROR(AVERAGE(Tabel1[[#This Row],[Up - R1]:[Up - R5]]),"")</f>
        <v>3</v>
      </c>
      <c r="AH333" s="14">
        <v>3</v>
      </c>
      <c r="AI333" s="14">
        <v>1</v>
      </c>
      <c r="AJ333" s="14">
        <v>2</v>
      </c>
      <c r="AK333" s="14">
        <f>IFERROR(AVERAGE(Tabel1[[#This Row],[Up - C1a]:[Up - C1c]]),"")</f>
        <v>2</v>
      </c>
      <c r="AL333" s="14">
        <v>1</v>
      </c>
      <c r="AM333" s="14">
        <v>2</v>
      </c>
      <c r="AN333" s="14">
        <v>1</v>
      </c>
      <c r="AO333" s="14">
        <f>IFERROR(AVERAGE(Tabel1[[#This Row],[Up - C1]:[Up - C4]]),"")</f>
        <v>1.5</v>
      </c>
      <c r="AP333" s="14">
        <v>5</v>
      </c>
      <c r="AQ333" s="14">
        <f>IFERROR(AVERAGE(Tabel1[[#This Row],[Up - F1a]:[Up - F1a]]),"")</f>
        <v>5</v>
      </c>
      <c r="AR333" s="14">
        <v>4</v>
      </c>
      <c r="AS333" s="14">
        <v>3</v>
      </c>
      <c r="AT333" s="14">
        <f>IFERROR(AVERAGE(Tabel1[[#This Row],[Up - F2a]:[Up - F2b]]),"")</f>
        <v>3.5</v>
      </c>
      <c r="AU333" s="14">
        <v>3</v>
      </c>
      <c r="AV333" s="14">
        <v>3</v>
      </c>
      <c r="AW333" s="14">
        <f>IFERROR(AVERAGE(Tabel1[[#This Row],[Up - F3a]:[Up - F3b]]),"")</f>
        <v>3</v>
      </c>
      <c r="AX333" s="14">
        <v>2</v>
      </c>
      <c r="AY333" s="14">
        <f>IFERROR(AVERAGE(Tabel1[[#This Row],[Up - F1]],Tabel1[[#This Row],[Up - F2]],Tabel1[[#This Row],[Up - F3]],Tabel1[[#This Row],[Up - F4]]),"")</f>
        <v>3.375</v>
      </c>
      <c r="AZ333" s="14">
        <v>2</v>
      </c>
      <c r="BA333" s="14">
        <v>4</v>
      </c>
      <c r="BB333" s="14">
        <f>IFERROR(AVERAGE(Tabel1[[#This Row],[Up - V1a]:[Up - V1b]]),"")</f>
        <v>3</v>
      </c>
      <c r="BC333" s="14">
        <v>3</v>
      </c>
      <c r="BD333" s="14">
        <v>3</v>
      </c>
      <c r="BE333" s="14">
        <v>1</v>
      </c>
      <c r="BF333" s="14">
        <f>IFERROR(AVERAGE(Tabel1[[#This Row],[Up - V2a]:[Up - V2c]]),"")</f>
        <v>2.3333333333333335</v>
      </c>
      <c r="BG333" s="14">
        <v>3</v>
      </c>
      <c r="BH333" s="14">
        <v>4</v>
      </c>
      <c r="BI333" s="14">
        <f>IFERROR(AVERAGE(Tabel1[[#This Row],[Up - V3a]:[Up - V3b]]),"")</f>
        <v>3.5</v>
      </c>
      <c r="BJ333" s="14">
        <v>3</v>
      </c>
      <c r="BK333" s="14">
        <f>IFERROR(AVERAGE(Tabel1[[#This Row],[Up - V1]],Tabel1[[#This Row],[Up - V2]],Tabel1[[#This Row],[Up - V3]],Tabel1[[#This Row],[Up - V4]]),"")</f>
        <v>2.9583333333333335</v>
      </c>
      <c r="BL333" s="14">
        <v>3</v>
      </c>
      <c r="BM333" s="14">
        <v>2</v>
      </c>
      <c r="BN333" s="14">
        <v>3</v>
      </c>
      <c r="BO333" s="14">
        <v>4</v>
      </c>
      <c r="BP333" s="14">
        <f>IFERROR(AVERAGE(Tabel1[[#This Row],[Up - A1a]:[Up - A1d]]),"")</f>
        <v>3</v>
      </c>
      <c r="BQ333" s="14">
        <v>2</v>
      </c>
      <c r="BR333" s="14">
        <v>4</v>
      </c>
      <c r="BS333" s="14">
        <f>IFERROR(AVERAGE(Tabel1[[#This Row],[Up - A2a]:[Up - A2b]]),"")</f>
        <v>3</v>
      </c>
      <c r="BT333" s="14" t="s">
        <v>189</v>
      </c>
      <c r="BU333" s="14" t="str">
        <f>IFERROR(AVERAGE(Tabel1[[#This Row],[Up - A3a]:[Up - A3a]]),"")</f>
        <v/>
      </c>
      <c r="BV333" s="14" t="s">
        <v>189</v>
      </c>
      <c r="BW333" s="14">
        <f>IFERROR(AVERAGE(Tabel1[[#This Row],[Up - A1]],Tabel1[[#This Row],[Up - A2]],Tabel1[[#This Row],[Up - A3]]),"")</f>
        <v>3</v>
      </c>
      <c r="BX333" s="14">
        <v>2</v>
      </c>
      <c r="BY333" s="14">
        <v>2</v>
      </c>
      <c r="BZ333" s="14">
        <f>IFERROR(AVERAGE(Tabel1[[#This Row],[In - R1a]:[In - R1b]]),"")</f>
        <v>2</v>
      </c>
      <c r="CA333" s="14">
        <v>3</v>
      </c>
      <c r="CB333" s="14">
        <v>1</v>
      </c>
      <c r="CC333" s="14">
        <v>3</v>
      </c>
      <c r="CD333" s="14" t="s">
        <v>189</v>
      </c>
      <c r="CE333" s="14">
        <f>IFERROR(AVERAGE(Tabel1[[#This Row],[In - R1]:[In - R5]]),"")</f>
        <v>2.25</v>
      </c>
      <c r="CF333" s="14">
        <v>2</v>
      </c>
      <c r="CG333" s="14">
        <v>2</v>
      </c>
      <c r="CH333" s="14">
        <v>2</v>
      </c>
      <c r="CI333" s="14">
        <f>IFERROR(AVERAGE(Tabel1[[#This Row],[In - C1a]:[In - C1c]]),"")</f>
        <v>2</v>
      </c>
      <c r="CJ333" s="14">
        <v>3</v>
      </c>
      <c r="CK333" s="14">
        <v>3</v>
      </c>
      <c r="CL333" s="14">
        <v>3</v>
      </c>
      <c r="CM333" s="14">
        <f>IFERROR(AVERAGE(Tabel1[[#This Row],[In - C1]:[In - C4]]),"")</f>
        <v>2.75</v>
      </c>
      <c r="CN333" s="14">
        <v>3</v>
      </c>
      <c r="CO333" s="14">
        <v>1</v>
      </c>
      <c r="CP333" s="14">
        <v>2</v>
      </c>
      <c r="CQ333" s="14">
        <f>IFERROR(AVERAGE(Tabel1[[#This Row],[In - F1a]:[In - F1c]]),"")</f>
        <v>2</v>
      </c>
      <c r="CR333" s="14">
        <v>4</v>
      </c>
      <c r="CS333" s="14">
        <v>2</v>
      </c>
      <c r="CT333" s="14">
        <f>IFERROR(AVERAGE(Tabel1[[#This Row],[In - F2a]:[In - F2b]]),"")</f>
        <v>3</v>
      </c>
      <c r="CU333" s="14">
        <v>3</v>
      </c>
      <c r="CV333" s="14">
        <f>IFERROR(AVERAGE(Tabel1[[#This Row],[In - F3a]:[In - F3a]]),"")</f>
        <v>3</v>
      </c>
      <c r="CW333" s="14">
        <v>4</v>
      </c>
      <c r="CX333" s="14">
        <f>IFERROR(AVERAGE(Tabel1[[#This Row],[In - F1]],Tabel1[[#This Row],[In - F2]],Tabel1[[#This Row],[In - F3]],Tabel1[[#This Row],[In - F4]]),"")</f>
        <v>3</v>
      </c>
      <c r="CY333" s="14">
        <v>3</v>
      </c>
      <c r="CZ333" s="14">
        <v>3</v>
      </c>
      <c r="DA333" s="14">
        <v>2</v>
      </c>
      <c r="DB333" s="14">
        <f>IFERROR(AVERAGE(Tabel1[[#This Row],[In - V1a]:[In - V1c]]),"")</f>
        <v>2.6666666666666665</v>
      </c>
      <c r="DC333" s="14">
        <v>4</v>
      </c>
      <c r="DD333" s="14">
        <v>2</v>
      </c>
      <c r="DE333" s="14">
        <v>3</v>
      </c>
      <c r="DF333" s="14">
        <f>IFERROR(AVERAGE(Tabel1[[#This Row],[In - V2a]:[In - V2c]]),"")</f>
        <v>3</v>
      </c>
      <c r="DG333" s="14">
        <v>3</v>
      </c>
      <c r="DH333" s="14">
        <v>5</v>
      </c>
      <c r="DI333" s="14">
        <f>IFERROR(AVERAGE(Tabel1[[#This Row],[In - V3a]:[In - V3b]]),"")</f>
        <v>4</v>
      </c>
      <c r="DJ333" s="14">
        <v>3</v>
      </c>
      <c r="DK333" s="14">
        <f>IFERROR(AVERAGE(Tabel1[[#This Row],[In - V1]],Tabel1[[#This Row],[In - V2]],Tabel1[[#This Row],[In - V3]],Tabel1[[#This Row],[In - V4]]),"")</f>
        <v>3.1666666666666665</v>
      </c>
      <c r="DL333" s="14">
        <v>2</v>
      </c>
      <c r="DM333" s="14">
        <v>3</v>
      </c>
      <c r="DN333" s="14">
        <f>IFERROR(AVERAGE(Tabel1[[#This Row],[In - A1a]:[In - A1b]]),"")</f>
        <v>2.5</v>
      </c>
      <c r="DO333" s="14">
        <v>3</v>
      </c>
      <c r="DP333" s="14">
        <v>3</v>
      </c>
      <c r="DQ333" s="14">
        <f>IFERROR(AVERAGE(Tabel1[[#This Row],[In - A2a]:[In - A2b]]),"")</f>
        <v>3</v>
      </c>
      <c r="DR333" s="14">
        <v>3</v>
      </c>
      <c r="DS333" s="14">
        <v>3</v>
      </c>
      <c r="DT333" s="14">
        <f>IFERROR(AVERAGE(Tabel1[[#This Row],[In - A3a]:[In - A3a]]),"")</f>
        <v>3</v>
      </c>
      <c r="DU333" s="14">
        <v>3</v>
      </c>
      <c r="DV333" s="14">
        <f>IFERROR(AVERAGE(Tabel1[[#This Row],[In - A1]],Tabel1[[#This Row],[In - A2]],Tabel1[[#This Row],[In - A3]],Tabel1[[#This Row],[In - A4]]),"")</f>
        <v>2.875</v>
      </c>
      <c r="DW333" s="14">
        <v>2</v>
      </c>
      <c r="DX333" s="14">
        <v>3</v>
      </c>
      <c r="DY333" s="14">
        <v>3</v>
      </c>
      <c r="DZ333" s="14">
        <f>IFERROR(AVERAGE(Tabel1[[#This Row],[Do - R1a]:[Do - R1c]]),"")</f>
        <v>2.6666666666666665</v>
      </c>
      <c r="EA333" s="14">
        <v>1</v>
      </c>
      <c r="EB333" s="14">
        <v>1</v>
      </c>
      <c r="EC333" s="14">
        <v>4</v>
      </c>
      <c r="ED333" s="14">
        <v>5</v>
      </c>
      <c r="EE333" s="14">
        <f>IFERROR(AVERAGE(Tabel1[[#This Row],[Do - R1]:[Do - R5]]),"")</f>
        <v>2.7333333333333334</v>
      </c>
      <c r="EF333" s="14">
        <v>2</v>
      </c>
      <c r="EG333" s="14">
        <v>3</v>
      </c>
      <c r="EH333" s="14">
        <v>2</v>
      </c>
      <c r="EI333" s="14">
        <f>IFERROR(AVERAGE(Tabel1[[#This Row],[Do - C1a]:[Do - C1c]]),"")</f>
        <v>2.3333333333333335</v>
      </c>
      <c r="EJ333" s="14">
        <v>3</v>
      </c>
      <c r="EK333" s="14">
        <v>3</v>
      </c>
      <c r="EL333" s="14">
        <v>4</v>
      </c>
      <c r="EM333" s="14">
        <f>IFERROR(AVERAGE(Tabel1[[#This Row],[Do - C1]:[Do - C4]]),"")</f>
        <v>3.0833333333333335</v>
      </c>
      <c r="EN333" s="14">
        <v>3</v>
      </c>
      <c r="EO333" s="14">
        <v>3</v>
      </c>
      <c r="EP333" s="14">
        <v>2</v>
      </c>
      <c r="EQ333" s="14">
        <f>IFERROR(AVERAGE(Tabel1[[#This Row],[Do - F1a]:[Do - F1c]]),"")</f>
        <v>2.6666666666666665</v>
      </c>
      <c r="ER333" s="14">
        <v>2</v>
      </c>
      <c r="ES333" s="14">
        <f>IFERROR(AVERAGE(Tabel1[[#This Row],[Do - F2a]:[Do - F2a]]),"")</f>
        <v>2</v>
      </c>
      <c r="ET333" s="14">
        <v>3</v>
      </c>
      <c r="EU333" s="14">
        <v>5</v>
      </c>
      <c r="EV333" s="14">
        <f>IFERROR(AVERAGE(Tabel1[[#This Row],[Do - F3a]:[Do - F3b]]),"")</f>
        <v>4</v>
      </c>
      <c r="EW333" s="14">
        <v>1</v>
      </c>
      <c r="EX333" s="14">
        <f>IFERROR(AVERAGE(Tabel1[[#This Row],[Do - F1]],Tabel1[[#This Row],[Do - F2]],Tabel1[[#This Row],[Do - F3]],Tabel1[[#This Row],[Do - F4]]),"")</f>
        <v>2.4166666666666665</v>
      </c>
      <c r="EY333" s="14">
        <v>2</v>
      </c>
      <c r="EZ333" s="14">
        <v>2</v>
      </c>
      <c r="FA333" s="14">
        <v>2</v>
      </c>
      <c r="FB333" s="14">
        <f>IFERROR(AVERAGE(Tabel1[[#This Row],[Do - V1a]:[Do - V1c]]),"")</f>
        <v>2</v>
      </c>
      <c r="FC333" s="14">
        <v>4</v>
      </c>
      <c r="FD333" s="14">
        <v>2</v>
      </c>
      <c r="FE333" s="14">
        <f>IFERROR(AVERAGE(Tabel1[[#This Row],[Do - V2a]:[Do - V2b]]),"")</f>
        <v>3</v>
      </c>
      <c r="FF333" s="14">
        <v>4</v>
      </c>
      <c r="FG333" s="14">
        <f>IFERROR(AVERAGE(Tabel1[[#This Row],[Do - V3a]:[Do - V3a]]),"")</f>
        <v>4</v>
      </c>
      <c r="FH333" s="14">
        <v>3</v>
      </c>
      <c r="FI333" s="14">
        <f>IFERROR(AVERAGE(Tabel1[[#This Row],[Do - V1]],Tabel1[[#This Row],[Do - V2]],Tabel1[[#This Row],[Do - V3]],Tabel1[[#This Row],[Do - V4]]),"")</f>
        <v>3</v>
      </c>
      <c r="FJ333" s="14" t="s">
        <v>189</v>
      </c>
      <c r="FK333" s="14" t="s">
        <v>189</v>
      </c>
      <c r="FL333" s="14" t="s">
        <v>189</v>
      </c>
      <c r="FM333" s="14" t="str">
        <f>IFERROR(AVERAGE(Tabel1[[#This Row],[Do - A1a]:[Do - A1c]]),"")</f>
        <v/>
      </c>
      <c r="FN333" s="14">
        <v>2</v>
      </c>
      <c r="FO333" s="14">
        <v>3</v>
      </c>
      <c r="FP333" s="14">
        <f>IFERROR(AVERAGE(Tabel1[[#This Row],[Do - A2a]:[Do - A2b]]),"")</f>
        <v>2.5</v>
      </c>
      <c r="FQ333" s="14">
        <v>3</v>
      </c>
      <c r="FR333" s="14">
        <f>IFERROR(AVERAGE(Tabel1[[#This Row],[Do - A3a]:[Do - A3a]]),"")</f>
        <v>3</v>
      </c>
      <c r="FS333" s="14">
        <v>4</v>
      </c>
      <c r="FT333" s="14">
        <f>IFERROR(AVERAGE(Tabel1[[#This Row],[Do - A1]],Tabel1[[#This Row],[Do - A2]],Tabel1[[#This Row],[Do - A3]],Tabel1[[#This Row],[Do - A4]]),"")</f>
        <v>3.1666666666666665</v>
      </c>
      <c r="FU33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2.8183333333333334</v>
      </c>
      <c r="FV333" s="27" t="s">
        <v>1726</v>
      </c>
      <c r="FW333" t="b">
        <v>1</v>
      </c>
    </row>
    <row r="334" spans="1:179" x14ac:dyDescent="0.3">
      <c r="A334" s="13">
        <v>45441.535092592603</v>
      </c>
      <c r="B334" t="b">
        <v>0</v>
      </c>
      <c r="C334" s="14" t="s">
        <v>1727</v>
      </c>
      <c r="D334" s="14" t="s">
        <v>373</v>
      </c>
      <c r="E334" s="14" t="s">
        <v>1728</v>
      </c>
      <c r="F334" s="14" t="s">
        <v>189</v>
      </c>
      <c r="G334" s="14" t="s">
        <v>1729</v>
      </c>
      <c r="H334" s="14" t="s">
        <v>194</v>
      </c>
      <c r="I334" s="14" t="s">
        <v>385</v>
      </c>
      <c r="J334" s="14" t="s">
        <v>323</v>
      </c>
      <c r="K334" s="26" t="s">
        <v>255</v>
      </c>
      <c r="L334" s="14" t="s">
        <v>197</v>
      </c>
      <c r="M334" s="14" t="s">
        <v>198</v>
      </c>
      <c r="N334" s="14" t="s">
        <v>199</v>
      </c>
      <c r="O334" s="14" t="s">
        <v>200</v>
      </c>
      <c r="P334" s="25" t="s">
        <v>203</v>
      </c>
      <c r="Q334" s="17" t="s">
        <v>304</v>
      </c>
      <c r="R334" s="24" t="s">
        <v>304</v>
      </c>
      <c r="S334" s="24" t="s">
        <v>255</v>
      </c>
      <c r="T334" s="14" t="s">
        <v>236</v>
      </c>
      <c r="U334" s="14" t="s">
        <v>285</v>
      </c>
      <c r="V334" s="14" t="s">
        <v>206</v>
      </c>
      <c r="W334" s="14" t="s">
        <v>306</v>
      </c>
      <c r="X334" s="14" t="s">
        <v>306</v>
      </c>
      <c r="Y334" s="14">
        <v>2</v>
      </c>
      <c r="Z334" s="14">
        <v>1</v>
      </c>
      <c r="AA334" s="14">
        <v>1</v>
      </c>
      <c r="AB334" s="15">
        <f>IFERROR(AVERAGE(Tabel1[[#This Row],[Up - R1a]:[Up - R1c]]),"")</f>
        <v>1.3333333333333333</v>
      </c>
      <c r="AC334" s="14">
        <v>2</v>
      </c>
      <c r="AD334" s="14">
        <v>1</v>
      </c>
      <c r="AE334" s="14">
        <v>2</v>
      </c>
      <c r="AF334" s="14">
        <v>3</v>
      </c>
      <c r="AG334" s="14">
        <f>IFERROR(AVERAGE(Tabel1[[#This Row],[Up - R1]:[Up - R5]]),"")</f>
        <v>1.8666666666666665</v>
      </c>
      <c r="AH334" s="14">
        <v>1</v>
      </c>
      <c r="AI334" s="14">
        <v>1</v>
      </c>
      <c r="AJ334" s="14">
        <v>1</v>
      </c>
      <c r="AK334" s="14">
        <f>IFERROR(AVERAGE(Tabel1[[#This Row],[Up - C1a]:[Up - C1c]]),"")</f>
        <v>1</v>
      </c>
      <c r="AL334" s="14">
        <v>1</v>
      </c>
      <c r="AM334" s="14">
        <v>1</v>
      </c>
      <c r="AN334" s="14">
        <v>1</v>
      </c>
      <c r="AO334" s="14">
        <f>IFERROR(AVERAGE(Tabel1[[#This Row],[Up - C1]:[Up - C4]]),"")</f>
        <v>1</v>
      </c>
      <c r="AP334" s="14">
        <v>1</v>
      </c>
      <c r="AQ334" s="14">
        <f>IFERROR(AVERAGE(Tabel1[[#This Row],[Up - F1a]:[Up - F1a]]),"")</f>
        <v>1</v>
      </c>
      <c r="AR334" s="14">
        <v>1</v>
      </c>
      <c r="AS334" s="14">
        <v>1</v>
      </c>
      <c r="AT334" s="14">
        <f>IFERROR(AVERAGE(Tabel1[[#This Row],[Up - F2a]:[Up - F2b]]),"")</f>
        <v>1</v>
      </c>
      <c r="AU334" s="14">
        <v>1</v>
      </c>
      <c r="AV334" s="14">
        <v>1</v>
      </c>
      <c r="AW334" s="14">
        <f>IFERROR(AVERAGE(Tabel1[[#This Row],[Up - F3a]:[Up - F3b]]),"")</f>
        <v>1</v>
      </c>
      <c r="AX334" s="14">
        <v>1</v>
      </c>
      <c r="AY334" s="14">
        <f>IFERROR(AVERAGE(Tabel1[[#This Row],[Up - F1]],Tabel1[[#This Row],[Up - F2]],Tabel1[[#This Row],[Up - F3]],Tabel1[[#This Row],[Up - F4]]),"")</f>
        <v>1</v>
      </c>
      <c r="AZ334" s="14">
        <v>3</v>
      </c>
      <c r="BA334" s="14">
        <v>2</v>
      </c>
      <c r="BB334" s="14">
        <f>IFERROR(AVERAGE(Tabel1[[#This Row],[Up - V1a]:[Up - V1b]]),"")</f>
        <v>2.5</v>
      </c>
      <c r="BC334" s="14">
        <v>1</v>
      </c>
      <c r="BD334" s="14">
        <v>1</v>
      </c>
      <c r="BE334" s="14">
        <v>1</v>
      </c>
      <c r="BF334" s="14">
        <f>IFERROR(AVERAGE(Tabel1[[#This Row],[Up - V2a]:[Up - V2c]]),"")</f>
        <v>1</v>
      </c>
      <c r="BG334" s="14" t="s">
        <v>189</v>
      </c>
      <c r="BH334" s="14">
        <v>1</v>
      </c>
      <c r="BI334" s="14">
        <f>IFERROR(AVERAGE(Tabel1[[#This Row],[Up - V3a]:[Up - V3b]]),"")</f>
        <v>1</v>
      </c>
      <c r="BJ334" s="14">
        <v>1</v>
      </c>
      <c r="BK334" s="14">
        <f>IFERROR(AVERAGE(Tabel1[[#This Row],[Up - V1]],Tabel1[[#This Row],[Up - V2]],Tabel1[[#This Row],[Up - V3]],Tabel1[[#This Row],[Up - V4]]),"")</f>
        <v>1.375</v>
      </c>
      <c r="BL334" s="14">
        <v>1</v>
      </c>
      <c r="BM334" s="14">
        <v>1</v>
      </c>
      <c r="BN334" s="14">
        <v>3</v>
      </c>
      <c r="BO334" s="14">
        <v>3</v>
      </c>
      <c r="BP334" s="14">
        <f>IFERROR(AVERAGE(Tabel1[[#This Row],[Up - A1a]:[Up - A1d]]),"")</f>
        <v>2</v>
      </c>
      <c r="BQ334" s="14">
        <v>1</v>
      </c>
      <c r="BR334" s="14">
        <v>1</v>
      </c>
      <c r="BS334" s="14">
        <f>IFERROR(AVERAGE(Tabel1[[#This Row],[Up - A2a]:[Up - A2b]]),"")</f>
        <v>1</v>
      </c>
      <c r="BT334" s="14">
        <v>1</v>
      </c>
      <c r="BU334" s="14">
        <f>IFERROR(AVERAGE(Tabel1[[#This Row],[Up - A3a]:[Up - A3a]]),"")</f>
        <v>1</v>
      </c>
      <c r="BV334" s="14">
        <v>3</v>
      </c>
      <c r="BW334" s="14">
        <f>IFERROR(AVERAGE(Tabel1[[#This Row],[Up - A1]],Tabel1[[#This Row],[Up - A2]],Tabel1[[#This Row],[Up - A3]]),"")</f>
        <v>1.3333333333333333</v>
      </c>
      <c r="BX334" s="14">
        <v>1</v>
      </c>
      <c r="BY334" s="14">
        <v>1</v>
      </c>
      <c r="BZ334" s="14">
        <f>IFERROR(AVERAGE(Tabel1[[#This Row],[In - R1a]:[In - R1b]]),"")</f>
        <v>1</v>
      </c>
      <c r="CA334" s="14">
        <v>2</v>
      </c>
      <c r="CB334" s="14">
        <v>1</v>
      </c>
      <c r="CC334" s="14">
        <v>1</v>
      </c>
      <c r="CD334" s="14">
        <v>2</v>
      </c>
      <c r="CE334" s="14">
        <f>IFERROR(AVERAGE(Tabel1[[#This Row],[In - R1]:[In - R5]]),"")</f>
        <v>1.4</v>
      </c>
      <c r="CF334" s="14">
        <v>1</v>
      </c>
      <c r="CG334" s="14">
        <v>2</v>
      </c>
      <c r="CH334" s="14">
        <v>3</v>
      </c>
      <c r="CI334" s="14">
        <f>IFERROR(AVERAGE(Tabel1[[#This Row],[In - C1a]:[In - C1c]]),"")</f>
        <v>2</v>
      </c>
      <c r="CJ334" s="14">
        <v>2</v>
      </c>
      <c r="CK334" s="14">
        <v>1</v>
      </c>
      <c r="CL334" s="14">
        <v>1</v>
      </c>
      <c r="CM334" s="14">
        <f>IFERROR(AVERAGE(Tabel1[[#This Row],[In - C1]:[In - C4]]),"")</f>
        <v>1.5</v>
      </c>
      <c r="CN334" s="14">
        <v>2</v>
      </c>
      <c r="CO334" s="14">
        <v>1</v>
      </c>
      <c r="CP334" s="14">
        <v>2</v>
      </c>
      <c r="CQ334" s="14">
        <f>IFERROR(AVERAGE(Tabel1[[#This Row],[In - F1a]:[In - F1c]]),"")</f>
        <v>1.6666666666666667</v>
      </c>
      <c r="CR334" s="14">
        <v>2</v>
      </c>
      <c r="CS334" s="14">
        <v>1</v>
      </c>
      <c r="CT334" s="14">
        <f>IFERROR(AVERAGE(Tabel1[[#This Row],[In - F2a]:[In - F2b]]),"")</f>
        <v>1.5</v>
      </c>
      <c r="CU334" s="14">
        <v>1</v>
      </c>
      <c r="CV334" s="14">
        <f>IFERROR(AVERAGE(Tabel1[[#This Row],[In - F3a]:[In - F3a]]),"")</f>
        <v>1</v>
      </c>
      <c r="CW334" s="14">
        <v>1</v>
      </c>
      <c r="CX334" s="14">
        <f>IFERROR(AVERAGE(Tabel1[[#This Row],[In - F1]],Tabel1[[#This Row],[In - F2]],Tabel1[[#This Row],[In - F3]],Tabel1[[#This Row],[In - F4]]),"")</f>
        <v>1.2916666666666667</v>
      </c>
      <c r="CY334" s="14">
        <v>1</v>
      </c>
      <c r="CZ334" s="14">
        <v>2</v>
      </c>
      <c r="DA334" s="14">
        <v>1</v>
      </c>
      <c r="DB334" s="14">
        <f>IFERROR(AVERAGE(Tabel1[[#This Row],[In - V1a]:[In - V1c]]),"")</f>
        <v>1.3333333333333333</v>
      </c>
      <c r="DC334" s="14">
        <v>1</v>
      </c>
      <c r="DD334" s="14">
        <v>1</v>
      </c>
      <c r="DE334" s="14">
        <v>3</v>
      </c>
      <c r="DF334" s="14">
        <f>IFERROR(AVERAGE(Tabel1[[#This Row],[In - V2a]:[In - V2c]]),"")</f>
        <v>1.6666666666666667</v>
      </c>
      <c r="DG334" s="14">
        <v>1</v>
      </c>
      <c r="DH334" s="14">
        <v>1</v>
      </c>
      <c r="DI334" s="14">
        <f>IFERROR(AVERAGE(Tabel1[[#This Row],[In - V3a]:[In - V3b]]),"")</f>
        <v>1</v>
      </c>
      <c r="DJ334" s="14">
        <v>4</v>
      </c>
      <c r="DK334" s="14">
        <f>IFERROR(AVERAGE(Tabel1[[#This Row],[In - V1]],Tabel1[[#This Row],[In - V2]],Tabel1[[#This Row],[In - V3]],Tabel1[[#This Row],[In - V4]]),"")</f>
        <v>2</v>
      </c>
      <c r="DL334" s="14">
        <v>3</v>
      </c>
      <c r="DM334" s="14">
        <v>2</v>
      </c>
      <c r="DN334" s="14">
        <f>IFERROR(AVERAGE(Tabel1[[#This Row],[In - A1a]:[In - A1b]]),"")</f>
        <v>2.5</v>
      </c>
      <c r="DO334" s="14">
        <v>1</v>
      </c>
      <c r="DP334" s="14">
        <v>3</v>
      </c>
      <c r="DQ334" s="14">
        <f>IFERROR(AVERAGE(Tabel1[[#This Row],[In - A2a]:[In - A2b]]),"")</f>
        <v>2</v>
      </c>
      <c r="DR334" s="14">
        <v>3</v>
      </c>
      <c r="DS334" s="14">
        <v>2</v>
      </c>
      <c r="DT334" s="14">
        <f>IFERROR(AVERAGE(Tabel1[[#This Row],[In - A3a]:[In - A3a]]),"")</f>
        <v>3</v>
      </c>
      <c r="DU334" s="14">
        <v>3</v>
      </c>
      <c r="DV334" s="14">
        <f>IFERROR(AVERAGE(Tabel1[[#This Row],[In - A1]],Tabel1[[#This Row],[In - A2]],Tabel1[[#This Row],[In - A3]],Tabel1[[#This Row],[In - A4]]),"")</f>
        <v>2.625</v>
      </c>
      <c r="DW334" s="14">
        <v>2</v>
      </c>
      <c r="DX334" s="14">
        <v>1</v>
      </c>
      <c r="DY334" s="14">
        <v>1</v>
      </c>
      <c r="DZ334" s="14">
        <f>IFERROR(AVERAGE(Tabel1[[#This Row],[Do - R1a]:[Do - R1c]]),"")</f>
        <v>1.3333333333333333</v>
      </c>
      <c r="EA334" s="14">
        <v>2</v>
      </c>
      <c r="EB334" s="14">
        <v>1</v>
      </c>
      <c r="EC334" s="14">
        <v>1</v>
      </c>
      <c r="ED334" s="14">
        <v>1</v>
      </c>
      <c r="EE334" s="14">
        <f>IFERROR(AVERAGE(Tabel1[[#This Row],[Do - R1]:[Do - R5]]),"")</f>
        <v>1.2666666666666666</v>
      </c>
      <c r="EF334" s="14">
        <v>1</v>
      </c>
      <c r="EG334" s="14">
        <v>1</v>
      </c>
      <c r="EH334" s="14">
        <v>2</v>
      </c>
      <c r="EI334" s="14">
        <f>IFERROR(AVERAGE(Tabel1[[#This Row],[Do - C1a]:[Do - C1c]]),"")</f>
        <v>1.3333333333333333</v>
      </c>
      <c r="EJ334" s="14">
        <v>1</v>
      </c>
      <c r="EK334" s="14">
        <v>1</v>
      </c>
      <c r="EL334" s="14">
        <v>1</v>
      </c>
      <c r="EM334" s="14">
        <f>IFERROR(AVERAGE(Tabel1[[#This Row],[Do - C1]:[Do - C4]]),"")</f>
        <v>1.0833333333333333</v>
      </c>
      <c r="EN334" s="14">
        <v>1</v>
      </c>
      <c r="EO334" s="14">
        <v>1</v>
      </c>
      <c r="EP334" s="14">
        <v>1</v>
      </c>
      <c r="EQ334" s="14">
        <f>IFERROR(AVERAGE(Tabel1[[#This Row],[Do - F1a]:[Do - F1c]]),"")</f>
        <v>1</v>
      </c>
      <c r="ER334" s="14">
        <v>1</v>
      </c>
      <c r="ES334" s="14">
        <f>IFERROR(AVERAGE(Tabel1[[#This Row],[Do - F2a]:[Do - F2a]]),"")</f>
        <v>1</v>
      </c>
      <c r="ET334" s="14">
        <v>1</v>
      </c>
      <c r="EU334" s="14">
        <v>1</v>
      </c>
      <c r="EV334" s="14">
        <f>IFERROR(AVERAGE(Tabel1[[#This Row],[Do - F3a]:[Do - F3b]]),"")</f>
        <v>1</v>
      </c>
      <c r="EW334" s="14">
        <v>1</v>
      </c>
      <c r="EX334" s="14">
        <f>IFERROR(AVERAGE(Tabel1[[#This Row],[Do - F1]],Tabel1[[#This Row],[Do - F2]],Tabel1[[#This Row],[Do - F3]],Tabel1[[#This Row],[Do - F4]]),"")</f>
        <v>1</v>
      </c>
      <c r="EY334" s="14">
        <v>1</v>
      </c>
      <c r="EZ334" s="14">
        <v>2</v>
      </c>
      <c r="FA334" s="14">
        <v>2</v>
      </c>
      <c r="FB334" s="14">
        <f>IFERROR(AVERAGE(Tabel1[[#This Row],[Do - V1a]:[Do - V1c]]),"")</f>
        <v>1.6666666666666667</v>
      </c>
      <c r="FC334" s="14">
        <v>1</v>
      </c>
      <c r="FD334" s="14">
        <v>1</v>
      </c>
      <c r="FE334" s="14">
        <f>IFERROR(AVERAGE(Tabel1[[#This Row],[Do - V2a]:[Do - V2b]]),"")</f>
        <v>1</v>
      </c>
      <c r="FF334" s="14">
        <v>1</v>
      </c>
      <c r="FG334" s="14">
        <f>IFERROR(AVERAGE(Tabel1[[#This Row],[Do - V3a]:[Do - V3a]]),"")</f>
        <v>1</v>
      </c>
      <c r="FH334" s="14">
        <v>1</v>
      </c>
      <c r="FI334" s="14">
        <f>IFERROR(AVERAGE(Tabel1[[#This Row],[Do - V1]],Tabel1[[#This Row],[Do - V2]],Tabel1[[#This Row],[Do - V3]],Tabel1[[#This Row],[Do - V4]]),"")</f>
        <v>1.1666666666666667</v>
      </c>
      <c r="FJ334" s="14">
        <v>1</v>
      </c>
      <c r="FK334" s="14">
        <v>2</v>
      </c>
      <c r="FL334" s="14">
        <v>3</v>
      </c>
      <c r="FM334" s="14">
        <f>IFERROR(AVERAGE(Tabel1[[#This Row],[Do - A1a]:[Do - A1c]]),"")</f>
        <v>2</v>
      </c>
      <c r="FN334" s="14">
        <v>1</v>
      </c>
      <c r="FO334" s="14">
        <v>1</v>
      </c>
      <c r="FP334" s="14">
        <f>IFERROR(AVERAGE(Tabel1[[#This Row],[Do - A2a]:[Do - A2b]]),"")</f>
        <v>1</v>
      </c>
      <c r="FQ334" s="14">
        <v>3</v>
      </c>
      <c r="FR334" s="14">
        <f>IFERROR(AVERAGE(Tabel1[[#This Row],[Do - A3a]:[Do - A3a]]),"")</f>
        <v>3</v>
      </c>
      <c r="FS334" s="14">
        <v>3</v>
      </c>
      <c r="FT334" s="14">
        <f>IFERROR(AVERAGE(Tabel1[[#This Row],[Do - A1]],Tabel1[[#This Row],[Do - A2]],Tabel1[[#This Row],[Do - A3]],Tabel1[[#This Row],[Do - A4]]),"")</f>
        <v>2.25</v>
      </c>
      <c r="FU33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1.477222222222222</v>
      </c>
      <c r="FV334" s="27" t="s">
        <v>1730</v>
      </c>
      <c r="FW334" t="b">
        <v>1</v>
      </c>
    </row>
    <row r="335" spans="1:179" x14ac:dyDescent="0.3">
      <c r="A335" s="13">
        <v>45441.536446759303</v>
      </c>
      <c r="B335" t="b">
        <v>0</v>
      </c>
      <c r="C335" s="14" t="s">
        <v>1731</v>
      </c>
      <c r="D335" s="14" t="s">
        <v>1732</v>
      </c>
      <c r="E335" s="14" t="s">
        <v>1733</v>
      </c>
      <c r="F335" s="14" t="s">
        <v>189</v>
      </c>
      <c r="G335" s="14" t="s">
        <v>1734</v>
      </c>
      <c r="H335" s="14" t="s">
        <v>194</v>
      </c>
      <c r="I335" s="14" t="s">
        <v>322</v>
      </c>
      <c r="J335" s="14" t="s">
        <v>323</v>
      </c>
      <c r="K335" s="28" t="s">
        <v>202</v>
      </c>
      <c r="L335" s="14" t="s">
        <v>218</v>
      </c>
      <c r="M335" s="14" t="s">
        <v>188</v>
      </c>
      <c r="N335" s="14" t="s">
        <v>199</v>
      </c>
      <c r="O335" s="14" t="s">
        <v>256</v>
      </c>
      <c r="P335" s="24" t="s">
        <v>304</v>
      </c>
      <c r="Q335" s="17" t="s">
        <v>304</v>
      </c>
      <c r="R335" s="25" t="s">
        <v>201</v>
      </c>
      <c r="S335" s="25"/>
      <c r="T335" s="14" t="s">
        <v>284</v>
      </c>
      <c r="U335" s="14" t="s">
        <v>205</v>
      </c>
      <c r="V335" s="14" t="s">
        <v>610</v>
      </c>
      <c r="W335" s="14" t="s">
        <v>306</v>
      </c>
      <c r="X335" s="14" t="s">
        <v>306</v>
      </c>
      <c r="Y335" s="14">
        <v>1</v>
      </c>
      <c r="Z335" s="14">
        <v>1</v>
      </c>
      <c r="AA335" s="14">
        <v>2</v>
      </c>
      <c r="AB335" s="15">
        <f>IFERROR(AVERAGE(Tabel1[[#This Row],[Up - R1a]:[Up - R1c]]),"")</f>
        <v>1.3333333333333333</v>
      </c>
      <c r="AC335" s="14">
        <v>3</v>
      </c>
      <c r="AD335" s="14">
        <v>2</v>
      </c>
      <c r="AE335" s="14">
        <v>3</v>
      </c>
      <c r="AF335" s="14">
        <v>4</v>
      </c>
      <c r="AG335" s="14">
        <f>IFERROR(AVERAGE(Tabel1[[#This Row],[Up - R1]:[Up - R5]]),"")</f>
        <v>2.6666666666666665</v>
      </c>
      <c r="AH335" s="14">
        <v>2</v>
      </c>
      <c r="AI335" s="14">
        <v>3</v>
      </c>
      <c r="AJ335" s="14">
        <v>3</v>
      </c>
      <c r="AK335" s="14">
        <f>IFERROR(AVERAGE(Tabel1[[#This Row],[Up - C1a]:[Up - C1c]]),"")</f>
        <v>2.6666666666666665</v>
      </c>
      <c r="AL335" s="14">
        <v>2</v>
      </c>
      <c r="AM335" s="14">
        <v>2</v>
      </c>
      <c r="AN335" s="14">
        <v>3</v>
      </c>
      <c r="AO335" s="14">
        <f>IFERROR(AVERAGE(Tabel1[[#This Row],[Up - C1]:[Up - C4]]),"")</f>
        <v>2.4166666666666665</v>
      </c>
      <c r="AP335" s="14">
        <v>2</v>
      </c>
      <c r="AQ335" s="14">
        <f>IFERROR(AVERAGE(Tabel1[[#This Row],[Up - F1a]:[Up - F1a]]),"")</f>
        <v>2</v>
      </c>
      <c r="AR335" s="14">
        <v>1</v>
      </c>
      <c r="AS335" s="14">
        <v>1</v>
      </c>
      <c r="AT335" s="14">
        <f>IFERROR(AVERAGE(Tabel1[[#This Row],[Up - F2a]:[Up - F2b]]),"")</f>
        <v>1</v>
      </c>
      <c r="AU335" s="14">
        <v>2</v>
      </c>
      <c r="AV335" s="14">
        <v>2</v>
      </c>
      <c r="AW335" s="14">
        <f>IFERROR(AVERAGE(Tabel1[[#This Row],[Up - F3a]:[Up - F3b]]),"")</f>
        <v>2</v>
      </c>
      <c r="AX335" s="14">
        <v>1</v>
      </c>
      <c r="AY335" s="14">
        <f>IFERROR(AVERAGE(Tabel1[[#This Row],[Up - F1]],Tabel1[[#This Row],[Up - F2]],Tabel1[[#This Row],[Up - F3]],Tabel1[[#This Row],[Up - F4]]),"")</f>
        <v>1.5</v>
      </c>
      <c r="AZ335" s="14">
        <v>2</v>
      </c>
      <c r="BA335" s="14">
        <v>2</v>
      </c>
      <c r="BB335" s="14">
        <f>IFERROR(AVERAGE(Tabel1[[#This Row],[Up - V1a]:[Up - V1b]]),"")</f>
        <v>2</v>
      </c>
      <c r="BC335" s="14">
        <v>2</v>
      </c>
      <c r="BD335" s="14">
        <v>2</v>
      </c>
      <c r="BE335" s="14">
        <v>2</v>
      </c>
      <c r="BF335" s="14">
        <f>IFERROR(AVERAGE(Tabel1[[#This Row],[Up - V2a]:[Up - V2c]]),"")</f>
        <v>2</v>
      </c>
      <c r="BG335" s="14">
        <v>1</v>
      </c>
      <c r="BH335" s="14">
        <v>1</v>
      </c>
      <c r="BI335" s="14">
        <f>IFERROR(AVERAGE(Tabel1[[#This Row],[Up - V3a]:[Up - V3b]]),"")</f>
        <v>1</v>
      </c>
      <c r="BJ335" s="14">
        <v>3</v>
      </c>
      <c r="BK335" s="14">
        <f>IFERROR(AVERAGE(Tabel1[[#This Row],[Up - V1]],Tabel1[[#This Row],[Up - V2]],Tabel1[[#This Row],[Up - V3]],Tabel1[[#This Row],[Up - V4]]),"")</f>
        <v>2</v>
      </c>
      <c r="BL335" s="14">
        <v>2</v>
      </c>
      <c r="BM335" s="14">
        <v>2</v>
      </c>
      <c r="BN335" s="14">
        <v>1</v>
      </c>
      <c r="BO335" s="14">
        <v>1</v>
      </c>
      <c r="BP335" s="14">
        <f>IFERROR(AVERAGE(Tabel1[[#This Row],[Up - A1a]:[Up - A1d]]),"")</f>
        <v>1.5</v>
      </c>
      <c r="BQ335" s="14">
        <v>1</v>
      </c>
      <c r="BR335" s="14">
        <v>1</v>
      </c>
      <c r="BS335" s="14">
        <f>IFERROR(AVERAGE(Tabel1[[#This Row],[Up - A2a]:[Up - A2b]]),"")</f>
        <v>1</v>
      </c>
      <c r="BT335" s="14">
        <v>1</v>
      </c>
      <c r="BU335" s="14">
        <f>IFERROR(AVERAGE(Tabel1[[#This Row],[Up - A3a]:[Up - A3a]]),"")</f>
        <v>1</v>
      </c>
      <c r="BV335" s="14">
        <v>2</v>
      </c>
      <c r="BW335" s="14">
        <f>IFERROR(AVERAGE(Tabel1[[#This Row],[Up - A1]],Tabel1[[#This Row],[Up - A2]],Tabel1[[#This Row],[Up - A3]]),"")</f>
        <v>1.1666666666666667</v>
      </c>
      <c r="BX335" s="14">
        <v>1</v>
      </c>
      <c r="BY335" s="14">
        <v>1</v>
      </c>
      <c r="BZ335" s="14">
        <f>IFERROR(AVERAGE(Tabel1[[#This Row],[In - R1a]:[In - R1b]]),"")</f>
        <v>1</v>
      </c>
      <c r="CA335" s="14">
        <v>3</v>
      </c>
      <c r="CB335" s="14">
        <v>1</v>
      </c>
      <c r="CC335" s="14">
        <v>3</v>
      </c>
      <c r="CD335" s="14">
        <v>4</v>
      </c>
      <c r="CE335" s="14">
        <f>IFERROR(AVERAGE(Tabel1[[#This Row],[In - R1]:[In - R5]]),"")</f>
        <v>2.4</v>
      </c>
      <c r="CF335" s="14">
        <v>3</v>
      </c>
      <c r="CG335" s="14">
        <v>3</v>
      </c>
      <c r="CH335" s="14">
        <v>3</v>
      </c>
      <c r="CI335" s="14">
        <f>IFERROR(AVERAGE(Tabel1[[#This Row],[In - C1a]:[In - C1c]]),"")</f>
        <v>3</v>
      </c>
      <c r="CJ335" s="14">
        <v>2</v>
      </c>
      <c r="CK335" s="14">
        <v>2</v>
      </c>
      <c r="CL335" s="14">
        <v>3</v>
      </c>
      <c r="CM335" s="14">
        <f>IFERROR(AVERAGE(Tabel1[[#This Row],[In - C1]:[In - C4]]),"")</f>
        <v>2.5</v>
      </c>
      <c r="CN335" s="14">
        <v>4</v>
      </c>
      <c r="CO335" s="14">
        <v>1</v>
      </c>
      <c r="CP335" s="14">
        <v>1</v>
      </c>
      <c r="CQ335" s="14">
        <f>IFERROR(AVERAGE(Tabel1[[#This Row],[In - F1a]:[In - F1c]]),"")</f>
        <v>2</v>
      </c>
      <c r="CR335" s="14">
        <v>2</v>
      </c>
      <c r="CS335" s="14">
        <v>1</v>
      </c>
      <c r="CT335" s="14">
        <f>IFERROR(AVERAGE(Tabel1[[#This Row],[In - F2a]:[In - F2b]]),"")</f>
        <v>1.5</v>
      </c>
      <c r="CU335" s="14">
        <v>1</v>
      </c>
      <c r="CV335" s="14">
        <f>IFERROR(AVERAGE(Tabel1[[#This Row],[In - F3a]:[In - F3a]]),"")</f>
        <v>1</v>
      </c>
      <c r="CW335" s="14">
        <v>1</v>
      </c>
      <c r="CX335" s="14">
        <f>IFERROR(AVERAGE(Tabel1[[#This Row],[In - F1]],Tabel1[[#This Row],[In - F2]],Tabel1[[#This Row],[In - F3]],Tabel1[[#This Row],[In - F4]]),"")</f>
        <v>1.375</v>
      </c>
      <c r="CY335" s="14">
        <v>2</v>
      </c>
      <c r="CZ335" s="14">
        <v>1</v>
      </c>
      <c r="DA335" s="14">
        <v>2</v>
      </c>
      <c r="DB335" s="14">
        <f>IFERROR(AVERAGE(Tabel1[[#This Row],[In - V1a]:[In - V1c]]),"")</f>
        <v>1.6666666666666667</v>
      </c>
      <c r="DC335" s="14">
        <v>1</v>
      </c>
      <c r="DD335" s="14">
        <v>1</v>
      </c>
      <c r="DE335" s="14">
        <v>1</v>
      </c>
      <c r="DF335" s="14">
        <f>IFERROR(AVERAGE(Tabel1[[#This Row],[In - V2a]:[In - V2c]]),"")</f>
        <v>1</v>
      </c>
      <c r="DG335" s="14">
        <v>1</v>
      </c>
      <c r="DH335" s="14">
        <v>3</v>
      </c>
      <c r="DI335" s="14">
        <f>IFERROR(AVERAGE(Tabel1[[#This Row],[In - V3a]:[In - V3b]]),"")</f>
        <v>2</v>
      </c>
      <c r="DJ335" s="14">
        <v>3</v>
      </c>
      <c r="DK335" s="14">
        <f>IFERROR(AVERAGE(Tabel1[[#This Row],[In - V1]],Tabel1[[#This Row],[In - V2]],Tabel1[[#This Row],[In - V3]],Tabel1[[#This Row],[In - V4]]),"")</f>
        <v>1.9166666666666667</v>
      </c>
      <c r="DL335" s="14">
        <v>1</v>
      </c>
      <c r="DM335" s="14">
        <v>1</v>
      </c>
      <c r="DN335" s="14">
        <f>IFERROR(AVERAGE(Tabel1[[#This Row],[In - A1a]:[In - A1b]]),"")</f>
        <v>1</v>
      </c>
      <c r="DO335" s="14">
        <v>1</v>
      </c>
      <c r="DP335" s="14">
        <v>4</v>
      </c>
      <c r="DQ335" s="14">
        <f>IFERROR(AVERAGE(Tabel1[[#This Row],[In - A2a]:[In - A2b]]),"")</f>
        <v>2.5</v>
      </c>
      <c r="DR335" s="14">
        <v>1</v>
      </c>
      <c r="DS335" s="14">
        <v>2</v>
      </c>
      <c r="DT335" s="14">
        <f>IFERROR(AVERAGE(Tabel1[[#This Row],[In - A3a]:[In - A3a]]),"")</f>
        <v>1</v>
      </c>
      <c r="DU335" s="14">
        <v>2</v>
      </c>
      <c r="DV335" s="14">
        <f>IFERROR(AVERAGE(Tabel1[[#This Row],[In - A1]],Tabel1[[#This Row],[In - A2]],Tabel1[[#This Row],[In - A3]],Tabel1[[#This Row],[In - A4]]),"")</f>
        <v>1.625</v>
      </c>
      <c r="DW335" s="14">
        <v>1</v>
      </c>
      <c r="DX335" s="14">
        <v>1</v>
      </c>
      <c r="DY335" s="14">
        <v>2</v>
      </c>
      <c r="DZ335" s="14">
        <f>IFERROR(AVERAGE(Tabel1[[#This Row],[Do - R1a]:[Do - R1c]]),"")</f>
        <v>1.3333333333333333</v>
      </c>
      <c r="EA335" s="14">
        <v>3</v>
      </c>
      <c r="EB335" s="14">
        <v>2</v>
      </c>
      <c r="EC335" s="14">
        <v>2</v>
      </c>
      <c r="ED335" s="14">
        <v>4</v>
      </c>
      <c r="EE335" s="14">
        <f>IFERROR(AVERAGE(Tabel1[[#This Row],[Do - R1]:[Do - R5]]),"")</f>
        <v>2.4666666666666663</v>
      </c>
      <c r="EF335" s="14">
        <v>2</v>
      </c>
      <c r="EG335" s="14">
        <v>3</v>
      </c>
      <c r="EH335" s="14">
        <v>3</v>
      </c>
      <c r="EI335" s="14">
        <f>IFERROR(AVERAGE(Tabel1[[#This Row],[Do - C1a]:[Do - C1c]]),"")</f>
        <v>2.6666666666666665</v>
      </c>
      <c r="EJ335" s="14">
        <v>2</v>
      </c>
      <c r="EK335" s="14">
        <v>2</v>
      </c>
      <c r="EL335" s="14">
        <v>3</v>
      </c>
      <c r="EM335" s="14">
        <f>IFERROR(AVERAGE(Tabel1[[#This Row],[Do - C1]:[Do - C4]]),"")</f>
        <v>2.4166666666666665</v>
      </c>
      <c r="EN335" s="14">
        <v>2</v>
      </c>
      <c r="EO335" s="14">
        <v>1</v>
      </c>
      <c r="EP335" s="14">
        <v>1</v>
      </c>
      <c r="EQ335" s="14">
        <f>IFERROR(AVERAGE(Tabel1[[#This Row],[Do - F1a]:[Do - F1c]]),"")</f>
        <v>1.3333333333333333</v>
      </c>
      <c r="ER335" s="14">
        <v>1</v>
      </c>
      <c r="ES335" s="14">
        <f>IFERROR(AVERAGE(Tabel1[[#This Row],[Do - F2a]:[Do - F2a]]),"")</f>
        <v>1</v>
      </c>
      <c r="ET335" s="14">
        <v>2</v>
      </c>
      <c r="EU335" s="14">
        <v>1</v>
      </c>
      <c r="EV335" s="14">
        <f>IFERROR(AVERAGE(Tabel1[[#This Row],[Do - F3a]:[Do - F3b]]),"")</f>
        <v>1.5</v>
      </c>
      <c r="EW335" s="14">
        <v>1</v>
      </c>
      <c r="EX335" s="14">
        <f>IFERROR(AVERAGE(Tabel1[[#This Row],[Do - F1]],Tabel1[[#This Row],[Do - F2]],Tabel1[[#This Row],[Do - F3]],Tabel1[[#This Row],[Do - F4]]),"")</f>
        <v>1.2083333333333333</v>
      </c>
      <c r="EY335" s="14">
        <v>2</v>
      </c>
      <c r="EZ335" s="14">
        <v>2</v>
      </c>
      <c r="FA335" s="14">
        <v>2</v>
      </c>
      <c r="FB335" s="14">
        <f>IFERROR(AVERAGE(Tabel1[[#This Row],[Do - V1a]:[Do - V1c]]),"")</f>
        <v>2</v>
      </c>
      <c r="FC335" s="14">
        <v>1</v>
      </c>
      <c r="FD335" s="14">
        <v>2</v>
      </c>
      <c r="FE335" s="14">
        <f>IFERROR(AVERAGE(Tabel1[[#This Row],[Do - V2a]:[Do - V2b]]),"")</f>
        <v>1.5</v>
      </c>
      <c r="FF335" s="14">
        <v>1</v>
      </c>
      <c r="FG335" s="14">
        <f>IFERROR(AVERAGE(Tabel1[[#This Row],[Do - V3a]:[Do - V3a]]),"")</f>
        <v>1</v>
      </c>
      <c r="FH335" s="14">
        <v>3</v>
      </c>
      <c r="FI335" s="14">
        <f>IFERROR(AVERAGE(Tabel1[[#This Row],[Do - V1]],Tabel1[[#This Row],[Do - V2]],Tabel1[[#This Row],[Do - V3]],Tabel1[[#This Row],[Do - V4]]),"")</f>
        <v>1.875</v>
      </c>
      <c r="FJ335" s="14">
        <v>2</v>
      </c>
      <c r="FK335" s="14">
        <v>1</v>
      </c>
      <c r="FL335" s="14">
        <v>3</v>
      </c>
      <c r="FM335" s="14">
        <f>IFERROR(AVERAGE(Tabel1[[#This Row],[Do - A1a]:[Do - A1c]]),"")</f>
        <v>2</v>
      </c>
      <c r="FN335" s="14">
        <v>1</v>
      </c>
      <c r="FO335" s="14">
        <v>1</v>
      </c>
      <c r="FP335" s="14">
        <f>IFERROR(AVERAGE(Tabel1[[#This Row],[Do - A2a]:[Do - A2b]]),"")</f>
        <v>1</v>
      </c>
      <c r="FQ335" s="14">
        <v>1</v>
      </c>
      <c r="FR335" s="14">
        <f>IFERROR(AVERAGE(Tabel1[[#This Row],[Do - A3a]:[Do - A3a]]),"")</f>
        <v>1</v>
      </c>
      <c r="FS335" s="14">
        <v>2</v>
      </c>
      <c r="FT335" s="14">
        <f>IFERROR(AVERAGE(Tabel1[[#This Row],[Do - A1]],Tabel1[[#This Row],[Do - A2]],Tabel1[[#This Row],[Do - A3]],Tabel1[[#This Row],[Do - A4]]),"")</f>
        <v>1.5</v>
      </c>
      <c r="FU33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1.9355555555555555</v>
      </c>
      <c r="FV335" s="27" t="s">
        <v>1735</v>
      </c>
      <c r="FW335" t="b">
        <v>1</v>
      </c>
    </row>
    <row r="336" spans="1:179" x14ac:dyDescent="0.3">
      <c r="A336" s="13">
        <v>45441.574340277803</v>
      </c>
      <c r="B336" t="b">
        <v>0</v>
      </c>
      <c r="C336" s="14" t="s">
        <v>1736</v>
      </c>
      <c r="D336" s="14" t="s">
        <v>1737</v>
      </c>
      <c r="E336" s="14" t="s">
        <v>1738</v>
      </c>
      <c r="F336" s="14" t="s">
        <v>189</v>
      </c>
      <c r="G336" s="33" t="s">
        <v>1739</v>
      </c>
      <c r="H336" s="14" t="s">
        <v>194</v>
      </c>
      <c r="I336" s="14" t="s">
        <v>243</v>
      </c>
      <c r="J336" s="14" t="s">
        <v>244</v>
      </c>
      <c r="K336" s="26" t="s">
        <v>304</v>
      </c>
      <c r="L336" s="14" t="s">
        <v>385</v>
      </c>
      <c r="M336" s="14" t="s">
        <v>281</v>
      </c>
      <c r="N336" s="14" t="s">
        <v>331</v>
      </c>
      <c r="O336" s="14" t="s">
        <v>256</v>
      </c>
      <c r="P336" s="24" t="s">
        <v>255</v>
      </c>
      <c r="Q336" s="17" t="s">
        <v>203</v>
      </c>
      <c r="R336" s="25" t="s">
        <v>202</v>
      </c>
      <c r="S336" s="25" t="s">
        <v>235</v>
      </c>
      <c r="T336" s="14" t="s">
        <v>204</v>
      </c>
      <c r="U336" s="14" t="s">
        <v>237</v>
      </c>
      <c r="V336" s="14" t="s">
        <v>359</v>
      </c>
      <c r="W336" s="14" t="s">
        <v>306</v>
      </c>
      <c r="X336" s="14" t="s">
        <v>306</v>
      </c>
      <c r="Y336" s="14">
        <v>2</v>
      </c>
      <c r="Z336" s="14">
        <v>2</v>
      </c>
      <c r="AA336" s="14">
        <v>2</v>
      </c>
      <c r="AB336" s="15">
        <f>IFERROR(AVERAGE(Tabel1[[#This Row],[Up - R1a]:[Up - R1c]]),"")</f>
        <v>2</v>
      </c>
      <c r="AC336" s="14">
        <v>2</v>
      </c>
      <c r="AD336" s="14">
        <v>4</v>
      </c>
      <c r="AE336" s="14">
        <v>2</v>
      </c>
      <c r="AF336" s="14">
        <v>3</v>
      </c>
      <c r="AG336" s="14">
        <f>IFERROR(AVERAGE(Tabel1[[#This Row],[Up - R1]:[Up - R5]]),"")</f>
        <v>2.6</v>
      </c>
      <c r="AH336" s="14">
        <v>2</v>
      </c>
      <c r="AI336" s="14">
        <v>4</v>
      </c>
      <c r="AJ336" s="14">
        <v>3</v>
      </c>
      <c r="AK336" s="14">
        <f>IFERROR(AVERAGE(Tabel1[[#This Row],[Up - C1a]:[Up - C1c]]),"")</f>
        <v>3</v>
      </c>
      <c r="AL336" s="14">
        <v>4</v>
      </c>
      <c r="AM336" s="14">
        <v>1</v>
      </c>
      <c r="AN336" s="14">
        <v>2</v>
      </c>
      <c r="AO336" s="14">
        <f>IFERROR(AVERAGE(Tabel1[[#This Row],[Up - C1]:[Up - C4]]),"")</f>
        <v>2.5</v>
      </c>
      <c r="AP336" s="14">
        <v>3</v>
      </c>
      <c r="AQ336" s="14">
        <f>IFERROR(AVERAGE(Tabel1[[#This Row],[Up - F1a]:[Up - F1a]]),"")</f>
        <v>3</v>
      </c>
      <c r="AR336" s="14">
        <v>2</v>
      </c>
      <c r="AS336" s="14">
        <v>1</v>
      </c>
      <c r="AT336" s="14">
        <f>IFERROR(AVERAGE(Tabel1[[#This Row],[Up - F2a]:[Up - F2b]]),"")</f>
        <v>1.5</v>
      </c>
      <c r="AU336" s="14">
        <v>3</v>
      </c>
      <c r="AV336" s="14">
        <v>2</v>
      </c>
      <c r="AW336" s="14">
        <f>IFERROR(AVERAGE(Tabel1[[#This Row],[Up - F3a]:[Up - F3b]]),"")</f>
        <v>2.5</v>
      </c>
      <c r="AX336" s="14">
        <v>1</v>
      </c>
      <c r="AY336" s="14">
        <f>IFERROR(AVERAGE(Tabel1[[#This Row],[Up - F1]],Tabel1[[#This Row],[Up - F2]],Tabel1[[#This Row],[Up - F3]],Tabel1[[#This Row],[Up - F4]]),"")</f>
        <v>2</v>
      </c>
      <c r="AZ336" s="14">
        <v>1</v>
      </c>
      <c r="BA336" s="14">
        <v>2</v>
      </c>
      <c r="BB336" s="14">
        <f>IFERROR(AVERAGE(Tabel1[[#This Row],[Up - V1a]:[Up - V1b]]),"")</f>
        <v>1.5</v>
      </c>
      <c r="BC336" s="14">
        <v>2</v>
      </c>
      <c r="BD336" s="14">
        <v>2</v>
      </c>
      <c r="BE336" s="14">
        <v>2</v>
      </c>
      <c r="BF336" s="14">
        <f>IFERROR(AVERAGE(Tabel1[[#This Row],[Up - V2a]:[Up - V2c]]),"")</f>
        <v>2</v>
      </c>
      <c r="BG336" s="14">
        <v>1</v>
      </c>
      <c r="BH336" s="14">
        <v>2</v>
      </c>
      <c r="BI336" s="14">
        <f>IFERROR(AVERAGE(Tabel1[[#This Row],[Up - V3a]:[Up - V3b]]),"")</f>
        <v>1.5</v>
      </c>
      <c r="BJ336" s="14">
        <v>2</v>
      </c>
      <c r="BK336" s="14">
        <f>IFERROR(AVERAGE(Tabel1[[#This Row],[Up - V1]],Tabel1[[#This Row],[Up - V2]],Tabel1[[#This Row],[Up - V3]],Tabel1[[#This Row],[Up - V4]]),"")</f>
        <v>1.75</v>
      </c>
      <c r="BL336" s="14">
        <v>3</v>
      </c>
      <c r="BM336" s="14">
        <v>2</v>
      </c>
      <c r="BN336" s="14">
        <v>2</v>
      </c>
      <c r="BO336" s="14">
        <v>1</v>
      </c>
      <c r="BP336" s="14">
        <f>IFERROR(AVERAGE(Tabel1[[#This Row],[Up - A1a]:[Up - A1d]]),"")</f>
        <v>2</v>
      </c>
      <c r="BQ336" s="14">
        <v>1</v>
      </c>
      <c r="BR336" s="14">
        <v>3</v>
      </c>
      <c r="BS336" s="14">
        <f>IFERROR(AVERAGE(Tabel1[[#This Row],[Up - A2a]:[Up - A2b]]),"")</f>
        <v>2</v>
      </c>
      <c r="BT336" s="14">
        <v>1</v>
      </c>
      <c r="BU336" s="14">
        <f>IFERROR(AVERAGE(Tabel1[[#This Row],[Up - A3a]:[Up - A3a]]),"")</f>
        <v>1</v>
      </c>
      <c r="BV336" s="14">
        <v>2</v>
      </c>
      <c r="BW336" s="14">
        <f>IFERROR(AVERAGE(Tabel1[[#This Row],[Up - A1]],Tabel1[[#This Row],[Up - A2]],Tabel1[[#This Row],[Up - A3]]),"")</f>
        <v>1.6666666666666667</v>
      </c>
      <c r="BX336" s="14">
        <v>1</v>
      </c>
      <c r="BY336" s="14">
        <v>1</v>
      </c>
      <c r="BZ336" s="14">
        <f>IFERROR(AVERAGE(Tabel1[[#This Row],[In - R1a]:[In - R1b]]),"")</f>
        <v>1</v>
      </c>
      <c r="CA336" s="14">
        <v>1</v>
      </c>
      <c r="CB336" s="14">
        <v>2</v>
      </c>
      <c r="CC336" s="14">
        <v>1</v>
      </c>
      <c r="CD336" s="14">
        <v>2</v>
      </c>
      <c r="CE336" s="14">
        <f>IFERROR(AVERAGE(Tabel1[[#This Row],[In - R1]:[In - R5]]),"")</f>
        <v>1.4</v>
      </c>
      <c r="CF336" s="14">
        <v>1</v>
      </c>
      <c r="CG336" s="14">
        <v>3</v>
      </c>
      <c r="CH336" s="14">
        <v>2</v>
      </c>
      <c r="CI336" s="14">
        <f>IFERROR(AVERAGE(Tabel1[[#This Row],[In - C1a]:[In - C1c]]),"")</f>
        <v>2</v>
      </c>
      <c r="CJ336" s="14">
        <v>2</v>
      </c>
      <c r="CK336" s="14">
        <v>3</v>
      </c>
      <c r="CL336" s="14">
        <v>1</v>
      </c>
      <c r="CM336" s="14">
        <f>IFERROR(AVERAGE(Tabel1[[#This Row],[In - C1]:[In - C4]]),"")</f>
        <v>2</v>
      </c>
      <c r="CN336" s="14">
        <v>2</v>
      </c>
      <c r="CO336" s="14">
        <v>2</v>
      </c>
      <c r="CP336" s="14">
        <v>3</v>
      </c>
      <c r="CQ336" s="14">
        <f>IFERROR(AVERAGE(Tabel1[[#This Row],[In - F1a]:[In - F1c]]),"")</f>
        <v>2.3333333333333335</v>
      </c>
      <c r="CR336" s="14">
        <v>2</v>
      </c>
      <c r="CS336" s="14">
        <v>1</v>
      </c>
      <c r="CT336" s="14">
        <f>IFERROR(AVERAGE(Tabel1[[#This Row],[In - F2a]:[In - F2b]]),"")</f>
        <v>1.5</v>
      </c>
      <c r="CU336" s="14">
        <v>2</v>
      </c>
      <c r="CV336" s="14">
        <f>IFERROR(AVERAGE(Tabel1[[#This Row],[In - F3a]:[In - F3a]]),"")</f>
        <v>2</v>
      </c>
      <c r="CW336" s="14">
        <v>1</v>
      </c>
      <c r="CX336" s="14">
        <f>IFERROR(AVERAGE(Tabel1[[#This Row],[In - F1]],Tabel1[[#This Row],[In - F2]],Tabel1[[#This Row],[In - F3]],Tabel1[[#This Row],[In - F4]]),"")</f>
        <v>1.7083333333333335</v>
      </c>
      <c r="CY336" s="14">
        <v>1</v>
      </c>
      <c r="CZ336" s="14">
        <v>3</v>
      </c>
      <c r="DA336" s="14" t="s">
        <v>189</v>
      </c>
      <c r="DB336" s="14">
        <f>IFERROR(AVERAGE(Tabel1[[#This Row],[In - V1a]:[In - V1c]]),"")</f>
        <v>2</v>
      </c>
      <c r="DC336" s="14">
        <v>2</v>
      </c>
      <c r="DD336" s="14">
        <v>1</v>
      </c>
      <c r="DE336" s="14">
        <v>2</v>
      </c>
      <c r="DF336" s="14">
        <f>IFERROR(AVERAGE(Tabel1[[#This Row],[In - V2a]:[In - V2c]]),"")</f>
        <v>1.6666666666666667</v>
      </c>
      <c r="DG336" s="14">
        <v>1</v>
      </c>
      <c r="DH336" s="14">
        <v>1</v>
      </c>
      <c r="DI336" s="14">
        <f>IFERROR(AVERAGE(Tabel1[[#This Row],[In - V3a]:[In - V3b]]),"")</f>
        <v>1</v>
      </c>
      <c r="DJ336" s="14">
        <v>2</v>
      </c>
      <c r="DK336" s="14">
        <f>IFERROR(AVERAGE(Tabel1[[#This Row],[In - V1]],Tabel1[[#This Row],[In - V2]],Tabel1[[#This Row],[In - V3]],Tabel1[[#This Row],[In - V4]]),"")</f>
        <v>1.6666666666666667</v>
      </c>
      <c r="DL336" s="14">
        <v>1</v>
      </c>
      <c r="DM336" s="14">
        <v>1</v>
      </c>
      <c r="DN336" s="14">
        <f>IFERROR(AVERAGE(Tabel1[[#This Row],[In - A1a]:[In - A1b]]),"")</f>
        <v>1</v>
      </c>
      <c r="DO336" s="14">
        <v>2</v>
      </c>
      <c r="DP336" s="14">
        <v>2</v>
      </c>
      <c r="DQ336" s="14">
        <f>IFERROR(AVERAGE(Tabel1[[#This Row],[In - A2a]:[In - A2b]]),"")</f>
        <v>2</v>
      </c>
      <c r="DR336" s="14">
        <v>3</v>
      </c>
      <c r="DS336" s="14">
        <v>1</v>
      </c>
      <c r="DT336" s="14">
        <f>IFERROR(AVERAGE(Tabel1[[#This Row],[In - A3a]:[In - A3a]]),"")</f>
        <v>3</v>
      </c>
      <c r="DU336" s="14">
        <v>1</v>
      </c>
      <c r="DV336" s="14">
        <f>IFERROR(AVERAGE(Tabel1[[#This Row],[In - A1]],Tabel1[[#This Row],[In - A2]],Tabel1[[#This Row],[In - A3]],Tabel1[[#This Row],[In - A4]]),"")</f>
        <v>1.75</v>
      </c>
      <c r="DW336" s="14">
        <v>3</v>
      </c>
      <c r="DX336" s="14">
        <v>1</v>
      </c>
      <c r="DY336" s="14">
        <v>2</v>
      </c>
      <c r="DZ336" s="14">
        <f>IFERROR(AVERAGE(Tabel1[[#This Row],[Do - R1a]:[Do - R1c]]),"")</f>
        <v>2</v>
      </c>
      <c r="EA336" s="14">
        <v>1</v>
      </c>
      <c r="EB336" s="14">
        <v>2</v>
      </c>
      <c r="EC336" s="14">
        <v>2</v>
      </c>
      <c r="ED336" s="14">
        <v>2</v>
      </c>
      <c r="EE336" s="14">
        <f>IFERROR(AVERAGE(Tabel1[[#This Row],[Do - R1]:[Do - R5]]),"")</f>
        <v>1.8</v>
      </c>
      <c r="EF336" s="14">
        <v>3</v>
      </c>
      <c r="EG336" s="14">
        <v>3</v>
      </c>
      <c r="EH336" s="14">
        <v>2</v>
      </c>
      <c r="EI336" s="14">
        <f>IFERROR(AVERAGE(Tabel1[[#This Row],[Do - C1a]:[Do - C1c]]),"")</f>
        <v>2.6666666666666665</v>
      </c>
      <c r="EJ336" s="14">
        <v>1</v>
      </c>
      <c r="EK336" s="14">
        <v>1</v>
      </c>
      <c r="EL336" s="14">
        <v>1</v>
      </c>
      <c r="EM336" s="14">
        <f>IFERROR(AVERAGE(Tabel1[[#This Row],[Do - C1]:[Do - C4]]),"")</f>
        <v>1.4166666666666665</v>
      </c>
      <c r="EN336" s="14">
        <v>1</v>
      </c>
      <c r="EO336" s="14">
        <v>2</v>
      </c>
      <c r="EP336" s="14">
        <v>3</v>
      </c>
      <c r="EQ336" s="14">
        <f>IFERROR(AVERAGE(Tabel1[[#This Row],[Do - F1a]:[Do - F1c]]),"")</f>
        <v>2</v>
      </c>
      <c r="ER336" s="14">
        <v>2</v>
      </c>
      <c r="ES336" s="14">
        <f>IFERROR(AVERAGE(Tabel1[[#This Row],[Do - F2a]:[Do - F2a]]),"")</f>
        <v>2</v>
      </c>
      <c r="ET336" s="14">
        <v>2</v>
      </c>
      <c r="EU336" s="14">
        <v>2</v>
      </c>
      <c r="EV336" s="14">
        <f>IFERROR(AVERAGE(Tabel1[[#This Row],[Do - F3a]:[Do - F3b]]),"")</f>
        <v>2</v>
      </c>
      <c r="EW336" s="14">
        <v>2</v>
      </c>
      <c r="EX336" s="14">
        <f>IFERROR(AVERAGE(Tabel1[[#This Row],[Do - F1]],Tabel1[[#This Row],[Do - F2]],Tabel1[[#This Row],[Do - F3]],Tabel1[[#This Row],[Do - F4]]),"")</f>
        <v>2</v>
      </c>
      <c r="EY336" s="14">
        <v>1</v>
      </c>
      <c r="EZ336" s="14">
        <v>2</v>
      </c>
      <c r="FA336" s="14" t="s">
        <v>189</v>
      </c>
      <c r="FB336" s="14">
        <f>IFERROR(AVERAGE(Tabel1[[#This Row],[Do - V1a]:[Do - V1c]]),"")</f>
        <v>1.5</v>
      </c>
      <c r="FC336" s="14">
        <v>1</v>
      </c>
      <c r="FD336" s="14">
        <v>1</v>
      </c>
      <c r="FE336" s="14">
        <f>IFERROR(AVERAGE(Tabel1[[#This Row],[Do - V2a]:[Do - V2b]]),"")</f>
        <v>1</v>
      </c>
      <c r="FF336" s="14">
        <v>2</v>
      </c>
      <c r="FG336" s="14">
        <f>IFERROR(AVERAGE(Tabel1[[#This Row],[Do - V3a]:[Do - V3a]]),"")</f>
        <v>2</v>
      </c>
      <c r="FH336" s="14">
        <v>2</v>
      </c>
      <c r="FI336" s="14">
        <f>IFERROR(AVERAGE(Tabel1[[#This Row],[Do - V1]],Tabel1[[#This Row],[Do - V2]],Tabel1[[#This Row],[Do - V3]],Tabel1[[#This Row],[Do - V4]]),"")</f>
        <v>1.625</v>
      </c>
      <c r="FJ336" s="14">
        <v>1</v>
      </c>
      <c r="FK336" s="14">
        <v>2</v>
      </c>
      <c r="FL336" s="14">
        <v>1</v>
      </c>
      <c r="FM336" s="14">
        <f>IFERROR(AVERAGE(Tabel1[[#This Row],[Do - A1a]:[Do - A1c]]),"")</f>
        <v>1.3333333333333333</v>
      </c>
      <c r="FN336" s="14">
        <v>2</v>
      </c>
      <c r="FO336" s="14">
        <v>2</v>
      </c>
      <c r="FP336" s="14">
        <f>IFERROR(AVERAGE(Tabel1[[#This Row],[Do - A2a]:[Do - A2b]]),"")</f>
        <v>2</v>
      </c>
      <c r="FQ336" s="14">
        <v>2</v>
      </c>
      <c r="FR336" s="14">
        <f>IFERROR(AVERAGE(Tabel1[[#This Row],[Do - A3a]:[Do - A3a]]),"")</f>
        <v>2</v>
      </c>
      <c r="FS336" s="14">
        <v>1</v>
      </c>
      <c r="FT336" s="14">
        <f>IFERROR(AVERAGE(Tabel1[[#This Row],[Do - A1]],Tabel1[[#This Row],[Do - A2]],Tabel1[[#This Row],[Do - A3]],Tabel1[[#This Row],[Do - A4]]),"")</f>
        <v>1.5833333333333333</v>
      </c>
      <c r="FU33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1.8311111111111111</v>
      </c>
      <c r="FV336" s="27" t="s">
        <v>1740</v>
      </c>
      <c r="FW336" t="b">
        <v>1</v>
      </c>
    </row>
    <row r="337" spans="1:179" x14ac:dyDescent="0.3">
      <c r="A337" s="13">
        <v>45442.525671296302</v>
      </c>
      <c r="B337" t="b">
        <v>0</v>
      </c>
      <c r="C337" s="14" t="s">
        <v>1741</v>
      </c>
      <c r="D337" s="14" t="s">
        <v>1226</v>
      </c>
      <c r="E337" s="14" t="s">
        <v>1742</v>
      </c>
      <c r="F337" s="14" t="s">
        <v>184</v>
      </c>
      <c r="G337" s="14" t="s">
        <v>1743</v>
      </c>
      <c r="H337" s="14" t="s">
        <v>222</v>
      </c>
      <c r="I337" s="14" t="s">
        <v>243</v>
      </c>
      <c r="J337" s="14" t="s">
        <v>248</v>
      </c>
      <c r="K337" s="28" t="s">
        <v>203</v>
      </c>
      <c r="L337" s="14" t="s">
        <v>218</v>
      </c>
      <c r="M337" s="14" t="s">
        <v>233</v>
      </c>
      <c r="N337" s="14" t="s">
        <v>316</v>
      </c>
      <c r="O337" s="14" t="s">
        <v>200</v>
      </c>
      <c r="P337" s="24" t="s">
        <v>255</v>
      </c>
      <c r="Q337" s="17" t="s">
        <v>201</v>
      </c>
      <c r="R337" s="25" t="s">
        <v>235</v>
      </c>
      <c r="S337" s="25" t="s">
        <v>235</v>
      </c>
      <c r="T337" s="14" t="s">
        <v>348</v>
      </c>
      <c r="U337" s="14" t="s">
        <v>349</v>
      </c>
      <c r="V337" s="14" t="s">
        <v>224</v>
      </c>
      <c r="W337" s="14" t="s">
        <v>207</v>
      </c>
      <c r="X337" s="14" t="s">
        <v>395</v>
      </c>
      <c r="Y337" s="14">
        <v>2</v>
      </c>
      <c r="Z337" s="14">
        <v>4</v>
      </c>
      <c r="AA337" s="14" t="s">
        <v>189</v>
      </c>
      <c r="AB337" s="15">
        <f>IFERROR(AVERAGE(Tabel1[[#This Row],[Up - R1a]:[Up - R1c]]),"")</f>
        <v>3</v>
      </c>
      <c r="AC337" s="14">
        <v>2</v>
      </c>
      <c r="AD337" s="14">
        <v>2</v>
      </c>
      <c r="AE337" s="14" t="s">
        <v>189</v>
      </c>
      <c r="AF337" s="14">
        <v>3</v>
      </c>
      <c r="AG337" s="14">
        <f>IFERROR(AVERAGE(Tabel1[[#This Row],[Up - R1]:[Up - R5]]),"")</f>
        <v>2.5</v>
      </c>
      <c r="AH337" s="14">
        <v>4</v>
      </c>
      <c r="AI337" s="14">
        <v>2</v>
      </c>
      <c r="AJ337" s="14">
        <v>2</v>
      </c>
      <c r="AK337" s="14">
        <f>IFERROR(AVERAGE(Tabel1[[#This Row],[Up - C1a]:[Up - C1c]]),"")</f>
        <v>2.6666666666666665</v>
      </c>
      <c r="AL337" s="14">
        <v>2</v>
      </c>
      <c r="AM337" s="14">
        <v>3</v>
      </c>
      <c r="AN337" s="14">
        <v>2</v>
      </c>
      <c r="AO337" s="14">
        <f>IFERROR(AVERAGE(Tabel1[[#This Row],[Up - C1]:[Up - C4]]),"")</f>
        <v>2.4166666666666665</v>
      </c>
      <c r="AP337" s="14">
        <v>2</v>
      </c>
      <c r="AQ337" s="14">
        <f>IFERROR(AVERAGE(Tabel1[[#This Row],[Up - F1a]:[Up - F1a]]),"")</f>
        <v>2</v>
      </c>
      <c r="AR337" s="14" t="s">
        <v>189</v>
      </c>
      <c r="AS337" s="14" t="s">
        <v>189</v>
      </c>
      <c r="AT337" s="14" t="str">
        <f>IFERROR(AVERAGE(Tabel1[[#This Row],[Up - F2a]:[Up - F2b]]),"")</f>
        <v/>
      </c>
      <c r="AU337" s="14">
        <v>3</v>
      </c>
      <c r="AV337" s="14" t="s">
        <v>189</v>
      </c>
      <c r="AW337" s="14">
        <f>IFERROR(AVERAGE(Tabel1[[#This Row],[Up - F3a]:[Up - F3b]]),"")</f>
        <v>3</v>
      </c>
      <c r="AX337" s="14">
        <v>3</v>
      </c>
      <c r="AY337" s="14">
        <f>IFERROR(AVERAGE(Tabel1[[#This Row],[Up - F1]],Tabel1[[#This Row],[Up - F2]],Tabel1[[#This Row],[Up - F3]],Tabel1[[#This Row],[Up - F4]]),"")</f>
        <v>2.6666666666666665</v>
      </c>
      <c r="AZ337" s="14">
        <v>3</v>
      </c>
      <c r="BA337" s="14">
        <v>4</v>
      </c>
      <c r="BB337" s="14">
        <f>IFERROR(AVERAGE(Tabel1[[#This Row],[Up - V1a]:[Up - V1b]]),"")</f>
        <v>3.5</v>
      </c>
      <c r="BC337" s="14">
        <v>2</v>
      </c>
      <c r="BD337" s="14">
        <v>2</v>
      </c>
      <c r="BE337" s="14">
        <v>2</v>
      </c>
      <c r="BF337" s="14">
        <f>IFERROR(AVERAGE(Tabel1[[#This Row],[Up - V2a]:[Up - V2c]]),"")</f>
        <v>2</v>
      </c>
      <c r="BG337" s="14">
        <v>2</v>
      </c>
      <c r="BH337" s="14">
        <v>2</v>
      </c>
      <c r="BI337" s="14">
        <f>IFERROR(AVERAGE(Tabel1[[#This Row],[Up - V3a]:[Up - V3b]]),"")</f>
        <v>2</v>
      </c>
      <c r="BJ337" s="14">
        <v>3</v>
      </c>
      <c r="BK337" s="14">
        <f>IFERROR(AVERAGE(Tabel1[[#This Row],[Up - V1]],Tabel1[[#This Row],[Up - V2]],Tabel1[[#This Row],[Up - V3]],Tabel1[[#This Row],[Up - V4]]),"")</f>
        <v>2.625</v>
      </c>
      <c r="BL337" s="14">
        <v>3</v>
      </c>
      <c r="BM337" s="14">
        <v>4</v>
      </c>
      <c r="BN337" s="14">
        <v>4</v>
      </c>
      <c r="BO337" s="14">
        <v>3</v>
      </c>
      <c r="BP337" s="14">
        <f>IFERROR(AVERAGE(Tabel1[[#This Row],[Up - A1a]:[Up - A1d]]),"")</f>
        <v>3.5</v>
      </c>
      <c r="BQ337" s="14">
        <v>2</v>
      </c>
      <c r="BR337" s="14">
        <v>2</v>
      </c>
      <c r="BS337" s="14">
        <f>IFERROR(AVERAGE(Tabel1[[#This Row],[Up - A2a]:[Up - A2b]]),"")</f>
        <v>2</v>
      </c>
      <c r="BT337" s="14">
        <v>2</v>
      </c>
      <c r="BU337" s="14">
        <f>IFERROR(AVERAGE(Tabel1[[#This Row],[Up - A3a]:[Up - A3a]]),"")</f>
        <v>2</v>
      </c>
      <c r="BV337" s="14">
        <v>4</v>
      </c>
      <c r="BW337" s="14">
        <f>IFERROR(AVERAGE(Tabel1[[#This Row],[Up - A1]],Tabel1[[#This Row],[Up - A2]],Tabel1[[#This Row],[Up - A3]]),"")</f>
        <v>2.5</v>
      </c>
      <c r="BX337" s="14">
        <v>3</v>
      </c>
      <c r="BY337" s="14" t="s">
        <v>189</v>
      </c>
      <c r="BZ337" s="14">
        <f>IFERROR(AVERAGE(Tabel1[[#This Row],[In - R1a]:[In - R1b]]),"")</f>
        <v>3</v>
      </c>
      <c r="CA337" s="14">
        <v>4</v>
      </c>
      <c r="CB337" s="14" t="s">
        <v>189</v>
      </c>
      <c r="CC337" s="14">
        <v>1</v>
      </c>
      <c r="CD337" s="14">
        <v>4</v>
      </c>
      <c r="CE337" s="14">
        <f>IFERROR(AVERAGE(Tabel1[[#This Row],[In - R1]:[In - R5]]),"")</f>
        <v>3</v>
      </c>
      <c r="CF337" s="14">
        <v>3</v>
      </c>
      <c r="CG337" s="14">
        <v>3</v>
      </c>
      <c r="CH337" s="14">
        <v>3</v>
      </c>
      <c r="CI337" s="14">
        <f>IFERROR(AVERAGE(Tabel1[[#This Row],[In - C1a]:[In - C1c]]),"")</f>
        <v>3</v>
      </c>
      <c r="CJ337" s="14">
        <v>2</v>
      </c>
      <c r="CK337" s="14">
        <v>4</v>
      </c>
      <c r="CL337" s="14">
        <v>2</v>
      </c>
      <c r="CM337" s="14">
        <f>IFERROR(AVERAGE(Tabel1[[#This Row],[In - C1]:[In - C4]]),"")</f>
        <v>2.75</v>
      </c>
      <c r="CN337" s="14">
        <v>3</v>
      </c>
      <c r="CO337" s="14">
        <v>3</v>
      </c>
      <c r="CP337" s="14">
        <v>1</v>
      </c>
      <c r="CQ337" s="14">
        <f>IFERROR(AVERAGE(Tabel1[[#This Row],[In - F1a]:[In - F1c]]),"")</f>
        <v>2.3333333333333335</v>
      </c>
      <c r="CR337" s="14" t="s">
        <v>189</v>
      </c>
      <c r="CS337" s="14" t="s">
        <v>189</v>
      </c>
      <c r="CT337" s="14" t="str">
        <f>IFERROR(AVERAGE(Tabel1[[#This Row],[In - F2a]:[In - F2b]]),"")</f>
        <v/>
      </c>
      <c r="CU337" s="14" t="s">
        <v>189</v>
      </c>
      <c r="CV337" s="14" t="str">
        <f>IFERROR(AVERAGE(Tabel1[[#This Row],[In - F3a]:[In - F3a]]),"")</f>
        <v/>
      </c>
      <c r="CW337" s="14">
        <v>4</v>
      </c>
      <c r="CX337" s="14">
        <f>IFERROR(AVERAGE(Tabel1[[#This Row],[In - F1]],Tabel1[[#This Row],[In - F2]],Tabel1[[#This Row],[In - F3]],Tabel1[[#This Row],[In - F4]]),"")</f>
        <v>3.166666666666667</v>
      </c>
      <c r="CY337" s="14">
        <v>3</v>
      </c>
      <c r="CZ337" s="14">
        <v>2</v>
      </c>
      <c r="DA337" s="14">
        <v>2</v>
      </c>
      <c r="DB337" s="14">
        <f>IFERROR(AVERAGE(Tabel1[[#This Row],[In - V1a]:[In - V1c]]),"")</f>
        <v>2.3333333333333335</v>
      </c>
      <c r="DC337" s="14">
        <v>3</v>
      </c>
      <c r="DD337" s="14">
        <v>3</v>
      </c>
      <c r="DE337" s="14">
        <v>3</v>
      </c>
      <c r="DF337" s="14">
        <f>IFERROR(AVERAGE(Tabel1[[#This Row],[In - V2a]:[In - V2c]]),"")</f>
        <v>3</v>
      </c>
      <c r="DG337" s="14">
        <v>3</v>
      </c>
      <c r="DH337" s="14">
        <v>4</v>
      </c>
      <c r="DI337" s="14">
        <f>IFERROR(AVERAGE(Tabel1[[#This Row],[In - V3a]:[In - V3b]]),"")</f>
        <v>3.5</v>
      </c>
      <c r="DJ337" s="14">
        <v>3</v>
      </c>
      <c r="DK337" s="14">
        <f>IFERROR(AVERAGE(Tabel1[[#This Row],[In - V1]],Tabel1[[#This Row],[In - V2]],Tabel1[[#This Row],[In - V3]],Tabel1[[#This Row],[In - V4]]),"")</f>
        <v>2.9583333333333335</v>
      </c>
      <c r="DL337" s="14">
        <v>3</v>
      </c>
      <c r="DM337" s="14" t="s">
        <v>189</v>
      </c>
      <c r="DN337" s="14">
        <f>IFERROR(AVERAGE(Tabel1[[#This Row],[In - A1a]:[In - A1b]]),"")</f>
        <v>3</v>
      </c>
      <c r="DO337" s="14" t="s">
        <v>189</v>
      </c>
      <c r="DP337" s="14">
        <v>3</v>
      </c>
      <c r="DQ337" s="14">
        <f>IFERROR(AVERAGE(Tabel1[[#This Row],[In - A2a]:[In - A2b]]),"")</f>
        <v>3</v>
      </c>
      <c r="DR337" s="14">
        <v>4</v>
      </c>
      <c r="DS337" s="14">
        <v>3</v>
      </c>
      <c r="DT337" s="14">
        <f>IFERROR(AVERAGE(Tabel1[[#This Row],[In - A3a]:[In - A3a]]),"")</f>
        <v>4</v>
      </c>
      <c r="DU337" s="14">
        <v>3</v>
      </c>
      <c r="DV337" s="14">
        <f>IFERROR(AVERAGE(Tabel1[[#This Row],[In - A1]],Tabel1[[#This Row],[In - A2]],Tabel1[[#This Row],[In - A3]],Tabel1[[#This Row],[In - A4]]),"")</f>
        <v>3.25</v>
      </c>
      <c r="DW337" s="14">
        <v>4</v>
      </c>
      <c r="DX337" s="14">
        <v>3</v>
      </c>
      <c r="DY337" s="14">
        <v>3</v>
      </c>
      <c r="DZ337" s="14">
        <f>IFERROR(AVERAGE(Tabel1[[#This Row],[Do - R1a]:[Do - R1c]]),"")</f>
        <v>3.3333333333333335</v>
      </c>
      <c r="EA337" s="14" t="s">
        <v>189</v>
      </c>
      <c r="EB337" s="14">
        <v>2</v>
      </c>
      <c r="EC337" s="14">
        <v>1</v>
      </c>
      <c r="ED337" s="14">
        <v>4</v>
      </c>
      <c r="EE337" s="14">
        <f>IFERROR(AVERAGE(Tabel1[[#This Row],[Do - R1]:[Do - R5]]),"")</f>
        <v>2.5833333333333335</v>
      </c>
      <c r="EF337" s="14">
        <v>4</v>
      </c>
      <c r="EG337" s="14">
        <v>3</v>
      </c>
      <c r="EH337" s="14">
        <v>2</v>
      </c>
      <c r="EI337" s="14">
        <f>IFERROR(AVERAGE(Tabel1[[#This Row],[Do - C1a]:[Do - C1c]]),"")</f>
        <v>3</v>
      </c>
      <c r="EJ337" s="14">
        <v>2</v>
      </c>
      <c r="EK337" s="14">
        <v>3</v>
      </c>
      <c r="EL337" s="14">
        <v>2</v>
      </c>
      <c r="EM337" s="14">
        <f>IFERROR(AVERAGE(Tabel1[[#This Row],[Do - C1]:[Do - C4]]),"")</f>
        <v>2.5</v>
      </c>
      <c r="EN337" s="14">
        <v>2</v>
      </c>
      <c r="EO337" s="14">
        <v>1</v>
      </c>
      <c r="EP337" s="14">
        <v>4</v>
      </c>
      <c r="EQ337" s="14">
        <f>IFERROR(AVERAGE(Tabel1[[#This Row],[Do - F1a]:[Do - F1c]]),"")</f>
        <v>2.3333333333333335</v>
      </c>
      <c r="ER337" s="14">
        <v>2</v>
      </c>
      <c r="ES337" s="14">
        <f>IFERROR(AVERAGE(Tabel1[[#This Row],[Do - F2a]:[Do - F2a]]),"")</f>
        <v>2</v>
      </c>
      <c r="ET337" s="14">
        <v>3</v>
      </c>
      <c r="EU337" s="14">
        <v>4</v>
      </c>
      <c r="EV337" s="14">
        <f>IFERROR(AVERAGE(Tabel1[[#This Row],[Do - F3a]:[Do - F3b]]),"")</f>
        <v>3.5</v>
      </c>
      <c r="EW337" s="14">
        <v>4</v>
      </c>
      <c r="EX337" s="14">
        <f>IFERROR(AVERAGE(Tabel1[[#This Row],[Do - F1]],Tabel1[[#This Row],[Do - F2]],Tabel1[[#This Row],[Do - F3]],Tabel1[[#This Row],[Do - F4]]),"")</f>
        <v>2.9583333333333335</v>
      </c>
      <c r="EY337" s="14">
        <v>3</v>
      </c>
      <c r="EZ337" s="14">
        <v>2</v>
      </c>
      <c r="FA337" s="14">
        <v>3</v>
      </c>
      <c r="FB337" s="14">
        <f>IFERROR(AVERAGE(Tabel1[[#This Row],[Do - V1a]:[Do - V1c]]),"")</f>
        <v>2.6666666666666665</v>
      </c>
      <c r="FC337" s="14">
        <v>4</v>
      </c>
      <c r="FD337" s="14">
        <v>3</v>
      </c>
      <c r="FE337" s="14">
        <f>IFERROR(AVERAGE(Tabel1[[#This Row],[Do - V2a]:[Do - V2b]]),"")</f>
        <v>3.5</v>
      </c>
      <c r="FF337" s="14">
        <v>2</v>
      </c>
      <c r="FG337" s="14">
        <f>IFERROR(AVERAGE(Tabel1[[#This Row],[Do - V3a]:[Do - V3a]]),"")</f>
        <v>2</v>
      </c>
      <c r="FH337" s="14">
        <v>3</v>
      </c>
      <c r="FI337" s="14">
        <f>IFERROR(AVERAGE(Tabel1[[#This Row],[Do - V1]],Tabel1[[#This Row],[Do - V2]],Tabel1[[#This Row],[Do - V3]],Tabel1[[#This Row],[Do - V4]]),"")</f>
        <v>2.7916666666666665</v>
      </c>
      <c r="FJ337" s="14">
        <v>4</v>
      </c>
      <c r="FK337" s="14">
        <v>3</v>
      </c>
      <c r="FL337" s="14">
        <v>4</v>
      </c>
      <c r="FM337" s="14">
        <f>IFERROR(AVERAGE(Tabel1[[#This Row],[Do - A1a]:[Do - A1c]]),"")</f>
        <v>3.6666666666666665</v>
      </c>
      <c r="FN337" s="14" t="s">
        <v>189</v>
      </c>
      <c r="FO337" s="14">
        <v>3</v>
      </c>
      <c r="FP337" s="14">
        <f>IFERROR(AVERAGE(Tabel1[[#This Row],[Do - A2a]:[Do - A2b]]),"")</f>
        <v>3</v>
      </c>
      <c r="FQ337" s="14">
        <v>2</v>
      </c>
      <c r="FR337" s="14">
        <f>IFERROR(AVERAGE(Tabel1[[#This Row],[Do - A3a]:[Do - A3a]]),"")</f>
        <v>2</v>
      </c>
      <c r="FS337" s="14">
        <v>3</v>
      </c>
      <c r="FT337" s="14">
        <f>IFERROR(AVERAGE(Tabel1[[#This Row],[Do - A1]],Tabel1[[#This Row],[Do - A2]],Tabel1[[#This Row],[Do - A3]],Tabel1[[#This Row],[Do - A4]]),"")</f>
        <v>2.9166666666666665</v>
      </c>
      <c r="FU33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2.7722222222222217</v>
      </c>
      <c r="FV337" s="27" t="s">
        <v>1744</v>
      </c>
      <c r="FW337" t="b">
        <v>1</v>
      </c>
    </row>
    <row r="338" spans="1:179" x14ac:dyDescent="0.3">
      <c r="A338" s="13">
        <v>45442.836238425902</v>
      </c>
      <c r="B338" t="b">
        <v>0</v>
      </c>
      <c r="C338" s="14" t="s">
        <v>1745</v>
      </c>
      <c r="D338" s="14" t="s">
        <v>1746</v>
      </c>
      <c r="E338" s="14" t="s">
        <v>1747</v>
      </c>
      <c r="F338" s="14" t="s">
        <v>189</v>
      </c>
      <c r="G338" s="33" t="s">
        <v>1748</v>
      </c>
      <c r="H338" s="14" t="s">
        <v>194</v>
      </c>
      <c r="I338" s="14" t="s">
        <v>385</v>
      </c>
      <c r="J338" s="14"/>
      <c r="K338" s="28"/>
      <c r="L338" s="14"/>
      <c r="M338" s="14"/>
      <c r="N338" s="14"/>
      <c r="O338" s="14"/>
      <c r="P338" s="25"/>
      <c r="Q338" s="17"/>
      <c r="R338" s="25"/>
      <c r="S338" s="25"/>
      <c r="T338" s="14"/>
      <c r="U338" s="14"/>
      <c r="V338" s="14"/>
      <c r="W338" s="14"/>
      <c r="X338" s="14"/>
      <c r="Y338" s="14">
        <v>3</v>
      </c>
      <c r="Z338" s="14">
        <v>4</v>
      </c>
      <c r="AA338" s="14">
        <v>3</v>
      </c>
      <c r="AB338" s="15">
        <f>IFERROR(AVERAGE(Tabel1[[#This Row],[Up - R1a]:[Up - R1c]]),"")</f>
        <v>3.3333333333333335</v>
      </c>
      <c r="AC338" s="14">
        <v>3</v>
      </c>
      <c r="AD338" s="14">
        <v>5</v>
      </c>
      <c r="AE338" s="14">
        <v>1</v>
      </c>
      <c r="AF338" s="14">
        <v>4</v>
      </c>
      <c r="AG338" s="14">
        <f>IFERROR(AVERAGE(Tabel1[[#This Row],[Up - R1]:[Up - R5]]),"")</f>
        <v>3.2666666666666671</v>
      </c>
      <c r="AH338" s="14">
        <v>5</v>
      </c>
      <c r="AI338" s="14">
        <v>4</v>
      </c>
      <c r="AJ338" s="14">
        <v>2</v>
      </c>
      <c r="AK338" s="14">
        <f>IFERROR(AVERAGE(Tabel1[[#This Row],[Up - C1a]:[Up - C1c]]),"")</f>
        <v>3.6666666666666665</v>
      </c>
      <c r="AL338" s="14">
        <v>4</v>
      </c>
      <c r="AM338" s="14">
        <v>3</v>
      </c>
      <c r="AN338" s="14">
        <v>4</v>
      </c>
      <c r="AO338" s="14">
        <f>IFERROR(AVERAGE(Tabel1[[#This Row],[Up - C1]:[Up - C4]]),"")</f>
        <v>3.6666666666666665</v>
      </c>
      <c r="AP338" s="14">
        <v>4</v>
      </c>
      <c r="AQ338" s="14">
        <f>IFERROR(AVERAGE(Tabel1[[#This Row],[Up - F1a]:[Up - F1a]]),"")</f>
        <v>4</v>
      </c>
      <c r="AR338" s="14">
        <v>2</v>
      </c>
      <c r="AS338" s="14">
        <v>1</v>
      </c>
      <c r="AT338" s="14">
        <f>IFERROR(AVERAGE(Tabel1[[#This Row],[Up - F2a]:[Up - F2b]]),"")</f>
        <v>1.5</v>
      </c>
      <c r="AU338" s="14">
        <v>3</v>
      </c>
      <c r="AV338" s="14">
        <v>3</v>
      </c>
      <c r="AW338" s="14">
        <f>IFERROR(AVERAGE(Tabel1[[#This Row],[Up - F3a]:[Up - F3b]]),"")</f>
        <v>3</v>
      </c>
      <c r="AX338" s="14" t="s">
        <v>189</v>
      </c>
      <c r="AY338" s="14">
        <f>IFERROR(AVERAGE(Tabel1[[#This Row],[Up - F1]],Tabel1[[#This Row],[Up - F2]],Tabel1[[#This Row],[Up - F3]],Tabel1[[#This Row],[Up - F4]]),"")</f>
        <v>2.8333333333333335</v>
      </c>
      <c r="AZ338" s="14">
        <v>3</v>
      </c>
      <c r="BA338" s="14" t="s">
        <v>189</v>
      </c>
      <c r="BB338" s="14">
        <f>IFERROR(AVERAGE(Tabel1[[#This Row],[Up - V1a]:[Up - V1b]]),"")</f>
        <v>3</v>
      </c>
      <c r="BC338" s="14">
        <v>2</v>
      </c>
      <c r="BD338" s="14">
        <v>1</v>
      </c>
      <c r="BE338" s="14">
        <v>3</v>
      </c>
      <c r="BF338" s="14">
        <f>IFERROR(AVERAGE(Tabel1[[#This Row],[Up - V2a]:[Up - V2c]]),"")</f>
        <v>2</v>
      </c>
      <c r="BG338" s="14">
        <v>2</v>
      </c>
      <c r="BH338" s="14">
        <v>4</v>
      </c>
      <c r="BI338" s="14">
        <f>IFERROR(AVERAGE(Tabel1[[#This Row],[Up - V3a]:[Up - V3b]]),"")</f>
        <v>3</v>
      </c>
      <c r="BJ338" s="14">
        <v>4</v>
      </c>
      <c r="BK338" s="14">
        <f>IFERROR(AVERAGE(Tabel1[[#This Row],[Up - V1]],Tabel1[[#This Row],[Up - V2]],Tabel1[[#This Row],[Up - V3]],Tabel1[[#This Row],[Up - V4]]),"")</f>
        <v>3</v>
      </c>
      <c r="BL338" s="14">
        <v>4</v>
      </c>
      <c r="BM338" s="14">
        <v>5</v>
      </c>
      <c r="BN338" s="14">
        <v>3</v>
      </c>
      <c r="BO338" s="14" t="s">
        <v>189</v>
      </c>
      <c r="BP338" s="14">
        <f>IFERROR(AVERAGE(Tabel1[[#This Row],[Up - A1a]:[Up - A1d]]),"")</f>
        <v>4</v>
      </c>
      <c r="BQ338" s="14" t="s">
        <v>189</v>
      </c>
      <c r="BR338" s="14">
        <v>5</v>
      </c>
      <c r="BS338" s="14">
        <f>IFERROR(AVERAGE(Tabel1[[#This Row],[Up - A2a]:[Up - A2b]]),"")</f>
        <v>5</v>
      </c>
      <c r="BT338" s="14">
        <v>4</v>
      </c>
      <c r="BU338" s="14">
        <f>IFERROR(AVERAGE(Tabel1[[#This Row],[Up - A3a]:[Up - A3a]]),"")</f>
        <v>4</v>
      </c>
      <c r="BV338" s="14" t="s">
        <v>189</v>
      </c>
      <c r="BW338" s="14">
        <f>IFERROR(AVERAGE(Tabel1[[#This Row],[Up - A1]],Tabel1[[#This Row],[Up - A2]],Tabel1[[#This Row],[Up - A3]]),"")</f>
        <v>4.333333333333333</v>
      </c>
      <c r="BX338" s="14">
        <v>3</v>
      </c>
      <c r="BY338" s="14">
        <v>4</v>
      </c>
      <c r="BZ338" s="14">
        <f>IFERROR(AVERAGE(Tabel1[[#This Row],[In - R1a]:[In - R1b]]),"")</f>
        <v>3.5</v>
      </c>
      <c r="CA338" s="14">
        <v>2</v>
      </c>
      <c r="CB338" s="14">
        <v>5</v>
      </c>
      <c r="CC338" s="14">
        <v>1</v>
      </c>
      <c r="CD338" s="14">
        <v>4</v>
      </c>
      <c r="CE338" s="14">
        <f>IFERROR(AVERAGE(Tabel1[[#This Row],[In - R1]:[In - R5]]),"")</f>
        <v>3.1</v>
      </c>
      <c r="CF338" s="14">
        <v>4</v>
      </c>
      <c r="CG338" s="14">
        <v>2</v>
      </c>
      <c r="CH338" s="14">
        <v>3</v>
      </c>
      <c r="CI338" s="14">
        <f>IFERROR(AVERAGE(Tabel1[[#This Row],[In - C1a]:[In - C1c]]),"")</f>
        <v>3</v>
      </c>
      <c r="CJ338" s="14">
        <v>1</v>
      </c>
      <c r="CK338" s="14">
        <v>2</v>
      </c>
      <c r="CL338" s="14">
        <v>1</v>
      </c>
      <c r="CM338" s="14">
        <f>IFERROR(AVERAGE(Tabel1[[#This Row],[In - C1]:[In - C4]]),"")</f>
        <v>1.75</v>
      </c>
      <c r="CN338" s="14">
        <v>2</v>
      </c>
      <c r="CO338" s="14">
        <v>3</v>
      </c>
      <c r="CP338" s="14">
        <v>1</v>
      </c>
      <c r="CQ338" s="14">
        <f>IFERROR(AVERAGE(Tabel1[[#This Row],[In - F1a]:[In - F1c]]),"")</f>
        <v>2</v>
      </c>
      <c r="CR338" s="14">
        <v>4</v>
      </c>
      <c r="CS338" s="14">
        <v>1</v>
      </c>
      <c r="CT338" s="14">
        <f>IFERROR(AVERAGE(Tabel1[[#This Row],[In - F2a]:[In - F2b]]),"")</f>
        <v>2.5</v>
      </c>
      <c r="CU338" s="14">
        <v>4</v>
      </c>
      <c r="CV338" s="14">
        <f>IFERROR(AVERAGE(Tabel1[[#This Row],[In - F3a]:[In - F3a]]),"")</f>
        <v>4</v>
      </c>
      <c r="CW338" s="14" t="s">
        <v>189</v>
      </c>
      <c r="CX338" s="14">
        <f>IFERROR(AVERAGE(Tabel1[[#This Row],[In - F1]],Tabel1[[#This Row],[In - F2]],Tabel1[[#This Row],[In - F3]],Tabel1[[#This Row],[In - F4]]),"")</f>
        <v>2.8333333333333335</v>
      </c>
      <c r="CY338" s="14">
        <v>4</v>
      </c>
      <c r="CZ338" s="14">
        <v>3</v>
      </c>
      <c r="DA338" s="14">
        <v>1</v>
      </c>
      <c r="DB338" s="14">
        <f>IFERROR(AVERAGE(Tabel1[[#This Row],[In - V1a]:[In - V1c]]),"")</f>
        <v>2.6666666666666665</v>
      </c>
      <c r="DC338" s="14">
        <v>3</v>
      </c>
      <c r="DD338" s="14">
        <v>3</v>
      </c>
      <c r="DE338" s="14">
        <v>4</v>
      </c>
      <c r="DF338" s="14">
        <f>IFERROR(AVERAGE(Tabel1[[#This Row],[In - V2a]:[In - V2c]]),"")</f>
        <v>3.3333333333333335</v>
      </c>
      <c r="DG338" s="14">
        <v>2</v>
      </c>
      <c r="DH338" s="14">
        <v>3</v>
      </c>
      <c r="DI338" s="14">
        <f>IFERROR(AVERAGE(Tabel1[[#This Row],[In - V3a]:[In - V3b]]),"")</f>
        <v>2.5</v>
      </c>
      <c r="DJ338" s="14" t="s">
        <v>189</v>
      </c>
      <c r="DK338" s="14">
        <f>IFERROR(AVERAGE(Tabel1[[#This Row],[In - V1]],Tabel1[[#This Row],[In - V2]],Tabel1[[#This Row],[In - V3]],Tabel1[[#This Row],[In - V4]]),"")</f>
        <v>2.8333333333333335</v>
      </c>
      <c r="DL338" s="14">
        <v>3</v>
      </c>
      <c r="DM338" s="14">
        <v>2</v>
      </c>
      <c r="DN338" s="14">
        <f>IFERROR(AVERAGE(Tabel1[[#This Row],[In - A1a]:[In - A1b]]),"")</f>
        <v>2.5</v>
      </c>
      <c r="DO338" s="14">
        <v>4</v>
      </c>
      <c r="DP338" s="14">
        <v>3</v>
      </c>
      <c r="DQ338" s="14">
        <f>IFERROR(AVERAGE(Tabel1[[#This Row],[In - A2a]:[In - A2b]]),"")</f>
        <v>3.5</v>
      </c>
      <c r="DR338" s="14">
        <v>5</v>
      </c>
      <c r="DS338" s="14">
        <v>2</v>
      </c>
      <c r="DT338" s="14">
        <f>IFERROR(AVERAGE(Tabel1[[#This Row],[In - A3a]:[In - A3a]]),"")</f>
        <v>5</v>
      </c>
      <c r="DU338" s="14" t="s">
        <v>189</v>
      </c>
      <c r="DV338" s="14">
        <f>IFERROR(AVERAGE(Tabel1[[#This Row],[In - A1]],Tabel1[[#This Row],[In - A2]],Tabel1[[#This Row],[In - A3]],Tabel1[[#This Row],[In - A4]]),"")</f>
        <v>3.6666666666666665</v>
      </c>
      <c r="DW338" s="14">
        <v>2</v>
      </c>
      <c r="DX338" s="14">
        <v>5</v>
      </c>
      <c r="DY338" s="14">
        <v>2</v>
      </c>
      <c r="DZ338" s="14">
        <f>IFERROR(AVERAGE(Tabel1[[#This Row],[Do - R1a]:[Do - R1c]]),"")</f>
        <v>3</v>
      </c>
      <c r="EA338" s="14">
        <v>1</v>
      </c>
      <c r="EB338" s="14">
        <v>5</v>
      </c>
      <c r="EC338" s="14">
        <v>1</v>
      </c>
      <c r="ED338" s="14">
        <v>4</v>
      </c>
      <c r="EE338" s="14">
        <f>IFERROR(AVERAGE(Tabel1[[#This Row],[Do - R1]:[Do - R5]]),"")</f>
        <v>2.8</v>
      </c>
      <c r="EF338" s="14">
        <v>4</v>
      </c>
      <c r="EG338" s="14">
        <v>4</v>
      </c>
      <c r="EH338" s="14">
        <v>2</v>
      </c>
      <c r="EI338" s="14">
        <f>IFERROR(AVERAGE(Tabel1[[#This Row],[Do - C1a]:[Do - C1c]]),"")</f>
        <v>3.3333333333333335</v>
      </c>
      <c r="EJ338" s="14">
        <v>5</v>
      </c>
      <c r="EK338" s="14">
        <v>3</v>
      </c>
      <c r="EL338" s="14">
        <v>4</v>
      </c>
      <c r="EM338" s="14">
        <f>IFERROR(AVERAGE(Tabel1[[#This Row],[Do - C1]:[Do - C4]]),"")</f>
        <v>3.8333333333333335</v>
      </c>
      <c r="EN338" s="14">
        <v>4</v>
      </c>
      <c r="EO338" s="14">
        <v>4</v>
      </c>
      <c r="EP338" s="14">
        <v>2</v>
      </c>
      <c r="EQ338" s="14">
        <f>IFERROR(AVERAGE(Tabel1[[#This Row],[Do - F1a]:[Do - F1c]]),"")</f>
        <v>3.3333333333333335</v>
      </c>
      <c r="ER338" s="14">
        <v>2</v>
      </c>
      <c r="ES338" s="14">
        <f>IFERROR(AVERAGE(Tabel1[[#This Row],[Do - F2a]:[Do - F2a]]),"")</f>
        <v>2</v>
      </c>
      <c r="ET338" s="14">
        <v>3</v>
      </c>
      <c r="EU338" s="14">
        <v>4</v>
      </c>
      <c r="EV338" s="14">
        <f>IFERROR(AVERAGE(Tabel1[[#This Row],[Do - F3a]:[Do - F3b]]),"")</f>
        <v>3.5</v>
      </c>
      <c r="EW338" s="14">
        <v>5</v>
      </c>
      <c r="EX338" s="14">
        <f>IFERROR(AVERAGE(Tabel1[[#This Row],[Do - F1]],Tabel1[[#This Row],[Do - F2]],Tabel1[[#This Row],[Do - F3]],Tabel1[[#This Row],[Do - F4]]),"")</f>
        <v>3.4583333333333335</v>
      </c>
      <c r="EY338" s="14">
        <v>5</v>
      </c>
      <c r="EZ338" s="14">
        <v>2</v>
      </c>
      <c r="FA338" s="14">
        <v>3</v>
      </c>
      <c r="FB338" s="14">
        <f>IFERROR(AVERAGE(Tabel1[[#This Row],[Do - V1a]:[Do - V1c]]),"")</f>
        <v>3.3333333333333335</v>
      </c>
      <c r="FC338" s="14">
        <v>2</v>
      </c>
      <c r="FD338" s="14">
        <v>2</v>
      </c>
      <c r="FE338" s="14">
        <f>IFERROR(AVERAGE(Tabel1[[#This Row],[Do - V2a]:[Do - V2b]]),"")</f>
        <v>2</v>
      </c>
      <c r="FF338" s="14">
        <v>2</v>
      </c>
      <c r="FG338" s="14">
        <f>IFERROR(AVERAGE(Tabel1[[#This Row],[Do - V3a]:[Do - V3a]]),"")</f>
        <v>2</v>
      </c>
      <c r="FH338" s="14" t="s">
        <v>189</v>
      </c>
      <c r="FI338" s="14">
        <f>IFERROR(AVERAGE(Tabel1[[#This Row],[Do - V1]],Tabel1[[#This Row],[Do - V2]],Tabel1[[#This Row],[Do - V3]],Tabel1[[#This Row],[Do - V4]]),"")</f>
        <v>2.4444444444444446</v>
      </c>
      <c r="FJ338" s="14">
        <v>5</v>
      </c>
      <c r="FK338" s="14">
        <v>3</v>
      </c>
      <c r="FL338" s="14" t="s">
        <v>189</v>
      </c>
      <c r="FM338" s="14">
        <f>IFERROR(AVERAGE(Tabel1[[#This Row],[Do - A1a]:[Do - A1c]]),"")</f>
        <v>4</v>
      </c>
      <c r="FN338" s="14">
        <v>3</v>
      </c>
      <c r="FO338" s="14">
        <v>5</v>
      </c>
      <c r="FP338" s="14">
        <f>IFERROR(AVERAGE(Tabel1[[#This Row],[Do - A2a]:[Do - A2b]]),"")</f>
        <v>4</v>
      </c>
      <c r="FQ338" s="14">
        <v>4</v>
      </c>
      <c r="FR338" s="14">
        <f>IFERROR(AVERAGE(Tabel1[[#This Row],[Do - A3a]:[Do - A3a]]),"")</f>
        <v>4</v>
      </c>
      <c r="FS338" s="14" t="s">
        <v>189</v>
      </c>
      <c r="FT338" s="14">
        <f>IFERROR(AVERAGE(Tabel1[[#This Row],[Do - A1]],Tabel1[[#This Row],[Do - A2]],Tabel1[[#This Row],[Do - A3]],Tabel1[[#This Row],[Do - A4]]),"")</f>
        <v>4</v>
      </c>
      <c r="FU33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3.1879629629629633</v>
      </c>
      <c r="FV338" s="27" t="s">
        <v>1749</v>
      </c>
      <c r="FW338" t="b">
        <v>1</v>
      </c>
    </row>
    <row r="339" spans="1:179" x14ac:dyDescent="0.3">
      <c r="A339" s="13">
        <v>45443.373032407399</v>
      </c>
      <c r="B339" t="b">
        <v>0</v>
      </c>
      <c r="C339" s="14" t="s">
        <v>1750</v>
      </c>
      <c r="D339" s="14" t="s">
        <v>1751</v>
      </c>
      <c r="E339" s="14" t="s">
        <v>1752</v>
      </c>
      <c r="F339" s="14" t="s">
        <v>184</v>
      </c>
      <c r="G339" s="14" t="s">
        <v>1753</v>
      </c>
      <c r="H339" s="14" t="s">
        <v>194</v>
      </c>
      <c r="I339" s="14" t="s">
        <v>243</v>
      </c>
      <c r="J339" s="14" t="s">
        <v>248</v>
      </c>
      <c r="K339" s="28" t="s">
        <v>203</v>
      </c>
      <c r="L339" s="14" t="s">
        <v>218</v>
      </c>
      <c r="M339" s="14" t="s">
        <v>198</v>
      </c>
      <c r="N339" s="14" t="s">
        <v>262</v>
      </c>
      <c r="O339" s="14" t="s">
        <v>200</v>
      </c>
      <c r="P339" s="24" t="s">
        <v>304</v>
      </c>
      <c r="Q339" s="17" t="s">
        <v>304</v>
      </c>
      <c r="R339" s="25" t="s">
        <v>203</v>
      </c>
      <c r="S339" s="24" t="s">
        <v>304</v>
      </c>
      <c r="T339" s="14" t="s">
        <v>380</v>
      </c>
      <c r="U339" s="14" t="s">
        <v>285</v>
      </c>
      <c r="V339" s="14" t="s">
        <v>359</v>
      </c>
      <c r="W339" s="14" t="s">
        <v>395</v>
      </c>
      <c r="X339" s="14" t="s">
        <v>395</v>
      </c>
      <c r="Y339" s="14">
        <v>5</v>
      </c>
      <c r="Z339" s="14">
        <v>1</v>
      </c>
      <c r="AA339" s="14">
        <v>2</v>
      </c>
      <c r="AB339" s="15">
        <f>IFERROR(AVERAGE(Tabel1[[#This Row],[Up - R1a]:[Up - R1c]]),"")</f>
        <v>2.6666666666666665</v>
      </c>
      <c r="AC339" s="14">
        <v>3</v>
      </c>
      <c r="AD339" s="14" t="s">
        <v>189</v>
      </c>
      <c r="AE339" s="14">
        <v>3</v>
      </c>
      <c r="AF339" s="14">
        <v>3</v>
      </c>
      <c r="AG339" s="14">
        <f>IFERROR(AVERAGE(Tabel1[[#This Row],[Up - R1]:[Up - R5]]),"")</f>
        <v>2.9166666666666665</v>
      </c>
      <c r="AH339" s="14">
        <v>1</v>
      </c>
      <c r="AI339" s="14">
        <v>1</v>
      </c>
      <c r="AJ339" s="14">
        <v>1</v>
      </c>
      <c r="AK339" s="14">
        <f>IFERROR(AVERAGE(Tabel1[[#This Row],[Up - C1a]:[Up - C1c]]),"")</f>
        <v>1</v>
      </c>
      <c r="AL339" s="14">
        <v>1</v>
      </c>
      <c r="AM339" s="14">
        <v>1</v>
      </c>
      <c r="AN339" s="14">
        <v>1</v>
      </c>
      <c r="AO339" s="14">
        <f>IFERROR(AVERAGE(Tabel1[[#This Row],[Up - C1]:[Up - C4]]),"")</f>
        <v>1</v>
      </c>
      <c r="AP339" s="14">
        <v>1</v>
      </c>
      <c r="AQ339" s="14">
        <f>IFERROR(AVERAGE(Tabel1[[#This Row],[Up - F1a]:[Up - F1a]]),"")</f>
        <v>1</v>
      </c>
      <c r="AR339" s="14">
        <v>1</v>
      </c>
      <c r="AS339" s="14">
        <v>1</v>
      </c>
      <c r="AT339" s="14">
        <f>IFERROR(AVERAGE(Tabel1[[#This Row],[Up - F2a]:[Up - F2b]]),"")</f>
        <v>1</v>
      </c>
      <c r="AU339" s="14">
        <v>1</v>
      </c>
      <c r="AV339" s="14">
        <v>1</v>
      </c>
      <c r="AW339" s="14">
        <f>IFERROR(AVERAGE(Tabel1[[#This Row],[Up - F3a]:[Up - F3b]]),"")</f>
        <v>1</v>
      </c>
      <c r="AX339" s="14">
        <v>1</v>
      </c>
      <c r="AY339" s="14">
        <f>IFERROR(AVERAGE(Tabel1[[#This Row],[Up - F1]],Tabel1[[#This Row],[Up - F2]],Tabel1[[#This Row],[Up - F3]],Tabel1[[#This Row],[Up - F4]]),"")</f>
        <v>1</v>
      </c>
      <c r="AZ339" s="14">
        <v>1</v>
      </c>
      <c r="BA339" s="14">
        <v>1</v>
      </c>
      <c r="BB339" s="14">
        <f>IFERROR(AVERAGE(Tabel1[[#This Row],[Up - V1a]:[Up - V1b]]),"")</f>
        <v>1</v>
      </c>
      <c r="BC339" s="14">
        <v>1</v>
      </c>
      <c r="BD339" s="14">
        <v>1</v>
      </c>
      <c r="BE339" s="14">
        <v>1</v>
      </c>
      <c r="BF339" s="14">
        <f>IFERROR(AVERAGE(Tabel1[[#This Row],[Up - V2a]:[Up - V2c]]),"")</f>
        <v>1</v>
      </c>
      <c r="BG339" s="14">
        <v>1</v>
      </c>
      <c r="BH339" s="14">
        <v>1</v>
      </c>
      <c r="BI339" s="14">
        <f>IFERROR(AVERAGE(Tabel1[[#This Row],[Up - V3a]:[Up - V3b]]),"")</f>
        <v>1</v>
      </c>
      <c r="BJ339" s="14">
        <v>1</v>
      </c>
      <c r="BK339" s="14">
        <f>IFERROR(AVERAGE(Tabel1[[#This Row],[Up - V1]],Tabel1[[#This Row],[Up - V2]],Tabel1[[#This Row],[Up - V3]],Tabel1[[#This Row],[Up - V4]]),"")</f>
        <v>1</v>
      </c>
      <c r="BL339" s="14">
        <v>1</v>
      </c>
      <c r="BM339" s="14">
        <v>1</v>
      </c>
      <c r="BN339" s="14">
        <v>1</v>
      </c>
      <c r="BO339" s="14">
        <v>1</v>
      </c>
      <c r="BP339" s="14">
        <f>IFERROR(AVERAGE(Tabel1[[#This Row],[Up - A1a]:[Up - A1d]]),"")</f>
        <v>1</v>
      </c>
      <c r="BQ339" s="14">
        <v>1</v>
      </c>
      <c r="BR339" s="14">
        <v>1</v>
      </c>
      <c r="BS339" s="14">
        <f>IFERROR(AVERAGE(Tabel1[[#This Row],[Up - A2a]:[Up - A2b]]),"")</f>
        <v>1</v>
      </c>
      <c r="BT339" s="14">
        <v>1</v>
      </c>
      <c r="BU339" s="14">
        <f>IFERROR(AVERAGE(Tabel1[[#This Row],[Up - A3a]:[Up - A3a]]),"")</f>
        <v>1</v>
      </c>
      <c r="BV339" s="14">
        <v>1</v>
      </c>
      <c r="BW339" s="14">
        <f>IFERROR(AVERAGE(Tabel1[[#This Row],[Up - A1]],Tabel1[[#This Row],[Up - A2]],Tabel1[[#This Row],[Up - A3]]),"")</f>
        <v>1</v>
      </c>
      <c r="BX339" s="14">
        <v>5</v>
      </c>
      <c r="BY339" s="14">
        <v>2</v>
      </c>
      <c r="BZ339" s="14">
        <f>IFERROR(AVERAGE(Tabel1[[#This Row],[In - R1a]:[In - R1b]]),"")</f>
        <v>3.5</v>
      </c>
      <c r="CA339" s="14">
        <v>3</v>
      </c>
      <c r="CB339" s="14" t="s">
        <v>189</v>
      </c>
      <c r="CC339" s="14">
        <v>2</v>
      </c>
      <c r="CD339" s="14">
        <v>2</v>
      </c>
      <c r="CE339" s="14">
        <f>IFERROR(AVERAGE(Tabel1[[#This Row],[In - R1]:[In - R5]]),"")</f>
        <v>2.625</v>
      </c>
      <c r="CF339" s="14">
        <v>1</v>
      </c>
      <c r="CG339" s="14">
        <v>1</v>
      </c>
      <c r="CH339" s="14">
        <v>1</v>
      </c>
      <c r="CI339" s="14">
        <f>IFERROR(AVERAGE(Tabel1[[#This Row],[In - C1a]:[In - C1c]]),"")</f>
        <v>1</v>
      </c>
      <c r="CJ339" s="14">
        <v>1</v>
      </c>
      <c r="CK339" s="14">
        <v>1</v>
      </c>
      <c r="CL339" s="14">
        <v>1</v>
      </c>
      <c r="CM339" s="14">
        <f>IFERROR(AVERAGE(Tabel1[[#This Row],[In - C1]:[In - C4]]),"")</f>
        <v>1</v>
      </c>
      <c r="CN339" s="14">
        <v>1</v>
      </c>
      <c r="CO339" s="14">
        <v>1</v>
      </c>
      <c r="CP339" s="14" t="s">
        <v>189</v>
      </c>
      <c r="CQ339" s="14">
        <f>IFERROR(AVERAGE(Tabel1[[#This Row],[In - F1a]:[In - F1c]]),"")</f>
        <v>1</v>
      </c>
      <c r="CR339" s="14">
        <v>1</v>
      </c>
      <c r="CS339" s="14">
        <v>1</v>
      </c>
      <c r="CT339" s="14">
        <f>IFERROR(AVERAGE(Tabel1[[#This Row],[In - F2a]:[In - F2b]]),"")</f>
        <v>1</v>
      </c>
      <c r="CU339" s="14">
        <v>1</v>
      </c>
      <c r="CV339" s="14">
        <f>IFERROR(AVERAGE(Tabel1[[#This Row],[In - F3a]:[In - F3a]]),"")</f>
        <v>1</v>
      </c>
      <c r="CW339" s="14">
        <v>1</v>
      </c>
      <c r="CX339" s="14">
        <f>IFERROR(AVERAGE(Tabel1[[#This Row],[In - F1]],Tabel1[[#This Row],[In - F2]],Tabel1[[#This Row],[In - F3]],Tabel1[[#This Row],[In - F4]]),"")</f>
        <v>1</v>
      </c>
      <c r="CY339" s="14">
        <v>1</v>
      </c>
      <c r="CZ339" s="14">
        <v>1</v>
      </c>
      <c r="DA339" s="14" t="s">
        <v>189</v>
      </c>
      <c r="DB339" s="14">
        <f>IFERROR(AVERAGE(Tabel1[[#This Row],[In - V1a]:[In - V1c]]),"")</f>
        <v>1</v>
      </c>
      <c r="DC339" s="14">
        <v>1</v>
      </c>
      <c r="DD339" s="14">
        <v>1</v>
      </c>
      <c r="DE339" s="14">
        <v>1</v>
      </c>
      <c r="DF339" s="14">
        <f>IFERROR(AVERAGE(Tabel1[[#This Row],[In - V2a]:[In - V2c]]),"")</f>
        <v>1</v>
      </c>
      <c r="DG339" s="14">
        <v>1</v>
      </c>
      <c r="DH339" s="14">
        <v>1</v>
      </c>
      <c r="DI339" s="14">
        <f>IFERROR(AVERAGE(Tabel1[[#This Row],[In - V3a]:[In - V3b]]),"")</f>
        <v>1</v>
      </c>
      <c r="DJ339" s="14">
        <v>1</v>
      </c>
      <c r="DK339" s="14">
        <f>IFERROR(AVERAGE(Tabel1[[#This Row],[In - V1]],Tabel1[[#This Row],[In - V2]],Tabel1[[#This Row],[In - V3]],Tabel1[[#This Row],[In - V4]]),"")</f>
        <v>1</v>
      </c>
      <c r="DL339" s="14">
        <v>1</v>
      </c>
      <c r="DM339" s="14">
        <v>1</v>
      </c>
      <c r="DN339" s="14">
        <f>IFERROR(AVERAGE(Tabel1[[#This Row],[In - A1a]:[In - A1b]]),"")</f>
        <v>1</v>
      </c>
      <c r="DO339" s="14">
        <v>1</v>
      </c>
      <c r="DP339" s="14">
        <v>1</v>
      </c>
      <c r="DQ339" s="14">
        <f>IFERROR(AVERAGE(Tabel1[[#This Row],[In - A2a]:[In - A2b]]),"")</f>
        <v>1</v>
      </c>
      <c r="DR339" s="14">
        <v>1</v>
      </c>
      <c r="DS339" s="14">
        <v>1</v>
      </c>
      <c r="DT339" s="14">
        <f>IFERROR(AVERAGE(Tabel1[[#This Row],[In - A3a]:[In - A3a]]),"")</f>
        <v>1</v>
      </c>
      <c r="DU339" s="14">
        <v>2</v>
      </c>
      <c r="DV339" s="14">
        <f>IFERROR(AVERAGE(Tabel1[[#This Row],[In - A1]],Tabel1[[#This Row],[In - A2]],Tabel1[[#This Row],[In - A3]],Tabel1[[#This Row],[In - A4]]),"")</f>
        <v>1.25</v>
      </c>
      <c r="DW339" s="14">
        <v>4</v>
      </c>
      <c r="DX339" s="14">
        <v>2</v>
      </c>
      <c r="DY339" s="14">
        <v>3</v>
      </c>
      <c r="DZ339" s="14">
        <f>IFERROR(AVERAGE(Tabel1[[#This Row],[Do - R1a]:[Do - R1c]]),"")</f>
        <v>3</v>
      </c>
      <c r="EA339" s="14">
        <v>3</v>
      </c>
      <c r="EB339" s="14" t="s">
        <v>189</v>
      </c>
      <c r="EC339" s="14">
        <v>2</v>
      </c>
      <c r="ED339" s="14">
        <v>2</v>
      </c>
      <c r="EE339" s="14">
        <f>IFERROR(AVERAGE(Tabel1[[#This Row],[Do - R1]:[Do - R5]]),"")</f>
        <v>2.5</v>
      </c>
      <c r="EF339" s="14">
        <v>1</v>
      </c>
      <c r="EG339" s="14">
        <v>1</v>
      </c>
      <c r="EH339" s="14">
        <v>1</v>
      </c>
      <c r="EI339" s="14">
        <f>IFERROR(AVERAGE(Tabel1[[#This Row],[Do - C1a]:[Do - C1c]]),"")</f>
        <v>1</v>
      </c>
      <c r="EJ339" s="14">
        <v>1</v>
      </c>
      <c r="EK339" s="14">
        <v>1</v>
      </c>
      <c r="EL339" s="14">
        <v>1</v>
      </c>
      <c r="EM339" s="14">
        <f>IFERROR(AVERAGE(Tabel1[[#This Row],[Do - C1]:[Do - C4]]),"")</f>
        <v>1</v>
      </c>
      <c r="EN339" s="14">
        <v>1</v>
      </c>
      <c r="EO339" s="14">
        <v>1</v>
      </c>
      <c r="EP339" s="14" t="s">
        <v>189</v>
      </c>
      <c r="EQ339" s="14">
        <f>IFERROR(AVERAGE(Tabel1[[#This Row],[Do - F1a]:[Do - F1c]]),"")</f>
        <v>1</v>
      </c>
      <c r="ER339" s="14">
        <v>1</v>
      </c>
      <c r="ES339" s="14">
        <f>IFERROR(AVERAGE(Tabel1[[#This Row],[Do - F2a]:[Do - F2a]]),"")</f>
        <v>1</v>
      </c>
      <c r="ET339" s="14">
        <v>1</v>
      </c>
      <c r="EU339" s="14">
        <v>1</v>
      </c>
      <c r="EV339" s="14">
        <f>IFERROR(AVERAGE(Tabel1[[#This Row],[Do - F3a]:[Do - F3b]]),"")</f>
        <v>1</v>
      </c>
      <c r="EW339" s="14">
        <v>1</v>
      </c>
      <c r="EX339" s="14">
        <f>IFERROR(AVERAGE(Tabel1[[#This Row],[Do - F1]],Tabel1[[#This Row],[Do - F2]],Tabel1[[#This Row],[Do - F3]],Tabel1[[#This Row],[Do - F4]]),"")</f>
        <v>1</v>
      </c>
      <c r="EY339" s="14">
        <v>1</v>
      </c>
      <c r="EZ339" s="14">
        <v>1</v>
      </c>
      <c r="FA339" s="14" t="s">
        <v>189</v>
      </c>
      <c r="FB339" s="14">
        <f>IFERROR(AVERAGE(Tabel1[[#This Row],[Do - V1a]:[Do - V1c]]),"")</f>
        <v>1</v>
      </c>
      <c r="FC339" s="14">
        <v>1</v>
      </c>
      <c r="FD339" s="14">
        <v>1</v>
      </c>
      <c r="FE339" s="14">
        <f>IFERROR(AVERAGE(Tabel1[[#This Row],[Do - V2a]:[Do - V2b]]),"")</f>
        <v>1</v>
      </c>
      <c r="FF339" s="14">
        <v>1</v>
      </c>
      <c r="FG339" s="14">
        <f>IFERROR(AVERAGE(Tabel1[[#This Row],[Do - V3a]:[Do - V3a]]),"")</f>
        <v>1</v>
      </c>
      <c r="FH339" s="14">
        <v>1</v>
      </c>
      <c r="FI339" s="14">
        <f>IFERROR(AVERAGE(Tabel1[[#This Row],[Do - V1]],Tabel1[[#This Row],[Do - V2]],Tabel1[[#This Row],[Do - V3]],Tabel1[[#This Row],[Do - V4]]),"")</f>
        <v>1</v>
      </c>
      <c r="FJ339" s="14">
        <v>1</v>
      </c>
      <c r="FK339" s="14">
        <v>1</v>
      </c>
      <c r="FL339" s="14">
        <v>1</v>
      </c>
      <c r="FM339" s="14">
        <f>IFERROR(AVERAGE(Tabel1[[#This Row],[Do - A1a]:[Do - A1c]]),"")</f>
        <v>1</v>
      </c>
      <c r="FN339" s="14">
        <v>1</v>
      </c>
      <c r="FO339" s="14">
        <v>1</v>
      </c>
      <c r="FP339" s="14">
        <f>IFERROR(AVERAGE(Tabel1[[#This Row],[Do - A2a]:[Do - A2b]]),"")</f>
        <v>1</v>
      </c>
      <c r="FQ339" s="14">
        <v>1</v>
      </c>
      <c r="FR339" s="14">
        <f>IFERROR(AVERAGE(Tabel1[[#This Row],[Do - A3a]:[Do - A3a]]),"")</f>
        <v>1</v>
      </c>
      <c r="FS339" s="14">
        <v>1</v>
      </c>
      <c r="FT339" s="14">
        <f>IFERROR(AVERAGE(Tabel1[[#This Row],[Do - A1]],Tabel1[[#This Row],[Do - A2]],Tabel1[[#This Row],[Do - A3]],Tabel1[[#This Row],[Do - A4]]),"")</f>
        <v>1</v>
      </c>
      <c r="FU33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1.3527777777777776</v>
      </c>
      <c r="FV339" s="27" t="s">
        <v>1754</v>
      </c>
      <c r="FW339" t="b">
        <v>1</v>
      </c>
    </row>
    <row r="340" spans="1:179" x14ac:dyDescent="0.3">
      <c r="A340" s="13">
        <v>45443.453136574099</v>
      </c>
      <c r="B340" t="b">
        <v>0</v>
      </c>
      <c r="C340" s="14" t="s">
        <v>1755</v>
      </c>
      <c r="D340" s="14" t="s">
        <v>1756</v>
      </c>
      <c r="E340" s="14" t="s">
        <v>1757</v>
      </c>
      <c r="F340" s="14" t="s">
        <v>1758</v>
      </c>
      <c r="G340" s="8" t="s">
        <v>1759</v>
      </c>
      <c r="H340" s="14" t="s">
        <v>194</v>
      </c>
      <c r="I340" s="14" t="s">
        <v>195</v>
      </c>
      <c r="J340" s="14" t="s">
        <v>347</v>
      </c>
      <c r="K340" s="28" t="s">
        <v>202</v>
      </c>
      <c r="L340" s="14" t="s">
        <v>218</v>
      </c>
      <c r="M340" s="14" t="s">
        <v>188</v>
      </c>
      <c r="N340" s="14" t="s">
        <v>262</v>
      </c>
      <c r="O340" s="14" t="s">
        <v>200</v>
      </c>
      <c r="P340" s="24" t="s">
        <v>304</v>
      </c>
      <c r="Q340" s="17" t="s">
        <v>202</v>
      </c>
      <c r="R340" s="24" t="s">
        <v>304</v>
      </c>
      <c r="S340" s="25" t="s">
        <v>203</v>
      </c>
      <c r="T340" s="14" t="s">
        <v>348</v>
      </c>
      <c r="U340" s="14" t="s">
        <v>205</v>
      </c>
      <c r="V340" s="14" t="s">
        <v>224</v>
      </c>
      <c r="W340" s="14" t="s">
        <v>207</v>
      </c>
      <c r="X340" s="14" t="s">
        <v>207</v>
      </c>
      <c r="Y340" s="14">
        <v>3</v>
      </c>
      <c r="Z340" s="14">
        <v>3</v>
      </c>
      <c r="AA340" s="14">
        <v>4</v>
      </c>
      <c r="AB340" s="15">
        <f>IFERROR(AVERAGE(Tabel1[[#This Row],[Up - R1a]:[Up - R1c]]),"")</f>
        <v>3.3333333333333335</v>
      </c>
      <c r="AC340" s="14">
        <v>4</v>
      </c>
      <c r="AD340" s="14">
        <v>2</v>
      </c>
      <c r="AE340" s="14">
        <v>2</v>
      </c>
      <c r="AF340" s="14">
        <v>4</v>
      </c>
      <c r="AG340" s="14">
        <f>IFERROR(AVERAGE(Tabel1[[#This Row],[Up - R1]:[Up - R5]]),"")</f>
        <v>3.0666666666666669</v>
      </c>
      <c r="AH340" s="14">
        <v>4</v>
      </c>
      <c r="AI340" s="14">
        <v>4</v>
      </c>
      <c r="AJ340" s="14">
        <v>3</v>
      </c>
      <c r="AK340" s="14">
        <f>IFERROR(AVERAGE(Tabel1[[#This Row],[Up - C1a]:[Up - C1c]]),"")</f>
        <v>3.6666666666666665</v>
      </c>
      <c r="AL340" s="14">
        <v>1</v>
      </c>
      <c r="AM340" s="14">
        <v>1</v>
      </c>
      <c r="AN340" s="14">
        <v>3</v>
      </c>
      <c r="AO340" s="14">
        <f>IFERROR(AVERAGE(Tabel1[[#This Row],[Up - C1]:[Up - C4]]),"")</f>
        <v>2.1666666666666665</v>
      </c>
      <c r="AP340" s="14">
        <v>3</v>
      </c>
      <c r="AQ340" s="14">
        <f>IFERROR(AVERAGE(Tabel1[[#This Row],[Up - F1a]:[Up - F1a]]),"")</f>
        <v>3</v>
      </c>
      <c r="AR340" s="14">
        <v>3</v>
      </c>
      <c r="AS340" s="14">
        <v>5</v>
      </c>
      <c r="AT340" s="14">
        <f>IFERROR(AVERAGE(Tabel1[[#This Row],[Up - F2a]:[Up - F2b]]),"")</f>
        <v>4</v>
      </c>
      <c r="AU340" s="14">
        <v>4</v>
      </c>
      <c r="AV340" s="14">
        <v>3</v>
      </c>
      <c r="AW340" s="14">
        <f>IFERROR(AVERAGE(Tabel1[[#This Row],[Up - F3a]:[Up - F3b]]),"")</f>
        <v>3.5</v>
      </c>
      <c r="AX340" s="14">
        <v>5</v>
      </c>
      <c r="AY340" s="14">
        <f>IFERROR(AVERAGE(Tabel1[[#This Row],[Up - F1]],Tabel1[[#This Row],[Up - F2]],Tabel1[[#This Row],[Up - F3]],Tabel1[[#This Row],[Up - F4]]),"")</f>
        <v>3.875</v>
      </c>
      <c r="AZ340" s="14">
        <v>1</v>
      </c>
      <c r="BA340" s="14">
        <v>2</v>
      </c>
      <c r="BB340" s="14">
        <f>IFERROR(AVERAGE(Tabel1[[#This Row],[Up - V1a]:[Up - V1b]]),"")</f>
        <v>1.5</v>
      </c>
      <c r="BC340" s="14">
        <v>3</v>
      </c>
      <c r="BD340" s="14">
        <v>2</v>
      </c>
      <c r="BE340" s="14">
        <v>5</v>
      </c>
      <c r="BF340" s="14">
        <f>IFERROR(AVERAGE(Tabel1[[#This Row],[Up - V2a]:[Up - V2c]]),"")</f>
        <v>3.3333333333333335</v>
      </c>
      <c r="BG340" s="14">
        <v>2</v>
      </c>
      <c r="BH340" s="14">
        <v>4</v>
      </c>
      <c r="BI340" s="14">
        <f>IFERROR(AVERAGE(Tabel1[[#This Row],[Up - V3a]:[Up - V3b]]),"")</f>
        <v>3</v>
      </c>
      <c r="BJ340" s="14">
        <v>1</v>
      </c>
      <c r="BK340" s="14">
        <f>IFERROR(AVERAGE(Tabel1[[#This Row],[Up - V1]],Tabel1[[#This Row],[Up - V2]],Tabel1[[#This Row],[Up - V3]],Tabel1[[#This Row],[Up - V4]]),"")</f>
        <v>2.2083333333333335</v>
      </c>
      <c r="BL340" s="14">
        <v>4</v>
      </c>
      <c r="BM340" s="14">
        <v>5</v>
      </c>
      <c r="BN340" s="14">
        <v>5</v>
      </c>
      <c r="BO340" s="14">
        <v>3</v>
      </c>
      <c r="BP340" s="14">
        <f>IFERROR(AVERAGE(Tabel1[[#This Row],[Up - A1a]:[Up - A1d]]),"")</f>
        <v>4.25</v>
      </c>
      <c r="BQ340" s="14">
        <v>5</v>
      </c>
      <c r="BR340" s="14">
        <v>3</v>
      </c>
      <c r="BS340" s="14">
        <f>IFERROR(AVERAGE(Tabel1[[#This Row],[Up - A2a]:[Up - A2b]]),"")</f>
        <v>4</v>
      </c>
      <c r="BT340" s="14">
        <v>4</v>
      </c>
      <c r="BU340" s="14">
        <f>IFERROR(AVERAGE(Tabel1[[#This Row],[Up - A3a]:[Up - A3a]]),"")</f>
        <v>4</v>
      </c>
      <c r="BV340" s="14">
        <v>2</v>
      </c>
      <c r="BW340" s="14">
        <f>IFERROR(AVERAGE(Tabel1[[#This Row],[Up - A1]],Tabel1[[#This Row],[Up - A2]],Tabel1[[#This Row],[Up - A3]]),"")</f>
        <v>4.083333333333333</v>
      </c>
      <c r="BX340" s="14">
        <v>2</v>
      </c>
      <c r="BY340" s="14">
        <v>5</v>
      </c>
      <c r="BZ340" s="14">
        <f>IFERROR(AVERAGE(Tabel1[[#This Row],[In - R1a]:[In - R1b]]),"")</f>
        <v>3.5</v>
      </c>
      <c r="CA340" s="14">
        <v>5</v>
      </c>
      <c r="CB340" s="14">
        <v>1</v>
      </c>
      <c r="CC340" s="14">
        <v>1</v>
      </c>
      <c r="CD340" s="14">
        <v>5</v>
      </c>
      <c r="CE340" s="14">
        <f>IFERROR(AVERAGE(Tabel1[[#This Row],[In - R1]:[In - R5]]),"")</f>
        <v>3.1</v>
      </c>
      <c r="CF340" s="14">
        <v>5</v>
      </c>
      <c r="CG340" s="14">
        <v>4</v>
      </c>
      <c r="CH340" s="14">
        <v>5</v>
      </c>
      <c r="CI340" s="14">
        <f>IFERROR(AVERAGE(Tabel1[[#This Row],[In - C1a]:[In - C1c]]),"")</f>
        <v>4.666666666666667</v>
      </c>
      <c r="CJ340" s="14">
        <v>5</v>
      </c>
      <c r="CK340" s="14">
        <v>4</v>
      </c>
      <c r="CL340" s="14">
        <v>4</v>
      </c>
      <c r="CM340" s="14">
        <f>IFERROR(AVERAGE(Tabel1[[#This Row],[In - C1]:[In - C4]]),"")</f>
        <v>4.416666666666667</v>
      </c>
      <c r="CN340" s="14">
        <v>4</v>
      </c>
      <c r="CO340" s="14">
        <v>4</v>
      </c>
      <c r="CP340" s="14">
        <v>2</v>
      </c>
      <c r="CQ340" s="14">
        <f>IFERROR(AVERAGE(Tabel1[[#This Row],[In - F1a]:[In - F1c]]),"")</f>
        <v>3.3333333333333335</v>
      </c>
      <c r="CR340" s="14">
        <v>5</v>
      </c>
      <c r="CS340" s="14">
        <v>2</v>
      </c>
      <c r="CT340" s="14">
        <f>IFERROR(AVERAGE(Tabel1[[#This Row],[In - F2a]:[In - F2b]]),"")</f>
        <v>3.5</v>
      </c>
      <c r="CU340" s="14">
        <v>4</v>
      </c>
      <c r="CV340" s="14">
        <f>IFERROR(AVERAGE(Tabel1[[#This Row],[In - F3a]:[In - F3a]]),"")</f>
        <v>4</v>
      </c>
      <c r="CW340" s="14">
        <v>4</v>
      </c>
      <c r="CX340" s="14">
        <f>IFERROR(AVERAGE(Tabel1[[#This Row],[In - F1]],Tabel1[[#This Row],[In - F2]],Tabel1[[#This Row],[In - F3]],Tabel1[[#This Row],[In - F4]]),"")</f>
        <v>3.7083333333333335</v>
      </c>
      <c r="CY340" s="14">
        <v>5</v>
      </c>
      <c r="CZ340" s="14">
        <v>5</v>
      </c>
      <c r="DA340" s="14">
        <v>3</v>
      </c>
      <c r="DB340" s="14">
        <f>IFERROR(AVERAGE(Tabel1[[#This Row],[In - V1a]:[In - V1c]]),"")</f>
        <v>4.333333333333333</v>
      </c>
      <c r="DC340" s="14">
        <v>4</v>
      </c>
      <c r="DD340" s="14">
        <v>4</v>
      </c>
      <c r="DE340" s="14">
        <v>3</v>
      </c>
      <c r="DF340" s="14">
        <f>IFERROR(AVERAGE(Tabel1[[#This Row],[In - V2a]:[In - V2c]]),"")</f>
        <v>3.6666666666666665</v>
      </c>
      <c r="DG340" s="14">
        <v>5</v>
      </c>
      <c r="DH340" s="14">
        <v>3</v>
      </c>
      <c r="DI340" s="14">
        <f>IFERROR(AVERAGE(Tabel1[[#This Row],[In - V3a]:[In - V3b]]),"")</f>
        <v>4</v>
      </c>
      <c r="DJ340" s="14">
        <v>4</v>
      </c>
      <c r="DK340" s="14">
        <f>IFERROR(AVERAGE(Tabel1[[#This Row],[In - V1]],Tabel1[[#This Row],[In - V2]],Tabel1[[#This Row],[In - V3]],Tabel1[[#This Row],[In - V4]]),"")</f>
        <v>4</v>
      </c>
      <c r="DL340" s="14">
        <v>4</v>
      </c>
      <c r="DM340" s="14">
        <v>4</v>
      </c>
      <c r="DN340" s="14">
        <f>IFERROR(AVERAGE(Tabel1[[#This Row],[In - A1a]:[In - A1b]]),"")</f>
        <v>4</v>
      </c>
      <c r="DO340" s="14">
        <v>5</v>
      </c>
      <c r="DP340" s="14">
        <v>5</v>
      </c>
      <c r="DQ340" s="14">
        <f>IFERROR(AVERAGE(Tabel1[[#This Row],[In - A2a]:[In - A2b]]),"")</f>
        <v>5</v>
      </c>
      <c r="DR340" s="14">
        <v>5</v>
      </c>
      <c r="DS340" s="14">
        <v>3</v>
      </c>
      <c r="DT340" s="14">
        <f>IFERROR(AVERAGE(Tabel1[[#This Row],[In - A3a]:[In - A3a]]),"")</f>
        <v>5</v>
      </c>
      <c r="DU340" s="14">
        <v>2</v>
      </c>
      <c r="DV340" s="14">
        <f>IFERROR(AVERAGE(Tabel1[[#This Row],[In - A1]],Tabel1[[#This Row],[In - A2]],Tabel1[[#This Row],[In - A3]],Tabel1[[#This Row],[In - A4]]),"")</f>
        <v>4</v>
      </c>
      <c r="DW340" s="14">
        <v>1</v>
      </c>
      <c r="DX340" s="14">
        <v>5</v>
      </c>
      <c r="DY340" s="14">
        <v>1</v>
      </c>
      <c r="DZ340" s="14">
        <f>IFERROR(AVERAGE(Tabel1[[#This Row],[Do - R1a]:[Do - R1c]]),"")</f>
        <v>2.3333333333333335</v>
      </c>
      <c r="EA340" s="14">
        <v>1</v>
      </c>
      <c r="EB340" s="14">
        <v>1</v>
      </c>
      <c r="EC340" s="14">
        <v>1</v>
      </c>
      <c r="ED340" s="14">
        <v>5</v>
      </c>
      <c r="EE340" s="14">
        <f>IFERROR(AVERAGE(Tabel1[[#This Row],[Do - R1]:[Do - R5]]),"")</f>
        <v>2.0666666666666669</v>
      </c>
      <c r="EF340" s="14">
        <v>4</v>
      </c>
      <c r="EG340" s="14">
        <v>4</v>
      </c>
      <c r="EH340" s="14">
        <v>3</v>
      </c>
      <c r="EI340" s="14">
        <f>IFERROR(AVERAGE(Tabel1[[#This Row],[Do - C1a]:[Do - C1c]]),"")</f>
        <v>3.6666666666666665</v>
      </c>
      <c r="EJ340" s="14">
        <v>1</v>
      </c>
      <c r="EK340" s="14">
        <v>4</v>
      </c>
      <c r="EL340" s="14">
        <v>3</v>
      </c>
      <c r="EM340" s="14">
        <f>IFERROR(AVERAGE(Tabel1[[#This Row],[Do - C1]:[Do - C4]]),"")</f>
        <v>2.9166666666666665</v>
      </c>
      <c r="EN340" s="14">
        <v>2</v>
      </c>
      <c r="EO340" s="14">
        <v>2</v>
      </c>
      <c r="EP340" s="14">
        <v>1</v>
      </c>
      <c r="EQ340" s="14">
        <f>IFERROR(AVERAGE(Tabel1[[#This Row],[Do - F1a]:[Do - F1c]]),"")</f>
        <v>1.6666666666666667</v>
      </c>
      <c r="ER340" s="14">
        <v>3</v>
      </c>
      <c r="ES340" s="14">
        <f>IFERROR(AVERAGE(Tabel1[[#This Row],[Do - F2a]:[Do - F2a]]),"")</f>
        <v>3</v>
      </c>
      <c r="ET340" s="14">
        <v>5</v>
      </c>
      <c r="EU340" s="14">
        <v>3</v>
      </c>
      <c r="EV340" s="14">
        <f>IFERROR(AVERAGE(Tabel1[[#This Row],[Do - F3a]:[Do - F3b]]),"")</f>
        <v>4</v>
      </c>
      <c r="EW340" s="14">
        <v>4</v>
      </c>
      <c r="EX340" s="14">
        <f>IFERROR(AVERAGE(Tabel1[[#This Row],[Do - F1]],Tabel1[[#This Row],[Do - F2]],Tabel1[[#This Row],[Do - F3]],Tabel1[[#This Row],[Do - F4]]),"")</f>
        <v>3.166666666666667</v>
      </c>
      <c r="EY340" s="14">
        <v>2</v>
      </c>
      <c r="EZ340" s="14">
        <v>1</v>
      </c>
      <c r="FA340" s="14">
        <v>4</v>
      </c>
      <c r="FB340" s="14">
        <f>IFERROR(AVERAGE(Tabel1[[#This Row],[Do - V1a]:[Do - V1c]]),"")</f>
        <v>2.3333333333333335</v>
      </c>
      <c r="FC340" s="14">
        <v>3</v>
      </c>
      <c r="FD340" s="14">
        <v>2</v>
      </c>
      <c r="FE340" s="14">
        <f>IFERROR(AVERAGE(Tabel1[[#This Row],[Do - V2a]:[Do - V2b]]),"")</f>
        <v>2.5</v>
      </c>
      <c r="FF340" s="14">
        <v>4</v>
      </c>
      <c r="FG340" s="14">
        <f>IFERROR(AVERAGE(Tabel1[[#This Row],[Do - V3a]:[Do - V3a]]),"")</f>
        <v>4</v>
      </c>
      <c r="FH340" s="14">
        <v>3</v>
      </c>
      <c r="FI340" s="14">
        <f>IFERROR(AVERAGE(Tabel1[[#This Row],[Do - V1]],Tabel1[[#This Row],[Do - V2]],Tabel1[[#This Row],[Do - V3]],Tabel1[[#This Row],[Do - V4]]),"")</f>
        <v>2.9583333333333335</v>
      </c>
      <c r="FJ340" s="14">
        <v>4</v>
      </c>
      <c r="FK340" s="14">
        <v>5</v>
      </c>
      <c r="FL340" s="14">
        <v>4</v>
      </c>
      <c r="FM340" s="14">
        <f>IFERROR(AVERAGE(Tabel1[[#This Row],[Do - A1a]:[Do - A1c]]),"")</f>
        <v>4.333333333333333</v>
      </c>
      <c r="FN340" s="14">
        <v>2</v>
      </c>
      <c r="FO340" s="14">
        <v>3</v>
      </c>
      <c r="FP340" s="14">
        <f>IFERROR(AVERAGE(Tabel1[[#This Row],[Do - A2a]:[Do - A2b]]),"")</f>
        <v>2.5</v>
      </c>
      <c r="FQ340" s="14">
        <v>4</v>
      </c>
      <c r="FR340" s="14">
        <f>IFERROR(AVERAGE(Tabel1[[#This Row],[Do - A3a]:[Do - A3a]]),"")</f>
        <v>4</v>
      </c>
      <c r="FS340" s="14">
        <v>2</v>
      </c>
      <c r="FT340" s="14">
        <f>IFERROR(AVERAGE(Tabel1[[#This Row],[Do - A1]],Tabel1[[#This Row],[Do - A2]],Tabel1[[#This Row],[Do - A3]],Tabel1[[#This Row],[Do - A4]]),"")</f>
        <v>3.208333333333333</v>
      </c>
      <c r="FU34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3.262777777777778</v>
      </c>
      <c r="FV340" s="27" t="s">
        <v>1760</v>
      </c>
      <c r="FW340" t="b">
        <v>1</v>
      </c>
    </row>
    <row r="341" spans="1:179" x14ac:dyDescent="0.3">
      <c r="A341" s="13">
        <v>45447.556782407402</v>
      </c>
      <c r="B341" t="b">
        <v>0</v>
      </c>
      <c r="C341" s="14" t="s">
        <v>1761</v>
      </c>
      <c r="D341" s="14" t="s">
        <v>1762</v>
      </c>
      <c r="E341" s="14" t="s">
        <v>1763</v>
      </c>
      <c r="F341" s="14" t="s">
        <v>1764</v>
      </c>
      <c r="G341" s="14" t="s">
        <v>1765</v>
      </c>
      <c r="H341" s="14" t="s">
        <v>194</v>
      </c>
      <c r="I341" s="14" t="s">
        <v>195</v>
      </c>
      <c r="J341" s="14" t="s">
        <v>347</v>
      </c>
      <c r="K341" s="28" t="s">
        <v>235</v>
      </c>
      <c r="L341" s="14" t="s">
        <v>197</v>
      </c>
      <c r="M341" s="14" t="s">
        <v>281</v>
      </c>
      <c r="N341" s="14" t="s">
        <v>262</v>
      </c>
      <c r="O341" s="14" t="s">
        <v>200</v>
      </c>
      <c r="P341" s="24" t="s">
        <v>304</v>
      </c>
      <c r="Q341" s="17" t="s">
        <v>201</v>
      </c>
      <c r="R341" s="25" t="s">
        <v>201</v>
      </c>
      <c r="S341" s="25" t="s">
        <v>235</v>
      </c>
      <c r="T341" s="14" t="s">
        <v>236</v>
      </c>
      <c r="U341" s="14" t="s">
        <v>237</v>
      </c>
      <c r="V341" s="14" t="s">
        <v>484</v>
      </c>
      <c r="W341" s="14" t="s">
        <v>207</v>
      </c>
      <c r="X341" s="14" t="s">
        <v>207</v>
      </c>
      <c r="Y341" s="14">
        <v>2</v>
      </c>
      <c r="Z341" s="14">
        <v>5</v>
      </c>
      <c r="AA341" s="14" t="s">
        <v>189</v>
      </c>
      <c r="AB341" s="15">
        <f>IFERROR(AVERAGE(Tabel1[[#This Row],[Up - R1a]:[Up - R1c]]),"")</f>
        <v>3.5</v>
      </c>
      <c r="AC341" s="14">
        <v>3</v>
      </c>
      <c r="AD341" s="14">
        <v>4</v>
      </c>
      <c r="AE341" s="14">
        <v>3</v>
      </c>
      <c r="AF341" s="14">
        <v>2</v>
      </c>
      <c r="AG341" s="14">
        <f>IFERROR(AVERAGE(Tabel1[[#This Row],[Up - R1]:[Up - R5]]),"")</f>
        <v>3.1</v>
      </c>
      <c r="AH341" s="14">
        <v>4</v>
      </c>
      <c r="AI341" s="14">
        <v>3</v>
      </c>
      <c r="AJ341" s="14">
        <v>4</v>
      </c>
      <c r="AK341" s="14">
        <f>IFERROR(AVERAGE(Tabel1[[#This Row],[Up - C1a]:[Up - C1c]]),"")</f>
        <v>3.6666666666666665</v>
      </c>
      <c r="AL341" s="14">
        <v>3</v>
      </c>
      <c r="AM341" s="14">
        <v>1</v>
      </c>
      <c r="AN341" s="14" t="s">
        <v>189</v>
      </c>
      <c r="AO341" s="14">
        <f>IFERROR(AVERAGE(Tabel1[[#This Row],[Up - C1]:[Up - C4]]),"")</f>
        <v>2.5555555555555554</v>
      </c>
      <c r="AP341" s="14">
        <v>3</v>
      </c>
      <c r="AQ341" s="14">
        <f>IFERROR(AVERAGE(Tabel1[[#This Row],[Up - F1a]:[Up - F1a]]),"")</f>
        <v>3</v>
      </c>
      <c r="AR341" s="14">
        <v>4</v>
      </c>
      <c r="AS341" s="14">
        <v>2</v>
      </c>
      <c r="AT341" s="14">
        <f>IFERROR(AVERAGE(Tabel1[[#This Row],[Up - F2a]:[Up - F2b]]),"")</f>
        <v>3</v>
      </c>
      <c r="AU341" s="14">
        <v>4</v>
      </c>
      <c r="AV341" s="14">
        <v>2</v>
      </c>
      <c r="AW341" s="14">
        <f>IFERROR(AVERAGE(Tabel1[[#This Row],[Up - F3a]:[Up - F3b]]),"")</f>
        <v>3</v>
      </c>
      <c r="AX341" s="14">
        <v>3</v>
      </c>
      <c r="AY341" s="14">
        <f>IFERROR(AVERAGE(Tabel1[[#This Row],[Up - F1]],Tabel1[[#This Row],[Up - F2]],Tabel1[[#This Row],[Up - F3]],Tabel1[[#This Row],[Up - F4]]),"")</f>
        <v>3</v>
      </c>
      <c r="AZ341" s="14" t="s">
        <v>189</v>
      </c>
      <c r="BA341" s="14">
        <v>3</v>
      </c>
      <c r="BB341" s="14">
        <f>IFERROR(AVERAGE(Tabel1[[#This Row],[Up - V1a]:[Up - V1b]]),"")</f>
        <v>3</v>
      </c>
      <c r="BC341" s="14">
        <v>3</v>
      </c>
      <c r="BD341" s="14">
        <v>3</v>
      </c>
      <c r="BE341" s="14">
        <v>3</v>
      </c>
      <c r="BF341" s="14">
        <f>IFERROR(AVERAGE(Tabel1[[#This Row],[Up - V2a]:[Up - V2c]]),"")</f>
        <v>3</v>
      </c>
      <c r="BG341" s="14">
        <v>3</v>
      </c>
      <c r="BH341" s="14">
        <v>3</v>
      </c>
      <c r="BI341" s="14">
        <f>IFERROR(AVERAGE(Tabel1[[#This Row],[Up - V3a]:[Up - V3b]]),"")</f>
        <v>3</v>
      </c>
      <c r="BJ341" s="14">
        <v>4</v>
      </c>
      <c r="BK341" s="14">
        <f>IFERROR(AVERAGE(Tabel1[[#This Row],[Up - V1]],Tabel1[[#This Row],[Up - V2]],Tabel1[[#This Row],[Up - V3]],Tabel1[[#This Row],[Up - V4]]),"")</f>
        <v>3.25</v>
      </c>
      <c r="BL341" s="14">
        <v>3</v>
      </c>
      <c r="BM341" s="14">
        <v>1</v>
      </c>
      <c r="BN341" s="14">
        <v>3</v>
      </c>
      <c r="BO341" s="14">
        <v>2</v>
      </c>
      <c r="BP341" s="14">
        <f>IFERROR(AVERAGE(Tabel1[[#This Row],[Up - A1a]:[Up - A1d]]),"")</f>
        <v>2.25</v>
      </c>
      <c r="BQ341" s="14">
        <v>2</v>
      </c>
      <c r="BR341" s="14">
        <v>5</v>
      </c>
      <c r="BS341" s="14">
        <f>IFERROR(AVERAGE(Tabel1[[#This Row],[Up - A2a]:[Up - A2b]]),"")</f>
        <v>3.5</v>
      </c>
      <c r="BT341" s="14">
        <v>5</v>
      </c>
      <c r="BU341" s="14">
        <f>IFERROR(AVERAGE(Tabel1[[#This Row],[Up - A3a]:[Up - A3a]]),"")</f>
        <v>5</v>
      </c>
      <c r="BV341" s="14">
        <v>4</v>
      </c>
      <c r="BW341" s="14">
        <f>IFERROR(AVERAGE(Tabel1[[#This Row],[Up - A1]],Tabel1[[#This Row],[Up - A2]],Tabel1[[#This Row],[Up - A3]]),"")</f>
        <v>3.5833333333333335</v>
      </c>
      <c r="BX341" s="14">
        <v>1</v>
      </c>
      <c r="BY341" s="14">
        <v>5</v>
      </c>
      <c r="BZ341" s="14">
        <f>IFERROR(AVERAGE(Tabel1[[#This Row],[In - R1a]:[In - R1b]]),"")</f>
        <v>3</v>
      </c>
      <c r="CA341" s="14">
        <v>2</v>
      </c>
      <c r="CB341" s="14">
        <v>4</v>
      </c>
      <c r="CC341" s="14">
        <v>1</v>
      </c>
      <c r="CD341" s="14">
        <v>5</v>
      </c>
      <c r="CE341" s="14">
        <f>IFERROR(AVERAGE(Tabel1[[#This Row],[In - R1]:[In - R5]]),"")</f>
        <v>3</v>
      </c>
      <c r="CF341" s="14">
        <v>4</v>
      </c>
      <c r="CG341" s="14">
        <v>2</v>
      </c>
      <c r="CH341" s="14">
        <v>2</v>
      </c>
      <c r="CI341" s="14">
        <f>IFERROR(AVERAGE(Tabel1[[#This Row],[In - C1a]:[In - C1c]]),"")</f>
        <v>2.6666666666666665</v>
      </c>
      <c r="CJ341" s="14">
        <v>4</v>
      </c>
      <c r="CK341" s="14">
        <v>1</v>
      </c>
      <c r="CL341" s="14">
        <v>2</v>
      </c>
      <c r="CM341" s="14">
        <f>IFERROR(AVERAGE(Tabel1[[#This Row],[In - C1]:[In - C4]]),"")</f>
        <v>2.4166666666666665</v>
      </c>
      <c r="CN341" s="14">
        <v>3</v>
      </c>
      <c r="CO341" s="14">
        <v>4</v>
      </c>
      <c r="CP341" s="14">
        <v>2</v>
      </c>
      <c r="CQ341" s="14">
        <f>IFERROR(AVERAGE(Tabel1[[#This Row],[In - F1a]:[In - F1c]]),"")</f>
        <v>3</v>
      </c>
      <c r="CR341" s="14">
        <v>4</v>
      </c>
      <c r="CS341" s="14">
        <v>3</v>
      </c>
      <c r="CT341" s="14">
        <f>IFERROR(AVERAGE(Tabel1[[#This Row],[In - F2a]:[In - F2b]]),"")</f>
        <v>3.5</v>
      </c>
      <c r="CU341" s="14">
        <v>3</v>
      </c>
      <c r="CV341" s="14">
        <f>IFERROR(AVERAGE(Tabel1[[#This Row],[In - F3a]:[In - F3a]]),"")</f>
        <v>3</v>
      </c>
      <c r="CW341" s="14">
        <v>2</v>
      </c>
      <c r="CX341" s="14">
        <f>IFERROR(AVERAGE(Tabel1[[#This Row],[In - F1]],Tabel1[[#This Row],[In - F2]],Tabel1[[#This Row],[In - F3]],Tabel1[[#This Row],[In - F4]]),"")</f>
        <v>2.875</v>
      </c>
      <c r="CY341" s="14">
        <v>3</v>
      </c>
      <c r="CZ341" s="14">
        <v>3</v>
      </c>
      <c r="DA341" s="14">
        <v>3</v>
      </c>
      <c r="DB341" s="14">
        <f>IFERROR(AVERAGE(Tabel1[[#This Row],[In - V1a]:[In - V1c]]),"")</f>
        <v>3</v>
      </c>
      <c r="DC341" s="14">
        <v>4</v>
      </c>
      <c r="DD341" s="14">
        <v>3</v>
      </c>
      <c r="DE341" s="14">
        <v>3</v>
      </c>
      <c r="DF341" s="14">
        <f>IFERROR(AVERAGE(Tabel1[[#This Row],[In - V2a]:[In - V2c]]),"")</f>
        <v>3.3333333333333335</v>
      </c>
      <c r="DG341" s="14">
        <v>3</v>
      </c>
      <c r="DH341" s="14">
        <v>2</v>
      </c>
      <c r="DI341" s="14">
        <f>IFERROR(AVERAGE(Tabel1[[#This Row],[In - V3a]:[In - V3b]]),"")</f>
        <v>2.5</v>
      </c>
      <c r="DJ341" s="14">
        <v>3</v>
      </c>
      <c r="DK341" s="14">
        <f>IFERROR(AVERAGE(Tabel1[[#This Row],[In - V1]],Tabel1[[#This Row],[In - V2]],Tabel1[[#This Row],[In - V3]],Tabel1[[#This Row],[In - V4]]),"")</f>
        <v>2.9583333333333335</v>
      </c>
      <c r="DL341" s="14">
        <v>3</v>
      </c>
      <c r="DM341" s="14">
        <v>5</v>
      </c>
      <c r="DN341" s="14">
        <f>IFERROR(AVERAGE(Tabel1[[#This Row],[In - A1a]:[In - A1b]]),"")</f>
        <v>4</v>
      </c>
      <c r="DO341" s="14">
        <v>4</v>
      </c>
      <c r="DP341" s="14">
        <v>1</v>
      </c>
      <c r="DQ341" s="14">
        <f>IFERROR(AVERAGE(Tabel1[[#This Row],[In - A2a]:[In - A2b]]),"")</f>
        <v>2.5</v>
      </c>
      <c r="DR341" s="14">
        <v>3</v>
      </c>
      <c r="DS341" s="14" t="s">
        <v>189</v>
      </c>
      <c r="DT341" s="14">
        <f>IFERROR(AVERAGE(Tabel1[[#This Row],[In - A3a]:[In - A3a]]),"")</f>
        <v>3</v>
      </c>
      <c r="DU341" s="14">
        <v>3</v>
      </c>
      <c r="DV341" s="14">
        <f>IFERROR(AVERAGE(Tabel1[[#This Row],[In - A1]],Tabel1[[#This Row],[In - A2]],Tabel1[[#This Row],[In - A3]],Tabel1[[#This Row],[In - A4]]),"")</f>
        <v>3.125</v>
      </c>
      <c r="DW341" s="14">
        <v>2</v>
      </c>
      <c r="DX341" s="14">
        <v>4</v>
      </c>
      <c r="DY341" s="14">
        <v>4</v>
      </c>
      <c r="DZ341" s="14">
        <f>IFERROR(AVERAGE(Tabel1[[#This Row],[Do - R1a]:[Do - R1c]]),"")</f>
        <v>3.3333333333333335</v>
      </c>
      <c r="EA341" s="14">
        <v>2</v>
      </c>
      <c r="EB341" s="14">
        <v>5</v>
      </c>
      <c r="EC341" s="14">
        <v>2</v>
      </c>
      <c r="ED341" s="14">
        <v>3</v>
      </c>
      <c r="EE341" s="14">
        <f>IFERROR(AVERAGE(Tabel1[[#This Row],[Do - R1]:[Do - R5]]),"")</f>
        <v>3.0666666666666669</v>
      </c>
      <c r="EF341" s="14">
        <v>3</v>
      </c>
      <c r="EG341" s="14">
        <v>2</v>
      </c>
      <c r="EH341" s="14">
        <v>4</v>
      </c>
      <c r="EI341" s="14">
        <f>IFERROR(AVERAGE(Tabel1[[#This Row],[Do - C1a]:[Do - C1c]]),"")</f>
        <v>3</v>
      </c>
      <c r="EJ341" s="14">
        <v>4</v>
      </c>
      <c r="EK341" s="14">
        <v>2</v>
      </c>
      <c r="EL341" s="14">
        <v>3</v>
      </c>
      <c r="EM341" s="14">
        <f>IFERROR(AVERAGE(Tabel1[[#This Row],[Do - C1]:[Do - C4]]),"")</f>
        <v>3</v>
      </c>
      <c r="EN341" s="14">
        <v>4</v>
      </c>
      <c r="EO341" s="14" t="s">
        <v>189</v>
      </c>
      <c r="EP341" s="14">
        <v>2</v>
      </c>
      <c r="EQ341" s="14">
        <f>IFERROR(AVERAGE(Tabel1[[#This Row],[Do - F1a]:[Do - F1c]]),"")</f>
        <v>3</v>
      </c>
      <c r="ER341" s="14">
        <v>3</v>
      </c>
      <c r="ES341" s="14">
        <f>IFERROR(AVERAGE(Tabel1[[#This Row],[Do - F2a]:[Do - F2a]]),"")</f>
        <v>3</v>
      </c>
      <c r="ET341" s="14">
        <v>4</v>
      </c>
      <c r="EU341" s="14">
        <v>3</v>
      </c>
      <c r="EV341" s="14">
        <f>IFERROR(AVERAGE(Tabel1[[#This Row],[Do - F3a]:[Do - F3b]]),"")</f>
        <v>3.5</v>
      </c>
      <c r="EW341" s="14">
        <v>3</v>
      </c>
      <c r="EX341" s="14">
        <f>IFERROR(AVERAGE(Tabel1[[#This Row],[Do - F1]],Tabel1[[#This Row],[Do - F2]],Tabel1[[#This Row],[Do - F3]],Tabel1[[#This Row],[Do - F4]]),"")</f>
        <v>3.125</v>
      </c>
      <c r="EY341" s="14">
        <v>3</v>
      </c>
      <c r="EZ341" s="14">
        <v>3</v>
      </c>
      <c r="FA341" s="14">
        <v>4</v>
      </c>
      <c r="FB341" s="14">
        <f>IFERROR(AVERAGE(Tabel1[[#This Row],[Do - V1a]:[Do - V1c]]),"")</f>
        <v>3.3333333333333335</v>
      </c>
      <c r="FC341" s="14">
        <v>3</v>
      </c>
      <c r="FD341" s="14">
        <v>4</v>
      </c>
      <c r="FE341" s="14">
        <f>IFERROR(AVERAGE(Tabel1[[#This Row],[Do - V2a]:[Do - V2b]]),"")</f>
        <v>3.5</v>
      </c>
      <c r="FF341" s="14">
        <v>4</v>
      </c>
      <c r="FG341" s="14">
        <f>IFERROR(AVERAGE(Tabel1[[#This Row],[Do - V3a]:[Do - V3a]]),"")</f>
        <v>4</v>
      </c>
      <c r="FH341" s="14">
        <v>3</v>
      </c>
      <c r="FI341" s="14">
        <f>IFERROR(AVERAGE(Tabel1[[#This Row],[Do - V1]],Tabel1[[#This Row],[Do - V2]],Tabel1[[#This Row],[Do - V3]],Tabel1[[#This Row],[Do - V4]]),"")</f>
        <v>3.4583333333333335</v>
      </c>
      <c r="FJ341" s="14">
        <v>3</v>
      </c>
      <c r="FK341" s="14">
        <v>2</v>
      </c>
      <c r="FL341" s="14">
        <v>3</v>
      </c>
      <c r="FM341" s="14">
        <f>IFERROR(AVERAGE(Tabel1[[#This Row],[Do - A1a]:[Do - A1c]]),"")</f>
        <v>2.6666666666666665</v>
      </c>
      <c r="FN341" s="14">
        <v>4</v>
      </c>
      <c r="FO341" s="14">
        <v>4</v>
      </c>
      <c r="FP341" s="14">
        <f>IFERROR(AVERAGE(Tabel1[[#This Row],[Do - A2a]:[Do - A2b]]),"")</f>
        <v>4</v>
      </c>
      <c r="FQ341" s="14">
        <v>4</v>
      </c>
      <c r="FR341" s="14">
        <f>IFERROR(AVERAGE(Tabel1[[#This Row],[Do - A3a]:[Do - A3a]]),"")</f>
        <v>4</v>
      </c>
      <c r="FS341" s="14">
        <v>2</v>
      </c>
      <c r="FT341" s="14">
        <f>IFERROR(AVERAGE(Tabel1[[#This Row],[Do - A1]],Tabel1[[#This Row],[Do - A2]],Tabel1[[#This Row],[Do - A3]],Tabel1[[#This Row],[Do - A4]]),"")</f>
        <v>3.1666666666666665</v>
      </c>
      <c r="FU34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3.0453703703703705</v>
      </c>
      <c r="FV341" s="27" t="s">
        <v>1766</v>
      </c>
      <c r="FW341" t="b">
        <v>1</v>
      </c>
    </row>
    <row r="342" spans="1:179" x14ac:dyDescent="0.3">
      <c r="A342" s="13">
        <v>45454.209780092599</v>
      </c>
      <c r="B342" t="b">
        <v>0</v>
      </c>
      <c r="C342" s="14" t="s">
        <v>1767</v>
      </c>
      <c r="D342" s="14" t="s">
        <v>1768</v>
      </c>
      <c r="E342" s="14" t="s">
        <v>1769</v>
      </c>
      <c r="F342" s="14" t="s">
        <v>184</v>
      </c>
      <c r="G342" s="14" t="s">
        <v>1770</v>
      </c>
      <c r="H342" s="14" t="s">
        <v>222</v>
      </c>
      <c r="I342" s="14" t="s">
        <v>385</v>
      </c>
      <c r="J342" s="14"/>
      <c r="K342" s="28" t="s">
        <v>203</v>
      </c>
      <c r="L342" s="14" t="s">
        <v>249</v>
      </c>
      <c r="M342" s="14" t="s">
        <v>198</v>
      </c>
      <c r="N342" s="14" t="s">
        <v>199</v>
      </c>
      <c r="O342" s="14" t="s">
        <v>200</v>
      </c>
      <c r="P342" s="24" t="s">
        <v>255</v>
      </c>
      <c r="Q342" s="17" t="s">
        <v>201</v>
      </c>
      <c r="R342" s="25" t="s">
        <v>203</v>
      </c>
      <c r="S342" s="25" t="s">
        <v>201</v>
      </c>
      <c r="T342" s="14" t="s">
        <v>348</v>
      </c>
      <c r="U342" s="14" t="s">
        <v>349</v>
      </c>
      <c r="V342" s="14" t="s">
        <v>224</v>
      </c>
      <c r="W342" s="14" t="s">
        <v>395</v>
      </c>
      <c r="X342" s="14" t="s">
        <v>395</v>
      </c>
      <c r="Y342" s="14">
        <v>3</v>
      </c>
      <c r="Z342" s="14">
        <v>4</v>
      </c>
      <c r="AA342" s="14">
        <v>5</v>
      </c>
      <c r="AB342" s="15">
        <f>IFERROR(AVERAGE(Tabel1[[#This Row],[Up - R1a]:[Up - R1c]]),"")</f>
        <v>4</v>
      </c>
      <c r="AC342" s="14">
        <v>1</v>
      </c>
      <c r="AD342" s="14">
        <v>3</v>
      </c>
      <c r="AE342" s="14">
        <v>3</v>
      </c>
      <c r="AF342" s="14">
        <v>4</v>
      </c>
      <c r="AG342" s="14">
        <f>IFERROR(AVERAGE(Tabel1[[#This Row],[Up - R1]:[Up - R5]]),"")</f>
        <v>3</v>
      </c>
      <c r="AH342" s="14">
        <v>4</v>
      </c>
      <c r="AI342" s="14">
        <v>4</v>
      </c>
      <c r="AJ342" s="14">
        <v>2</v>
      </c>
      <c r="AK342" s="14">
        <f>IFERROR(AVERAGE(Tabel1[[#This Row],[Up - C1a]:[Up - C1c]]),"")</f>
        <v>3.3333333333333335</v>
      </c>
      <c r="AL342" s="14">
        <v>1</v>
      </c>
      <c r="AM342" s="14">
        <v>1</v>
      </c>
      <c r="AN342" s="14" t="s">
        <v>189</v>
      </c>
      <c r="AO342" s="14">
        <f>IFERROR(AVERAGE(Tabel1[[#This Row],[Up - C1]:[Up - C4]]),"")</f>
        <v>1.7777777777777779</v>
      </c>
      <c r="AP342" s="14">
        <v>1</v>
      </c>
      <c r="AQ342" s="14">
        <f>IFERROR(AVERAGE(Tabel1[[#This Row],[Up - F1a]:[Up - F1a]]),"")</f>
        <v>1</v>
      </c>
      <c r="AR342" s="14">
        <v>2</v>
      </c>
      <c r="AS342" s="14" t="s">
        <v>189</v>
      </c>
      <c r="AT342" s="14">
        <f>IFERROR(AVERAGE(Tabel1[[#This Row],[Up - F2a]:[Up - F2b]]),"")</f>
        <v>2</v>
      </c>
      <c r="AU342" s="14">
        <v>3</v>
      </c>
      <c r="AV342" s="14">
        <v>3</v>
      </c>
      <c r="AW342" s="14">
        <f>IFERROR(AVERAGE(Tabel1[[#This Row],[Up - F3a]:[Up - F3b]]),"")</f>
        <v>3</v>
      </c>
      <c r="AX342" s="14">
        <v>4</v>
      </c>
      <c r="AY342" s="14">
        <f>IFERROR(AVERAGE(Tabel1[[#This Row],[Up - F1]],Tabel1[[#This Row],[Up - F2]],Tabel1[[#This Row],[Up - F3]],Tabel1[[#This Row],[Up - F4]]),"")</f>
        <v>2.5</v>
      </c>
      <c r="AZ342" s="14">
        <v>1</v>
      </c>
      <c r="BA342" s="14">
        <v>4</v>
      </c>
      <c r="BB342" s="14">
        <f>IFERROR(AVERAGE(Tabel1[[#This Row],[Up - V1a]:[Up - V1b]]),"")</f>
        <v>2.5</v>
      </c>
      <c r="BC342" s="14">
        <v>2</v>
      </c>
      <c r="BD342" s="14">
        <v>1</v>
      </c>
      <c r="BE342" s="14">
        <v>3</v>
      </c>
      <c r="BF342" s="14">
        <f>IFERROR(AVERAGE(Tabel1[[#This Row],[Up - V2a]:[Up - V2c]]),"")</f>
        <v>2</v>
      </c>
      <c r="BG342" s="14">
        <v>3</v>
      </c>
      <c r="BH342" s="14">
        <v>1</v>
      </c>
      <c r="BI342" s="14">
        <f>IFERROR(AVERAGE(Tabel1[[#This Row],[Up - V3a]:[Up - V3b]]),"")</f>
        <v>2</v>
      </c>
      <c r="BJ342" s="14">
        <v>2</v>
      </c>
      <c r="BK342" s="14">
        <f>IFERROR(AVERAGE(Tabel1[[#This Row],[Up - V1]],Tabel1[[#This Row],[Up - V2]],Tabel1[[#This Row],[Up - V3]],Tabel1[[#This Row],[Up - V4]]),"")</f>
        <v>2.125</v>
      </c>
      <c r="BL342" s="14">
        <v>4</v>
      </c>
      <c r="BM342" s="14">
        <v>4</v>
      </c>
      <c r="BN342" s="14">
        <v>4</v>
      </c>
      <c r="BO342" s="14" t="s">
        <v>189</v>
      </c>
      <c r="BP342" s="14">
        <f>IFERROR(AVERAGE(Tabel1[[#This Row],[Up - A1a]:[Up - A1d]]),"")</f>
        <v>4</v>
      </c>
      <c r="BQ342" s="14">
        <v>2</v>
      </c>
      <c r="BR342" s="14">
        <v>4</v>
      </c>
      <c r="BS342" s="14">
        <f>IFERROR(AVERAGE(Tabel1[[#This Row],[Up - A2a]:[Up - A2b]]),"")</f>
        <v>3</v>
      </c>
      <c r="BT342" s="14">
        <v>5</v>
      </c>
      <c r="BU342" s="14">
        <f>IFERROR(AVERAGE(Tabel1[[#This Row],[Up - A3a]:[Up - A3a]]),"")</f>
        <v>5</v>
      </c>
      <c r="BV342" s="14">
        <v>4</v>
      </c>
      <c r="BW342" s="14">
        <f>IFERROR(AVERAGE(Tabel1[[#This Row],[Up - A1]],Tabel1[[#This Row],[Up - A2]],Tabel1[[#This Row],[Up - A3]]),"")</f>
        <v>4</v>
      </c>
      <c r="BX342" s="14">
        <v>2</v>
      </c>
      <c r="BY342" s="14">
        <v>1</v>
      </c>
      <c r="BZ342" s="14">
        <f>IFERROR(AVERAGE(Tabel1[[#This Row],[In - R1a]:[In - R1b]]),"")</f>
        <v>1.5</v>
      </c>
      <c r="CA342" s="14">
        <v>4</v>
      </c>
      <c r="CB342" s="14" t="s">
        <v>189</v>
      </c>
      <c r="CC342" s="14">
        <v>1</v>
      </c>
      <c r="CD342" s="14">
        <v>5</v>
      </c>
      <c r="CE342" s="14">
        <f>IFERROR(AVERAGE(Tabel1[[#This Row],[In - R1]:[In - R5]]),"")</f>
        <v>2.875</v>
      </c>
      <c r="CF342" s="14">
        <v>2</v>
      </c>
      <c r="CG342" s="14">
        <v>1</v>
      </c>
      <c r="CH342" s="14">
        <v>3</v>
      </c>
      <c r="CI342" s="14">
        <f>IFERROR(AVERAGE(Tabel1[[#This Row],[In - C1a]:[In - C1c]]),"")</f>
        <v>2</v>
      </c>
      <c r="CJ342" s="14">
        <v>1</v>
      </c>
      <c r="CK342" s="14">
        <v>2</v>
      </c>
      <c r="CL342" s="14">
        <v>4</v>
      </c>
      <c r="CM342" s="14">
        <f>IFERROR(AVERAGE(Tabel1[[#This Row],[In - C1]:[In - C4]]),"")</f>
        <v>2.25</v>
      </c>
      <c r="CN342" s="14">
        <v>4</v>
      </c>
      <c r="CO342" s="14">
        <v>2</v>
      </c>
      <c r="CP342" s="14">
        <v>1</v>
      </c>
      <c r="CQ342" s="14">
        <f>IFERROR(AVERAGE(Tabel1[[#This Row],[In - F1a]:[In - F1c]]),"")</f>
        <v>2.3333333333333335</v>
      </c>
      <c r="CR342" s="14">
        <v>3</v>
      </c>
      <c r="CS342" s="14">
        <v>4</v>
      </c>
      <c r="CT342" s="14">
        <f>IFERROR(AVERAGE(Tabel1[[#This Row],[In - F2a]:[In - F2b]]),"")</f>
        <v>3.5</v>
      </c>
      <c r="CU342" s="14">
        <v>4</v>
      </c>
      <c r="CV342" s="14">
        <f>IFERROR(AVERAGE(Tabel1[[#This Row],[In - F3a]:[In - F3a]]),"")</f>
        <v>4</v>
      </c>
      <c r="CW342" s="14">
        <v>5</v>
      </c>
      <c r="CX342" s="14">
        <f>IFERROR(AVERAGE(Tabel1[[#This Row],[In - F1]],Tabel1[[#This Row],[In - F2]],Tabel1[[#This Row],[In - F3]],Tabel1[[#This Row],[In - F4]]),"")</f>
        <v>3.7083333333333335</v>
      </c>
      <c r="CY342" s="14">
        <v>5</v>
      </c>
      <c r="CZ342" s="14">
        <v>2</v>
      </c>
      <c r="DA342" s="14">
        <v>1</v>
      </c>
      <c r="DB342" s="14">
        <f>IFERROR(AVERAGE(Tabel1[[#This Row],[In - V1a]:[In - V1c]]),"")</f>
        <v>2.6666666666666665</v>
      </c>
      <c r="DC342" s="14">
        <v>3</v>
      </c>
      <c r="DD342" s="14">
        <v>2</v>
      </c>
      <c r="DE342" s="14">
        <v>2</v>
      </c>
      <c r="DF342" s="14">
        <f>IFERROR(AVERAGE(Tabel1[[#This Row],[In - V2a]:[In - V2c]]),"")</f>
        <v>2.3333333333333335</v>
      </c>
      <c r="DG342" s="14">
        <v>2</v>
      </c>
      <c r="DH342" s="14" t="s">
        <v>189</v>
      </c>
      <c r="DI342" s="14">
        <f>IFERROR(AVERAGE(Tabel1[[#This Row],[In - V3a]:[In - V3b]]),"")</f>
        <v>2</v>
      </c>
      <c r="DJ342" s="14">
        <v>3</v>
      </c>
      <c r="DK342" s="14">
        <f>IFERROR(AVERAGE(Tabel1[[#This Row],[In - V1]],Tabel1[[#This Row],[In - V2]],Tabel1[[#This Row],[In - V3]],Tabel1[[#This Row],[In - V4]]),"")</f>
        <v>2.5</v>
      </c>
      <c r="DL342" s="14">
        <v>4</v>
      </c>
      <c r="DM342" s="14" t="s">
        <v>189</v>
      </c>
      <c r="DN342" s="14">
        <f>IFERROR(AVERAGE(Tabel1[[#This Row],[In - A1a]:[In - A1b]]),"")</f>
        <v>4</v>
      </c>
      <c r="DO342" s="14" t="s">
        <v>189</v>
      </c>
      <c r="DP342" s="14">
        <v>2</v>
      </c>
      <c r="DQ342" s="14">
        <f>IFERROR(AVERAGE(Tabel1[[#This Row],[In - A2a]:[In - A2b]]),"")</f>
        <v>2</v>
      </c>
      <c r="DR342" s="14">
        <v>5</v>
      </c>
      <c r="DS342" s="14">
        <v>3</v>
      </c>
      <c r="DT342" s="14">
        <f>IFERROR(AVERAGE(Tabel1[[#This Row],[In - A3a]:[In - A3a]]),"")</f>
        <v>5</v>
      </c>
      <c r="DU342" s="14">
        <v>1</v>
      </c>
      <c r="DV342" s="14">
        <f>IFERROR(AVERAGE(Tabel1[[#This Row],[In - A1]],Tabel1[[#This Row],[In - A2]],Tabel1[[#This Row],[In - A3]],Tabel1[[#This Row],[In - A4]]),"")</f>
        <v>3</v>
      </c>
      <c r="DW342" s="14">
        <v>4</v>
      </c>
      <c r="DX342" s="14">
        <v>2</v>
      </c>
      <c r="DY342" s="14">
        <v>4</v>
      </c>
      <c r="DZ342" s="14">
        <f>IFERROR(AVERAGE(Tabel1[[#This Row],[Do - R1a]:[Do - R1c]]),"")</f>
        <v>3.3333333333333335</v>
      </c>
      <c r="EA342" s="14">
        <v>4</v>
      </c>
      <c r="EB342" s="14">
        <v>5</v>
      </c>
      <c r="EC342" s="14">
        <v>1</v>
      </c>
      <c r="ED342" s="14">
        <v>4</v>
      </c>
      <c r="EE342" s="14">
        <f>IFERROR(AVERAGE(Tabel1[[#This Row],[Do - R1]:[Do - R5]]),"")</f>
        <v>3.4666666666666672</v>
      </c>
      <c r="EF342" s="14">
        <v>5</v>
      </c>
      <c r="EG342" s="14">
        <v>5</v>
      </c>
      <c r="EH342" s="14">
        <v>3</v>
      </c>
      <c r="EI342" s="14">
        <f>IFERROR(AVERAGE(Tabel1[[#This Row],[Do - C1a]:[Do - C1c]]),"")</f>
        <v>4.333333333333333</v>
      </c>
      <c r="EJ342" s="14">
        <v>3</v>
      </c>
      <c r="EK342" s="14">
        <v>3</v>
      </c>
      <c r="EL342" s="14">
        <v>4</v>
      </c>
      <c r="EM342" s="14">
        <f>IFERROR(AVERAGE(Tabel1[[#This Row],[Do - C1]:[Do - C4]]),"")</f>
        <v>3.583333333333333</v>
      </c>
      <c r="EN342" s="14">
        <v>4</v>
      </c>
      <c r="EO342" s="14">
        <v>2</v>
      </c>
      <c r="EP342" s="14">
        <v>4</v>
      </c>
      <c r="EQ342" s="14">
        <f>IFERROR(AVERAGE(Tabel1[[#This Row],[Do - F1a]:[Do - F1c]]),"")</f>
        <v>3.3333333333333335</v>
      </c>
      <c r="ER342" s="14">
        <v>5</v>
      </c>
      <c r="ES342" s="14">
        <f>IFERROR(AVERAGE(Tabel1[[#This Row],[Do - F2a]:[Do - F2a]]),"")</f>
        <v>5</v>
      </c>
      <c r="ET342" s="14">
        <v>5</v>
      </c>
      <c r="EU342" s="14">
        <v>5</v>
      </c>
      <c r="EV342" s="14">
        <f>IFERROR(AVERAGE(Tabel1[[#This Row],[Do - F3a]:[Do - F3b]]),"")</f>
        <v>5</v>
      </c>
      <c r="EW342" s="14">
        <v>4</v>
      </c>
      <c r="EX342" s="14">
        <f>IFERROR(AVERAGE(Tabel1[[#This Row],[Do - F1]],Tabel1[[#This Row],[Do - F2]],Tabel1[[#This Row],[Do - F3]],Tabel1[[#This Row],[Do - F4]]),"")</f>
        <v>4.3333333333333339</v>
      </c>
      <c r="EY342" s="14">
        <v>2</v>
      </c>
      <c r="EZ342" s="14">
        <v>1</v>
      </c>
      <c r="FA342" s="14">
        <v>3</v>
      </c>
      <c r="FB342" s="14">
        <f>IFERROR(AVERAGE(Tabel1[[#This Row],[Do - V1a]:[Do - V1c]]),"")</f>
        <v>2</v>
      </c>
      <c r="FC342" s="14">
        <v>2</v>
      </c>
      <c r="FD342" s="14" t="s">
        <v>189</v>
      </c>
      <c r="FE342" s="14">
        <f>IFERROR(AVERAGE(Tabel1[[#This Row],[Do - V2a]:[Do - V2b]]),"")</f>
        <v>2</v>
      </c>
      <c r="FF342" s="14">
        <v>3</v>
      </c>
      <c r="FG342" s="14">
        <f>IFERROR(AVERAGE(Tabel1[[#This Row],[Do - V3a]:[Do - V3a]]),"")</f>
        <v>3</v>
      </c>
      <c r="FH342" s="14">
        <v>4</v>
      </c>
      <c r="FI342" s="14">
        <f>IFERROR(AVERAGE(Tabel1[[#This Row],[Do - V1]],Tabel1[[#This Row],[Do - V2]],Tabel1[[#This Row],[Do - V3]],Tabel1[[#This Row],[Do - V4]]),"")</f>
        <v>2.75</v>
      </c>
      <c r="FJ342" s="14">
        <v>3</v>
      </c>
      <c r="FK342" s="14">
        <v>2</v>
      </c>
      <c r="FL342" s="14">
        <v>4</v>
      </c>
      <c r="FM342" s="14">
        <f>IFERROR(AVERAGE(Tabel1[[#This Row],[Do - A1a]:[Do - A1c]]),"")</f>
        <v>3</v>
      </c>
      <c r="FN342" s="14" t="s">
        <v>189</v>
      </c>
      <c r="FO342" s="14">
        <v>5</v>
      </c>
      <c r="FP342" s="14">
        <f>IFERROR(AVERAGE(Tabel1[[#This Row],[Do - A2a]:[Do - A2b]]),"")</f>
        <v>5</v>
      </c>
      <c r="FQ342" s="14">
        <v>5</v>
      </c>
      <c r="FR342" s="14">
        <f>IFERROR(AVERAGE(Tabel1[[#This Row],[Do - A3a]:[Do - A3a]]),"")</f>
        <v>5</v>
      </c>
      <c r="FS342" s="14">
        <v>4</v>
      </c>
      <c r="FT342" s="14">
        <f>IFERROR(AVERAGE(Tabel1[[#This Row],[Do - A1]],Tabel1[[#This Row],[Do - A2]],Tabel1[[#This Row],[Do - A3]],Tabel1[[#This Row],[Do - A4]]),"")</f>
        <v>4.25</v>
      </c>
      <c r="FU34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3.0746296296296296</v>
      </c>
      <c r="FV342" s="27" t="s">
        <v>1771</v>
      </c>
      <c r="FW342" t="b">
        <v>1</v>
      </c>
    </row>
    <row r="343" spans="1:179" x14ac:dyDescent="0.3">
      <c r="A343" s="13">
        <v>45455.875879629602</v>
      </c>
      <c r="B343" t="b">
        <v>0</v>
      </c>
      <c r="C343" s="14" t="s">
        <v>1772</v>
      </c>
      <c r="D343" s="14" t="s">
        <v>1773</v>
      </c>
      <c r="E343" s="14" t="s">
        <v>1774</v>
      </c>
      <c r="F343" s="14" t="s">
        <v>1775</v>
      </c>
      <c r="G343" s="33" t="s">
        <v>1776</v>
      </c>
      <c r="H343" s="14" t="s">
        <v>194</v>
      </c>
      <c r="I343" s="14" t="s">
        <v>195</v>
      </c>
      <c r="J343" s="14" t="s">
        <v>406</v>
      </c>
      <c r="K343" s="28" t="s">
        <v>203</v>
      </c>
      <c r="L343" s="14" t="s">
        <v>197</v>
      </c>
      <c r="M343" s="14" t="s">
        <v>233</v>
      </c>
      <c r="N343" s="14" t="s">
        <v>262</v>
      </c>
      <c r="O343" s="14" t="s">
        <v>200</v>
      </c>
      <c r="P343" s="24" t="s">
        <v>255</v>
      </c>
      <c r="Q343" s="17" t="s">
        <v>203</v>
      </c>
      <c r="R343" s="25" t="s">
        <v>203</v>
      </c>
      <c r="S343" s="25" t="s">
        <v>202</v>
      </c>
      <c r="T343" s="14" t="s">
        <v>204</v>
      </c>
      <c r="U343" s="14" t="s">
        <v>237</v>
      </c>
      <c r="V343" s="14"/>
      <c r="W343" s="14" t="s">
        <v>306</v>
      </c>
      <c r="X343" s="14" t="s">
        <v>395</v>
      </c>
      <c r="Y343" s="14">
        <v>1</v>
      </c>
      <c r="Z343" s="14" t="s">
        <v>189</v>
      </c>
      <c r="AA343" s="14">
        <v>1</v>
      </c>
      <c r="AB343" s="15">
        <f>IFERROR(AVERAGE(Tabel1[[#This Row],[Up - R1a]:[Up - R1c]]),"")</f>
        <v>1</v>
      </c>
      <c r="AC343" s="14">
        <v>1</v>
      </c>
      <c r="AD343" s="14">
        <v>1</v>
      </c>
      <c r="AE343" s="14">
        <v>1</v>
      </c>
      <c r="AF343" s="14">
        <v>1</v>
      </c>
      <c r="AG343" s="14">
        <f>IFERROR(AVERAGE(Tabel1[[#This Row],[Up - R1]:[Up - R5]]),"")</f>
        <v>1</v>
      </c>
      <c r="AH343" s="14">
        <v>1</v>
      </c>
      <c r="AI343" s="14">
        <v>1</v>
      </c>
      <c r="AJ343" s="14">
        <v>2</v>
      </c>
      <c r="AK343" s="14">
        <f>IFERROR(AVERAGE(Tabel1[[#This Row],[Up - C1a]:[Up - C1c]]),"")</f>
        <v>1.3333333333333333</v>
      </c>
      <c r="AL343" s="14">
        <v>1</v>
      </c>
      <c r="AM343" s="14">
        <v>1</v>
      </c>
      <c r="AN343" s="14">
        <v>3</v>
      </c>
      <c r="AO343" s="14">
        <f>IFERROR(AVERAGE(Tabel1[[#This Row],[Up - C1]:[Up - C4]]),"")</f>
        <v>1.5833333333333333</v>
      </c>
      <c r="AP343" s="14">
        <v>4</v>
      </c>
      <c r="AQ343" s="14">
        <f>IFERROR(AVERAGE(Tabel1[[#This Row],[Up - F1a]:[Up - F1a]]),"")</f>
        <v>4</v>
      </c>
      <c r="AR343" s="14">
        <v>2</v>
      </c>
      <c r="AS343" s="14">
        <v>2</v>
      </c>
      <c r="AT343" s="14">
        <f>IFERROR(AVERAGE(Tabel1[[#This Row],[Up - F2a]:[Up - F2b]]),"")</f>
        <v>2</v>
      </c>
      <c r="AU343" s="14">
        <v>3</v>
      </c>
      <c r="AV343" s="14">
        <v>4</v>
      </c>
      <c r="AW343" s="14">
        <f>IFERROR(AVERAGE(Tabel1[[#This Row],[Up - F3a]:[Up - F3b]]),"")</f>
        <v>3.5</v>
      </c>
      <c r="AX343" s="14">
        <v>4</v>
      </c>
      <c r="AY343" s="14">
        <f>IFERROR(AVERAGE(Tabel1[[#This Row],[Up - F1]],Tabel1[[#This Row],[Up - F2]],Tabel1[[#This Row],[Up - F3]],Tabel1[[#This Row],[Up - F4]]),"")</f>
        <v>3.375</v>
      </c>
      <c r="AZ343" s="14">
        <v>2</v>
      </c>
      <c r="BA343" s="14">
        <v>2</v>
      </c>
      <c r="BB343" s="14">
        <f>IFERROR(AVERAGE(Tabel1[[#This Row],[Up - V1a]:[Up - V1b]]),"")</f>
        <v>2</v>
      </c>
      <c r="BC343" s="14">
        <v>1</v>
      </c>
      <c r="BD343" s="14">
        <v>2</v>
      </c>
      <c r="BE343" s="14">
        <v>5</v>
      </c>
      <c r="BF343" s="14">
        <f>IFERROR(AVERAGE(Tabel1[[#This Row],[Up - V2a]:[Up - V2c]]),"")</f>
        <v>2.6666666666666665</v>
      </c>
      <c r="BG343" s="14">
        <v>3</v>
      </c>
      <c r="BH343" s="14">
        <v>1</v>
      </c>
      <c r="BI343" s="14">
        <f>IFERROR(AVERAGE(Tabel1[[#This Row],[Up - V3a]:[Up - V3b]]),"")</f>
        <v>2</v>
      </c>
      <c r="BJ343" s="14">
        <v>2</v>
      </c>
      <c r="BK343" s="14">
        <f>IFERROR(AVERAGE(Tabel1[[#This Row],[Up - V1]],Tabel1[[#This Row],[Up - V2]],Tabel1[[#This Row],[Up - V3]],Tabel1[[#This Row],[Up - V4]]),"")</f>
        <v>2.1666666666666665</v>
      </c>
      <c r="BL343" s="14">
        <v>2</v>
      </c>
      <c r="BM343" s="14">
        <v>4</v>
      </c>
      <c r="BN343" s="14">
        <v>3</v>
      </c>
      <c r="BO343" s="14">
        <v>2</v>
      </c>
      <c r="BP343" s="14">
        <f>IFERROR(AVERAGE(Tabel1[[#This Row],[Up - A1a]:[Up - A1d]]),"")</f>
        <v>2.75</v>
      </c>
      <c r="BQ343" s="14">
        <v>1</v>
      </c>
      <c r="BR343" s="14">
        <v>2</v>
      </c>
      <c r="BS343" s="14">
        <f>IFERROR(AVERAGE(Tabel1[[#This Row],[Up - A2a]:[Up - A2b]]),"")</f>
        <v>1.5</v>
      </c>
      <c r="BT343" s="14">
        <v>4</v>
      </c>
      <c r="BU343" s="14">
        <f>IFERROR(AVERAGE(Tabel1[[#This Row],[Up - A3a]:[Up - A3a]]),"")</f>
        <v>4</v>
      </c>
      <c r="BV343" s="14">
        <v>1</v>
      </c>
      <c r="BW343" s="14">
        <f>IFERROR(AVERAGE(Tabel1[[#This Row],[Up - A1]],Tabel1[[#This Row],[Up - A2]],Tabel1[[#This Row],[Up - A3]]),"")</f>
        <v>2.75</v>
      </c>
      <c r="BX343" s="14">
        <v>1</v>
      </c>
      <c r="BY343" s="14">
        <v>1</v>
      </c>
      <c r="BZ343" s="14">
        <f>IFERROR(AVERAGE(Tabel1[[#This Row],[In - R1a]:[In - R1b]]),"")</f>
        <v>1</v>
      </c>
      <c r="CA343" s="14">
        <v>1</v>
      </c>
      <c r="CB343" s="14">
        <v>1</v>
      </c>
      <c r="CC343" s="14">
        <v>1</v>
      </c>
      <c r="CD343" s="14">
        <v>1</v>
      </c>
      <c r="CE343" s="14">
        <f>IFERROR(AVERAGE(Tabel1[[#This Row],[In - R1]:[In - R5]]),"")</f>
        <v>1</v>
      </c>
      <c r="CF343" s="14">
        <v>2</v>
      </c>
      <c r="CG343" s="14">
        <v>3</v>
      </c>
      <c r="CH343" s="14">
        <v>1</v>
      </c>
      <c r="CI343" s="14">
        <f>IFERROR(AVERAGE(Tabel1[[#This Row],[In - C1a]:[In - C1c]]),"")</f>
        <v>2</v>
      </c>
      <c r="CJ343" s="14">
        <v>3</v>
      </c>
      <c r="CK343" s="14">
        <v>2</v>
      </c>
      <c r="CL343" s="14">
        <v>2</v>
      </c>
      <c r="CM343" s="14">
        <f>IFERROR(AVERAGE(Tabel1[[#This Row],[In - C1]:[In - C4]]),"")</f>
        <v>2.25</v>
      </c>
      <c r="CN343" s="14">
        <v>2</v>
      </c>
      <c r="CO343" s="14">
        <v>5</v>
      </c>
      <c r="CP343" s="14">
        <v>3</v>
      </c>
      <c r="CQ343" s="14">
        <f>IFERROR(AVERAGE(Tabel1[[#This Row],[In - F1a]:[In - F1c]]),"")</f>
        <v>3.3333333333333335</v>
      </c>
      <c r="CR343" s="14">
        <v>2</v>
      </c>
      <c r="CS343" s="14">
        <v>2</v>
      </c>
      <c r="CT343" s="14">
        <f>IFERROR(AVERAGE(Tabel1[[#This Row],[In - F2a]:[In - F2b]]),"")</f>
        <v>2</v>
      </c>
      <c r="CU343" s="14">
        <v>2</v>
      </c>
      <c r="CV343" s="14">
        <f>IFERROR(AVERAGE(Tabel1[[#This Row],[In - F3a]:[In - F3a]]),"")</f>
        <v>2</v>
      </c>
      <c r="CW343" s="14">
        <v>3</v>
      </c>
      <c r="CX343" s="14">
        <f>IFERROR(AVERAGE(Tabel1[[#This Row],[In - F1]],Tabel1[[#This Row],[In - F2]],Tabel1[[#This Row],[In - F3]],Tabel1[[#This Row],[In - F4]]),"")</f>
        <v>2.5833333333333335</v>
      </c>
      <c r="CY343" s="14">
        <v>2</v>
      </c>
      <c r="CZ343" s="14">
        <v>3</v>
      </c>
      <c r="DA343" s="14">
        <v>2</v>
      </c>
      <c r="DB343" s="14">
        <f>IFERROR(AVERAGE(Tabel1[[#This Row],[In - V1a]:[In - V1c]]),"")</f>
        <v>2.3333333333333335</v>
      </c>
      <c r="DC343" s="14">
        <v>2</v>
      </c>
      <c r="DD343" s="14">
        <v>2</v>
      </c>
      <c r="DE343" s="14">
        <v>3</v>
      </c>
      <c r="DF343" s="14">
        <f>IFERROR(AVERAGE(Tabel1[[#This Row],[In - V2a]:[In - V2c]]),"")</f>
        <v>2.3333333333333335</v>
      </c>
      <c r="DG343" s="14">
        <v>3</v>
      </c>
      <c r="DH343" s="14">
        <v>2</v>
      </c>
      <c r="DI343" s="14">
        <f>IFERROR(AVERAGE(Tabel1[[#This Row],[In - V3a]:[In - V3b]]),"")</f>
        <v>2.5</v>
      </c>
      <c r="DJ343" s="14">
        <v>2</v>
      </c>
      <c r="DK343" s="14">
        <f>IFERROR(AVERAGE(Tabel1[[#This Row],[In - V1]],Tabel1[[#This Row],[In - V2]],Tabel1[[#This Row],[In - V3]],Tabel1[[#This Row],[In - V4]]),"")</f>
        <v>2.291666666666667</v>
      </c>
      <c r="DL343" s="14">
        <v>2</v>
      </c>
      <c r="DM343" s="14">
        <v>4</v>
      </c>
      <c r="DN343" s="14">
        <f>IFERROR(AVERAGE(Tabel1[[#This Row],[In - A1a]:[In - A1b]]),"")</f>
        <v>3</v>
      </c>
      <c r="DO343" s="14">
        <v>1</v>
      </c>
      <c r="DP343" s="14">
        <v>2</v>
      </c>
      <c r="DQ343" s="14">
        <f>IFERROR(AVERAGE(Tabel1[[#This Row],[In - A2a]:[In - A2b]]),"")</f>
        <v>1.5</v>
      </c>
      <c r="DR343" s="14">
        <v>4</v>
      </c>
      <c r="DS343" s="14">
        <v>2</v>
      </c>
      <c r="DT343" s="14">
        <f>IFERROR(AVERAGE(Tabel1[[#This Row],[In - A3a]:[In - A3a]]),"")</f>
        <v>4</v>
      </c>
      <c r="DU343" s="14">
        <v>2</v>
      </c>
      <c r="DV343" s="14">
        <f>IFERROR(AVERAGE(Tabel1[[#This Row],[In - A1]],Tabel1[[#This Row],[In - A2]],Tabel1[[#This Row],[In - A3]],Tabel1[[#This Row],[In - A4]]),"")</f>
        <v>2.625</v>
      </c>
      <c r="DW343" s="14">
        <v>1</v>
      </c>
      <c r="DX343" s="14">
        <v>1</v>
      </c>
      <c r="DY343" s="14">
        <v>1</v>
      </c>
      <c r="DZ343" s="14">
        <f>IFERROR(AVERAGE(Tabel1[[#This Row],[Do - R1a]:[Do - R1c]]),"")</f>
        <v>1</v>
      </c>
      <c r="EA343" s="14">
        <v>1</v>
      </c>
      <c r="EB343" s="14">
        <v>1</v>
      </c>
      <c r="EC343" s="14">
        <v>1</v>
      </c>
      <c r="ED343" s="14">
        <v>1</v>
      </c>
      <c r="EE343" s="14">
        <f>IFERROR(AVERAGE(Tabel1[[#This Row],[Do - R1]:[Do - R5]]),"")</f>
        <v>1</v>
      </c>
      <c r="EF343" s="14">
        <v>2</v>
      </c>
      <c r="EG343" s="14">
        <v>1</v>
      </c>
      <c r="EH343" s="14" t="s">
        <v>189</v>
      </c>
      <c r="EI343" s="14">
        <f>IFERROR(AVERAGE(Tabel1[[#This Row],[Do - C1a]:[Do - C1c]]),"")</f>
        <v>1.5</v>
      </c>
      <c r="EJ343" s="14">
        <v>2</v>
      </c>
      <c r="EK343" s="14">
        <v>2</v>
      </c>
      <c r="EL343" s="14">
        <v>2</v>
      </c>
      <c r="EM343" s="14">
        <f>IFERROR(AVERAGE(Tabel1[[#This Row],[Do - C1]:[Do - C4]]),"")</f>
        <v>1.875</v>
      </c>
      <c r="EN343" s="14">
        <v>4</v>
      </c>
      <c r="EO343" s="14" t="s">
        <v>189</v>
      </c>
      <c r="EP343" s="14">
        <v>4</v>
      </c>
      <c r="EQ343" s="14">
        <f>IFERROR(AVERAGE(Tabel1[[#This Row],[Do - F1a]:[Do - F1c]]),"")</f>
        <v>4</v>
      </c>
      <c r="ER343" s="14">
        <v>2</v>
      </c>
      <c r="ES343" s="14">
        <f>IFERROR(AVERAGE(Tabel1[[#This Row],[Do - F2a]:[Do - F2a]]),"")</f>
        <v>2</v>
      </c>
      <c r="ET343" s="14">
        <v>2</v>
      </c>
      <c r="EU343" s="14">
        <v>3</v>
      </c>
      <c r="EV343" s="14">
        <f>IFERROR(AVERAGE(Tabel1[[#This Row],[Do - F3a]:[Do - F3b]]),"")</f>
        <v>2.5</v>
      </c>
      <c r="EW343" s="14" t="s">
        <v>189</v>
      </c>
      <c r="EX343" s="14">
        <f>IFERROR(AVERAGE(Tabel1[[#This Row],[Do - F1]],Tabel1[[#This Row],[Do - F2]],Tabel1[[#This Row],[Do - F3]],Tabel1[[#This Row],[Do - F4]]),"")</f>
        <v>2.8333333333333335</v>
      </c>
      <c r="EY343" s="14">
        <v>2</v>
      </c>
      <c r="EZ343" s="14" t="s">
        <v>189</v>
      </c>
      <c r="FA343" s="14">
        <v>3</v>
      </c>
      <c r="FB343" s="14">
        <f>IFERROR(AVERAGE(Tabel1[[#This Row],[Do - V1a]:[Do - V1c]]),"")</f>
        <v>2.5</v>
      </c>
      <c r="FC343" s="14" t="s">
        <v>189</v>
      </c>
      <c r="FD343" s="14">
        <v>5</v>
      </c>
      <c r="FE343" s="14">
        <f>IFERROR(AVERAGE(Tabel1[[#This Row],[Do - V2a]:[Do - V2b]]),"")</f>
        <v>5</v>
      </c>
      <c r="FF343" s="14" t="s">
        <v>189</v>
      </c>
      <c r="FG343" s="14" t="str">
        <f>IFERROR(AVERAGE(Tabel1[[#This Row],[Do - V3a]:[Do - V3a]]),"")</f>
        <v/>
      </c>
      <c r="FH343" s="14">
        <v>1</v>
      </c>
      <c r="FI343" s="14">
        <f>IFERROR(AVERAGE(Tabel1[[#This Row],[Do - V1]],Tabel1[[#This Row],[Do - V2]],Tabel1[[#This Row],[Do - V3]],Tabel1[[#This Row],[Do - V4]]),"")</f>
        <v>2.8333333333333335</v>
      </c>
      <c r="FJ343" s="14">
        <v>2</v>
      </c>
      <c r="FK343" s="14">
        <v>3</v>
      </c>
      <c r="FL343" s="14" t="s">
        <v>189</v>
      </c>
      <c r="FM343" s="14">
        <f>IFERROR(AVERAGE(Tabel1[[#This Row],[Do - A1a]:[Do - A1c]]),"")</f>
        <v>2.5</v>
      </c>
      <c r="FN343" s="14">
        <v>2</v>
      </c>
      <c r="FO343" s="14">
        <v>2</v>
      </c>
      <c r="FP343" s="14">
        <f>IFERROR(AVERAGE(Tabel1[[#This Row],[Do - A2a]:[Do - A2b]]),"")</f>
        <v>2</v>
      </c>
      <c r="FQ343" s="14">
        <v>4</v>
      </c>
      <c r="FR343" s="14">
        <f>IFERROR(AVERAGE(Tabel1[[#This Row],[Do - A3a]:[Do - A3a]]),"")</f>
        <v>4</v>
      </c>
      <c r="FS343" s="14">
        <v>2</v>
      </c>
      <c r="FT343" s="14">
        <f>IFERROR(AVERAGE(Tabel1[[#This Row],[Do - A1]],Tabel1[[#This Row],[Do - A2]],Tabel1[[#This Row],[Do - A3]],Tabel1[[#This Row],[Do - A4]]),"")</f>
        <v>2.625</v>
      </c>
      <c r="FU34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2.1861111111111109</v>
      </c>
      <c r="FV343" s="27" t="s">
        <v>1777</v>
      </c>
      <c r="FW343" t="b">
        <v>1</v>
      </c>
    </row>
    <row r="344" spans="1:179" x14ac:dyDescent="0.3">
      <c r="A344" s="13">
        <v>45464.601076388899</v>
      </c>
      <c r="B344" t="b">
        <v>0</v>
      </c>
      <c r="C344" s="14" t="s">
        <v>1778</v>
      </c>
      <c r="D344" s="14" t="s">
        <v>1779</v>
      </c>
      <c r="E344" s="32" t="s">
        <v>1709</v>
      </c>
      <c r="F344" s="14" t="s">
        <v>184</v>
      </c>
      <c r="G344" s="14" t="s">
        <v>1780</v>
      </c>
      <c r="H344" s="14" t="s">
        <v>222</v>
      </c>
      <c r="I344" s="14" t="s">
        <v>195</v>
      </c>
      <c r="J344" s="14" t="s">
        <v>533</v>
      </c>
      <c r="K344" s="28" t="s">
        <v>235</v>
      </c>
      <c r="L344" s="14" t="s">
        <v>197</v>
      </c>
      <c r="M344" s="14" t="s">
        <v>233</v>
      </c>
      <c r="N344" s="14" t="s">
        <v>199</v>
      </c>
      <c r="O344" s="14" t="s">
        <v>200</v>
      </c>
      <c r="P344" s="24" t="s">
        <v>255</v>
      </c>
      <c r="Q344" s="17" t="s">
        <v>235</v>
      </c>
      <c r="R344" s="25"/>
      <c r="S344" s="25"/>
      <c r="T344" s="14" t="s">
        <v>236</v>
      </c>
      <c r="U344" s="14" t="s">
        <v>237</v>
      </c>
      <c r="V344" s="14" t="s">
        <v>224</v>
      </c>
      <c r="W344" s="14" t="s">
        <v>207</v>
      </c>
      <c r="X344" s="14" t="s">
        <v>207</v>
      </c>
      <c r="Y344" s="14">
        <v>3</v>
      </c>
      <c r="Z344" s="14">
        <v>3</v>
      </c>
      <c r="AA344" s="14">
        <v>2</v>
      </c>
      <c r="AB344" s="15">
        <f>IFERROR(AVERAGE(Tabel1[[#This Row],[Up - R1a]:[Up - R1c]]),"")</f>
        <v>2.6666666666666665</v>
      </c>
      <c r="AC344" s="14">
        <v>2</v>
      </c>
      <c r="AD344" s="14">
        <v>4</v>
      </c>
      <c r="AE344" s="14">
        <v>1</v>
      </c>
      <c r="AF344" s="14">
        <v>3</v>
      </c>
      <c r="AG344" s="14">
        <f>IFERROR(AVERAGE(Tabel1[[#This Row],[Up - R1]:[Up - R5]]),"")</f>
        <v>2.5333333333333332</v>
      </c>
      <c r="AH344" s="14">
        <v>3</v>
      </c>
      <c r="AI344" s="14">
        <v>3</v>
      </c>
      <c r="AJ344" s="14">
        <v>2</v>
      </c>
      <c r="AK344" s="14">
        <f>IFERROR(AVERAGE(Tabel1[[#This Row],[Up - C1a]:[Up - C1c]]),"")</f>
        <v>2.6666666666666665</v>
      </c>
      <c r="AL344" s="14">
        <v>3</v>
      </c>
      <c r="AM344" s="14">
        <v>2</v>
      </c>
      <c r="AN344" s="14">
        <v>3</v>
      </c>
      <c r="AO344" s="14">
        <f>IFERROR(AVERAGE(Tabel1[[#This Row],[Up - C1]:[Up - C4]]),"")</f>
        <v>2.6666666666666665</v>
      </c>
      <c r="AP344" s="14">
        <v>2</v>
      </c>
      <c r="AQ344" s="14">
        <f>IFERROR(AVERAGE(Tabel1[[#This Row],[Up - F1a]:[Up - F1a]]),"")</f>
        <v>2</v>
      </c>
      <c r="AR344" s="14">
        <v>2</v>
      </c>
      <c r="AS344" s="14">
        <v>4</v>
      </c>
      <c r="AT344" s="14">
        <f>IFERROR(AVERAGE(Tabel1[[#This Row],[Up - F2a]:[Up - F2b]]),"")</f>
        <v>3</v>
      </c>
      <c r="AU344" s="14">
        <v>3</v>
      </c>
      <c r="AV344" s="14">
        <v>2</v>
      </c>
      <c r="AW344" s="14">
        <f>IFERROR(AVERAGE(Tabel1[[#This Row],[Up - F3a]:[Up - F3b]]),"")</f>
        <v>2.5</v>
      </c>
      <c r="AX344" s="14">
        <v>3</v>
      </c>
      <c r="AY344" s="14">
        <f>IFERROR(AVERAGE(Tabel1[[#This Row],[Up - F1]],Tabel1[[#This Row],[Up - F2]],Tabel1[[#This Row],[Up - F3]],Tabel1[[#This Row],[Up - F4]]),"")</f>
        <v>2.625</v>
      </c>
      <c r="AZ344" s="14">
        <v>2</v>
      </c>
      <c r="BA344" s="14">
        <v>3</v>
      </c>
      <c r="BB344" s="14">
        <f>IFERROR(AVERAGE(Tabel1[[#This Row],[Up - V1a]:[Up - V1b]]),"")</f>
        <v>2.5</v>
      </c>
      <c r="BC344" s="14">
        <v>1</v>
      </c>
      <c r="BD344" s="14">
        <v>3</v>
      </c>
      <c r="BE344" s="14">
        <v>4</v>
      </c>
      <c r="BF344" s="14">
        <f>IFERROR(AVERAGE(Tabel1[[#This Row],[Up - V2a]:[Up - V2c]]),"")</f>
        <v>2.6666666666666665</v>
      </c>
      <c r="BG344" s="14">
        <v>4</v>
      </c>
      <c r="BH344" s="14">
        <v>4</v>
      </c>
      <c r="BI344" s="14">
        <f>IFERROR(AVERAGE(Tabel1[[#This Row],[Up - V3a]:[Up - V3b]]),"")</f>
        <v>4</v>
      </c>
      <c r="BJ344" s="14">
        <v>4</v>
      </c>
      <c r="BK344" s="14">
        <f>IFERROR(AVERAGE(Tabel1[[#This Row],[Up - V1]],Tabel1[[#This Row],[Up - V2]],Tabel1[[#This Row],[Up - V3]],Tabel1[[#This Row],[Up - V4]]),"")</f>
        <v>3.2916666666666665</v>
      </c>
      <c r="BL344" s="14">
        <v>3</v>
      </c>
      <c r="BM344" s="14">
        <v>3</v>
      </c>
      <c r="BN344" s="14">
        <v>1</v>
      </c>
      <c r="BO344" s="14">
        <v>1</v>
      </c>
      <c r="BP344" s="14">
        <f>IFERROR(AVERAGE(Tabel1[[#This Row],[Up - A1a]:[Up - A1d]]),"")</f>
        <v>2</v>
      </c>
      <c r="BQ344" s="14">
        <v>2</v>
      </c>
      <c r="BR344" s="14">
        <v>3</v>
      </c>
      <c r="BS344" s="14">
        <f>IFERROR(AVERAGE(Tabel1[[#This Row],[Up - A2a]:[Up - A2b]]),"")</f>
        <v>2.5</v>
      </c>
      <c r="BT344" s="14">
        <v>2</v>
      </c>
      <c r="BU344" s="14">
        <f>IFERROR(AVERAGE(Tabel1[[#This Row],[Up - A3a]:[Up - A3a]]),"")</f>
        <v>2</v>
      </c>
      <c r="BV344" s="14">
        <v>2</v>
      </c>
      <c r="BW344" s="14">
        <f>IFERROR(AVERAGE(Tabel1[[#This Row],[Up - A1]],Tabel1[[#This Row],[Up - A2]],Tabel1[[#This Row],[Up - A3]]),"")</f>
        <v>2.1666666666666665</v>
      </c>
      <c r="BX344" s="14">
        <v>1</v>
      </c>
      <c r="BY344" s="14">
        <v>1</v>
      </c>
      <c r="BZ344" s="14">
        <f>IFERROR(AVERAGE(Tabel1[[#This Row],[In - R1a]:[In - R1b]]),"")</f>
        <v>1</v>
      </c>
      <c r="CA344" s="14">
        <v>3</v>
      </c>
      <c r="CB344" s="14">
        <v>3</v>
      </c>
      <c r="CC344" s="14">
        <v>3</v>
      </c>
      <c r="CD344" s="14">
        <v>5</v>
      </c>
      <c r="CE344" s="14">
        <f>IFERROR(AVERAGE(Tabel1[[#This Row],[In - R1]:[In - R5]]),"")</f>
        <v>3</v>
      </c>
      <c r="CF344" s="14">
        <v>3</v>
      </c>
      <c r="CG344" s="14">
        <v>3</v>
      </c>
      <c r="CH344" s="14">
        <v>4</v>
      </c>
      <c r="CI344" s="14">
        <f>IFERROR(AVERAGE(Tabel1[[#This Row],[In - C1a]:[In - C1c]]),"")</f>
        <v>3.3333333333333335</v>
      </c>
      <c r="CJ344" s="14">
        <v>3</v>
      </c>
      <c r="CK344" s="14">
        <v>2</v>
      </c>
      <c r="CL344" s="14">
        <v>1</v>
      </c>
      <c r="CM344" s="14">
        <f>IFERROR(AVERAGE(Tabel1[[#This Row],[In - C1]:[In - C4]]),"")</f>
        <v>2.3333333333333335</v>
      </c>
      <c r="CN344" s="14">
        <v>1</v>
      </c>
      <c r="CO344" s="14">
        <v>2</v>
      </c>
      <c r="CP344" s="14">
        <v>1</v>
      </c>
      <c r="CQ344" s="14">
        <f>IFERROR(AVERAGE(Tabel1[[#This Row],[In - F1a]:[In - F1c]]),"")</f>
        <v>1.3333333333333333</v>
      </c>
      <c r="CR344" s="14">
        <v>2</v>
      </c>
      <c r="CS344" s="14">
        <v>1</v>
      </c>
      <c r="CT344" s="14">
        <f>IFERROR(AVERAGE(Tabel1[[#This Row],[In - F2a]:[In - F2b]]),"")</f>
        <v>1.5</v>
      </c>
      <c r="CU344" s="14">
        <v>1</v>
      </c>
      <c r="CV344" s="14">
        <f>IFERROR(AVERAGE(Tabel1[[#This Row],[In - F3a]:[In - F3a]]),"")</f>
        <v>1</v>
      </c>
      <c r="CW344" s="14" t="s">
        <v>189</v>
      </c>
      <c r="CX344" s="14">
        <f>IFERROR(AVERAGE(Tabel1[[#This Row],[In - F1]],Tabel1[[#This Row],[In - F2]],Tabel1[[#This Row],[In - F3]],Tabel1[[#This Row],[In - F4]]),"")</f>
        <v>1.2777777777777777</v>
      </c>
      <c r="CY344" s="14">
        <v>4</v>
      </c>
      <c r="CZ344" s="14">
        <v>3</v>
      </c>
      <c r="DA344" s="14">
        <v>2</v>
      </c>
      <c r="DB344" s="14">
        <f>IFERROR(AVERAGE(Tabel1[[#This Row],[In - V1a]:[In - V1c]]),"")</f>
        <v>3</v>
      </c>
      <c r="DC344" s="14">
        <v>4</v>
      </c>
      <c r="DD344" s="14">
        <v>3</v>
      </c>
      <c r="DE344" s="14">
        <v>4</v>
      </c>
      <c r="DF344" s="14">
        <f>IFERROR(AVERAGE(Tabel1[[#This Row],[In - V2a]:[In - V2c]]),"")</f>
        <v>3.6666666666666665</v>
      </c>
      <c r="DG344" s="14" t="s">
        <v>189</v>
      </c>
      <c r="DH344" s="14">
        <v>4</v>
      </c>
      <c r="DI344" s="14">
        <f>IFERROR(AVERAGE(Tabel1[[#This Row],[In - V3a]:[In - V3b]]),"")</f>
        <v>4</v>
      </c>
      <c r="DJ344" s="14" t="s">
        <v>189</v>
      </c>
      <c r="DK344" s="14">
        <f>IFERROR(AVERAGE(Tabel1[[#This Row],[In - V1]],Tabel1[[#This Row],[In - V2]],Tabel1[[#This Row],[In - V3]],Tabel1[[#This Row],[In - V4]]),"")</f>
        <v>3.5555555555555554</v>
      </c>
      <c r="DL344" s="14">
        <v>1</v>
      </c>
      <c r="DM344" s="14">
        <v>4</v>
      </c>
      <c r="DN344" s="14">
        <f>IFERROR(AVERAGE(Tabel1[[#This Row],[In - A1a]:[In - A1b]]),"")</f>
        <v>2.5</v>
      </c>
      <c r="DO344" s="14">
        <v>4</v>
      </c>
      <c r="DP344" s="14">
        <v>3</v>
      </c>
      <c r="DQ344" s="14">
        <f>IFERROR(AVERAGE(Tabel1[[#This Row],[In - A2a]:[In - A2b]]),"")</f>
        <v>3.5</v>
      </c>
      <c r="DR344" s="14">
        <v>2</v>
      </c>
      <c r="DS344" s="14">
        <v>2</v>
      </c>
      <c r="DT344" s="14">
        <f>IFERROR(AVERAGE(Tabel1[[#This Row],[In - A3a]:[In - A3a]]),"")</f>
        <v>2</v>
      </c>
      <c r="DU344" s="14">
        <v>4</v>
      </c>
      <c r="DV344" s="14">
        <f>IFERROR(AVERAGE(Tabel1[[#This Row],[In - A1]],Tabel1[[#This Row],[In - A2]],Tabel1[[#This Row],[In - A3]],Tabel1[[#This Row],[In - A4]]),"")</f>
        <v>3</v>
      </c>
      <c r="DW344" s="14">
        <v>1</v>
      </c>
      <c r="DX344" s="14">
        <v>4</v>
      </c>
      <c r="DY344" s="14">
        <v>1</v>
      </c>
      <c r="DZ344" s="14">
        <f>IFERROR(AVERAGE(Tabel1[[#This Row],[Do - R1a]:[Do - R1c]]),"")</f>
        <v>2</v>
      </c>
      <c r="EA344" s="14">
        <v>2</v>
      </c>
      <c r="EB344" s="14">
        <v>3</v>
      </c>
      <c r="EC344" s="14" t="s">
        <v>189</v>
      </c>
      <c r="ED344" s="14" t="s">
        <v>189</v>
      </c>
      <c r="EE344" s="14">
        <f>IFERROR(AVERAGE(Tabel1[[#This Row],[Do - R1]:[Do - R5]]),"")</f>
        <v>2.3333333333333335</v>
      </c>
      <c r="EF344" s="14" t="s">
        <v>189</v>
      </c>
      <c r="EG344" s="14" t="s">
        <v>189</v>
      </c>
      <c r="EH344" s="14" t="s">
        <v>189</v>
      </c>
      <c r="EI344" s="14" t="str">
        <f>IFERROR(AVERAGE(Tabel1[[#This Row],[Do - C1a]:[Do - C1c]]),"")</f>
        <v/>
      </c>
      <c r="EJ344" s="14" t="s">
        <v>189</v>
      </c>
      <c r="EK344" s="14" t="s">
        <v>189</v>
      </c>
      <c r="EL344" s="14" t="s">
        <v>189</v>
      </c>
      <c r="EM344" s="14" t="str">
        <f>IFERROR(AVERAGE(Tabel1[[#This Row],[Do - C1]:[Do - C4]]),"")</f>
        <v/>
      </c>
      <c r="EN344" s="14">
        <v>3</v>
      </c>
      <c r="EO344" s="14">
        <v>3</v>
      </c>
      <c r="EP344" s="14" t="s">
        <v>189</v>
      </c>
      <c r="EQ344" s="14">
        <f>IFERROR(AVERAGE(Tabel1[[#This Row],[Do - F1a]:[Do - F1c]]),"")</f>
        <v>3</v>
      </c>
      <c r="ER344" s="14">
        <v>1</v>
      </c>
      <c r="ES344" s="14">
        <f>IFERROR(AVERAGE(Tabel1[[#This Row],[Do - F2a]:[Do - F2a]]),"")</f>
        <v>1</v>
      </c>
      <c r="ET344" s="14">
        <v>2</v>
      </c>
      <c r="EU344" s="14" t="s">
        <v>189</v>
      </c>
      <c r="EV344" s="14">
        <f>IFERROR(AVERAGE(Tabel1[[#This Row],[Do - F3a]:[Do - F3b]]),"")</f>
        <v>2</v>
      </c>
      <c r="EW344" s="14" t="s">
        <v>189</v>
      </c>
      <c r="EX344" s="14">
        <f>IFERROR(AVERAGE(Tabel1[[#This Row],[Do - F1]],Tabel1[[#This Row],[Do - F2]],Tabel1[[#This Row],[Do - F3]],Tabel1[[#This Row],[Do - F4]]),"")</f>
        <v>2</v>
      </c>
      <c r="EY344" s="14" t="s">
        <v>189</v>
      </c>
      <c r="EZ344" s="14" t="s">
        <v>189</v>
      </c>
      <c r="FA344" s="14" t="s">
        <v>189</v>
      </c>
      <c r="FB344" s="14" t="str">
        <f>IFERROR(AVERAGE(Tabel1[[#This Row],[Do - V1a]:[Do - V1c]]),"")</f>
        <v/>
      </c>
      <c r="FC344" s="14" t="s">
        <v>189</v>
      </c>
      <c r="FD344" s="14" t="s">
        <v>189</v>
      </c>
      <c r="FE344" s="14" t="str">
        <f>IFERROR(AVERAGE(Tabel1[[#This Row],[Do - V2a]:[Do - V2b]]),"")</f>
        <v/>
      </c>
      <c r="FF344" s="14" t="s">
        <v>189</v>
      </c>
      <c r="FG344" s="14" t="str">
        <f>IFERROR(AVERAGE(Tabel1[[#This Row],[Do - V3a]:[Do - V3a]]),"")</f>
        <v/>
      </c>
      <c r="FH344" s="14" t="s">
        <v>189</v>
      </c>
      <c r="FI344" s="14" t="str">
        <f>IFERROR(AVERAGE(Tabel1[[#This Row],[Do - V1]],Tabel1[[#This Row],[Do - V2]],Tabel1[[#This Row],[Do - V3]],Tabel1[[#This Row],[Do - V4]]),"")</f>
        <v/>
      </c>
      <c r="FJ344" s="14" t="s">
        <v>189</v>
      </c>
      <c r="FK344" s="14">
        <v>1</v>
      </c>
      <c r="FL344" s="14" t="s">
        <v>189</v>
      </c>
      <c r="FM344" s="14">
        <f>IFERROR(AVERAGE(Tabel1[[#This Row],[Do - A1a]:[Do - A1c]]),"")</f>
        <v>1</v>
      </c>
      <c r="FN344" s="14">
        <v>4</v>
      </c>
      <c r="FO344" s="14">
        <v>3</v>
      </c>
      <c r="FP344" s="14">
        <f>IFERROR(AVERAGE(Tabel1[[#This Row],[Do - A2a]:[Do - A2b]]),"")</f>
        <v>3.5</v>
      </c>
      <c r="FQ344" s="14" t="s">
        <v>189</v>
      </c>
      <c r="FR344" s="14" t="str">
        <f>IFERROR(AVERAGE(Tabel1[[#This Row],[Do - A3a]:[Do - A3a]]),"")</f>
        <v/>
      </c>
      <c r="FS344" s="14" t="s">
        <v>189</v>
      </c>
      <c r="FT344" s="14">
        <f>IFERROR(AVERAGE(Tabel1[[#This Row],[Do - A1]],Tabel1[[#This Row],[Do - A2]],Tabel1[[#This Row],[Do - A3]],Tabel1[[#This Row],[Do - A4]]),"")</f>
        <v>2.25</v>
      </c>
      <c r="FU34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2.5410256410256409</v>
      </c>
      <c r="FV344" s="27" t="s">
        <v>1781</v>
      </c>
      <c r="FW344" t="b">
        <v>1</v>
      </c>
    </row>
    <row r="345" spans="1:179" x14ac:dyDescent="0.3">
      <c r="A345" s="13">
        <v>45470.404745370397</v>
      </c>
      <c r="B345" t="b">
        <v>0</v>
      </c>
      <c r="C345" s="14" t="s">
        <v>1782</v>
      </c>
      <c r="D345" s="14" t="s">
        <v>1783</v>
      </c>
      <c r="E345" s="32" t="s">
        <v>1709</v>
      </c>
      <c r="F345" s="14" t="s">
        <v>184</v>
      </c>
      <c r="G345" s="14" t="s">
        <v>1784</v>
      </c>
      <c r="H345" s="14" t="s">
        <v>194</v>
      </c>
      <c r="I345" s="14" t="s">
        <v>195</v>
      </c>
      <c r="J345" s="14" t="s">
        <v>1785</v>
      </c>
      <c r="K345" s="28" t="s">
        <v>187</v>
      </c>
      <c r="L345" s="14" t="s">
        <v>249</v>
      </c>
      <c r="M345" s="14" t="s">
        <v>198</v>
      </c>
      <c r="N345" s="14" t="s">
        <v>316</v>
      </c>
      <c r="O345" s="14" t="s">
        <v>200</v>
      </c>
      <c r="P345" s="24" t="s">
        <v>255</v>
      </c>
      <c r="Q345" s="17" t="s">
        <v>304</v>
      </c>
      <c r="R345" s="25" t="s">
        <v>187</v>
      </c>
      <c r="S345" s="25" t="s">
        <v>201</v>
      </c>
      <c r="T345" s="14" t="s">
        <v>284</v>
      </c>
      <c r="U345" s="14" t="s">
        <v>205</v>
      </c>
      <c r="V345" s="14" t="s">
        <v>206</v>
      </c>
      <c r="W345" s="14" t="s">
        <v>207</v>
      </c>
      <c r="X345" s="14" t="s">
        <v>207</v>
      </c>
      <c r="Y345" s="14">
        <v>1</v>
      </c>
      <c r="Z345" s="14">
        <v>4</v>
      </c>
      <c r="AA345" s="14">
        <v>4</v>
      </c>
      <c r="AB345" s="15">
        <f>IFERROR(AVERAGE(Tabel1[[#This Row],[Up - R1a]:[Up - R1c]]),"")</f>
        <v>3</v>
      </c>
      <c r="AC345" s="14">
        <v>4</v>
      </c>
      <c r="AD345" s="14">
        <v>5</v>
      </c>
      <c r="AE345" s="14" t="s">
        <v>189</v>
      </c>
      <c r="AF345" s="14" t="s">
        <v>189</v>
      </c>
      <c r="AG345" s="14">
        <f>IFERROR(AVERAGE(Tabel1[[#This Row],[Up - R1]:[Up - R5]]),"")</f>
        <v>4</v>
      </c>
      <c r="AH345" s="14" t="s">
        <v>189</v>
      </c>
      <c r="AI345" s="14">
        <v>1</v>
      </c>
      <c r="AJ345" s="14">
        <v>5</v>
      </c>
      <c r="AK345" s="14">
        <f>IFERROR(AVERAGE(Tabel1[[#This Row],[Up - C1a]:[Up - C1c]]),"")</f>
        <v>3</v>
      </c>
      <c r="AL345" s="14">
        <v>5</v>
      </c>
      <c r="AM345" s="14">
        <v>5</v>
      </c>
      <c r="AN345" s="14" t="s">
        <v>189</v>
      </c>
      <c r="AO345" s="14">
        <f>IFERROR(AVERAGE(Tabel1[[#This Row],[Up - C1]:[Up - C4]]),"")</f>
        <v>4.333333333333333</v>
      </c>
      <c r="AP345" s="14">
        <v>2</v>
      </c>
      <c r="AQ345" s="14">
        <f>IFERROR(AVERAGE(Tabel1[[#This Row],[Up - F1a]:[Up - F1a]]),"")</f>
        <v>2</v>
      </c>
      <c r="AR345" s="14">
        <v>1</v>
      </c>
      <c r="AS345" s="14">
        <v>3</v>
      </c>
      <c r="AT345" s="14">
        <f>IFERROR(AVERAGE(Tabel1[[#This Row],[Up - F2a]:[Up - F2b]]),"")</f>
        <v>2</v>
      </c>
      <c r="AU345" s="14">
        <v>4</v>
      </c>
      <c r="AV345" s="14" t="s">
        <v>189</v>
      </c>
      <c r="AW345" s="14">
        <f>IFERROR(AVERAGE(Tabel1[[#This Row],[Up - F3a]:[Up - F3b]]),"")</f>
        <v>4</v>
      </c>
      <c r="AX345" s="14">
        <v>4</v>
      </c>
      <c r="AY345" s="14">
        <f>IFERROR(AVERAGE(Tabel1[[#This Row],[Up - F1]],Tabel1[[#This Row],[Up - F2]],Tabel1[[#This Row],[Up - F3]],Tabel1[[#This Row],[Up - F4]]),"")</f>
        <v>3</v>
      </c>
      <c r="AZ345" s="14">
        <v>5</v>
      </c>
      <c r="BA345" s="14" t="s">
        <v>189</v>
      </c>
      <c r="BB345" s="14">
        <f>IFERROR(AVERAGE(Tabel1[[#This Row],[Up - V1a]:[Up - V1b]]),"")</f>
        <v>5</v>
      </c>
      <c r="BC345" s="14">
        <v>5</v>
      </c>
      <c r="BD345" s="14">
        <v>4</v>
      </c>
      <c r="BE345" s="14">
        <v>5</v>
      </c>
      <c r="BF345" s="14">
        <f>IFERROR(AVERAGE(Tabel1[[#This Row],[Up - V2a]:[Up - V2c]]),"")</f>
        <v>4.666666666666667</v>
      </c>
      <c r="BG345" s="14" t="s">
        <v>189</v>
      </c>
      <c r="BH345" s="14">
        <v>4</v>
      </c>
      <c r="BI345" s="14">
        <f>IFERROR(AVERAGE(Tabel1[[#This Row],[Up - V3a]:[Up - V3b]]),"")</f>
        <v>4</v>
      </c>
      <c r="BJ345" s="14" t="s">
        <v>189</v>
      </c>
      <c r="BK345" s="14">
        <f>IFERROR(AVERAGE(Tabel1[[#This Row],[Up - V1]],Tabel1[[#This Row],[Up - V2]],Tabel1[[#This Row],[Up - V3]],Tabel1[[#This Row],[Up - V4]]),"")</f>
        <v>4.5555555555555562</v>
      </c>
      <c r="BL345" s="14">
        <v>3</v>
      </c>
      <c r="BM345" s="14">
        <v>4</v>
      </c>
      <c r="BN345" s="14">
        <v>4</v>
      </c>
      <c r="BO345" s="14">
        <v>2</v>
      </c>
      <c r="BP345" s="14">
        <f>IFERROR(AVERAGE(Tabel1[[#This Row],[Up - A1a]:[Up - A1d]]),"")</f>
        <v>3.25</v>
      </c>
      <c r="BQ345" s="14">
        <v>3</v>
      </c>
      <c r="BR345" s="14">
        <v>5</v>
      </c>
      <c r="BS345" s="14">
        <f>IFERROR(AVERAGE(Tabel1[[#This Row],[Up - A2a]:[Up - A2b]]),"")</f>
        <v>4</v>
      </c>
      <c r="BT345" s="14">
        <v>4</v>
      </c>
      <c r="BU345" s="14">
        <f>IFERROR(AVERAGE(Tabel1[[#This Row],[Up - A3a]:[Up - A3a]]),"")</f>
        <v>4</v>
      </c>
      <c r="BV345" s="14" t="s">
        <v>189</v>
      </c>
      <c r="BW345" s="14">
        <f>IFERROR(AVERAGE(Tabel1[[#This Row],[Up - A1]],Tabel1[[#This Row],[Up - A2]],Tabel1[[#This Row],[Up - A3]]),"")</f>
        <v>3.75</v>
      </c>
      <c r="BX345" s="14" t="s">
        <v>189</v>
      </c>
      <c r="BY345" s="14">
        <v>4</v>
      </c>
      <c r="BZ345" s="14">
        <f>IFERROR(AVERAGE(Tabel1[[#This Row],[In - R1a]:[In - R1b]]),"")</f>
        <v>4</v>
      </c>
      <c r="CA345" s="14">
        <v>4</v>
      </c>
      <c r="CB345" s="14">
        <v>5</v>
      </c>
      <c r="CC345" s="14" t="s">
        <v>189</v>
      </c>
      <c r="CD345" s="14" t="s">
        <v>189</v>
      </c>
      <c r="CE345" s="14">
        <f>IFERROR(AVERAGE(Tabel1[[#This Row],[In - R1]:[In - R5]]),"")</f>
        <v>4.333333333333333</v>
      </c>
      <c r="CF345" s="14">
        <v>5</v>
      </c>
      <c r="CG345" s="14">
        <v>4</v>
      </c>
      <c r="CH345" s="14">
        <v>4</v>
      </c>
      <c r="CI345" s="14">
        <f>IFERROR(AVERAGE(Tabel1[[#This Row],[In - C1a]:[In - C1c]]),"")</f>
        <v>4.333333333333333</v>
      </c>
      <c r="CJ345" s="14">
        <v>4</v>
      </c>
      <c r="CK345" s="14">
        <v>5</v>
      </c>
      <c r="CL345" s="14">
        <v>5</v>
      </c>
      <c r="CM345" s="14">
        <f>IFERROR(AVERAGE(Tabel1[[#This Row],[In - C1]:[In - C4]]),"")</f>
        <v>4.583333333333333</v>
      </c>
      <c r="CN345" s="14">
        <v>2</v>
      </c>
      <c r="CO345" s="14">
        <v>2</v>
      </c>
      <c r="CP345" s="14">
        <v>1</v>
      </c>
      <c r="CQ345" s="14">
        <f>IFERROR(AVERAGE(Tabel1[[#This Row],[In - F1a]:[In - F1c]]),"")</f>
        <v>1.6666666666666667</v>
      </c>
      <c r="CR345" s="14">
        <v>2</v>
      </c>
      <c r="CS345" s="14">
        <v>1</v>
      </c>
      <c r="CT345" s="14">
        <f>IFERROR(AVERAGE(Tabel1[[#This Row],[In - F2a]:[In - F2b]]),"")</f>
        <v>1.5</v>
      </c>
      <c r="CU345" s="14">
        <v>1</v>
      </c>
      <c r="CV345" s="14">
        <f>IFERROR(AVERAGE(Tabel1[[#This Row],[In - F3a]:[In - F3a]]),"")</f>
        <v>1</v>
      </c>
      <c r="CW345" s="14" t="s">
        <v>189</v>
      </c>
      <c r="CX345" s="14">
        <f>IFERROR(AVERAGE(Tabel1[[#This Row],[In - F1]],Tabel1[[#This Row],[In - F2]],Tabel1[[#This Row],[In - F3]],Tabel1[[#This Row],[In - F4]]),"")</f>
        <v>1.3888888888888891</v>
      </c>
      <c r="CY345" s="14">
        <v>3</v>
      </c>
      <c r="CZ345" s="14">
        <v>5</v>
      </c>
      <c r="DA345" s="14">
        <v>1</v>
      </c>
      <c r="DB345" s="14">
        <f>IFERROR(AVERAGE(Tabel1[[#This Row],[In - V1a]:[In - V1c]]),"")</f>
        <v>3</v>
      </c>
      <c r="DC345" s="14">
        <v>3</v>
      </c>
      <c r="DD345" s="14">
        <v>4</v>
      </c>
      <c r="DE345" s="14">
        <v>3</v>
      </c>
      <c r="DF345" s="14">
        <f>IFERROR(AVERAGE(Tabel1[[#This Row],[In - V2a]:[In - V2c]]),"")</f>
        <v>3.3333333333333335</v>
      </c>
      <c r="DG345" s="14">
        <v>4</v>
      </c>
      <c r="DH345" s="14" t="s">
        <v>189</v>
      </c>
      <c r="DI345" s="14">
        <f>IFERROR(AVERAGE(Tabel1[[#This Row],[In - V3a]:[In - V3b]]),"")</f>
        <v>4</v>
      </c>
      <c r="DJ345" s="14" t="s">
        <v>189</v>
      </c>
      <c r="DK345" s="14">
        <f>IFERROR(AVERAGE(Tabel1[[#This Row],[In - V1]],Tabel1[[#This Row],[In - V2]],Tabel1[[#This Row],[In - V3]],Tabel1[[#This Row],[In - V4]]),"")</f>
        <v>3.4444444444444446</v>
      </c>
      <c r="DL345" s="14">
        <v>3</v>
      </c>
      <c r="DM345" s="14">
        <v>2</v>
      </c>
      <c r="DN345" s="14">
        <f>IFERROR(AVERAGE(Tabel1[[#This Row],[In - A1a]:[In - A1b]]),"")</f>
        <v>2.5</v>
      </c>
      <c r="DO345" s="14">
        <v>2</v>
      </c>
      <c r="DP345" s="14">
        <v>2</v>
      </c>
      <c r="DQ345" s="14">
        <f>IFERROR(AVERAGE(Tabel1[[#This Row],[In - A2a]:[In - A2b]]),"")</f>
        <v>2</v>
      </c>
      <c r="DR345" s="14">
        <v>5</v>
      </c>
      <c r="DS345" s="14">
        <v>3</v>
      </c>
      <c r="DT345" s="14">
        <f>IFERROR(AVERAGE(Tabel1[[#This Row],[In - A3a]:[In - A3a]]),"")</f>
        <v>5</v>
      </c>
      <c r="DU345" s="14">
        <v>3</v>
      </c>
      <c r="DV345" s="14">
        <f>IFERROR(AVERAGE(Tabel1[[#This Row],[In - A1]],Tabel1[[#This Row],[In - A2]],Tabel1[[#This Row],[In - A3]],Tabel1[[#This Row],[In - A4]]),"")</f>
        <v>3.125</v>
      </c>
      <c r="DW345" s="14">
        <v>1</v>
      </c>
      <c r="DX345" s="14">
        <v>5</v>
      </c>
      <c r="DY345" s="14">
        <v>1</v>
      </c>
      <c r="DZ345" s="14">
        <f>IFERROR(AVERAGE(Tabel1[[#This Row],[Do - R1a]:[Do - R1c]]),"")</f>
        <v>2.3333333333333335</v>
      </c>
      <c r="EA345" s="14">
        <v>2</v>
      </c>
      <c r="EB345" s="14">
        <v>5</v>
      </c>
      <c r="EC345" s="14">
        <v>1</v>
      </c>
      <c r="ED345" s="14" t="s">
        <v>189</v>
      </c>
      <c r="EE345" s="14">
        <f>IFERROR(AVERAGE(Tabel1[[#This Row],[Do - R1]:[Do - R5]]),"")</f>
        <v>2.5833333333333335</v>
      </c>
      <c r="EF345" s="14">
        <v>3</v>
      </c>
      <c r="EG345" s="14">
        <v>3</v>
      </c>
      <c r="EH345" s="14">
        <v>4</v>
      </c>
      <c r="EI345" s="14">
        <f>IFERROR(AVERAGE(Tabel1[[#This Row],[Do - C1a]:[Do - C1c]]),"")</f>
        <v>3.3333333333333335</v>
      </c>
      <c r="EJ345" s="14">
        <v>3</v>
      </c>
      <c r="EK345" s="14" t="s">
        <v>189</v>
      </c>
      <c r="EL345" s="14">
        <v>4</v>
      </c>
      <c r="EM345" s="14">
        <f>IFERROR(AVERAGE(Tabel1[[#This Row],[Do - C1]:[Do - C4]]),"")</f>
        <v>3.4444444444444446</v>
      </c>
      <c r="EN345" s="14">
        <v>2</v>
      </c>
      <c r="EO345" s="14">
        <v>2</v>
      </c>
      <c r="EP345" s="14">
        <v>4</v>
      </c>
      <c r="EQ345" s="14">
        <f>IFERROR(AVERAGE(Tabel1[[#This Row],[Do - F1a]:[Do - F1c]]),"")</f>
        <v>2.6666666666666665</v>
      </c>
      <c r="ER345" s="14">
        <v>1</v>
      </c>
      <c r="ES345" s="14">
        <f>IFERROR(AVERAGE(Tabel1[[#This Row],[Do - F2a]:[Do - F2a]]),"")</f>
        <v>1</v>
      </c>
      <c r="ET345" s="14">
        <v>4</v>
      </c>
      <c r="EU345" s="14">
        <v>4</v>
      </c>
      <c r="EV345" s="14">
        <f>IFERROR(AVERAGE(Tabel1[[#This Row],[Do - F3a]:[Do - F3b]]),"")</f>
        <v>4</v>
      </c>
      <c r="EW345" s="14">
        <v>2</v>
      </c>
      <c r="EX345" s="14">
        <f>IFERROR(AVERAGE(Tabel1[[#This Row],[Do - F1]],Tabel1[[#This Row],[Do - F2]],Tabel1[[#This Row],[Do - F3]],Tabel1[[#This Row],[Do - F4]]),"")</f>
        <v>2.4166666666666665</v>
      </c>
      <c r="EY345" s="14">
        <v>3</v>
      </c>
      <c r="EZ345" s="14">
        <v>3</v>
      </c>
      <c r="FA345" s="14">
        <v>3</v>
      </c>
      <c r="FB345" s="14">
        <f>IFERROR(AVERAGE(Tabel1[[#This Row],[Do - V1a]:[Do - V1c]]),"")</f>
        <v>3</v>
      </c>
      <c r="FC345" s="14">
        <v>4</v>
      </c>
      <c r="FD345" s="14">
        <v>3</v>
      </c>
      <c r="FE345" s="14">
        <f>IFERROR(AVERAGE(Tabel1[[#This Row],[Do - V2a]:[Do - V2b]]),"")</f>
        <v>3.5</v>
      </c>
      <c r="FF345" s="14" t="s">
        <v>189</v>
      </c>
      <c r="FG345" s="14" t="str">
        <f>IFERROR(AVERAGE(Tabel1[[#This Row],[Do - V3a]:[Do - V3a]]),"")</f>
        <v/>
      </c>
      <c r="FH345" s="14">
        <v>3</v>
      </c>
      <c r="FI345" s="14">
        <f>IFERROR(AVERAGE(Tabel1[[#This Row],[Do - V1]],Tabel1[[#This Row],[Do - V2]],Tabel1[[#This Row],[Do - V3]],Tabel1[[#This Row],[Do - V4]]),"")</f>
        <v>3.1666666666666665</v>
      </c>
      <c r="FJ345" s="14">
        <v>4</v>
      </c>
      <c r="FK345" s="14">
        <v>2</v>
      </c>
      <c r="FL345" s="14">
        <v>4</v>
      </c>
      <c r="FM345" s="14">
        <f>IFERROR(AVERAGE(Tabel1[[#This Row],[Do - A1a]:[Do - A1c]]),"")</f>
        <v>3.3333333333333335</v>
      </c>
      <c r="FN345" s="14">
        <v>5</v>
      </c>
      <c r="FO345" s="14">
        <v>5</v>
      </c>
      <c r="FP345" s="14">
        <f>IFERROR(AVERAGE(Tabel1[[#This Row],[Do - A2a]:[Do - A2b]]),"")</f>
        <v>5</v>
      </c>
      <c r="FQ345" s="14">
        <v>4</v>
      </c>
      <c r="FR345" s="14">
        <f>IFERROR(AVERAGE(Tabel1[[#This Row],[Do - A3a]:[Do - A3a]]),"")</f>
        <v>4</v>
      </c>
      <c r="FS345" s="14" t="s">
        <v>189</v>
      </c>
      <c r="FT345" s="14">
        <f>IFERROR(AVERAGE(Tabel1[[#This Row],[Do - A1]],Tabel1[[#This Row],[Do - A2]],Tabel1[[#This Row],[Do - A3]],Tabel1[[#This Row],[Do - A4]]),"")</f>
        <v>4.1111111111111116</v>
      </c>
      <c r="FU34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3.4824074074074072</v>
      </c>
      <c r="FV345" s="27" t="s">
        <v>1786</v>
      </c>
      <c r="FW345" t="b">
        <v>1</v>
      </c>
    </row>
    <row r="346" spans="1:179" x14ac:dyDescent="0.3">
      <c r="A346" s="13">
        <v>45471.4746296296</v>
      </c>
      <c r="B346" t="b">
        <v>0</v>
      </c>
      <c r="C346" s="14" t="s">
        <v>1787</v>
      </c>
      <c r="D346" s="14" t="s">
        <v>409</v>
      </c>
      <c r="E346" s="14" t="s">
        <v>1788</v>
      </c>
      <c r="F346" s="14" t="s">
        <v>184</v>
      </c>
      <c r="G346" s="14" t="s">
        <v>1789</v>
      </c>
      <c r="H346" s="14" t="s">
        <v>222</v>
      </c>
      <c r="I346" s="14" t="s">
        <v>243</v>
      </c>
      <c r="J346" s="14" t="s">
        <v>248</v>
      </c>
      <c r="K346" s="28" t="s">
        <v>202</v>
      </c>
      <c r="L346" s="14" t="s">
        <v>197</v>
      </c>
      <c r="M346" s="14" t="s">
        <v>188</v>
      </c>
      <c r="N346" s="14" t="s">
        <v>316</v>
      </c>
      <c r="O346" s="14" t="s">
        <v>200</v>
      </c>
      <c r="P346" s="24" t="s">
        <v>255</v>
      </c>
      <c r="Q346" s="17" t="s">
        <v>235</v>
      </c>
      <c r="R346" s="25" t="s">
        <v>235</v>
      </c>
      <c r="S346" s="25" t="s">
        <v>187</v>
      </c>
      <c r="T346" s="14" t="s">
        <v>284</v>
      </c>
      <c r="U346" s="14" t="s">
        <v>285</v>
      </c>
      <c r="V346" s="14" t="s">
        <v>359</v>
      </c>
      <c r="W346" s="14" t="s">
        <v>207</v>
      </c>
      <c r="X346" s="14" t="s">
        <v>207</v>
      </c>
      <c r="Y346" s="14">
        <v>3</v>
      </c>
      <c r="Z346" s="14">
        <v>4</v>
      </c>
      <c r="AA346" s="14">
        <v>3</v>
      </c>
      <c r="AB346" s="15">
        <f>IFERROR(AVERAGE(Tabel1[[#This Row],[Up - R1a]:[Up - R1c]]),"")</f>
        <v>3.3333333333333335</v>
      </c>
      <c r="AC346" s="14">
        <v>2</v>
      </c>
      <c r="AD346" s="14">
        <v>3</v>
      </c>
      <c r="AE346" s="14">
        <v>2</v>
      </c>
      <c r="AF346" s="14" t="s">
        <v>189</v>
      </c>
      <c r="AG346" s="14">
        <f>IFERROR(AVERAGE(Tabel1[[#This Row],[Up - R1]:[Up - R5]]),"")</f>
        <v>2.5833333333333335</v>
      </c>
      <c r="AH346" s="14">
        <v>3</v>
      </c>
      <c r="AI346" s="14">
        <v>2</v>
      </c>
      <c r="AJ346" s="14">
        <v>2</v>
      </c>
      <c r="AK346" s="14">
        <f>IFERROR(AVERAGE(Tabel1[[#This Row],[Up - C1a]:[Up - C1c]]),"")</f>
        <v>2.3333333333333335</v>
      </c>
      <c r="AL346" s="14">
        <v>2</v>
      </c>
      <c r="AM346" s="14">
        <v>2</v>
      </c>
      <c r="AN346" s="14">
        <v>2</v>
      </c>
      <c r="AO346" s="14">
        <f>IFERROR(AVERAGE(Tabel1[[#This Row],[Up - C1]:[Up - C4]]),"")</f>
        <v>2.0833333333333335</v>
      </c>
      <c r="AP346" s="14">
        <v>3</v>
      </c>
      <c r="AQ346" s="14">
        <f>IFERROR(AVERAGE(Tabel1[[#This Row],[Up - F1a]:[Up - F1a]]),"")</f>
        <v>3</v>
      </c>
      <c r="AR346" s="14">
        <v>3</v>
      </c>
      <c r="AS346" s="14">
        <v>2</v>
      </c>
      <c r="AT346" s="14">
        <f>IFERROR(AVERAGE(Tabel1[[#This Row],[Up - F2a]:[Up - F2b]]),"")</f>
        <v>2.5</v>
      </c>
      <c r="AU346" s="14">
        <v>3</v>
      </c>
      <c r="AV346" s="14">
        <v>2</v>
      </c>
      <c r="AW346" s="14">
        <f>IFERROR(AVERAGE(Tabel1[[#This Row],[Up - F3a]:[Up - F3b]]),"")</f>
        <v>2.5</v>
      </c>
      <c r="AX346" s="14">
        <v>3</v>
      </c>
      <c r="AY346" s="14">
        <f>IFERROR(AVERAGE(Tabel1[[#This Row],[Up - F1]],Tabel1[[#This Row],[Up - F2]],Tabel1[[#This Row],[Up - F3]],Tabel1[[#This Row],[Up - F4]]),"")</f>
        <v>2.75</v>
      </c>
      <c r="AZ346" s="14">
        <v>2</v>
      </c>
      <c r="BA346" s="14">
        <v>3</v>
      </c>
      <c r="BB346" s="14">
        <f>IFERROR(AVERAGE(Tabel1[[#This Row],[Up - V1a]:[Up - V1b]]),"")</f>
        <v>2.5</v>
      </c>
      <c r="BC346" s="14">
        <v>3</v>
      </c>
      <c r="BD346" s="14">
        <v>4</v>
      </c>
      <c r="BE346" s="14">
        <v>1</v>
      </c>
      <c r="BF346" s="14">
        <f>IFERROR(AVERAGE(Tabel1[[#This Row],[Up - V2a]:[Up - V2c]]),"")</f>
        <v>2.6666666666666665</v>
      </c>
      <c r="BG346" s="14">
        <v>3</v>
      </c>
      <c r="BH346" s="14">
        <v>1</v>
      </c>
      <c r="BI346" s="14">
        <f>IFERROR(AVERAGE(Tabel1[[#This Row],[Up - V3a]:[Up - V3b]]),"")</f>
        <v>2</v>
      </c>
      <c r="BJ346" s="14">
        <v>4</v>
      </c>
      <c r="BK346" s="14">
        <f>IFERROR(AVERAGE(Tabel1[[#This Row],[Up - V1]],Tabel1[[#This Row],[Up - V2]],Tabel1[[#This Row],[Up - V3]],Tabel1[[#This Row],[Up - V4]]),"")</f>
        <v>2.7916666666666665</v>
      </c>
      <c r="BL346" s="14">
        <v>3</v>
      </c>
      <c r="BM346" s="14">
        <v>4</v>
      </c>
      <c r="BN346" s="14">
        <v>1</v>
      </c>
      <c r="BO346" s="14">
        <v>2</v>
      </c>
      <c r="BP346" s="14">
        <f>IFERROR(AVERAGE(Tabel1[[#This Row],[Up - A1a]:[Up - A1d]]),"")</f>
        <v>2.5</v>
      </c>
      <c r="BQ346" s="14">
        <v>4</v>
      </c>
      <c r="BR346" s="14">
        <v>3</v>
      </c>
      <c r="BS346" s="14">
        <f>IFERROR(AVERAGE(Tabel1[[#This Row],[Up - A2a]:[Up - A2b]]),"")</f>
        <v>3.5</v>
      </c>
      <c r="BT346" s="14">
        <v>3</v>
      </c>
      <c r="BU346" s="14">
        <f>IFERROR(AVERAGE(Tabel1[[#This Row],[Up - A3a]:[Up - A3a]]),"")</f>
        <v>3</v>
      </c>
      <c r="BV346" s="14">
        <v>3</v>
      </c>
      <c r="BW346" s="14">
        <f>IFERROR(AVERAGE(Tabel1[[#This Row],[Up - A1]],Tabel1[[#This Row],[Up - A2]],Tabel1[[#This Row],[Up - A3]]),"")</f>
        <v>3</v>
      </c>
      <c r="BX346" s="14" t="s">
        <v>189</v>
      </c>
      <c r="BY346" s="14" t="s">
        <v>189</v>
      </c>
      <c r="BZ346" s="14" t="str">
        <f>IFERROR(AVERAGE(Tabel1[[#This Row],[In - R1a]:[In - R1b]]),"")</f>
        <v/>
      </c>
      <c r="CA346" s="14">
        <v>4</v>
      </c>
      <c r="CB346" s="14">
        <v>4</v>
      </c>
      <c r="CC346" s="14" t="s">
        <v>189</v>
      </c>
      <c r="CD346" s="14">
        <v>4</v>
      </c>
      <c r="CE346" s="14">
        <f>IFERROR(AVERAGE(Tabel1[[#This Row],[In - R1]:[In - R5]]),"")</f>
        <v>4</v>
      </c>
      <c r="CF346" s="14">
        <v>4</v>
      </c>
      <c r="CG346" s="14">
        <v>4</v>
      </c>
      <c r="CH346" s="14">
        <v>3</v>
      </c>
      <c r="CI346" s="14">
        <f>IFERROR(AVERAGE(Tabel1[[#This Row],[In - C1a]:[In - C1c]]),"")</f>
        <v>3.6666666666666665</v>
      </c>
      <c r="CJ346" s="14">
        <v>2</v>
      </c>
      <c r="CK346" s="14">
        <v>3</v>
      </c>
      <c r="CL346" s="14">
        <v>2</v>
      </c>
      <c r="CM346" s="14">
        <f>IFERROR(AVERAGE(Tabel1[[#This Row],[In - C1]:[In - C4]]),"")</f>
        <v>2.6666666666666665</v>
      </c>
      <c r="CN346" s="14">
        <v>4</v>
      </c>
      <c r="CO346" s="14">
        <v>3</v>
      </c>
      <c r="CP346" s="14" t="s">
        <v>189</v>
      </c>
      <c r="CQ346" s="14">
        <f>IFERROR(AVERAGE(Tabel1[[#This Row],[In - F1a]:[In - F1c]]),"")</f>
        <v>3.5</v>
      </c>
      <c r="CR346" s="14">
        <v>1</v>
      </c>
      <c r="CS346" s="14" t="s">
        <v>189</v>
      </c>
      <c r="CT346" s="14">
        <f>IFERROR(AVERAGE(Tabel1[[#This Row],[In - F2a]:[In - F2b]]),"")</f>
        <v>1</v>
      </c>
      <c r="CU346" s="14" t="s">
        <v>189</v>
      </c>
      <c r="CV346" s="14" t="str">
        <f>IFERROR(AVERAGE(Tabel1[[#This Row],[In - F3a]:[In - F3a]]),"")</f>
        <v/>
      </c>
      <c r="CW346" s="14" t="s">
        <v>189</v>
      </c>
      <c r="CX346" s="14">
        <f>IFERROR(AVERAGE(Tabel1[[#This Row],[In - F1]],Tabel1[[#This Row],[In - F2]],Tabel1[[#This Row],[In - F3]],Tabel1[[#This Row],[In - F4]]),"")</f>
        <v>2.25</v>
      </c>
      <c r="CY346" s="14">
        <v>3</v>
      </c>
      <c r="CZ346" s="14">
        <v>2</v>
      </c>
      <c r="DA346" s="14">
        <v>3</v>
      </c>
      <c r="DB346" s="14">
        <f>IFERROR(AVERAGE(Tabel1[[#This Row],[In - V1a]:[In - V1c]]),"")</f>
        <v>2.6666666666666665</v>
      </c>
      <c r="DC346" s="14">
        <v>4</v>
      </c>
      <c r="DD346" s="14">
        <v>2</v>
      </c>
      <c r="DE346" s="14">
        <v>3</v>
      </c>
      <c r="DF346" s="14">
        <f>IFERROR(AVERAGE(Tabel1[[#This Row],[In - V2a]:[In - V2c]]),"")</f>
        <v>3</v>
      </c>
      <c r="DG346" s="14">
        <v>1</v>
      </c>
      <c r="DH346" s="14">
        <v>4</v>
      </c>
      <c r="DI346" s="14">
        <f>IFERROR(AVERAGE(Tabel1[[#This Row],[In - V3a]:[In - V3b]]),"")</f>
        <v>2.5</v>
      </c>
      <c r="DJ346" s="14">
        <v>4</v>
      </c>
      <c r="DK346" s="14">
        <f>IFERROR(AVERAGE(Tabel1[[#This Row],[In - V1]],Tabel1[[#This Row],[In - V2]],Tabel1[[#This Row],[In - V3]],Tabel1[[#This Row],[In - V4]]),"")</f>
        <v>3.0416666666666665</v>
      </c>
      <c r="DL346" s="14">
        <v>3</v>
      </c>
      <c r="DM346" s="14">
        <v>1</v>
      </c>
      <c r="DN346" s="14">
        <f>IFERROR(AVERAGE(Tabel1[[#This Row],[In - A1a]:[In - A1b]]),"")</f>
        <v>2</v>
      </c>
      <c r="DO346" s="14" t="s">
        <v>189</v>
      </c>
      <c r="DP346" s="14">
        <v>3</v>
      </c>
      <c r="DQ346" s="14">
        <f>IFERROR(AVERAGE(Tabel1[[#This Row],[In - A2a]:[In - A2b]]),"")</f>
        <v>3</v>
      </c>
      <c r="DR346" s="14">
        <v>3</v>
      </c>
      <c r="DS346" s="14">
        <v>3</v>
      </c>
      <c r="DT346" s="14">
        <f>IFERROR(AVERAGE(Tabel1[[#This Row],[In - A3a]:[In - A3a]]),"")</f>
        <v>3</v>
      </c>
      <c r="DU346" s="14">
        <v>3</v>
      </c>
      <c r="DV346" s="14">
        <f>IFERROR(AVERAGE(Tabel1[[#This Row],[In - A1]],Tabel1[[#This Row],[In - A2]],Tabel1[[#This Row],[In - A3]],Tabel1[[#This Row],[In - A4]]),"")</f>
        <v>2.75</v>
      </c>
      <c r="DW346" s="14">
        <v>3</v>
      </c>
      <c r="DX346" s="14">
        <v>5</v>
      </c>
      <c r="DY346" s="14">
        <v>2</v>
      </c>
      <c r="DZ346" s="14">
        <f>IFERROR(AVERAGE(Tabel1[[#This Row],[Do - R1a]:[Do - R1c]]),"")</f>
        <v>3.3333333333333335</v>
      </c>
      <c r="EA346" s="14">
        <v>2</v>
      </c>
      <c r="EB346" s="14">
        <v>3</v>
      </c>
      <c r="EC346" s="14">
        <v>1</v>
      </c>
      <c r="ED346" s="14" t="s">
        <v>189</v>
      </c>
      <c r="EE346" s="14">
        <f>IFERROR(AVERAGE(Tabel1[[#This Row],[Do - R1]:[Do - R5]]),"")</f>
        <v>2.3333333333333335</v>
      </c>
      <c r="EF346" s="14">
        <v>4</v>
      </c>
      <c r="EG346" s="14">
        <v>3</v>
      </c>
      <c r="EH346" s="14">
        <v>3</v>
      </c>
      <c r="EI346" s="14">
        <f>IFERROR(AVERAGE(Tabel1[[#This Row],[Do - C1a]:[Do - C1c]]),"")</f>
        <v>3.3333333333333335</v>
      </c>
      <c r="EJ346" s="14">
        <v>2</v>
      </c>
      <c r="EK346" s="14">
        <v>2</v>
      </c>
      <c r="EL346" s="14">
        <v>2</v>
      </c>
      <c r="EM346" s="14">
        <f>IFERROR(AVERAGE(Tabel1[[#This Row],[Do - C1]:[Do - C4]]),"")</f>
        <v>2.3333333333333335</v>
      </c>
      <c r="EN346" s="14">
        <v>3</v>
      </c>
      <c r="EO346" s="14">
        <v>3</v>
      </c>
      <c r="EP346" s="14">
        <v>3</v>
      </c>
      <c r="EQ346" s="14">
        <f>IFERROR(AVERAGE(Tabel1[[#This Row],[Do - F1a]:[Do - F1c]]),"")</f>
        <v>3</v>
      </c>
      <c r="ER346" s="14">
        <v>2</v>
      </c>
      <c r="ES346" s="14">
        <f>IFERROR(AVERAGE(Tabel1[[#This Row],[Do - F2a]:[Do - F2a]]),"")</f>
        <v>2</v>
      </c>
      <c r="ET346" s="14">
        <v>3</v>
      </c>
      <c r="EU346" s="14">
        <v>4</v>
      </c>
      <c r="EV346" s="14">
        <f>IFERROR(AVERAGE(Tabel1[[#This Row],[Do - F3a]:[Do - F3b]]),"")</f>
        <v>3.5</v>
      </c>
      <c r="EW346" s="14">
        <v>3</v>
      </c>
      <c r="EX346" s="14">
        <f>IFERROR(AVERAGE(Tabel1[[#This Row],[Do - F1]],Tabel1[[#This Row],[Do - F2]],Tabel1[[#This Row],[Do - F3]],Tabel1[[#This Row],[Do - F4]]),"")</f>
        <v>2.875</v>
      </c>
      <c r="EY346" s="14">
        <v>2</v>
      </c>
      <c r="EZ346" s="14">
        <v>2</v>
      </c>
      <c r="FA346" s="14">
        <v>4</v>
      </c>
      <c r="FB346" s="14">
        <f>IFERROR(AVERAGE(Tabel1[[#This Row],[Do - V1a]:[Do - V1c]]),"")</f>
        <v>2.6666666666666665</v>
      </c>
      <c r="FC346" s="14">
        <v>3</v>
      </c>
      <c r="FD346" s="14">
        <v>4</v>
      </c>
      <c r="FE346" s="14">
        <f>IFERROR(AVERAGE(Tabel1[[#This Row],[Do - V2a]:[Do - V2b]]),"")</f>
        <v>3.5</v>
      </c>
      <c r="FF346" s="14">
        <v>3</v>
      </c>
      <c r="FG346" s="14">
        <f>IFERROR(AVERAGE(Tabel1[[#This Row],[Do - V3a]:[Do - V3a]]),"")</f>
        <v>3</v>
      </c>
      <c r="FH346" s="14">
        <v>4</v>
      </c>
      <c r="FI346" s="14">
        <f>IFERROR(AVERAGE(Tabel1[[#This Row],[Do - V1]],Tabel1[[#This Row],[Do - V2]],Tabel1[[#This Row],[Do - V3]],Tabel1[[#This Row],[Do - V4]]),"")</f>
        <v>3.2916666666666665</v>
      </c>
      <c r="FJ346" s="14">
        <v>3</v>
      </c>
      <c r="FK346" s="14">
        <v>3</v>
      </c>
      <c r="FL346" s="14">
        <v>3</v>
      </c>
      <c r="FM346" s="14">
        <f>IFERROR(AVERAGE(Tabel1[[#This Row],[Do - A1a]:[Do - A1c]]),"")</f>
        <v>3</v>
      </c>
      <c r="FN346" s="14">
        <v>3</v>
      </c>
      <c r="FO346" s="14">
        <v>3</v>
      </c>
      <c r="FP346" s="14">
        <f>IFERROR(AVERAGE(Tabel1[[#This Row],[Do - A2a]:[Do - A2b]]),"")</f>
        <v>3</v>
      </c>
      <c r="FQ346" s="14">
        <v>3</v>
      </c>
      <c r="FR346" s="14">
        <f>IFERROR(AVERAGE(Tabel1[[#This Row],[Do - A3a]:[Do - A3a]]),"")</f>
        <v>3</v>
      </c>
      <c r="FS346" s="14">
        <v>3</v>
      </c>
      <c r="FT346" s="14">
        <f>IFERROR(AVERAGE(Tabel1[[#This Row],[Do - A1]],Tabel1[[#This Row],[Do - A2]],Tabel1[[#This Row],[Do - A3]],Tabel1[[#This Row],[Do - A4]]),"")</f>
        <v>3</v>
      </c>
      <c r="FU34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2.7833333333333332</v>
      </c>
      <c r="FV346" s="27" t="s">
        <v>1790</v>
      </c>
      <c r="FW346" t="b">
        <v>1</v>
      </c>
    </row>
    <row r="347" spans="1:179" x14ac:dyDescent="0.3">
      <c r="A347" s="13">
        <v>45475.437164351897</v>
      </c>
      <c r="B347" t="b">
        <v>0</v>
      </c>
      <c r="C347" s="14" t="s">
        <v>1791</v>
      </c>
      <c r="D347" s="14" t="s">
        <v>1792</v>
      </c>
      <c r="E347" s="14" t="s">
        <v>1709</v>
      </c>
      <c r="F347" s="14" t="s">
        <v>184</v>
      </c>
      <c r="G347" s="14" t="s">
        <v>1793</v>
      </c>
      <c r="H347" s="14" t="s">
        <v>222</v>
      </c>
      <c r="I347" s="14" t="s">
        <v>195</v>
      </c>
      <c r="J347" s="14" t="s">
        <v>347</v>
      </c>
      <c r="K347" s="28" t="s">
        <v>202</v>
      </c>
      <c r="L347" s="14" t="s">
        <v>385</v>
      </c>
      <c r="M347" s="14" t="s">
        <v>188</v>
      </c>
      <c r="N347" s="14" t="s">
        <v>316</v>
      </c>
      <c r="O347" s="14" t="s">
        <v>200</v>
      </c>
      <c r="P347" s="24" t="s">
        <v>255</v>
      </c>
      <c r="Q347" s="17" t="s">
        <v>203</v>
      </c>
      <c r="R347" s="25" t="s">
        <v>201</v>
      </c>
      <c r="S347" s="25"/>
      <c r="T347" s="14"/>
      <c r="U347" s="14"/>
      <c r="V347" s="14"/>
      <c r="W347" s="14"/>
      <c r="X347" s="14"/>
      <c r="Y347" s="14" t="s">
        <v>189</v>
      </c>
      <c r="Z347" s="14" t="s">
        <v>189</v>
      </c>
      <c r="AA347" s="14" t="s">
        <v>189</v>
      </c>
      <c r="AB347" s="15" t="str">
        <f>IFERROR(AVERAGE(Tabel1[[#This Row],[Up - R1a]:[Up - R1c]]),"")</f>
        <v/>
      </c>
      <c r="AC347" s="14" t="s">
        <v>189</v>
      </c>
      <c r="AD347" s="14">
        <v>3</v>
      </c>
      <c r="AE347" s="14" t="s">
        <v>189</v>
      </c>
      <c r="AF347" s="14" t="s">
        <v>189</v>
      </c>
      <c r="AG347" s="14">
        <f>IFERROR(AVERAGE(Tabel1[[#This Row],[Up - R1]:[Up - R5]]),"")</f>
        <v>3</v>
      </c>
      <c r="AH347" s="14" t="s">
        <v>189</v>
      </c>
      <c r="AI347" s="14" t="s">
        <v>189</v>
      </c>
      <c r="AJ347" s="14" t="s">
        <v>189</v>
      </c>
      <c r="AK347" s="14" t="str">
        <f>IFERROR(AVERAGE(Tabel1[[#This Row],[Up - C1a]:[Up - C1c]]),"")</f>
        <v/>
      </c>
      <c r="AL347" s="14" t="s">
        <v>189</v>
      </c>
      <c r="AM347" s="14" t="s">
        <v>189</v>
      </c>
      <c r="AN347" s="14" t="s">
        <v>189</v>
      </c>
      <c r="AO347" s="14" t="str">
        <f>IFERROR(AVERAGE(Tabel1[[#This Row],[Up - C1]:[Up - C4]]),"")</f>
        <v/>
      </c>
      <c r="AP347" s="14" t="s">
        <v>189</v>
      </c>
      <c r="AQ347" s="14" t="str">
        <f>IFERROR(AVERAGE(Tabel1[[#This Row],[Up - F1a]:[Up - F1a]]),"")</f>
        <v/>
      </c>
      <c r="AR347" s="14" t="s">
        <v>189</v>
      </c>
      <c r="AS347" s="14" t="s">
        <v>189</v>
      </c>
      <c r="AT347" s="14" t="str">
        <f>IFERROR(AVERAGE(Tabel1[[#This Row],[Up - F2a]:[Up - F2b]]),"")</f>
        <v/>
      </c>
      <c r="AU347" s="14" t="s">
        <v>189</v>
      </c>
      <c r="AV347" s="14" t="s">
        <v>189</v>
      </c>
      <c r="AW347" s="14" t="str">
        <f>IFERROR(AVERAGE(Tabel1[[#This Row],[Up - F3a]:[Up - F3b]]),"")</f>
        <v/>
      </c>
      <c r="AX347" s="14" t="s">
        <v>189</v>
      </c>
      <c r="AY347" s="14" t="str">
        <f>IFERROR(AVERAGE(Tabel1[[#This Row],[Up - F1]],Tabel1[[#This Row],[Up - F2]],Tabel1[[#This Row],[Up - F3]],Tabel1[[#This Row],[Up - F4]]),"")</f>
        <v/>
      </c>
      <c r="AZ347" s="14" t="s">
        <v>189</v>
      </c>
      <c r="BA347" s="14" t="s">
        <v>189</v>
      </c>
      <c r="BB347" s="14" t="str">
        <f>IFERROR(AVERAGE(Tabel1[[#This Row],[Up - V1a]:[Up - V1b]]),"")</f>
        <v/>
      </c>
      <c r="BC347" s="14" t="s">
        <v>189</v>
      </c>
      <c r="BD347" s="14" t="s">
        <v>189</v>
      </c>
      <c r="BE347" s="14" t="s">
        <v>189</v>
      </c>
      <c r="BF347" s="14" t="str">
        <f>IFERROR(AVERAGE(Tabel1[[#This Row],[Up - V2a]:[Up - V2c]]),"")</f>
        <v/>
      </c>
      <c r="BG347" s="14" t="s">
        <v>189</v>
      </c>
      <c r="BH347" s="14" t="s">
        <v>189</v>
      </c>
      <c r="BI347" s="14" t="str">
        <f>IFERROR(AVERAGE(Tabel1[[#This Row],[Up - V3a]:[Up - V3b]]),"")</f>
        <v/>
      </c>
      <c r="BJ347" s="14" t="s">
        <v>189</v>
      </c>
      <c r="BK347" s="14" t="str">
        <f>IFERROR(AVERAGE(Tabel1[[#This Row],[Up - V1]],Tabel1[[#This Row],[Up - V2]],Tabel1[[#This Row],[Up - V3]],Tabel1[[#This Row],[Up - V4]]),"")</f>
        <v/>
      </c>
      <c r="BL347" s="14" t="s">
        <v>189</v>
      </c>
      <c r="BM347" s="14" t="s">
        <v>189</v>
      </c>
      <c r="BN347" s="14" t="s">
        <v>189</v>
      </c>
      <c r="BO347" s="14" t="s">
        <v>189</v>
      </c>
      <c r="BP347" s="14" t="str">
        <f>IFERROR(AVERAGE(Tabel1[[#This Row],[Up - A1a]:[Up - A1d]]),"")</f>
        <v/>
      </c>
      <c r="BQ347" s="14" t="s">
        <v>189</v>
      </c>
      <c r="BR347" s="14" t="s">
        <v>189</v>
      </c>
      <c r="BS347" s="14" t="str">
        <f>IFERROR(AVERAGE(Tabel1[[#This Row],[Up - A2a]:[Up - A2b]]),"")</f>
        <v/>
      </c>
      <c r="BT347" s="14" t="s">
        <v>189</v>
      </c>
      <c r="BU347" s="14" t="str">
        <f>IFERROR(AVERAGE(Tabel1[[#This Row],[Up - A3a]:[Up - A3a]]),"")</f>
        <v/>
      </c>
      <c r="BV347" s="14" t="s">
        <v>189</v>
      </c>
      <c r="BW347" s="14" t="str">
        <f>IFERROR(AVERAGE(Tabel1[[#This Row],[Up - A1]],Tabel1[[#This Row],[Up - A2]],Tabel1[[#This Row],[Up - A3]]),"")</f>
        <v/>
      </c>
      <c r="BX347" s="14" t="s">
        <v>189</v>
      </c>
      <c r="BY347" s="14" t="s">
        <v>189</v>
      </c>
      <c r="BZ347" s="14" t="str">
        <f>IFERROR(AVERAGE(Tabel1[[#This Row],[In - R1a]:[In - R1b]]),"")</f>
        <v/>
      </c>
      <c r="CA347" s="14" t="s">
        <v>189</v>
      </c>
      <c r="CB347" s="14">
        <v>4</v>
      </c>
      <c r="CC347" s="14" t="s">
        <v>189</v>
      </c>
      <c r="CD347" s="14" t="s">
        <v>189</v>
      </c>
      <c r="CE347" s="14">
        <f>IFERROR(AVERAGE(Tabel1[[#This Row],[In - R1]:[In - R5]]),"")</f>
        <v>4</v>
      </c>
      <c r="CF347" s="14">
        <v>3</v>
      </c>
      <c r="CG347" s="14">
        <v>2</v>
      </c>
      <c r="CH347" s="14">
        <v>3</v>
      </c>
      <c r="CI347" s="14">
        <f>IFERROR(AVERAGE(Tabel1[[#This Row],[In - C1a]:[In - C1c]]),"")</f>
        <v>2.6666666666666665</v>
      </c>
      <c r="CJ347" s="14">
        <v>3</v>
      </c>
      <c r="CK347" s="14" t="s">
        <v>189</v>
      </c>
      <c r="CL347" s="14" t="s">
        <v>189</v>
      </c>
      <c r="CM347" s="14">
        <f>IFERROR(AVERAGE(Tabel1[[#This Row],[In - C1]:[In - C4]]),"")</f>
        <v>2.833333333333333</v>
      </c>
      <c r="CN347" s="14">
        <v>4</v>
      </c>
      <c r="CO347" s="14">
        <v>2</v>
      </c>
      <c r="CP347" s="14" t="s">
        <v>189</v>
      </c>
      <c r="CQ347" s="14">
        <f>IFERROR(AVERAGE(Tabel1[[#This Row],[In - F1a]:[In - F1c]]),"")</f>
        <v>3</v>
      </c>
      <c r="CR347" s="14" t="s">
        <v>189</v>
      </c>
      <c r="CS347" s="14" t="s">
        <v>189</v>
      </c>
      <c r="CT347" s="14" t="str">
        <f>IFERROR(AVERAGE(Tabel1[[#This Row],[In - F2a]:[In - F2b]]),"")</f>
        <v/>
      </c>
      <c r="CU347" s="14" t="s">
        <v>189</v>
      </c>
      <c r="CV347" s="14" t="str">
        <f>IFERROR(AVERAGE(Tabel1[[#This Row],[In - F3a]:[In - F3a]]),"")</f>
        <v/>
      </c>
      <c r="CW347" s="14" t="s">
        <v>189</v>
      </c>
      <c r="CX347" s="14">
        <f>IFERROR(AVERAGE(Tabel1[[#This Row],[In - F1]],Tabel1[[#This Row],[In - F2]],Tabel1[[#This Row],[In - F3]],Tabel1[[#This Row],[In - F4]]),"")</f>
        <v>3</v>
      </c>
      <c r="CY347" s="14">
        <v>3</v>
      </c>
      <c r="CZ347" s="14">
        <v>2</v>
      </c>
      <c r="DA347" s="14" t="s">
        <v>189</v>
      </c>
      <c r="DB347" s="14">
        <f>IFERROR(AVERAGE(Tabel1[[#This Row],[In - V1a]:[In - V1c]]),"")</f>
        <v>2.5</v>
      </c>
      <c r="DC347" s="14" t="s">
        <v>189</v>
      </c>
      <c r="DD347" s="14" t="s">
        <v>189</v>
      </c>
      <c r="DE347" s="14" t="s">
        <v>189</v>
      </c>
      <c r="DF347" s="14" t="str">
        <f>IFERROR(AVERAGE(Tabel1[[#This Row],[In - V2a]:[In - V2c]]),"")</f>
        <v/>
      </c>
      <c r="DG347" s="14" t="s">
        <v>189</v>
      </c>
      <c r="DH347" s="14" t="s">
        <v>189</v>
      </c>
      <c r="DI347" s="14" t="str">
        <f>IFERROR(AVERAGE(Tabel1[[#This Row],[In - V3a]:[In - V3b]]),"")</f>
        <v/>
      </c>
      <c r="DJ347" s="14" t="s">
        <v>189</v>
      </c>
      <c r="DK347" s="14">
        <f>IFERROR(AVERAGE(Tabel1[[#This Row],[In - V1]],Tabel1[[#This Row],[In - V2]],Tabel1[[#This Row],[In - V3]],Tabel1[[#This Row],[In - V4]]),"")</f>
        <v>2.5</v>
      </c>
      <c r="DL347" s="14" t="s">
        <v>189</v>
      </c>
      <c r="DM347" s="14" t="s">
        <v>189</v>
      </c>
      <c r="DN347" s="14" t="str">
        <f>IFERROR(AVERAGE(Tabel1[[#This Row],[In - A1a]:[In - A1b]]),"")</f>
        <v/>
      </c>
      <c r="DO347" s="14" t="s">
        <v>189</v>
      </c>
      <c r="DP347" s="14" t="s">
        <v>189</v>
      </c>
      <c r="DQ347" s="14" t="str">
        <f>IFERROR(AVERAGE(Tabel1[[#This Row],[In - A2a]:[In - A2b]]),"")</f>
        <v/>
      </c>
      <c r="DR347" s="14" t="s">
        <v>189</v>
      </c>
      <c r="DS347" s="14" t="s">
        <v>189</v>
      </c>
      <c r="DT347" s="14" t="str">
        <f>IFERROR(AVERAGE(Tabel1[[#This Row],[In - A3a]:[In - A3a]]),"")</f>
        <v/>
      </c>
      <c r="DU347" s="14" t="s">
        <v>189</v>
      </c>
      <c r="DV347" s="14" t="str">
        <f>IFERROR(AVERAGE(Tabel1[[#This Row],[In - A1]],Tabel1[[#This Row],[In - A2]],Tabel1[[#This Row],[In - A3]],Tabel1[[#This Row],[In - A4]]),"")</f>
        <v/>
      </c>
      <c r="DW347" s="14" t="s">
        <v>189</v>
      </c>
      <c r="DX347" s="14">
        <v>3</v>
      </c>
      <c r="DY347" s="14" t="s">
        <v>189</v>
      </c>
      <c r="DZ347" s="14">
        <f>IFERROR(AVERAGE(Tabel1[[#This Row],[Do - R1a]:[Do - R1c]]),"")</f>
        <v>3</v>
      </c>
      <c r="EA347" s="14" t="s">
        <v>189</v>
      </c>
      <c r="EB347" s="14">
        <v>3</v>
      </c>
      <c r="EC347" s="14" t="s">
        <v>189</v>
      </c>
      <c r="ED347" s="14" t="s">
        <v>189</v>
      </c>
      <c r="EE347" s="14">
        <f>IFERROR(AVERAGE(Tabel1[[#This Row],[Do - R1]:[Do - R5]]),"")</f>
        <v>3</v>
      </c>
      <c r="EF347" s="14" t="s">
        <v>189</v>
      </c>
      <c r="EG347" s="14">
        <v>2</v>
      </c>
      <c r="EH347" s="14" t="s">
        <v>189</v>
      </c>
      <c r="EI347" s="14">
        <f>IFERROR(AVERAGE(Tabel1[[#This Row],[Do - C1a]:[Do - C1c]]),"")</f>
        <v>2</v>
      </c>
      <c r="EJ347" s="14">
        <v>2</v>
      </c>
      <c r="EK347" s="14" t="s">
        <v>189</v>
      </c>
      <c r="EL347" s="14" t="s">
        <v>189</v>
      </c>
      <c r="EM347" s="14">
        <f>IFERROR(AVERAGE(Tabel1[[#This Row],[Do - C1]:[Do - C4]]),"")</f>
        <v>2</v>
      </c>
      <c r="EN347" s="14" t="s">
        <v>189</v>
      </c>
      <c r="EO347" s="14" t="s">
        <v>189</v>
      </c>
      <c r="EP347" s="14" t="s">
        <v>189</v>
      </c>
      <c r="EQ347" s="14" t="str">
        <f>IFERROR(AVERAGE(Tabel1[[#This Row],[Do - F1a]:[Do - F1c]]),"")</f>
        <v/>
      </c>
      <c r="ER347" s="14" t="s">
        <v>189</v>
      </c>
      <c r="ES347" s="14" t="str">
        <f>IFERROR(AVERAGE(Tabel1[[#This Row],[Do - F2a]:[Do - F2a]]),"")</f>
        <v/>
      </c>
      <c r="ET347" s="14" t="s">
        <v>189</v>
      </c>
      <c r="EU347" s="14" t="s">
        <v>189</v>
      </c>
      <c r="EV347" s="14" t="str">
        <f>IFERROR(AVERAGE(Tabel1[[#This Row],[Do - F3a]:[Do - F3b]]),"")</f>
        <v/>
      </c>
      <c r="EW347" s="14" t="s">
        <v>189</v>
      </c>
      <c r="EX347" s="14" t="str">
        <f>IFERROR(AVERAGE(Tabel1[[#This Row],[Do - F1]],Tabel1[[#This Row],[Do - F2]],Tabel1[[#This Row],[Do - F3]],Tabel1[[#This Row],[Do - F4]]),"")</f>
        <v/>
      </c>
      <c r="EY347" s="14" t="s">
        <v>189</v>
      </c>
      <c r="EZ347" s="14" t="s">
        <v>189</v>
      </c>
      <c r="FA347" s="14" t="s">
        <v>189</v>
      </c>
      <c r="FB347" s="14" t="str">
        <f>IFERROR(AVERAGE(Tabel1[[#This Row],[Do - V1a]:[Do - V1c]]),"")</f>
        <v/>
      </c>
      <c r="FC347" s="14" t="s">
        <v>189</v>
      </c>
      <c r="FD347" s="14" t="s">
        <v>189</v>
      </c>
      <c r="FE347" s="14" t="str">
        <f>IFERROR(AVERAGE(Tabel1[[#This Row],[Do - V2a]:[Do - V2b]]),"")</f>
        <v/>
      </c>
      <c r="FF347" s="14" t="s">
        <v>189</v>
      </c>
      <c r="FG347" s="14" t="str">
        <f>IFERROR(AVERAGE(Tabel1[[#This Row],[Do - V3a]:[Do - V3a]]),"")</f>
        <v/>
      </c>
      <c r="FH347" s="14" t="s">
        <v>189</v>
      </c>
      <c r="FI347" s="14" t="str">
        <f>IFERROR(AVERAGE(Tabel1[[#This Row],[Do - V1]],Tabel1[[#This Row],[Do - V2]],Tabel1[[#This Row],[Do - V3]],Tabel1[[#This Row],[Do - V4]]),"")</f>
        <v/>
      </c>
      <c r="FJ347" s="14" t="s">
        <v>189</v>
      </c>
      <c r="FK347" s="14" t="s">
        <v>189</v>
      </c>
      <c r="FL347" s="14" t="s">
        <v>189</v>
      </c>
      <c r="FM347" s="14" t="str">
        <f>IFERROR(AVERAGE(Tabel1[[#This Row],[Do - A1a]:[Do - A1c]]),"")</f>
        <v/>
      </c>
      <c r="FN347" s="14" t="s">
        <v>189</v>
      </c>
      <c r="FO347" s="14">
        <v>2</v>
      </c>
      <c r="FP347" s="14">
        <f>IFERROR(AVERAGE(Tabel1[[#This Row],[Do - A2a]:[Do - A2b]]),"")</f>
        <v>2</v>
      </c>
      <c r="FQ347" s="14" t="s">
        <v>189</v>
      </c>
      <c r="FR347" s="14" t="str">
        <f>IFERROR(AVERAGE(Tabel1[[#This Row],[Do - A3a]:[Do - A3a]]),"")</f>
        <v/>
      </c>
      <c r="FS347" s="14" t="s">
        <v>189</v>
      </c>
      <c r="FT347" s="14">
        <f>IFERROR(AVERAGE(Tabel1[[#This Row],[Do - A1]],Tabel1[[#This Row],[Do - A2]],Tabel1[[#This Row],[Do - A3]],Tabel1[[#This Row],[Do - A4]]),"")</f>
        <v>2</v>
      </c>
      <c r="FU34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2.7916666666666665</v>
      </c>
      <c r="FV347" s="27" t="s">
        <v>1794</v>
      </c>
      <c r="FW347" t="b">
        <v>1</v>
      </c>
    </row>
    <row r="348" spans="1:179" x14ac:dyDescent="0.3">
      <c r="A348" s="13">
        <v>45476.372465277796</v>
      </c>
      <c r="B348" t="b">
        <v>0</v>
      </c>
      <c r="C348" s="14" t="s">
        <v>1795</v>
      </c>
      <c r="D348" s="14" t="s">
        <v>1796</v>
      </c>
      <c r="E348" s="14" t="s">
        <v>1709</v>
      </c>
      <c r="F348" s="14" t="s">
        <v>184</v>
      </c>
      <c r="G348" s="14" t="s">
        <v>1797</v>
      </c>
      <c r="H348" s="14" t="s">
        <v>222</v>
      </c>
      <c r="I348" s="14" t="s">
        <v>195</v>
      </c>
      <c r="J348" s="14" t="s">
        <v>533</v>
      </c>
      <c r="K348" s="28" t="s">
        <v>235</v>
      </c>
      <c r="L348" s="14" t="s">
        <v>249</v>
      </c>
      <c r="M348" s="14" t="s">
        <v>188</v>
      </c>
      <c r="N348" s="14" t="s">
        <v>199</v>
      </c>
      <c r="O348" s="14" t="s">
        <v>200</v>
      </c>
      <c r="P348" s="24" t="s">
        <v>255</v>
      </c>
      <c r="Q348" s="17" t="s">
        <v>201</v>
      </c>
      <c r="R348" s="25" t="s">
        <v>187</v>
      </c>
      <c r="S348" s="25" t="s">
        <v>187</v>
      </c>
      <c r="T348" s="14" t="s">
        <v>204</v>
      </c>
      <c r="U348" s="14" t="s">
        <v>237</v>
      </c>
      <c r="V348" s="14" t="s">
        <v>484</v>
      </c>
      <c r="W348" s="14" t="s">
        <v>207</v>
      </c>
      <c r="X348" s="14" t="s">
        <v>207</v>
      </c>
      <c r="Y348" s="14">
        <v>3</v>
      </c>
      <c r="Z348" s="14">
        <v>5</v>
      </c>
      <c r="AA348" s="14">
        <v>3</v>
      </c>
      <c r="AB348" s="15">
        <f>IFERROR(AVERAGE(Tabel1[[#This Row],[Up - R1a]:[Up - R1c]]),"")</f>
        <v>3.6666666666666665</v>
      </c>
      <c r="AC348" s="14">
        <v>3</v>
      </c>
      <c r="AD348" s="14">
        <v>4</v>
      </c>
      <c r="AE348" s="14">
        <v>2</v>
      </c>
      <c r="AF348" s="14">
        <v>4</v>
      </c>
      <c r="AG348" s="14">
        <f>IFERROR(AVERAGE(Tabel1[[#This Row],[Up - R1]:[Up - R5]]),"")</f>
        <v>3.333333333333333</v>
      </c>
      <c r="AH348" s="14">
        <v>5</v>
      </c>
      <c r="AI348" s="14">
        <v>5</v>
      </c>
      <c r="AJ348" s="14">
        <v>1</v>
      </c>
      <c r="AK348" s="14">
        <f>IFERROR(AVERAGE(Tabel1[[#This Row],[Up - C1a]:[Up - C1c]]),"")</f>
        <v>3.6666666666666665</v>
      </c>
      <c r="AL348" s="14">
        <v>3</v>
      </c>
      <c r="AM348" s="14">
        <v>3</v>
      </c>
      <c r="AN348" s="14">
        <v>2</v>
      </c>
      <c r="AO348" s="14">
        <f>IFERROR(AVERAGE(Tabel1[[#This Row],[Up - C1]:[Up - C4]]),"")</f>
        <v>2.9166666666666665</v>
      </c>
      <c r="AP348" s="14">
        <v>2</v>
      </c>
      <c r="AQ348" s="14">
        <f>IFERROR(AVERAGE(Tabel1[[#This Row],[Up - F1a]:[Up - F1a]]),"")</f>
        <v>2</v>
      </c>
      <c r="AR348" s="14">
        <v>1</v>
      </c>
      <c r="AS348" s="14">
        <v>2</v>
      </c>
      <c r="AT348" s="14">
        <f>IFERROR(AVERAGE(Tabel1[[#This Row],[Up - F2a]:[Up - F2b]]),"")</f>
        <v>1.5</v>
      </c>
      <c r="AU348" s="14">
        <v>2</v>
      </c>
      <c r="AV348" s="14">
        <v>2</v>
      </c>
      <c r="AW348" s="14">
        <f>IFERROR(AVERAGE(Tabel1[[#This Row],[Up - F3a]:[Up - F3b]]),"")</f>
        <v>2</v>
      </c>
      <c r="AX348" s="14">
        <v>1</v>
      </c>
      <c r="AY348" s="14">
        <f>IFERROR(AVERAGE(Tabel1[[#This Row],[Up - F1]],Tabel1[[#This Row],[Up - F2]],Tabel1[[#This Row],[Up - F3]],Tabel1[[#This Row],[Up - F4]]),"")</f>
        <v>1.625</v>
      </c>
      <c r="AZ348" s="14">
        <v>5</v>
      </c>
      <c r="BA348" s="14">
        <v>4</v>
      </c>
      <c r="BB348" s="14">
        <f>IFERROR(AVERAGE(Tabel1[[#This Row],[Up - V1a]:[Up - V1b]]),"")</f>
        <v>4.5</v>
      </c>
      <c r="BC348" s="14">
        <v>3</v>
      </c>
      <c r="BD348" s="14">
        <v>4</v>
      </c>
      <c r="BE348" s="14">
        <v>4</v>
      </c>
      <c r="BF348" s="14">
        <f>IFERROR(AVERAGE(Tabel1[[#This Row],[Up - V2a]:[Up - V2c]]),"")</f>
        <v>3.6666666666666665</v>
      </c>
      <c r="BG348" s="14">
        <v>4</v>
      </c>
      <c r="BH348" s="14">
        <v>3</v>
      </c>
      <c r="BI348" s="14">
        <f>IFERROR(AVERAGE(Tabel1[[#This Row],[Up - V3a]:[Up - V3b]]),"")</f>
        <v>3.5</v>
      </c>
      <c r="BJ348" s="14">
        <v>3</v>
      </c>
      <c r="BK348" s="14">
        <f>IFERROR(AVERAGE(Tabel1[[#This Row],[Up - V1]],Tabel1[[#This Row],[Up - V2]],Tabel1[[#This Row],[Up - V3]],Tabel1[[#This Row],[Up - V4]]),"")</f>
        <v>3.6666666666666665</v>
      </c>
      <c r="BL348" s="14">
        <v>3</v>
      </c>
      <c r="BM348" s="14">
        <v>4</v>
      </c>
      <c r="BN348" s="14">
        <v>2</v>
      </c>
      <c r="BO348" s="14">
        <v>2</v>
      </c>
      <c r="BP348" s="14">
        <f>IFERROR(AVERAGE(Tabel1[[#This Row],[Up - A1a]:[Up - A1d]]),"")</f>
        <v>2.75</v>
      </c>
      <c r="BQ348" s="14">
        <v>4</v>
      </c>
      <c r="BR348" s="14">
        <v>5</v>
      </c>
      <c r="BS348" s="14">
        <f>IFERROR(AVERAGE(Tabel1[[#This Row],[Up - A2a]:[Up - A2b]]),"")</f>
        <v>4.5</v>
      </c>
      <c r="BT348" s="14">
        <v>4</v>
      </c>
      <c r="BU348" s="14">
        <f>IFERROR(AVERAGE(Tabel1[[#This Row],[Up - A3a]:[Up - A3a]]),"")</f>
        <v>4</v>
      </c>
      <c r="BV348" s="14">
        <v>5</v>
      </c>
      <c r="BW348" s="14">
        <f>IFERROR(AVERAGE(Tabel1[[#This Row],[Up - A1]],Tabel1[[#This Row],[Up - A2]],Tabel1[[#This Row],[Up - A3]]),"")</f>
        <v>3.75</v>
      </c>
      <c r="BX348" s="14">
        <v>3</v>
      </c>
      <c r="BY348" s="14">
        <v>5</v>
      </c>
      <c r="BZ348" s="14">
        <f>IFERROR(AVERAGE(Tabel1[[#This Row],[In - R1a]:[In - R1b]]),"")</f>
        <v>4</v>
      </c>
      <c r="CA348" s="14">
        <v>2</v>
      </c>
      <c r="CB348" s="14">
        <v>2</v>
      </c>
      <c r="CC348" s="14">
        <v>3</v>
      </c>
      <c r="CD348" s="14">
        <v>5</v>
      </c>
      <c r="CE348" s="14">
        <f>IFERROR(AVERAGE(Tabel1[[#This Row],[In - R1]:[In - R5]]),"")</f>
        <v>3.2</v>
      </c>
      <c r="CF348" s="14">
        <v>4</v>
      </c>
      <c r="CG348" s="14">
        <v>5</v>
      </c>
      <c r="CH348" s="14">
        <v>2</v>
      </c>
      <c r="CI348" s="14">
        <f>IFERROR(AVERAGE(Tabel1[[#This Row],[In - C1a]:[In - C1c]]),"")</f>
        <v>3.6666666666666665</v>
      </c>
      <c r="CJ348" s="14">
        <v>3</v>
      </c>
      <c r="CK348" s="14">
        <v>3</v>
      </c>
      <c r="CL348" s="14">
        <v>2</v>
      </c>
      <c r="CM348" s="14">
        <f>IFERROR(AVERAGE(Tabel1[[#This Row],[In - C1]:[In - C4]]),"")</f>
        <v>2.9166666666666665</v>
      </c>
      <c r="CN348" s="14">
        <v>4</v>
      </c>
      <c r="CO348" s="14">
        <v>3</v>
      </c>
      <c r="CP348" s="14">
        <v>2</v>
      </c>
      <c r="CQ348" s="14">
        <f>IFERROR(AVERAGE(Tabel1[[#This Row],[In - F1a]:[In - F1c]]),"")</f>
        <v>3</v>
      </c>
      <c r="CR348" s="14">
        <v>1</v>
      </c>
      <c r="CS348" s="14">
        <v>2</v>
      </c>
      <c r="CT348" s="14">
        <f>IFERROR(AVERAGE(Tabel1[[#This Row],[In - F2a]:[In - F2b]]),"")</f>
        <v>1.5</v>
      </c>
      <c r="CU348" s="14">
        <v>3</v>
      </c>
      <c r="CV348" s="14">
        <f>IFERROR(AVERAGE(Tabel1[[#This Row],[In - F3a]:[In - F3a]]),"")</f>
        <v>3</v>
      </c>
      <c r="CW348" s="14">
        <v>3</v>
      </c>
      <c r="CX348" s="14">
        <f>IFERROR(AVERAGE(Tabel1[[#This Row],[In - F1]],Tabel1[[#This Row],[In - F2]],Tabel1[[#This Row],[In - F3]],Tabel1[[#This Row],[In - F4]]),"")</f>
        <v>2.625</v>
      </c>
      <c r="CY348" s="14">
        <v>5</v>
      </c>
      <c r="CZ348" s="14">
        <v>3</v>
      </c>
      <c r="DA348" s="14">
        <v>3</v>
      </c>
      <c r="DB348" s="14">
        <f>IFERROR(AVERAGE(Tabel1[[#This Row],[In - V1a]:[In - V1c]]),"")</f>
        <v>3.6666666666666665</v>
      </c>
      <c r="DC348" s="14">
        <v>3</v>
      </c>
      <c r="DD348" s="14">
        <v>3</v>
      </c>
      <c r="DE348" s="14">
        <v>4</v>
      </c>
      <c r="DF348" s="14">
        <f>IFERROR(AVERAGE(Tabel1[[#This Row],[In - V2a]:[In - V2c]]),"")</f>
        <v>3.3333333333333335</v>
      </c>
      <c r="DG348" s="14">
        <v>3</v>
      </c>
      <c r="DH348" s="14">
        <v>4</v>
      </c>
      <c r="DI348" s="14">
        <f>IFERROR(AVERAGE(Tabel1[[#This Row],[In - V3a]:[In - V3b]]),"")</f>
        <v>3.5</v>
      </c>
      <c r="DJ348" s="14">
        <v>3</v>
      </c>
      <c r="DK348" s="14">
        <f>IFERROR(AVERAGE(Tabel1[[#This Row],[In - V1]],Tabel1[[#This Row],[In - V2]],Tabel1[[#This Row],[In - V3]],Tabel1[[#This Row],[In - V4]]),"")</f>
        <v>3.375</v>
      </c>
      <c r="DL348" s="14">
        <v>3</v>
      </c>
      <c r="DM348" s="14">
        <v>4</v>
      </c>
      <c r="DN348" s="14">
        <f>IFERROR(AVERAGE(Tabel1[[#This Row],[In - A1a]:[In - A1b]]),"")</f>
        <v>3.5</v>
      </c>
      <c r="DO348" s="14">
        <v>3</v>
      </c>
      <c r="DP348" s="14">
        <v>4</v>
      </c>
      <c r="DQ348" s="14">
        <f>IFERROR(AVERAGE(Tabel1[[#This Row],[In - A2a]:[In - A2b]]),"")</f>
        <v>3.5</v>
      </c>
      <c r="DR348" s="14">
        <v>3</v>
      </c>
      <c r="DS348" s="14">
        <v>3</v>
      </c>
      <c r="DT348" s="14">
        <f>IFERROR(AVERAGE(Tabel1[[#This Row],[In - A3a]:[In - A3a]]),"")</f>
        <v>3</v>
      </c>
      <c r="DU348" s="14">
        <v>5</v>
      </c>
      <c r="DV348" s="14">
        <f>IFERROR(AVERAGE(Tabel1[[#This Row],[In - A1]],Tabel1[[#This Row],[In - A2]],Tabel1[[#This Row],[In - A3]],Tabel1[[#This Row],[In - A4]]),"")</f>
        <v>3.75</v>
      </c>
      <c r="DW348" s="14">
        <v>3</v>
      </c>
      <c r="DX348" s="14">
        <v>5</v>
      </c>
      <c r="DY348" s="14">
        <v>3</v>
      </c>
      <c r="DZ348" s="14">
        <f>IFERROR(AVERAGE(Tabel1[[#This Row],[Do - R1a]:[Do - R1c]]),"")</f>
        <v>3.6666666666666665</v>
      </c>
      <c r="EA348" s="14">
        <v>3</v>
      </c>
      <c r="EB348" s="14">
        <v>5</v>
      </c>
      <c r="EC348" s="14">
        <v>1</v>
      </c>
      <c r="ED348" s="14">
        <v>3</v>
      </c>
      <c r="EE348" s="14">
        <f>IFERROR(AVERAGE(Tabel1[[#This Row],[Do - R1]:[Do - R5]]),"")</f>
        <v>3.1333333333333333</v>
      </c>
      <c r="EF348" s="14">
        <v>3</v>
      </c>
      <c r="EG348" s="14">
        <v>3</v>
      </c>
      <c r="EH348" s="14">
        <v>2</v>
      </c>
      <c r="EI348" s="14">
        <f>IFERROR(AVERAGE(Tabel1[[#This Row],[Do - C1a]:[Do - C1c]]),"")</f>
        <v>2.6666666666666665</v>
      </c>
      <c r="EJ348" s="14">
        <v>1</v>
      </c>
      <c r="EK348" s="14">
        <v>2</v>
      </c>
      <c r="EL348" s="14">
        <v>2</v>
      </c>
      <c r="EM348" s="14">
        <f>IFERROR(AVERAGE(Tabel1[[#This Row],[Do - C1]:[Do - C4]]),"")</f>
        <v>1.9166666666666665</v>
      </c>
      <c r="EN348" s="14">
        <v>2</v>
      </c>
      <c r="EO348" s="14">
        <v>2</v>
      </c>
      <c r="EP348" s="14">
        <v>2</v>
      </c>
      <c r="EQ348" s="14">
        <f>IFERROR(AVERAGE(Tabel1[[#This Row],[Do - F1a]:[Do - F1c]]),"")</f>
        <v>2</v>
      </c>
      <c r="ER348" s="14">
        <v>2</v>
      </c>
      <c r="ES348" s="14">
        <f>IFERROR(AVERAGE(Tabel1[[#This Row],[Do - F2a]:[Do - F2a]]),"")</f>
        <v>2</v>
      </c>
      <c r="ET348" s="14">
        <v>4</v>
      </c>
      <c r="EU348" s="14">
        <v>1</v>
      </c>
      <c r="EV348" s="14">
        <f>IFERROR(AVERAGE(Tabel1[[#This Row],[Do - F3a]:[Do - F3b]]),"")</f>
        <v>2.5</v>
      </c>
      <c r="EW348" s="14">
        <v>3</v>
      </c>
      <c r="EX348" s="14">
        <f>IFERROR(AVERAGE(Tabel1[[#This Row],[Do - F1]],Tabel1[[#This Row],[Do - F2]],Tabel1[[#This Row],[Do - F3]],Tabel1[[#This Row],[Do - F4]]),"")</f>
        <v>2.375</v>
      </c>
      <c r="EY348" s="14">
        <v>1</v>
      </c>
      <c r="EZ348" s="14">
        <v>3</v>
      </c>
      <c r="FA348" s="14">
        <v>3</v>
      </c>
      <c r="FB348" s="14">
        <f>IFERROR(AVERAGE(Tabel1[[#This Row],[Do - V1a]:[Do - V1c]]),"")</f>
        <v>2.3333333333333335</v>
      </c>
      <c r="FC348" s="14">
        <v>3</v>
      </c>
      <c r="FD348" s="14">
        <v>4</v>
      </c>
      <c r="FE348" s="14">
        <f>IFERROR(AVERAGE(Tabel1[[#This Row],[Do - V2a]:[Do - V2b]]),"")</f>
        <v>3.5</v>
      </c>
      <c r="FF348" s="14">
        <v>2</v>
      </c>
      <c r="FG348" s="14">
        <f>IFERROR(AVERAGE(Tabel1[[#This Row],[Do - V3a]:[Do - V3a]]),"")</f>
        <v>2</v>
      </c>
      <c r="FH348" s="14">
        <v>3</v>
      </c>
      <c r="FI348" s="14">
        <f>IFERROR(AVERAGE(Tabel1[[#This Row],[Do - V1]],Tabel1[[#This Row],[Do - V2]],Tabel1[[#This Row],[Do - V3]],Tabel1[[#This Row],[Do - V4]]),"")</f>
        <v>2.7083333333333335</v>
      </c>
      <c r="FJ348" s="14">
        <v>3</v>
      </c>
      <c r="FK348" s="14">
        <v>2</v>
      </c>
      <c r="FL348" s="14">
        <v>3</v>
      </c>
      <c r="FM348" s="14">
        <f>IFERROR(AVERAGE(Tabel1[[#This Row],[Do - A1a]:[Do - A1c]]),"")</f>
        <v>2.6666666666666665</v>
      </c>
      <c r="FN348" s="14">
        <v>4</v>
      </c>
      <c r="FO348" s="14">
        <v>4</v>
      </c>
      <c r="FP348" s="14">
        <f>IFERROR(AVERAGE(Tabel1[[#This Row],[Do - A2a]:[Do - A2b]]),"")</f>
        <v>4</v>
      </c>
      <c r="FQ348" s="14">
        <v>3</v>
      </c>
      <c r="FR348" s="14">
        <f>IFERROR(AVERAGE(Tabel1[[#This Row],[Do - A3a]:[Do - A3a]]),"")</f>
        <v>3</v>
      </c>
      <c r="FS348" s="14">
        <v>2</v>
      </c>
      <c r="FT348" s="14">
        <f>IFERROR(AVERAGE(Tabel1[[#This Row],[Do - A1]],Tabel1[[#This Row],[Do - A2]],Tabel1[[#This Row],[Do - A3]],Tabel1[[#This Row],[Do - A4]]),"")</f>
        <v>2.9166666666666665</v>
      </c>
      <c r="FU34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2.9472222222222224</v>
      </c>
      <c r="FV348" s="27" t="s">
        <v>1798</v>
      </c>
      <c r="FW348" t="b">
        <v>1</v>
      </c>
    </row>
    <row r="349" spans="1:179" x14ac:dyDescent="0.3">
      <c r="A349" s="13">
        <v>45476.3908912037</v>
      </c>
      <c r="B349" t="b">
        <v>0</v>
      </c>
      <c r="C349" s="14" t="s">
        <v>1799</v>
      </c>
      <c r="D349" s="14" t="s">
        <v>1800</v>
      </c>
      <c r="E349" s="14" t="s">
        <v>1801</v>
      </c>
      <c r="F349" s="14" t="s">
        <v>184</v>
      </c>
      <c r="G349" s="14" t="s">
        <v>1802</v>
      </c>
      <c r="H349" s="14" t="s">
        <v>222</v>
      </c>
      <c r="I349" s="14" t="s">
        <v>243</v>
      </c>
      <c r="J349" s="14" t="s">
        <v>248</v>
      </c>
      <c r="K349" s="28" t="s">
        <v>201</v>
      </c>
      <c r="L349" s="14" t="s">
        <v>197</v>
      </c>
      <c r="M349" s="14" t="s">
        <v>281</v>
      </c>
      <c r="N349" s="14" t="s">
        <v>316</v>
      </c>
      <c r="O349" s="14" t="s">
        <v>200</v>
      </c>
      <c r="P349" s="24" t="s">
        <v>304</v>
      </c>
      <c r="Q349" s="17" t="s">
        <v>255</v>
      </c>
      <c r="R349" s="25" t="s">
        <v>202</v>
      </c>
      <c r="S349" s="25" t="s">
        <v>201</v>
      </c>
      <c r="T349" s="14" t="s">
        <v>284</v>
      </c>
      <c r="U349" s="14" t="s">
        <v>285</v>
      </c>
      <c r="V349" s="14" t="s">
        <v>224</v>
      </c>
      <c r="W349" s="14" t="s">
        <v>395</v>
      </c>
      <c r="X349" s="14" t="s">
        <v>207</v>
      </c>
      <c r="Y349" s="14">
        <v>2</v>
      </c>
      <c r="Z349" s="14">
        <v>1</v>
      </c>
      <c r="AA349" s="14" t="s">
        <v>189</v>
      </c>
      <c r="AB349" s="15">
        <f>IFERROR(AVERAGE(Tabel1[[#This Row],[Up - R1a]:[Up - R1c]]),"")</f>
        <v>1.5</v>
      </c>
      <c r="AC349" s="14">
        <v>3</v>
      </c>
      <c r="AD349" s="14">
        <v>5</v>
      </c>
      <c r="AE349" s="14" t="s">
        <v>189</v>
      </c>
      <c r="AF349" s="14" t="s">
        <v>189</v>
      </c>
      <c r="AG349" s="14">
        <f>IFERROR(AVERAGE(Tabel1[[#This Row],[Up - R1]:[Up - R5]]),"")</f>
        <v>3.1666666666666665</v>
      </c>
      <c r="AH349" s="14">
        <v>3</v>
      </c>
      <c r="AI349" s="14">
        <v>1</v>
      </c>
      <c r="AJ349" s="14">
        <v>2</v>
      </c>
      <c r="AK349" s="14">
        <f>IFERROR(AVERAGE(Tabel1[[#This Row],[Up - C1a]:[Up - C1c]]),"")</f>
        <v>2</v>
      </c>
      <c r="AL349" s="14">
        <v>2</v>
      </c>
      <c r="AM349" s="14">
        <v>2</v>
      </c>
      <c r="AN349" s="14">
        <v>3</v>
      </c>
      <c r="AO349" s="14">
        <f>IFERROR(AVERAGE(Tabel1[[#This Row],[Up - C1]:[Up - C4]]),"")</f>
        <v>2.25</v>
      </c>
      <c r="AP349" s="14">
        <v>2</v>
      </c>
      <c r="AQ349" s="14">
        <f>IFERROR(AVERAGE(Tabel1[[#This Row],[Up - F1a]:[Up - F1a]]),"")</f>
        <v>2</v>
      </c>
      <c r="AR349" s="14">
        <v>3</v>
      </c>
      <c r="AS349" s="14" t="s">
        <v>189</v>
      </c>
      <c r="AT349" s="14">
        <f>IFERROR(AVERAGE(Tabel1[[#This Row],[Up - F2a]:[Up - F2b]]),"")</f>
        <v>3</v>
      </c>
      <c r="AU349" s="14">
        <v>5</v>
      </c>
      <c r="AV349" s="14" t="s">
        <v>189</v>
      </c>
      <c r="AW349" s="14">
        <f>IFERROR(AVERAGE(Tabel1[[#This Row],[Up - F3a]:[Up - F3b]]),"")</f>
        <v>5</v>
      </c>
      <c r="AX349" s="14">
        <v>3</v>
      </c>
      <c r="AY349" s="14">
        <f>IFERROR(AVERAGE(Tabel1[[#This Row],[Up - F1]],Tabel1[[#This Row],[Up - F2]],Tabel1[[#This Row],[Up - F3]],Tabel1[[#This Row],[Up - F4]]),"")</f>
        <v>3.25</v>
      </c>
      <c r="AZ349" s="14">
        <v>2</v>
      </c>
      <c r="BA349" s="14">
        <v>3</v>
      </c>
      <c r="BB349" s="14">
        <f>IFERROR(AVERAGE(Tabel1[[#This Row],[Up - V1a]:[Up - V1b]]),"")</f>
        <v>2.5</v>
      </c>
      <c r="BC349" s="14">
        <v>1</v>
      </c>
      <c r="BD349" s="14" t="s">
        <v>189</v>
      </c>
      <c r="BE349" s="14">
        <v>2</v>
      </c>
      <c r="BF349" s="14">
        <f>IFERROR(AVERAGE(Tabel1[[#This Row],[Up - V2a]:[Up - V2c]]),"")</f>
        <v>1.5</v>
      </c>
      <c r="BG349" s="14">
        <v>1</v>
      </c>
      <c r="BH349" s="14">
        <v>1</v>
      </c>
      <c r="BI349" s="14">
        <f>IFERROR(AVERAGE(Tabel1[[#This Row],[Up - V3a]:[Up - V3b]]),"")</f>
        <v>1</v>
      </c>
      <c r="BJ349" s="14">
        <v>2</v>
      </c>
      <c r="BK349" s="14">
        <f>IFERROR(AVERAGE(Tabel1[[#This Row],[Up - V1]],Tabel1[[#This Row],[Up - V2]],Tabel1[[#This Row],[Up - V3]],Tabel1[[#This Row],[Up - V4]]),"")</f>
        <v>1.75</v>
      </c>
      <c r="BL349" s="14">
        <v>1</v>
      </c>
      <c r="BM349" s="14">
        <v>2</v>
      </c>
      <c r="BN349" s="14">
        <v>3</v>
      </c>
      <c r="BO349" s="14" t="s">
        <v>189</v>
      </c>
      <c r="BP349" s="14">
        <f>IFERROR(AVERAGE(Tabel1[[#This Row],[Up - A1a]:[Up - A1d]]),"")</f>
        <v>2</v>
      </c>
      <c r="BQ349" s="14">
        <v>4</v>
      </c>
      <c r="BR349" s="14">
        <v>5</v>
      </c>
      <c r="BS349" s="14">
        <f>IFERROR(AVERAGE(Tabel1[[#This Row],[Up - A2a]:[Up - A2b]]),"")</f>
        <v>4.5</v>
      </c>
      <c r="BT349" s="14">
        <v>4</v>
      </c>
      <c r="BU349" s="14">
        <f>IFERROR(AVERAGE(Tabel1[[#This Row],[Up - A3a]:[Up - A3a]]),"")</f>
        <v>4</v>
      </c>
      <c r="BV349" s="14">
        <v>2</v>
      </c>
      <c r="BW349" s="14">
        <f>IFERROR(AVERAGE(Tabel1[[#This Row],[Up - A1]],Tabel1[[#This Row],[Up - A2]],Tabel1[[#This Row],[Up - A3]]),"")</f>
        <v>3.5</v>
      </c>
      <c r="BX349" s="14" t="s">
        <v>189</v>
      </c>
      <c r="BY349" s="14" t="s">
        <v>189</v>
      </c>
      <c r="BZ349" s="14" t="str">
        <f>IFERROR(AVERAGE(Tabel1[[#This Row],[In - R1a]:[In - R1b]]),"")</f>
        <v/>
      </c>
      <c r="CA349" s="14">
        <v>3</v>
      </c>
      <c r="CB349" s="14">
        <v>4</v>
      </c>
      <c r="CC349" s="14" t="s">
        <v>189</v>
      </c>
      <c r="CD349" s="14">
        <v>1</v>
      </c>
      <c r="CE349" s="14">
        <f>IFERROR(AVERAGE(Tabel1[[#This Row],[In - R1]:[In - R5]]),"")</f>
        <v>2.6666666666666665</v>
      </c>
      <c r="CF349" s="14">
        <v>3</v>
      </c>
      <c r="CG349" s="14">
        <v>2</v>
      </c>
      <c r="CH349" s="14">
        <v>4</v>
      </c>
      <c r="CI349" s="14">
        <f>IFERROR(AVERAGE(Tabel1[[#This Row],[In - C1a]:[In - C1c]]),"")</f>
        <v>3</v>
      </c>
      <c r="CJ349" s="14">
        <v>3</v>
      </c>
      <c r="CK349" s="14">
        <v>3</v>
      </c>
      <c r="CL349" s="14">
        <v>3</v>
      </c>
      <c r="CM349" s="14">
        <f>IFERROR(AVERAGE(Tabel1[[#This Row],[In - C1]:[In - C4]]),"")</f>
        <v>3</v>
      </c>
      <c r="CN349" s="14">
        <v>4</v>
      </c>
      <c r="CO349" s="14">
        <v>4</v>
      </c>
      <c r="CP349" s="14">
        <v>1</v>
      </c>
      <c r="CQ349" s="14">
        <f>IFERROR(AVERAGE(Tabel1[[#This Row],[In - F1a]:[In - F1c]]),"")</f>
        <v>3</v>
      </c>
      <c r="CR349" s="14">
        <v>3</v>
      </c>
      <c r="CS349" s="14">
        <v>1</v>
      </c>
      <c r="CT349" s="14">
        <f>IFERROR(AVERAGE(Tabel1[[#This Row],[In - F2a]:[In - F2b]]),"")</f>
        <v>2</v>
      </c>
      <c r="CU349" s="14">
        <v>4</v>
      </c>
      <c r="CV349" s="14">
        <f>IFERROR(AVERAGE(Tabel1[[#This Row],[In - F3a]:[In - F3a]]),"")</f>
        <v>4</v>
      </c>
      <c r="CW349" s="14" t="s">
        <v>189</v>
      </c>
      <c r="CX349" s="14">
        <f>IFERROR(AVERAGE(Tabel1[[#This Row],[In - F1]],Tabel1[[#This Row],[In - F2]],Tabel1[[#This Row],[In - F3]],Tabel1[[#This Row],[In - F4]]),"")</f>
        <v>3</v>
      </c>
      <c r="CY349" s="14">
        <v>3</v>
      </c>
      <c r="CZ349" s="14">
        <v>2</v>
      </c>
      <c r="DA349" s="14">
        <v>3</v>
      </c>
      <c r="DB349" s="14">
        <f>IFERROR(AVERAGE(Tabel1[[#This Row],[In - V1a]:[In - V1c]]),"")</f>
        <v>2.6666666666666665</v>
      </c>
      <c r="DC349" s="14">
        <v>4</v>
      </c>
      <c r="DD349" s="14">
        <v>3</v>
      </c>
      <c r="DE349" s="14">
        <v>4</v>
      </c>
      <c r="DF349" s="14">
        <f>IFERROR(AVERAGE(Tabel1[[#This Row],[In - V2a]:[In - V2c]]),"")</f>
        <v>3.6666666666666665</v>
      </c>
      <c r="DG349" s="14" t="s">
        <v>189</v>
      </c>
      <c r="DH349" s="14">
        <v>3</v>
      </c>
      <c r="DI349" s="14">
        <f>IFERROR(AVERAGE(Tabel1[[#This Row],[In - V3a]:[In - V3b]]),"")</f>
        <v>3</v>
      </c>
      <c r="DJ349" s="14">
        <v>3</v>
      </c>
      <c r="DK349" s="14">
        <f>IFERROR(AVERAGE(Tabel1[[#This Row],[In - V1]],Tabel1[[#This Row],[In - V2]],Tabel1[[#This Row],[In - V3]],Tabel1[[#This Row],[In - V4]]),"")</f>
        <v>3.083333333333333</v>
      </c>
      <c r="DL349" s="14">
        <v>5</v>
      </c>
      <c r="DM349" s="14">
        <v>3</v>
      </c>
      <c r="DN349" s="14">
        <f>IFERROR(AVERAGE(Tabel1[[#This Row],[In - A1a]:[In - A1b]]),"")</f>
        <v>4</v>
      </c>
      <c r="DO349" s="14" t="s">
        <v>189</v>
      </c>
      <c r="DP349" s="14">
        <v>4</v>
      </c>
      <c r="DQ349" s="14">
        <f>IFERROR(AVERAGE(Tabel1[[#This Row],[In - A2a]:[In - A2b]]),"")</f>
        <v>4</v>
      </c>
      <c r="DR349" s="14">
        <v>5</v>
      </c>
      <c r="DS349" s="14">
        <v>4</v>
      </c>
      <c r="DT349" s="14">
        <f>IFERROR(AVERAGE(Tabel1[[#This Row],[In - A3a]:[In - A3a]]),"")</f>
        <v>5</v>
      </c>
      <c r="DU349" s="14">
        <v>2</v>
      </c>
      <c r="DV349" s="14">
        <f>IFERROR(AVERAGE(Tabel1[[#This Row],[In - A1]],Tabel1[[#This Row],[In - A2]],Tabel1[[#This Row],[In - A3]],Tabel1[[#This Row],[In - A4]]),"")</f>
        <v>3.75</v>
      </c>
      <c r="DW349" s="14">
        <v>2</v>
      </c>
      <c r="DX349" s="14">
        <v>4</v>
      </c>
      <c r="DY349" s="14">
        <v>3</v>
      </c>
      <c r="DZ349" s="14">
        <f>IFERROR(AVERAGE(Tabel1[[#This Row],[Do - R1a]:[Do - R1c]]),"")</f>
        <v>3</v>
      </c>
      <c r="EA349" s="14" t="s">
        <v>189</v>
      </c>
      <c r="EB349" s="14">
        <v>4</v>
      </c>
      <c r="EC349" s="14" t="s">
        <v>189</v>
      </c>
      <c r="ED349" s="14">
        <v>5</v>
      </c>
      <c r="EE349" s="14">
        <f>IFERROR(AVERAGE(Tabel1[[#This Row],[Do - R1]:[Do - R5]]),"")</f>
        <v>4</v>
      </c>
      <c r="EF349" s="14">
        <v>3</v>
      </c>
      <c r="EG349" s="14">
        <v>2</v>
      </c>
      <c r="EH349" s="14">
        <v>2</v>
      </c>
      <c r="EI349" s="14">
        <f>IFERROR(AVERAGE(Tabel1[[#This Row],[Do - C1a]:[Do - C1c]]),"")</f>
        <v>2.3333333333333335</v>
      </c>
      <c r="EJ349" s="14">
        <v>3</v>
      </c>
      <c r="EK349" s="14">
        <v>2</v>
      </c>
      <c r="EL349" s="14">
        <v>3</v>
      </c>
      <c r="EM349" s="14">
        <f>IFERROR(AVERAGE(Tabel1[[#This Row],[Do - C1]:[Do - C4]]),"")</f>
        <v>2.5833333333333335</v>
      </c>
      <c r="EN349" s="14">
        <v>3</v>
      </c>
      <c r="EO349" s="14">
        <v>3</v>
      </c>
      <c r="EP349" s="14">
        <v>4</v>
      </c>
      <c r="EQ349" s="14">
        <f>IFERROR(AVERAGE(Tabel1[[#This Row],[Do - F1a]:[Do - F1c]]),"")</f>
        <v>3.3333333333333335</v>
      </c>
      <c r="ER349" s="14">
        <v>3</v>
      </c>
      <c r="ES349" s="14">
        <f>IFERROR(AVERAGE(Tabel1[[#This Row],[Do - F2a]:[Do - F2a]]),"")</f>
        <v>3</v>
      </c>
      <c r="ET349" s="14">
        <v>5</v>
      </c>
      <c r="EU349" s="14">
        <v>5</v>
      </c>
      <c r="EV349" s="14">
        <f>IFERROR(AVERAGE(Tabel1[[#This Row],[Do - F3a]:[Do - F3b]]),"")</f>
        <v>5</v>
      </c>
      <c r="EW349" s="14">
        <v>2</v>
      </c>
      <c r="EX349" s="14">
        <f>IFERROR(AVERAGE(Tabel1[[#This Row],[Do - F1]],Tabel1[[#This Row],[Do - F2]],Tabel1[[#This Row],[Do - F3]],Tabel1[[#This Row],[Do - F4]]),"")</f>
        <v>3.3333333333333335</v>
      </c>
      <c r="EY349" s="14">
        <v>3</v>
      </c>
      <c r="EZ349" s="14">
        <v>1</v>
      </c>
      <c r="FA349" s="14">
        <v>3</v>
      </c>
      <c r="FB349" s="14">
        <f>IFERROR(AVERAGE(Tabel1[[#This Row],[Do - V1a]:[Do - V1c]]),"")</f>
        <v>2.3333333333333335</v>
      </c>
      <c r="FC349" s="14">
        <v>3</v>
      </c>
      <c r="FD349" s="14">
        <v>4</v>
      </c>
      <c r="FE349" s="14">
        <f>IFERROR(AVERAGE(Tabel1[[#This Row],[Do - V2a]:[Do - V2b]]),"")</f>
        <v>3.5</v>
      </c>
      <c r="FF349" s="14">
        <v>2</v>
      </c>
      <c r="FG349" s="14">
        <f>IFERROR(AVERAGE(Tabel1[[#This Row],[Do - V3a]:[Do - V3a]]),"")</f>
        <v>2</v>
      </c>
      <c r="FH349" s="14">
        <v>4</v>
      </c>
      <c r="FI349" s="14">
        <f>IFERROR(AVERAGE(Tabel1[[#This Row],[Do - V1]],Tabel1[[#This Row],[Do - V2]],Tabel1[[#This Row],[Do - V3]],Tabel1[[#This Row],[Do - V4]]),"")</f>
        <v>2.9583333333333335</v>
      </c>
      <c r="FJ349" s="14">
        <v>4</v>
      </c>
      <c r="FK349" s="14">
        <v>1</v>
      </c>
      <c r="FL349" s="14">
        <v>5</v>
      </c>
      <c r="FM349" s="14">
        <f>IFERROR(AVERAGE(Tabel1[[#This Row],[Do - A1a]:[Do - A1c]]),"")</f>
        <v>3.3333333333333335</v>
      </c>
      <c r="FN349" s="14">
        <v>3</v>
      </c>
      <c r="FO349" s="14">
        <v>4</v>
      </c>
      <c r="FP349" s="14">
        <f>IFERROR(AVERAGE(Tabel1[[#This Row],[Do - A2a]:[Do - A2b]]),"")</f>
        <v>3.5</v>
      </c>
      <c r="FQ349" s="14">
        <v>3</v>
      </c>
      <c r="FR349" s="14">
        <f>IFERROR(AVERAGE(Tabel1[[#This Row],[Do - A3a]:[Do - A3a]]),"")</f>
        <v>3</v>
      </c>
      <c r="FS349" s="14">
        <v>2</v>
      </c>
      <c r="FT349" s="14">
        <f>IFERROR(AVERAGE(Tabel1[[#This Row],[Do - A1]],Tabel1[[#This Row],[Do - A2]],Tabel1[[#This Row],[Do - A3]],Tabel1[[#This Row],[Do - A4]]),"")</f>
        <v>2.9583333333333335</v>
      </c>
      <c r="FU34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3.0166666666666671</v>
      </c>
      <c r="FV349" s="27" t="s">
        <v>1803</v>
      </c>
      <c r="FW349" t="b">
        <v>1</v>
      </c>
    </row>
    <row r="350" spans="1:179" x14ac:dyDescent="0.3">
      <c r="A350" s="13">
        <v>45478.308217592603</v>
      </c>
      <c r="B350" t="b">
        <v>0</v>
      </c>
      <c r="C350" s="14" t="s">
        <v>1804</v>
      </c>
      <c r="D350" s="14" t="s">
        <v>1805</v>
      </c>
      <c r="E350" s="14" t="s">
        <v>1709</v>
      </c>
      <c r="F350" s="14" t="s">
        <v>184</v>
      </c>
      <c r="G350" s="14" t="s">
        <v>1806</v>
      </c>
      <c r="H350" s="14" t="s">
        <v>222</v>
      </c>
      <c r="I350" s="14" t="s">
        <v>195</v>
      </c>
      <c r="J350" s="14" t="s">
        <v>347</v>
      </c>
      <c r="K350" s="28" t="s">
        <v>202</v>
      </c>
      <c r="L350" s="14" t="s">
        <v>197</v>
      </c>
      <c r="M350" s="14"/>
      <c r="N350" s="14" t="s">
        <v>199</v>
      </c>
      <c r="O350" s="14" t="s">
        <v>200</v>
      </c>
      <c r="P350" s="24" t="s">
        <v>255</v>
      </c>
      <c r="Q350" s="17" t="s">
        <v>203</v>
      </c>
      <c r="R350" s="25" t="s">
        <v>201</v>
      </c>
      <c r="S350" s="25" t="s">
        <v>187</v>
      </c>
      <c r="T350" s="14" t="s">
        <v>204</v>
      </c>
      <c r="U350" s="14" t="s">
        <v>237</v>
      </c>
      <c r="V350" s="14" t="s">
        <v>224</v>
      </c>
      <c r="W350" s="14" t="s">
        <v>395</v>
      </c>
      <c r="X350" s="14" t="s">
        <v>207</v>
      </c>
      <c r="Y350" s="14">
        <v>3</v>
      </c>
      <c r="Z350" s="14">
        <v>4</v>
      </c>
      <c r="AA350" s="14">
        <v>4</v>
      </c>
      <c r="AB350" s="15">
        <f>IFERROR(AVERAGE(Tabel1[[#This Row],[Up - R1a]:[Up - R1c]]),"")</f>
        <v>3.6666666666666665</v>
      </c>
      <c r="AC350" s="14">
        <v>3</v>
      </c>
      <c r="AD350" s="14">
        <v>4</v>
      </c>
      <c r="AE350" s="14">
        <v>2</v>
      </c>
      <c r="AF350" s="14">
        <v>3</v>
      </c>
      <c r="AG350" s="14">
        <f>IFERROR(AVERAGE(Tabel1[[#This Row],[Up - R1]:[Up - R5]]),"")</f>
        <v>3.1333333333333333</v>
      </c>
      <c r="AH350" s="14">
        <v>4</v>
      </c>
      <c r="AI350" s="14">
        <v>4</v>
      </c>
      <c r="AJ350" s="14">
        <v>3</v>
      </c>
      <c r="AK350" s="14">
        <f>IFERROR(AVERAGE(Tabel1[[#This Row],[Up - C1a]:[Up - C1c]]),"")</f>
        <v>3.6666666666666665</v>
      </c>
      <c r="AL350" s="14">
        <v>4</v>
      </c>
      <c r="AM350" s="14">
        <v>3</v>
      </c>
      <c r="AN350" s="14">
        <v>2</v>
      </c>
      <c r="AO350" s="14">
        <f>IFERROR(AVERAGE(Tabel1[[#This Row],[Up - C1]:[Up - C4]]),"")</f>
        <v>3.1666666666666665</v>
      </c>
      <c r="AP350" s="14">
        <v>2</v>
      </c>
      <c r="AQ350" s="14">
        <f>IFERROR(AVERAGE(Tabel1[[#This Row],[Up - F1a]:[Up - F1a]]),"")</f>
        <v>2</v>
      </c>
      <c r="AR350" s="14">
        <v>2</v>
      </c>
      <c r="AS350" s="14">
        <v>4</v>
      </c>
      <c r="AT350" s="14">
        <f>IFERROR(AVERAGE(Tabel1[[#This Row],[Up - F2a]:[Up - F2b]]),"")</f>
        <v>3</v>
      </c>
      <c r="AU350" s="14">
        <v>4</v>
      </c>
      <c r="AV350" s="14">
        <v>2</v>
      </c>
      <c r="AW350" s="14">
        <f>IFERROR(AVERAGE(Tabel1[[#This Row],[Up - F3a]:[Up - F3b]]),"")</f>
        <v>3</v>
      </c>
      <c r="AX350" s="14">
        <v>4</v>
      </c>
      <c r="AY350" s="14">
        <f>IFERROR(AVERAGE(Tabel1[[#This Row],[Up - F1]],Tabel1[[#This Row],[Up - F2]],Tabel1[[#This Row],[Up - F3]],Tabel1[[#This Row],[Up - F4]]),"")</f>
        <v>3</v>
      </c>
      <c r="AZ350" s="14">
        <v>3</v>
      </c>
      <c r="BA350" s="14">
        <v>4</v>
      </c>
      <c r="BB350" s="14">
        <f>IFERROR(AVERAGE(Tabel1[[#This Row],[Up - V1a]:[Up - V1b]]),"")</f>
        <v>3.5</v>
      </c>
      <c r="BC350" s="14">
        <v>4</v>
      </c>
      <c r="BD350" s="14">
        <v>3</v>
      </c>
      <c r="BE350" s="14">
        <v>2</v>
      </c>
      <c r="BF350" s="14">
        <f>IFERROR(AVERAGE(Tabel1[[#This Row],[Up - V2a]:[Up - V2c]]),"")</f>
        <v>3</v>
      </c>
      <c r="BG350" s="14">
        <v>2</v>
      </c>
      <c r="BH350" s="14">
        <v>2</v>
      </c>
      <c r="BI350" s="14">
        <f>IFERROR(AVERAGE(Tabel1[[#This Row],[Up - V3a]:[Up - V3b]]),"")</f>
        <v>2</v>
      </c>
      <c r="BJ350" s="14">
        <v>3</v>
      </c>
      <c r="BK350" s="14">
        <f>IFERROR(AVERAGE(Tabel1[[#This Row],[Up - V1]],Tabel1[[#This Row],[Up - V2]],Tabel1[[#This Row],[Up - V3]],Tabel1[[#This Row],[Up - V4]]),"")</f>
        <v>2.875</v>
      </c>
      <c r="BL350" s="14">
        <v>3</v>
      </c>
      <c r="BM350" s="14">
        <v>3</v>
      </c>
      <c r="BN350" s="14">
        <v>3</v>
      </c>
      <c r="BO350" s="14">
        <v>2</v>
      </c>
      <c r="BP350" s="14">
        <f>IFERROR(AVERAGE(Tabel1[[#This Row],[Up - A1a]:[Up - A1d]]),"")</f>
        <v>2.75</v>
      </c>
      <c r="BQ350" s="14">
        <v>3</v>
      </c>
      <c r="BR350" s="14">
        <v>3</v>
      </c>
      <c r="BS350" s="14">
        <f>IFERROR(AVERAGE(Tabel1[[#This Row],[Up - A2a]:[Up - A2b]]),"")</f>
        <v>3</v>
      </c>
      <c r="BT350" s="14">
        <v>4</v>
      </c>
      <c r="BU350" s="14">
        <f>IFERROR(AVERAGE(Tabel1[[#This Row],[Up - A3a]:[Up - A3a]]),"")</f>
        <v>4</v>
      </c>
      <c r="BV350" s="14">
        <v>3</v>
      </c>
      <c r="BW350" s="14">
        <f>IFERROR(AVERAGE(Tabel1[[#This Row],[Up - A1]],Tabel1[[#This Row],[Up - A2]],Tabel1[[#This Row],[Up - A3]]),"")</f>
        <v>3.25</v>
      </c>
      <c r="BX350" s="14">
        <v>2</v>
      </c>
      <c r="BY350" s="14">
        <v>1</v>
      </c>
      <c r="BZ350" s="14">
        <f>IFERROR(AVERAGE(Tabel1[[#This Row],[In - R1a]:[In - R1b]]),"")</f>
        <v>1.5</v>
      </c>
      <c r="CA350" s="14">
        <v>3</v>
      </c>
      <c r="CB350" s="14">
        <v>2</v>
      </c>
      <c r="CC350" s="14">
        <v>3</v>
      </c>
      <c r="CD350" s="14">
        <v>4</v>
      </c>
      <c r="CE350" s="14">
        <f>IFERROR(AVERAGE(Tabel1[[#This Row],[In - R1]:[In - R5]]),"")</f>
        <v>2.7</v>
      </c>
      <c r="CF350" s="14">
        <v>5</v>
      </c>
      <c r="CG350" s="14">
        <v>4</v>
      </c>
      <c r="CH350" s="14">
        <v>5</v>
      </c>
      <c r="CI350" s="14">
        <f>IFERROR(AVERAGE(Tabel1[[#This Row],[In - C1a]:[In - C1c]]),"")</f>
        <v>4.666666666666667</v>
      </c>
      <c r="CJ350" s="14">
        <v>5</v>
      </c>
      <c r="CK350" s="14">
        <v>4</v>
      </c>
      <c r="CL350" s="14">
        <v>5</v>
      </c>
      <c r="CM350" s="14">
        <f>IFERROR(AVERAGE(Tabel1[[#This Row],[In - C1]:[In - C4]]),"")</f>
        <v>4.666666666666667</v>
      </c>
      <c r="CN350" s="14">
        <v>4</v>
      </c>
      <c r="CO350" s="14">
        <v>3</v>
      </c>
      <c r="CP350" s="14">
        <v>2</v>
      </c>
      <c r="CQ350" s="14">
        <f>IFERROR(AVERAGE(Tabel1[[#This Row],[In - F1a]:[In - F1c]]),"")</f>
        <v>3</v>
      </c>
      <c r="CR350" s="14">
        <v>2</v>
      </c>
      <c r="CS350" s="14">
        <v>3</v>
      </c>
      <c r="CT350" s="14">
        <f>IFERROR(AVERAGE(Tabel1[[#This Row],[In - F2a]:[In - F2b]]),"")</f>
        <v>2.5</v>
      </c>
      <c r="CU350" s="14">
        <v>2</v>
      </c>
      <c r="CV350" s="14">
        <f>IFERROR(AVERAGE(Tabel1[[#This Row],[In - F3a]:[In - F3a]]),"")</f>
        <v>2</v>
      </c>
      <c r="CW350" s="14">
        <v>3</v>
      </c>
      <c r="CX350" s="14">
        <f>IFERROR(AVERAGE(Tabel1[[#This Row],[In - F1]],Tabel1[[#This Row],[In - F2]],Tabel1[[#This Row],[In - F3]],Tabel1[[#This Row],[In - F4]]),"")</f>
        <v>2.625</v>
      </c>
      <c r="CY350" s="14">
        <v>5</v>
      </c>
      <c r="CZ350" s="14">
        <v>5</v>
      </c>
      <c r="DA350" s="14">
        <v>4</v>
      </c>
      <c r="DB350" s="14">
        <f>IFERROR(AVERAGE(Tabel1[[#This Row],[In - V1a]:[In - V1c]]),"")</f>
        <v>4.666666666666667</v>
      </c>
      <c r="DC350" s="14">
        <v>4</v>
      </c>
      <c r="DD350" s="14">
        <v>4</v>
      </c>
      <c r="DE350" s="14">
        <v>4</v>
      </c>
      <c r="DF350" s="14">
        <f>IFERROR(AVERAGE(Tabel1[[#This Row],[In - V2a]:[In - V2c]]),"")</f>
        <v>4</v>
      </c>
      <c r="DG350" s="14">
        <v>3</v>
      </c>
      <c r="DH350" s="14">
        <v>4</v>
      </c>
      <c r="DI350" s="14">
        <f>IFERROR(AVERAGE(Tabel1[[#This Row],[In - V3a]:[In - V3b]]),"")</f>
        <v>3.5</v>
      </c>
      <c r="DJ350" s="14">
        <v>3</v>
      </c>
      <c r="DK350" s="14">
        <f>IFERROR(AVERAGE(Tabel1[[#This Row],[In - V1]],Tabel1[[#This Row],[In - V2]],Tabel1[[#This Row],[In - V3]],Tabel1[[#This Row],[In - V4]]),"")</f>
        <v>3.791666666666667</v>
      </c>
      <c r="DL350" s="14">
        <v>4</v>
      </c>
      <c r="DM350" s="14">
        <v>4</v>
      </c>
      <c r="DN350" s="14">
        <f>IFERROR(AVERAGE(Tabel1[[#This Row],[In - A1a]:[In - A1b]]),"")</f>
        <v>4</v>
      </c>
      <c r="DO350" s="14">
        <v>4</v>
      </c>
      <c r="DP350" s="14">
        <v>3</v>
      </c>
      <c r="DQ350" s="14">
        <f>IFERROR(AVERAGE(Tabel1[[#This Row],[In - A2a]:[In - A2b]]),"")</f>
        <v>3.5</v>
      </c>
      <c r="DR350" s="14">
        <v>4</v>
      </c>
      <c r="DS350" s="14">
        <v>3</v>
      </c>
      <c r="DT350" s="14">
        <f>IFERROR(AVERAGE(Tabel1[[#This Row],[In - A3a]:[In - A3a]]),"")</f>
        <v>4</v>
      </c>
      <c r="DU350" s="14">
        <v>4</v>
      </c>
      <c r="DV350" s="14">
        <f>IFERROR(AVERAGE(Tabel1[[#This Row],[In - A1]],Tabel1[[#This Row],[In - A2]],Tabel1[[#This Row],[In - A3]],Tabel1[[#This Row],[In - A4]]),"")</f>
        <v>3.875</v>
      </c>
      <c r="DW350" s="14">
        <v>3</v>
      </c>
      <c r="DX350" s="14">
        <v>5</v>
      </c>
      <c r="DY350" s="14">
        <v>2</v>
      </c>
      <c r="DZ350" s="14">
        <f>IFERROR(AVERAGE(Tabel1[[#This Row],[Do - R1a]:[Do - R1c]]),"")</f>
        <v>3.3333333333333335</v>
      </c>
      <c r="EA350" s="14">
        <v>3</v>
      </c>
      <c r="EB350" s="14">
        <v>3</v>
      </c>
      <c r="EC350" s="14">
        <v>2</v>
      </c>
      <c r="ED350" s="14">
        <v>3</v>
      </c>
      <c r="EE350" s="14">
        <f>IFERROR(AVERAGE(Tabel1[[#This Row],[Do - R1]:[Do - R5]]),"")</f>
        <v>2.8666666666666667</v>
      </c>
      <c r="EF350" s="14">
        <v>4</v>
      </c>
      <c r="EG350" s="14">
        <v>4</v>
      </c>
      <c r="EH350" s="14">
        <v>3</v>
      </c>
      <c r="EI350" s="14">
        <f>IFERROR(AVERAGE(Tabel1[[#This Row],[Do - C1a]:[Do - C1c]]),"")</f>
        <v>3.6666666666666665</v>
      </c>
      <c r="EJ350" s="14">
        <v>3</v>
      </c>
      <c r="EK350" s="14">
        <v>2</v>
      </c>
      <c r="EL350" s="14">
        <v>3</v>
      </c>
      <c r="EM350" s="14">
        <f>IFERROR(AVERAGE(Tabel1[[#This Row],[Do - C1]:[Do - C4]]),"")</f>
        <v>2.9166666666666665</v>
      </c>
      <c r="EN350" s="14">
        <v>3</v>
      </c>
      <c r="EO350" s="14">
        <v>2</v>
      </c>
      <c r="EP350" s="14">
        <v>3</v>
      </c>
      <c r="EQ350" s="14">
        <f>IFERROR(AVERAGE(Tabel1[[#This Row],[Do - F1a]:[Do - F1c]]),"")</f>
        <v>2.6666666666666665</v>
      </c>
      <c r="ER350" s="14">
        <v>3</v>
      </c>
      <c r="ES350" s="14">
        <f>IFERROR(AVERAGE(Tabel1[[#This Row],[Do - F2a]:[Do - F2a]]),"")</f>
        <v>3</v>
      </c>
      <c r="ET350" s="14">
        <v>4</v>
      </c>
      <c r="EU350" s="14">
        <v>4</v>
      </c>
      <c r="EV350" s="14">
        <f>IFERROR(AVERAGE(Tabel1[[#This Row],[Do - F3a]:[Do - F3b]]),"")</f>
        <v>4</v>
      </c>
      <c r="EW350" s="14">
        <v>3</v>
      </c>
      <c r="EX350" s="14">
        <f>IFERROR(AVERAGE(Tabel1[[#This Row],[Do - F1]],Tabel1[[#This Row],[Do - F2]],Tabel1[[#This Row],[Do - F3]],Tabel1[[#This Row],[Do - F4]]),"")</f>
        <v>3.1666666666666665</v>
      </c>
      <c r="EY350" s="14">
        <v>4</v>
      </c>
      <c r="EZ350" s="14">
        <v>3</v>
      </c>
      <c r="FA350" s="14">
        <v>3</v>
      </c>
      <c r="FB350" s="14">
        <f>IFERROR(AVERAGE(Tabel1[[#This Row],[Do - V1a]:[Do - V1c]]),"")</f>
        <v>3.3333333333333335</v>
      </c>
      <c r="FC350" s="14">
        <v>4</v>
      </c>
      <c r="FD350" s="14">
        <v>3</v>
      </c>
      <c r="FE350" s="14">
        <f>IFERROR(AVERAGE(Tabel1[[#This Row],[Do - V2a]:[Do - V2b]]),"")</f>
        <v>3.5</v>
      </c>
      <c r="FF350" s="14">
        <v>3</v>
      </c>
      <c r="FG350" s="14">
        <f>IFERROR(AVERAGE(Tabel1[[#This Row],[Do - V3a]:[Do - V3a]]),"")</f>
        <v>3</v>
      </c>
      <c r="FH350" s="14">
        <v>2</v>
      </c>
      <c r="FI350" s="14">
        <f>IFERROR(AVERAGE(Tabel1[[#This Row],[Do - V1]],Tabel1[[#This Row],[Do - V2]],Tabel1[[#This Row],[Do - V3]],Tabel1[[#This Row],[Do - V4]]),"")</f>
        <v>2.9583333333333335</v>
      </c>
      <c r="FJ350" s="14">
        <v>3</v>
      </c>
      <c r="FK350" s="14">
        <v>3</v>
      </c>
      <c r="FL350" s="14">
        <v>4</v>
      </c>
      <c r="FM350" s="14">
        <f>IFERROR(AVERAGE(Tabel1[[#This Row],[Do - A1a]:[Do - A1c]]),"")</f>
        <v>3.3333333333333335</v>
      </c>
      <c r="FN350" s="14">
        <v>4</v>
      </c>
      <c r="FO350" s="14">
        <v>4</v>
      </c>
      <c r="FP350" s="14">
        <f>IFERROR(AVERAGE(Tabel1[[#This Row],[Do - A2a]:[Do - A2b]]),"")</f>
        <v>4</v>
      </c>
      <c r="FQ350" s="14">
        <v>3</v>
      </c>
      <c r="FR350" s="14">
        <f>IFERROR(AVERAGE(Tabel1[[#This Row],[Do - A3a]:[Do - A3a]]),"")</f>
        <v>3</v>
      </c>
      <c r="FS350" s="14">
        <v>4</v>
      </c>
      <c r="FT350" s="14">
        <f>IFERROR(AVERAGE(Tabel1[[#This Row],[Do - A1]],Tabel1[[#This Row],[Do - A2]],Tabel1[[#This Row],[Do - A3]],Tabel1[[#This Row],[Do - A4]]),"")</f>
        <v>3.5833333333333335</v>
      </c>
      <c r="FU35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3.2383333333333337</v>
      </c>
      <c r="FV350" s="27" t="s">
        <v>1807</v>
      </c>
      <c r="FW350" t="b">
        <v>1</v>
      </c>
    </row>
    <row r="351" spans="1:179" x14ac:dyDescent="0.3">
      <c r="A351" s="13">
        <v>45480.529456018499</v>
      </c>
      <c r="B351" t="b">
        <v>0</v>
      </c>
      <c r="C351" s="14" t="s">
        <v>1808</v>
      </c>
      <c r="D351" s="14" t="s">
        <v>1809</v>
      </c>
      <c r="E351" s="14" t="s">
        <v>1709</v>
      </c>
      <c r="F351" s="14" t="s">
        <v>184</v>
      </c>
      <c r="G351" s="14" t="s">
        <v>1810</v>
      </c>
      <c r="H351" s="14" t="s">
        <v>222</v>
      </c>
      <c r="I351" s="14" t="s">
        <v>385</v>
      </c>
      <c r="J351" s="14" t="s">
        <v>248</v>
      </c>
      <c r="K351" s="28" t="s">
        <v>201</v>
      </c>
      <c r="L351" s="14" t="s">
        <v>218</v>
      </c>
      <c r="M351" s="14" t="s">
        <v>188</v>
      </c>
      <c r="N351" s="14" t="s">
        <v>316</v>
      </c>
      <c r="O351" s="14" t="s">
        <v>256</v>
      </c>
      <c r="P351" s="24" t="s">
        <v>255</v>
      </c>
      <c r="Q351" s="17" t="s">
        <v>203</v>
      </c>
      <c r="R351" s="25" t="s">
        <v>201</v>
      </c>
      <c r="S351" s="25" t="s">
        <v>235</v>
      </c>
      <c r="T351" s="14" t="s">
        <v>284</v>
      </c>
      <c r="U351" s="14" t="s">
        <v>237</v>
      </c>
      <c r="V351" s="14" t="s">
        <v>484</v>
      </c>
      <c r="W351" s="14" t="s">
        <v>207</v>
      </c>
      <c r="X351" s="14" t="s">
        <v>395</v>
      </c>
      <c r="Y351" s="14">
        <v>2</v>
      </c>
      <c r="Z351" s="14">
        <v>2</v>
      </c>
      <c r="AA351" s="14" t="s">
        <v>189</v>
      </c>
      <c r="AB351" s="15">
        <f>IFERROR(AVERAGE(Tabel1[[#This Row],[Up - R1a]:[Up - R1c]]),"")</f>
        <v>2</v>
      </c>
      <c r="AC351" s="14">
        <v>2</v>
      </c>
      <c r="AD351" s="14">
        <v>4</v>
      </c>
      <c r="AE351" s="14" t="s">
        <v>189</v>
      </c>
      <c r="AF351" s="14" t="s">
        <v>189</v>
      </c>
      <c r="AG351" s="14">
        <f>IFERROR(AVERAGE(Tabel1[[#This Row],[Up - R1]:[Up - R5]]),"")</f>
        <v>2.6666666666666665</v>
      </c>
      <c r="AH351" s="14">
        <v>2</v>
      </c>
      <c r="AI351" s="14">
        <v>2</v>
      </c>
      <c r="AJ351" s="14">
        <v>2</v>
      </c>
      <c r="AK351" s="14">
        <f>IFERROR(AVERAGE(Tabel1[[#This Row],[Up - C1a]:[Up - C1c]]),"")</f>
        <v>2</v>
      </c>
      <c r="AL351" s="14">
        <v>3</v>
      </c>
      <c r="AM351" s="14" t="s">
        <v>189</v>
      </c>
      <c r="AN351" s="14" t="s">
        <v>189</v>
      </c>
      <c r="AO351" s="14">
        <f>IFERROR(AVERAGE(Tabel1[[#This Row],[Up - C1]:[Up - C4]]),"")</f>
        <v>2.5</v>
      </c>
      <c r="AP351" s="14" t="s">
        <v>189</v>
      </c>
      <c r="AQ351" s="14" t="str">
        <f>IFERROR(AVERAGE(Tabel1[[#This Row],[Up - F1a]:[Up - F1a]]),"")</f>
        <v/>
      </c>
      <c r="AR351" s="14">
        <v>2</v>
      </c>
      <c r="AS351" s="14">
        <v>4</v>
      </c>
      <c r="AT351" s="14">
        <f>IFERROR(AVERAGE(Tabel1[[#This Row],[Up - F2a]:[Up - F2b]]),"")</f>
        <v>3</v>
      </c>
      <c r="AU351" s="14">
        <v>4</v>
      </c>
      <c r="AV351" s="14">
        <v>3</v>
      </c>
      <c r="AW351" s="14">
        <f>IFERROR(AVERAGE(Tabel1[[#This Row],[Up - F3a]:[Up - F3b]]),"")</f>
        <v>3.5</v>
      </c>
      <c r="AX351" s="14">
        <v>3</v>
      </c>
      <c r="AY351" s="14">
        <f>IFERROR(AVERAGE(Tabel1[[#This Row],[Up - F1]],Tabel1[[#This Row],[Up - F2]],Tabel1[[#This Row],[Up - F3]],Tabel1[[#This Row],[Up - F4]]),"")</f>
        <v>3.1666666666666665</v>
      </c>
      <c r="AZ351" s="14" t="s">
        <v>189</v>
      </c>
      <c r="BA351" s="14">
        <v>2</v>
      </c>
      <c r="BB351" s="14">
        <f>IFERROR(AVERAGE(Tabel1[[#This Row],[Up - V1a]:[Up - V1b]]),"")</f>
        <v>2</v>
      </c>
      <c r="BC351" s="14">
        <v>4</v>
      </c>
      <c r="BD351" s="14">
        <v>4</v>
      </c>
      <c r="BE351" s="14" t="s">
        <v>189</v>
      </c>
      <c r="BF351" s="14">
        <f>IFERROR(AVERAGE(Tabel1[[#This Row],[Up - V2a]:[Up - V2c]]),"")</f>
        <v>4</v>
      </c>
      <c r="BG351" s="14" t="s">
        <v>189</v>
      </c>
      <c r="BH351" s="14">
        <v>2</v>
      </c>
      <c r="BI351" s="14">
        <f>IFERROR(AVERAGE(Tabel1[[#This Row],[Up - V3a]:[Up - V3b]]),"")</f>
        <v>2</v>
      </c>
      <c r="BJ351" s="14">
        <v>4</v>
      </c>
      <c r="BK351" s="14">
        <f>IFERROR(AVERAGE(Tabel1[[#This Row],[Up - V1]],Tabel1[[#This Row],[Up - V2]],Tabel1[[#This Row],[Up - V3]],Tabel1[[#This Row],[Up - V4]]),"")</f>
        <v>3</v>
      </c>
      <c r="BL351" s="14">
        <v>3</v>
      </c>
      <c r="BM351" s="14">
        <v>3</v>
      </c>
      <c r="BN351" s="14">
        <v>4</v>
      </c>
      <c r="BO351" s="14">
        <v>3</v>
      </c>
      <c r="BP351" s="14">
        <f>IFERROR(AVERAGE(Tabel1[[#This Row],[Up - A1a]:[Up - A1d]]),"")</f>
        <v>3.25</v>
      </c>
      <c r="BQ351" s="14">
        <v>2</v>
      </c>
      <c r="BR351" s="14">
        <v>5</v>
      </c>
      <c r="BS351" s="14">
        <f>IFERROR(AVERAGE(Tabel1[[#This Row],[Up - A2a]:[Up - A2b]]),"")</f>
        <v>3.5</v>
      </c>
      <c r="BT351" s="14">
        <v>3</v>
      </c>
      <c r="BU351" s="14">
        <f>IFERROR(AVERAGE(Tabel1[[#This Row],[Up - A3a]:[Up - A3a]]),"")</f>
        <v>3</v>
      </c>
      <c r="BV351" s="14" t="s">
        <v>189</v>
      </c>
      <c r="BW351" s="14">
        <f>IFERROR(AVERAGE(Tabel1[[#This Row],[Up - A1]],Tabel1[[#This Row],[Up - A2]],Tabel1[[#This Row],[Up - A3]]),"")</f>
        <v>3.25</v>
      </c>
      <c r="BX351" s="14">
        <v>2</v>
      </c>
      <c r="BY351" s="14">
        <v>2</v>
      </c>
      <c r="BZ351" s="14">
        <f>IFERROR(AVERAGE(Tabel1[[#This Row],[In - R1a]:[In - R1b]]),"")</f>
        <v>2</v>
      </c>
      <c r="CA351" s="14">
        <v>4</v>
      </c>
      <c r="CB351" s="14">
        <v>4</v>
      </c>
      <c r="CC351" s="14" t="s">
        <v>189</v>
      </c>
      <c r="CD351" s="14">
        <v>4</v>
      </c>
      <c r="CE351" s="14">
        <f>IFERROR(AVERAGE(Tabel1[[#This Row],[In - R1]:[In - R5]]),"")</f>
        <v>3.5</v>
      </c>
      <c r="CF351" s="14">
        <v>4</v>
      </c>
      <c r="CG351" s="14">
        <v>4</v>
      </c>
      <c r="CH351" s="14">
        <v>4</v>
      </c>
      <c r="CI351" s="14">
        <f>IFERROR(AVERAGE(Tabel1[[#This Row],[In - C1a]:[In - C1c]]),"")</f>
        <v>4</v>
      </c>
      <c r="CJ351" s="14">
        <v>3</v>
      </c>
      <c r="CK351" s="14" t="s">
        <v>189</v>
      </c>
      <c r="CL351" s="14">
        <v>3</v>
      </c>
      <c r="CM351" s="14">
        <f>IFERROR(AVERAGE(Tabel1[[#This Row],[In - C1]:[In - C4]]),"")</f>
        <v>3.3333333333333335</v>
      </c>
      <c r="CN351" s="14" t="s">
        <v>189</v>
      </c>
      <c r="CO351" s="14" t="s">
        <v>189</v>
      </c>
      <c r="CP351" s="14">
        <v>1</v>
      </c>
      <c r="CQ351" s="14">
        <f>IFERROR(AVERAGE(Tabel1[[#This Row],[In - F1a]:[In - F1c]]),"")</f>
        <v>1</v>
      </c>
      <c r="CR351" s="14">
        <v>2</v>
      </c>
      <c r="CS351" s="14">
        <v>2</v>
      </c>
      <c r="CT351" s="14">
        <f>IFERROR(AVERAGE(Tabel1[[#This Row],[In - F2a]:[In - F2b]]),"")</f>
        <v>2</v>
      </c>
      <c r="CU351" s="14" t="s">
        <v>189</v>
      </c>
      <c r="CV351" s="14" t="str">
        <f>IFERROR(AVERAGE(Tabel1[[#This Row],[In - F3a]:[In - F3a]]),"")</f>
        <v/>
      </c>
      <c r="CW351" s="14">
        <v>2</v>
      </c>
      <c r="CX351" s="14">
        <f>IFERROR(AVERAGE(Tabel1[[#This Row],[In - F1]],Tabel1[[#This Row],[In - F2]],Tabel1[[#This Row],[In - F3]],Tabel1[[#This Row],[In - F4]]),"")</f>
        <v>1.6666666666666667</v>
      </c>
      <c r="CY351" s="14">
        <v>3</v>
      </c>
      <c r="CZ351" s="14">
        <v>2</v>
      </c>
      <c r="DA351" s="14">
        <v>1</v>
      </c>
      <c r="DB351" s="14">
        <f>IFERROR(AVERAGE(Tabel1[[#This Row],[In - V1a]:[In - V1c]]),"")</f>
        <v>2</v>
      </c>
      <c r="DC351" s="14">
        <v>2</v>
      </c>
      <c r="DD351" s="14">
        <v>2</v>
      </c>
      <c r="DE351" s="14">
        <v>2</v>
      </c>
      <c r="DF351" s="14">
        <f>IFERROR(AVERAGE(Tabel1[[#This Row],[In - V2a]:[In - V2c]]),"")</f>
        <v>2</v>
      </c>
      <c r="DG351" s="14" t="s">
        <v>189</v>
      </c>
      <c r="DH351" s="14">
        <v>2</v>
      </c>
      <c r="DI351" s="14">
        <f>IFERROR(AVERAGE(Tabel1[[#This Row],[In - V3a]:[In - V3b]]),"")</f>
        <v>2</v>
      </c>
      <c r="DJ351" s="14">
        <v>2</v>
      </c>
      <c r="DK351" s="14">
        <f>IFERROR(AVERAGE(Tabel1[[#This Row],[In - V1]],Tabel1[[#This Row],[In - V2]],Tabel1[[#This Row],[In - V3]],Tabel1[[#This Row],[In - V4]]),"")</f>
        <v>2</v>
      </c>
      <c r="DL351" s="14">
        <v>3</v>
      </c>
      <c r="DM351" s="14" t="s">
        <v>189</v>
      </c>
      <c r="DN351" s="14">
        <f>IFERROR(AVERAGE(Tabel1[[#This Row],[In - A1a]:[In - A1b]]),"")</f>
        <v>3</v>
      </c>
      <c r="DO351" s="14" t="s">
        <v>189</v>
      </c>
      <c r="DP351" s="14">
        <v>3</v>
      </c>
      <c r="DQ351" s="14">
        <f>IFERROR(AVERAGE(Tabel1[[#This Row],[In - A2a]:[In - A2b]]),"")</f>
        <v>3</v>
      </c>
      <c r="DR351" s="14">
        <v>3</v>
      </c>
      <c r="DS351" s="14">
        <v>2</v>
      </c>
      <c r="DT351" s="14">
        <f>IFERROR(AVERAGE(Tabel1[[#This Row],[In - A3a]:[In - A3a]]),"")</f>
        <v>3</v>
      </c>
      <c r="DU351" s="14">
        <v>2</v>
      </c>
      <c r="DV351" s="14">
        <f>IFERROR(AVERAGE(Tabel1[[#This Row],[In - A1]],Tabel1[[#This Row],[In - A2]],Tabel1[[#This Row],[In - A3]],Tabel1[[#This Row],[In - A4]]),"")</f>
        <v>2.75</v>
      </c>
      <c r="DW351" s="14">
        <v>2</v>
      </c>
      <c r="DX351" s="14">
        <v>3</v>
      </c>
      <c r="DY351" s="14">
        <v>2</v>
      </c>
      <c r="DZ351" s="14">
        <f>IFERROR(AVERAGE(Tabel1[[#This Row],[Do - R1a]:[Do - R1c]]),"")</f>
        <v>2.3333333333333335</v>
      </c>
      <c r="EA351" s="14">
        <v>3</v>
      </c>
      <c r="EB351" s="14">
        <v>4</v>
      </c>
      <c r="EC351" s="14" t="s">
        <v>189</v>
      </c>
      <c r="ED351" s="14" t="s">
        <v>189</v>
      </c>
      <c r="EE351" s="14">
        <f>IFERROR(AVERAGE(Tabel1[[#This Row],[Do - R1]:[Do - R5]]),"")</f>
        <v>3.1111111111111112</v>
      </c>
      <c r="EF351" s="14" t="s">
        <v>189</v>
      </c>
      <c r="EG351" s="14">
        <v>3</v>
      </c>
      <c r="EH351" s="14">
        <v>3</v>
      </c>
      <c r="EI351" s="14">
        <f>IFERROR(AVERAGE(Tabel1[[#This Row],[Do - C1a]:[Do - C1c]]),"")</f>
        <v>3</v>
      </c>
      <c r="EJ351" s="14" t="s">
        <v>189</v>
      </c>
      <c r="EK351" s="14" t="s">
        <v>189</v>
      </c>
      <c r="EL351" s="14">
        <v>2</v>
      </c>
      <c r="EM351" s="14">
        <f>IFERROR(AVERAGE(Tabel1[[#This Row],[Do - C1]:[Do - C4]]),"")</f>
        <v>2.5</v>
      </c>
      <c r="EN351" s="14">
        <v>2</v>
      </c>
      <c r="EO351" s="14" t="s">
        <v>189</v>
      </c>
      <c r="EP351" s="14">
        <v>2</v>
      </c>
      <c r="EQ351" s="14">
        <f>IFERROR(AVERAGE(Tabel1[[#This Row],[Do - F1a]:[Do - F1c]]),"")</f>
        <v>2</v>
      </c>
      <c r="ER351" s="14">
        <v>1</v>
      </c>
      <c r="ES351" s="14">
        <f>IFERROR(AVERAGE(Tabel1[[#This Row],[Do - F2a]:[Do - F2a]]),"")</f>
        <v>1</v>
      </c>
      <c r="ET351" s="14">
        <v>5</v>
      </c>
      <c r="EU351" s="14">
        <v>2</v>
      </c>
      <c r="EV351" s="14">
        <f>IFERROR(AVERAGE(Tabel1[[#This Row],[Do - F3a]:[Do - F3b]]),"")</f>
        <v>3.5</v>
      </c>
      <c r="EW351" s="14">
        <v>2</v>
      </c>
      <c r="EX351" s="14">
        <f>IFERROR(AVERAGE(Tabel1[[#This Row],[Do - F1]],Tabel1[[#This Row],[Do - F2]],Tabel1[[#This Row],[Do - F3]],Tabel1[[#This Row],[Do - F4]]),"")</f>
        <v>2.125</v>
      </c>
      <c r="EY351" s="14">
        <v>2</v>
      </c>
      <c r="EZ351" s="14">
        <v>1</v>
      </c>
      <c r="FA351" s="14">
        <v>2</v>
      </c>
      <c r="FB351" s="14">
        <f>IFERROR(AVERAGE(Tabel1[[#This Row],[Do - V1a]:[Do - V1c]]),"")</f>
        <v>1.6666666666666667</v>
      </c>
      <c r="FC351" s="14">
        <v>4</v>
      </c>
      <c r="FD351" s="14">
        <v>3</v>
      </c>
      <c r="FE351" s="14">
        <f>IFERROR(AVERAGE(Tabel1[[#This Row],[Do - V2a]:[Do - V2b]]),"")</f>
        <v>3.5</v>
      </c>
      <c r="FF351" s="14" t="s">
        <v>189</v>
      </c>
      <c r="FG351" s="14" t="str">
        <f>IFERROR(AVERAGE(Tabel1[[#This Row],[Do - V3a]:[Do - V3a]]),"")</f>
        <v/>
      </c>
      <c r="FH351" s="14">
        <v>2</v>
      </c>
      <c r="FI351" s="14">
        <f>IFERROR(AVERAGE(Tabel1[[#This Row],[Do - V1]],Tabel1[[#This Row],[Do - V2]],Tabel1[[#This Row],[Do - V3]],Tabel1[[#This Row],[Do - V4]]),"")</f>
        <v>2.3888888888888888</v>
      </c>
      <c r="FJ351" s="14">
        <v>3</v>
      </c>
      <c r="FK351" s="14">
        <v>2</v>
      </c>
      <c r="FL351" s="14">
        <v>2</v>
      </c>
      <c r="FM351" s="14">
        <f>IFERROR(AVERAGE(Tabel1[[#This Row],[Do - A1a]:[Do - A1c]]),"")</f>
        <v>2.3333333333333335</v>
      </c>
      <c r="FN351" s="14">
        <v>4</v>
      </c>
      <c r="FO351" s="14">
        <v>5</v>
      </c>
      <c r="FP351" s="14">
        <f>IFERROR(AVERAGE(Tabel1[[#This Row],[Do - A2a]:[Do - A2b]]),"")</f>
        <v>4.5</v>
      </c>
      <c r="FQ351" s="14">
        <v>2</v>
      </c>
      <c r="FR351" s="14">
        <f>IFERROR(AVERAGE(Tabel1[[#This Row],[Do - A3a]:[Do - A3a]]),"")</f>
        <v>2</v>
      </c>
      <c r="FS351" s="14" t="s">
        <v>189</v>
      </c>
      <c r="FT351" s="14">
        <f>IFERROR(AVERAGE(Tabel1[[#This Row],[Do - A1]],Tabel1[[#This Row],[Do - A2]],Tabel1[[#This Row],[Do - A3]],Tabel1[[#This Row],[Do - A4]]),"")</f>
        <v>2.9444444444444446</v>
      </c>
      <c r="FU35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2.7268518518518516</v>
      </c>
      <c r="FV351" s="27" t="s">
        <v>1811</v>
      </c>
      <c r="FW351" t="b">
        <v>1</v>
      </c>
    </row>
    <row r="352" spans="1:179" x14ac:dyDescent="0.3">
      <c r="A352" s="13">
        <v>45481.302453703698</v>
      </c>
      <c r="B352" t="b">
        <v>0</v>
      </c>
      <c r="C352" s="14" t="s">
        <v>1812</v>
      </c>
      <c r="D352" s="14" t="s">
        <v>1813</v>
      </c>
      <c r="E352" s="14" t="s">
        <v>639</v>
      </c>
      <c r="F352" s="14" t="s">
        <v>184</v>
      </c>
      <c r="G352" s="14" t="s">
        <v>1814</v>
      </c>
      <c r="H352" s="14" t="s">
        <v>222</v>
      </c>
      <c r="I352" s="14" t="s">
        <v>195</v>
      </c>
      <c r="J352" s="14" t="s">
        <v>261</v>
      </c>
      <c r="K352" s="28" t="s">
        <v>201</v>
      </c>
      <c r="L352" s="14" t="s">
        <v>218</v>
      </c>
      <c r="M352" s="14" t="s">
        <v>233</v>
      </c>
      <c r="N352" s="14" t="s">
        <v>262</v>
      </c>
      <c r="O352" s="14" t="s">
        <v>200</v>
      </c>
      <c r="P352" s="24" t="s">
        <v>255</v>
      </c>
      <c r="Q352" s="17" t="s">
        <v>203</v>
      </c>
      <c r="R352" s="25" t="s">
        <v>201</v>
      </c>
      <c r="S352" s="25" t="s">
        <v>201</v>
      </c>
      <c r="T352" s="14" t="s">
        <v>284</v>
      </c>
      <c r="U352" s="14" t="s">
        <v>285</v>
      </c>
      <c r="V352" s="14" t="s">
        <v>224</v>
      </c>
      <c r="W352" s="14" t="s">
        <v>395</v>
      </c>
      <c r="X352" s="14" t="s">
        <v>207</v>
      </c>
      <c r="Y352" s="14">
        <v>3</v>
      </c>
      <c r="Z352" s="14">
        <v>3</v>
      </c>
      <c r="AA352" s="14" t="s">
        <v>189</v>
      </c>
      <c r="AB352" s="15">
        <f>IFERROR(AVERAGE(Tabel1[[#This Row],[Up - R1a]:[Up - R1c]]),"")</f>
        <v>3</v>
      </c>
      <c r="AC352" s="14" t="s">
        <v>189</v>
      </c>
      <c r="AD352" s="14">
        <v>1</v>
      </c>
      <c r="AE352" s="14">
        <v>1</v>
      </c>
      <c r="AF352" s="14" t="s">
        <v>189</v>
      </c>
      <c r="AG352" s="14">
        <f>IFERROR(AVERAGE(Tabel1[[#This Row],[Up - R1]:[Up - R5]]),"")</f>
        <v>1.6666666666666667</v>
      </c>
      <c r="AH352" s="14">
        <v>4</v>
      </c>
      <c r="AI352" s="14">
        <v>3</v>
      </c>
      <c r="AJ352" s="14">
        <v>2</v>
      </c>
      <c r="AK352" s="14">
        <f>IFERROR(AVERAGE(Tabel1[[#This Row],[Up - C1a]:[Up - C1c]]),"")</f>
        <v>3</v>
      </c>
      <c r="AL352" s="14">
        <v>4</v>
      </c>
      <c r="AM352" s="14">
        <v>1</v>
      </c>
      <c r="AN352" s="14">
        <v>2</v>
      </c>
      <c r="AO352" s="14">
        <f>IFERROR(AVERAGE(Tabel1[[#This Row],[Up - C1]:[Up - C4]]),"")</f>
        <v>2.5</v>
      </c>
      <c r="AP352" s="14">
        <v>1</v>
      </c>
      <c r="AQ352" s="14">
        <f>IFERROR(AVERAGE(Tabel1[[#This Row],[Up - F1a]:[Up - F1a]]),"")</f>
        <v>1</v>
      </c>
      <c r="AR352" s="14">
        <v>2</v>
      </c>
      <c r="AS352" s="14">
        <v>2</v>
      </c>
      <c r="AT352" s="14">
        <f>IFERROR(AVERAGE(Tabel1[[#This Row],[Up - F2a]:[Up - F2b]]),"")</f>
        <v>2</v>
      </c>
      <c r="AU352" s="14">
        <v>3</v>
      </c>
      <c r="AV352" s="14">
        <v>4</v>
      </c>
      <c r="AW352" s="14">
        <f>IFERROR(AVERAGE(Tabel1[[#This Row],[Up - F3a]:[Up - F3b]]),"")</f>
        <v>3.5</v>
      </c>
      <c r="AX352" s="14">
        <v>2</v>
      </c>
      <c r="AY352" s="14">
        <f>IFERROR(AVERAGE(Tabel1[[#This Row],[Up - F1]],Tabel1[[#This Row],[Up - F2]],Tabel1[[#This Row],[Up - F3]],Tabel1[[#This Row],[Up - F4]]),"")</f>
        <v>2.125</v>
      </c>
      <c r="AZ352" s="14">
        <v>3</v>
      </c>
      <c r="BA352" s="14" t="s">
        <v>189</v>
      </c>
      <c r="BB352" s="14">
        <f>IFERROR(AVERAGE(Tabel1[[#This Row],[Up - V1a]:[Up - V1b]]),"")</f>
        <v>3</v>
      </c>
      <c r="BC352" s="14">
        <v>2</v>
      </c>
      <c r="BD352" s="14">
        <v>2</v>
      </c>
      <c r="BE352" s="14">
        <v>2</v>
      </c>
      <c r="BF352" s="14">
        <f>IFERROR(AVERAGE(Tabel1[[#This Row],[Up - V2a]:[Up - V2c]]),"")</f>
        <v>2</v>
      </c>
      <c r="BG352" s="14">
        <v>2</v>
      </c>
      <c r="BH352" s="14">
        <v>1</v>
      </c>
      <c r="BI352" s="14">
        <f>IFERROR(AVERAGE(Tabel1[[#This Row],[Up - V3a]:[Up - V3b]]),"")</f>
        <v>1.5</v>
      </c>
      <c r="BJ352" s="14">
        <v>2</v>
      </c>
      <c r="BK352" s="14">
        <f>IFERROR(AVERAGE(Tabel1[[#This Row],[Up - V1]],Tabel1[[#This Row],[Up - V2]],Tabel1[[#This Row],[Up - V3]],Tabel1[[#This Row],[Up - V4]]),"")</f>
        <v>2.125</v>
      </c>
      <c r="BL352" s="14">
        <v>2</v>
      </c>
      <c r="BM352" s="14">
        <v>2</v>
      </c>
      <c r="BN352" s="14">
        <v>2</v>
      </c>
      <c r="BO352" s="14">
        <v>2</v>
      </c>
      <c r="BP352" s="14">
        <f>IFERROR(AVERAGE(Tabel1[[#This Row],[Up - A1a]:[Up - A1d]]),"")</f>
        <v>2</v>
      </c>
      <c r="BQ352" s="14">
        <v>2</v>
      </c>
      <c r="BR352" s="14">
        <v>3</v>
      </c>
      <c r="BS352" s="14">
        <f>IFERROR(AVERAGE(Tabel1[[#This Row],[Up - A2a]:[Up - A2b]]),"")</f>
        <v>2.5</v>
      </c>
      <c r="BT352" s="14">
        <v>3</v>
      </c>
      <c r="BU352" s="14">
        <f>IFERROR(AVERAGE(Tabel1[[#This Row],[Up - A3a]:[Up - A3a]]),"")</f>
        <v>3</v>
      </c>
      <c r="BV352" s="14">
        <v>2</v>
      </c>
      <c r="BW352" s="14">
        <f>IFERROR(AVERAGE(Tabel1[[#This Row],[Up - A1]],Tabel1[[#This Row],[Up - A2]],Tabel1[[#This Row],[Up - A3]]),"")</f>
        <v>2.5</v>
      </c>
      <c r="BX352" s="14">
        <v>1</v>
      </c>
      <c r="BY352" s="14">
        <v>1</v>
      </c>
      <c r="BZ352" s="14">
        <f>IFERROR(AVERAGE(Tabel1[[#This Row],[In - R1a]:[In - R1b]]),"")</f>
        <v>1</v>
      </c>
      <c r="CA352" s="14">
        <v>1</v>
      </c>
      <c r="CB352" s="14">
        <v>1</v>
      </c>
      <c r="CC352" s="14">
        <v>2</v>
      </c>
      <c r="CD352" s="14">
        <v>2</v>
      </c>
      <c r="CE352" s="14">
        <f>IFERROR(AVERAGE(Tabel1[[#This Row],[In - R1]:[In - R5]]),"")</f>
        <v>1.4</v>
      </c>
      <c r="CF352" s="14">
        <v>3</v>
      </c>
      <c r="CG352" s="14">
        <v>1</v>
      </c>
      <c r="CH352" s="14">
        <v>2</v>
      </c>
      <c r="CI352" s="14">
        <f>IFERROR(AVERAGE(Tabel1[[#This Row],[In - C1a]:[In - C1c]]),"")</f>
        <v>2</v>
      </c>
      <c r="CJ352" s="14">
        <v>3</v>
      </c>
      <c r="CK352" s="14">
        <v>2</v>
      </c>
      <c r="CL352" s="14" t="s">
        <v>189</v>
      </c>
      <c r="CM352" s="14">
        <f>IFERROR(AVERAGE(Tabel1[[#This Row],[In - C1]:[In - C4]]),"")</f>
        <v>2.3333333333333335</v>
      </c>
      <c r="CN352" s="14">
        <v>2</v>
      </c>
      <c r="CO352" s="14">
        <v>3</v>
      </c>
      <c r="CP352" s="14">
        <v>1</v>
      </c>
      <c r="CQ352" s="14">
        <f>IFERROR(AVERAGE(Tabel1[[#This Row],[In - F1a]:[In - F1c]]),"")</f>
        <v>2</v>
      </c>
      <c r="CR352" s="14">
        <v>2</v>
      </c>
      <c r="CS352" s="14">
        <v>2</v>
      </c>
      <c r="CT352" s="14">
        <f>IFERROR(AVERAGE(Tabel1[[#This Row],[In - F2a]:[In - F2b]]),"")</f>
        <v>2</v>
      </c>
      <c r="CU352" s="14">
        <v>1</v>
      </c>
      <c r="CV352" s="14">
        <f>IFERROR(AVERAGE(Tabel1[[#This Row],[In - F3a]:[In - F3a]]),"")</f>
        <v>1</v>
      </c>
      <c r="CW352" s="14">
        <v>4</v>
      </c>
      <c r="CX352" s="14">
        <f>IFERROR(AVERAGE(Tabel1[[#This Row],[In - F1]],Tabel1[[#This Row],[In - F2]],Tabel1[[#This Row],[In - F3]],Tabel1[[#This Row],[In - F4]]),"")</f>
        <v>2.25</v>
      </c>
      <c r="CY352" s="14">
        <v>1</v>
      </c>
      <c r="CZ352" s="14">
        <v>3</v>
      </c>
      <c r="DA352" s="14" t="s">
        <v>189</v>
      </c>
      <c r="DB352" s="14">
        <f>IFERROR(AVERAGE(Tabel1[[#This Row],[In - V1a]:[In - V1c]]),"")</f>
        <v>2</v>
      </c>
      <c r="DC352" s="14">
        <v>2</v>
      </c>
      <c r="DD352" s="14">
        <v>2</v>
      </c>
      <c r="DE352" s="14">
        <v>2</v>
      </c>
      <c r="DF352" s="14">
        <f>IFERROR(AVERAGE(Tabel1[[#This Row],[In - V2a]:[In - V2c]]),"")</f>
        <v>2</v>
      </c>
      <c r="DG352" s="14">
        <v>1</v>
      </c>
      <c r="DH352" s="14">
        <v>4</v>
      </c>
      <c r="DI352" s="14">
        <f>IFERROR(AVERAGE(Tabel1[[#This Row],[In - V3a]:[In - V3b]]),"")</f>
        <v>2.5</v>
      </c>
      <c r="DJ352" s="14">
        <v>2</v>
      </c>
      <c r="DK352" s="14">
        <f>IFERROR(AVERAGE(Tabel1[[#This Row],[In - V1]],Tabel1[[#This Row],[In - V2]],Tabel1[[#This Row],[In - V3]],Tabel1[[#This Row],[In - V4]]),"")</f>
        <v>2.125</v>
      </c>
      <c r="DL352" s="14">
        <v>3</v>
      </c>
      <c r="DM352" s="14">
        <v>2</v>
      </c>
      <c r="DN352" s="14">
        <f>IFERROR(AVERAGE(Tabel1[[#This Row],[In - A1a]:[In - A1b]]),"")</f>
        <v>2.5</v>
      </c>
      <c r="DO352" s="14">
        <v>2</v>
      </c>
      <c r="DP352" s="14">
        <v>3</v>
      </c>
      <c r="DQ352" s="14">
        <f>IFERROR(AVERAGE(Tabel1[[#This Row],[In - A2a]:[In - A2b]]),"")</f>
        <v>2.5</v>
      </c>
      <c r="DR352" s="14">
        <v>4</v>
      </c>
      <c r="DS352" s="14">
        <v>3</v>
      </c>
      <c r="DT352" s="14">
        <f>IFERROR(AVERAGE(Tabel1[[#This Row],[In - A3a]:[In - A3a]]),"")</f>
        <v>4</v>
      </c>
      <c r="DU352" s="14">
        <v>2</v>
      </c>
      <c r="DV352" s="14">
        <f>IFERROR(AVERAGE(Tabel1[[#This Row],[In - A1]],Tabel1[[#This Row],[In - A2]],Tabel1[[#This Row],[In - A3]],Tabel1[[#This Row],[In - A4]]),"")</f>
        <v>2.75</v>
      </c>
      <c r="DW352" s="14">
        <v>2</v>
      </c>
      <c r="DX352" s="14">
        <v>3</v>
      </c>
      <c r="DY352" s="14">
        <v>2</v>
      </c>
      <c r="DZ352" s="14">
        <f>IFERROR(AVERAGE(Tabel1[[#This Row],[Do - R1a]:[Do - R1c]]),"")</f>
        <v>2.3333333333333335</v>
      </c>
      <c r="EA352" s="14">
        <v>1</v>
      </c>
      <c r="EB352" s="14">
        <v>1</v>
      </c>
      <c r="EC352" s="14" t="s">
        <v>189</v>
      </c>
      <c r="ED352" s="14">
        <v>4</v>
      </c>
      <c r="EE352" s="14">
        <f>IFERROR(AVERAGE(Tabel1[[#This Row],[Do - R1]:[Do - R5]]),"")</f>
        <v>2.0833333333333335</v>
      </c>
      <c r="EF352" s="14">
        <v>2</v>
      </c>
      <c r="EG352" s="14">
        <v>2</v>
      </c>
      <c r="EH352" s="14">
        <v>2</v>
      </c>
      <c r="EI352" s="14">
        <f>IFERROR(AVERAGE(Tabel1[[#This Row],[Do - C1a]:[Do - C1c]]),"")</f>
        <v>2</v>
      </c>
      <c r="EJ352" s="14">
        <v>3</v>
      </c>
      <c r="EK352" s="14">
        <v>2</v>
      </c>
      <c r="EL352" s="14" t="s">
        <v>189</v>
      </c>
      <c r="EM352" s="14">
        <f>IFERROR(AVERAGE(Tabel1[[#This Row],[Do - C1]:[Do - C4]]),"")</f>
        <v>2.3333333333333335</v>
      </c>
      <c r="EN352" s="14">
        <v>2</v>
      </c>
      <c r="EO352" s="14">
        <v>2</v>
      </c>
      <c r="EP352" s="14">
        <v>1</v>
      </c>
      <c r="EQ352" s="14">
        <f>IFERROR(AVERAGE(Tabel1[[#This Row],[Do - F1a]:[Do - F1c]]),"")</f>
        <v>1.6666666666666667</v>
      </c>
      <c r="ER352" s="14">
        <v>1</v>
      </c>
      <c r="ES352" s="14">
        <f>IFERROR(AVERAGE(Tabel1[[#This Row],[Do - F2a]:[Do - F2a]]),"")</f>
        <v>1</v>
      </c>
      <c r="ET352" s="14">
        <v>1</v>
      </c>
      <c r="EU352" s="14">
        <v>2</v>
      </c>
      <c r="EV352" s="14">
        <f>IFERROR(AVERAGE(Tabel1[[#This Row],[Do - F3a]:[Do - F3b]]),"")</f>
        <v>1.5</v>
      </c>
      <c r="EW352" s="14">
        <v>3</v>
      </c>
      <c r="EX352" s="14">
        <f>IFERROR(AVERAGE(Tabel1[[#This Row],[Do - F1]],Tabel1[[#This Row],[Do - F2]],Tabel1[[#This Row],[Do - F3]],Tabel1[[#This Row],[Do - F4]]),"")</f>
        <v>1.7916666666666667</v>
      </c>
      <c r="EY352" s="14">
        <v>3</v>
      </c>
      <c r="EZ352" s="14">
        <v>2</v>
      </c>
      <c r="FA352" s="14" t="s">
        <v>189</v>
      </c>
      <c r="FB352" s="14">
        <f>IFERROR(AVERAGE(Tabel1[[#This Row],[Do - V1a]:[Do - V1c]]),"")</f>
        <v>2.5</v>
      </c>
      <c r="FC352" s="14">
        <v>2</v>
      </c>
      <c r="FD352" s="14">
        <v>2</v>
      </c>
      <c r="FE352" s="14">
        <f>IFERROR(AVERAGE(Tabel1[[#This Row],[Do - V2a]:[Do - V2b]]),"")</f>
        <v>2</v>
      </c>
      <c r="FF352" s="14">
        <v>1</v>
      </c>
      <c r="FG352" s="14">
        <f>IFERROR(AVERAGE(Tabel1[[#This Row],[Do - V3a]:[Do - V3a]]),"")</f>
        <v>1</v>
      </c>
      <c r="FH352" s="14">
        <v>2</v>
      </c>
      <c r="FI352" s="14">
        <f>IFERROR(AVERAGE(Tabel1[[#This Row],[Do - V1]],Tabel1[[#This Row],[Do - V2]],Tabel1[[#This Row],[Do - V3]],Tabel1[[#This Row],[Do - V4]]),"")</f>
        <v>1.875</v>
      </c>
      <c r="FJ352" s="14">
        <v>3</v>
      </c>
      <c r="FK352" s="14">
        <v>2</v>
      </c>
      <c r="FL352" s="14">
        <v>2</v>
      </c>
      <c r="FM352" s="14">
        <f>IFERROR(AVERAGE(Tabel1[[#This Row],[Do - A1a]:[Do - A1c]]),"")</f>
        <v>2.3333333333333335</v>
      </c>
      <c r="FN352" s="14">
        <v>2</v>
      </c>
      <c r="FO352" s="14">
        <v>4</v>
      </c>
      <c r="FP352" s="14">
        <f>IFERROR(AVERAGE(Tabel1[[#This Row],[Do - A2a]:[Do - A2b]]),"")</f>
        <v>3</v>
      </c>
      <c r="FQ352" s="14">
        <v>4</v>
      </c>
      <c r="FR352" s="14">
        <f>IFERROR(AVERAGE(Tabel1[[#This Row],[Do - A3a]:[Do - A3a]]),"")</f>
        <v>4</v>
      </c>
      <c r="FS352" s="14">
        <v>2</v>
      </c>
      <c r="FT352" s="14">
        <f>IFERROR(AVERAGE(Tabel1[[#This Row],[Do - A1]],Tabel1[[#This Row],[Do - A2]],Tabel1[[#This Row],[Do - A3]],Tabel1[[#This Row],[Do - A4]]),"")</f>
        <v>2.8333333333333335</v>
      </c>
      <c r="FU35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2.1794444444444445</v>
      </c>
      <c r="FV352" s="27" t="s">
        <v>1815</v>
      </c>
      <c r="FW352" t="b">
        <v>1</v>
      </c>
    </row>
    <row r="353" spans="1:179" x14ac:dyDescent="0.3">
      <c r="A353" s="13">
        <v>45481.578692129602</v>
      </c>
      <c r="B353" t="b">
        <v>0</v>
      </c>
      <c r="C353" s="14" t="s">
        <v>1816</v>
      </c>
      <c r="D353" s="14" t="s">
        <v>1817</v>
      </c>
      <c r="E353" s="14" t="s">
        <v>1818</v>
      </c>
      <c r="F353" s="14" t="s">
        <v>184</v>
      </c>
      <c r="G353" s="14" t="s">
        <v>1819</v>
      </c>
      <c r="H353" s="14" t="s">
        <v>194</v>
      </c>
      <c r="I353" s="14" t="s">
        <v>195</v>
      </c>
      <c r="J353" s="14" t="s">
        <v>533</v>
      </c>
      <c r="K353" s="28" t="s">
        <v>201</v>
      </c>
      <c r="L353" s="14" t="s">
        <v>218</v>
      </c>
      <c r="M353" s="14" t="s">
        <v>233</v>
      </c>
      <c r="N353" s="14" t="s">
        <v>262</v>
      </c>
      <c r="O353" s="14" t="s">
        <v>200</v>
      </c>
      <c r="P353" s="24" t="s">
        <v>255</v>
      </c>
      <c r="Q353" s="17" t="s">
        <v>304</v>
      </c>
      <c r="R353" s="24" t="s">
        <v>255</v>
      </c>
      <c r="S353" s="25" t="s">
        <v>203</v>
      </c>
      <c r="T353" s="14" t="s">
        <v>348</v>
      </c>
      <c r="U353" s="14" t="s">
        <v>237</v>
      </c>
      <c r="V353" s="14" t="s">
        <v>206</v>
      </c>
      <c r="W353" s="14" t="s">
        <v>207</v>
      </c>
      <c r="X353" s="14" t="s">
        <v>207</v>
      </c>
      <c r="Y353" s="14">
        <v>4</v>
      </c>
      <c r="Z353" s="14">
        <v>4</v>
      </c>
      <c r="AA353" s="14" t="s">
        <v>189</v>
      </c>
      <c r="AB353" s="15">
        <f>IFERROR(AVERAGE(Tabel1[[#This Row],[Up - R1a]:[Up - R1c]]),"")</f>
        <v>4</v>
      </c>
      <c r="AC353" s="14">
        <v>3</v>
      </c>
      <c r="AD353" s="14">
        <v>4</v>
      </c>
      <c r="AE353" s="14" t="s">
        <v>189</v>
      </c>
      <c r="AF353" s="14" t="s">
        <v>189</v>
      </c>
      <c r="AG353" s="14">
        <f>IFERROR(AVERAGE(Tabel1[[#This Row],[Up - R1]:[Up - R5]]),"")</f>
        <v>3.6666666666666665</v>
      </c>
      <c r="AH353" s="14" t="s">
        <v>189</v>
      </c>
      <c r="AI353" s="14">
        <v>4</v>
      </c>
      <c r="AJ353" s="14" t="s">
        <v>189</v>
      </c>
      <c r="AK353" s="14">
        <f>IFERROR(AVERAGE(Tabel1[[#This Row],[Up - C1a]:[Up - C1c]]),"")</f>
        <v>4</v>
      </c>
      <c r="AL353" s="14">
        <v>3</v>
      </c>
      <c r="AM353" s="14" t="s">
        <v>189</v>
      </c>
      <c r="AN353" s="14" t="s">
        <v>189</v>
      </c>
      <c r="AO353" s="14">
        <f>IFERROR(AVERAGE(Tabel1[[#This Row],[Up - C1]:[Up - C4]]),"")</f>
        <v>3.5</v>
      </c>
      <c r="AP353" s="14">
        <v>2</v>
      </c>
      <c r="AQ353" s="14">
        <f>IFERROR(AVERAGE(Tabel1[[#This Row],[Up - F1a]:[Up - F1a]]),"")</f>
        <v>2</v>
      </c>
      <c r="AR353" s="14">
        <v>3</v>
      </c>
      <c r="AS353" s="14">
        <v>4</v>
      </c>
      <c r="AT353" s="14">
        <f>IFERROR(AVERAGE(Tabel1[[#This Row],[Up - F2a]:[Up - F2b]]),"")</f>
        <v>3.5</v>
      </c>
      <c r="AU353" s="14">
        <v>4</v>
      </c>
      <c r="AV353" s="14" t="s">
        <v>189</v>
      </c>
      <c r="AW353" s="14">
        <f>IFERROR(AVERAGE(Tabel1[[#This Row],[Up - F3a]:[Up - F3b]]),"")</f>
        <v>4</v>
      </c>
      <c r="AX353" s="14">
        <v>3</v>
      </c>
      <c r="AY353" s="14">
        <f>IFERROR(AVERAGE(Tabel1[[#This Row],[Up - F1]],Tabel1[[#This Row],[Up - F2]],Tabel1[[#This Row],[Up - F3]],Tabel1[[#This Row],[Up - F4]]),"")</f>
        <v>3.125</v>
      </c>
      <c r="AZ353" s="14" t="s">
        <v>189</v>
      </c>
      <c r="BA353" s="14">
        <v>3</v>
      </c>
      <c r="BB353" s="14">
        <f>IFERROR(AVERAGE(Tabel1[[#This Row],[Up - V1a]:[Up - V1b]]),"")</f>
        <v>3</v>
      </c>
      <c r="BC353" s="14" t="s">
        <v>189</v>
      </c>
      <c r="BD353" s="14">
        <v>3</v>
      </c>
      <c r="BE353" s="14" t="s">
        <v>189</v>
      </c>
      <c r="BF353" s="14">
        <f>IFERROR(AVERAGE(Tabel1[[#This Row],[Up - V2a]:[Up - V2c]]),"")</f>
        <v>3</v>
      </c>
      <c r="BG353" s="14">
        <v>4</v>
      </c>
      <c r="BH353" s="14">
        <v>4</v>
      </c>
      <c r="BI353" s="14">
        <f>IFERROR(AVERAGE(Tabel1[[#This Row],[Up - V3a]:[Up - V3b]]),"")</f>
        <v>4</v>
      </c>
      <c r="BJ353" s="14" t="s">
        <v>189</v>
      </c>
      <c r="BK353" s="14">
        <f>IFERROR(AVERAGE(Tabel1[[#This Row],[Up - V1]],Tabel1[[#This Row],[Up - V2]],Tabel1[[#This Row],[Up - V3]],Tabel1[[#This Row],[Up - V4]]),"")</f>
        <v>3.3333333333333335</v>
      </c>
      <c r="BL353" s="14">
        <v>4</v>
      </c>
      <c r="BM353" s="14">
        <v>3</v>
      </c>
      <c r="BN353" s="14">
        <v>2</v>
      </c>
      <c r="BO353" s="14">
        <v>2</v>
      </c>
      <c r="BP353" s="14">
        <f>IFERROR(AVERAGE(Tabel1[[#This Row],[Up - A1a]:[Up - A1d]]),"")</f>
        <v>2.75</v>
      </c>
      <c r="BQ353" s="14">
        <v>2</v>
      </c>
      <c r="BR353" s="14">
        <v>4</v>
      </c>
      <c r="BS353" s="14">
        <f>IFERROR(AVERAGE(Tabel1[[#This Row],[Up - A2a]:[Up - A2b]]),"")</f>
        <v>3</v>
      </c>
      <c r="BT353" s="14">
        <v>4</v>
      </c>
      <c r="BU353" s="14">
        <f>IFERROR(AVERAGE(Tabel1[[#This Row],[Up - A3a]:[Up - A3a]]),"")</f>
        <v>4</v>
      </c>
      <c r="BV353" s="14">
        <v>2</v>
      </c>
      <c r="BW353" s="14">
        <f>IFERROR(AVERAGE(Tabel1[[#This Row],[Up - A1]],Tabel1[[#This Row],[Up - A2]],Tabel1[[#This Row],[Up - A3]]),"")</f>
        <v>3.25</v>
      </c>
      <c r="BX353" s="14">
        <v>4</v>
      </c>
      <c r="BY353" s="14" t="s">
        <v>189</v>
      </c>
      <c r="BZ353" s="14">
        <f>IFERROR(AVERAGE(Tabel1[[#This Row],[In - R1a]:[In - R1b]]),"")</f>
        <v>4</v>
      </c>
      <c r="CA353" s="14">
        <v>3</v>
      </c>
      <c r="CB353" s="14" t="s">
        <v>189</v>
      </c>
      <c r="CC353" s="14">
        <v>4</v>
      </c>
      <c r="CD353" s="14">
        <v>4</v>
      </c>
      <c r="CE353" s="14">
        <f>IFERROR(AVERAGE(Tabel1[[#This Row],[In - R1]:[In - R5]]),"")</f>
        <v>3.75</v>
      </c>
      <c r="CF353" s="14">
        <v>4</v>
      </c>
      <c r="CG353" s="14">
        <v>3</v>
      </c>
      <c r="CH353" s="14">
        <v>3</v>
      </c>
      <c r="CI353" s="14">
        <f>IFERROR(AVERAGE(Tabel1[[#This Row],[In - C1a]:[In - C1c]]),"")</f>
        <v>3.3333333333333335</v>
      </c>
      <c r="CJ353" s="14">
        <v>3</v>
      </c>
      <c r="CK353" s="14" t="s">
        <v>189</v>
      </c>
      <c r="CL353" s="14">
        <v>3</v>
      </c>
      <c r="CM353" s="14">
        <f>IFERROR(AVERAGE(Tabel1[[#This Row],[In - C1]:[In - C4]]),"")</f>
        <v>3.1111111111111112</v>
      </c>
      <c r="CN353" s="14">
        <v>4</v>
      </c>
      <c r="CO353" s="14">
        <v>4</v>
      </c>
      <c r="CP353" s="14">
        <v>2</v>
      </c>
      <c r="CQ353" s="14">
        <f>IFERROR(AVERAGE(Tabel1[[#This Row],[In - F1a]:[In - F1c]]),"")</f>
        <v>3.3333333333333335</v>
      </c>
      <c r="CR353" s="14">
        <v>5</v>
      </c>
      <c r="CS353" s="14">
        <v>4</v>
      </c>
      <c r="CT353" s="14">
        <f>IFERROR(AVERAGE(Tabel1[[#This Row],[In - F2a]:[In - F2b]]),"")</f>
        <v>4.5</v>
      </c>
      <c r="CU353" s="14">
        <v>4</v>
      </c>
      <c r="CV353" s="14">
        <f>IFERROR(AVERAGE(Tabel1[[#This Row],[In - F3a]:[In - F3a]]),"")</f>
        <v>4</v>
      </c>
      <c r="CW353" s="14" t="s">
        <v>189</v>
      </c>
      <c r="CX353" s="14">
        <f>IFERROR(AVERAGE(Tabel1[[#This Row],[In - F1]],Tabel1[[#This Row],[In - F2]],Tabel1[[#This Row],[In - F3]],Tabel1[[#This Row],[In - F4]]),"")</f>
        <v>3.9444444444444446</v>
      </c>
      <c r="CY353" s="14">
        <v>2</v>
      </c>
      <c r="CZ353" s="14">
        <v>3</v>
      </c>
      <c r="DA353" s="14">
        <v>3</v>
      </c>
      <c r="DB353" s="14">
        <f>IFERROR(AVERAGE(Tabel1[[#This Row],[In - V1a]:[In - V1c]]),"")</f>
        <v>2.6666666666666665</v>
      </c>
      <c r="DC353" s="14">
        <v>3</v>
      </c>
      <c r="DD353" s="14">
        <v>3</v>
      </c>
      <c r="DE353" s="14">
        <v>2</v>
      </c>
      <c r="DF353" s="14">
        <f>IFERROR(AVERAGE(Tabel1[[#This Row],[In - V2a]:[In - V2c]]),"")</f>
        <v>2.6666666666666665</v>
      </c>
      <c r="DG353" s="14" t="s">
        <v>189</v>
      </c>
      <c r="DH353" s="14" t="s">
        <v>189</v>
      </c>
      <c r="DI353" s="14" t="str">
        <f>IFERROR(AVERAGE(Tabel1[[#This Row],[In - V3a]:[In - V3b]]),"")</f>
        <v/>
      </c>
      <c r="DJ353" s="14" t="s">
        <v>189</v>
      </c>
      <c r="DK353" s="14">
        <f>IFERROR(AVERAGE(Tabel1[[#This Row],[In - V1]],Tabel1[[#This Row],[In - V2]],Tabel1[[#This Row],[In - V3]],Tabel1[[#This Row],[In - V4]]),"")</f>
        <v>2.6666666666666665</v>
      </c>
      <c r="DL353" s="14">
        <v>2</v>
      </c>
      <c r="DM353" s="14">
        <v>3</v>
      </c>
      <c r="DN353" s="14">
        <f>IFERROR(AVERAGE(Tabel1[[#This Row],[In - A1a]:[In - A1b]]),"")</f>
        <v>2.5</v>
      </c>
      <c r="DO353" s="14" t="s">
        <v>189</v>
      </c>
      <c r="DP353" s="14">
        <v>3</v>
      </c>
      <c r="DQ353" s="14">
        <f>IFERROR(AVERAGE(Tabel1[[#This Row],[In - A2a]:[In - A2b]]),"")</f>
        <v>3</v>
      </c>
      <c r="DR353" s="14">
        <v>3</v>
      </c>
      <c r="DS353" s="14">
        <v>2</v>
      </c>
      <c r="DT353" s="14">
        <f>IFERROR(AVERAGE(Tabel1[[#This Row],[In - A3a]:[In - A3a]]),"")</f>
        <v>3</v>
      </c>
      <c r="DU353" s="14">
        <v>2</v>
      </c>
      <c r="DV353" s="14">
        <f>IFERROR(AVERAGE(Tabel1[[#This Row],[In - A1]],Tabel1[[#This Row],[In - A2]],Tabel1[[#This Row],[In - A3]],Tabel1[[#This Row],[In - A4]]),"")</f>
        <v>2.625</v>
      </c>
      <c r="DW353" s="14">
        <v>1</v>
      </c>
      <c r="DX353" s="14">
        <v>4</v>
      </c>
      <c r="DY353" s="14">
        <v>2</v>
      </c>
      <c r="DZ353" s="14">
        <f>IFERROR(AVERAGE(Tabel1[[#This Row],[Do - R1a]:[Do - R1c]]),"")</f>
        <v>2.3333333333333335</v>
      </c>
      <c r="EA353" s="14">
        <v>4</v>
      </c>
      <c r="EB353" s="14">
        <v>4</v>
      </c>
      <c r="EC353" s="14" t="s">
        <v>189</v>
      </c>
      <c r="ED353" s="14" t="s">
        <v>189</v>
      </c>
      <c r="EE353" s="14">
        <f>IFERROR(AVERAGE(Tabel1[[#This Row],[Do - R1]:[Do - R5]]),"")</f>
        <v>3.4444444444444446</v>
      </c>
      <c r="EF353" s="14">
        <v>4</v>
      </c>
      <c r="EG353" s="14">
        <v>3</v>
      </c>
      <c r="EH353" s="14" t="s">
        <v>189</v>
      </c>
      <c r="EI353" s="14">
        <f>IFERROR(AVERAGE(Tabel1[[#This Row],[Do - C1a]:[Do - C1c]]),"")</f>
        <v>3.5</v>
      </c>
      <c r="EJ353" s="14">
        <v>3</v>
      </c>
      <c r="EK353" s="14" t="s">
        <v>189</v>
      </c>
      <c r="EL353" s="14" t="s">
        <v>189</v>
      </c>
      <c r="EM353" s="14">
        <f>IFERROR(AVERAGE(Tabel1[[#This Row],[Do - C1]:[Do - C4]]),"")</f>
        <v>3.25</v>
      </c>
      <c r="EN353" s="14">
        <v>3</v>
      </c>
      <c r="EO353" s="14">
        <v>3</v>
      </c>
      <c r="EP353" s="14">
        <v>3</v>
      </c>
      <c r="EQ353" s="14">
        <f>IFERROR(AVERAGE(Tabel1[[#This Row],[Do - F1a]:[Do - F1c]]),"")</f>
        <v>3</v>
      </c>
      <c r="ER353" s="14">
        <v>2</v>
      </c>
      <c r="ES353" s="14">
        <f>IFERROR(AVERAGE(Tabel1[[#This Row],[Do - F2a]:[Do - F2a]]),"")</f>
        <v>2</v>
      </c>
      <c r="ET353" s="14">
        <v>4</v>
      </c>
      <c r="EU353" s="14" t="s">
        <v>189</v>
      </c>
      <c r="EV353" s="14">
        <f>IFERROR(AVERAGE(Tabel1[[#This Row],[Do - F3a]:[Do - F3b]]),"")</f>
        <v>4</v>
      </c>
      <c r="EW353" s="14" t="s">
        <v>189</v>
      </c>
      <c r="EX353" s="14">
        <f>IFERROR(AVERAGE(Tabel1[[#This Row],[Do - F1]],Tabel1[[#This Row],[Do - F2]],Tabel1[[#This Row],[Do - F3]],Tabel1[[#This Row],[Do - F4]]),"")</f>
        <v>3</v>
      </c>
      <c r="EY353" s="14">
        <v>4</v>
      </c>
      <c r="EZ353" s="14" t="s">
        <v>189</v>
      </c>
      <c r="FA353" s="14">
        <v>2</v>
      </c>
      <c r="FB353" s="14">
        <f>IFERROR(AVERAGE(Tabel1[[#This Row],[Do - V1a]:[Do - V1c]]),"")</f>
        <v>3</v>
      </c>
      <c r="FC353" s="14">
        <v>3</v>
      </c>
      <c r="FD353" s="14">
        <v>4</v>
      </c>
      <c r="FE353" s="14">
        <f>IFERROR(AVERAGE(Tabel1[[#This Row],[Do - V2a]:[Do - V2b]]),"")</f>
        <v>3.5</v>
      </c>
      <c r="FF353" s="14" t="s">
        <v>189</v>
      </c>
      <c r="FG353" s="14" t="str">
        <f>IFERROR(AVERAGE(Tabel1[[#This Row],[Do - V3a]:[Do - V3a]]),"")</f>
        <v/>
      </c>
      <c r="FH353" s="14" t="s">
        <v>189</v>
      </c>
      <c r="FI353" s="14">
        <f>IFERROR(AVERAGE(Tabel1[[#This Row],[Do - V1]],Tabel1[[#This Row],[Do - V2]],Tabel1[[#This Row],[Do - V3]],Tabel1[[#This Row],[Do - V4]]),"")</f>
        <v>3.25</v>
      </c>
      <c r="FJ353" s="14">
        <v>3</v>
      </c>
      <c r="FK353" s="14">
        <v>1</v>
      </c>
      <c r="FL353" s="14" t="s">
        <v>189</v>
      </c>
      <c r="FM353" s="14">
        <f>IFERROR(AVERAGE(Tabel1[[#This Row],[Do - A1a]:[Do - A1c]]),"")</f>
        <v>2</v>
      </c>
      <c r="FN353" s="14" t="s">
        <v>189</v>
      </c>
      <c r="FO353" s="14">
        <v>4</v>
      </c>
      <c r="FP353" s="14">
        <f>IFERROR(AVERAGE(Tabel1[[#This Row],[Do - A2a]:[Do - A2b]]),"")</f>
        <v>4</v>
      </c>
      <c r="FQ353" s="14">
        <v>3</v>
      </c>
      <c r="FR353" s="14">
        <f>IFERROR(AVERAGE(Tabel1[[#This Row],[Do - A3a]:[Do - A3a]]),"")</f>
        <v>3</v>
      </c>
      <c r="FS353" s="14" t="s">
        <v>189</v>
      </c>
      <c r="FT353" s="14">
        <f>IFERROR(AVERAGE(Tabel1[[#This Row],[Do - A1]],Tabel1[[#This Row],[Do - A2]],Tabel1[[#This Row],[Do - A3]],Tabel1[[#This Row],[Do - A4]]),"")</f>
        <v>3</v>
      </c>
      <c r="FU35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3.2611111111111115</v>
      </c>
      <c r="FV353" s="27" t="s">
        <v>1820</v>
      </c>
      <c r="FW353" t="b">
        <v>1</v>
      </c>
    </row>
    <row r="354" spans="1:179" x14ac:dyDescent="0.3">
      <c r="A354" s="13">
        <v>45496.437118055597</v>
      </c>
      <c r="B354" t="b">
        <v>0</v>
      </c>
      <c r="C354" s="14" t="s">
        <v>1821</v>
      </c>
      <c r="D354" s="14" t="s">
        <v>1822</v>
      </c>
      <c r="E354" s="14" t="s">
        <v>1823</v>
      </c>
      <c r="F354" s="14" t="s">
        <v>189</v>
      </c>
      <c r="G354" s="14" t="s">
        <v>1824</v>
      </c>
      <c r="H354" s="14" t="s">
        <v>194</v>
      </c>
      <c r="I354" s="14" t="s">
        <v>195</v>
      </c>
      <c r="J354" s="14" t="s">
        <v>1305</v>
      </c>
      <c r="K354" s="28" t="s">
        <v>235</v>
      </c>
      <c r="L354" s="14" t="s">
        <v>218</v>
      </c>
      <c r="M354" s="14" t="s">
        <v>198</v>
      </c>
      <c r="N354" s="14" t="s">
        <v>262</v>
      </c>
      <c r="O354" s="14" t="s">
        <v>200</v>
      </c>
      <c r="P354" s="24" t="s">
        <v>304</v>
      </c>
      <c r="Q354" s="17" t="s">
        <v>304</v>
      </c>
      <c r="R354" s="25" t="s">
        <v>203</v>
      </c>
      <c r="S354" s="24" t="s">
        <v>304</v>
      </c>
      <c r="T354" s="14" t="s">
        <v>204</v>
      </c>
      <c r="U354" s="14" t="s">
        <v>285</v>
      </c>
      <c r="V354" s="14" t="s">
        <v>359</v>
      </c>
      <c r="W354" s="14" t="s">
        <v>395</v>
      </c>
      <c r="X354" s="14" t="s">
        <v>395</v>
      </c>
      <c r="Y354" s="14">
        <v>3</v>
      </c>
      <c r="Z354" s="14">
        <v>2</v>
      </c>
      <c r="AA354" s="14">
        <v>4</v>
      </c>
      <c r="AB354" s="15">
        <f>IFERROR(AVERAGE(Tabel1[[#This Row],[Up - R1a]:[Up - R1c]]),"")</f>
        <v>3</v>
      </c>
      <c r="AC354" s="14">
        <v>2</v>
      </c>
      <c r="AD354" s="14">
        <v>3</v>
      </c>
      <c r="AE354" s="14">
        <v>3</v>
      </c>
      <c r="AF354" s="14">
        <v>3</v>
      </c>
      <c r="AG354" s="14">
        <f>IFERROR(AVERAGE(Tabel1[[#This Row],[Up - R1]:[Up - R5]]),"")</f>
        <v>2.8</v>
      </c>
      <c r="AH354" s="14">
        <v>4</v>
      </c>
      <c r="AI354" s="14">
        <v>3</v>
      </c>
      <c r="AJ354" s="14">
        <v>3</v>
      </c>
      <c r="AK354" s="14">
        <f>IFERROR(AVERAGE(Tabel1[[#This Row],[Up - C1a]:[Up - C1c]]),"")</f>
        <v>3.3333333333333335</v>
      </c>
      <c r="AL354" s="14">
        <v>2</v>
      </c>
      <c r="AM354" s="14">
        <v>4</v>
      </c>
      <c r="AN354" s="14">
        <v>3</v>
      </c>
      <c r="AO354" s="14">
        <f>IFERROR(AVERAGE(Tabel1[[#This Row],[Up - C1]:[Up - C4]]),"")</f>
        <v>3.0833333333333335</v>
      </c>
      <c r="AP354" s="14">
        <v>3</v>
      </c>
      <c r="AQ354" s="14">
        <f>IFERROR(AVERAGE(Tabel1[[#This Row],[Up - F1a]:[Up - F1a]]),"")</f>
        <v>3</v>
      </c>
      <c r="AR354" s="14">
        <v>3</v>
      </c>
      <c r="AS354" s="14">
        <v>4</v>
      </c>
      <c r="AT354" s="14">
        <f>IFERROR(AVERAGE(Tabel1[[#This Row],[Up - F2a]:[Up - F2b]]),"")</f>
        <v>3.5</v>
      </c>
      <c r="AU354" s="14">
        <v>3</v>
      </c>
      <c r="AV354" s="14">
        <v>3</v>
      </c>
      <c r="AW354" s="14">
        <f>IFERROR(AVERAGE(Tabel1[[#This Row],[Up - F3a]:[Up - F3b]]),"")</f>
        <v>3</v>
      </c>
      <c r="AX354" s="14">
        <v>4</v>
      </c>
      <c r="AY354" s="14">
        <f>IFERROR(AVERAGE(Tabel1[[#This Row],[Up - F1]],Tabel1[[#This Row],[Up - F2]],Tabel1[[#This Row],[Up - F3]],Tabel1[[#This Row],[Up - F4]]),"")</f>
        <v>3.375</v>
      </c>
      <c r="AZ354" s="14">
        <v>3</v>
      </c>
      <c r="BA354" s="14">
        <v>1</v>
      </c>
      <c r="BB354" s="14">
        <f>IFERROR(AVERAGE(Tabel1[[#This Row],[Up - V1a]:[Up - V1b]]),"")</f>
        <v>2</v>
      </c>
      <c r="BC354" s="14">
        <v>2</v>
      </c>
      <c r="BD354" s="14">
        <v>3</v>
      </c>
      <c r="BE354" s="14">
        <v>3</v>
      </c>
      <c r="BF354" s="14">
        <f>IFERROR(AVERAGE(Tabel1[[#This Row],[Up - V2a]:[Up - V2c]]),"")</f>
        <v>2.6666666666666665</v>
      </c>
      <c r="BG354" s="14">
        <v>3</v>
      </c>
      <c r="BH354" s="14">
        <v>3</v>
      </c>
      <c r="BI354" s="14">
        <f>IFERROR(AVERAGE(Tabel1[[#This Row],[Up - V3a]:[Up - V3b]]),"")</f>
        <v>3</v>
      </c>
      <c r="BJ354" s="14">
        <v>3</v>
      </c>
      <c r="BK354" s="14">
        <f>IFERROR(AVERAGE(Tabel1[[#This Row],[Up - V1]],Tabel1[[#This Row],[Up - V2]],Tabel1[[#This Row],[Up - V3]],Tabel1[[#This Row],[Up - V4]]),"")</f>
        <v>2.6666666666666665</v>
      </c>
      <c r="BL354" s="14">
        <v>4</v>
      </c>
      <c r="BM354" s="14">
        <v>3</v>
      </c>
      <c r="BN354" s="14">
        <v>2</v>
      </c>
      <c r="BO354" s="14">
        <v>3</v>
      </c>
      <c r="BP354" s="14">
        <f>IFERROR(AVERAGE(Tabel1[[#This Row],[Up - A1a]:[Up - A1d]]),"")</f>
        <v>3</v>
      </c>
      <c r="BQ354" s="14">
        <v>2</v>
      </c>
      <c r="BR354" s="14">
        <v>3</v>
      </c>
      <c r="BS354" s="14">
        <f>IFERROR(AVERAGE(Tabel1[[#This Row],[Up - A2a]:[Up - A2b]]),"")</f>
        <v>2.5</v>
      </c>
      <c r="BT354" s="14">
        <v>3</v>
      </c>
      <c r="BU354" s="14">
        <f>IFERROR(AVERAGE(Tabel1[[#This Row],[Up - A3a]:[Up - A3a]]),"")</f>
        <v>3</v>
      </c>
      <c r="BV354" s="14">
        <v>3</v>
      </c>
      <c r="BW354" s="14">
        <f>IFERROR(AVERAGE(Tabel1[[#This Row],[Up - A1]],Tabel1[[#This Row],[Up - A2]],Tabel1[[#This Row],[Up - A3]]),"")</f>
        <v>2.8333333333333335</v>
      </c>
      <c r="BX354" s="14" t="s">
        <v>189</v>
      </c>
      <c r="BY354" s="14" t="s">
        <v>189</v>
      </c>
      <c r="BZ354" s="14" t="str">
        <f>IFERROR(AVERAGE(Tabel1[[#This Row],[In - R1a]:[In - R1b]]),"")</f>
        <v/>
      </c>
      <c r="CA354" s="14">
        <v>4</v>
      </c>
      <c r="CB354" s="14">
        <v>3</v>
      </c>
      <c r="CC354" s="14">
        <v>2</v>
      </c>
      <c r="CD354" s="14">
        <v>3</v>
      </c>
      <c r="CE354" s="14">
        <f>IFERROR(AVERAGE(Tabel1[[#This Row],[In - R1]:[In - R5]]),"")</f>
        <v>3</v>
      </c>
      <c r="CF354" s="14">
        <v>3</v>
      </c>
      <c r="CG354" s="14">
        <v>3</v>
      </c>
      <c r="CH354" s="14">
        <v>4</v>
      </c>
      <c r="CI354" s="14">
        <f>IFERROR(AVERAGE(Tabel1[[#This Row],[In - C1a]:[In - C1c]]),"")</f>
        <v>3.3333333333333335</v>
      </c>
      <c r="CJ354" s="14">
        <v>3</v>
      </c>
      <c r="CK354" s="14">
        <v>4</v>
      </c>
      <c r="CL354" s="14">
        <v>4</v>
      </c>
      <c r="CM354" s="14">
        <f>IFERROR(AVERAGE(Tabel1[[#This Row],[In - C1]:[In - C4]]),"")</f>
        <v>3.5833333333333335</v>
      </c>
      <c r="CN354" s="14">
        <v>4</v>
      </c>
      <c r="CO354" s="14">
        <v>4</v>
      </c>
      <c r="CP354" s="14">
        <v>1</v>
      </c>
      <c r="CQ354" s="14">
        <f>IFERROR(AVERAGE(Tabel1[[#This Row],[In - F1a]:[In - F1c]]),"")</f>
        <v>3</v>
      </c>
      <c r="CR354" s="14">
        <v>5</v>
      </c>
      <c r="CS354" s="14">
        <v>1</v>
      </c>
      <c r="CT354" s="14">
        <f>IFERROR(AVERAGE(Tabel1[[#This Row],[In - F2a]:[In - F2b]]),"")</f>
        <v>3</v>
      </c>
      <c r="CU354" s="14">
        <v>1</v>
      </c>
      <c r="CV354" s="14">
        <f>IFERROR(AVERAGE(Tabel1[[#This Row],[In - F3a]:[In - F3a]]),"")</f>
        <v>1</v>
      </c>
      <c r="CW354" s="14">
        <v>3</v>
      </c>
      <c r="CX354" s="14">
        <f>IFERROR(AVERAGE(Tabel1[[#This Row],[In - F1]],Tabel1[[#This Row],[In - F2]],Tabel1[[#This Row],[In - F3]],Tabel1[[#This Row],[In - F4]]),"")</f>
        <v>2.5</v>
      </c>
      <c r="CY354" s="14">
        <v>4</v>
      </c>
      <c r="CZ354" s="14">
        <v>3</v>
      </c>
      <c r="DA354" s="14">
        <v>4</v>
      </c>
      <c r="DB354" s="14">
        <f>IFERROR(AVERAGE(Tabel1[[#This Row],[In - V1a]:[In - V1c]]),"")</f>
        <v>3.6666666666666665</v>
      </c>
      <c r="DC354" s="14">
        <v>3</v>
      </c>
      <c r="DD354" s="14">
        <v>3</v>
      </c>
      <c r="DE354" s="14">
        <v>3</v>
      </c>
      <c r="DF354" s="14">
        <f>IFERROR(AVERAGE(Tabel1[[#This Row],[In - V2a]:[In - V2c]]),"")</f>
        <v>3</v>
      </c>
      <c r="DG354" s="14">
        <v>3</v>
      </c>
      <c r="DH354" s="14">
        <v>4</v>
      </c>
      <c r="DI354" s="14">
        <f>IFERROR(AVERAGE(Tabel1[[#This Row],[In - V3a]:[In - V3b]]),"")</f>
        <v>3.5</v>
      </c>
      <c r="DJ354" s="14">
        <v>3</v>
      </c>
      <c r="DK354" s="14">
        <f>IFERROR(AVERAGE(Tabel1[[#This Row],[In - V1]],Tabel1[[#This Row],[In - V2]],Tabel1[[#This Row],[In - V3]],Tabel1[[#This Row],[In - V4]]),"")</f>
        <v>3.2916666666666665</v>
      </c>
      <c r="DL354" s="14">
        <v>3</v>
      </c>
      <c r="DM354" s="14">
        <v>3</v>
      </c>
      <c r="DN354" s="14">
        <f>IFERROR(AVERAGE(Tabel1[[#This Row],[In - A1a]:[In - A1b]]),"")</f>
        <v>3</v>
      </c>
      <c r="DO354" s="14">
        <v>4</v>
      </c>
      <c r="DP354" s="14">
        <v>4</v>
      </c>
      <c r="DQ354" s="14">
        <f>IFERROR(AVERAGE(Tabel1[[#This Row],[In - A2a]:[In - A2b]]),"")</f>
        <v>4</v>
      </c>
      <c r="DR354" s="14">
        <v>4</v>
      </c>
      <c r="DS354" s="14">
        <v>2</v>
      </c>
      <c r="DT354" s="14">
        <f>IFERROR(AVERAGE(Tabel1[[#This Row],[In - A3a]:[In - A3a]]),"")</f>
        <v>4</v>
      </c>
      <c r="DU354" s="14">
        <v>3</v>
      </c>
      <c r="DV354" s="14">
        <f>IFERROR(AVERAGE(Tabel1[[#This Row],[In - A1]],Tabel1[[#This Row],[In - A2]],Tabel1[[#This Row],[In - A3]],Tabel1[[#This Row],[In - A4]]),"")</f>
        <v>3.5</v>
      </c>
      <c r="DW354" s="14">
        <v>2</v>
      </c>
      <c r="DX354" s="14">
        <v>3</v>
      </c>
      <c r="DY354" s="14">
        <v>2</v>
      </c>
      <c r="DZ354" s="14">
        <f>IFERROR(AVERAGE(Tabel1[[#This Row],[Do - R1a]:[Do - R1c]]),"")</f>
        <v>2.3333333333333335</v>
      </c>
      <c r="EA354" s="14">
        <v>4</v>
      </c>
      <c r="EB354" s="14">
        <v>3</v>
      </c>
      <c r="EC354" s="14">
        <v>3</v>
      </c>
      <c r="ED354" s="14">
        <v>3</v>
      </c>
      <c r="EE354" s="14">
        <f>IFERROR(AVERAGE(Tabel1[[#This Row],[Do - R1]:[Do - R5]]),"")</f>
        <v>3.0666666666666669</v>
      </c>
      <c r="EF354" s="14">
        <v>3</v>
      </c>
      <c r="EG354" s="14">
        <v>3</v>
      </c>
      <c r="EH354" s="14">
        <v>3</v>
      </c>
      <c r="EI354" s="14">
        <f>IFERROR(AVERAGE(Tabel1[[#This Row],[Do - C1a]:[Do - C1c]]),"")</f>
        <v>3</v>
      </c>
      <c r="EJ354" s="14">
        <v>3</v>
      </c>
      <c r="EK354" s="14">
        <v>4</v>
      </c>
      <c r="EL354" s="14">
        <v>4</v>
      </c>
      <c r="EM354" s="14">
        <f>IFERROR(AVERAGE(Tabel1[[#This Row],[Do - C1]:[Do - C4]]),"")</f>
        <v>3.5</v>
      </c>
      <c r="EN354" s="14">
        <v>3</v>
      </c>
      <c r="EO354" s="14">
        <v>3</v>
      </c>
      <c r="EP354" s="14">
        <v>3</v>
      </c>
      <c r="EQ354" s="14">
        <f>IFERROR(AVERAGE(Tabel1[[#This Row],[Do - F1a]:[Do - F1c]]),"")</f>
        <v>3</v>
      </c>
      <c r="ER354" s="14">
        <v>1</v>
      </c>
      <c r="ES354" s="14">
        <f>IFERROR(AVERAGE(Tabel1[[#This Row],[Do - F2a]:[Do - F2a]]),"")</f>
        <v>1</v>
      </c>
      <c r="ET354" s="14">
        <v>3</v>
      </c>
      <c r="EU354" s="14">
        <v>2</v>
      </c>
      <c r="EV354" s="14">
        <f>IFERROR(AVERAGE(Tabel1[[#This Row],[Do - F3a]:[Do - F3b]]),"")</f>
        <v>2.5</v>
      </c>
      <c r="EW354" s="14">
        <v>2</v>
      </c>
      <c r="EX354" s="14">
        <f>IFERROR(AVERAGE(Tabel1[[#This Row],[Do - F1]],Tabel1[[#This Row],[Do - F2]],Tabel1[[#This Row],[Do - F3]],Tabel1[[#This Row],[Do - F4]]),"")</f>
        <v>2.125</v>
      </c>
      <c r="EY354" s="14">
        <v>3</v>
      </c>
      <c r="EZ354" s="14">
        <v>3</v>
      </c>
      <c r="FA354" s="14">
        <v>4</v>
      </c>
      <c r="FB354" s="14">
        <f>IFERROR(AVERAGE(Tabel1[[#This Row],[Do - V1a]:[Do - V1c]]),"")</f>
        <v>3.3333333333333335</v>
      </c>
      <c r="FC354" s="14">
        <v>3</v>
      </c>
      <c r="FD354" s="14">
        <v>4</v>
      </c>
      <c r="FE354" s="14">
        <f>IFERROR(AVERAGE(Tabel1[[#This Row],[Do - V2a]:[Do - V2b]]),"")</f>
        <v>3.5</v>
      </c>
      <c r="FF354" s="14">
        <v>3</v>
      </c>
      <c r="FG354" s="14">
        <f>IFERROR(AVERAGE(Tabel1[[#This Row],[Do - V3a]:[Do - V3a]]),"")</f>
        <v>3</v>
      </c>
      <c r="FH354" s="14">
        <v>3</v>
      </c>
      <c r="FI354" s="14">
        <f>IFERROR(AVERAGE(Tabel1[[#This Row],[Do - V1]],Tabel1[[#This Row],[Do - V2]],Tabel1[[#This Row],[Do - V3]],Tabel1[[#This Row],[Do - V4]]),"")</f>
        <v>3.2083333333333335</v>
      </c>
      <c r="FJ354" s="14">
        <v>3</v>
      </c>
      <c r="FK354" s="14">
        <v>1</v>
      </c>
      <c r="FL354" s="14">
        <v>2</v>
      </c>
      <c r="FM354" s="14">
        <f>IFERROR(AVERAGE(Tabel1[[#This Row],[Do - A1a]:[Do - A1c]]),"")</f>
        <v>2</v>
      </c>
      <c r="FN354" s="14">
        <v>2</v>
      </c>
      <c r="FO354" s="14">
        <v>4</v>
      </c>
      <c r="FP354" s="14">
        <f>IFERROR(AVERAGE(Tabel1[[#This Row],[Do - A2a]:[Do - A2b]]),"")</f>
        <v>3</v>
      </c>
      <c r="FQ354" s="14">
        <v>3</v>
      </c>
      <c r="FR354" s="14">
        <f>IFERROR(AVERAGE(Tabel1[[#This Row],[Do - A3a]:[Do - A3a]]),"")</f>
        <v>3</v>
      </c>
      <c r="FS354" s="14">
        <v>4</v>
      </c>
      <c r="FT354" s="14">
        <f>IFERROR(AVERAGE(Tabel1[[#This Row],[Do - A1]],Tabel1[[#This Row],[Do - A2]],Tabel1[[#This Row],[Do - A3]],Tabel1[[#This Row],[Do - A4]]),"")</f>
        <v>3</v>
      </c>
      <c r="FU35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3.0355555555555558</v>
      </c>
      <c r="FV354" s="27" t="s">
        <v>1825</v>
      </c>
      <c r="FW354" t="b">
        <v>1</v>
      </c>
    </row>
    <row r="355" spans="1:179" x14ac:dyDescent="0.3">
      <c r="A355" s="13">
        <v>45503.333888888897</v>
      </c>
      <c r="B355" t="b">
        <v>0</v>
      </c>
      <c r="C355" s="14" t="s">
        <v>1826</v>
      </c>
      <c r="D355" s="14" t="s">
        <v>1827</v>
      </c>
      <c r="E355" s="14" t="s">
        <v>1709</v>
      </c>
      <c r="F355" s="14" t="s">
        <v>184</v>
      </c>
      <c r="G355" s="14" t="s">
        <v>1828</v>
      </c>
      <c r="H355" s="14" t="s">
        <v>222</v>
      </c>
      <c r="I355" s="14" t="s">
        <v>195</v>
      </c>
      <c r="J355" s="14" t="s">
        <v>406</v>
      </c>
      <c r="K355" s="28" t="s">
        <v>187</v>
      </c>
      <c r="L355" s="14" t="s">
        <v>197</v>
      </c>
      <c r="M355" s="14" t="s">
        <v>198</v>
      </c>
      <c r="N355" s="14" t="s">
        <v>199</v>
      </c>
      <c r="O355" s="14"/>
      <c r="P355" s="24" t="s">
        <v>304</v>
      </c>
      <c r="Q355" s="17" t="s">
        <v>187</v>
      </c>
      <c r="R355" s="25" t="s">
        <v>187</v>
      </c>
      <c r="S355" s="25" t="s">
        <v>235</v>
      </c>
      <c r="T355" s="14" t="s">
        <v>204</v>
      </c>
      <c r="U355" s="14" t="s">
        <v>285</v>
      </c>
      <c r="V355" s="14" t="s">
        <v>224</v>
      </c>
      <c r="W355" s="14" t="s">
        <v>207</v>
      </c>
      <c r="X355" s="14" t="s">
        <v>207</v>
      </c>
      <c r="Y355" s="14">
        <v>4</v>
      </c>
      <c r="Z355" s="14">
        <v>3</v>
      </c>
      <c r="AA355" s="14">
        <v>2</v>
      </c>
      <c r="AB355" s="15">
        <f>IFERROR(AVERAGE(Tabel1[[#This Row],[Up - R1a]:[Up - R1c]]),"")</f>
        <v>3</v>
      </c>
      <c r="AC355" s="14">
        <v>4</v>
      </c>
      <c r="AD355" s="14">
        <v>1</v>
      </c>
      <c r="AE355" s="14">
        <v>1</v>
      </c>
      <c r="AF355" s="14">
        <v>4</v>
      </c>
      <c r="AG355" s="14">
        <f>IFERROR(AVERAGE(Tabel1[[#This Row],[Up - R1]:[Up - R5]]),"")</f>
        <v>2.6</v>
      </c>
      <c r="AH355" s="14">
        <v>3</v>
      </c>
      <c r="AI355" s="14">
        <v>5</v>
      </c>
      <c r="AJ355" s="14">
        <v>4</v>
      </c>
      <c r="AK355" s="14">
        <f>IFERROR(AVERAGE(Tabel1[[#This Row],[Up - C1a]:[Up - C1c]]),"")</f>
        <v>4</v>
      </c>
      <c r="AL355" s="14">
        <v>3</v>
      </c>
      <c r="AM355" s="14">
        <v>3</v>
      </c>
      <c r="AN355" s="14">
        <v>2</v>
      </c>
      <c r="AO355" s="14">
        <f>IFERROR(AVERAGE(Tabel1[[#This Row],[Up - C1]:[Up - C4]]),"")</f>
        <v>3</v>
      </c>
      <c r="AP355" s="14">
        <v>2</v>
      </c>
      <c r="AQ355" s="14">
        <f>IFERROR(AVERAGE(Tabel1[[#This Row],[Up - F1a]:[Up - F1a]]),"")</f>
        <v>2</v>
      </c>
      <c r="AR355" s="14">
        <v>1</v>
      </c>
      <c r="AS355" s="14">
        <v>2</v>
      </c>
      <c r="AT355" s="14">
        <f>IFERROR(AVERAGE(Tabel1[[#This Row],[Up - F2a]:[Up - F2b]]),"")</f>
        <v>1.5</v>
      </c>
      <c r="AU355" s="14">
        <v>4</v>
      </c>
      <c r="AV355" s="14">
        <v>2</v>
      </c>
      <c r="AW355" s="14">
        <f>IFERROR(AVERAGE(Tabel1[[#This Row],[Up - F3a]:[Up - F3b]]),"")</f>
        <v>3</v>
      </c>
      <c r="AX355" s="14">
        <v>3</v>
      </c>
      <c r="AY355" s="14">
        <f>IFERROR(AVERAGE(Tabel1[[#This Row],[Up - F1]],Tabel1[[#This Row],[Up - F2]],Tabel1[[#This Row],[Up - F3]],Tabel1[[#This Row],[Up - F4]]),"")</f>
        <v>2.375</v>
      </c>
      <c r="AZ355" s="14">
        <v>4</v>
      </c>
      <c r="BA355" s="14">
        <v>3</v>
      </c>
      <c r="BB355" s="14">
        <f>IFERROR(AVERAGE(Tabel1[[#This Row],[Up - V1a]:[Up - V1b]]),"")</f>
        <v>3.5</v>
      </c>
      <c r="BC355" s="14">
        <v>4</v>
      </c>
      <c r="BD355" s="14">
        <v>1</v>
      </c>
      <c r="BE355" s="14">
        <v>4</v>
      </c>
      <c r="BF355" s="14">
        <f>IFERROR(AVERAGE(Tabel1[[#This Row],[Up - V2a]:[Up - V2c]]),"")</f>
        <v>3</v>
      </c>
      <c r="BG355" s="14">
        <v>4</v>
      </c>
      <c r="BH355" s="14">
        <v>3</v>
      </c>
      <c r="BI355" s="14">
        <f>IFERROR(AVERAGE(Tabel1[[#This Row],[Up - V3a]:[Up - V3b]]),"")</f>
        <v>3.5</v>
      </c>
      <c r="BJ355" s="14">
        <v>3</v>
      </c>
      <c r="BK355" s="14">
        <f>IFERROR(AVERAGE(Tabel1[[#This Row],[Up - V1]],Tabel1[[#This Row],[Up - V2]],Tabel1[[#This Row],[Up - V3]],Tabel1[[#This Row],[Up - V4]]),"")</f>
        <v>3.25</v>
      </c>
      <c r="BL355" s="14">
        <v>3</v>
      </c>
      <c r="BM355" s="14">
        <v>4</v>
      </c>
      <c r="BN355" s="14">
        <v>2</v>
      </c>
      <c r="BO355" s="14">
        <v>3</v>
      </c>
      <c r="BP355" s="14">
        <f>IFERROR(AVERAGE(Tabel1[[#This Row],[Up - A1a]:[Up - A1d]]),"")</f>
        <v>3</v>
      </c>
      <c r="BQ355" s="14">
        <v>3</v>
      </c>
      <c r="BR355" s="14">
        <v>3</v>
      </c>
      <c r="BS355" s="14">
        <f>IFERROR(AVERAGE(Tabel1[[#This Row],[Up - A2a]:[Up - A2b]]),"")</f>
        <v>3</v>
      </c>
      <c r="BT355" s="14">
        <v>4</v>
      </c>
      <c r="BU355" s="14">
        <f>IFERROR(AVERAGE(Tabel1[[#This Row],[Up - A3a]:[Up - A3a]]),"")</f>
        <v>4</v>
      </c>
      <c r="BV355" s="14">
        <v>3</v>
      </c>
      <c r="BW355" s="14">
        <f>IFERROR(AVERAGE(Tabel1[[#This Row],[Up - A1]],Tabel1[[#This Row],[Up - A2]],Tabel1[[#This Row],[Up - A3]]),"")</f>
        <v>3.3333333333333335</v>
      </c>
      <c r="BX355" s="14">
        <v>1</v>
      </c>
      <c r="BY355" s="14">
        <v>2</v>
      </c>
      <c r="BZ355" s="14">
        <f>IFERROR(AVERAGE(Tabel1[[#This Row],[In - R1a]:[In - R1b]]),"")</f>
        <v>1.5</v>
      </c>
      <c r="CA355" s="14">
        <v>5</v>
      </c>
      <c r="CB355" s="14">
        <v>1</v>
      </c>
      <c r="CC355" s="14">
        <v>3</v>
      </c>
      <c r="CD355" s="14">
        <v>5</v>
      </c>
      <c r="CE355" s="14">
        <f>IFERROR(AVERAGE(Tabel1[[#This Row],[In - R1]:[In - R5]]),"")</f>
        <v>3.1</v>
      </c>
      <c r="CF355" s="14">
        <v>5</v>
      </c>
      <c r="CG355" s="14">
        <v>3</v>
      </c>
      <c r="CH355" s="14">
        <v>3</v>
      </c>
      <c r="CI355" s="14">
        <f>IFERROR(AVERAGE(Tabel1[[#This Row],[In - C1a]:[In - C1c]]),"")</f>
        <v>3.6666666666666665</v>
      </c>
      <c r="CJ355" s="14">
        <v>4</v>
      </c>
      <c r="CK355" s="14">
        <v>4</v>
      </c>
      <c r="CL355" s="14">
        <v>4</v>
      </c>
      <c r="CM355" s="14">
        <f>IFERROR(AVERAGE(Tabel1[[#This Row],[In - C1]:[In - C4]]),"")</f>
        <v>3.9166666666666665</v>
      </c>
      <c r="CN355" s="14">
        <v>2</v>
      </c>
      <c r="CO355" s="14">
        <v>1</v>
      </c>
      <c r="CP355" s="14">
        <v>1</v>
      </c>
      <c r="CQ355" s="14">
        <f>IFERROR(AVERAGE(Tabel1[[#This Row],[In - F1a]:[In - F1c]]),"")</f>
        <v>1.3333333333333333</v>
      </c>
      <c r="CR355" s="14">
        <v>2</v>
      </c>
      <c r="CS355" s="14">
        <v>1</v>
      </c>
      <c r="CT355" s="14">
        <f>IFERROR(AVERAGE(Tabel1[[#This Row],[In - F2a]:[In - F2b]]),"")</f>
        <v>1.5</v>
      </c>
      <c r="CU355" s="14">
        <v>1</v>
      </c>
      <c r="CV355" s="14">
        <f>IFERROR(AVERAGE(Tabel1[[#This Row],[In - F3a]:[In - F3a]]),"")</f>
        <v>1</v>
      </c>
      <c r="CW355" s="14" t="s">
        <v>189</v>
      </c>
      <c r="CX355" s="14">
        <f>IFERROR(AVERAGE(Tabel1[[#This Row],[In - F1]],Tabel1[[#This Row],[In - F2]],Tabel1[[#This Row],[In - F3]],Tabel1[[#This Row],[In - F4]]),"")</f>
        <v>1.2777777777777777</v>
      </c>
      <c r="CY355" s="14">
        <v>5</v>
      </c>
      <c r="CZ355" s="14">
        <v>5</v>
      </c>
      <c r="DA355" s="14">
        <v>4</v>
      </c>
      <c r="DB355" s="14">
        <f>IFERROR(AVERAGE(Tabel1[[#This Row],[In - V1a]:[In - V1c]]),"")</f>
        <v>4.666666666666667</v>
      </c>
      <c r="DC355" s="14">
        <v>4</v>
      </c>
      <c r="DD355" s="14">
        <v>4</v>
      </c>
      <c r="DE355" s="14">
        <v>3</v>
      </c>
      <c r="DF355" s="14">
        <f>IFERROR(AVERAGE(Tabel1[[#This Row],[In - V2a]:[In - V2c]]),"")</f>
        <v>3.6666666666666665</v>
      </c>
      <c r="DG355" s="14">
        <v>4</v>
      </c>
      <c r="DH355" s="14">
        <v>3</v>
      </c>
      <c r="DI355" s="14">
        <f>IFERROR(AVERAGE(Tabel1[[#This Row],[In - V3a]:[In - V3b]]),"")</f>
        <v>3.5</v>
      </c>
      <c r="DJ355" s="14">
        <v>2</v>
      </c>
      <c r="DK355" s="14">
        <f>IFERROR(AVERAGE(Tabel1[[#This Row],[In - V1]],Tabel1[[#This Row],[In - V2]],Tabel1[[#This Row],[In - V3]],Tabel1[[#This Row],[In - V4]]),"")</f>
        <v>3.4583333333333335</v>
      </c>
      <c r="DL355" s="14">
        <v>3</v>
      </c>
      <c r="DM355" s="14">
        <v>4</v>
      </c>
      <c r="DN355" s="14">
        <f>IFERROR(AVERAGE(Tabel1[[#This Row],[In - A1a]:[In - A1b]]),"")</f>
        <v>3.5</v>
      </c>
      <c r="DO355" s="14">
        <v>3</v>
      </c>
      <c r="DP355" s="14">
        <v>3</v>
      </c>
      <c r="DQ355" s="14">
        <f>IFERROR(AVERAGE(Tabel1[[#This Row],[In - A2a]:[In - A2b]]),"")</f>
        <v>3</v>
      </c>
      <c r="DR355" s="14">
        <v>4</v>
      </c>
      <c r="DS355" s="14">
        <v>1</v>
      </c>
      <c r="DT355" s="14">
        <f>IFERROR(AVERAGE(Tabel1[[#This Row],[In - A3a]:[In - A3a]]),"")</f>
        <v>4</v>
      </c>
      <c r="DU355" s="14">
        <v>2</v>
      </c>
      <c r="DV355" s="14">
        <f>IFERROR(AVERAGE(Tabel1[[#This Row],[In - A1]],Tabel1[[#This Row],[In - A2]],Tabel1[[#This Row],[In - A3]],Tabel1[[#This Row],[In - A4]]),"")</f>
        <v>3.125</v>
      </c>
      <c r="DW355" s="14">
        <v>1</v>
      </c>
      <c r="DX355" s="14">
        <v>5</v>
      </c>
      <c r="DY355" s="14">
        <v>1</v>
      </c>
      <c r="DZ355" s="14">
        <f>IFERROR(AVERAGE(Tabel1[[#This Row],[Do - R1a]:[Do - R1c]]),"")</f>
        <v>2.3333333333333335</v>
      </c>
      <c r="EA355" s="14">
        <v>2</v>
      </c>
      <c r="EB355" s="14">
        <v>2</v>
      </c>
      <c r="EC355" s="14">
        <v>1</v>
      </c>
      <c r="ED355" s="14">
        <v>2</v>
      </c>
      <c r="EE355" s="14">
        <f>IFERROR(AVERAGE(Tabel1[[#This Row],[Do - R1]:[Do - R5]]),"")</f>
        <v>1.8666666666666667</v>
      </c>
      <c r="EF355" s="14">
        <v>3</v>
      </c>
      <c r="EG355" s="14">
        <v>4</v>
      </c>
      <c r="EH355" s="14">
        <v>3</v>
      </c>
      <c r="EI355" s="14">
        <f>IFERROR(AVERAGE(Tabel1[[#This Row],[Do - C1a]:[Do - C1c]]),"")</f>
        <v>3.3333333333333335</v>
      </c>
      <c r="EJ355" s="14" t="s">
        <v>189</v>
      </c>
      <c r="EK355" s="14">
        <v>3</v>
      </c>
      <c r="EL355" s="14">
        <v>2</v>
      </c>
      <c r="EM355" s="14">
        <f>IFERROR(AVERAGE(Tabel1[[#This Row],[Do - C1]:[Do - C4]]),"")</f>
        <v>2.7777777777777781</v>
      </c>
      <c r="EN355" s="14">
        <v>2</v>
      </c>
      <c r="EO355" s="14">
        <v>2</v>
      </c>
      <c r="EP355" s="14" t="s">
        <v>189</v>
      </c>
      <c r="EQ355" s="14">
        <f>IFERROR(AVERAGE(Tabel1[[#This Row],[Do - F1a]:[Do - F1c]]),"")</f>
        <v>2</v>
      </c>
      <c r="ER355" s="14">
        <v>1</v>
      </c>
      <c r="ES355" s="14">
        <f>IFERROR(AVERAGE(Tabel1[[#This Row],[Do - F2a]:[Do - F2a]]),"")</f>
        <v>1</v>
      </c>
      <c r="ET355" s="14">
        <v>2</v>
      </c>
      <c r="EU355" s="14">
        <v>2</v>
      </c>
      <c r="EV355" s="14">
        <f>IFERROR(AVERAGE(Tabel1[[#This Row],[Do - F3a]:[Do - F3b]]),"")</f>
        <v>2</v>
      </c>
      <c r="EW355" s="14">
        <v>2</v>
      </c>
      <c r="EX355" s="14">
        <f>IFERROR(AVERAGE(Tabel1[[#This Row],[Do - F1]],Tabel1[[#This Row],[Do - F2]],Tabel1[[#This Row],[Do - F3]],Tabel1[[#This Row],[Do - F4]]),"")</f>
        <v>1.75</v>
      </c>
      <c r="EY355" s="14">
        <v>3</v>
      </c>
      <c r="EZ355" s="14" t="s">
        <v>189</v>
      </c>
      <c r="FA355" s="14">
        <v>3</v>
      </c>
      <c r="FB355" s="14">
        <f>IFERROR(AVERAGE(Tabel1[[#This Row],[Do - V1a]:[Do - V1c]]),"")</f>
        <v>3</v>
      </c>
      <c r="FC355" s="14">
        <v>4</v>
      </c>
      <c r="FD355" s="14">
        <v>3</v>
      </c>
      <c r="FE355" s="14">
        <f>IFERROR(AVERAGE(Tabel1[[#This Row],[Do - V2a]:[Do - V2b]]),"")</f>
        <v>3.5</v>
      </c>
      <c r="FF355" s="14">
        <v>2</v>
      </c>
      <c r="FG355" s="14">
        <f>IFERROR(AVERAGE(Tabel1[[#This Row],[Do - V3a]:[Do - V3a]]),"")</f>
        <v>2</v>
      </c>
      <c r="FH355" s="14">
        <v>3</v>
      </c>
      <c r="FI355" s="14">
        <f>IFERROR(AVERAGE(Tabel1[[#This Row],[Do - V1]],Tabel1[[#This Row],[Do - V2]],Tabel1[[#This Row],[Do - V3]],Tabel1[[#This Row],[Do - V4]]),"")</f>
        <v>2.875</v>
      </c>
      <c r="FJ355" s="14" t="s">
        <v>189</v>
      </c>
      <c r="FK355" s="14">
        <v>2</v>
      </c>
      <c r="FL355" s="14">
        <v>2</v>
      </c>
      <c r="FM355" s="14">
        <f>IFERROR(AVERAGE(Tabel1[[#This Row],[Do - A1a]:[Do - A1c]]),"")</f>
        <v>2</v>
      </c>
      <c r="FN355" s="14">
        <v>1</v>
      </c>
      <c r="FO355" s="14">
        <v>2</v>
      </c>
      <c r="FP355" s="14">
        <f>IFERROR(AVERAGE(Tabel1[[#This Row],[Do - A2a]:[Do - A2b]]),"")</f>
        <v>1.5</v>
      </c>
      <c r="FQ355" s="14">
        <v>4</v>
      </c>
      <c r="FR355" s="14">
        <f>IFERROR(AVERAGE(Tabel1[[#This Row],[Do - A3a]:[Do - A3a]]),"")</f>
        <v>4</v>
      </c>
      <c r="FS355" s="14">
        <v>3</v>
      </c>
      <c r="FT355" s="14">
        <f>IFERROR(AVERAGE(Tabel1[[#This Row],[Do - A1]],Tabel1[[#This Row],[Do - A2]],Tabel1[[#This Row],[Do - A3]],Tabel1[[#This Row],[Do - A4]]),"")</f>
        <v>2.625</v>
      </c>
      <c r="FU35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2.7553703703703705</v>
      </c>
      <c r="FV355" s="27" t="s">
        <v>1829</v>
      </c>
      <c r="FW355" t="b">
        <v>1</v>
      </c>
    </row>
    <row r="356" spans="1:179" x14ac:dyDescent="0.3">
      <c r="A356" s="13">
        <v>45512.587303240703</v>
      </c>
      <c r="B356" t="b">
        <v>0</v>
      </c>
      <c r="C356" s="14" t="s">
        <v>1830</v>
      </c>
      <c r="D356" s="14" t="s">
        <v>1368</v>
      </c>
      <c r="E356" s="14" t="s">
        <v>639</v>
      </c>
      <c r="F356" s="14" t="s">
        <v>184</v>
      </c>
      <c r="G356" s="14" t="s">
        <v>1831</v>
      </c>
      <c r="H356" s="14" t="s">
        <v>222</v>
      </c>
      <c r="I356" s="14" t="s">
        <v>195</v>
      </c>
      <c r="J356" s="14" t="s">
        <v>261</v>
      </c>
      <c r="K356" s="28" t="s">
        <v>201</v>
      </c>
      <c r="L356" s="14" t="s">
        <v>218</v>
      </c>
      <c r="M356" s="14" t="s">
        <v>233</v>
      </c>
      <c r="N356" s="14" t="s">
        <v>262</v>
      </c>
      <c r="O356" s="14" t="s">
        <v>200</v>
      </c>
      <c r="P356" s="24" t="s">
        <v>255</v>
      </c>
      <c r="Q356" s="17" t="s">
        <v>201</v>
      </c>
      <c r="R356" s="25" t="s">
        <v>201</v>
      </c>
      <c r="S356" s="25" t="s">
        <v>235</v>
      </c>
      <c r="T356" s="14" t="s">
        <v>236</v>
      </c>
      <c r="U356" s="14" t="s">
        <v>285</v>
      </c>
      <c r="V356" s="14" t="s">
        <v>359</v>
      </c>
      <c r="W356" s="14" t="s">
        <v>395</v>
      </c>
      <c r="X356" s="14" t="s">
        <v>395</v>
      </c>
      <c r="Y356" s="14">
        <v>4</v>
      </c>
      <c r="Z356" s="14">
        <v>3</v>
      </c>
      <c r="AA356" s="14">
        <v>4</v>
      </c>
      <c r="AB356" s="15">
        <f>IFERROR(AVERAGE(Tabel1[[#This Row],[Up - R1a]:[Up - R1c]]),"")</f>
        <v>3.6666666666666665</v>
      </c>
      <c r="AC356" s="14">
        <v>3</v>
      </c>
      <c r="AD356" s="14">
        <v>2</v>
      </c>
      <c r="AE356" s="14">
        <v>1</v>
      </c>
      <c r="AF356" s="14" t="s">
        <v>189</v>
      </c>
      <c r="AG356" s="14">
        <f>IFERROR(AVERAGE(Tabel1[[#This Row],[Up - R1]:[Up - R5]]),"")</f>
        <v>2.4166666666666665</v>
      </c>
      <c r="AH356" s="14">
        <v>5</v>
      </c>
      <c r="AI356" s="14">
        <v>5</v>
      </c>
      <c r="AJ356" s="14">
        <v>4</v>
      </c>
      <c r="AK356" s="14">
        <f>IFERROR(AVERAGE(Tabel1[[#This Row],[Up - C1a]:[Up - C1c]]),"")</f>
        <v>4.666666666666667</v>
      </c>
      <c r="AL356" s="14">
        <v>2</v>
      </c>
      <c r="AM356" s="14">
        <v>1</v>
      </c>
      <c r="AN356" s="14">
        <v>1</v>
      </c>
      <c r="AO356" s="14">
        <f>IFERROR(AVERAGE(Tabel1[[#This Row],[Up - C1]:[Up - C4]]),"")</f>
        <v>2.166666666666667</v>
      </c>
      <c r="AP356" s="14">
        <v>2</v>
      </c>
      <c r="AQ356" s="14">
        <f>IFERROR(AVERAGE(Tabel1[[#This Row],[Up - F1a]:[Up - F1a]]),"")</f>
        <v>2</v>
      </c>
      <c r="AR356" s="14">
        <v>3</v>
      </c>
      <c r="AS356" s="14">
        <v>4</v>
      </c>
      <c r="AT356" s="14">
        <f>IFERROR(AVERAGE(Tabel1[[#This Row],[Up - F2a]:[Up - F2b]]),"")</f>
        <v>3.5</v>
      </c>
      <c r="AU356" s="14">
        <v>3</v>
      </c>
      <c r="AV356" s="14" t="s">
        <v>189</v>
      </c>
      <c r="AW356" s="14">
        <f>IFERROR(AVERAGE(Tabel1[[#This Row],[Up - F3a]:[Up - F3b]]),"")</f>
        <v>3</v>
      </c>
      <c r="AX356" s="14">
        <v>1</v>
      </c>
      <c r="AY356" s="14">
        <f>IFERROR(AVERAGE(Tabel1[[#This Row],[Up - F1]],Tabel1[[#This Row],[Up - F2]],Tabel1[[#This Row],[Up - F3]],Tabel1[[#This Row],[Up - F4]]),"")</f>
        <v>2.375</v>
      </c>
      <c r="AZ356" s="14">
        <v>1</v>
      </c>
      <c r="BA356" s="14">
        <v>4</v>
      </c>
      <c r="BB356" s="14">
        <f>IFERROR(AVERAGE(Tabel1[[#This Row],[Up - V1a]:[Up - V1b]]),"")</f>
        <v>2.5</v>
      </c>
      <c r="BC356" s="14">
        <v>1</v>
      </c>
      <c r="BD356" s="14">
        <v>4</v>
      </c>
      <c r="BE356" s="14">
        <v>2</v>
      </c>
      <c r="BF356" s="14">
        <f>IFERROR(AVERAGE(Tabel1[[#This Row],[Up - V2a]:[Up - V2c]]),"")</f>
        <v>2.3333333333333335</v>
      </c>
      <c r="BG356" s="14">
        <v>1</v>
      </c>
      <c r="BH356" s="14">
        <v>1</v>
      </c>
      <c r="BI356" s="14">
        <f>IFERROR(AVERAGE(Tabel1[[#This Row],[Up - V3a]:[Up - V3b]]),"")</f>
        <v>1</v>
      </c>
      <c r="BJ356" s="14">
        <v>1</v>
      </c>
      <c r="BK356" s="14">
        <f>IFERROR(AVERAGE(Tabel1[[#This Row],[Up - V1]],Tabel1[[#This Row],[Up - V2]],Tabel1[[#This Row],[Up - V3]],Tabel1[[#This Row],[Up - V4]]),"")</f>
        <v>1.7083333333333335</v>
      </c>
      <c r="BL356" s="14">
        <v>3</v>
      </c>
      <c r="BM356" s="14">
        <v>3</v>
      </c>
      <c r="BN356" s="14">
        <v>4</v>
      </c>
      <c r="BO356" s="14">
        <v>2</v>
      </c>
      <c r="BP356" s="14">
        <f>IFERROR(AVERAGE(Tabel1[[#This Row],[Up - A1a]:[Up - A1d]]),"")</f>
        <v>3</v>
      </c>
      <c r="BQ356" s="14">
        <v>4</v>
      </c>
      <c r="BR356" s="14">
        <v>3</v>
      </c>
      <c r="BS356" s="14">
        <f>IFERROR(AVERAGE(Tabel1[[#This Row],[Up - A2a]:[Up - A2b]]),"")</f>
        <v>3.5</v>
      </c>
      <c r="BT356" s="14">
        <v>4</v>
      </c>
      <c r="BU356" s="14">
        <f>IFERROR(AVERAGE(Tabel1[[#This Row],[Up - A3a]:[Up - A3a]]),"")</f>
        <v>4</v>
      </c>
      <c r="BV356" s="14">
        <v>2</v>
      </c>
      <c r="BW356" s="14">
        <f>IFERROR(AVERAGE(Tabel1[[#This Row],[Up - A1]],Tabel1[[#This Row],[Up - A2]],Tabel1[[#This Row],[Up - A3]]),"")</f>
        <v>3.5</v>
      </c>
      <c r="BX356" s="14">
        <v>3</v>
      </c>
      <c r="BY356" s="14">
        <v>1</v>
      </c>
      <c r="BZ356" s="14">
        <f>IFERROR(AVERAGE(Tabel1[[#This Row],[In - R1a]:[In - R1b]]),"")</f>
        <v>2</v>
      </c>
      <c r="CA356" s="14">
        <v>3</v>
      </c>
      <c r="CB356" s="14">
        <v>1</v>
      </c>
      <c r="CC356" s="14">
        <v>1</v>
      </c>
      <c r="CD356" s="14">
        <v>4</v>
      </c>
      <c r="CE356" s="14">
        <f>IFERROR(AVERAGE(Tabel1[[#This Row],[In - R1]:[In - R5]]),"")</f>
        <v>2.2000000000000002</v>
      </c>
      <c r="CF356" s="14">
        <v>4</v>
      </c>
      <c r="CG356" s="14">
        <v>4</v>
      </c>
      <c r="CH356" s="14">
        <v>4</v>
      </c>
      <c r="CI356" s="14">
        <f>IFERROR(AVERAGE(Tabel1[[#This Row],[In - C1a]:[In - C1c]]),"")</f>
        <v>4</v>
      </c>
      <c r="CJ356" s="14">
        <v>3</v>
      </c>
      <c r="CK356" s="14">
        <v>2</v>
      </c>
      <c r="CL356" s="14">
        <v>3</v>
      </c>
      <c r="CM356" s="14">
        <f>IFERROR(AVERAGE(Tabel1[[#This Row],[In - C1]:[In - C4]]),"")</f>
        <v>3</v>
      </c>
      <c r="CN356" s="14">
        <v>2</v>
      </c>
      <c r="CO356" s="14">
        <v>1</v>
      </c>
      <c r="CP356" s="14">
        <v>1</v>
      </c>
      <c r="CQ356" s="14">
        <f>IFERROR(AVERAGE(Tabel1[[#This Row],[In - F1a]:[In - F1c]]),"")</f>
        <v>1.3333333333333333</v>
      </c>
      <c r="CR356" s="14">
        <v>4</v>
      </c>
      <c r="CS356" s="14">
        <v>4</v>
      </c>
      <c r="CT356" s="14">
        <f>IFERROR(AVERAGE(Tabel1[[#This Row],[In - F2a]:[In - F2b]]),"")</f>
        <v>4</v>
      </c>
      <c r="CU356" s="14">
        <v>2</v>
      </c>
      <c r="CV356" s="14">
        <f>IFERROR(AVERAGE(Tabel1[[#This Row],[In - F3a]:[In - F3a]]),"")</f>
        <v>2</v>
      </c>
      <c r="CW356" s="14">
        <v>4</v>
      </c>
      <c r="CX356" s="14">
        <f>IFERROR(AVERAGE(Tabel1[[#This Row],[In - F1]],Tabel1[[#This Row],[In - F2]],Tabel1[[#This Row],[In - F3]],Tabel1[[#This Row],[In - F4]]),"")</f>
        <v>2.833333333333333</v>
      </c>
      <c r="CY356" s="14">
        <v>3</v>
      </c>
      <c r="CZ356" s="14">
        <v>3</v>
      </c>
      <c r="DA356" s="14">
        <v>2</v>
      </c>
      <c r="DB356" s="14">
        <f>IFERROR(AVERAGE(Tabel1[[#This Row],[In - V1a]:[In - V1c]]),"")</f>
        <v>2.6666666666666665</v>
      </c>
      <c r="DC356" s="14">
        <v>3</v>
      </c>
      <c r="DD356" s="14">
        <v>2</v>
      </c>
      <c r="DE356" s="14">
        <v>3</v>
      </c>
      <c r="DF356" s="14">
        <f>IFERROR(AVERAGE(Tabel1[[#This Row],[In - V2a]:[In - V2c]]),"")</f>
        <v>2.6666666666666665</v>
      </c>
      <c r="DG356" s="14">
        <v>1</v>
      </c>
      <c r="DH356" s="14">
        <v>2</v>
      </c>
      <c r="DI356" s="14">
        <f>IFERROR(AVERAGE(Tabel1[[#This Row],[In - V3a]:[In - V3b]]),"")</f>
        <v>1.5</v>
      </c>
      <c r="DJ356" s="14">
        <v>3</v>
      </c>
      <c r="DK356" s="14">
        <f>IFERROR(AVERAGE(Tabel1[[#This Row],[In - V1]],Tabel1[[#This Row],[In - V2]],Tabel1[[#This Row],[In - V3]],Tabel1[[#This Row],[In - V4]]),"")</f>
        <v>2.458333333333333</v>
      </c>
      <c r="DL356" s="14">
        <v>4</v>
      </c>
      <c r="DM356" s="14">
        <v>3</v>
      </c>
      <c r="DN356" s="14">
        <f>IFERROR(AVERAGE(Tabel1[[#This Row],[In - A1a]:[In - A1b]]),"")</f>
        <v>3.5</v>
      </c>
      <c r="DO356" s="14">
        <v>4</v>
      </c>
      <c r="DP356" s="14">
        <v>3</v>
      </c>
      <c r="DQ356" s="14">
        <f>IFERROR(AVERAGE(Tabel1[[#This Row],[In - A2a]:[In - A2b]]),"")</f>
        <v>3.5</v>
      </c>
      <c r="DR356" s="14">
        <v>4</v>
      </c>
      <c r="DS356" s="14">
        <v>3</v>
      </c>
      <c r="DT356" s="14">
        <f>IFERROR(AVERAGE(Tabel1[[#This Row],[In - A3a]:[In - A3a]]),"")</f>
        <v>4</v>
      </c>
      <c r="DU356" s="14">
        <v>3</v>
      </c>
      <c r="DV356" s="14">
        <f>IFERROR(AVERAGE(Tabel1[[#This Row],[In - A1]],Tabel1[[#This Row],[In - A2]],Tabel1[[#This Row],[In - A3]],Tabel1[[#This Row],[In - A4]]),"")</f>
        <v>3.5</v>
      </c>
      <c r="DW356" s="14">
        <v>2</v>
      </c>
      <c r="DX356" s="14">
        <v>4</v>
      </c>
      <c r="DY356" s="14">
        <v>3</v>
      </c>
      <c r="DZ356" s="14">
        <f>IFERROR(AVERAGE(Tabel1[[#This Row],[Do - R1a]:[Do - R1c]]),"")</f>
        <v>3</v>
      </c>
      <c r="EA356" s="14">
        <v>3</v>
      </c>
      <c r="EB356" s="14">
        <v>2</v>
      </c>
      <c r="EC356" s="14">
        <v>2</v>
      </c>
      <c r="ED356" s="14">
        <v>3</v>
      </c>
      <c r="EE356" s="14">
        <f>IFERROR(AVERAGE(Tabel1[[#This Row],[Do - R1]:[Do - R5]]),"")</f>
        <v>2.6</v>
      </c>
      <c r="EF356" s="14">
        <v>5</v>
      </c>
      <c r="EG356" s="14">
        <v>4</v>
      </c>
      <c r="EH356" s="14">
        <v>3</v>
      </c>
      <c r="EI356" s="14">
        <f>IFERROR(AVERAGE(Tabel1[[#This Row],[Do - C1a]:[Do - C1c]]),"")</f>
        <v>4</v>
      </c>
      <c r="EJ356" s="14">
        <v>3</v>
      </c>
      <c r="EK356" s="14">
        <v>1</v>
      </c>
      <c r="EL356" s="14">
        <v>1</v>
      </c>
      <c r="EM356" s="14">
        <f>IFERROR(AVERAGE(Tabel1[[#This Row],[Do - C1]:[Do - C4]]),"")</f>
        <v>2.25</v>
      </c>
      <c r="EN356" s="14">
        <v>2</v>
      </c>
      <c r="EO356" s="14">
        <v>3</v>
      </c>
      <c r="EP356" s="14">
        <v>2</v>
      </c>
      <c r="EQ356" s="14">
        <f>IFERROR(AVERAGE(Tabel1[[#This Row],[Do - F1a]:[Do - F1c]]),"")</f>
        <v>2.3333333333333335</v>
      </c>
      <c r="ER356" s="14">
        <v>3</v>
      </c>
      <c r="ES356" s="14">
        <f>IFERROR(AVERAGE(Tabel1[[#This Row],[Do - F2a]:[Do - F2a]]),"")</f>
        <v>3</v>
      </c>
      <c r="ET356" s="14">
        <v>2</v>
      </c>
      <c r="EU356" s="14">
        <v>3</v>
      </c>
      <c r="EV356" s="14">
        <f>IFERROR(AVERAGE(Tabel1[[#This Row],[Do - F3a]:[Do - F3b]]),"")</f>
        <v>2.5</v>
      </c>
      <c r="EW356" s="14">
        <v>2</v>
      </c>
      <c r="EX356" s="14">
        <f>IFERROR(AVERAGE(Tabel1[[#This Row],[Do - F1]],Tabel1[[#This Row],[Do - F2]],Tabel1[[#This Row],[Do - F3]],Tabel1[[#This Row],[Do - F4]]),"")</f>
        <v>2.4583333333333335</v>
      </c>
      <c r="EY356" s="14">
        <v>3</v>
      </c>
      <c r="EZ356" s="14">
        <v>2</v>
      </c>
      <c r="FA356" s="14">
        <v>4</v>
      </c>
      <c r="FB356" s="14">
        <f>IFERROR(AVERAGE(Tabel1[[#This Row],[Do - V1a]:[Do - V1c]]),"")</f>
        <v>3</v>
      </c>
      <c r="FC356" s="14">
        <v>2</v>
      </c>
      <c r="FD356" s="14">
        <v>2</v>
      </c>
      <c r="FE356" s="14">
        <f>IFERROR(AVERAGE(Tabel1[[#This Row],[Do - V2a]:[Do - V2b]]),"")</f>
        <v>2</v>
      </c>
      <c r="FF356" s="14">
        <v>3</v>
      </c>
      <c r="FG356" s="14">
        <f>IFERROR(AVERAGE(Tabel1[[#This Row],[Do - V3a]:[Do - V3a]]),"")</f>
        <v>3</v>
      </c>
      <c r="FH356" s="14">
        <v>4</v>
      </c>
      <c r="FI356" s="14">
        <f>IFERROR(AVERAGE(Tabel1[[#This Row],[Do - V1]],Tabel1[[#This Row],[Do - V2]],Tabel1[[#This Row],[Do - V3]],Tabel1[[#This Row],[Do - V4]]),"")</f>
        <v>3</v>
      </c>
      <c r="FJ356" s="14">
        <v>4</v>
      </c>
      <c r="FK356" s="14">
        <v>3</v>
      </c>
      <c r="FL356" s="14">
        <v>4</v>
      </c>
      <c r="FM356" s="14">
        <f>IFERROR(AVERAGE(Tabel1[[#This Row],[Do - A1a]:[Do - A1c]]),"")</f>
        <v>3.6666666666666665</v>
      </c>
      <c r="FN356" s="14">
        <v>4</v>
      </c>
      <c r="FO356" s="14">
        <v>3</v>
      </c>
      <c r="FP356" s="14">
        <f>IFERROR(AVERAGE(Tabel1[[#This Row],[Do - A2a]:[Do - A2b]]),"")</f>
        <v>3.5</v>
      </c>
      <c r="FQ356" s="14">
        <v>3</v>
      </c>
      <c r="FR356" s="14">
        <f>IFERROR(AVERAGE(Tabel1[[#This Row],[Do - A3a]:[Do - A3a]]),"")</f>
        <v>3</v>
      </c>
      <c r="FS356" s="14">
        <v>3</v>
      </c>
      <c r="FT356" s="14">
        <f>IFERROR(AVERAGE(Tabel1[[#This Row],[Do - A1]],Tabel1[[#This Row],[Do - A2]],Tabel1[[#This Row],[Do - A3]],Tabel1[[#This Row],[Do - A4]]),"")</f>
        <v>3.2916666666666665</v>
      </c>
      <c r="FU35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2.6505555555555556</v>
      </c>
      <c r="FV356" s="27" t="s">
        <v>1832</v>
      </c>
      <c r="FW356" t="b">
        <v>1</v>
      </c>
    </row>
    <row r="357" spans="1:179" x14ac:dyDescent="0.3">
      <c r="A357" s="13">
        <v>45520.347210648099</v>
      </c>
      <c r="B357" t="b">
        <v>0</v>
      </c>
      <c r="C357" s="14" t="s">
        <v>1833</v>
      </c>
      <c r="D357" s="14" t="s">
        <v>215</v>
      </c>
      <c r="E357" s="14" t="s">
        <v>639</v>
      </c>
      <c r="F357" s="14" t="s">
        <v>184</v>
      </c>
      <c r="G357" s="14" t="s">
        <v>1834</v>
      </c>
      <c r="H357" s="14" t="s">
        <v>222</v>
      </c>
      <c r="I357" s="14" t="s">
        <v>195</v>
      </c>
      <c r="J357" s="14" t="s">
        <v>261</v>
      </c>
      <c r="K357" s="28" t="s">
        <v>201</v>
      </c>
      <c r="L357" s="14" t="s">
        <v>218</v>
      </c>
      <c r="M357" s="14" t="s">
        <v>188</v>
      </c>
      <c r="N357" s="14" t="s">
        <v>262</v>
      </c>
      <c r="O357" s="14" t="s">
        <v>200</v>
      </c>
      <c r="P357" s="24" t="s">
        <v>255</v>
      </c>
      <c r="Q357" s="17" t="s">
        <v>304</v>
      </c>
      <c r="R357" s="25" t="s">
        <v>201</v>
      </c>
      <c r="S357" s="25" t="s">
        <v>235</v>
      </c>
      <c r="T357" s="14" t="s">
        <v>236</v>
      </c>
      <c r="U357" s="14" t="s">
        <v>285</v>
      </c>
      <c r="V357" s="14" t="s">
        <v>359</v>
      </c>
      <c r="W357" s="14" t="s">
        <v>395</v>
      </c>
      <c r="X357" s="14" t="s">
        <v>207</v>
      </c>
      <c r="Y357" s="14">
        <v>2</v>
      </c>
      <c r="Z357" s="14">
        <v>4</v>
      </c>
      <c r="AA357" s="14" t="s">
        <v>189</v>
      </c>
      <c r="AB357" s="15">
        <f>IFERROR(AVERAGE(Tabel1[[#This Row],[Up - R1a]:[Up - R1c]]),"")</f>
        <v>3</v>
      </c>
      <c r="AC357" s="14">
        <v>2</v>
      </c>
      <c r="AD357" s="14">
        <v>2</v>
      </c>
      <c r="AE357" s="14">
        <v>1</v>
      </c>
      <c r="AF357" s="14" t="s">
        <v>189</v>
      </c>
      <c r="AG357" s="14">
        <f>IFERROR(AVERAGE(Tabel1[[#This Row],[Up - R1]:[Up - R5]]),"")</f>
        <v>2</v>
      </c>
      <c r="AH357" s="14">
        <v>3</v>
      </c>
      <c r="AI357" s="14">
        <v>1</v>
      </c>
      <c r="AJ357" s="14">
        <v>3</v>
      </c>
      <c r="AK357" s="14">
        <f>IFERROR(AVERAGE(Tabel1[[#This Row],[Up - C1a]:[Up - C1c]]),"")</f>
        <v>2.3333333333333335</v>
      </c>
      <c r="AL357" s="14">
        <v>2</v>
      </c>
      <c r="AM357" s="14">
        <v>1</v>
      </c>
      <c r="AN357" s="14" t="s">
        <v>189</v>
      </c>
      <c r="AO357" s="14">
        <f>IFERROR(AVERAGE(Tabel1[[#This Row],[Up - C1]:[Up - C4]]),"")</f>
        <v>1.7777777777777779</v>
      </c>
      <c r="AP357" s="14">
        <v>2</v>
      </c>
      <c r="AQ357" s="14">
        <f>IFERROR(AVERAGE(Tabel1[[#This Row],[Up - F1a]:[Up - F1a]]),"")</f>
        <v>2</v>
      </c>
      <c r="AR357" s="14">
        <v>1</v>
      </c>
      <c r="AS357" s="14">
        <v>1</v>
      </c>
      <c r="AT357" s="14">
        <f>IFERROR(AVERAGE(Tabel1[[#This Row],[Up - F2a]:[Up - F2b]]),"")</f>
        <v>1</v>
      </c>
      <c r="AU357" s="14">
        <v>2</v>
      </c>
      <c r="AV357" s="14">
        <v>2</v>
      </c>
      <c r="AW357" s="14">
        <f>IFERROR(AVERAGE(Tabel1[[#This Row],[Up - F3a]:[Up - F3b]]),"")</f>
        <v>2</v>
      </c>
      <c r="AX357" s="14" t="s">
        <v>189</v>
      </c>
      <c r="AY357" s="14">
        <f>IFERROR(AVERAGE(Tabel1[[#This Row],[Up - F1]],Tabel1[[#This Row],[Up - F2]],Tabel1[[#This Row],[Up - F3]],Tabel1[[#This Row],[Up - F4]]),"")</f>
        <v>1.6666666666666667</v>
      </c>
      <c r="AZ357" s="14">
        <v>2</v>
      </c>
      <c r="BA357" s="14">
        <v>3</v>
      </c>
      <c r="BB357" s="14">
        <f>IFERROR(AVERAGE(Tabel1[[#This Row],[Up - V1a]:[Up - V1b]]),"")</f>
        <v>2.5</v>
      </c>
      <c r="BC357" s="14">
        <v>4</v>
      </c>
      <c r="BD357" s="14">
        <v>2</v>
      </c>
      <c r="BE357" s="14" t="s">
        <v>189</v>
      </c>
      <c r="BF357" s="14">
        <f>IFERROR(AVERAGE(Tabel1[[#This Row],[Up - V2a]:[Up - V2c]]),"")</f>
        <v>3</v>
      </c>
      <c r="BG357" s="14">
        <v>1</v>
      </c>
      <c r="BH357" s="14">
        <v>1</v>
      </c>
      <c r="BI357" s="14">
        <f>IFERROR(AVERAGE(Tabel1[[#This Row],[Up - V3a]:[Up - V3b]]),"")</f>
        <v>1</v>
      </c>
      <c r="BJ357" s="14" t="s">
        <v>189</v>
      </c>
      <c r="BK357" s="14">
        <f>IFERROR(AVERAGE(Tabel1[[#This Row],[Up - V1]],Tabel1[[#This Row],[Up - V2]],Tabel1[[#This Row],[Up - V3]],Tabel1[[#This Row],[Up - V4]]),"")</f>
        <v>2.1666666666666665</v>
      </c>
      <c r="BL357" s="14">
        <v>3</v>
      </c>
      <c r="BM357" s="14">
        <v>3</v>
      </c>
      <c r="BN357" s="14">
        <v>3</v>
      </c>
      <c r="BO357" s="14">
        <v>2</v>
      </c>
      <c r="BP357" s="14">
        <f>IFERROR(AVERAGE(Tabel1[[#This Row],[Up - A1a]:[Up - A1d]]),"")</f>
        <v>2.75</v>
      </c>
      <c r="BQ357" s="14">
        <v>3</v>
      </c>
      <c r="BR357" s="14">
        <v>2</v>
      </c>
      <c r="BS357" s="14">
        <f>IFERROR(AVERAGE(Tabel1[[#This Row],[Up - A2a]:[Up - A2b]]),"")</f>
        <v>2.5</v>
      </c>
      <c r="BT357" s="14">
        <v>2</v>
      </c>
      <c r="BU357" s="14">
        <f>IFERROR(AVERAGE(Tabel1[[#This Row],[Up - A3a]:[Up - A3a]]),"")</f>
        <v>2</v>
      </c>
      <c r="BV357" s="14" t="s">
        <v>189</v>
      </c>
      <c r="BW357" s="14">
        <f>IFERROR(AVERAGE(Tabel1[[#This Row],[Up - A1]],Tabel1[[#This Row],[Up - A2]],Tabel1[[#This Row],[Up - A3]]),"")</f>
        <v>2.4166666666666665</v>
      </c>
      <c r="BX357" s="14">
        <v>2</v>
      </c>
      <c r="BY357" s="14">
        <v>1</v>
      </c>
      <c r="BZ357" s="14">
        <f>IFERROR(AVERAGE(Tabel1[[#This Row],[In - R1a]:[In - R1b]]),"")</f>
        <v>1.5</v>
      </c>
      <c r="CA357" s="14">
        <v>3</v>
      </c>
      <c r="CB357" s="14">
        <v>1</v>
      </c>
      <c r="CC357" s="14">
        <v>1</v>
      </c>
      <c r="CD357" s="14">
        <v>5</v>
      </c>
      <c r="CE357" s="14">
        <f>IFERROR(AVERAGE(Tabel1[[#This Row],[In - R1]:[In - R5]]),"")</f>
        <v>2.2999999999999998</v>
      </c>
      <c r="CF357" s="14">
        <v>3</v>
      </c>
      <c r="CG357" s="14">
        <v>3</v>
      </c>
      <c r="CH357" s="14">
        <v>3</v>
      </c>
      <c r="CI357" s="14">
        <f>IFERROR(AVERAGE(Tabel1[[#This Row],[In - C1a]:[In - C1c]]),"")</f>
        <v>3</v>
      </c>
      <c r="CJ357" s="14">
        <v>3</v>
      </c>
      <c r="CK357" s="14">
        <v>1</v>
      </c>
      <c r="CL357" s="14">
        <v>1</v>
      </c>
      <c r="CM357" s="14">
        <f>IFERROR(AVERAGE(Tabel1[[#This Row],[In - C1]:[In - C4]]),"")</f>
        <v>2</v>
      </c>
      <c r="CN357" s="14">
        <v>3</v>
      </c>
      <c r="CO357" s="14">
        <v>2</v>
      </c>
      <c r="CP357" s="14">
        <v>1</v>
      </c>
      <c r="CQ357" s="14">
        <f>IFERROR(AVERAGE(Tabel1[[#This Row],[In - F1a]:[In - F1c]]),"")</f>
        <v>2</v>
      </c>
      <c r="CR357" s="14">
        <v>3</v>
      </c>
      <c r="CS357" s="14">
        <v>4</v>
      </c>
      <c r="CT357" s="14">
        <f>IFERROR(AVERAGE(Tabel1[[#This Row],[In - F2a]:[In - F2b]]),"")</f>
        <v>3.5</v>
      </c>
      <c r="CU357" s="14">
        <v>2</v>
      </c>
      <c r="CV357" s="14">
        <f>IFERROR(AVERAGE(Tabel1[[#This Row],[In - F3a]:[In - F3a]]),"")</f>
        <v>2</v>
      </c>
      <c r="CW357" s="14" t="s">
        <v>189</v>
      </c>
      <c r="CX357" s="14">
        <f>IFERROR(AVERAGE(Tabel1[[#This Row],[In - F1]],Tabel1[[#This Row],[In - F2]],Tabel1[[#This Row],[In - F3]],Tabel1[[#This Row],[In - F4]]),"")</f>
        <v>2.5</v>
      </c>
      <c r="CY357" s="14">
        <v>2</v>
      </c>
      <c r="CZ357" s="14">
        <v>3</v>
      </c>
      <c r="DA357" s="14">
        <v>1</v>
      </c>
      <c r="DB357" s="14">
        <f>IFERROR(AVERAGE(Tabel1[[#This Row],[In - V1a]:[In - V1c]]),"")</f>
        <v>2</v>
      </c>
      <c r="DC357" s="14">
        <v>2</v>
      </c>
      <c r="DD357" s="14">
        <v>2</v>
      </c>
      <c r="DE357" s="14">
        <v>2</v>
      </c>
      <c r="DF357" s="14">
        <f>IFERROR(AVERAGE(Tabel1[[#This Row],[In - V2a]:[In - V2c]]),"")</f>
        <v>2</v>
      </c>
      <c r="DG357" s="14">
        <v>1</v>
      </c>
      <c r="DH357" s="14">
        <v>2</v>
      </c>
      <c r="DI357" s="14">
        <f>IFERROR(AVERAGE(Tabel1[[#This Row],[In - V3a]:[In - V3b]]),"")</f>
        <v>1.5</v>
      </c>
      <c r="DJ357" s="14">
        <v>3</v>
      </c>
      <c r="DK357" s="14">
        <f>IFERROR(AVERAGE(Tabel1[[#This Row],[In - V1]],Tabel1[[#This Row],[In - V2]],Tabel1[[#This Row],[In - V3]],Tabel1[[#This Row],[In - V4]]),"")</f>
        <v>2.125</v>
      </c>
      <c r="DL357" s="14">
        <v>4</v>
      </c>
      <c r="DM357" s="14">
        <v>2</v>
      </c>
      <c r="DN357" s="14">
        <f>IFERROR(AVERAGE(Tabel1[[#This Row],[In - A1a]:[In - A1b]]),"")</f>
        <v>3</v>
      </c>
      <c r="DO357" s="14">
        <v>4</v>
      </c>
      <c r="DP357" s="14">
        <v>2</v>
      </c>
      <c r="DQ357" s="14">
        <f>IFERROR(AVERAGE(Tabel1[[#This Row],[In - A2a]:[In - A2b]]),"")</f>
        <v>3</v>
      </c>
      <c r="DR357" s="14">
        <v>5</v>
      </c>
      <c r="DS357" s="14">
        <v>2</v>
      </c>
      <c r="DT357" s="14">
        <f>IFERROR(AVERAGE(Tabel1[[#This Row],[In - A3a]:[In - A3a]]),"")</f>
        <v>5</v>
      </c>
      <c r="DU357" s="14">
        <v>3</v>
      </c>
      <c r="DV357" s="14">
        <f>IFERROR(AVERAGE(Tabel1[[#This Row],[In - A1]],Tabel1[[#This Row],[In - A2]],Tabel1[[#This Row],[In - A3]],Tabel1[[#This Row],[In - A4]]),"")</f>
        <v>3.5</v>
      </c>
      <c r="DW357" s="14">
        <v>2</v>
      </c>
      <c r="DX357" s="14">
        <v>4</v>
      </c>
      <c r="DY357" s="14">
        <v>2</v>
      </c>
      <c r="DZ357" s="14">
        <f>IFERROR(AVERAGE(Tabel1[[#This Row],[Do - R1a]:[Do - R1c]]),"")</f>
        <v>2.6666666666666665</v>
      </c>
      <c r="EA357" s="14">
        <v>2</v>
      </c>
      <c r="EB357" s="14">
        <v>2</v>
      </c>
      <c r="EC357" s="14">
        <v>2</v>
      </c>
      <c r="ED357" s="14">
        <v>4</v>
      </c>
      <c r="EE357" s="14">
        <f>IFERROR(AVERAGE(Tabel1[[#This Row],[Do - R1]:[Do - R5]]),"")</f>
        <v>2.5333333333333332</v>
      </c>
      <c r="EF357" s="14">
        <v>3</v>
      </c>
      <c r="EG357" s="14">
        <v>2</v>
      </c>
      <c r="EH357" s="14">
        <v>2</v>
      </c>
      <c r="EI357" s="14">
        <f>IFERROR(AVERAGE(Tabel1[[#This Row],[Do - C1a]:[Do - C1c]]),"")</f>
        <v>2.3333333333333335</v>
      </c>
      <c r="EJ357" s="14">
        <v>3</v>
      </c>
      <c r="EK357" s="14">
        <v>1</v>
      </c>
      <c r="EL357" s="14" t="s">
        <v>189</v>
      </c>
      <c r="EM357" s="14">
        <f>IFERROR(AVERAGE(Tabel1[[#This Row],[Do - C1]:[Do - C4]]),"")</f>
        <v>2.1111111111111112</v>
      </c>
      <c r="EN357" s="14">
        <v>2</v>
      </c>
      <c r="EO357" s="14">
        <v>2</v>
      </c>
      <c r="EP357" s="14">
        <v>2</v>
      </c>
      <c r="EQ357" s="14">
        <f>IFERROR(AVERAGE(Tabel1[[#This Row],[Do - F1a]:[Do - F1c]]),"")</f>
        <v>2</v>
      </c>
      <c r="ER357" s="14">
        <v>1</v>
      </c>
      <c r="ES357" s="14">
        <f>IFERROR(AVERAGE(Tabel1[[#This Row],[Do - F2a]:[Do - F2a]]),"")</f>
        <v>1</v>
      </c>
      <c r="ET357" s="14">
        <v>4</v>
      </c>
      <c r="EU357" s="14">
        <v>2</v>
      </c>
      <c r="EV357" s="14">
        <f>IFERROR(AVERAGE(Tabel1[[#This Row],[Do - F3a]:[Do - F3b]]),"")</f>
        <v>3</v>
      </c>
      <c r="EW357" s="14" t="s">
        <v>189</v>
      </c>
      <c r="EX357" s="14">
        <f>IFERROR(AVERAGE(Tabel1[[#This Row],[Do - F1]],Tabel1[[#This Row],[Do - F2]],Tabel1[[#This Row],[Do - F3]],Tabel1[[#This Row],[Do - F4]]),"")</f>
        <v>2</v>
      </c>
      <c r="EY357" s="14">
        <v>2</v>
      </c>
      <c r="EZ357" s="14">
        <v>2</v>
      </c>
      <c r="FA357" s="14">
        <v>4</v>
      </c>
      <c r="FB357" s="14">
        <f>IFERROR(AVERAGE(Tabel1[[#This Row],[Do - V1a]:[Do - V1c]]),"")</f>
        <v>2.6666666666666665</v>
      </c>
      <c r="FC357" s="14">
        <v>4</v>
      </c>
      <c r="FD357" s="14">
        <v>1</v>
      </c>
      <c r="FE357" s="14">
        <f>IFERROR(AVERAGE(Tabel1[[#This Row],[Do - V2a]:[Do - V2b]]),"")</f>
        <v>2.5</v>
      </c>
      <c r="FF357" s="14">
        <v>2</v>
      </c>
      <c r="FG357" s="14">
        <f>IFERROR(AVERAGE(Tabel1[[#This Row],[Do - V3a]:[Do - V3a]]),"")</f>
        <v>2</v>
      </c>
      <c r="FH357" s="14">
        <v>3</v>
      </c>
      <c r="FI357" s="14">
        <f>IFERROR(AVERAGE(Tabel1[[#This Row],[Do - V1]],Tabel1[[#This Row],[Do - V2]],Tabel1[[#This Row],[Do - V3]],Tabel1[[#This Row],[Do - V4]]),"")</f>
        <v>2.5416666666666665</v>
      </c>
      <c r="FJ357" s="14">
        <v>5</v>
      </c>
      <c r="FK357" s="14">
        <v>2</v>
      </c>
      <c r="FL357" s="14">
        <v>2</v>
      </c>
      <c r="FM357" s="14">
        <f>IFERROR(AVERAGE(Tabel1[[#This Row],[Do - A1a]:[Do - A1c]]),"")</f>
        <v>3</v>
      </c>
      <c r="FN357" s="14">
        <v>1</v>
      </c>
      <c r="FO357" s="14">
        <v>4</v>
      </c>
      <c r="FP357" s="14">
        <f>IFERROR(AVERAGE(Tabel1[[#This Row],[Do - A2a]:[Do - A2b]]),"")</f>
        <v>2.5</v>
      </c>
      <c r="FQ357" s="14">
        <v>3</v>
      </c>
      <c r="FR357" s="14">
        <f>IFERROR(AVERAGE(Tabel1[[#This Row],[Do - A3a]:[Do - A3a]]),"")</f>
        <v>3</v>
      </c>
      <c r="FS357" s="14">
        <v>3</v>
      </c>
      <c r="FT357" s="14">
        <f>IFERROR(AVERAGE(Tabel1[[#This Row],[Do - A1]],Tabel1[[#This Row],[Do - A2]],Tabel1[[#This Row],[Do - A3]],Tabel1[[#This Row],[Do - A4]]),"")</f>
        <v>2.875</v>
      </c>
      <c r="FU35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2.3009259259259256</v>
      </c>
      <c r="FV357" s="27" t="s">
        <v>1835</v>
      </c>
      <c r="FW357" t="b">
        <v>1</v>
      </c>
    </row>
    <row r="358" spans="1:179" x14ac:dyDescent="0.3">
      <c r="A358" s="13">
        <v>45520.366168981498</v>
      </c>
      <c r="B358" t="b">
        <v>0</v>
      </c>
      <c r="C358" s="14" t="s">
        <v>1836</v>
      </c>
      <c r="D358" s="14" t="s">
        <v>1837</v>
      </c>
      <c r="E358" s="14" t="s">
        <v>639</v>
      </c>
      <c r="F358" s="14" t="s">
        <v>184</v>
      </c>
      <c r="G358" s="14" t="s">
        <v>1838</v>
      </c>
      <c r="H358" s="14" t="s">
        <v>222</v>
      </c>
      <c r="I358" s="14" t="s">
        <v>195</v>
      </c>
      <c r="J358" s="14" t="s">
        <v>261</v>
      </c>
      <c r="K358" s="28" t="s">
        <v>201</v>
      </c>
      <c r="L358" s="14" t="s">
        <v>249</v>
      </c>
      <c r="M358" s="14" t="s">
        <v>188</v>
      </c>
      <c r="N358" s="14" t="s">
        <v>262</v>
      </c>
      <c r="O358" s="14" t="s">
        <v>200</v>
      </c>
      <c r="P358" s="24" t="s">
        <v>255</v>
      </c>
      <c r="Q358" s="17" t="s">
        <v>304</v>
      </c>
      <c r="R358" s="24" t="s">
        <v>304</v>
      </c>
      <c r="S358" s="25" t="s">
        <v>202</v>
      </c>
      <c r="T358" s="14" t="s">
        <v>236</v>
      </c>
      <c r="U358" s="14" t="s">
        <v>285</v>
      </c>
      <c r="V358" s="14" t="s">
        <v>359</v>
      </c>
      <c r="W358" s="14" t="s">
        <v>207</v>
      </c>
      <c r="X358" s="14" t="s">
        <v>207</v>
      </c>
      <c r="Y358" s="14">
        <v>4</v>
      </c>
      <c r="Z358" s="14">
        <v>3</v>
      </c>
      <c r="AA358" s="14">
        <v>4</v>
      </c>
      <c r="AB358" s="15">
        <f>IFERROR(AVERAGE(Tabel1[[#This Row],[Up - R1a]:[Up - R1c]]),"")</f>
        <v>3.6666666666666665</v>
      </c>
      <c r="AC358" s="14" t="s">
        <v>189</v>
      </c>
      <c r="AD358" s="14" t="s">
        <v>189</v>
      </c>
      <c r="AE358" s="14">
        <v>3</v>
      </c>
      <c r="AF358" s="14">
        <v>4</v>
      </c>
      <c r="AG358" s="14">
        <f>IFERROR(AVERAGE(Tabel1[[#This Row],[Up - R1]:[Up - R5]]),"")</f>
        <v>3.5555555555555554</v>
      </c>
      <c r="AH358" s="14">
        <v>5</v>
      </c>
      <c r="AI358" s="14">
        <v>4</v>
      </c>
      <c r="AJ358" s="14">
        <v>3</v>
      </c>
      <c r="AK358" s="14">
        <f>IFERROR(AVERAGE(Tabel1[[#This Row],[Up - C1a]:[Up - C1c]]),"")</f>
        <v>4</v>
      </c>
      <c r="AL358" s="14">
        <v>3</v>
      </c>
      <c r="AM358" s="14">
        <v>3</v>
      </c>
      <c r="AN358" s="14">
        <v>3</v>
      </c>
      <c r="AO358" s="14">
        <f>IFERROR(AVERAGE(Tabel1[[#This Row],[Up - C1]:[Up - C4]]),"")</f>
        <v>3.25</v>
      </c>
      <c r="AP358" s="14">
        <v>2</v>
      </c>
      <c r="AQ358" s="14">
        <f>IFERROR(AVERAGE(Tabel1[[#This Row],[Up - F1a]:[Up - F1a]]),"")</f>
        <v>2</v>
      </c>
      <c r="AR358" s="14">
        <v>3</v>
      </c>
      <c r="AS358" s="14">
        <v>4</v>
      </c>
      <c r="AT358" s="14">
        <f>IFERROR(AVERAGE(Tabel1[[#This Row],[Up - F2a]:[Up - F2b]]),"")</f>
        <v>3.5</v>
      </c>
      <c r="AU358" s="14">
        <v>3</v>
      </c>
      <c r="AV358" s="14">
        <v>2</v>
      </c>
      <c r="AW358" s="14">
        <f>IFERROR(AVERAGE(Tabel1[[#This Row],[Up - F3a]:[Up - F3b]]),"")</f>
        <v>2.5</v>
      </c>
      <c r="AX358" s="14">
        <v>3</v>
      </c>
      <c r="AY358" s="14">
        <f>IFERROR(AVERAGE(Tabel1[[#This Row],[Up - F1]],Tabel1[[#This Row],[Up - F2]],Tabel1[[#This Row],[Up - F3]],Tabel1[[#This Row],[Up - F4]]),"")</f>
        <v>2.75</v>
      </c>
      <c r="AZ358" s="14">
        <v>2</v>
      </c>
      <c r="BA358" s="14">
        <v>4</v>
      </c>
      <c r="BB358" s="14">
        <f>IFERROR(AVERAGE(Tabel1[[#This Row],[Up - V1a]:[Up - V1b]]),"")</f>
        <v>3</v>
      </c>
      <c r="BC358" s="14">
        <v>4</v>
      </c>
      <c r="BD358" s="14">
        <v>4</v>
      </c>
      <c r="BE358" s="14">
        <v>4</v>
      </c>
      <c r="BF358" s="14">
        <f>IFERROR(AVERAGE(Tabel1[[#This Row],[Up - V2a]:[Up - V2c]]),"")</f>
        <v>4</v>
      </c>
      <c r="BG358" s="14">
        <v>1</v>
      </c>
      <c r="BH358" s="14">
        <v>3</v>
      </c>
      <c r="BI358" s="14">
        <f>IFERROR(AVERAGE(Tabel1[[#This Row],[Up - V3a]:[Up - V3b]]),"")</f>
        <v>2</v>
      </c>
      <c r="BJ358" s="14" t="s">
        <v>189</v>
      </c>
      <c r="BK358" s="14">
        <f>IFERROR(AVERAGE(Tabel1[[#This Row],[Up - V1]],Tabel1[[#This Row],[Up - V2]],Tabel1[[#This Row],[Up - V3]],Tabel1[[#This Row],[Up - V4]]),"")</f>
        <v>3</v>
      </c>
      <c r="BL358" s="14">
        <v>4</v>
      </c>
      <c r="BM358" s="14">
        <v>4</v>
      </c>
      <c r="BN358" s="14">
        <v>4</v>
      </c>
      <c r="BO358" s="14">
        <v>4</v>
      </c>
      <c r="BP358" s="14">
        <f>IFERROR(AVERAGE(Tabel1[[#This Row],[Up - A1a]:[Up - A1d]]),"")</f>
        <v>4</v>
      </c>
      <c r="BQ358" s="14">
        <v>4</v>
      </c>
      <c r="BR358" s="14">
        <v>4</v>
      </c>
      <c r="BS358" s="14">
        <f>IFERROR(AVERAGE(Tabel1[[#This Row],[Up - A2a]:[Up - A2b]]),"")</f>
        <v>4</v>
      </c>
      <c r="BT358" s="14">
        <v>5</v>
      </c>
      <c r="BU358" s="14">
        <f>IFERROR(AVERAGE(Tabel1[[#This Row],[Up - A3a]:[Up - A3a]]),"")</f>
        <v>5</v>
      </c>
      <c r="BV358" s="14">
        <v>4</v>
      </c>
      <c r="BW358" s="14">
        <f>IFERROR(AVERAGE(Tabel1[[#This Row],[Up - A1]],Tabel1[[#This Row],[Up - A2]],Tabel1[[#This Row],[Up - A3]]),"")</f>
        <v>4.333333333333333</v>
      </c>
      <c r="BX358" s="14">
        <v>1</v>
      </c>
      <c r="BY358" s="14">
        <v>1</v>
      </c>
      <c r="BZ358" s="14">
        <f>IFERROR(AVERAGE(Tabel1[[#This Row],[In - R1a]:[In - R1b]]),"")</f>
        <v>1</v>
      </c>
      <c r="CA358" s="14">
        <v>5</v>
      </c>
      <c r="CB358" s="14">
        <v>2</v>
      </c>
      <c r="CC358" s="14">
        <v>1</v>
      </c>
      <c r="CD358" s="14">
        <v>5</v>
      </c>
      <c r="CE358" s="14">
        <f>IFERROR(AVERAGE(Tabel1[[#This Row],[In - R1]:[In - R5]]),"")</f>
        <v>2.8</v>
      </c>
      <c r="CF358" s="14">
        <v>5</v>
      </c>
      <c r="CG358" s="14">
        <v>4</v>
      </c>
      <c r="CH358" s="14">
        <v>4</v>
      </c>
      <c r="CI358" s="14">
        <f>IFERROR(AVERAGE(Tabel1[[#This Row],[In - C1a]:[In - C1c]]),"")</f>
        <v>4.333333333333333</v>
      </c>
      <c r="CJ358" s="14">
        <v>4</v>
      </c>
      <c r="CK358" s="14">
        <v>4</v>
      </c>
      <c r="CL358" s="14">
        <v>5</v>
      </c>
      <c r="CM358" s="14">
        <f>IFERROR(AVERAGE(Tabel1[[#This Row],[In - C1]:[In - C4]]),"")</f>
        <v>4.333333333333333</v>
      </c>
      <c r="CN358" s="14">
        <v>3</v>
      </c>
      <c r="CO358" s="14">
        <v>2</v>
      </c>
      <c r="CP358" s="14">
        <v>2</v>
      </c>
      <c r="CQ358" s="14">
        <f>IFERROR(AVERAGE(Tabel1[[#This Row],[In - F1a]:[In - F1c]]),"")</f>
        <v>2.3333333333333335</v>
      </c>
      <c r="CR358" s="14">
        <v>5</v>
      </c>
      <c r="CS358" s="14">
        <v>3</v>
      </c>
      <c r="CT358" s="14">
        <f>IFERROR(AVERAGE(Tabel1[[#This Row],[In - F2a]:[In - F2b]]),"")</f>
        <v>4</v>
      </c>
      <c r="CU358" s="14">
        <v>3</v>
      </c>
      <c r="CV358" s="14">
        <f>IFERROR(AVERAGE(Tabel1[[#This Row],[In - F3a]:[In - F3a]]),"")</f>
        <v>3</v>
      </c>
      <c r="CW358" s="14">
        <v>4</v>
      </c>
      <c r="CX358" s="14">
        <f>IFERROR(AVERAGE(Tabel1[[#This Row],[In - F1]],Tabel1[[#This Row],[In - F2]],Tabel1[[#This Row],[In - F3]],Tabel1[[#This Row],[In - F4]]),"")</f>
        <v>3.3333333333333335</v>
      </c>
      <c r="CY358" s="14">
        <v>4</v>
      </c>
      <c r="CZ358" s="14">
        <v>4</v>
      </c>
      <c r="DA358" s="14">
        <v>3</v>
      </c>
      <c r="DB358" s="14">
        <f>IFERROR(AVERAGE(Tabel1[[#This Row],[In - V1a]:[In - V1c]]),"")</f>
        <v>3.6666666666666665</v>
      </c>
      <c r="DC358" s="14">
        <v>4</v>
      </c>
      <c r="DD358" s="14">
        <v>4</v>
      </c>
      <c r="DE358" s="14">
        <v>5</v>
      </c>
      <c r="DF358" s="14">
        <f>IFERROR(AVERAGE(Tabel1[[#This Row],[In - V2a]:[In - V2c]]),"")</f>
        <v>4.333333333333333</v>
      </c>
      <c r="DG358" s="14">
        <v>5</v>
      </c>
      <c r="DH358" s="14">
        <v>5</v>
      </c>
      <c r="DI358" s="14">
        <f>IFERROR(AVERAGE(Tabel1[[#This Row],[In - V3a]:[In - V3b]]),"")</f>
        <v>5</v>
      </c>
      <c r="DJ358" s="14">
        <v>3</v>
      </c>
      <c r="DK358" s="14">
        <f>IFERROR(AVERAGE(Tabel1[[#This Row],[In - V1]],Tabel1[[#This Row],[In - V2]],Tabel1[[#This Row],[In - V3]],Tabel1[[#This Row],[In - V4]]),"")</f>
        <v>4</v>
      </c>
      <c r="DL358" s="14">
        <v>4</v>
      </c>
      <c r="DM358" s="14">
        <v>4</v>
      </c>
      <c r="DN358" s="14">
        <f>IFERROR(AVERAGE(Tabel1[[#This Row],[In - A1a]:[In - A1b]]),"")</f>
        <v>4</v>
      </c>
      <c r="DO358" s="14">
        <v>4</v>
      </c>
      <c r="DP358" s="14">
        <v>4</v>
      </c>
      <c r="DQ358" s="14">
        <f>IFERROR(AVERAGE(Tabel1[[#This Row],[In - A2a]:[In - A2b]]),"")</f>
        <v>4</v>
      </c>
      <c r="DR358" s="14">
        <v>5</v>
      </c>
      <c r="DS358" s="14">
        <v>3</v>
      </c>
      <c r="DT358" s="14">
        <f>IFERROR(AVERAGE(Tabel1[[#This Row],[In - A3a]:[In - A3a]]),"")</f>
        <v>5</v>
      </c>
      <c r="DU358" s="14">
        <v>5</v>
      </c>
      <c r="DV358" s="14">
        <f>IFERROR(AVERAGE(Tabel1[[#This Row],[In - A1]],Tabel1[[#This Row],[In - A2]],Tabel1[[#This Row],[In - A3]],Tabel1[[#This Row],[In - A4]]),"")</f>
        <v>4.5</v>
      </c>
      <c r="DW358" s="14">
        <v>1</v>
      </c>
      <c r="DX358" s="14">
        <v>4</v>
      </c>
      <c r="DY358" s="14">
        <v>2</v>
      </c>
      <c r="DZ358" s="14">
        <f>IFERROR(AVERAGE(Tabel1[[#This Row],[Do - R1a]:[Do - R1c]]),"")</f>
        <v>2.3333333333333335</v>
      </c>
      <c r="EA358" s="14">
        <v>3</v>
      </c>
      <c r="EB358" s="14" t="s">
        <v>189</v>
      </c>
      <c r="EC358" s="14" t="s">
        <v>189</v>
      </c>
      <c r="ED358" s="14">
        <v>4</v>
      </c>
      <c r="EE358" s="14">
        <f>IFERROR(AVERAGE(Tabel1[[#This Row],[Do - R1]:[Do - R5]]),"")</f>
        <v>3.1111111111111112</v>
      </c>
      <c r="EF358" s="14">
        <v>5</v>
      </c>
      <c r="EG358" s="14">
        <v>5</v>
      </c>
      <c r="EH358" s="14">
        <v>4</v>
      </c>
      <c r="EI358" s="14">
        <f>IFERROR(AVERAGE(Tabel1[[#This Row],[Do - C1a]:[Do - C1c]]),"")</f>
        <v>4.666666666666667</v>
      </c>
      <c r="EJ358" s="14">
        <v>4</v>
      </c>
      <c r="EK358" s="14">
        <v>4</v>
      </c>
      <c r="EL358" s="14">
        <v>3</v>
      </c>
      <c r="EM358" s="14">
        <f>IFERROR(AVERAGE(Tabel1[[#This Row],[Do - C1]:[Do - C4]]),"")</f>
        <v>3.916666666666667</v>
      </c>
      <c r="EN358" s="14" t="s">
        <v>189</v>
      </c>
      <c r="EO358" s="14">
        <v>4</v>
      </c>
      <c r="EP358" s="14">
        <v>3</v>
      </c>
      <c r="EQ358" s="14">
        <f>IFERROR(AVERAGE(Tabel1[[#This Row],[Do - F1a]:[Do - F1c]]),"")</f>
        <v>3.5</v>
      </c>
      <c r="ER358" s="14">
        <v>4</v>
      </c>
      <c r="ES358" s="14">
        <f>IFERROR(AVERAGE(Tabel1[[#This Row],[Do - F2a]:[Do - F2a]]),"")</f>
        <v>4</v>
      </c>
      <c r="ET358" s="14">
        <v>2</v>
      </c>
      <c r="EU358" s="14">
        <v>4</v>
      </c>
      <c r="EV358" s="14">
        <f>IFERROR(AVERAGE(Tabel1[[#This Row],[Do - F3a]:[Do - F3b]]),"")</f>
        <v>3</v>
      </c>
      <c r="EW358" s="14" t="s">
        <v>189</v>
      </c>
      <c r="EX358" s="14">
        <f>IFERROR(AVERAGE(Tabel1[[#This Row],[Do - F1]],Tabel1[[#This Row],[Do - F2]],Tabel1[[#This Row],[Do - F3]],Tabel1[[#This Row],[Do - F4]]),"")</f>
        <v>3.5</v>
      </c>
      <c r="EY358" s="14">
        <v>3</v>
      </c>
      <c r="EZ358" s="14">
        <v>4</v>
      </c>
      <c r="FA358" s="14">
        <v>4</v>
      </c>
      <c r="FB358" s="14">
        <f>IFERROR(AVERAGE(Tabel1[[#This Row],[Do - V1a]:[Do - V1c]]),"")</f>
        <v>3.6666666666666665</v>
      </c>
      <c r="FC358" s="14">
        <v>4</v>
      </c>
      <c r="FD358" s="14">
        <v>3</v>
      </c>
      <c r="FE358" s="14">
        <f>IFERROR(AVERAGE(Tabel1[[#This Row],[Do - V2a]:[Do - V2b]]),"")</f>
        <v>3.5</v>
      </c>
      <c r="FF358" s="14">
        <v>3</v>
      </c>
      <c r="FG358" s="14">
        <f>IFERROR(AVERAGE(Tabel1[[#This Row],[Do - V3a]:[Do - V3a]]),"")</f>
        <v>3</v>
      </c>
      <c r="FH358" s="14">
        <v>4</v>
      </c>
      <c r="FI358" s="14">
        <f>IFERROR(AVERAGE(Tabel1[[#This Row],[Do - V1]],Tabel1[[#This Row],[Do - V2]],Tabel1[[#This Row],[Do - V3]],Tabel1[[#This Row],[Do - V4]]),"")</f>
        <v>3.5416666666666665</v>
      </c>
      <c r="FJ358" s="14">
        <v>4</v>
      </c>
      <c r="FK358" s="14">
        <v>4</v>
      </c>
      <c r="FL358" s="14">
        <v>4</v>
      </c>
      <c r="FM358" s="14">
        <f>IFERROR(AVERAGE(Tabel1[[#This Row],[Do - A1a]:[Do - A1c]]),"")</f>
        <v>4</v>
      </c>
      <c r="FN358" s="14">
        <v>4</v>
      </c>
      <c r="FO358" s="14">
        <v>3</v>
      </c>
      <c r="FP358" s="14">
        <f>IFERROR(AVERAGE(Tabel1[[#This Row],[Do - A2a]:[Do - A2b]]),"")</f>
        <v>3.5</v>
      </c>
      <c r="FQ358" s="14">
        <v>4</v>
      </c>
      <c r="FR358" s="14">
        <f>IFERROR(AVERAGE(Tabel1[[#This Row],[Do - A3a]:[Do - A3a]]),"")</f>
        <v>4</v>
      </c>
      <c r="FS358" s="14">
        <v>4</v>
      </c>
      <c r="FT358" s="14">
        <f>IFERROR(AVERAGE(Tabel1[[#This Row],[Do - A1]],Tabel1[[#This Row],[Do - A2]],Tabel1[[#This Row],[Do - A3]],Tabel1[[#This Row],[Do - A4]]),"")</f>
        <v>3.875</v>
      </c>
      <c r="FU35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3.5866666666666664</v>
      </c>
      <c r="FV358" s="27" t="s">
        <v>1839</v>
      </c>
      <c r="FW358" t="b">
        <v>1</v>
      </c>
    </row>
    <row r="359" spans="1:179" x14ac:dyDescent="0.3">
      <c r="A359" s="13">
        <v>45520.545543981498</v>
      </c>
      <c r="B359" t="b">
        <v>0</v>
      </c>
      <c r="C359" s="14" t="s">
        <v>1840</v>
      </c>
      <c r="D359" s="14" t="s">
        <v>296</v>
      </c>
      <c r="E359" s="14" t="s">
        <v>639</v>
      </c>
      <c r="F359" s="14" t="s">
        <v>184</v>
      </c>
      <c r="G359" s="14" t="s">
        <v>1841</v>
      </c>
      <c r="H359" s="14" t="s">
        <v>222</v>
      </c>
      <c r="I359" s="14" t="s">
        <v>195</v>
      </c>
      <c r="J359" s="14" t="s">
        <v>261</v>
      </c>
      <c r="K359" s="28" t="s">
        <v>201</v>
      </c>
      <c r="L359" s="14" t="s">
        <v>218</v>
      </c>
      <c r="M359" s="14" t="s">
        <v>233</v>
      </c>
      <c r="N359" s="14" t="s">
        <v>262</v>
      </c>
      <c r="O359" s="14" t="s">
        <v>200</v>
      </c>
      <c r="P359" s="24" t="s">
        <v>255</v>
      </c>
      <c r="Q359" s="17" t="s">
        <v>304</v>
      </c>
      <c r="R359" s="25" t="s">
        <v>201</v>
      </c>
      <c r="S359" s="25" t="s">
        <v>202</v>
      </c>
      <c r="T359" s="14" t="s">
        <v>236</v>
      </c>
      <c r="U359" s="14" t="s">
        <v>285</v>
      </c>
      <c r="V359" s="14" t="s">
        <v>359</v>
      </c>
      <c r="W359" s="14" t="s">
        <v>207</v>
      </c>
      <c r="X359" s="14" t="s">
        <v>207</v>
      </c>
      <c r="Y359" s="14">
        <v>3</v>
      </c>
      <c r="Z359" s="14">
        <v>2</v>
      </c>
      <c r="AA359" s="14" t="s">
        <v>189</v>
      </c>
      <c r="AB359" s="15">
        <f>IFERROR(AVERAGE(Tabel1[[#This Row],[Up - R1a]:[Up - R1c]]),"")</f>
        <v>2.5</v>
      </c>
      <c r="AC359" s="14">
        <v>2</v>
      </c>
      <c r="AD359" s="14">
        <v>2</v>
      </c>
      <c r="AE359" s="14">
        <v>1</v>
      </c>
      <c r="AF359" s="14" t="s">
        <v>189</v>
      </c>
      <c r="AG359" s="14">
        <f>IFERROR(AVERAGE(Tabel1[[#This Row],[Up - R1]:[Up - R5]]),"")</f>
        <v>1.875</v>
      </c>
      <c r="AH359" s="14">
        <v>4</v>
      </c>
      <c r="AI359" s="14">
        <v>3</v>
      </c>
      <c r="AJ359" s="14">
        <v>3</v>
      </c>
      <c r="AK359" s="14">
        <f>IFERROR(AVERAGE(Tabel1[[#This Row],[Up - C1a]:[Up - C1c]]),"")</f>
        <v>3.3333333333333335</v>
      </c>
      <c r="AL359" s="14">
        <v>2</v>
      </c>
      <c r="AM359" s="14">
        <v>3</v>
      </c>
      <c r="AN359" s="14" t="s">
        <v>189</v>
      </c>
      <c r="AO359" s="14">
        <f>IFERROR(AVERAGE(Tabel1[[#This Row],[Up - C1]:[Up - C4]]),"")</f>
        <v>2.7777777777777781</v>
      </c>
      <c r="AP359" s="14">
        <v>2</v>
      </c>
      <c r="AQ359" s="14">
        <f>IFERROR(AVERAGE(Tabel1[[#This Row],[Up - F1a]:[Up - F1a]]),"")</f>
        <v>2</v>
      </c>
      <c r="AR359" s="14">
        <v>1</v>
      </c>
      <c r="AS359" s="14">
        <v>1</v>
      </c>
      <c r="AT359" s="14">
        <f>IFERROR(AVERAGE(Tabel1[[#This Row],[Up - F2a]:[Up - F2b]]),"")</f>
        <v>1</v>
      </c>
      <c r="AU359" s="14">
        <v>2</v>
      </c>
      <c r="AV359" s="14" t="s">
        <v>189</v>
      </c>
      <c r="AW359" s="14">
        <f>IFERROR(AVERAGE(Tabel1[[#This Row],[Up - F3a]:[Up - F3b]]),"")</f>
        <v>2</v>
      </c>
      <c r="AX359" s="14" t="s">
        <v>189</v>
      </c>
      <c r="AY359" s="14">
        <f>IFERROR(AVERAGE(Tabel1[[#This Row],[Up - F1]],Tabel1[[#This Row],[Up - F2]],Tabel1[[#This Row],[Up - F3]],Tabel1[[#This Row],[Up - F4]]),"")</f>
        <v>1.6666666666666667</v>
      </c>
      <c r="AZ359" s="14">
        <v>1</v>
      </c>
      <c r="BA359" s="14">
        <v>2</v>
      </c>
      <c r="BB359" s="14">
        <f>IFERROR(AVERAGE(Tabel1[[#This Row],[Up - V1a]:[Up - V1b]]),"")</f>
        <v>1.5</v>
      </c>
      <c r="BC359" s="14" t="s">
        <v>189</v>
      </c>
      <c r="BD359" s="14">
        <v>2</v>
      </c>
      <c r="BE359" s="14">
        <v>2</v>
      </c>
      <c r="BF359" s="14">
        <f>IFERROR(AVERAGE(Tabel1[[#This Row],[Up - V2a]:[Up - V2c]]),"")</f>
        <v>2</v>
      </c>
      <c r="BG359" s="14">
        <v>2</v>
      </c>
      <c r="BH359" s="14" t="s">
        <v>189</v>
      </c>
      <c r="BI359" s="14">
        <f>IFERROR(AVERAGE(Tabel1[[#This Row],[Up - V3a]:[Up - V3b]]),"")</f>
        <v>2</v>
      </c>
      <c r="BJ359" s="14" t="s">
        <v>189</v>
      </c>
      <c r="BK359" s="14">
        <f>IFERROR(AVERAGE(Tabel1[[#This Row],[Up - V1]],Tabel1[[#This Row],[Up - V2]],Tabel1[[#This Row],[Up - V3]],Tabel1[[#This Row],[Up - V4]]),"")</f>
        <v>1.8333333333333333</v>
      </c>
      <c r="BL359" s="14">
        <v>4</v>
      </c>
      <c r="BM359" s="14">
        <v>4</v>
      </c>
      <c r="BN359" s="14">
        <v>4</v>
      </c>
      <c r="BO359" s="14">
        <v>3</v>
      </c>
      <c r="BP359" s="14">
        <f>IFERROR(AVERAGE(Tabel1[[#This Row],[Up - A1a]:[Up - A1d]]),"")</f>
        <v>3.75</v>
      </c>
      <c r="BQ359" s="14">
        <v>3</v>
      </c>
      <c r="BR359" s="14" t="s">
        <v>189</v>
      </c>
      <c r="BS359" s="14">
        <f>IFERROR(AVERAGE(Tabel1[[#This Row],[Up - A2a]:[Up - A2b]]),"")</f>
        <v>3</v>
      </c>
      <c r="BT359" s="14">
        <v>4</v>
      </c>
      <c r="BU359" s="14">
        <f>IFERROR(AVERAGE(Tabel1[[#This Row],[Up - A3a]:[Up - A3a]]),"")</f>
        <v>4</v>
      </c>
      <c r="BV359" s="14" t="s">
        <v>189</v>
      </c>
      <c r="BW359" s="14">
        <f>IFERROR(AVERAGE(Tabel1[[#This Row],[Up - A1]],Tabel1[[#This Row],[Up - A2]],Tabel1[[#This Row],[Up - A3]]),"")</f>
        <v>3.5833333333333335</v>
      </c>
      <c r="BX359" s="14">
        <v>2</v>
      </c>
      <c r="BY359" s="14" t="s">
        <v>189</v>
      </c>
      <c r="BZ359" s="14">
        <f>IFERROR(AVERAGE(Tabel1[[#This Row],[In - R1a]:[In - R1b]]),"")</f>
        <v>2</v>
      </c>
      <c r="CA359" s="14">
        <v>4</v>
      </c>
      <c r="CB359" s="14" t="s">
        <v>189</v>
      </c>
      <c r="CC359" s="14">
        <v>1</v>
      </c>
      <c r="CD359" s="14" t="s">
        <v>189</v>
      </c>
      <c r="CE359" s="14">
        <f>IFERROR(AVERAGE(Tabel1[[#This Row],[In - R1]:[In - R5]]),"")</f>
        <v>2.3333333333333335</v>
      </c>
      <c r="CF359" s="14">
        <v>4</v>
      </c>
      <c r="CG359" s="14">
        <v>3</v>
      </c>
      <c r="CH359" s="14">
        <v>3</v>
      </c>
      <c r="CI359" s="14">
        <f>IFERROR(AVERAGE(Tabel1[[#This Row],[In - C1a]:[In - C1c]]),"")</f>
        <v>3.3333333333333335</v>
      </c>
      <c r="CJ359" s="14">
        <v>3</v>
      </c>
      <c r="CK359" s="14">
        <v>2</v>
      </c>
      <c r="CL359" s="14">
        <v>1</v>
      </c>
      <c r="CM359" s="14">
        <f>IFERROR(AVERAGE(Tabel1[[#This Row],[In - C1]:[In - C4]]),"")</f>
        <v>2.3333333333333335</v>
      </c>
      <c r="CN359" s="14">
        <v>3</v>
      </c>
      <c r="CO359" s="14">
        <v>2</v>
      </c>
      <c r="CP359" s="14" t="s">
        <v>189</v>
      </c>
      <c r="CQ359" s="14">
        <f>IFERROR(AVERAGE(Tabel1[[#This Row],[In - F1a]:[In - F1c]]),"")</f>
        <v>2.5</v>
      </c>
      <c r="CR359" s="14">
        <v>3</v>
      </c>
      <c r="CS359" s="14">
        <v>2</v>
      </c>
      <c r="CT359" s="14">
        <f>IFERROR(AVERAGE(Tabel1[[#This Row],[In - F2a]:[In - F2b]]),"")</f>
        <v>2.5</v>
      </c>
      <c r="CU359" s="14">
        <v>1</v>
      </c>
      <c r="CV359" s="14">
        <f>IFERROR(AVERAGE(Tabel1[[#This Row],[In - F3a]:[In - F3a]]),"")</f>
        <v>1</v>
      </c>
      <c r="CW359" s="14" t="s">
        <v>189</v>
      </c>
      <c r="CX359" s="14">
        <f>IFERROR(AVERAGE(Tabel1[[#This Row],[In - F1]],Tabel1[[#This Row],[In - F2]],Tabel1[[#This Row],[In - F3]],Tabel1[[#This Row],[In - F4]]),"")</f>
        <v>2</v>
      </c>
      <c r="CY359" s="14">
        <v>2</v>
      </c>
      <c r="CZ359" s="14">
        <v>2</v>
      </c>
      <c r="DA359" s="14">
        <v>1</v>
      </c>
      <c r="DB359" s="14">
        <f>IFERROR(AVERAGE(Tabel1[[#This Row],[In - V1a]:[In - V1c]]),"")</f>
        <v>1.6666666666666667</v>
      </c>
      <c r="DC359" s="14">
        <v>2</v>
      </c>
      <c r="DD359" s="14">
        <v>2</v>
      </c>
      <c r="DE359" s="14">
        <v>4</v>
      </c>
      <c r="DF359" s="14">
        <f>IFERROR(AVERAGE(Tabel1[[#This Row],[In - V2a]:[In - V2c]]),"")</f>
        <v>2.6666666666666665</v>
      </c>
      <c r="DG359" s="14">
        <v>1</v>
      </c>
      <c r="DH359" s="14">
        <v>3</v>
      </c>
      <c r="DI359" s="14">
        <f>IFERROR(AVERAGE(Tabel1[[#This Row],[In - V3a]:[In - V3b]]),"")</f>
        <v>2</v>
      </c>
      <c r="DJ359" s="14" t="s">
        <v>189</v>
      </c>
      <c r="DK359" s="14">
        <f>IFERROR(AVERAGE(Tabel1[[#This Row],[In - V1]],Tabel1[[#This Row],[In - V2]],Tabel1[[#This Row],[In - V3]],Tabel1[[#This Row],[In - V4]]),"")</f>
        <v>2.1111111111111112</v>
      </c>
      <c r="DL359" s="14">
        <v>4</v>
      </c>
      <c r="DM359" s="14">
        <v>2</v>
      </c>
      <c r="DN359" s="14">
        <f>IFERROR(AVERAGE(Tabel1[[#This Row],[In - A1a]:[In - A1b]]),"")</f>
        <v>3</v>
      </c>
      <c r="DO359" s="14">
        <v>1</v>
      </c>
      <c r="DP359" s="14">
        <v>3</v>
      </c>
      <c r="DQ359" s="14">
        <f>IFERROR(AVERAGE(Tabel1[[#This Row],[In - A2a]:[In - A2b]]),"")</f>
        <v>2</v>
      </c>
      <c r="DR359" s="14">
        <v>3</v>
      </c>
      <c r="DS359" s="14">
        <v>4</v>
      </c>
      <c r="DT359" s="14">
        <f>IFERROR(AVERAGE(Tabel1[[#This Row],[In - A3a]:[In - A3a]]),"")</f>
        <v>3</v>
      </c>
      <c r="DU359" s="14" t="s">
        <v>189</v>
      </c>
      <c r="DV359" s="14">
        <f>IFERROR(AVERAGE(Tabel1[[#This Row],[In - A1]],Tabel1[[#This Row],[In - A2]],Tabel1[[#This Row],[In - A3]],Tabel1[[#This Row],[In - A4]]),"")</f>
        <v>2.6666666666666665</v>
      </c>
      <c r="DW359" s="14">
        <v>4</v>
      </c>
      <c r="DX359" s="14">
        <v>3</v>
      </c>
      <c r="DY359" s="14">
        <v>4</v>
      </c>
      <c r="DZ359" s="14">
        <f>IFERROR(AVERAGE(Tabel1[[#This Row],[Do - R1a]:[Do - R1c]]),"")</f>
        <v>3.6666666666666665</v>
      </c>
      <c r="EA359" s="14" t="s">
        <v>189</v>
      </c>
      <c r="EB359" s="14">
        <v>1</v>
      </c>
      <c r="EC359" s="14">
        <v>4</v>
      </c>
      <c r="ED359" s="14" t="s">
        <v>189</v>
      </c>
      <c r="EE359" s="14">
        <f>IFERROR(AVERAGE(Tabel1[[#This Row],[Do - R1]:[Do - R5]]),"")</f>
        <v>2.8888888888888888</v>
      </c>
      <c r="EF359" s="14">
        <v>4</v>
      </c>
      <c r="EG359" s="14">
        <v>4</v>
      </c>
      <c r="EH359" s="14">
        <v>1</v>
      </c>
      <c r="EI359" s="14">
        <f>IFERROR(AVERAGE(Tabel1[[#This Row],[Do - C1a]:[Do - C1c]]),"")</f>
        <v>3</v>
      </c>
      <c r="EJ359" s="14">
        <v>3</v>
      </c>
      <c r="EK359" s="14" t="s">
        <v>189</v>
      </c>
      <c r="EL359" s="14" t="s">
        <v>189</v>
      </c>
      <c r="EM359" s="14">
        <f>IFERROR(AVERAGE(Tabel1[[#This Row],[Do - C1]:[Do - C4]]),"")</f>
        <v>3</v>
      </c>
      <c r="EN359" s="14">
        <v>1</v>
      </c>
      <c r="EO359" s="14">
        <v>1</v>
      </c>
      <c r="EP359" s="14" t="s">
        <v>189</v>
      </c>
      <c r="EQ359" s="14">
        <f>IFERROR(AVERAGE(Tabel1[[#This Row],[Do - F1a]:[Do - F1c]]),"")</f>
        <v>1</v>
      </c>
      <c r="ER359" s="14">
        <v>1</v>
      </c>
      <c r="ES359" s="14">
        <f>IFERROR(AVERAGE(Tabel1[[#This Row],[Do - F2a]:[Do - F2a]]),"")</f>
        <v>1</v>
      </c>
      <c r="ET359" s="14">
        <v>3</v>
      </c>
      <c r="EU359" s="14">
        <v>1</v>
      </c>
      <c r="EV359" s="14">
        <f>IFERROR(AVERAGE(Tabel1[[#This Row],[Do - F3a]:[Do - F3b]]),"")</f>
        <v>2</v>
      </c>
      <c r="EW359" s="14" t="s">
        <v>189</v>
      </c>
      <c r="EX359" s="14">
        <f>IFERROR(AVERAGE(Tabel1[[#This Row],[Do - F1]],Tabel1[[#This Row],[Do - F2]],Tabel1[[#This Row],[Do - F3]],Tabel1[[#This Row],[Do - F4]]),"")</f>
        <v>1.3333333333333333</v>
      </c>
      <c r="EY359" s="14">
        <v>3</v>
      </c>
      <c r="EZ359" s="14">
        <v>1</v>
      </c>
      <c r="FA359" s="14">
        <v>4</v>
      </c>
      <c r="FB359" s="14">
        <f>IFERROR(AVERAGE(Tabel1[[#This Row],[Do - V1a]:[Do - V1c]]),"")</f>
        <v>2.6666666666666665</v>
      </c>
      <c r="FC359" s="14" t="s">
        <v>189</v>
      </c>
      <c r="FD359" s="14">
        <v>1</v>
      </c>
      <c r="FE359" s="14">
        <f>IFERROR(AVERAGE(Tabel1[[#This Row],[Do - V2a]:[Do - V2b]]),"")</f>
        <v>1</v>
      </c>
      <c r="FF359" s="14">
        <v>2</v>
      </c>
      <c r="FG359" s="14">
        <f>IFERROR(AVERAGE(Tabel1[[#This Row],[Do - V3a]:[Do - V3a]]),"")</f>
        <v>2</v>
      </c>
      <c r="FH359" s="14" t="s">
        <v>189</v>
      </c>
      <c r="FI359" s="14">
        <f>IFERROR(AVERAGE(Tabel1[[#This Row],[Do - V1]],Tabel1[[#This Row],[Do - V2]],Tabel1[[#This Row],[Do - V3]],Tabel1[[#This Row],[Do - V4]]),"")</f>
        <v>1.8888888888888886</v>
      </c>
      <c r="FJ359" s="14">
        <v>5</v>
      </c>
      <c r="FK359" s="14">
        <v>5</v>
      </c>
      <c r="FL359" s="14">
        <v>4</v>
      </c>
      <c r="FM359" s="14">
        <f>IFERROR(AVERAGE(Tabel1[[#This Row],[Do - A1a]:[Do - A1c]]),"")</f>
        <v>4.666666666666667</v>
      </c>
      <c r="FN359" s="14" t="s">
        <v>189</v>
      </c>
      <c r="FO359" s="14" t="s">
        <v>189</v>
      </c>
      <c r="FP359" s="14" t="str">
        <f>IFERROR(AVERAGE(Tabel1[[#This Row],[Do - A2a]:[Do - A2b]]),"")</f>
        <v/>
      </c>
      <c r="FQ359" s="14">
        <v>1</v>
      </c>
      <c r="FR359" s="14">
        <f>IFERROR(AVERAGE(Tabel1[[#This Row],[Do - A3a]:[Do - A3a]]),"")</f>
        <v>1</v>
      </c>
      <c r="FS359" s="14" t="s">
        <v>189</v>
      </c>
      <c r="FT359" s="14">
        <f>IFERROR(AVERAGE(Tabel1[[#This Row],[Do - A1]],Tabel1[[#This Row],[Do - A2]],Tabel1[[#This Row],[Do - A3]],Tabel1[[#This Row],[Do - A4]]),"")</f>
        <v>2.8333333333333335</v>
      </c>
      <c r="FU35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2.3416666666666668</v>
      </c>
      <c r="FV359" s="27" t="s">
        <v>1842</v>
      </c>
      <c r="FW359" t="b">
        <v>1</v>
      </c>
    </row>
    <row r="360" spans="1:179" x14ac:dyDescent="0.3">
      <c r="A360" s="13">
        <v>45523.608842592599</v>
      </c>
      <c r="B360" t="b">
        <v>0</v>
      </c>
      <c r="C360" s="14" t="s">
        <v>1843</v>
      </c>
      <c r="D360" s="14" t="s">
        <v>1844</v>
      </c>
      <c r="E360" s="14" t="s">
        <v>639</v>
      </c>
      <c r="F360" s="14" t="s">
        <v>184</v>
      </c>
      <c r="G360" s="14" t="s">
        <v>1845</v>
      </c>
      <c r="H360" s="14" t="s">
        <v>222</v>
      </c>
      <c r="I360" s="14" t="s">
        <v>195</v>
      </c>
      <c r="J360" s="14" t="s">
        <v>261</v>
      </c>
      <c r="K360" s="28" t="s">
        <v>201</v>
      </c>
      <c r="L360" s="14" t="s">
        <v>218</v>
      </c>
      <c r="M360" s="14" t="s">
        <v>233</v>
      </c>
      <c r="N360" s="14" t="s">
        <v>262</v>
      </c>
      <c r="O360" s="14" t="s">
        <v>200</v>
      </c>
      <c r="P360" s="24" t="s">
        <v>255</v>
      </c>
      <c r="Q360" s="17" t="s">
        <v>304</v>
      </c>
      <c r="R360" s="25" t="s">
        <v>202</v>
      </c>
      <c r="S360" s="25" t="s">
        <v>201</v>
      </c>
      <c r="T360" s="14" t="s">
        <v>236</v>
      </c>
      <c r="U360" s="14" t="s">
        <v>285</v>
      </c>
      <c r="V360" s="14" t="s">
        <v>359</v>
      </c>
      <c r="W360" s="14" t="s">
        <v>306</v>
      </c>
      <c r="X360" s="14" t="s">
        <v>395</v>
      </c>
      <c r="Y360" s="14">
        <v>4</v>
      </c>
      <c r="Z360" s="14">
        <v>3</v>
      </c>
      <c r="AA360" s="14">
        <v>4</v>
      </c>
      <c r="AB360" s="15">
        <f>IFERROR(AVERAGE(Tabel1[[#This Row],[Up - R1a]:[Up - R1c]]),"")</f>
        <v>3.6666666666666665</v>
      </c>
      <c r="AC360" s="14">
        <v>3</v>
      </c>
      <c r="AD360" s="14">
        <v>3</v>
      </c>
      <c r="AE360" s="14">
        <v>3</v>
      </c>
      <c r="AF360" s="14">
        <v>4</v>
      </c>
      <c r="AG360" s="14">
        <f>IFERROR(AVERAGE(Tabel1[[#This Row],[Up - R1]:[Up - R5]]),"")</f>
        <v>3.333333333333333</v>
      </c>
      <c r="AH360" s="14">
        <v>5</v>
      </c>
      <c r="AI360" s="14">
        <v>5</v>
      </c>
      <c r="AJ360" s="14">
        <v>3</v>
      </c>
      <c r="AK360" s="14">
        <f>IFERROR(AVERAGE(Tabel1[[#This Row],[Up - C1a]:[Up - C1c]]),"")</f>
        <v>4.333333333333333</v>
      </c>
      <c r="AL360" s="14">
        <v>2</v>
      </c>
      <c r="AM360" s="14">
        <v>2</v>
      </c>
      <c r="AN360" s="14">
        <v>2</v>
      </c>
      <c r="AO360" s="14">
        <f>IFERROR(AVERAGE(Tabel1[[#This Row],[Up - C1]:[Up - C4]]),"")</f>
        <v>2.583333333333333</v>
      </c>
      <c r="AP360" s="14">
        <v>4</v>
      </c>
      <c r="AQ360" s="14">
        <f>IFERROR(AVERAGE(Tabel1[[#This Row],[Up - F1a]:[Up - F1a]]),"")</f>
        <v>4</v>
      </c>
      <c r="AR360" s="14">
        <v>3</v>
      </c>
      <c r="AS360" s="14">
        <v>3</v>
      </c>
      <c r="AT360" s="14">
        <f>IFERROR(AVERAGE(Tabel1[[#This Row],[Up - F2a]:[Up - F2b]]),"")</f>
        <v>3</v>
      </c>
      <c r="AU360" s="14">
        <v>1</v>
      </c>
      <c r="AV360" s="14">
        <v>3</v>
      </c>
      <c r="AW360" s="14">
        <f>IFERROR(AVERAGE(Tabel1[[#This Row],[Up - F3a]:[Up - F3b]]),"")</f>
        <v>2</v>
      </c>
      <c r="AX360" s="14">
        <v>4</v>
      </c>
      <c r="AY360" s="14">
        <f>IFERROR(AVERAGE(Tabel1[[#This Row],[Up - F1]],Tabel1[[#This Row],[Up - F2]],Tabel1[[#This Row],[Up - F3]],Tabel1[[#This Row],[Up - F4]]),"")</f>
        <v>3.25</v>
      </c>
      <c r="AZ360" s="14">
        <v>3</v>
      </c>
      <c r="BA360" s="14">
        <v>4</v>
      </c>
      <c r="BB360" s="14">
        <f>IFERROR(AVERAGE(Tabel1[[#This Row],[Up - V1a]:[Up - V1b]]),"")</f>
        <v>3.5</v>
      </c>
      <c r="BC360" s="14">
        <v>3</v>
      </c>
      <c r="BD360" s="14">
        <v>2</v>
      </c>
      <c r="BE360" s="14">
        <v>2</v>
      </c>
      <c r="BF360" s="14">
        <f>IFERROR(AVERAGE(Tabel1[[#This Row],[Up - V2a]:[Up - V2c]]),"")</f>
        <v>2.3333333333333335</v>
      </c>
      <c r="BG360" s="14">
        <v>4</v>
      </c>
      <c r="BH360" s="14">
        <v>2</v>
      </c>
      <c r="BI360" s="14">
        <f>IFERROR(AVERAGE(Tabel1[[#This Row],[Up - V3a]:[Up - V3b]]),"")</f>
        <v>3</v>
      </c>
      <c r="BJ360" s="14">
        <v>4</v>
      </c>
      <c r="BK360" s="14">
        <f>IFERROR(AVERAGE(Tabel1[[#This Row],[Up - V1]],Tabel1[[#This Row],[Up - V2]],Tabel1[[#This Row],[Up - V3]],Tabel1[[#This Row],[Up - V4]]),"")</f>
        <v>3.2083333333333335</v>
      </c>
      <c r="BL360" s="14">
        <v>4</v>
      </c>
      <c r="BM360" s="14">
        <v>3</v>
      </c>
      <c r="BN360" s="14">
        <v>2</v>
      </c>
      <c r="BO360" s="14">
        <v>3</v>
      </c>
      <c r="BP360" s="14">
        <f>IFERROR(AVERAGE(Tabel1[[#This Row],[Up - A1a]:[Up - A1d]]),"")</f>
        <v>3</v>
      </c>
      <c r="BQ360" s="14">
        <v>2</v>
      </c>
      <c r="BR360" s="14">
        <v>3</v>
      </c>
      <c r="BS360" s="14">
        <f>IFERROR(AVERAGE(Tabel1[[#This Row],[Up - A2a]:[Up - A2b]]),"")</f>
        <v>2.5</v>
      </c>
      <c r="BT360" s="14">
        <v>3</v>
      </c>
      <c r="BU360" s="14">
        <f>IFERROR(AVERAGE(Tabel1[[#This Row],[Up - A3a]:[Up - A3a]]),"")</f>
        <v>3</v>
      </c>
      <c r="BV360" s="14">
        <v>3</v>
      </c>
      <c r="BW360" s="14">
        <f>IFERROR(AVERAGE(Tabel1[[#This Row],[Up - A1]],Tabel1[[#This Row],[Up - A2]],Tabel1[[#This Row],[Up - A3]]),"")</f>
        <v>2.8333333333333335</v>
      </c>
      <c r="BX360" s="14">
        <v>2</v>
      </c>
      <c r="BY360" s="14">
        <v>1</v>
      </c>
      <c r="BZ360" s="14">
        <f>IFERROR(AVERAGE(Tabel1[[#This Row],[In - R1a]:[In - R1b]]),"")</f>
        <v>1.5</v>
      </c>
      <c r="CA360" s="14">
        <v>4</v>
      </c>
      <c r="CB360" s="14">
        <v>2</v>
      </c>
      <c r="CC360" s="14">
        <v>1</v>
      </c>
      <c r="CD360" s="14">
        <v>5</v>
      </c>
      <c r="CE360" s="14">
        <f>IFERROR(AVERAGE(Tabel1[[#This Row],[In - R1]:[In - R5]]),"")</f>
        <v>2.7</v>
      </c>
      <c r="CF360" s="14">
        <v>4</v>
      </c>
      <c r="CG360" s="14">
        <v>5</v>
      </c>
      <c r="CH360" s="14">
        <v>4</v>
      </c>
      <c r="CI360" s="14">
        <f>IFERROR(AVERAGE(Tabel1[[#This Row],[In - C1a]:[In - C1c]]),"")</f>
        <v>4.333333333333333</v>
      </c>
      <c r="CJ360" s="14">
        <v>5</v>
      </c>
      <c r="CK360" s="14">
        <v>3</v>
      </c>
      <c r="CL360" s="14">
        <v>5</v>
      </c>
      <c r="CM360" s="14">
        <f>IFERROR(AVERAGE(Tabel1[[#This Row],[In - C1]:[In - C4]]),"")</f>
        <v>4.333333333333333</v>
      </c>
      <c r="CN360" s="14">
        <v>2</v>
      </c>
      <c r="CO360" s="14">
        <v>2</v>
      </c>
      <c r="CP360" s="14">
        <v>1</v>
      </c>
      <c r="CQ360" s="14">
        <f>IFERROR(AVERAGE(Tabel1[[#This Row],[In - F1a]:[In - F1c]]),"")</f>
        <v>1.6666666666666667</v>
      </c>
      <c r="CR360" s="14">
        <v>4</v>
      </c>
      <c r="CS360" s="14">
        <v>4</v>
      </c>
      <c r="CT360" s="14">
        <f>IFERROR(AVERAGE(Tabel1[[#This Row],[In - F2a]:[In - F2b]]),"")</f>
        <v>4</v>
      </c>
      <c r="CU360" s="14">
        <v>3</v>
      </c>
      <c r="CV360" s="14">
        <f>IFERROR(AVERAGE(Tabel1[[#This Row],[In - F3a]:[In - F3a]]),"")</f>
        <v>3</v>
      </c>
      <c r="CW360" s="14" t="s">
        <v>189</v>
      </c>
      <c r="CX360" s="14">
        <f>IFERROR(AVERAGE(Tabel1[[#This Row],[In - F1]],Tabel1[[#This Row],[In - F2]],Tabel1[[#This Row],[In - F3]],Tabel1[[#This Row],[In - F4]]),"")</f>
        <v>2.8888888888888893</v>
      </c>
      <c r="CY360" s="14">
        <v>4</v>
      </c>
      <c r="CZ360" s="14">
        <v>5</v>
      </c>
      <c r="DA360" s="14">
        <v>2</v>
      </c>
      <c r="DB360" s="14">
        <f>IFERROR(AVERAGE(Tabel1[[#This Row],[In - V1a]:[In - V1c]]),"")</f>
        <v>3.6666666666666665</v>
      </c>
      <c r="DC360" s="14">
        <v>3</v>
      </c>
      <c r="DD360" s="14">
        <v>4</v>
      </c>
      <c r="DE360" s="14">
        <v>3</v>
      </c>
      <c r="DF360" s="14">
        <f>IFERROR(AVERAGE(Tabel1[[#This Row],[In - V2a]:[In - V2c]]),"")</f>
        <v>3.3333333333333335</v>
      </c>
      <c r="DG360" s="14">
        <v>2</v>
      </c>
      <c r="DH360" s="14">
        <v>2</v>
      </c>
      <c r="DI360" s="14">
        <f>IFERROR(AVERAGE(Tabel1[[#This Row],[In - V3a]:[In - V3b]]),"")</f>
        <v>2</v>
      </c>
      <c r="DJ360" s="14" t="s">
        <v>189</v>
      </c>
      <c r="DK360" s="14">
        <f>IFERROR(AVERAGE(Tabel1[[#This Row],[In - V1]],Tabel1[[#This Row],[In - V2]],Tabel1[[#This Row],[In - V3]],Tabel1[[#This Row],[In - V4]]),"")</f>
        <v>3</v>
      </c>
      <c r="DL360" s="14">
        <v>4</v>
      </c>
      <c r="DM360" s="14">
        <v>4</v>
      </c>
      <c r="DN360" s="14">
        <f>IFERROR(AVERAGE(Tabel1[[#This Row],[In - A1a]:[In - A1b]]),"")</f>
        <v>4</v>
      </c>
      <c r="DO360" s="14">
        <v>4</v>
      </c>
      <c r="DP360" s="14">
        <v>4</v>
      </c>
      <c r="DQ360" s="14">
        <f>IFERROR(AVERAGE(Tabel1[[#This Row],[In - A2a]:[In - A2b]]),"")</f>
        <v>4</v>
      </c>
      <c r="DR360" s="14">
        <v>4</v>
      </c>
      <c r="DS360" s="14">
        <v>4</v>
      </c>
      <c r="DT360" s="14">
        <f>IFERROR(AVERAGE(Tabel1[[#This Row],[In - A3a]:[In - A3a]]),"")</f>
        <v>4</v>
      </c>
      <c r="DU360" s="14">
        <v>3</v>
      </c>
      <c r="DV360" s="14">
        <f>IFERROR(AVERAGE(Tabel1[[#This Row],[In - A1]],Tabel1[[#This Row],[In - A2]],Tabel1[[#This Row],[In - A3]],Tabel1[[#This Row],[In - A4]]),"")</f>
        <v>3.75</v>
      </c>
      <c r="DW360" s="14">
        <v>3</v>
      </c>
      <c r="DX360" s="14">
        <v>5</v>
      </c>
      <c r="DY360" s="14">
        <v>5</v>
      </c>
      <c r="DZ360" s="14">
        <f>IFERROR(AVERAGE(Tabel1[[#This Row],[Do - R1a]:[Do - R1c]]),"")</f>
        <v>4.333333333333333</v>
      </c>
      <c r="EA360" s="14">
        <v>3</v>
      </c>
      <c r="EB360" s="14">
        <v>2</v>
      </c>
      <c r="EC360" s="14">
        <v>1</v>
      </c>
      <c r="ED360" s="14">
        <v>4</v>
      </c>
      <c r="EE360" s="14">
        <f>IFERROR(AVERAGE(Tabel1[[#This Row],[Do - R1]:[Do - R5]]),"")</f>
        <v>2.8666666666666663</v>
      </c>
      <c r="EF360" s="14">
        <v>5</v>
      </c>
      <c r="EG360" s="14">
        <v>4</v>
      </c>
      <c r="EH360" s="14">
        <v>4</v>
      </c>
      <c r="EI360" s="14">
        <f>IFERROR(AVERAGE(Tabel1[[#This Row],[Do - C1a]:[Do - C1c]]),"")</f>
        <v>4.333333333333333</v>
      </c>
      <c r="EJ360" s="14">
        <v>4</v>
      </c>
      <c r="EK360" s="14">
        <v>2</v>
      </c>
      <c r="EL360" s="14">
        <v>2</v>
      </c>
      <c r="EM360" s="14">
        <f>IFERROR(AVERAGE(Tabel1[[#This Row],[Do - C1]:[Do - C4]]),"")</f>
        <v>3.083333333333333</v>
      </c>
      <c r="EN360" s="14">
        <v>2</v>
      </c>
      <c r="EO360" s="14">
        <v>2</v>
      </c>
      <c r="EP360" s="14">
        <v>2</v>
      </c>
      <c r="EQ360" s="14">
        <f>IFERROR(AVERAGE(Tabel1[[#This Row],[Do - F1a]:[Do - F1c]]),"")</f>
        <v>2</v>
      </c>
      <c r="ER360" s="14">
        <v>4</v>
      </c>
      <c r="ES360" s="14">
        <f>IFERROR(AVERAGE(Tabel1[[#This Row],[Do - F2a]:[Do - F2a]]),"")</f>
        <v>4</v>
      </c>
      <c r="ET360" s="14">
        <v>1</v>
      </c>
      <c r="EU360" s="14">
        <v>4</v>
      </c>
      <c r="EV360" s="14">
        <f>IFERROR(AVERAGE(Tabel1[[#This Row],[Do - F3a]:[Do - F3b]]),"")</f>
        <v>2.5</v>
      </c>
      <c r="EW360" s="14">
        <v>2</v>
      </c>
      <c r="EX360" s="14">
        <f>IFERROR(AVERAGE(Tabel1[[#This Row],[Do - F1]],Tabel1[[#This Row],[Do - F2]],Tabel1[[#This Row],[Do - F3]],Tabel1[[#This Row],[Do - F4]]),"")</f>
        <v>2.625</v>
      </c>
      <c r="EY360" s="14">
        <v>2</v>
      </c>
      <c r="EZ360" s="14">
        <v>2</v>
      </c>
      <c r="FA360" s="14">
        <v>4</v>
      </c>
      <c r="FB360" s="14">
        <f>IFERROR(AVERAGE(Tabel1[[#This Row],[Do - V1a]:[Do - V1c]]),"")</f>
        <v>2.6666666666666665</v>
      </c>
      <c r="FC360" s="14">
        <v>2</v>
      </c>
      <c r="FD360" s="14">
        <v>2</v>
      </c>
      <c r="FE360" s="14">
        <f>IFERROR(AVERAGE(Tabel1[[#This Row],[Do - V2a]:[Do - V2b]]),"")</f>
        <v>2</v>
      </c>
      <c r="FF360" s="14">
        <v>2</v>
      </c>
      <c r="FG360" s="14">
        <f>IFERROR(AVERAGE(Tabel1[[#This Row],[Do - V3a]:[Do - V3a]]),"")</f>
        <v>2</v>
      </c>
      <c r="FH360" s="14">
        <v>4</v>
      </c>
      <c r="FI360" s="14">
        <f>IFERROR(AVERAGE(Tabel1[[#This Row],[Do - V1]],Tabel1[[#This Row],[Do - V2]],Tabel1[[#This Row],[Do - V3]],Tabel1[[#This Row],[Do - V4]]),"")</f>
        <v>2.6666666666666665</v>
      </c>
      <c r="FJ360" s="14">
        <v>4</v>
      </c>
      <c r="FK360" s="14">
        <v>3</v>
      </c>
      <c r="FL360" s="14">
        <v>4</v>
      </c>
      <c r="FM360" s="14">
        <f>IFERROR(AVERAGE(Tabel1[[#This Row],[Do - A1a]:[Do - A1c]]),"")</f>
        <v>3.6666666666666665</v>
      </c>
      <c r="FN360" s="14" t="s">
        <v>189</v>
      </c>
      <c r="FO360" s="14">
        <v>3</v>
      </c>
      <c r="FP360" s="14">
        <f>IFERROR(AVERAGE(Tabel1[[#This Row],[Do - A2a]:[Do - A2b]]),"")</f>
        <v>3</v>
      </c>
      <c r="FQ360" s="14">
        <v>4</v>
      </c>
      <c r="FR360" s="14">
        <f>IFERROR(AVERAGE(Tabel1[[#This Row],[Do - A3a]:[Do - A3a]]),"")</f>
        <v>4</v>
      </c>
      <c r="FS360" s="14">
        <v>4</v>
      </c>
      <c r="FT360" s="14">
        <f>IFERROR(AVERAGE(Tabel1[[#This Row],[Do - A1]],Tabel1[[#This Row],[Do - A2]],Tabel1[[#This Row],[Do - A3]],Tabel1[[#This Row],[Do - A4]]),"")</f>
        <v>3.6666666666666665</v>
      </c>
      <c r="FU36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3.119259259259259</v>
      </c>
      <c r="FV360" s="27" t="s">
        <v>1846</v>
      </c>
      <c r="FW360" t="b">
        <v>1</v>
      </c>
    </row>
    <row r="361" spans="1:179" x14ac:dyDescent="0.3">
      <c r="A361" s="13">
        <v>45527.527256944399</v>
      </c>
      <c r="B361" t="b">
        <v>0</v>
      </c>
      <c r="C361" s="14" t="s">
        <v>1847</v>
      </c>
      <c r="D361" s="14" t="s">
        <v>1297</v>
      </c>
      <c r="E361" s="14" t="s">
        <v>639</v>
      </c>
      <c r="F361" s="14" t="s">
        <v>184</v>
      </c>
      <c r="G361" s="14" t="s">
        <v>1848</v>
      </c>
      <c r="H361" s="14" t="s">
        <v>222</v>
      </c>
      <c r="I361" s="14" t="s">
        <v>195</v>
      </c>
      <c r="J361" s="14" t="s">
        <v>261</v>
      </c>
      <c r="K361" s="28" t="s">
        <v>201</v>
      </c>
      <c r="L361" s="14" t="s">
        <v>218</v>
      </c>
      <c r="M361" s="14" t="s">
        <v>233</v>
      </c>
      <c r="N361" s="14" t="s">
        <v>262</v>
      </c>
      <c r="O361" s="14" t="s">
        <v>200</v>
      </c>
      <c r="P361" s="24" t="s">
        <v>255</v>
      </c>
      <c r="Q361" s="17" t="s">
        <v>304</v>
      </c>
      <c r="R361" s="25" t="s">
        <v>201</v>
      </c>
      <c r="S361" s="25"/>
      <c r="T361" s="14" t="s">
        <v>204</v>
      </c>
      <c r="U361" s="14" t="s">
        <v>285</v>
      </c>
      <c r="V361" s="14" t="s">
        <v>359</v>
      </c>
      <c r="W361" s="14" t="s">
        <v>395</v>
      </c>
      <c r="X361" s="14" t="s">
        <v>395</v>
      </c>
      <c r="Y361" s="14">
        <v>2</v>
      </c>
      <c r="Z361" s="14">
        <v>3</v>
      </c>
      <c r="AA361" s="14" t="s">
        <v>189</v>
      </c>
      <c r="AB361" s="15">
        <f>IFERROR(AVERAGE(Tabel1[[#This Row],[Up - R1a]:[Up - R1c]]),"")</f>
        <v>2.5</v>
      </c>
      <c r="AC361" s="14">
        <v>2</v>
      </c>
      <c r="AD361" s="14">
        <v>2</v>
      </c>
      <c r="AE361" s="14">
        <v>1</v>
      </c>
      <c r="AF361" s="14">
        <v>4</v>
      </c>
      <c r="AG361" s="14">
        <f>IFERROR(AVERAGE(Tabel1[[#This Row],[Up - R1]:[Up - R5]]),"")</f>
        <v>2.2999999999999998</v>
      </c>
      <c r="AH361" s="14">
        <v>4</v>
      </c>
      <c r="AI361" s="14">
        <v>2</v>
      </c>
      <c r="AJ361" s="14">
        <v>3</v>
      </c>
      <c r="AK361" s="14">
        <f>IFERROR(AVERAGE(Tabel1[[#This Row],[Up - C1a]:[Up - C1c]]),"")</f>
        <v>3</v>
      </c>
      <c r="AL361" s="14">
        <v>1</v>
      </c>
      <c r="AM361" s="14">
        <v>1</v>
      </c>
      <c r="AN361" s="14">
        <v>1</v>
      </c>
      <c r="AO361" s="14">
        <f>IFERROR(AVERAGE(Tabel1[[#This Row],[Up - C1]:[Up - C4]]),"")</f>
        <v>1.5</v>
      </c>
      <c r="AP361" s="14">
        <v>2</v>
      </c>
      <c r="AQ361" s="14">
        <f>IFERROR(AVERAGE(Tabel1[[#This Row],[Up - F1a]:[Up - F1a]]),"")</f>
        <v>2</v>
      </c>
      <c r="AR361" s="14">
        <v>2</v>
      </c>
      <c r="AS361" s="14">
        <v>2</v>
      </c>
      <c r="AT361" s="14">
        <f>IFERROR(AVERAGE(Tabel1[[#This Row],[Up - F2a]:[Up - F2b]]),"")</f>
        <v>2</v>
      </c>
      <c r="AU361" s="14">
        <v>2</v>
      </c>
      <c r="AV361" s="14">
        <v>3</v>
      </c>
      <c r="AW361" s="14">
        <f>IFERROR(AVERAGE(Tabel1[[#This Row],[Up - F3a]:[Up - F3b]]),"")</f>
        <v>2.5</v>
      </c>
      <c r="AX361" s="14">
        <v>2</v>
      </c>
      <c r="AY361" s="14">
        <f>IFERROR(AVERAGE(Tabel1[[#This Row],[Up - F1]],Tabel1[[#This Row],[Up - F2]],Tabel1[[#This Row],[Up - F3]],Tabel1[[#This Row],[Up - F4]]),"")</f>
        <v>2.125</v>
      </c>
      <c r="AZ361" s="14">
        <v>2</v>
      </c>
      <c r="BA361" s="14">
        <v>4</v>
      </c>
      <c r="BB361" s="14">
        <f>IFERROR(AVERAGE(Tabel1[[#This Row],[Up - V1a]:[Up - V1b]]),"")</f>
        <v>3</v>
      </c>
      <c r="BC361" s="14">
        <v>1</v>
      </c>
      <c r="BD361" s="14">
        <v>1</v>
      </c>
      <c r="BE361" s="14">
        <v>3</v>
      </c>
      <c r="BF361" s="14">
        <f>IFERROR(AVERAGE(Tabel1[[#This Row],[Up - V2a]:[Up - V2c]]),"")</f>
        <v>1.6666666666666667</v>
      </c>
      <c r="BG361" s="14">
        <v>2</v>
      </c>
      <c r="BH361" s="14">
        <v>1</v>
      </c>
      <c r="BI361" s="14">
        <f>IFERROR(AVERAGE(Tabel1[[#This Row],[Up - V3a]:[Up - V3b]]),"")</f>
        <v>1.5</v>
      </c>
      <c r="BJ361" s="14">
        <v>4</v>
      </c>
      <c r="BK361" s="14">
        <f>IFERROR(AVERAGE(Tabel1[[#This Row],[Up - V1]],Tabel1[[#This Row],[Up - V2]],Tabel1[[#This Row],[Up - V3]],Tabel1[[#This Row],[Up - V4]]),"")</f>
        <v>2.541666666666667</v>
      </c>
      <c r="BL361" s="14">
        <v>3</v>
      </c>
      <c r="BM361" s="14" t="s">
        <v>189</v>
      </c>
      <c r="BN361" s="14">
        <v>4</v>
      </c>
      <c r="BO361" s="14" t="s">
        <v>189</v>
      </c>
      <c r="BP361" s="14">
        <f>IFERROR(AVERAGE(Tabel1[[#This Row],[Up - A1a]:[Up - A1d]]),"")</f>
        <v>3.5</v>
      </c>
      <c r="BQ361" s="14" t="s">
        <v>189</v>
      </c>
      <c r="BR361" s="14" t="s">
        <v>189</v>
      </c>
      <c r="BS361" s="14" t="str">
        <f>IFERROR(AVERAGE(Tabel1[[#This Row],[Up - A2a]:[Up - A2b]]),"")</f>
        <v/>
      </c>
      <c r="BT361" s="14">
        <v>3</v>
      </c>
      <c r="BU361" s="14">
        <f>IFERROR(AVERAGE(Tabel1[[#This Row],[Up - A3a]:[Up - A3a]]),"")</f>
        <v>3</v>
      </c>
      <c r="BV361" s="14">
        <v>3</v>
      </c>
      <c r="BW361" s="14">
        <f>IFERROR(AVERAGE(Tabel1[[#This Row],[Up - A1]],Tabel1[[#This Row],[Up - A2]],Tabel1[[#This Row],[Up - A3]]),"")</f>
        <v>3.25</v>
      </c>
      <c r="BX361" s="14">
        <v>2</v>
      </c>
      <c r="BY361" s="14">
        <v>1</v>
      </c>
      <c r="BZ361" s="14">
        <f>IFERROR(AVERAGE(Tabel1[[#This Row],[In - R1a]:[In - R1b]]),"")</f>
        <v>1.5</v>
      </c>
      <c r="CA361" s="14">
        <v>3</v>
      </c>
      <c r="CB361" s="14">
        <v>1</v>
      </c>
      <c r="CC361" s="14">
        <v>1</v>
      </c>
      <c r="CD361" s="14" t="s">
        <v>189</v>
      </c>
      <c r="CE361" s="14">
        <f>IFERROR(AVERAGE(Tabel1[[#This Row],[In - R1]:[In - R5]]),"")</f>
        <v>1.625</v>
      </c>
      <c r="CF361" s="14">
        <v>4</v>
      </c>
      <c r="CG361" s="14">
        <v>4</v>
      </c>
      <c r="CH361" s="14">
        <v>3</v>
      </c>
      <c r="CI361" s="14">
        <f>IFERROR(AVERAGE(Tabel1[[#This Row],[In - C1a]:[In - C1c]]),"")</f>
        <v>3.6666666666666665</v>
      </c>
      <c r="CJ361" s="14">
        <v>3</v>
      </c>
      <c r="CK361" s="14">
        <v>2</v>
      </c>
      <c r="CL361" s="14">
        <v>1</v>
      </c>
      <c r="CM361" s="14">
        <f>IFERROR(AVERAGE(Tabel1[[#This Row],[In - C1]:[In - C4]]),"")</f>
        <v>2.4166666666666665</v>
      </c>
      <c r="CN361" s="14">
        <v>1</v>
      </c>
      <c r="CO361" s="14">
        <v>1</v>
      </c>
      <c r="CP361" s="14">
        <v>1</v>
      </c>
      <c r="CQ361" s="14">
        <f>IFERROR(AVERAGE(Tabel1[[#This Row],[In - F1a]:[In - F1c]]),"")</f>
        <v>1</v>
      </c>
      <c r="CR361" s="14">
        <v>4</v>
      </c>
      <c r="CS361" s="14">
        <v>3</v>
      </c>
      <c r="CT361" s="14">
        <f>IFERROR(AVERAGE(Tabel1[[#This Row],[In - F2a]:[In - F2b]]),"")</f>
        <v>3.5</v>
      </c>
      <c r="CU361" s="14">
        <v>2</v>
      </c>
      <c r="CV361" s="14">
        <f>IFERROR(AVERAGE(Tabel1[[#This Row],[In - F3a]:[In - F3a]]),"")</f>
        <v>2</v>
      </c>
      <c r="CW361" s="14">
        <v>3</v>
      </c>
      <c r="CX361" s="14">
        <f>IFERROR(AVERAGE(Tabel1[[#This Row],[In - F1]],Tabel1[[#This Row],[In - F2]],Tabel1[[#This Row],[In - F3]],Tabel1[[#This Row],[In - F4]]),"")</f>
        <v>2.375</v>
      </c>
      <c r="CY361" s="14">
        <v>4</v>
      </c>
      <c r="CZ361" s="14">
        <v>4</v>
      </c>
      <c r="DA361" s="14">
        <v>2</v>
      </c>
      <c r="DB361" s="14">
        <f>IFERROR(AVERAGE(Tabel1[[#This Row],[In - V1a]:[In - V1c]]),"")</f>
        <v>3.3333333333333335</v>
      </c>
      <c r="DC361" s="14">
        <v>2</v>
      </c>
      <c r="DD361" s="14">
        <v>2</v>
      </c>
      <c r="DE361" s="14">
        <v>1</v>
      </c>
      <c r="DF361" s="14">
        <f>IFERROR(AVERAGE(Tabel1[[#This Row],[In - V2a]:[In - V2c]]),"")</f>
        <v>1.6666666666666667</v>
      </c>
      <c r="DG361" s="14">
        <v>2</v>
      </c>
      <c r="DH361" s="14">
        <v>2</v>
      </c>
      <c r="DI361" s="14">
        <f>IFERROR(AVERAGE(Tabel1[[#This Row],[In - V3a]:[In - V3b]]),"")</f>
        <v>2</v>
      </c>
      <c r="DJ361" s="14">
        <v>5</v>
      </c>
      <c r="DK361" s="14">
        <f>IFERROR(AVERAGE(Tabel1[[#This Row],[In - V1]],Tabel1[[#This Row],[In - V2]],Tabel1[[#This Row],[In - V3]],Tabel1[[#This Row],[In - V4]]),"")</f>
        <v>3</v>
      </c>
      <c r="DL361" s="14">
        <v>4</v>
      </c>
      <c r="DM361" s="14">
        <v>4</v>
      </c>
      <c r="DN361" s="14">
        <f>IFERROR(AVERAGE(Tabel1[[#This Row],[In - A1a]:[In - A1b]]),"")</f>
        <v>4</v>
      </c>
      <c r="DO361" s="14">
        <v>4</v>
      </c>
      <c r="DP361" s="14">
        <v>2</v>
      </c>
      <c r="DQ361" s="14">
        <f>IFERROR(AVERAGE(Tabel1[[#This Row],[In - A2a]:[In - A2b]]),"")</f>
        <v>3</v>
      </c>
      <c r="DR361" s="14">
        <v>4</v>
      </c>
      <c r="DS361" s="14">
        <v>3</v>
      </c>
      <c r="DT361" s="14">
        <f>IFERROR(AVERAGE(Tabel1[[#This Row],[In - A3a]:[In - A3a]]),"")</f>
        <v>4</v>
      </c>
      <c r="DU361" s="14">
        <v>4</v>
      </c>
      <c r="DV361" s="14">
        <f>IFERROR(AVERAGE(Tabel1[[#This Row],[In - A1]],Tabel1[[#This Row],[In - A2]],Tabel1[[#This Row],[In - A3]],Tabel1[[#This Row],[In - A4]]),"")</f>
        <v>3.75</v>
      </c>
      <c r="DW361" s="14">
        <v>3</v>
      </c>
      <c r="DX361" s="14">
        <v>3</v>
      </c>
      <c r="DY361" s="14">
        <v>3</v>
      </c>
      <c r="DZ361" s="14">
        <f>IFERROR(AVERAGE(Tabel1[[#This Row],[Do - R1a]:[Do - R1c]]),"")</f>
        <v>3</v>
      </c>
      <c r="EA361" s="14">
        <v>2</v>
      </c>
      <c r="EB361" s="14">
        <v>2</v>
      </c>
      <c r="EC361" s="14" t="s">
        <v>189</v>
      </c>
      <c r="ED361" s="14">
        <v>4</v>
      </c>
      <c r="EE361" s="14">
        <f>IFERROR(AVERAGE(Tabel1[[#This Row],[Do - R1]:[Do - R5]]),"")</f>
        <v>2.75</v>
      </c>
      <c r="EF361" s="14">
        <v>4</v>
      </c>
      <c r="EG361" s="14">
        <v>2</v>
      </c>
      <c r="EH361" s="14">
        <v>4</v>
      </c>
      <c r="EI361" s="14">
        <f>IFERROR(AVERAGE(Tabel1[[#This Row],[Do - C1a]:[Do - C1c]]),"")</f>
        <v>3.3333333333333335</v>
      </c>
      <c r="EJ361" s="14">
        <v>3</v>
      </c>
      <c r="EK361" s="14">
        <v>1</v>
      </c>
      <c r="EL361" s="14">
        <v>1</v>
      </c>
      <c r="EM361" s="14">
        <f>IFERROR(AVERAGE(Tabel1[[#This Row],[Do - C1]:[Do - C4]]),"")</f>
        <v>2.0833333333333335</v>
      </c>
      <c r="EN361" s="14">
        <v>4</v>
      </c>
      <c r="EO361" s="14">
        <v>2</v>
      </c>
      <c r="EP361" s="14">
        <v>3</v>
      </c>
      <c r="EQ361" s="14">
        <f>IFERROR(AVERAGE(Tabel1[[#This Row],[Do - F1a]:[Do - F1c]]),"")</f>
        <v>3</v>
      </c>
      <c r="ER361" s="14">
        <v>2</v>
      </c>
      <c r="ES361" s="14">
        <f>IFERROR(AVERAGE(Tabel1[[#This Row],[Do - F2a]:[Do - F2a]]),"")</f>
        <v>2</v>
      </c>
      <c r="ET361" s="14">
        <v>2</v>
      </c>
      <c r="EU361" s="14">
        <v>4</v>
      </c>
      <c r="EV361" s="14">
        <f>IFERROR(AVERAGE(Tabel1[[#This Row],[Do - F3a]:[Do - F3b]]),"")</f>
        <v>3</v>
      </c>
      <c r="EW361" s="14" t="s">
        <v>189</v>
      </c>
      <c r="EX361" s="14">
        <f>IFERROR(AVERAGE(Tabel1[[#This Row],[Do - F1]],Tabel1[[#This Row],[Do - F2]],Tabel1[[#This Row],[Do - F3]],Tabel1[[#This Row],[Do - F4]]),"")</f>
        <v>2.6666666666666665</v>
      </c>
      <c r="EY361" s="14">
        <v>3</v>
      </c>
      <c r="EZ361" s="14">
        <v>1</v>
      </c>
      <c r="FA361" s="14">
        <v>5</v>
      </c>
      <c r="FB361" s="14">
        <f>IFERROR(AVERAGE(Tabel1[[#This Row],[Do - V1a]:[Do - V1c]]),"")</f>
        <v>3</v>
      </c>
      <c r="FC361" s="14">
        <v>3</v>
      </c>
      <c r="FD361" s="14" t="s">
        <v>189</v>
      </c>
      <c r="FE361" s="14">
        <f>IFERROR(AVERAGE(Tabel1[[#This Row],[Do - V2a]:[Do - V2b]]),"")</f>
        <v>3</v>
      </c>
      <c r="FF361" s="14">
        <v>3</v>
      </c>
      <c r="FG361" s="14">
        <f>IFERROR(AVERAGE(Tabel1[[#This Row],[Do - V3a]:[Do - V3a]]),"")</f>
        <v>3</v>
      </c>
      <c r="FH361" s="14">
        <v>4</v>
      </c>
      <c r="FI361" s="14">
        <f>IFERROR(AVERAGE(Tabel1[[#This Row],[Do - V1]],Tabel1[[#This Row],[Do - V2]],Tabel1[[#This Row],[Do - V3]],Tabel1[[#This Row],[Do - V4]]),"")</f>
        <v>3.25</v>
      </c>
      <c r="FJ361" s="14">
        <v>4</v>
      </c>
      <c r="FK361" s="14">
        <v>4</v>
      </c>
      <c r="FL361" s="14">
        <v>4</v>
      </c>
      <c r="FM361" s="14">
        <f>IFERROR(AVERAGE(Tabel1[[#This Row],[Do - A1a]:[Do - A1c]]),"")</f>
        <v>4</v>
      </c>
      <c r="FN361" s="14">
        <v>4</v>
      </c>
      <c r="FO361" s="14">
        <v>3</v>
      </c>
      <c r="FP361" s="14">
        <f>IFERROR(AVERAGE(Tabel1[[#This Row],[Do - A2a]:[Do - A2b]]),"")</f>
        <v>3.5</v>
      </c>
      <c r="FQ361" s="14">
        <v>4</v>
      </c>
      <c r="FR361" s="14">
        <f>IFERROR(AVERAGE(Tabel1[[#This Row],[Do - A3a]:[Do - A3a]]),"")</f>
        <v>4</v>
      </c>
      <c r="FS361" s="14">
        <v>4</v>
      </c>
      <c r="FT361" s="14">
        <f>IFERROR(AVERAGE(Tabel1[[#This Row],[Do - A1]],Tabel1[[#This Row],[Do - A2]],Tabel1[[#This Row],[Do - A3]],Tabel1[[#This Row],[Do - A4]]),"")</f>
        <v>3.875</v>
      </c>
      <c r="FU36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2.6338888888888889</v>
      </c>
      <c r="FV361" s="27" t="s">
        <v>1849</v>
      </c>
      <c r="FW361" t="b">
        <v>1</v>
      </c>
    </row>
    <row r="362" spans="1:179" x14ac:dyDescent="0.3">
      <c r="A362" s="13">
        <v>45530.431458333303</v>
      </c>
      <c r="B362" t="b">
        <v>0</v>
      </c>
      <c r="C362" s="14" t="s">
        <v>1850</v>
      </c>
      <c r="D362" s="14" t="s">
        <v>1851</v>
      </c>
      <c r="E362" s="14" t="s">
        <v>639</v>
      </c>
      <c r="F362" s="14" t="s">
        <v>184</v>
      </c>
      <c r="G362" s="14" t="s">
        <v>1852</v>
      </c>
      <c r="H362" s="14" t="s">
        <v>222</v>
      </c>
      <c r="I362" s="14" t="s">
        <v>195</v>
      </c>
      <c r="J362" s="14" t="s">
        <v>261</v>
      </c>
      <c r="K362" s="28" t="s">
        <v>201</v>
      </c>
      <c r="L362" s="14" t="s">
        <v>218</v>
      </c>
      <c r="M362" s="14" t="s">
        <v>198</v>
      </c>
      <c r="N362" s="14" t="s">
        <v>262</v>
      </c>
      <c r="O362" s="14" t="s">
        <v>200</v>
      </c>
      <c r="P362" s="24" t="s">
        <v>304</v>
      </c>
      <c r="Q362" s="17" t="s">
        <v>304</v>
      </c>
      <c r="R362" s="25" t="s">
        <v>201</v>
      </c>
      <c r="S362" s="25" t="s">
        <v>201</v>
      </c>
      <c r="T362" s="14" t="s">
        <v>380</v>
      </c>
      <c r="U362" s="14" t="s">
        <v>285</v>
      </c>
      <c r="V362" s="14" t="s">
        <v>359</v>
      </c>
      <c r="W362" s="14" t="s">
        <v>207</v>
      </c>
      <c r="X362" s="14" t="s">
        <v>207</v>
      </c>
      <c r="Y362" s="14" t="s">
        <v>189</v>
      </c>
      <c r="Z362" s="14">
        <v>4</v>
      </c>
      <c r="AA362" s="14" t="s">
        <v>189</v>
      </c>
      <c r="AB362" s="15">
        <f>IFERROR(AVERAGE(Tabel1[[#This Row],[Up - R1a]:[Up - R1c]]),"")</f>
        <v>4</v>
      </c>
      <c r="AC362" s="14" t="s">
        <v>189</v>
      </c>
      <c r="AD362" s="14">
        <v>3</v>
      </c>
      <c r="AE362" s="14" t="s">
        <v>189</v>
      </c>
      <c r="AF362" s="14" t="s">
        <v>189</v>
      </c>
      <c r="AG362" s="14">
        <f>IFERROR(AVERAGE(Tabel1[[#This Row],[Up - R1]:[Up - R5]]),"")</f>
        <v>3.5</v>
      </c>
      <c r="AH362" s="14">
        <v>4</v>
      </c>
      <c r="AI362" s="14">
        <v>3</v>
      </c>
      <c r="AJ362" s="14" t="s">
        <v>189</v>
      </c>
      <c r="AK362" s="14">
        <f>IFERROR(AVERAGE(Tabel1[[#This Row],[Up - C1a]:[Up - C1c]]),"")</f>
        <v>3.5</v>
      </c>
      <c r="AL362" s="14" t="s">
        <v>189</v>
      </c>
      <c r="AM362" s="14" t="s">
        <v>189</v>
      </c>
      <c r="AN362" s="14" t="s">
        <v>189</v>
      </c>
      <c r="AO362" s="14">
        <f>IFERROR(AVERAGE(Tabel1[[#This Row],[Up - C1]:[Up - C4]]),"")</f>
        <v>3.5</v>
      </c>
      <c r="AP362" s="14" t="s">
        <v>189</v>
      </c>
      <c r="AQ362" s="14" t="str">
        <f>IFERROR(AVERAGE(Tabel1[[#This Row],[Up - F1a]:[Up - F1a]]),"")</f>
        <v/>
      </c>
      <c r="AR362" s="14">
        <v>1</v>
      </c>
      <c r="AS362" s="14">
        <v>2</v>
      </c>
      <c r="AT362" s="14">
        <f>IFERROR(AVERAGE(Tabel1[[#This Row],[Up - F2a]:[Up - F2b]]),"")</f>
        <v>1.5</v>
      </c>
      <c r="AU362" s="14" t="s">
        <v>189</v>
      </c>
      <c r="AV362" s="14">
        <v>3</v>
      </c>
      <c r="AW362" s="14">
        <f>IFERROR(AVERAGE(Tabel1[[#This Row],[Up - F3a]:[Up - F3b]]),"")</f>
        <v>3</v>
      </c>
      <c r="AX362" s="14" t="s">
        <v>189</v>
      </c>
      <c r="AY362" s="14">
        <f>IFERROR(AVERAGE(Tabel1[[#This Row],[Up - F1]],Tabel1[[#This Row],[Up - F2]],Tabel1[[#This Row],[Up - F3]],Tabel1[[#This Row],[Up - F4]]),"")</f>
        <v>2.25</v>
      </c>
      <c r="AZ362" s="14" t="s">
        <v>189</v>
      </c>
      <c r="BA362" s="14">
        <v>3</v>
      </c>
      <c r="BB362" s="14">
        <f>IFERROR(AVERAGE(Tabel1[[#This Row],[Up - V1a]:[Up - V1b]]),"")</f>
        <v>3</v>
      </c>
      <c r="BC362" s="14">
        <v>1</v>
      </c>
      <c r="BD362" s="14" t="s">
        <v>189</v>
      </c>
      <c r="BE362" s="14" t="s">
        <v>189</v>
      </c>
      <c r="BF362" s="14">
        <f>IFERROR(AVERAGE(Tabel1[[#This Row],[Up - V2a]:[Up - V2c]]),"")</f>
        <v>1</v>
      </c>
      <c r="BG362" s="14" t="s">
        <v>189</v>
      </c>
      <c r="BH362" s="14">
        <v>1</v>
      </c>
      <c r="BI362" s="14">
        <f>IFERROR(AVERAGE(Tabel1[[#This Row],[Up - V3a]:[Up - V3b]]),"")</f>
        <v>1</v>
      </c>
      <c r="BJ362" s="14" t="s">
        <v>189</v>
      </c>
      <c r="BK362" s="14">
        <f>IFERROR(AVERAGE(Tabel1[[#This Row],[Up - V1]],Tabel1[[#This Row],[Up - V2]],Tabel1[[#This Row],[Up - V3]],Tabel1[[#This Row],[Up - V4]]),"")</f>
        <v>1.6666666666666667</v>
      </c>
      <c r="BL362" s="14" t="s">
        <v>189</v>
      </c>
      <c r="BM362" s="14" t="s">
        <v>189</v>
      </c>
      <c r="BN362" s="14">
        <v>3</v>
      </c>
      <c r="BO362" s="14" t="s">
        <v>189</v>
      </c>
      <c r="BP362" s="14">
        <f>IFERROR(AVERAGE(Tabel1[[#This Row],[Up - A1a]:[Up - A1d]]),"")</f>
        <v>3</v>
      </c>
      <c r="BQ362" s="14" t="s">
        <v>189</v>
      </c>
      <c r="BR362" s="14">
        <v>3</v>
      </c>
      <c r="BS362" s="14">
        <f>IFERROR(AVERAGE(Tabel1[[#This Row],[Up - A2a]:[Up - A2b]]),"")</f>
        <v>3</v>
      </c>
      <c r="BT362" s="14">
        <v>3</v>
      </c>
      <c r="BU362" s="14">
        <f>IFERROR(AVERAGE(Tabel1[[#This Row],[Up - A3a]:[Up - A3a]]),"")</f>
        <v>3</v>
      </c>
      <c r="BV362" s="14" t="s">
        <v>189</v>
      </c>
      <c r="BW362" s="14">
        <f>IFERROR(AVERAGE(Tabel1[[#This Row],[Up - A1]],Tabel1[[#This Row],[Up - A2]],Tabel1[[#This Row],[Up - A3]]),"")</f>
        <v>3</v>
      </c>
      <c r="BX362" s="14">
        <v>1</v>
      </c>
      <c r="BY362" s="14">
        <v>1</v>
      </c>
      <c r="BZ362" s="14">
        <f>IFERROR(AVERAGE(Tabel1[[#This Row],[In - R1a]:[In - R1b]]),"")</f>
        <v>1</v>
      </c>
      <c r="CA362" s="14">
        <v>3</v>
      </c>
      <c r="CB362" s="14">
        <v>1</v>
      </c>
      <c r="CC362" s="14">
        <v>1</v>
      </c>
      <c r="CD362" s="14">
        <v>4</v>
      </c>
      <c r="CE362" s="14">
        <f>IFERROR(AVERAGE(Tabel1[[#This Row],[In - R1]:[In - R5]]),"")</f>
        <v>2</v>
      </c>
      <c r="CF362" s="14">
        <v>4</v>
      </c>
      <c r="CG362" s="14">
        <v>5</v>
      </c>
      <c r="CH362" s="14">
        <v>3</v>
      </c>
      <c r="CI362" s="14">
        <f>IFERROR(AVERAGE(Tabel1[[#This Row],[In - C1a]:[In - C1c]]),"")</f>
        <v>4</v>
      </c>
      <c r="CJ362" s="14">
        <v>4</v>
      </c>
      <c r="CK362" s="14">
        <v>2</v>
      </c>
      <c r="CL362" s="14" t="s">
        <v>189</v>
      </c>
      <c r="CM362" s="14">
        <f>IFERROR(AVERAGE(Tabel1[[#This Row],[In - C1]:[In - C4]]),"")</f>
        <v>3.3333333333333335</v>
      </c>
      <c r="CN362" s="14">
        <v>3</v>
      </c>
      <c r="CO362" s="14">
        <v>1</v>
      </c>
      <c r="CP362" s="14">
        <v>1</v>
      </c>
      <c r="CQ362" s="14">
        <f>IFERROR(AVERAGE(Tabel1[[#This Row],[In - F1a]:[In - F1c]]),"")</f>
        <v>1.6666666666666667</v>
      </c>
      <c r="CR362" s="14">
        <v>4</v>
      </c>
      <c r="CS362" s="14">
        <v>1</v>
      </c>
      <c r="CT362" s="14">
        <f>IFERROR(AVERAGE(Tabel1[[#This Row],[In - F2a]:[In - F2b]]),"")</f>
        <v>2.5</v>
      </c>
      <c r="CU362" s="14">
        <v>1</v>
      </c>
      <c r="CV362" s="14">
        <f>IFERROR(AVERAGE(Tabel1[[#This Row],[In - F3a]:[In - F3a]]),"")</f>
        <v>1</v>
      </c>
      <c r="CW362" s="14">
        <v>4</v>
      </c>
      <c r="CX362" s="14">
        <f>IFERROR(AVERAGE(Tabel1[[#This Row],[In - F1]],Tabel1[[#This Row],[In - F2]],Tabel1[[#This Row],[In - F3]],Tabel1[[#This Row],[In - F4]]),"")</f>
        <v>2.291666666666667</v>
      </c>
      <c r="CY362" s="14">
        <v>3</v>
      </c>
      <c r="CZ362" s="14">
        <v>3</v>
      </c>
      <c r="DA362" s="14" t="s">
        <v>189</v>
      </c>
      <c r="DB362" s="14">
        <f>IFERROR(AVERAGE(Tabel1[[#This Row],[In - V1a]:[In - V1c]]),"")</f>
        <v>3</v>
      </c>
      <c r="DC362" s="14" t="s">
        <v>189</v>
      </c>
      <c r="DD362" s="14">
        <v>3</v>
      </c>
      <c r="DE362" s="14">
        <v>3</v>
      </c>
      <c r="DF362" s="14">
        <f>IFERROR(AVERAGE(Tabel1[[#This Row],[In - V2a]:[In - V2c]]),"")</f>
        <v>3</v>
      </c>
      <c r="DG362" s="14">
        <v>1</v>
      </c>
      <c r="DH362" s="14">
        <v>1</v>
      </c>
      <c r="DI362" s="14">
        <f>IFERROR(AVERAGE(Tabel1[[#This Row],[In - V3a]:[In - V3b]]),"")</f>
        <v>1</v>
      </c>
      <c r="DJ362" s="14" t="s">
        <v>189</v>
      </c>
      <c r="DK362" s="14">
        <f>IFERROR(AVERAGE(Tabel1[[#This Row],[In - V1]],Tabel1[[#This Row],[In - V2]],Tabel1[[#This Row],[In - V3]],Tabel1[[#This Row],[In - V4]]),"")</f>
        <v>2.3333333333333335</v>
      </c>
      <c r="DL362" s="14">
        <v>4</v>
      </c>
      <c r="DM362" s="14" t="s">
        <v>189</v>
      </c>
      <c r="DN362" s="14">
        <f>IFERROR(AVERAGE(Tabel1[[#This Row],[In - A1a]:[In - A1b]]),"")</f>
        <v>4</v>
      </c>
      <c r="DO362" s="14">
        <v>4</v>
      </c>
      <c r="DP362" s="14">
        <v>3</v>
      </c>
      <c r="DQ362" s="14">
        <f>IFERROR(AVERAGE(Tabel1[[#This Row],[In - A2a]:[In - A2b]]),"")</f>
        <v>3.5</v>
      </c>
      <c r="DR362" s="14">
        <v>5</v>
      </c>
      <c r="DS362" s="14">
        <v>3</v>
      </c>
      <c r="DT362" s="14">
        <f>IFERROR(AVERAGE(Tabel1[[#This Row],[In - A3a]:[In - A3a]]),"")</f>
        <v>5</v>
      </c>
      <c r="DU362" s="14" t="s">
        <v>189</v>
      </c>
      <c r="DV362" s="14">
        <f>IFERROR(AVERAGE(Tabel1[[#This Row],[In - A1]],Tabel1[[#This Row],[In - A2]],Tabel1[[#This Row],[In - A3]],Tabel1[[#This Row],[In - A4]]),"")</f>
        <v>4.166666666666667</v>
      </c>
      <c r="DW362" s="14">
        <v>2</v>
      </c>
      <c r="DX362" s="14">
        <v>5</v>
      </c>
      <c r="DY362" s="14">
        <v>3</v>
      </c>
      <c r="DZ362" s="14">
        <f>IFERROR(AVERAGE(Tabel1[[#This Row],[Do - R1a]:[Do - R1c]]),"")</f>
        <v>3.3333333333333335</v>
      </c>
      <c r="EA362" s="14" t="s">
        <v>189</v>
      </c>
      <c r="EB362" s="14">
        <v>2</v>
      </c>
      <c r="EC362" s="14" t="s">
        <v>189</v>
      </c>
      <c r="ED362" s="14" t="s">
        <v>189</v>
      </c>
      <c r="EE362" s="14">
        <f>IFERROR(AVERAGE(Tabel1[[#This Row],[Do - R1]:[Do - R5]]),"")</f>
        <v>2.666666666666667</v>
      </c>
      <c r="EF362" s="14">
        <v>4</v>
      </c>
      <c r="EG362" s="14">
        <v>4</v>
      </c>
      <c r="EH362" s="14">
        <v>4</v>
      </c>
      <c r="EI362" s="14">
        <f>IFERROR(AVERAGE(Tabel1[[#This Row],[Do - C1a]:[Do - C1c]]),"")</f>
        <v>4</v>
      </c>
      <c r="EJ362" s="14" t="s">
        <v>189</v>
      </c>
      <c r="EK362" s="14" t="s">
        <v>189</v>
      </c>
      <c r="EL362" s="14" t="s">
        <v>189</v>
      </c>
      <c r="EM362" s="14">
        <f>IFERROR(AVERAGE(Tabel1[[#This Row],[Do - C1]:[Do - C4]]),"")</f>
        <v>4</v>
      </c>
      <c r="EN362" s="14" t="s">
        <v>189</v>
      </c>
      <c r="EO362" s="14">
        <v>2</v>
      </c>
      <c r="EP362" s="14" t="s">
        <v>189</v>
      </c>
      <c r="EQ362" s="14">
        <f>IFERROR(AVERAGE(Tabel1[[#This Row],[Do - F1a]:[Do - F1c]]),"")</f>
        <v>2</v>
      </c>
      <c r="ER362" s="14">
        <v>1</v>
      </c>
      <c r="ES362" s="14">
        <f>IFERROR(AVERAGE(Tabel1[[#This Row],[Do - F2a]:[Do - F2a]]),"")</f>
        <v>1</v>
      </c>
      <c r="ET362" s="14">
        <v>2</v>
      </c>
      <c r="EU362" s="14" t="s">
        <v>189</v>
      </c>
      <c r="EV362" s="14">
        <f>IFERROR(AVERAGE(Tabel1[[#This Row],[Do - F3a]:[Do - F3b]]),"")</f>
        <v>2</v>
      </c>
      <c r="EW362" s="14" t="s">
        <v>189</v>
      </c>
      <c r="EX362" s="14">
        <f>IFERROR(AVERAGE(Tabel1[[#This Row],[Do - F1]],Tabel1[[#This Row],[Do - F2]],Tabel1[[#This Row],[Do - F3]],Tabel1[[#This Row],[Do - F4]]),"")</f>
        <v>1.6666666666666667</v>
      </c>
      <c r="EY362" s="14" t="s">
        <v>189</v>
      </c>
      <c r="EZ362" s="14" t="s">
        <v>189</v>
      </c>
      <c r="FA362" s="14">
        <v>4</v>
      </c>
      <c r="FB362" s="14">
        <f>IFERROR(AVERAGE(Tabel1[[#This Row],[Do - V1a]:[Do - V1c]]),"")</f>
        <v>4</v>
      </c>
      <c r="FC362" s="14" t="s">
        <v>189</v>
      </c>
      <c r="FD362" s="14" t="s">
        <v>189</v>
      </c>
      <c r="FE362" s="14" t="str">
        <f>IFERROR(AVERAGE(Tabel1[[#This Row],[Do - V2a]:[Do - V2b]]),"")</f>
        <v/>
      </c>
      <c r="FF362" s="14">
        <v>3</v>
      </c>
      <c r="FG362" s="14">
        <f>IFERROR(AVERAGE(Tabel1[[#This Row],[Do - V3a]:[Do - V3a]]),"")</f>
        <v>3</v>
      </c>
      <c r="FH362" s="14" t="s">
        <v>189</v>
      </c>
      <c r="FI362" s="14">
        <f>IFERROR(AVERAGE(Tabel1[[#This Row],[Do - V1]],Tabel1[[#This Row],[Do - V2]],Tabel1[[#This Row],[Do - V3]],Tabel1[[#This Row],[Do - V4]]),"")</f>
        <v>3.5</v>
      </c>
      <c r="FJ362" s="14" t="s">
        <v>189</v>
      </c>
      <c r="FK362" s="14" t="s">
        <v>189</v>
      </c>
      <c r="FL362" s="14">
        <v>4</v>
      </c>
      <c r="FM362" s="14">
        <f>IFERROR(AVERAGE(Tabel1[[#This Row],[Do - A1a]:[Do - A1c]]),"")</f>
        <v>4</v>
      </c>
      <c r="FN362" s="14" t="s">
        <v>189</v>
      </c>
      <c r="FO362" s="14">
        <v>3</v>
      </c>
      <c r="FP362" s="14">
        <f>IFERROR(AVERAGE(Tabel1[[#This Row],[Do - A2a]:[Do - A2b]]),"")</f>
        <v>3</v>
      </c>
      <c r="FQ362" s="14">
        <v>4</v>
      </c>
      <c r="FR362" s="14">
        <f>IFERROR(AVERAGE(Tabel1[[#This Row],[Do - A3a]:[Do - A3a]]),"")</f>
        <v>4</v>
      </c>
      <c r="FS362" s="14" t="s">
        <v>189</v>
      </c>
      <c r="FT362" s="14">
        <f>IFERROR(AVERAGE(Tabel1[[#This Row],[Do - A1]],Tabel1[[#This Row],[Do - A2]],Tabel1[[#This Row],[Do - A3]],Tabel1[[#This Row],[Do - A4]]),"")</f>
        <v>3.6666666666666665</v>
      </c>
      <c r="FU36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2.9027777777777777</v>
      </c>
      <c r="FV362" s="27" t="s">
        <v>1853</v>
      </c>
      <c r="FW362" t="b">
        <v>1</v>
      </c>
    </row>
    <row r="363" spans="1:179" x14ac:dyDescent="0.3">
      <c r="A363" s="13">
        <v>45537.5171527778</v>
      </c>
      <c r="B363" t="b">
        <v>0</v>
      </c>
      <c r="C363" s="14" t="s">
        <v>1854</v>
      </c>
      <c r="D363" s="14" t="s">
        <v>1855</v>
      </c>
      <c r="E363" s="14" t="s">
        <v>639</v>
      </c>
      <c r="F363" s="14" t="s">
        <v>184</v>
      </c>
      <c r="G363" s="14" t="s">
        <v>1856</v>
      </c>
      <c r="H363" s="14" t="s">
        <v>222</v>
      </c>
      <c r="I363" s="14" t="s">
        <v>195</v>
      </c>
      <c r="J363" s="14" t="s">
        <v>261</v>
      </c>
      <c r="K363" s="28" t="s">
        <v>201</v>
      </c>
      <c r="L363" s="14" t="s">
        <v>218</v>
      </c>
      <c r="M363" s="14" t="s">
        <v>198</v>
      </c>
      <c r="N363" s="14" t="s">
        <v>262</v>
      </c>
      <c r="O363" s="14" t="s">
        <v>200</v>
      </c>
      <c r="P363" s="24" t="s">
        <v>304</v>
      </c>
      <c r="Q363" s="17" t="s">
        <v>304</v>
      </c>
      <c r="R363" s="25" t="s">
        <v>202</v>
      </c>
      <c r="S363" s="25" t="s">
        <v>202</v>
      </c>
      <c r="T363" s="14" t="s">
        <v>236</v>
      </c>
      <c r="U363" s="14" t="s">
        <v>285</v>
      </c>
      <c r="V363" s="14" t="s">
        <v>359</v>
      </c>
      <c r="W363" s="14" t="s">
        <v>395</v>
      </c>
      <c r="X363" s="14" t="s">
        <v>306</v>
      </c>
      <c r="Y363" s="14" t="s">
        <v>189</v>
      </c>
      <c r="Z363" s="14" t="s">
        <v>189</v>
      </c>
      <c r="AA363" s="14" t="s">
        <v>189</v>
      </c>
      <c r="AB363" s="15" t="str">
        <f>IFERROR(AVERAGE(Tabel1[[#This Row],[Up - R1a]:[Up - R1c]]),"")</f>
        <v/>
      </c>
      <c r="AC363" s="14" t="s">
        <v>189</v>
      </c>
      <c r="AD363" s="14">
        <v>3</v>
      </c>
      <c r="AE363" s="14" t="s">
        <v>189</v>
      </c>
      <c r="AF363" s="14" t="s">
        <v>189</v>
      </c>
      <c r="AG363" s="14">
        <f>IFERROR(AVERAGE(Tabel1[[#This Row],[Up - R1]:[Up - R5]]),"")</f>
        <v>3</v>
      </c>
      <c r="AH363" s="14">
        <v>3</v>
      </c>
      <c r="AI363" s="14" t="s">
        <v>189</v>
      </c>
      <c r="AJ363" s="14" t="s">
        <v>189</v>
      </c>
      <c r="AK363" s="14">
        <f>IFERROR(AVERAGE(Tabel1[[#This Row],[Up - C1a]:[Up - C1c]]),"")</f>
        <v>3</v>
      </c>
      <c r="AL363" s="14">
        <v>3</v>
      </c>
      <c r="AM363" s="14" t="s">
        <v>189</v>
      </c>
      <c r="AN363" s="14" t="s">
        <v>189</v>
      </c>
      <c r="AO363" s="14">
        <f>IFERROR(AVERAGE(Tabel1[[#This Row],[Up - C1]:[Up - C4]]),"")</f>
        <v>3</v>
      </c>
      <c r="AP363" s="14" t="s">
        <v>189</v>
      </c>
      <c r="AQ363" s="14" t="str">
        <f>IFERROR(AVERAGE(Tabel1[[#This Row],[Up - F1a]:[Up - F1a]]),"")</f>
        <v/>
      </c>
      <c r="AR363" s="14">
        <v>2</v>
      </c>
      <c r="AS363" s="14">
        <v>1</v>
      </c>
      <c r="AT363" s="14">
        <f>IFERROR(AVERAGE(Tabel1[[#This Row],[Up - F2a]:[Up - F2b]]),"")</f>
        <v>1.5</v>
      </c>
      <c r="AU363" s="14">
        <v>2</v>
      </c>
      <c r="AV363" s="14" t="s">
        <v>189</v>
      </c>
      <c r="AW363" s="14">
        <f>IFERROR(AVERAGE(Tabel1[[#This Row],[Up - F3a]:[Up - F3b]]),"")</f>
        <v>2</v>
      </c>
      <c r="AX363" s="14" t="s">
        <v>189</v>
      </c>
      <c r="AY363" s="14">
        <f>IFERROR(AVERAGE(Tabel1[[#This Row],[Up - F1]],Tabel1[[#This Row],[Up - F2]],Tabel1[[#This Row],[Up - F3]],Tabel1[[#This Row],[Up - F4]]),"")</f>
        <v>1.75</v>
      </c>
      <c r="AZ363" s="14" t="s">
        <v>189</v>
      </c>
      <c r="BA363" s="14" t="s">
        <v>189</v>
      </c>
      <c r="BB363" s="14" t="str">
        <f>IFERROR(AVERAGE(Tabel1[[#This Row],[Up - V1a]:[Up - V1b]]),"")</f>
        <v/>
      </c>
      <c r="BC363" s="14">
        <v>3</v>
      </c>
      <c r="BD363" s="14" t="s">
        <v>189</v>
      </c>
      <c r="BE363" s="14" t="s">
        <v>189</v>
      </c>
      <c r="BF363" s="14">
        <f>IFERROR(AVERAGE(Tabel1[[#This Row],[Up - V2a]:[Up - V2c]]),"")</f>
        <v>3</v>
      </c>
      <c r="BG363" s="14" t="s">
        <v>189</v>
      </c>
      <c r="BH363" s="14" t="s">
        <v>189</v>
      </c>
      <c r="BI363" s="14" t="str">
        <f>IFERROR(AVERAGE(Tabel1[[#This Row],[Up - V3a]:[Up - V3b]]),"")</f>
        <v/>
      </c>
      <c r="BJ363" s="14" t="s">
        <v>189</v>
      </c>
      <c r="BK363" s="14">
        <f>IFERROR(AVERAGE(Tabel1[[#This Row],[Up - V1]],Tabel1[[#This Row],[Up - V2]],Tabel1[[#This Row],[Up - V3]],Tabel1[[#This Row],[Up - V4]]),"")</f>
        <v>3</v>
      </c>
      <c r="BL363" s="14" t="s">
        <v>189</v>
      </c>
      <c r="BM363" s="14" t="s">
        <v>189</v>
      </c>
      <c r="BN363" s="14" t="s">
        <v>189</v>
      </c>
      <c r="BO363" s="14" t="s">
        <v>189</v>
      </c>
      <c r="BP363" s="14" t="str">
        <f>IFERROR(AVERAGE(Tabel1[[#This Row],[Up - A1a]:[Up - A1d]]),"")</f>
        <v/>
      </c>
      <c r="BQ363" s="14" t="s">
        <v>189</v>
      </c>
      <c r="BR363" s="14" t="s">
        <v>189</v>
      </c>
      <c r="BS363" s="14" t="str">
        <f>IFERROR(AVERAGE(Tabel1[[#This Row],[Up - A2a]:[Up - A2b]]),"")</f>
        <v/>
      </c>
      <c r="BT363" s="14" t="s">
        <v>189</v>
      </c>
      <c r="BU363" s="14" t="str">
        <f>IFERROR(AVERAGE(Tabel1[[#This Row],[Up - A3a]:[Up - A3a]]),"")</f>
        <v/>
      </c>
      <c r="BV363" s="14" t="s">
        <v>189</v>
      </c>
      <c r="BW363" s="14" t="str">
        <f>IFERROR(AVERAGE(Tabel1[[#This Row],[Up - A1]],Tabel1[[#This Row],[Up - A2]],Tabel1[[#This Row],[Up - A3]]),"")</f>
        <v/>
      </c>
      <c r="BX363" s="14">
        <v>2</v>
      </c>
      <c r="BY363" s="14">
        <v>1</v>
      </c>
      <c r="BZ363" s="14">
        <f>IFERROR(AVERAGE(Tabel1[[#This Row],[In - R1a]:[In - R1b]]),"")</f>
        <v>1.5</v>
      </c>
      <c r="CA363" s="14">
        <v>1</v>
      </c>
      <c r="CB363" s="14">
        <v>1</v>
      </c>
      <c r="CC363" s="14">
        <v>1</v>
      </c>
      <c r="CD363" s="14">
        <v>3</v>
      </c>
      <c r="CE363" s="14">
        <f>IFERROR(AVERAGE(Tabel1[[#This Row],[In - R1]:[In - R5]]),"")</f>
        <v>1.5</v>
      </c>
      <c r="CF363" s="14">
        <v>4</v>
      </c>
      <c r="CG363" s="14">
        <v>2</v>
      </c>
      <c r="CH363" s="14">
        <v>3</v>
      </c>
      <c r="CI363" s="14">
        <f>IFERROR(AVERAGE(Tabel1[[#This Row],[In - C1a]:[In - C1c]]),"")</f>
        <v>3</v>
      </c>
      <c r="CJ363" s="14">
        <v>4</v>
      </c>
      <c r="CK363" s="14">
        <v>1</v>
      </c>
      <c r="CL363" s="14">
        <v>3</v>
      </c>
      <c r="CM363" s="14">
        <f>IFERROR(AVERAGE(Tabel1[[#This Row],[In - C1]:[In - C4]]),"")</f>
        <v>2.75</v>
      </c>
      <c r="CN363" s="14">
        <v>3</v>
      </c>
      <c r="CO363" s="14">
        <v>2</v>
      </c>
      <c r="CP363" s="14">
        <v>1</v>
      </c>
      <c r="CQ363" s="14">
        <f>IFERROR(AVERAGE(Tabel1[[#This Row],[In - F1a]:[In - F1c]]),"")</f>
        <v>2</v>
      </c>
      <c r="CR363" s="14">
        <v>3</v>
      </c>
      <c r="CS363" s="14">
        <v>1</v>
      </c>
      <c r="CT363" s="14">
        <f>IFERROR(AVERAGE(Tabel1[[#This Row],[In - F2a]:[In - F2b]]),"")</f>
        <v>2</v>
      </c>
      <c r="CU363" s="14">
        <v>1</v>
      </c>
      <c r="CV363" s="14">
        <f>IFERROR(AVERAGE(Tabel1[[#This Row],[In - F3a]:[In - F3a]]),"")</f>
        <v>1</v>
      </c>
      <c r="CW363" s="14" t="s">
        <v>189</v>
      </c>
      <c r="CX363" s="14">
        <f>IFERROR(AVERAGE(Tabel1[[#This Row],[In - F1]],Tabel1[[#This Row],[In - F2]],Tabel1[[#This Row],[In - F3]],Tabel1[[#This Row],[In - F4]]),"")</f>
        <v>1.6666666666666667</v>
      </c>
      <c r="CY363" s="14">
        <v>2</v>
      </c>
      <c r="CZ363" s="14">
        <v>4</v>
      </c>
      <c r="DA363" s="14">
        <v>1</v>
      </c>
      <c r="DB363" s="14">
        <f>IFERROR(AVERAGE(Tabel1[[#This Row],[In - V1a]:[In - V1c]]),"")</f>
        <v>2.3333333333333335</v>
      </c>
      <c r="DC363" s="14" t="s">
        <v>189</v>
      </c>
      <c r="DD363" s="14">
        <v>3</v>
      </c>
      <c r="DE363" s="14">
        <v>2</v>
      </c>
      <c r="DF363" s="14">
        <f>IFERROR(AVERAGE(Tabel1[[#This Row],[In - V2a]:[In - V2c]]),"")</f>
        <v>2.5</v>
      </c>
      <c r="DG363" s="14">
        <v>2</v>
      </c>
      <c r="DH363" s="14">
        <v>2</v>
      </c>
      <c r="DI363" s="14">
        <f>IFERROR(AVERAGE(Tabel1[[#This Row],[In - V3a]:[In - V3b]]),"")</f>
        <v>2</v>
      </c>
      <c r="DJ363" s="14">
        <v>1</v>
      </c>
      <c r="DK363" s="14">
        <f>IFERROR(AVERAGE(Tabel1[[#This Row],[In - V1]],Tabel1[[#This Row],[In - V2]],Tabel1[[#This Row],[In - V3]],Tabel1[[#This Row],[In - V4]]),"")</f>
        <v>1.9583333333333335</v>
      </c>
      <c r="DL363" s="14">
        <v>4</v>
      </c>
      <c r="DM363" s="14">
        <v>3</v>
      </c>
      <c r="DN363" s="14">
        <f>IFERROR(AVERAGE(Tabel1[[#This Row],[In - A1a]:[In - A1b]]),"")</f>
        <v>3.5</v>
      </c>
      <c r="DO363" s="14">
        <v>4</v>
      </c>
      <c r="DP363" s="14">
        <v>3</v>
      </c>
      <c r="DQ363" s="14">
        <f>IFERROR(AVERAGE(Tabel1[[#This Row],[In - A2a]:[In - A2b]]),"")</f>
        <v>3.5</v>
      </c>
      <c r="DR363" s="14">
        <v>4</v>
      </c>
      <c r="DS363" s="14">
        <v>3</v>
      </c>
      <c r="DT363" s="14">
        <f>IFERROR(AVERAGE(Tabel1[[#This Row],[In - A3a]:[In - A3a]]),"")</f>
        <v>4</v>
      </c>
      <c r="DU363" s="14">
        <v>3</v>
      </c>
      <c r="DV363" s="14">
        <f>IFERROR(AVERAGE(Tabel1[[#This Row],[In - A1]],Tabel1[[#This Row],[In - A2]],Tabel1[[#This Row],[In - A3]],Tabel1[[#This Row],[In - A4]]),"")</f>
        <v>3.5</v>
      </c>
      <c r="DW363" s="14">
        <v>3</v>
      </c>
      <c r="DX363" s="14">
        <v>3</v>
      </c>
      <c r="DY363" s="14">
        <v>2</v>
      </c>
      <c r="DZ363" s="14">
        <f>IFERROR(AVERAGE(Tabel1[[#This Row],[Do - R1a]:[Do - R1c]]),"")</f>
        <v>2.6666666666666665</v>
      </c>
      <c r="EA363" s="14">
        <v>2</v>
      </c>
      <c r="EB363" s="14">
        <v>1</v>
      </c>
      <c r="EC363" s="14">
        <v>1</v>
      </c>
      <c r="ED363" s="14">
        <v>3</v>
      </c>
      <c r="EE363" s="14">
        <f>IFERROR(AVERAGE(Tabel1[[#This Row],[Do - R1]:[Do - R5]]),"")</f>
        <v>1.9333333333333331</v>
      </c>
      <c r="EF363" s="14">
        <v>3</v>
      </c>
      <c r="EG363" s="14">
        <v>4</v>
      </c>
      <c r="EH363" s="14">
        <v>3</v>
      </c>
      <c r="EI363" s="14">
        <f>IFERROR(AVERAGE(Tabel1[[#This Row],[Do - C1a]:[Do - C1c]]),"")</f>
        <v>3.3333333333333335</v>
      </c>
      <c r="EJ363" s="14">
        <v>2</v>
      </c>
      <c r="EK363" s="14">
        <v>1</v>
      </c>
      <c r="EL363" s="14">
        <v>3</v>
      </c>
      <c r="EM363" s="14">
        <f>IFERROR(AVERAGE(Tabel1[[#This Row],[Do - C1]:[Do - C4]]),"")</f>
        <v>2.3333333333333335</v>
      </c>
      <c r="EN363" s="14">
        <v>1</v>
      </c>
      <c r="EO363" s="14">
        <v>1</v>
      </c>
      <c r="EP363" s="14">
        <v>4</v>
      </c>
      <c r="EQ363" s="14">
        <f>IFERROR(AVERAGE(Tabel1[[#This Row],[Do - F1a]:[Do - F1c]]),"")</f>
        <v>2</v>
      </c>
      <c r="ER363" s="14">
        <v>3</v>
      </c>
      <c r="ES363" s="14">
        <f>IFERROR(AVERAGE(Tabel1[[#This Row],[Do - F2a]:[Do - F2a]]),"")</f>
        <v>3</v>
      </c>
      <c r="ET363" s="14">
        <v>2</v>
      </c>
      <c r="EU363" s="14">
        <v>2</v>
      </c>
      <c r="EV363" s="14">
        <f>IFERROR(AVERAGE(Tabel1[[#This Row],[Do - F3a]:[Do - F3b]]),"")</f>
        <v>2</v>
      </c>
      <c r="EW363" s="14">
        <v>2</v>
      </c>
      <c r="EX363" s="14">
        <f>IFERROR(AVERAGE(Tabel1[[#This Row],[Do - F1]],Tabel1[[#This Row],[Do - F2]],Tabel1[[#This Row],[Do - F3]],Tabel1[[#This Row],[Do - F4]]),"")</f>
        <v>2.25</v>
      </c>
      <c r="EY363" s="14">
        <v>3</v>
      </c>
      <c r="EZ363" s="14">
        <v>1</v>
      </c>
      <c r="FA363" s="14">
        <v>3</v>
      </c>
      <c r="FB363" s="14">
        <f>IFERROR(AVERAGE(Tabel1[[#This Row],[Do - V1a]:[Do - V1c]]),"")</f>
        <v>2.3333333333333335</v>
      </c>
      <c r="FC363" s="14">
        <v>1</v>
      </c>
      <c r="FD363" s="14">
        <v>1</v>
      </c>
      <c r="FE363" s="14">
        <f>IFERROR(AVERAGE(Tabel1[[#This Row],[Do - V2a]:[Do - V2b]]),"")</f>
        <v>1</v>
      </c>
      <c r="FF363" s="14">
        <v>2</v>
      </c>
      <c r="FG363" s="14">
        <f>IFERROR(AVERAGE(Tabel1[[#This Row],[Do - V3a]:[Do - V3a]]),"")</f>
        <v>2</v>
      </c>
      <c r="FH363" s="14">
        <v>3</v>
      </c>
      <c r="FI363" s="14">
        <f>IFERROR(AVERAGE(Tabel1[[#This Row],[Do - V1]],Tabel1[[#This Row],[Do - V2]],Tabel1[[#This Row],[Do - V3]],Tabel1[[#This Row],[Do - V4]]),"")</f>
        <v>2.0833333333333335</v>
      </c>
      <c r="FJ363" s="14">
        <v>4</v>
      </c>
      <c r="FK363" s="14">
        <v>4</v>
      </c>
      <c r="FL363" s="14">
        <v>4</v>
      </c>
      <c r="FM363" s="14">
        <f>IFERROR(AVERAGE(Tabel1[[#This Row],[Do - A1a]:[Do - A1c]]),"")</f>
        <v>4</v>
      </c>
      <c r="FN363" s="14">
        <v>1</v>
      </c>
      <c r="FO363" s="14">
        <v>2</v>
      </c>
      <c r="FP363" s="14">
        <f>IFERROR(AVERAGE(Tabel1[[#This Row],[Do - A2a]:[Do - A2b]]),"")</f>
        <v>1.5</v>
      </c>
      <c r="FQ363" s="14">
        <v>3</v>
      </c>
      <c r="FR363" s="14">
        <f>IFERROR(AVERAGE(Tabel1[[#This Row],[Do - A3a]:[Do - A3a]]),"")</f>
        <v>3</v>
      </c>
      <c r="FS363" s="14">
        <v>3</v>
      </c>
      <c r="FT363" s="14">
        <f>IFERROR(AVERAGE(Tabel1[[#This Row],[Do - A1]],Tabel1[[#This Row],[Do - A2]],Tabel1[[#This Row],[Do - A3]],Tabel1[[#This Row],[Do - A4]]),"")</f>
        <v>2.875</v>
      </c>
      <c r="FU36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2.3999999999999995</v>
      </c>
      <c r="FV363" s="27" t="s">
        <v>1857</v>
      </c>
      <c r="FW363" t="b">
        <v>1</v>
      </c>
    </row>
    <row r="364" spans="1:179" x14ac:dyDescent="0.3">
      <c r="A364" s="13">
        <v>45540.3266435185</v>
      </c>
      <c r="B364" t="b">
        <v>0</v>
      </c>
      <c r="C364" s="14" t="s">
        <v>1858</v>
      </c>
      <c r="D364" s="14" t="s">
        <v>1859</v>
      </c>
      <c r="E364" s="14" t="s">
        <v>1860</v>
      </c>
      <c r="F364" s="14" t="s">
        <v>184</v>
      </c>
      <c r="G364" s="14" t="s">
        <v>1861</v>
      </c>
      <c r="H364" s="14" t="s">
        <v>222</v>
      </c>
      <c r="I364" s="14" t="s">
        <v>195</v>
      </c>
      <c r="J364" s="14" t="s">
        <v>273</v>
      </c>
      <c r="K364" s="28" t="s">
        <v>201</v>
      </c>
      <c r="L364" s="14" t="s">
        <v>197</v>
      </c>
      <c r="M364" s="14" t="s">
        <v>281</v>
      </c>
      <c r="N364" s="14" t="s">
        <v>199</v>
      </c>
      <c r="O364" s="14" t="s">
        <v>256</v>
      </c>
      <c r="P364" s="24" t="s">
        <v>304</v>
      </c>
      <c r="Q364" s="17" t="s">
        <v>201</v>
      </c>
      <c r="R364" s="25" t="s">
        <v>187</v>
      </c>
      <c r="S364" s="25" t="s">
        <v>201</v>
      </c>
      <c r="T364" s="14" t="s">
        <v>204</v>
      </c>
      <c r="U364" s="14" t="s">
        <v>237</v>
      </c>
      <c r="V364" s="14" t="s">
        <v>224</v>
      </c>
      <c r="W364" s="14" t="s">
        <v>207</v>
      </c>
      <c r="X364" s="14" t="s">
        <v>395</v>
      </c>
      <c r="Y364" s="14">
        <v>4</v>
      </c>
      <c r="Z364" s="14">
        <v>3</v>
      </c>
      <c r="AA364" s="14">
        <v>2</v>
      </c>
      <c r="AB364" s="15">
        <f>IFERROR(AVERAGE(Tabel1[[#This Row],[Up - R1a]:[Up - R1c]]),"")</f>
        <v>3</v>
      </c>
      <c r="AC364" s="14">
        <v>4</v>
      </c>
      <c r="AD364" s="14">
        <v>5</v>
      </c>
      <c r="AE364" s="14">
        <v>2</v>
      </c>
      <c r="AF364" s="14">
        <v>3</v>
      </c>
      <c r="AG364" s="14">
        <f>IFERROR(AVERAGE(Tabel1[[#This Row],[Up - R1]:[Up - R5]]),"")</f>
        <v>3.4</v>
      </c>
      <c r="AH364" s="14">
        <v>4</v>
      </c>
      <c r="AI364" s="14">
        <v>4</v>
      </c>
      <c r="AJ364" s="14">
        <v>2</v>
      </c>
      <c r="AK364" s="14">
        <f>IFERROR(AVERAGE(Tabel1[[#This Row],[Up - C1a]:[Up - C1c]]),"")</f>
        <v>3.3333333333333335</v>
      </c>
      <c r="AL364" s="14">
        <v>2</v>
      </c>
      <c r="AM364" s="14">
        <v>2</v>
      </c>
      <c r="AN364" s="14" t="s">
        <v>189</v>
      </c>
      <c r="AO364" s="14">
        <f>IFERROR(AVERAGE(Tabel1[[#This Row],[Up - C1]:[Up - C4]]),"")</f>
        <v>2.4444444444444446</v>
      </c>
      <c r="AP364" s="14">
        <v>5</v>
      </c>
      <c r="AQ364" s="14">
        <f>IFERROR(AVERAGE(Tabel1[[#This Row],[Up - F1a]:[Up - F1a]]),"")</f>
        <v>5</v>
      </c>
      <c r="AR364" s="14">
        <v>2</v>
      </c>
      <c r="AS364" s="14">
        <v>4</v>
      </c>
      <c r="AT364" s="14">
        <f>IFERROR(AVERAGE(Tabel1[[#This Row],[Up - F2a]:[Up - F2b]]),"")</f>
        <v>3</v>
      </c>
      <c r="AU364" s="14">
        <v>5</v>
      </c>
      <c r="AV364" s="14">
        <v>3</v>
      </c>
      <c r="AW364" s="14">
        <f>IFERROR(AVERAGE(Tabel1[[#This Row],[Up - F3a]:[Up - F3b]]),"")</f>
        <v>4</v>
      </c>
      <c r="AX364" s="14">
        <v>3</v>
      </c>
      <c r="AY364" s="14">
        <f>IFERROR(AVERAGE(Tabel1[[#This Row],[Up - F1]],Tabel1[[#This Row],[Up - F2]],Tabel1[[#This Row],[Up - F3]],Tabel1[[#This Row],[Up - F4]]),"")</f>
        <v>3.75</v>
      </c>
      <c r="AZ364" s="14">
        <v>4</v>
      </c>
      <c r="BA364" s="14">
        <v>2</v>
      </c>
      <c r="BB364" s="14">
        <f>IFERROR(AVERAGE(Tabel1[[#This Row],[Up - V1a]:[Up - V1b]]),"")</f>
        <v>3</v>
      </c>
      <c r="BC364" s="14">
        <v>3</v>
      </c>
      <c r="BD364" s="14">
        <v>2</v>
      </c>
      <c r="BE364" s="14">
        <v>3</v>
      </c>
      <c r="BF364" s="14">
        <f>IFERROR(AVERAGE(Tabel1[[#This Row],[Up - V2a]:[Up - V2c]]),"")</f>
        <v>2.6666666666666665</v>
      </c>
      <c r="BG364" s="14">
        <v>1</v>
      </c>
      <c r="BH364" s="14">
        <v>1</v>
      </c>
      <c r="BI364" s="14">
        <f>IFERROR(AVERAGE(Tabel1[[#This Row],[Up - V3a]:[Up - V3b]]),"")</f>
        <v>1</v>
      </c>
      <c r="BJ364" s="14">
        <v>3</v>
      </c>
      <c r="BK364" s="14">
        <f>IFERROR(AVERAGE(Tabel1[[#This Row],[Up - V1]],Tabel1[[#This Row],[Up - V2]],Tabel1[[#This Row],[Up - V3]],Tabel1[[#This Row],[Up - V4]]),"")</f>
        <v>2.4166666666666665</v>
      </c>
      <c r="BL364" s="14">
        <v>4</v>
      </c>
      <c r="BM364" s="14">
        <v>4</v>
      </c>
      <c r="BN364" s="14">
        <v>2</v>
      </c>
      <c r="BO364" s="14">
        <v>2</v>
      </c>
      <c r="BP364" s="14">
        <f>IFERROR(AVERAGE(Tabel1[[#This Row],[Up - A1a]:[Up - A1d]]),"")</f>
        <v>3</v>
      </c>
      <c r="BQ364" s="14">
        <v>2</v>
      </c>
      <c r="BR364" s="14">
        <v>2</v>
      </c>
      <c r="BS364" s="14">
        <f>IFERROR(AVERAGE(Tabel1[[#This Row],[Up - A2a]:[Up - A2b]]),"")</f>
        <v>2</v>
      </c>
      <c r="BT364" s="14">
        <v>3</v>
      </c>
      <c r="BU364" s="14">
        <f>IFERROR(AVERAGE(Tabel1[[#This Row],[Up - A3a]:[Up - A3a]]),"")</f>
        <v>3</v>
      </c>
      <c r="BV364" s="14">
        <v>4</v>
      </c>
      <c r="BW364" s="14">
        <f>IFERROR(AVERAGE(Tabel1[[#This Row],[Up - A1]],Tabel1[[#This Row],[Up - A2]],Tabel1[[#This Row],[Up - A3]]),"")</f>
        <v>2.6666666666666665</v>
      </c>
      <c r="BX364" s="14">
        <v>4</v>
      </c>
      <c r="BY364" s="14">
        <v>2</v>
      </c>
      <c r="BZ364" s="14">
        <f>IFERROR(AVERAGE(Tabel1[[#This Row],[In - R1a]:[In - R1b]]),"")</f>
        <v>3</v>
      </c>
      <c r="CA364" s="14">
        <v>3</v>
      </c>
      <c r="CB364" s="14">
        <v>3</v>
      </c>
      <c r="CC364" s="14">
        <v>3</v>
      </c>
      <c r="CD364" s="14">
        <v>4</v>
      </c>
      <c r="CE364" s="14">
        <f>IFERROR(AVERAGE(Tabel1[[#This Row],[In - R1]:[In - R5]]),"")</f>
        <v>3.2</v>
      </c>
      <c r="CF364" s="14">
        <v>4</v>
      </c>
      <c r="CG364" s="14">
        <v>4</v>
      </c>
      <c r="CH364" s="14">
        <v>5</v>
      </c>
      <c r="CI364" s="14">
        <f>IFERROR(AVERAGE(Tabel1[[#This Row],[In - C1a]:[In - C1c]]),"")</f>
        <v>4.333333333333333</v>
      </c>
      <c r="CJ364" s="14">
        <v>3</v>
      </c>
      <c r="CK364" s="14">
        <v>3</v>
      </c>
      <c r="CL364" s="14">
        <v>2</v>
      </c>
      <c r="CM364" s="14">
        <f>IFERROR(AVERAGE(Tabel1[[#This Row],[In - C1]:[In - C4]]),"")</f>
        <v>3.083333333333333</v>
      </c>
      <c r="CN364" s="14">
        <v>5</v>
      </c>
      <c r="CO364" s="14">
        <v>4</v>
      </c>
      <c r="CP364" s="14">
        <v>2</v>
      </c>
      <c r="CQ364" s="14">
        <f>IFERROR(AVERAGE(Tabel1[[#This Row],[In - F1a]:[In - F1c]]),"")</f>
        <v>3.6666666666666665</v>
      </c>
      <c r="CR364" s="14">
        <v>4</v>
      </c>
      <c r="CS364" s="14">
        <v>3</v>
      </c>
      <c r="CT364" s="14">
        <f>IFERROR(AVERAGE(Tabel1[[#This Row],[In - F2a]:[In - F2b]]),"")</f>
        <v>3.5</v>
      </c>
      <c r="CU364" s="14">
        <v>3</v>
      </c>
      <c r="CV364" s="14">
        <f>IFERROR(AVERAGE(Tabel1[[#This Row],[In - F3a]:[In - F3a]]),"")</f>
        <v>3</v>
      </c>
      <c r="CW364" s="14">
        <v>3</v>
      </c>
      <c r="CX364" s="14">
        <f>IFERROR(AVERAGE(Tabel1[[#This Row],[In - F1]],Tabel1[[#This Row],[In - F2]],Tabel1[[#This Row],[In - F3]],Tabel1[[#This Row],[In - F4]]),"")</f>
        <v>3.2916666666666665</v>
      </c>
      <c r="CY364" s="14">
        <v>4</v>
      </c>
      <c r="CZ364" s="14">
        <v>3</v>
      </c>
      <c r="DA364" s="14">
        <v>4</v>
      </c>
      <c r="DB364" s="14">
        <f>IFERROR(AVERAGE(Tabel1[[#This Row],[In - V1a]:[In - V1c]]),"")</f>
        <v>3.6666666666666665</v>
      </c>
      <c r="DC364" s="14">
        <v>4</v>
      </c>
      <c r="DD364" s="14">
        <v>2</v>
      </c>
      <c r="DE364" s="14">
        <v>3</v>
      </c>
      <c r="DF364" s="14">
        <f>IFERROR(AVERAGE(Tabel1[[#This Row],[In - V2a]:[In - V2c]]),"")</f>
        <v>3</v>
      </c>
      <c r="DG364" s="14">
        <v>3</v>
      </c>
      <c r="DH364" s="14">
        <v>2</v>
      </c>
      <c r="DI364" s="14">
        <f>IFERROR(AVERAGE(Tabel1[[#This Row],[In - V3a]:[In - V3b]]),"")</f>
        <v>2.5</v>
      </c>
      <c r="DJ364" s="14">
        <v>3</v>
      </c>
      <c r="DK364" s="14">
        <f>IFERROR(AVERAGE(Tabel1[[#This Row],[In - V1]],Tabel1[[#This Row],[In - V2]],Tabel1[[#This Row],[In - V3]],Tabel1[[#This Row],[In - V4]]),"")</f>
        <v>3.0416666666666665</v>
      </c>
      <c r="DL364" s="14">
        <v>4</v>
      </c>
      <c r="DM364" s="14">
        <v>3</v>
      </c>
      <c r="DN364" s="14">
        <f>IFERROR(AVERAGE(Tabel1[[#This Row],[In - A1a]:[In - A1b]]),"")</f>
        <v>3.5</v>
      </c>
      <c r="DO364" s="14">
        <v>2</v>
      </c>
      <c r="DP364" s="14">
        <v>3</v>
      </c>
      <c r="DQ364" s="14">
        <f>IFERROR(AVERAGE(Tabel1[[#This Row],[In - A2a]:[In - A2b]]),"")</f>
        <v>2.5</v>
      </c>
      <c r="DR364" s="14">
        <v>4</v>
      </c>
      <c r="DS364" s="14">
        <v>3</v>
      </c>
      <c r="DT364" s="14">
        <f>IFERROR(AVERAGE(Tabel1[[#This Row],[In - A3a]:[In - A3a]]),"")</f>
        <v>4</v>
      </c>
      <c r="DU364" s="14">
        <v>4</v>
      </c>
      <c r="DV364" s="14">
        <f>IFERROR(AVERAGE(Tabel1[[#This Row],[In - A1]],Tabel1[[#This Row],[In - A2]],Tabel1[[#This Row],[In - A3]],Tabel1[[#This Row],[In - A4]]),"")</f>
        <v>3.5</v>
      </c>
      <c r="DW364" s="14">
        <v>1</v>
      </c>
      <c r="DX364" s="14">
        <v>5</v>
      </c>
      <c r="DY364" s="14">
        <v>3</v>
      </c>
      <c r="DZ364" s="14">
        <f>IFERROR(AVERAGE(Tabel1[[#This Row],[Do - R1a]:[Do - R1c]]),"")</f>
        <v>3</v>
      </c>
      <c r="EA364" s="14">
        <v>4</v>
      </c>
      <c r="EB364" s="14">
        <v>4</v>
      </c>
      <c r="EC364" s="14">
        <v>3</v>
      </c>
      <c r="ED364" s="14">
        <v>3</v>
      </c>
      <c r="EE364" s="14">
        <f>IFERROR(AVERAGE(Tabel1[[#This Row],[Do - R1]:[Do - R5]]),"")</f>
        <v>3.4</v>
      </c>
      <c r="EF364" s="14">
        <v>4</v>
      </c>
      <c r="EG364" s="14">
        <v>3</v>
      </c>
      <c r="EH364" s="14">
        <v>4</v>
      </c>
      <c r="EI364" s="14">
        <f>IFERROR(AVERAGE(Tabel1[[#This Row],[Do - C1a]:[Do - C1c]]),"")</f>
        <v>3.6666666666666665</v>
      </c>
      <c r="EJ364" s="14">
        <v>4</v>
      </c>
      <c r="EK364" s="14">
        <v>3</v>
      </c>
      <c r="EL364" s="14" t="s">
        <v>189</v>
      </c>
      <c r="EM364" s="14">
        <f>IFERROR(AVERAGE(Tabel1[[#This Row],[Do - C1]:[Do - C4]]),"")</f>
        <v>3.5555555555555554</v>
      </c>
      <c r="EN364" s="14">
        <v>4</v>
      </c>
      <c r="EO364" s="14">
        <v>4</v>
      </c>
      <c r="EP364" s="14">
        <v>5</v>
      </c>
      <c r="EQ364" s="14">
        <f>IFERROR(AVERAGE(Tabel1[[#This Row],[Do - F1a]:[Do - F1c]]),"")</f>
        <v>4.333333333333333</v>
      </c>
      <c r="ER364" s="14">
        <v>3</v>
      </c>
      <c r="ES364" s="14">
        <f>IFERROR(AVERAGE(Tabel1[[#This Row],[Do - F2a]:[Do - F2a]]),"")</f>
        <v>3</v>
      </c>
      <c r="ET364" s="14">
        <v>4</v>
      </c>
      <c r="EU364" s="14">
        <v>4</v>
      </c>
      <c r="EV364" s="14">
        <f>IFERROR(AVERAGE(Tabel1[[#This Row],[Do - F3a]:[Do - F3b]]),"")</f>
        <v>4</v>
      </c>
      <c r="EW364" s="14">
        <v>3</v>
      </c>
      <c r="EX364" s="14">
        <f>IFERROR(AVERAGE(Tabel1[[#This Row],[Do - F1]],Tabel1[[#This Row],[Do - F2]],Tabel1[[#This Row],[Do - F3]],Tabel1[[#This Row],[Do - F4]]),"")</f>
        <v>3.583333333333333</v>
      </c>
      <c r="EY364" s="14">
        <v>4</v>
      </c>
      <c r="EZ364" s="14">
        <v>2</v>
      </c>
      <c r="FA364" s="14">
        <v>3</v>
      </c>
      <c r="FB364" s="14">
        <f>IFERROR(AVERAGE(Tabel1[[#This Row],[Do - V1a]:[Do - V1c]]),"")</f>
        <v>3</v>
      </c>
      <c r="FC364" s="14">
        <v>4</v>
      </c>
      <c r="FD364" s="14">
        <v>2</v>
      </c>
      <c r="FE364" s="14">
        <f>IFERROR(AVERAGE(Tabel1[[#This Row],[Do - V2a]:[Do - V2b]]),"")</f>
        <v>3</v>
      </c>
      <c r="FF364" s="14">
        <v>3</v>
      </c>
      <c r="FG364" s="14">
        <f>IFERROR(AVERAGE(Tabel1[[#This Row],[Do - V3a]:[Do - V3a]]),"")</f>
        <v>3</v>
      </c>
      <c r="FH364" s="14">
        <v>1</v>
      </c>
      <c r="FI364" s="14">
        <f>IFERROR(AVERAGE(Tabel1[[#This Row],[Do - V1]],Tabel1[[#This Row],[Do - V2]],Tabel1[[#This Row],[Do - V3]],Tabel1[[#This Row],[Do - V4]]),"")</f>
        <v>2.5</v>
      </c>
      <c r="FJ364" s="14">
        <v>3</v>
      </c>
      <c r="FK364" s="14">
        <v>2</v>
      </c>
      <c r="FL364" s="14">
        <v>4</v>
      </c>
      <c r="FM364" s="14">
        <f>IFERROR(AVERAGE(Tabel1[[#This Row],[Do - A1a]:[Do - A1c]]),"")</f>
        <v>3</v>
      </c>
      <c r="FN364" s="14">
        <v>3</v>
      </c>
      <c r="FO364" s="14">
        <v>2</v>
      </c>
      <c r="FP364" s="14">
        <f>IFERROR(AVERAGE(Tabel1[[#This Row],[Do - A2a]:[Do - A2b]]),"")</f>
        <v>2.5</v>
      </c>
      <c r="FQ364" s="14">
        <v>4</v>
      </c>
      <c r="FR364" s="14">
        <f>IFERROR(AVERAGE(Tabel1[[#This Row],[Do - A3a]:[Do - A3a]]),"")</f>
        <v>4</v>
      </c>
      <c r="FS364" s="14">
        <v>3</v>
      </c>
      <c r="FT364" s="14">
        <f>IFERROR(AVERAGE(Tabel1[[#This Row],[Do - A1]],Tabel1[[#This Row],[Do - A2]],Tabel1[[#This Row],[Do - A3]],Tabel1[[#This Row],[Do - A4]]),"")</f>
        <v>3.125</v>
      </c>
      <c r="FU36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3.1305555555555555</v>
      </c>
      <c r="FV364" s="27" t="s">
        <v>1862</v>
      </c>
      <c r="FW364" t="b">
        <v>1</v>
      </c>
    </row>
    <row r="365" spans="1:179" x14ac:dyDescent="0.3">
      <c r="A365" s="13">
        <v>45544.5551851852</v>
      </c>
      <c r="B365" t="b">
        <v>0</v>
      </c>
      <c r="C365" s="14" t="s">
        <v>1863</v>
      </c>
      <c r="D365" s="14" t="s">
        <v>1864</v>
      </c>
      <c r="E365" s="14" t="s">
        <v>639</v>
      </c>
      <c r="F365" s="14" t="s">
        <v>184</v>
      </c>
      <c r="G365" s="14" t="s">
        <v>1865</v>
      </c>
      <c r="H365" s="14" t="s">
        <v>222</v>
      </c>
      <c r="I365" s="14" t="s">
        <v>195</v>
      </c>
      <c r="J365" s="14" t="s">
        <v>261</v>
      </c>
      <c r="K365" s="28" t="s">
        <v>201</v>
      </c>
      <c r="L365" s="14" t="s">
        <v>218</v>
      </c>
      <c r="M365" s="14" t="s">
        <v>188</v>
      </c>
      <c r="N365" s="14" t="s">
        <v>262</v>
      </c>
      <c r="O365" s="14" t="s">
        <v>200</v>
      </c>
      <c r="P365" s="24" t="s">
        <v>255</v>
      </c>
      <c r="Q365" s="17" t="s">
        <v>201</v>
      </c>
      <c r="R365" s="25" t="s">
        <v>201</v>
      </c>
      <c r="S365" s="25" t="s">
        <v>201</v>
      </c>
      <c r="T365" s="14" t="s">
        <v>236</v>
      </c>
      <c r="U365" s="14" t="s">
        <v>285</v>
      </c>
      <c r="V365" s="14" t="s">
        <v>359</v>
      </c>
      <c r="W365" s="14" t="s">
        <v>395</v>
      </c>
      <c r="X365" s="14" t="s">
        <v>395</v>
      </c>
      <c r="Y365" s="14">
        <v>4</v>
      </c>
      <c r="Z365" s="14">
        <v>3</v>
      </c>
      <c r="AA365" s="14" t="s">
        <v>189</v>
      </c>
      <c r="AB365" s="15">
        <f>IFERROR(AVERAGE(Tabel1[[#This Row],[Up - R1a]:[Up - R1c]]),"")</f>
        <v>3.5</v>
      </c>
      <c r="AC365" s="14">
        <v>3</v>
      </c>
      <c r="AD365" s="14">
        <v>4</v>
      </c>
      <c r="AE365" s="14">
        <v>3</v>
      </c>
      <c r="AF365" s="14">
        <v>5</v>
      </c>
      <c r="AG365" s="14">
        <f>IFERROR(AVERAGE(Tabel1[[#This Row],[Up - R1]:[Up - R5]]),"")</f>
        <v>3.7</v>
      </c>
      <c r="AH365" s="14">
        <v>4</v>
      </c>
      <c r="AI365" s="14">
        <v>4</v>
      </c>
      <c r="AJ365" s="14">
        <v>4</v>
      </c>
      <c r="AK365" s="14">
        <f>IFERROR(AVERAGE(Tabel1[[#This Row],[Up - C1a]:[Up - C1c]]),"")</f>
        <v>4</v>
      </c>
      <c r="AL365" s="14">
        <v>2</v>
      </c>
      <c r="AM365" s="14">
        <v>1</v>
      </c>
      <c r="AN365" s="14">
        <v>2</v>
      </c>
      <c r="AO365" s="14">
        <f>IFERROR(AVERAGE(Tabel1[[#This Row],[Up - C1]:[Up - C4]]),"")</f>
        <v>2.25</v>
      </c>
      <c r="AP365" s="14">
        <v>4</v>
      </c>
      <c r="AQ365" s="14">
        <f>IFERROR(AVERAGE(Tabel1[[#This Row],[Up - F1a]:[Up - F1a]]),"")</f>
        <v>4</v>
      </c>
      <c r="AR365" s="14">
        <v>2</v>
      </c>
      <c r="AS365" s="14">
        <v>2</v>
      </c>
      <c r="AT365" s="14">
        <f>IFERROR(AVERAGE(Tabel1[[#This Row],[Up - F2a]:[Up - F2b]]),"")</f>
        <v>2</v>
      </c>
      <c r="AU365" s="14">
        <v>4</v>
      </c>
      <c r="AV365" s="14">
        <v>3</v>
      </c>
      <c r="AW365" s="14">
        <f>IFERROR(AVERAGE(Tabel1[[#This Row],[Up - F3a]:[Up - F3b]]),"")</f>
        <v>3.5</v>
      </c>
      <c r="AX365" s="14">
        <v>4</v>
      </c>
      <c r="AY365" s="14">
        <f>IFERROR(AVERAGE(Tabel1[[#This Row],[Up - F1]],Tabel1[[#This Row],[Up - F2]],Tabel1[[#This Row],[Up - F3]],Tabel1[[#This Row],[Up - F4]]),"")</f>
        <v>3.375</v>
      </c>
      <c r="AZ365" s="14">
        <v>4</v>
      </c>
      <c r="BA365" s="14">
        <v>4</v>
      </c>
      <c r="BB365" s="14">
        <f>IFERROR(AVERAGE(Tabel1[[#This Row],[Up - V1a]:[Up - V1b]]),"")</f>
        <v>4</v>
      </c>
      <c r="BC365" s="14">
        <v>4</v>
      </c>
      <c r="BD365" s="14">
        <v>4</v>
      </c>
      <c r="BE365" s="14">
        <v>4</v>
      </c>
      <c r="BF365" s="14">
        <f>IFERROR(AVERAGE(Tabel1[[#This Row],[Up - V2a]:[Up - V2c]]),"")</f>
        <v>4</v>
      </c>
      <c r="BG365" s="14" t="s">
        <v>189</v>
      </c>
      <c r="BH365" s="14">
        <v>2</v>
      </c>
      <c r="BI365" s="14">
        <f>IFERROR(AVERAGE(Tabel1[[#This Row],[Up - V3a]:[Up - V3b]]),"")</f>
        <v>2</v>
      </c>
      <c r="BJ365" s="14">
        <v>1</v>
      </c>
      <c r="BK365" s="14">
        <f>IFERROR(AVERAGE(Tabel1[[#This Row],[Up - V1]],Tabel1[[#This Row],[Up - V2]],Tabel1[[#This Row],[Up - V3]],Tabel1[[#This Row],[Up - V4]]),"")</f>
        <v>2.75</v>
      </c>
      <c r="BL365" s="14">
        <v>3</v>
      </c>
      <c r="BM365" s="14">
        <v>4</v>
      </c>
      <c r="BN365" s="14">
        <v>5</v>
      </c>
      <c r="BO365" s="14">
        <v>2</v>
      </c>
      <c r="BP365" s="14">
        <f>IFERROR(AVERAGE(Tabel1[[#This Row],[Up - A1a]:[Up - A1d]]),"")</f>
        <v>3.5</v>
      </c>
      <c r="BQ365" s="14">
        <v>3</v>
      </c>
      <c r="BR365" s="14">
        <v>3</v>
      </c>
      <c r="BS365" s="14">
        <f>IFERROR(AVERAGE(Tabel1[[#This Row],[Up - A2a]:[Up - A2b]]),"")</f>
        <v>3</v>
      </c>
      <c r="BT365" s="14">
        <v>5</v>
      </c>
      <c r="BU365" s="14">
        <f>IFERROR(AVERAGE(Tabel1[[#This Row],[Up - A3a]:[Up - A3a]]),"")</f>
        <v>5</v>
      </c>
      <c r="BV365" s="14" t="s">
        <v>189</v>
      </c>
      <c r="BW365" s="14">
        <f>IFERROR(AVERAGE(Tabel1[[#This Row],[Up - A1]],Tabel1[[#This Row],[Up - A2]],Tabel1[[#This Row],[Up - A3]]),"")</f>
        <v>3.8333333333333335</v>
      </c>
      <c r="BX365" s="14">
        <v>1</v>
      </c>
      <c r="BY365" s="14">
        <v>1</v>
      </c>
      <c r="BZ365" s="14">
        <f>IFERROR(AVERAGE(Tabel1[[#This Row],[In - R1a]:[In - R1b]]),"")</f>
        <v>1</v>
      </c>
      <c r="CA365" s="14">
        <v>4</v>
      </c>
      <c r="CB365" s="14">
        <v>1</v>
      </c>
      <c r="CC365" s="14">
        <v>1</v>
      </c>
      <c r="CD365" s="14">
        <v>5</v>
      </c>
      <c r="CE365" s="14">
        <f>IFERROR(AVERAGE(Tabel1[[#This Row],[In - R1]:[In - R5]]),"")</f>
        <v>2.4</v>
      </c>
      <c r="CF365" s="14">
        <v>4</v>
      </c>
      <c r="CG365" s="14">
        <v>4</v>
      </c>
      <c r="CH365" s="14">
        <v>4</v>
      </c>
      <c r="CI365" s="14">
        <f>IFERROR(AVERAGE(Tabel1[[#This Row],[In - C1a]:[In - C1c]]),"")</f>
        <v>4</v>
      </c>
      <c r="CJ365" s="14">
        <v>1</v>
      </c>
      <c r="CK365" s="14">
        <v>2</v>
      </c>
      <c r="CL365" s="14" t="s">
        <v>189</v>
      </c>
      <c r="CM365" s="14">
        <f>IFERROR(AVERAGE(Tabel1[[#This Row],[In - C1]:[In - C4]]),"")</f>
        <v>2.3333333333333335</v>
      </c>
      <c r="CN365" s="14">
        <v>4</v>
      </c>
      <c r="CO365" s="14">
        <v>3</v>
      </c>
      <c r="CP365" s="14">
        <v>1</v>
      </c>
      <c r="CQ365" s="14">
        <f>IFERROR(AVERAGE(Tabel1[[#This Row],[In - F1a]:[In - F1c]]),"")</f>
        <v>2.6666666666666665</v>
      </c>
      <c r="CR365" s="14">
        <v>4</v>
      </c>
      <c r="CS365" s="14">
        <v>2</v>
      </c>
      <c r="CT365" s="14">
        <f>IFERROR(AVERAGE(Tabel1[[#This Row],[In - F2a]:[In - F2b]]),"")</f>
        <v>3</v>
      </c>
      <c r="CU365" s="14">
        <v>2</v>
      </c>
      <c r="CV365" s="14">
        <f>IFERROR(AVERAGE(Tabel1[[#This Row],[In - F3a]:[In - F3a]]),"")</f>
        <v>2</v>
      </c>
      <c r="CW365" s="14" t="s">
        <v>189</v>
      </c>
      <c r="CX365" s="14">
        <f>IFERROR(AVERAGE(Tabel1[[#This Row],[In - F1]],Tabel1[[#This Row],[In - F2]],Tabel1[[#This Row],[In - F3]],Tabel1[[#This Row],[In - F4]]),"")</f>
        <v>2.5555555555555554</v>
      </c>
      <c r="CY365" s="14">
        <v>4</v>
      </c>
      <c r="CZ365" s="14">
        <v>2</v>
      </c>
      <c r="DA365" s="14">
        <v>1</v>
      </c>
      <c r="DB365" s="14">
        <f>IFERROR(AVERAGE(Tabel1[[#This Row],[In - V1a]:[In - V1c]]),"")</f>
        <v>2.3333333333333335</v>
      </c>
      <c r="DC365" s="14" t="s">
        <v>189</v>
      </c>
      <c r="DD365" s="14">
        <v>3</v>
      </c>
      <c r="DE365" s="14">
        <v>4</v>
      </c>
      <c r="DF365" s="14">
        <f>IFERROR(AVERAGE(Tabel1[[#This Row],[In - V2a]:[In - V2c]]),"")</f>
        <v>3.5</v>
      </c>
      <c r="DG365" s="14">
        <v>1</v>
      </c>
      <c r="DH365" s="14">
        <v>3</v>
      </c>
      <c r="DI365" s="14">
        <f>IFERROR(AVERAGE(Tabel1[[#This Row],[In - V3a]:[In - V3b]]),"")</f>
        <v>2</v>
      </c>
      <c r="DJ365" s="14" t="s">
        <v>189</v>
      </c>
      <c r="DK365" s="14">
        <f>IFERROR(AVERAGE(Tabel1[[#This Row],[In - V1]],Tabel1[[#This Row],[In - V2]],Tabel1[[#This Row],[In - V3]],Tabel1[[#This Row],[In - V4]]),"")</f>
        <v>2.6111111111111112</v>
      </c>
      <c r="DL365" s="14">
        <v>5</v>
      </c>
      <c r="DM365" s="14">
        <v>4</v>
      </c>
      <c r="DN365" s="14">
        <f>IFERROR(AVERAGE(Tabel1[[#This Row],[In - A1a]:[In - A1b]]),"")</f>
        <v>4.5</v>
      </c>
      <c r="DO365" s="14">
        <v>4</v>
      </c>
      <c r="DP365" s="14">
        <v>4</v>
      </c>
      <c r="DQ365" s="14">
        <f>IFERROR(AVERAGE(Tabel1[[#This Row],[In - A2a]:[In - A2b]]),"")</f>
        <v>4</v>
      </c>
      <c r="DR365" s="14">
        <v>5</v>
      </c>
      <c r="DS365" s="14">
        <v>2</v>
      </c>
      <c r="DT365" s="14">
        <f>IFERROR(AVERAGE(Tabel1[[#This Row],[In - A3a]:[In - A3a]]),"")</f>
        <v>5</v>
      </c>
      <c r="DU365" s="14" t="s">
        <v>189</v>
      </c>
      <c r="DV365" s="14">
        <f>IFERROR(AVERAGE(Tabel1[[#This Row],[In - A1]],Tabel1[[#This Row],[In - A2]],Tabel1[[#This Row],[In - A3]],Tabel1[[#This Row],[In - A4]]),"")</f>
        <v>4.5</v>
      </c>
      <c r="DW365" s="14">
        <v>2</v>
      </c>
      <c r="DX365" s="14">
        <v>4</v>
      </c>
      <c r="DY365" s="14">
        <v>4</v>
      </c>
      <c r="DZ365" s="14">
        <f>IFERROR(AVERAGE(Tabel1[[#This Row],[Do - R1a]:[Do - R1c]]),"")</f>
        <v>3.3333333333333335</v>
      </c>
      <c r="EA365" s="14">
        <v>1</v>
      </c>
      <c r="EB365" s="14">
        <v>1</v>
      </c>
      <c r="EC365" s="14">
        <v>1</v>
      </c>
      <c r="ED365" s="14">
        <v>4</v>
      </c>
      <c r="EE365" s="14">
        <f>IFERROR(AVERAGE(Tabel1[[#This Row],[Do - R1]:[Do - R5]]),"")</f>
        <v>2.0666666666666669</v>
      </c>
      <c r="EF365" s="14">
        <v>4</v>
      </c>
      <c r="EG365" s="14">
        <v>3</v>
      </c>
      <c r="EH365" s="14">
        <v>4</v>
      </c>
      <c r="EI365" s="14">
        <f>IFERROR(AVERAGE(Tabel1[[#This Row],[Do - C1a]:[Do - C1c]]),"")</f>
        <v>3.6666666666666665</v>
      </c>
      <c r="EJ365" s="14">
        <v>2</v>
      </c>
      <c r="EK365" s="14">
        <v>1</v>
      </c>
      <c r="EL365" s="14">
        <v>4</v>
      </c>
      <c r="EM365" s="14">
        <f>IFERROR(AVERAGE(Tabel1[[#This Row],[Do - C1]:[Do - C4]]),"")</f>
        <v>2.6666666666666665</v>
      </c>
      <c r="EN365" s="14">
        <v>4</v>
      </c>
      <c r="EO365" s="14">
        <v>1</v>
      </c>
      <c r="EP365" s="14" t="s">
        <v>189</v>
      </c>
      <c r="EQ365" s="14">
        <f>IFERROR(AVERAGE(Tabel1[[#This Row],[Do - F1a]:[Do - F1c]]),"")</f>
        <v>2.5</v>
      </c>
      <c r="ER365" s="14">
        <v>3</v>
      </c>
      <c r="ES365" s="14">
        <f>IFERROR(AVERAGE(Tabel1[[#This Row],[Do - F2a]:[Do - F2a]]),"")</f>
        <v>3</v>
      </c>
      <c r="ET365" s="14">
        <v>2</v>
      </c>
      <c r="EU365" s="14" t="s">
        <v>189</v>
      </c>
      <c r="EV365" s="14">
        <f>IFERROR(AVERAGE(Tabel1[[#This Row],[Do - F3a]:[Do - F3b]]),"")</f>
        <v>2</v>
      </c>
      <c r="EW365" s="14">
        <v>4</v>
      </c>
      <c r="EX365" s="14">
        <f>IFERROR(AVERAGE(Tabel1[[#This Row],[Do - F1]],Tabel1[[#This Row],[Do - F2]],Tabel1[[#This Row],[Do - F3]],Tabel1[[#This Row],[Do - F4]]),"")</f>
        <v>2.875</v>
      </c>
      <c r="EY365" s="14">
        <v>2</v>
      </c>
      <c r="EZ365" s="14">
        <v>1</v>
      </c>
      <c r="FA365" s="14">
        <v>4</v>
      </c>
      <c r="FB365" s="14">
        <f>IFERROR(AVERAGE(Tabel1[[#This Row],[Do - V1a]:[Do - V1c]]),"")</f>
        <v>2.3333333333333335</v>
      </c>
      <c r="FC365" s="14">
        <v>3</v>
      </c>
      <c r="FD365" s="14">
        <v>1</v>
      </c>
      <c r="FE365" s="14">
        <f>IFERROR(AVERAGE(Tabel1[[#This Row],[Do - V2a]:[Do - V2b]]),"")</f>
        <v>2</v>
      </c>
      <c r="FF365" s="14">
        <v>2</v>
      </c>
      <c r="FG365" s="14">
        <f>IFERROR(AVERAGE(Tabel1[[#This Row],[Do - V3a]:[Do - V3a]]),"")</f>
        <v>2</v>
      </c>
      <c r="FH365" s="14">
        <v>4</v>
      </c>
      <c r="FI365" s="14">
        <f>IFERROR(AVERAGE(Tabel1[[#This Row],[Do - V1]],Tabel1[[#This Row],[Do - V2]],Tabel1[[#This Row],[Do - V3]],Tabel1[[#This Row],[Do - V4]]),"")</f>
        <v>2.5833333333333335</v>
      </c>
      <c r="FJ365" s="14">
        <v>5</v>
      </c>
      <c r="FK365" s="14">
        <v>3</v>
      </c>
      <c r="FL365" s="14">
        <v>4</v>
      </c>
      <c r="FM365" s="14">
        <f>IFERROR(AVERAGE(Tabel1[[#This Row],[Do - A1a]:[Do - A1c]]),"")</f>
        <v>4</v>
      </c>
      <c r="FN365" s="14" t="s">
        <v>189</v>
      </c>
      <c r="FO365" s="14">
        <v>1</v>
      </c>
      <c r="FP365" s="14">
        <f>IFERROR(AVERAGE(Tabel1[[#This Row],[Do - A2a]:[Do - A2b]]),"")</f>
        <v>1</v>
      </c>
      <c r="FQ365" s="14">
        <v>4</v>
      </c>
      <c r="FR365" s="14">
        <f>IFERROR(AVERAGE(Tabel1[[#This Row],[Do - A3a]:[Do - A3a]]),"")</f>
        <v>4</v>
      </c>
      <c r="FS365" s="14">
        <v>4</v>
      </c>
      <c r="FT365" s="14">
        <f>IFERROR(AVERAGE(Tabel1[[#This Row],[Do - A1]],Tabel1[[#This Row],[Do - A2]],Tabel1[[#This Row],[Do - A3]],Tabel1[[#This Row],[Do - A4]]),"")</f>
        <v>3.25</v>
      </c>
      <c r="FU36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2.9166666666666665</v>
      </c>
      <c r="FV365" s="27" t="s">
        <v>1866</v>
      </c>
      <c r="FW365" t="b">
        <v>1</v>
      </c>
    </row>
    <row r="366" spans="1:179" x14ac:dyDescent="0.3">
      <c r="A366" s="13">
        <v>45553.582337963002</v>
      </c>
      <c r="B366" t="b">
        <v>0</v>
      </c>
      <c r="C366" s="14" t="s">
        <v>1867</v>
      </c>
      <c r="D366" s="14" t="s">
        <v>1868</v>
      </c>
      <c r="E366" s="14" t="s">
        <v>639</v>
      </c>
      <c r="F366" s="14" t="s">
        <v>184</v>
      </c>
      <c r="G366" s="14" t="s">
        <v>1869</v>
      </c>
      <c r="H366" s="14" t="s">
        <v>222</v>
      </c>
      <c r="I366" s="14" t="s">
        <v>195</v>
      </c>
      <c r="J366" s="14" t="s">
        <v>261</v>
      </c>
      <c r="K366" s="28" t="s">
        <v>201</v>
      </c>
      <c r="L366" s="14" t="s">
        <v>218</v>
      </c>
      <c r="M366" s="14" t="s">
        <v>188</v>
      </c>
      <c r="N366" s="14"/>
      <c r="O366" s="14" t="s">
        <v>200</v>
      </c>
      <c r="P366" s="24" t="s">
        <v>255</v>
      </c>
      <c r="Q366" s="17" t="s">
        <v>304</v>
      </c>
      <c r="R366" s="25" t="s">
        <v>201</v>
      </c>
      <c r="S366" s="25" t="s">
        <v>201</v>
      </c>
      <c r="T366" s="14" t="s">
        <v>236</v>
      </c>
      <c r="U366" s="14" t="s">
        <v>285</v>
      </c>
      <c r="V366" s="14" t="s">
        <v>359</v>
      </c>
      <c r="W366" s="14" t="s">
        <v>306</v>
      </c>
      <c r="X366" s="14" t="s">
        <v>395</v>
      </c>
      <c r="Y366" s="14">
        <v>1</v>
      </c>
      <c r="Z366" s="14">
        <v>1</v>
      </c>
      <c r="AA366" s="14">
        <v>2</v>
      </c>
      <c r="AB366" s="15">
        <f>IFERROR(AVERAGE(Tabel1[[#This Row],[Up - R1a]:[Up - R1c]]),"")</f>
        <v>1.3333333333333333</v>
      </c>
      <c r="AC366" s="14">
        <v>1</v>
      </c>
      <c r="AD366" s="14" t="s">
        <v>189</v>
      </c>
      <c r="AE366" s="14">
        <v>1</v>
      </c>
      <c r="AF366" s="14" t="s">
        <v>189</v>
      </c>
      <c r="AG366" s="14">
        <f>IFERROR(AVERAGE(Tabel1[[#This Row],[Up - R1]:[Up - R5]]),"")</f>
        <v>1.1111111111111109</v>
      </c>
      <c r="AH366" s="14">
        <v>3</v>
      </c>
      <c r="AI366" s="14">
        <v>3</v>
      </c>
      <c r="AJ366" s="14">
        <v>2</v>
      </c>
      <c r="AK366" s="14">
        <f>IFERROR(AVERAGE(Tabel1[[#This Row],[Up - C1a]:[Up - C1c]]),"")</f>
        <v>2.6666666666666665</v>
      </c>
      <c r="AL366" s="14">
        <v>2</v>
      </c>
      <c r="AM366" s="14">
        <v>3</v>
      </c>
      <c r="AN366" s="14">
        <v>3</v>
      </c>
      <c r="AO366" s="14">
        <f>IFERROR(AVERAGE(Tabel1[[#This Row],[Up - C1]:[Up - C4]]),"")</f>
        <v>2.6666666666666665</v>
      </c>
      <c r="AP366" s="14">
        <v>1</v>
      </c>
      <c r="AQ366" s="14">
        <f>IFERROR(AVERAGE(Tabel1[[#This Row],[Up - F1a]:[Up - F1a]]),"")</f>
        <v>1</v>
      </c>
      <c r="AR366" s="14">
        <v>1</v>
      </c>
      <c r="AS366" s="14">
        <v>1</v>
      </c>
      <c r="AT366" s="14">
        <f>IFERROR(AVERAGE(Tabel1[[#This Row],[Up - F2a]:[Up - F2b]]),"")</f>
        <v>1</v>
      </c>
      <c r="AU366" s="14">
        <v>2</v>
      </c>
      <c r="AV366" s="14">
        <v>2</v>
      </c>
      <c r="AW366" s="14">
        <f>IFERROR(AVERAGE(Tabel1[[#This Row],[Up - F3a]:[Up - F3b]]),"")</f>
        <v>2</v>
      </c>
      <c r="AX366" s="14">
        <v>1</v>
      </c>
      <c r="AY366" s="14">
        <f>IFERROR(AVERAGE(Tabel1[[#This Row],[Up - F1]],Tabel1[[#This Row],[Up - F2]],Tabel1[[#This Row],[Up - F3]],Tabel1[[#This Row],[Up - F4]]),"")</f>
        <v>1.25</v>
      </c>
      <c r="AZ366" s="14">
        <v>2</v>
      </c>
      <c r="BA366" s="14">
        <v>2</v>
      </c>
      <c r="BB366" s="14">
        <f>IFERROR(AVERAGE(Tabel1[[#This Row],[Up - V1a]:[Up - V1b]]),"")</f>
        <v>2</v>
      </c>
      <c r="BC366" s="14">
        <v>2</v>
      </c>
      <c r="BD366" s="14" t="s">
        <v>189</v>
      </c>
      <c r="BE366" s="14">
        <v>4</v>
      </c>
      <c r="BF366" s="14">
        <f>IFERROR(AVERAGE(Tabel1[[#This Row],[Up - V2a]:[Up - V2c]]),"")</f>
        <v>3</v>
      </c>
      <c r="BG366" s="14">
        <v>4</v>
      </c>
      <c r="BH366" s="14">
        <v>1</v>
      </c>
      <c r="BI366" s="14">
        <f>IFERROR(AVERAGE(Tabel1[[#This Row],[Up - V3a]:[Up - V3b]]),"")</f>
        <v>2.5</v>
      </c>
      <c r="BJ366" s="14">
        <v>1</v>
      </c>
      <c r="BK366" s="14">
        <f>IFERROR(AVERAGE(Tabel1[[#This Row],[Up - V1]],Tabel1[[#This Row],[Up - V2]],Tabel1[[#This Row],[Up - V3]],Tabel1[[#This Row],[Up - V4]]),"")</f>
        <v>2.125</v>
      </c>
      <c r="BL366" s="14">
        <v>3</v>
      </c>
      <c r="BM366" s="14">
        <v>2</v>
      </c>
      <c r="BN366" s="14">
        <v>4</v>
      </c>
      <c r="BO366" s="14">
        <v>4</v>
      </c>
      <c r="BP366" s="14">
        <f>IFERROR(AVERAGE(Tabel1[[#This Row],[Up - A1a]:[Up - A1d]]),"")</f>
        <v>3.25</v>
      </c>
      <c r="BQ366" s="14">
        <v>2</v>
      </c>
      <c r="BR366" s="14">
        <v>3</v>
      </c>
      <c r="BS366" s="14">
        <f>IFERROR(AVERAGE(Tabel1[[#This Row],[Up - A2a]:[Up - A2b]]),"")</f>
        <v>2.5</v>
      </c>
      <c r="BT366" s="14">
        <v>4</v>
      </c>
      <c r="BU366" s="14">
        <f>IFERROR(AVERAGE(Tabel1[[#This Row],[Up - A3a]:[Up - A3a]]),"")</f>
        <v>4</v>
      </c>
      <c r="BV366" s="14">
        <v>2</v>
      </c>
      <c r="BW366" s="14">
        <f>IFERROR(AVERAGE(Tabel1[[#This Row],[Up - A1]],Tabel1[[#This Row],[Up - A2]],Tabel1[[#This Row],[Up - A3]]),"")</f>
        <v>3.25</v>
      </c>
      <c r="BX366" s="14">
        <v>2</v>
      </c>
      <c r="BY366" s="14" t="s">
        <v>189</v>
      </c>
      <c r="BZ366" s="14">
        <f>IFERROR(AVERAGE(Tabel1[[#This Row],[In - R1a]:[In - R1b]]),"")</f>
        <v>2</v>
      </c>
      <c r="CA366" s="14">
        <v>2</v>
      </c>
      <c r="CB366" s="14">
        <v>1</v>
      </c>
      <c r="CC366" s="14">
        <v>1</v>
      </c>
      <c r="CD366" s="14">
        <v>3</v>
      </c>
      <c r="CE366" s="14">
        <f>IFERROR(AVERAGE(Tabel1[[#This Row],[In - R1]:[In - R5]]),"")</f>
        <v>1.8</v>
      </c>
      <c r="CF366" s="14">
        <v>2</v>
      </c>
      <c r="CG366" s="14">
        <v>4</v>
      </c>
      <c r="CH366" s="14">
        <v>2</v>
      </c>
      <c r="CI366" s="14">
        <f>IFERROR(AVERAGE(Tabel1[[#This Row],[In - C1a]:[In - C1c]]),"")</f>
        <v>2.6666666666666665</v>
      </c>
      <c r="CJ366" s="14">
        <v>4</v>
      </c>
      <c r="CK366" s="14">
        <v>2</v>
      </c>
      <c r="CL366" s="14">
        <v>1</v>
      </c>
      <c r="CM366" s="14">
        <f>IFERROR(AVERAGE(Tabel1[[#This Row],[In - C1]:[In - C4]]),"")</f>
        <v>2.4166666666666665</v>
      </c>
      <c r="CN366" s="14">
        <v>2</v>
      </c>
      <c r="CO366" s="14">
        <v>1</v>
      </c>
      <c r="CP366" s="14">
        <v>1</v>
      </c>
      <c r="CQ366" s="14">
        <f>IFERROR(AVERAGE(Tabel1[[#This Row],[In - F1a]:[In - F1c]]),"")</f>
        <v>1.3333333333333333</v>
      </c>
      <c r="CR366" s="14">
        <v>4</v>
      </c>
      <c r="CS366" s="14">
        <v>5</v>
      </c>
      <c r="CT366" s="14">
        <f>IFERROR(AVERAGE(Tabel1[[#This Row],[In - F2a]:[In - F2b]]),"")</f>
        <v>4.5</v>
      </c>
      <c r="CU366" s="14">
        <v>5</v>
      </c>
      <c r="CV366" s="14">
        <f>IFERROR(AVERAGE(Tabel1[[#This Row],[In - F3a]:[In - F3a]]),"")</f>
        <v>5</v>
      </c>
      <c r="CW366" s="14">
        <v>4</v>
      </c>
      <c r="CX366" s="14">
        <f>IFERROR(AVERAGE(Tabel1[[#This Row],[In - F1]],Tabel1[[#This Row],[In - F2]],Tabel1[[#This Row],[In - F3]],Tabel1[[#This Row],[In - F4]]),"")</f>
        <v>3.708333333333333</v>
      </c>
      <c r="CY366" s="14">
        <v>4</v>
      </c>
      <c r="CZ366" s="14">
        <v>4</v>
      </c>
      <c r="DA366" s="14">
        <v>4</v>
      </c>
      <c r="DB366" s="14">
        <f>IFERROR(AVERAGE(Tabel1[[#This Row],[In - V1a]:[In - V1c]]),"")</f>
        <v>4</v>
      </c>
      <c r="DC366" s="14">
        <v>3</v>
      </c>
      <c r="DD366" s="14">
        <v>4</v>
      </c>
      <c r="DE366" s="14">
        <v>2</v>
      </c>
      <c r="DF366" s="14">
        <f>IFERROR(AVERAGE(Tabel1[[#This Row],[In - V2a]:[In - V2c]]),"")</f>
        <v>3</v>
      </c>
      <c r="DG366" s="14">
        <v>3</v>
      </c>
      <c r="DH366" s="14">
        <v>4</v>
      </c>
      <c r="DI366" s="14">
        <f>IFERROR(AVERAGE(Tabel1[[#This Row],[In - V3a]:[In - V3b]]),"")</f>
        <v>3.5</v>
      </c>
      <c r="DJ366" s="14">
        <v>2</v>
      </c>
      <c r="DK366" s="14">
        <f>IFERROR(AVERAGE(Tabel1[[#This Row],[In - V1]],Tabel1[[#This Row],[In - V2]],Tabel1[[#This Row],[In - V3]],Tabel1[[#This Row],[In - V4]]),"")</f>
        <v>3.125</v>
      </c>
      <c r="DL366" s="14">
        <v>2</v>
      </c>
      <c r="DM366" s="14">
        <v>2</v>
      </c>
      <c r="DN366" s="14">
        <f>IFERROR(AVERAGE(Tabel1[[#This Row],[In - A1a]:[In - A1b]]),"")</f>
        <v>2</v>
      </c>
      <c r="DO366" s="14">
        <v>1</v>
      </c>
      <c r="DP366" s="14">
        <v>4</v>
      </c>
      <c r="DQ366" s="14">
        <f>IFERROR(AVERAGE(Tabel1[[#This Row],[In - A2a]:[In - A2b]]),"")</f>
        <v>2.5</v>
      </c>
      <c r="DR366" s="14">
        <v>4</v>
      </c>
      <c r="DS366" s="14">
        <v>3</v>
      </c>
      <c r="DT366" s="14">
        <f>IFERROR(AVERAGE(Tabel1[[#This Row],[In - A3a]:[In - A3a]]),"")</f>
        <v>4</v>
      </c>
      <c r="DU366" s="14" t="s">
        <v>189</v>
      </c>
      <c r="DV366" s="14">
        <f>IFERROR(AVERAGE(Tabel1[[#This Row],[In - A1]],Tabel1[[#This Row],[In - A2]],Tabel1[[#This Row],[In - A3]],Tabel1[[#This Row],[In - A4]]),"")</f>
        <v>2.8333333333333335</v>
      </c>
      <c r="DW366" s="14">
        <v>1</v>
      </c>
      <c r="DX366" s="14">
        <v>2</v>
      </c>
      <c r="DY366" s="14">
        <v>1</v>
      </c>
      <c r="DZ366" s="14">
        <f>IFERROR(AVERAGE(Tabel1[[#This Row],[Do - R1a]:[Do - R1c]]),"")</f>
        <v>1.3333333333333333</v>
      </c>
      <c r="EA366" s="14">
        <v>2</v>
      </c>
      <c r="EB366" s="14">
        <v>1</v>
      </c>
      <c r="EC366" s="14">
        <v>1</v>
      </c>
      <c r="ED366" s="14">
        <v>2</v>
      </c>
      <c r="EE366" s="14">
        <f>IFERROR(AVERAGE(Tabel1[[#This Row],[Do - R1]:[Do - R5]]),"")</f>
        <v>1.4666666666666666</v>
      </c>
      <c r="EF366" s="14">
        <v>3</v>
      </c>
      <c r="EG366" s="14">
        <v>2</v>
      </c>
      <c r="EH366" s="14">
        <v>2</v>
      </c>
      <c r="EI366" s="14">
        <f>IFERROR(AVERAGE(Tabel1[[#This Row],[Do - C1a]:[Do - C1c]]),"")</f>
        <v>2.3333333333333335</v>
      </c>
      <c r="EJ366" s="14">
        <v>4</v>
      </c>
      <c r="EK366" s="14">
        <v>2</v>
      </c>
      <c r="EL366" s="14">
        <v>2</v>
      </c>
      <c r="EM366" s="14">
        <f>IFERROR(AVERAGE(Tabel1[[#This Row],[Do - C1]:[Do - C4]]),"")</f>
        <v>2.5833333333333335</v>
      </c>
      <c r="EN366" s="14">
        <v>2</v>
      </c>
      <c r="EO366" s="14">
        <v>1</v>
      </c>
      <c r="EP366" s="14">
        <v>5</v>
      </c>
      <c r="EQ366" s="14">
        <f>IFERROR(AVERAGE(Tabel1[[#This Row],[Do - F1a]:[Do - F1c]]),"")</f>
        <v>2.6666666666666665</v>
      </c>
      <c r="ER366" s="14">
        <v>2</v>
      </c>
      <c r="ES366" s="14">
        <f>IFERROR(AVERAGE(Tabel1[[#This Row],[Do - F2a]:[Do - F2a]]),"")</f>
        <v>2</v>
      </c>
      <c r="ET366" s="14">
        <v>3</v>
      </c>
      <c r="EU366" s="14">
        <v>2</v>
      </c>
      <c r="EV366" s="14">
        <f>IFERROR(AVERAGE(Tabel1[[#This Row],[Do - F3a]:[Do - F3b]]),"")</f>
        <v>2.5</v>
      </c>
      <c r="EW366" s="14">
        <v>2</v>
      </c>
      <c r="EX366" s="14">
        <f>IFERROR(AVERAGE(Tabel1[[#This Row],[Do - F1]],Tabel1[[#This Row],[Do - F2]],Tabel1[[#This Row],[Do - F3]],Tabel1[[#This Row],[Do - F4]]),"")</f>
        <v>2.2916666666666665</v>
      </c>
      <c r="EY366" s="14">
        <v>3</v>
      </c>
      <c r="EZ366" s="14">
        <v>1</v>
      </c>
      <c r="FA366" s="14">
        <v>5</v>
      </c>
      <c r="FB366" s="14">
        <f>IFERROR(AVERAGE(Tabel1[[#This Row],[Do - V1a]:[Do - V1c]]),"")</f>
        <v>3</v>
      </c>
      <c r="FC366" s="14">
        <v>2</v>
      </c>
      <c r="FD366" s="14">
        <v>3</v>
      </c>
      <c r="FE366" s="14">
        <f>IFERROR(AVERAGE(Tabel1[[#This Row],[Do - V2a]:[Do - V2b]]),"")</f>
        <v>2.5</v>
      </c>
      <c r="FF366" s="14">
        <v>3</v>
      </c>
      <c r="FG366" s="14">
        <f>IFERROR(AVERAGE(Tabel1[[#This Row],[Do - V3a]:[Do - V3a]]),"")</f>
        <v>3</v>
      </c>
      <c r="FH366" s="14">
        <v>4</v>
      </c>
      <c r="FI366" s="14">
        <f>IFERROR(AVERAGE(Tabel1[[#This Row],[Do - V1]],Tabel1[[#This Row],[Do - V2]],Tabel1[[#This Row],[Do - V3]],Tabel1[[#This Row],[Do - V4]]),"")</f>
        <v>3.125</v>
      </c>
      <c r="FJ366" s="14">
        <v>4</v>
      </c>
      <c r="FK366" s="14">
        <v>5</v>
      </c>
      <c r="FL366" s="14">
        <v>5</v>
      </c>
      <c r="FM366" s="14">
        <f>IFERROR(AVERAGE(Tabel1[[#This Row],[Do - A1a]:[Do - A1c]]),"")</f>
        <v>4.666666666666667</v>
      </c>
      <c r="FN366" s="14">
        <v>3</v>
      </c>
      <c r="FO366" s="14">
        <v>3</v>
      </c>
      <c r="FP366" s="14">
        <f>IFERROR(AVERAGE(Tabel1[[#This Row],[Do - A2a]:[Do - A2b]]),"")</f>
        <v>3</v>
      </c>
      <c r="FQ366" s="14">
        <v>5</v>
      </c>
      <c r="FR366" s="14">
        <f>IFERROR(AVERAGE(Tabel1[[#This Row],[Do - A3a]:[Do - A3a]]),"")</f>
        <v>5</v>
      </c>
      <c r="FS366" s="14">
        <v>5</v>
      </c>
      <c r="FT366" s="14">
        <f>IFERROR(AVERAGE(Tabel1[[#This Row],[Do - A1]],Tabel1[[#This Row],[Do - A2]],Tabel1[[#This Row],[Do - A3]],Tabel1[[#This Row],[Do - A4]]),"")</f>
        <v>4.416666666666667</v>
      </c>
      <c r="FU36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2.5446296296296298</v>
      </c>
      <c r="FV366" s="27" t="s">
        <v>1870</v>
      </c>
      <c r="FW366" t="b">
        <v>1</v>
      </c>
    </row>
    <row r="367" spans="1:179" x14ac:dyDescent="0.3">
      <c r="A367" s="13">
        <v>45559.474641203698</v>
      </c>
      <c r="B367" t="b">
        <v>0</v>
      </c>
      <c r="C367" s="14" t="s">
        <v>1871</v>
      </c>
      <c r="D367" s="14" t="s">
        <v>1872</v>
      </c>
      <c r="E367" s="14" t="s">
        <v>1873</v>
      </c>
      <c r="F367" s="14" t="s">
        <v>184</v>
      </c>
      <c r="G367" s="14" t="s">
        <v>1874</v>
      </c>
      <c r="H367" s="14" t="s">
        <v>222</v>
      </c>
      <c r="I367" s="14" t="s">
        <v>322</v>
      </c>
      <c r="J367" s="14" t="s">
        <v>888</v>
      </c>
      <c r="K367" s="26" t="s">
        <v>255</v>
      </c>
      <c r="L367" s="14" t="s">
        <v>385</v>
      </c>
      <c r="M367" s="14" t="s">
        <v>233</v>
      </c>
      <c r="N367" s="14" t="s">
        <v>479</v>
      </c>
      <c r="O367" s="14" t="s">
        <v>200</v>
      </c>
      <c r="P367" s="24" t="s">
        <v>255</v>
      </c>
      <c r="Q367" s="17" t="s">
        <v>304</v>
      </c>
      <c r="R367" s="24" t="s">
        <v>304</v>
      </c>
      <c r="S367" s="24" t="s">
        <v>304</v>
      </c>
      <c r="T367" s="14" t="s">
        <v>284</v>
      </c>
      <c r="U367" s="14" t="s">
        <v>349</v>
      </c>
      <c r="V367" s="14" t="s">
        <v>610</v>
      </c>
      <c r="W367" s="14" t="s">
        <v>306</v>
      </c>
      <c r="X367" s="14" t="s">
        <v>207</v>
      </c>
      <c r="Y367" s="14">
        <v>1</v>
      </c>
      <c r="Z367" s="14">
        <v>3</v>
      </c>
      <c r="AA367" s="14">
        <v>3</v>
      </c>
      <c r="AB367" s="15">
        <f>IFERROR(AVERAGE(Tabel1[[#This Row],[Up - R1a]:[Up - R1c]]),"")</f>
        <v>2.3333333333333335</v>
      </c>
      <c r="AC367" s="14">
        <v>1</v>
      </c>
      <c r="AD367" s="14">
        <v>1</v>
      </c>
      <c r="AE367" s="14">
        <v>2</v>
      </c>
      <c r="AF367" s="14" t="s">
        <v>189</v>
      </c>
      <c r="AG367" s="14">
        <f>IFERROR(AVERAGE(Tabel1[[#This Row],[Up - R1]:[Up - R5]]),"")</f>
        <v>1.5833333333333335</v>
      </c>
      <c r="AH367" s="14">
        <v>3</v>
      </c>
      <c r="AI367" s="14">
        <v>3</v>
      </c>
      <c r="AJ367" s="14">
        <v>4</v>
      </c>
      <c r="AK367" s="14">
        <f>IFERROR(AVERAGE(Tabel1[[#This Row],[Up - C1a]:[Up - C1c]]),"")</f>
        <v>3.3333333333333335</v>
      </c>
      <c r="AL367" s="14">
        <v>2</v>
      </c>
      <c r="AM367" s="14">
        <v>1</v>
      </c>
      <c r="AN367" s="14" t="s">
        <v>189</v>
      </c>
      <c r="AO367" s="14">
        <f>IFERROR(AVERAGE(Tabel1[[#This Row],[Up - C1]:[Up - C4]]),"")</f>
        <v>2.1111111111111112</v>
      </c>
      <c r="AP367" s="14" t="s">
        <v>189</v>
      </c>
      <c r="AQ367" s="14" t="str">
        <f>IFERROR(AVERAGE(Tabel1[[#This Row],[Up - F1a]:[Up - F1a]]),"")</f>
        <v/>
      </c>
      <c r="AR367" s="14" t="s">
        <v>189</v>
      </c>
      <c r="AS367" s="14" t="s">
        <v>189</v>
      </c>
      <c r="AT367" s="14" t="str">
        <f>IFERROR(AVERAGE(Tabel1[[#This Row],[Up - F2a]:[Up - F2b]]),"")</f>
        <v/>
      </c>
      <c r="AU367" s="14">
        <v>1</v>
      </c>
      <c r="AV367" s="14" t="s">
        <v>189</v>
      </c>
      <c r="AW367" s="14">
        <f>IFERROR(AVERAGE(Tabel1[[#This Row],[Up - F3a]:[Up - F3b]]),"")</f>
        <v>1</v>
      </c>
      <c r="AX367" s="14" t="s">
        <v>189</v>
      </c>
      <c r="AY367" s="14">
        <f>IFERROR(AVERAGE(Tabel1[[#This Row],[Up - F1]],Tabel1[[#This Row],[Up - F2]],Tabel1[[#This Row],[Up - F3]],Tabel1[[#This Row],[Up - F4]]),"")</f>
        <v>1</v>
      </c>
      <c r="AZ367" s="14">
        <v>1</v>
      </c>
      <c r="BA367" s="14">
        <v>4</v>
      </c>
      <c r="BB367" s="14">
        <f>IFERROR(AVERAGE(Tabel1[[#This Row],[Up - V1a]:[Up - V1b]]),"")</f>
        <v>2.5</v>
      </c>
      <c r="BC367" s="14">
        <v>5</v>
      </c>
      <c r="BD367" s="14" t="s">
        <v>189</v>
      </c>
      <c r="BE367" s="14">
        <v>3</v>
      </c>
      <c r="BF367" s="14">
        <f>IFERROR(AVERAGE(Tabel1[[#This Row],[Up - V2a]:[Up - V2c]]),"")</f>
        <v>4</v>
      </c>
      <c r="BG367" s="14">
        <v>3</v>
      </c>
      <c r="BH367" s="14" t="s">
        <v>189</v>
      </c>
      <c r="BI367" s="14">
        <f>IFERROR(AVERAGE(Tabel1[[#This Row],[Up - V3a]:[Up - V3b]]),"")</f>
        <v>3</v>
      </c>
      <c r="BJ367" s="14" t="s">
        <v>189</v>
      </c>
      <c r="BK367" s="14">
        <f>IFERROR(AVERAGE(Tabel1[[#This Row],[Up - V1]],Tabel1[[#This Row],[Up - V2]],Tabel1[[#This Row],[Up - V3]],Tabel1[[#This Row],[Up - V4]]),"")</f>
        <v>3.1666666666666665</v>
      </c>
      <c r="BL367" s="14">
        <v>3</v>
      </c>
      <c r="BM367" s="14">
        <v>5</v>
      </c>
      <c r="BN367" s="14" t="s">
        <v>189</v>
      </c>
      <c r="BO367" s="14" t="s">
        <v>189</v>
      </c>
      <c r="BP367" s="14">
        <f>IFERROR(AVERAGE(Tabel1[[#This Row],[Up - A1a]:[Up - A1d]]),"")</f>
        <v>4</v>
      </c>
      <c r="BQ367" s="14" t="s">
        <v>189</v>
      </c>
      <c r="BR367" s="14">
        <v>1</v>
      </c>
      <c r="BS367" s="14">
        <f>IFERROR(AVERAGE(Tabel1[[#This Row],[Up - A2a]:[Up - A2b]]),"")</f>
        <v>1</v>
      </c>
      <c r="BT367" s="14">
        <v>3</v>
      </c>
      <c r="BU367" s="14">
        <f>IFERROR(AVERAGE(Tabel1[[#This Row],[Up - A3a]:[Up - A3a]]),"")</f>
        <v>3</v>
      </c>
      <c r="BV367" s="14" t="s">
        <v>189</v>
      </c>
      <c r="BW367" s="14">
        <f>IFERROR(AVERAGE(Tabel1[[#This Row],[Up - A1]],Tabel1[[#This Row],[Up - A2]],Tabel1[[#This Row],[Up - A3]]),"")</f>
        <v>2.6666666666666665</v>
      </c>
      <c r="BX367" s="14" t="s">
        <v>189</v>
      </c>
      <c r="BY367" s="14" t="s">
        <v>189</v>
      </c>
      <c r="BZ367" s="14" t="str">
        <f>IFERROR(AVERAGE(Tabel1[[#This Row],[In - R1a]:[In - R1b]]),"")</f>
        <v/>
      </c>
      <c r="CA367" s="14" t="s">
        <v>189</v>
      </c>
      <c r="CB367" s="14" t="s">
        <v>189</v>
      </c>
      <c r="CC367" s="14">
        <v>1</v>
      </c>
      <c r="CD367" s="14" t="s">
        <v>189</v>
      </c>
      <c r="CE367" s="14">
        <f>IFERROR(AVERAGE(Tabel1[[#This Row],[In - R1]:[In - R5]]),"")</f>
        <v>1</v>
      </c>
      <c r="CF367" s="14">
        <v>3</v>
      </c>
      <c r="CG367" s="14">
        <v>3</v>
      </c>
      <c r="CH367" s="14">
        <v>3</v>
      </c>
      <c r="CI367" s="14">
        <f>IFERROR(AVERAGE(Tabel1[[#This Row],[In - C1a]:[In - C1c]]),"")</f>
        <v>3</v>
      </c>
      <c r="CJ367" s="14" t="s">
        <v>189</v>
      </c>
      <c r="CK367" s="14" t="s">
        <v>189</v>
      </c>
      <c r="CL367" s="14" t="s">
        <v>189</v>
      </c>
      <c r="CM367" s="14">
        <f>IFERROR(AVERAGE(Tabel1[[#This Row],[In - C1]:[In - C4]]),"")</f>
        <v>3</v>
      </c>
      <c r="CN367" s="14" t="s">
        <v>189</v>
      </c>
      <c r="CO367" s="14">
        <v>2</v>
      </c>
      <c r="CP367" s="14">
        <v>1</v>
      </c>
      <c r="CQ367" s="14">
        <f>IFERROR(AVERAGE(Tabel1[[#This Row],[In - F1a]:[In - F1c]]),"")</f>
        <v>1.5</v>
      </c>
      <c r="CR367" s="14">
        <v>2</v>
      </c>
      <c r="CS367" s="14">
        <v>1</v>
      </c>
      <c r="CT367" s="14">
        <f>IFERROR(AVERAGE(Tabel1[[#This Row],[In - F2a]:[In - F2b]]),"")</f>
        <v>1.5</v>
      </c>
      <c r="CU367" s="14">
        <v>1</v>
      </c>
      <c r="CV367" s="14">
        <f>IFERROR(AVERAGE(Tabel1[[#This Row],[In - F3a]:[In - F3a]]),"")</f>
        <v>1</v>
      </c>
      <c r="CW367" s="14" t="s">
        <v>189</v>
      </c>
      <c r="CX367" s="14">
        <f>IFERROR(AVERAGE(Tabel1[[#This Row],[In - F1]],Tabel1[[#This Row],[In - F2]],Tabel1[[#This Row],[In - F3]],Tabel1[[#This Row],[In - F4]]),"")</f>
        <v>1.3333333333333333</v>
      </c>
      <c r="CY367" s="14">
        <v>2</v>
      </c>
      <c r="CZ367" s="14" t="s">
        <v>189</v>
      </c>
      <c r="DA367" s="14" t="s">
        <v>189</v>
      </c>
      <c r="DB367" s="14">
        <f>IFERROR(AVERAGE(Tabel1[[#This Row],[In - V1a]:[In - V1c]]),"")</f>
        <v>2</v>
      </c>
      <c r="DC367" s="14">
        <v>1</v>
      </c>
      <c r="DD367" s="14">
        <v>1</v>
      </c>
      <c r="DE367" s="14">
        <v>2</v>
      </c>
      <c r="DF367" s="14">
        <f>IFERROR(AVERAGE(Tabel1[[#This Row],[In - V2a]:[In - V2c]]),"")</f>
        <v>1.3333333333333333</v>
      </c>
      <c r="DG367" s="14">
        <v>2</v>
      </c>
      <c r="DH367" s="14" t="s">
        <v>189</v>
      </c>
      <c r="DI367" s="14">
        <f>IFERROR(AVERAGE(Tabel1[[#This Row],[In - V3a]:[In - V3b]]),"")</f>
        <v>2</v>
      </c>
      <c r="DJ367" s="14" t="s">
        <v>189</v>
      </c>
      <c r="DK367" s="14">
        <f>IFERROR(AVERAGE(Tabel1[[#This Row],[In - V1]],Tabel1[[#This Row],[In - V2]],Tabel1[[#This Row],[In - V3]],Tabel1[[#This Row],[In - V4]]),"")</f>
        <v>1.7777777777777777</v>
      </c>
      <c r="DL367" s="14">
        <v>3</v>
      </c>
      <c r="DM367" s="14">
        <v>3</v>
      </c>
      <c r="DN367" s="14">
        <f>IFERROR(AVERAGE(Tabel1[[#This Row],[In - A1a]:[In - A1b]]),"")</f>
        <v>3</v>
      </c>
      <c r="DO367" s="14" t="s">
        <v>189</v>
      </c>
      <c r="DP367" s="14">
        <v>1</v>
      </c>
      <c r="DQ367" s="14">
        <f>IFERROR(AVERAGE(Tabel1[[#This Row],[In - A2a]:[In - A2b]]),"")</f>
        <v>1</v>
      </c>
      <c r="DR367" s="14">
        <v>4</v>
      </c>
      <c r="DS367" s="14">
        <v>2</v>
      </c>
      <c r="DT367" s="14">
        <f>IFERROR(AVERAGE(Tabel1[[#This Row],[In - A3a]:[In - A3a]]),"")</f>
        <v>4</v>
      </c>
      <c r="DU367" s="14" t="s">
        <v>189</v>
      </c>
      <c r="DV367" s="14">
        <f>IFERROR(AVERAGE(Tabel1[[#This Row],[In - A1]],Tabel1[[#This Row],[In - A2]],Tabel1[[#This Row],[In - A3]],Tabel1[[#This Row],[In - A4]]),"")</f>
        <v>2.6666666666666665</v>
      </c>
      <c r="DW367" s="14" t="s">
        <v>189</v>
      </c>
      <c r="DX367" s="14">
        <v>1</v>
      </c>
      <c r="DY367" s="14" t="s">
        <v>189</v>
      </c>
      <c r="DZ367" s="14">
        <f>IFERROR(AVERAGE(Tabel1[[#This Row],[Do - R1a]:[Do - R1c]]),"")</f>
        <v>1</v>
      </c>
      <c r="EA367" s="14">
        <v>2</v>
      </c>
      <c r="EB367" s="14" t="s">
        <v>189</v>
      </c>
      <c r="EC367" s="14">
        <v>1</v>
      </c>
      <c r="ED367" s="14" t="s">
        <v>189</v>
      </c>
      <c r="EE367" s="14">
        <f>IFERROR(AVERAGE(Tabel1[[#This Row],[Do - R1]:[Do - R5]]),"")</f>
        <v>1.3333333333333333</v>
      </c>
      <c r="EF367" s="14">
        <v>5</v>
      </c>
      <c r="EG367" s="14">
        <v>5</v>
      </c>
      <c r="EH367" s="14">
        <v>3</v>
      </c>
      <c r="EI367" s="14">
        <f>IFERROR(AVERAGE(Tabel1[[#This Row],[Do - C1a]:[Do - C1c]]),"")</f>
        <v>4.333333333333333</v>
      </c>
      <c r="EJ367" s="14">
        <v>2</v>
      </c>
      <c r="EK367" s="14">
        <v>1</v>
      </c>
      <c r="EL367" s="14" t="s">
        <v>189</v>
      </c>
      <c r="EM367" s="14">
        <f>IFERROR(AVERAGE(Tabel1[[#This Row],[Do - C1]:[Do - C4]]),"")</f>
        <v>2.4444444444444442</v>
      </c>
      <c r="EN367" s="14">
        <v>2</v>
      </c>
      <c r="EO367" s="14">
        <v>1</v>
      </c>
      <c r="EP367" s="14" t="s">
        <v>189</v>
      </c>
      <c r="EQ367" s="14">
        <f>IFERROR(AVERAGE(Tabel1[[#This Row],[Do - F1a]:[Do - F1c]]),"")</f>
        <v>1.5</v>
      </c>
      <c r="ER367" s="14">
        <v>1</v>
      </c>
      <c r="ES367" s="14">
        <f>IFERROR(AVERAGE(Tabel1[[#This Row],[Do - F2a]:[Do - F2a]]),"")</f>
        <v>1</v>
      </c>
      <c r="ET367" s="14">
        <v>1</v>
      </c>
      <c r="EU367" s="14">
        <v>2</v>
      </c>
      <c r="EV367" s="14">
        <f>IFERROR(AVERAGE(Tabel1[[#This Row],[Do - F3a]:[Do - F3b]]),"")</f>
        <v>1.5</v>
      </c>
      <c r="EW367" s="14" t="s">
        <v>189</v>
      </c>
      <c r="EX367" s="14">
        <f>IFERROR(AVERAGE(Tabel1[[#This Row],[Do - F1]],Tabel1[[#This Row],[Do - F2]],Tabel1[[#This Row],[Do - F3]],Tabel1[[#This Row],[Do - F4]]),"")</f>
        <v>1.3333333333333333</v>
      </c>
      <c r="EY367" s="14">
        <v>2</v>
      </c>
      <c r="EZ367" s="14" t="s">
        <v>189</v>
      </c>
      <c r="FA367" s="14">
        <v>3</v>
      </c>
      <c r="FB367" s="14">
        <f>IFERROR(AVERAGE(Tabel1[[#This Row],[Do - V1a]:[Do - V1c]]),"")</f>
        <v>2.5</v>
      </c>
      <c r="FC367" s="14">
        <v>5</v>
      </c>
      <c r="FD367" s="14" t="s">
        <v>189</v>
      </c>
      <c r="FE367" s="14">
        <f>IFERROR(AVERAGE(Tabel1[[#This Row],[Do - V2a]:[Do - V2b]]),"")</f>
        <v>5</v>
      </c>
      <c r="FF367" s="14">
        <v>2</v>
      </c>
      <c r="FG367" s="14">
        <f>IFERROR(AVERAGE(Tabel1[[#This Row],[Do - V3a]:[Do - V3a]]),"")</f>
        <v>2</v>
      </c>
      <c r="FH367" s="14" t="s">
        <v>189</v>
      </c>
      <c r="FI367" s="14">
        <f>IFERROR(AVERAGE(Tabel1[[#This Row],[Do - V1]],Tabel1[[#This Row],[Do - V2]],Tabel1[[#This Row],[Do - V3]],Tabel1[[#This Row],[Do - V4]]),"")</f>
        <v>3.1666666666666665</v>
      </c>
      <c r="FJ367" s="14">
        <v>3</v>
      </c>
      <c r="FK367" s="14" t="s">
        <v>189</v>
      </c>
      <c r="FL367" s="14" t="s">
        <v>189</v>
      </c>
      <c r="FM367" s="14">
        <f>IFERROR(AVERAGE(Tabel1[[#This Row],[Do - A1a]:[Do - A1c]]),"")</f>
        <v>3</v>
      </c>
      <c r="FN367" s="14" t="s">
        <v>189</v>
      </c>
      <c r="FO367" s="14">
        <v>1</v>
      </c>
      <c r="FP367" s="14">
        <f>IFERROR(AVERAGE(Tabel1[[#This Row],[Do - A2a]:[Do - A2b]]),"")</f>
        <v>1</v>
      </c>
      <c r="FQ367" s="14">
        <v>4</v>
      </c>
      <c r="FR367" s="14">
        <f>IFERROR(AVERAGE(Tabel1[[#This Row],[Do - A3a]:[Do - A3a]]),"")</f>
        <v>4</v>
      </c>
      <c r="FS367" s="14" t="s">
        <v>189</v>
      </c>
      <c r="FT367" s="14">
        <f>IFERROR(AVERAGE(Tabel1[[#This Row],[Do - A1]],Tabel1[[#This Row],[Do - A2]],Tabel1[[#This Row],[Do - A3]],Tabel1[[#This Row],[Do - A4]]),"")</f>
        <v>2.6666666666666665</v>
      </c>
      <c r="FU36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2.0833333333333335</v>
      </c>
      <c r="FV367" s="27" t="s">
        <v>1875</v>
      </c>
      <c r="FW367" t="b">
        <v>1</v>
      </c>
    </row>
    <row r="368" spans="1:179" x14ac:dyDescent="0.3">
      <c r="A368" s="13">
        <v>45573.324236111097</v>
      </c>
      <c r="B368" t="b">
        <v>0</v>
      </c>
      <c r="C368" s="14" t="s">
        <v>1876</v>
      </c>
      <c r="D368" s="14" t="s">
        <v>1201</v>
      </c>
      <c r="E368" s="14" t="s">
        <v>1877</v>
      </c>
      <c r="F368" s="14" t="s">
        <v>893</v>
      </c>
      <c r="G368" s="14" t="s">
        <v>1878</v>
      </c>
      <c r="H368" s="14" t="s">
        <v>194</v>
      </c>
      <c r="I368" s="14" t="s">
        <v>195</v>
      </c>
      <c r="J368" s="14" t="s">
        <v>533</v>
      </c>
      <c r="K368" s="28" t="s">
        <v>235</v>
      </c>
      <c r="L368" s="14" t="s">
        <v>197</v>
      </c>
      <c r="M368" s="14" t="s">
        <v>233</v>
      </c>
      <c r="N368" s="14" t="s">
        <v>262</v>
      </c>
      <c r="O368" s="14" t="s">
        <v>200</v>
      </c>
      <c r="P368" s="25" t="s">
        <v>203</v>
      </c>
      <c r="Q368" s="17" t="s">
        <v>235</v>
      </c>
      <c r="R368" s="25" t="s">
        <v>203</v>
      </c>
      <c r="S368" s="25" t="s">
        <v>235</v>
      </c>
      <c r="T368" s="14" t="s">
        <v>236</v>
      </c>
      <c r="U368" s="14" t="s">
        <v>205</v>
      </c>
      <c r="V368" s="14" t="s">
        <v>359</v>
      </c>
      <c r="W368" s="14" t="s">
        <v>207</v>
      </c>
      <c r="X368" s="14" t="s">
        <v>207</v>
      </c>
      <c r="Y368" s="14">
        <v>2</v>
      </c>
      <c r="Z368" s="14">
        <v>5</v>
      </c>
      <c r="AA368" s="14" t="s">
        <v>189</v>
      </c>
      <c r="AB368" s="15">
        <f>IFERROR(AVERAGE(Tabel1[[#This Row],[Up - R1a]:[Up - R1c]]),"")</f>
        <v>3.5</v>
      </c>
      <c r="AC368" s="14">
        <v>3</v>
      </c>
      <c r="AD368" s="14">
        <v>5</v>
      </c>
      <c r="AE368" s="14">
        <v>1</v>
      </c>
      <c r="AF368" s="14">
        <v>2</v>
      </c>
      <c r="AG368" s="14">
        <f>IFERROR(AVERAGE(Tabel1[[#This Row],[Up - R1]:[Up - R5]]),"")</f>
        <v>2.9</v>
      </c>
      <c r="AH368" s="14">
        <v>4</v>
      </c>
      <c r="AI368" s="14">
        <v>4</v>
      </c>
      <c r="AJ368" s="14">
        <v>3</v>
      </c>
      <c r="AK368" s="14">
        <f>IFERROR(AVERAGE(Tabel1[[#This Row],[Up - C1a]:[Up - C1c]]),"")</f>
        <v>3.6666666666666665</v>
      </c>
      <c r="AL368" s="14">
        <v>4</v>
      </c>
      <c r="AM368" s="14">
        <v>2</v>
      </c>
      <c r="AN368" s="14">
        <v>2</v>
      </c>
      <c r="AO368" s="14">
        <f>IFERROR(AVERAGE(Tabel1[[#This Row],[Up - C1]:[Up - C4]]),"")</f>
        <v>2.9166666666666665</v>
      </c>
      <c r="AP368" s="14">
        <v>3</v>
      </c>
      <c r="AQ368" s="14">
        <f>IFERROR(AVERAGE(Tabel1[[#This Row],[Up - F1a]:[Up - F1a]]),"")</f>
        <v>3</v>
      </c>
      <c r="AR368" s="14">
        <v>2</v>
      </c>
      <c r="AS368" s="14">
        <v>4</v>
      </c>
      <c r="AT368" s="14">
        <f>IFERROR(AVERAGE(Tabel1[[#This Row],[Up - F2a]:[Up - F2b]]),"")</f>
        <v>3</v>
      </c>
      <c r="AU368" s="14">
        <v>3</v>
      </c>
      <c r="AV368" s="14" t="s">
        <v>189</v>
      </c>
      <c r="AW368" s="14">
        <f>IFERROR(AVERAGE(Tabel1[[#This Row],[Up - F3a]:[Up - F3b]]),"")</f>
        <v>3</v>
      </c>
      <c r="AX368" s="14">
        <v>2</v>
      </c>
      <c r="AY368" s="14">
        <f>IFERROR(AVERAGE(Tabel1[[#This Row],[Up - F1]],Tabel1[[#This Row],[Up - F2]],Tabel1[[#This Row],[Up - F3]],Tabel1[[#This Row],[Up - F4]]),"")</f>
        <v>2.75</v>
      </c>
      <c r="AZ368" s="14">
        <v>1</v>
      </c>
      <c r="BA368" s="14">
        <v>4</v>
      </c>
      <c r="BB368" s="14">
        <f>IFERROR(AVERAGE(Tabel1[[#This Row],[Up - V1a]:[Up - V1b]]),"")</f>
        <v>2.5</v>
      </c>
      <c r="BC368" s="14">
        <v>4</v>
      </c>
      <c r="BD368" s="14">
        <v>4</v>
      </c>
      <c r="BE368" s="14">
        <v>4</v>
      </c>
      <c r="BF368" s="14">
        <f>IFERROR(AVERAGE(Tabel1[[#This Row],[Up - V2a]:[Up - V2c]]),"")</f>
        <v>4</v>
      </c>
      <c r="BG368" s="14">
        <v>2</v>
      </c>
      <c r="BH368" s="14">
        <v>3</v>
      </c>
      <c r="BI368" s="14">
        <f>IFERROR(AVERAGE(Tabel1[[#This Row],[Up - V3a]:[Up - V3b]]),"")</f>
        <v>2.5</v>
      </c>
      <c r="BJ368" s="14">
        <v>2</v>
      </c>
      <c r="BK368" s="14">
        <f>IFERROR(AVERAGE(Tabel1[[#This Row],[Up - V1]],Tabel1[[#This Row],[Up - V2]],Tabel1[[#This Row],[Up - V3]],Tabel1[[#This Row],[Up - V4]]),"")</f>
        <v>2.75</v>
      </c>
      <c r="BL368" s="14">
        <v>3</v>
      </c>
      <c r="BM368" s="14">
        <v>5</v>
      </c>
      <c r="BN368" s="14">
        <v>3</v>
      </c>
      <c r="BO368" s="14">
        <v>3</v>
      </c>
      <c r="BP368" s="14">
        <f>IFERROR(AVERAGE(Tabel1[[#This Row],[Up - A1a]:[Up - A1d]]),"")</f>
        <v>3.5</v>
      </c>
      <c r="BQ368" s="14">
        <v>3</v>
      </c>
      <c r="BR368" s="14">
        <v>5</v>
      </c>
      <c r="BS368" s="14">
        <f>IFERROR(AVERAGE(Tabel1[[#This Row],[Up - A2a]:[Up - A2b]]),"")</f>
        <v>4</v>
      </c>
      <c r="BT368" s="14">
        <v>4</v>
      </c>
      <c r="BU368" s="14">
        <f>IFERROR(AVERAGE(Tabel1[[#This Row],[Up - A3a]:[Up - A3a]]),"")</f>
        <v>4</v>
      </c>
      <c r="BV368" s="14" t="s">
        <v>189</v>
      </c>
      <c r="BW368" s="14">
        <f>IFERROR(AVERAGE(Tabel1[[#This Row],[Up - A1]],Tabel1[[#This Row],[Up - A2]],Tabel1[[#This Row],[Up - A3]]),"")</f>
        <v>3.8333333333333335</v>
      </c>
      <c r="BX368" s="14">
        <v>2</v>
      </c>
      <c r="BY368" s="14">
        <v>5</v>
      </c>
      <c r="BZ368" s="14">
        <f>IFERROR(AVERAGE(Tabel1[[#This Row],[In - R1a]:[In - R1b]]),"")</f>
        <v>3.5</v>
      </c>
      <c r="CA368" s="14">
        <v>3</v>
      </c>
      <c r="CB368" s="14">
        <v>3</v>
      </c>
      <c r="CC368" s="14">
        <v>1</v>
      </c>
      <c r="CD368" s="14" t="s">
        <v>189</v>
      </c>
      <c r="CE368" s="14">
        <f>IFERROR(AVERAGE(Tabel1[[#This Row],[In - R1]:[In - R5]]),"")</f>
        <v>2.625</v>
      </c>
      <c r="CF368" s="14">
        <v>5</v>
      </c>
      <c r="CG368" s="14">
        <v>4</v>
      </c>
      <c r="CH368" s="14">
        <v>5</v>
      </c>
      <c r="CI368" s="14">
        <f>IFERROR(AVERAGE(Tabel1[[#This Row],[In - C1a]:[In - C1c]]),"")</f>
        <v>4.666666666666667</v>
      </c>
      <c r="CJ368" s="14">
        <v>3</v>
      </c>
      <c r="CK368" s="14">
        <v>4</v>
      </c>
      <c r="CL368" s="14">
        <v>4</v>
      </c>
      <c r="CM368" s="14">
        <f>IFERROR(AVERAGE(Tabel1[[#This Row],[In - C1]:[In - C4]]),"")</f>
        <v>3.916666666666667</v>
      </c>
      <c r="CN368" s="14">
        <v>4</v>
      </c>
      <c r="CO368" s="14">
        <v>4</v>
      </c>
      <c r="CP368" s="14">
        <v>2</v>
      </c>
      <c r="CQ368" s="14">
        <f>IFERROR(AVERAGE(Tabel1[[#This Row],[In - F1a]:[In - F1c]]),"")</f>
        <v>3.3333333333333335</v>
      </c>
      <c r="CR368" s="14">
        <v>4</v>
      </c>
      <c r="CS368" s="14">
        <v>1</v>
      </c>
      <c r="CT368" s="14">
        <f>IFERROR(AVERAGE(Tabel1[[#This Row],[In - F2a]:[In - F2b]]),"")</f>
        <v>2.5</v>
      </c>
      <c r="CU368" s="14">
        <v>3</v>
      </c>
      <c r="CV368" s="14">
        <f>IFERROR(AVERAGE(Tabel1[[#This Row],[In - F3a]:[In - F3a]]),"")</f>
        <v>3</v>
      </c>
      <c r="CW368" s="14" t="s">
        <v>189</v>
      </c>
      <c r="CX368" s="14">
        <f>IFERROR(AVERAGE(Tabel1[[#This Row],[In - F1]],Tabel1[[#This Row],[In - F2]],Tabel1[[#This Row],[In - F3]],Tabel1[[#This Row],[In - F4]]),"")</f>
        <v>2.9444444444444446</v>
      </c>
      <c r="CY368" s="14">
        <v>4</v>
      </c>
      <c r="CZ368" s="14">
        <v>4</v>
      </c>
      <c r="DA368" s="14">
        <v>3</v>
      </c>
      <c r="DB368" s="14">
        <f>IFERROR(AVERAGE(Tabel1[[#This Row],[In - V1a]:[In - V1c]]),"")</f>
        <v>3.6666666666666665</v>
      </c>
      <c r="DC368" s="14">
        <v>3</v>
      </c>
      <c r="DD368" s="14">
        <v>2</v>
      </c>
      <c r="DE368" s="14">
        <v>3</v>
      </c>
      <c r="DF368" s="14">
        <f>IFERROR(AVERAGE(Tabel1[[#This Row],[In - V2a]:[In - V2c]]),"")</f>
        <v>2.6666666666666665</v>
      </c>
      <c r="DG368" s="14" t="s">
        <v>189</v>
      </c>
      <c r="DH368" s="14">
        <v>4</v>
      </c>
      <c r="DI368" s="14">
        <f>IFERROR(AVERAGE(Tabel1[[#This Row],[In - V3a]:[In - V3b]]),"")</f>
        <v>4</v>
      </c>
      <c r="DJ368" s="14">
        <v>5</v>
      </c>
      <c r="DK368" s="14">
        <f>IFERROR(AVERAGE(Tabel1[[#This Row],[In - V1]],Tabel1[[#This Row],[In - V2]],Tabel1[[#This Row],[In - V3]],Tabel1[[#This Row],[In - V4]]),"")</f>
        <v>3.833333333333333</v>
      </c>
      <c r="DL368" s="14">
        <v>3</v>
      </c>
      <c r="DM368" s="14">
        <v>3</v>
      </c>
      <c r="DN368" s="14">
        <f>IFERROR(AVERAGE(Tabel1[[#This Row],[In - A1a]:[In - A1b]]),"")</f>
        <v>3</v>
      </c>
      <c r="DO368" s="14">
        <v>4</v>
      </c>
      <c r="DP368" s="14">
        <v>4</v>
      </c>
      <c r="DQ368" s="14">
        <f>IFERROR(AVERAGE(Tabel1[[#This Row],[In - A2a]:[In - A2b]]),"")</f>
        <v>4</v>
      </c>
      <c r="DR368" s="14">
        <v>4</v>
      </c>
      <c r="DS368" s="14">
        <v>3</v>
      </c>
      <c r="DT368" s="14">
        <f>IFERROR(AVERAGE(Tabel1[[#This Row],[In - A3a]:[In - A3a]]),"")</f>
        <v>4</v>
      </c>
      <c r="DU368" s="14" t="s">
        <v>189</v>
      </c>
      <c r="DV368" s="14">
        <f>IFERROR(AVERAGE(Tabel1[[#This Row],[In - A1]],Tabel1[[#This Row],[In - A2]],Tabel1[[#This Row],[In - A3]],Tabel1[[#This Row],[In - A4]]),"")</f>
        <v>3.6666666666666665</v>
      </c>
      <c r="DW368" s="14">
        <v>1</v>
      </c>
      <c r="DX368" s="14">
        <v>5</v>
      </c>
      <c r="DY368" s="14">
        <v>1</v>
      </c>
      <c r="DZ368" s="14">
        <f>IFERROR(AVERAGE(Tabel1[[#This Row],[Do - R1a]:[Do - R1c]]),"")</f>
        <v>2.3333333333333335</v>
      </c>
      <c r="EA368" s="14">
        <v>3</v>
      </c>
      <c r="EB368" s="14">
        <v>5</v>
      </c>
      <c r="EC368" s="14">
        <v>1</v>
      </c>
      <c r="ED368" s="14">
        <v>4</v>
      </c>
      <c r="EE368" s="14">
        <f>IFERROR(AVERAGE(Tabel1[[#This Row],[Do - R1]:[Do - R5]]),"")</f>
        <v>3.0666666666666669</v>
      </c>
      <c r="EF368" s="14">
        <v>4</v>
      </c>
      <c r="EG368" s="14">
        <v>4</v>
      </c>
      <c r="EH368" s="14">
        <v>4</v>
      </c>
      <c r="EI368" s="14">
        <f>IFERROR(AVERAGE(Tabel1[[#This Row],[Do - C1a]:[Do - C1c]]),"")</f>
        <v>4</v>
      </c>
      <c r="EJ368" s="14">
        <v>4</v>
      </c>
      <c r="EK368" s="14">
        <v>4</v>
      </c>
      <c r="EL368" s="14">
        <v>3</v>
      </c>
      <c r="EM368" s="14">
        <f>IFERROR(AVERAGE(Tabel1[[#This Row],[Do - C1]:[Do - C4]]),"")</f>
        <v>3.75</v>
      </c>
      <c r="EN368" s="14">
        <v>2</v>
      </c>
      <c r="EO368" s="14">
        <v>2</v>
      </c>
      <c r="EP368" s="14">
        <v>4</v>
      </c>
      <c r="EQ368" s="14">
        <f>IFERROR(AVERAGE(Tabel1[[#This Row],[Do - F1a]:[Do - F1c]]),"")</f>
        <v>2.6666666666666665</v>
      </c>
      <c r="ER368" s="14">
        <v>3</v>
      </c>
      <c r="ES368" s="14">
        <f>IFERROR(AVERAGE(Tabel1[[#This Row],[Do - F2a]:[Do - F2a]]),"")</f>
        <v>3</v>
      </c>
      <c r="ET368" s="14">
        <v>4</v>
      </c>
      <c r="EU368" s="14">
        <v>2</v>
      </c>
      <c r="EV368" s="14">
        <f>IFERROR(AVERAGE(Tabel1[[#This Row],[Do - F3a]:[Do - F3b]]),"")</f>
        <v>3</v>
      </c>
      <c r="EW368" s="14">
        <v>2</v>
      </c>
      <c r="EX368" s="14">
        <f>IFERROR(AVERAGE(Tabel1[[#This Row],[Do - F1]],Tabel1[[#This Row],[Do - F2]],Tabel1[[#This Row],[Do - F3]],Tabel1[[#This Row],[Do - F4]]),"")</f>
        <v>2.6666666666666665</v>
      </c>
      <c r="EY368" s="14">
        <v>4</v>
      </c>
      <c r="EZ368" s="14">
        <v>3</v>
      </c>
      <c r="FA368" s="14">
        <v>4</v>
      </c>
      <c r="FB368" s="14">
        <f>IFERROR(AVERAGE(Tabel1[[#This Row],[Do - V1a]:[Do - V1c]]),"")</f>
        <v>3.6666666666666665</v>
      </c>
      <c r="FC368" s="14">
        <v>5</v>
      </c>
      <c r="FD368" s="14">
        <v>5</v>
      </c>
      <c r="FE368" s="14">
        <f>IFERROR(AVERAGE(Tabel1[[#This Row],[Do - V2a]:[Do - V2b]]),"")</f>
        <v>5</v>
      </c>
      <c r="FF368" s="14">
        <v>5</v>
      </c>
      <c r="FG368" s="14">
        <f>IFERROR(AVERAGE(Tabel1[[#This Row],[Do - V3a]:[Do - V3a]]),"")</f>
        <v>5</v>
      </c>
      <c r="FH368" s="14">
        <v>4</v>
      </c>
      <c r="FI368" s="14">
        <f>IFERROR(AVERAGE(Tabel1[[#This Row],[Do - V1]],Tabel1[[#This Row],[Do - V2]],Tabel1[[#This Row],[Do - V3]],Tabel1[[#This Row],[Do - V4]]),"")</f>
        <v>4.4166666666666661</v>
      </c>
      <c r="FJ368" s="14">
        <v>4</v>
      </c>
      <c r="FK368" s="14">
        <v>3</v>
      </c>
      <c r="FL368" s="14">
        <v>3</v>
      </c>
      <c r="FM368" s="14">
        <f>IFERROR(AVERAGE(Tabel1[[#This Row],[Do - A1a]:[Do - A1c]]),"")</f>
        <v>3.3333333333333335</v>
      </c>
      <c r="FN368" s="14">
        <v>3</v>
      </c>
      <c r="FO368" s="14">
        <v>5</v>
      </c>
      <c r="FP368" s="14">
        <f>IFERROR(AVERAGE(Tabel1[[#This Row],[Do - A2a]:[Do - A2b]]),"")</f>
        <v>4</v>
      </c>
      <c r="FQ368" s="14">
        <v>5</v>
      </c>
      <c r="FR368" s="14">
        <f>IFERROR(AVERAGE(Tabel1[[#This Row],[Do - A3a]:[Do - A3a]]),"")</f>
        <v>5</v>
      </c>
      <c r="FS368" s="14" t="s">
        <v>189</v>
      </c>
      <c r="FT368" s="14">
        <f>IFERROR(AVERAGE(Tabel1[[#This Row],[Do - A1]],Tabel1[[#This Row],[Do - A2]],Tabel1[[#This Row],[Do - A3]],Tabel1[[#This Row],[Do - A4]]),"")</f>
        <v>4.1111111111111116</v>
      </c>
      <c r="FU36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3.3431481481481482</v>
      </c>
      <c r="FV368" s="27" t="s">
        <v>1879</v>
      </c>
      <c r="FW368" t="b">
        <v>1</v>
      </c>
    </row>
    <row r="369" spans="1:179" x14ac:dyDescent="0.3">
      <c r="A369" s="13">
        <v>45576.589293981502</v>
      </c>
      <c r="B369" t="b">
        <v>0</v>
      </c>
      <c r="C369" s="14" t="s">
        <v>1880</v>
      </c>
      <c r="D369" s="14" t="s">
        <v>1881</v>
      </c>
      <c r="E369" s="14" t="s">
        <v>1882</v>
      </c>
      <c r="F369" s="14" t="s">
        <v>184</v>
      </c>
      <c r="G369" s="14" t="s">
        <v>1883</v>
      </c>
      <c r="H369" s="14" t="s">
        <v>222</v>
      </c>
      <c r="I369" s="14" t="s">
        <v>542</v>
      </c>
      <c r="J369" s="14" t="s">
        <v>543</v>
      </c>
      <c r="K369" s="28" t="s">
        <v>235</v>
      </c>
      <c r="L369" s="14" t="s">
        <v>249</v>
      </c>
      <c r="M369" s="14" t="s">
        <v>281</v>
      </c>
      <c r="N369" s="14" t="s">
        <v>199</v>
      </c>
      <c r="O369" s="14" t="s">
        <v>200</v>
      </c>
      <c r="P369" s="24" t="s">
        <v>255</v>
      </c>
      <c r="Q369" s="17" t="s">
        <v>304</v>
      </c>
      <c r="R369" s="25" t="s">
        <v>187</v>
      </c>
      <c r="S369" s="25" t="s">
        <v>202</v>
      </c>
      <c r="T369" s="14" t="s">
        <v>236</v>
      </c>
      <c r="U369" s="14" t="s">
        <v>237</v>
      </c>
      <c r="V369" s="14" t="s">
        <v>484</v>
      </c>
      <c r="W369" s="14" t="s">
        <v>207</v>
      </c>
      <c r="X369" s="14" t="s">
        <v>305</v>
      </c>
      <c r="Y369" s="14">
        <v>4</v>
      </c>
      <c r="Z369" s="14">
        <v>3</v>
      </c>
      <c r="AA369" s="14">
        <v>2</v>
      </c>
      <c r="AB369" s="15">
        <f>IFERROR(AVERAGE(Tabel1[[#This Row],[Up - R1a]:[Up - R1c]]),"")</f>
        <v>3</v>
      </c>
      <c r="AC369" s="14">
        <v>2</v>
      </c>
      <c r="AD369" s="14">
        <v>4</v>
      </c>
      <c r="AE369" s="14">
        <v>1</v>
      </c>
      <c r="AF369" s="14" t="s">
        <v>189</v>
      </c>
      <c r="AG369" s="14">
        <f>IFERROR(AVERAGE(Tabel1[[#This Row],[Up - R1]:[Up - R5]]),"")</f>
        <v>2.5</v>
      </c>
      <c r="AH369" s="14">
        <v>5</v>
      </c>
      <c r="AI369" s="14">
        <v>4</v>
      </c>
      <c r="AJ369" s="14">
        <v>3</v>
      </c>
      <c r="AK369" s="14">
        <f>IFERROR(AVERAGE(Tabel1[[#This Row],[Up - C1a]:[Up - C1c]]),"")</f>
        <v>4</v>
      </c>
      <c r="AL369" s="14">
        <v>4</v>
      </c>
      <c r="AM369" s="14">
        <v>3</v>
      </c>
      <c r="AN369" s="14">
        <v>5</v>
      </c>
      <c r="AO369" s="14">
        <f>IFERROR(AVERAGE(Tabel1[[#This Row],[Up - C1]:[Up - C4]]),"")</f>
        <v>4</v>
      </c>
      <c r="AP369" s="14">
        <v>1</v>
      </c>
      <c r="AQ369" s="14">
        <f>IFERROR(AVERAGE(Tabel1[[#This Row],[Up - F1a]:[Up - F1a]]),"")</f>
        <v>1</v>
      </c>
      <c r="AR369" s="14">
        <v>1</v>
      </c>
      <c r="AS369" s="14" t="s">
        <v>189</v>
      </c>
      <c r="AT369" s="14">
        <f>IFERROR(AVERAGE(Tabel1[[#This Row],[Up - F2a]:[Up - F2b]]),"")</f>
        <v>1</v>
      </c>
      <c r="AU369" s="14">
        <v>4</v>
      </c>
      <c r="AV369" s="14">
        <v>1</v>
      </c>
      <c r="AW369" s="14">
        <f>IFERROR(AVERAGE(Tabel1[[#This Row],[Up - F3a]:[Up - F3b]]),"")</f>
        <v>2.5</v>
      </c>
      <c r="AX369" s="14">
        <v>3</v>
      </c>
      <c r="AY369" s="14">
        <f>IFERROR(AVERAGE(Tabel1[[#This Row],[Up - F1]],Tabel1[[#This Row],[Up - F2]],Tabel1[[#This Row],[Up - F3]],Tabel1[[#This Row],[Up - F4]]),"")</f>
        <v>1.875</v>
      </c>
      <c r="AZ369" s="14">
        <v>4</v>
      </c>
      <c r="BA369" s="14">
        <v>5</v>
      </c>
      <c r="BB369" s="14">
        <f>IFERROR(AVERAGE(Tabel1[[#This Row],[Up - V1a]:[Up - V1b]]),"")</f>
        <v>4.5</v>
      </c>
      <c r="BC369" s="14">
        <v>5</v>
      </c>
      <c r="BD369" s="14">
        <v>3</v>
      </c>
      <c r="BE369" s="14">
        <v>3</v>
      </c>
      <c r="BF369" s="14">
        <f>IFERROR(AVERAGE(Tabel1[[#This Row],[Up - V2a]:[Up - V2c]]),"")</f>
        <v>3.6666666666666665</v>
      </c>
      <c r="BG369" s="14">
        <v>4</v>
      </c>
      <c r="BH369" s="14">
        <v>4</v>
      </c>
      <c r="BI369" s="14">
        <f>IFERROR(AVERAGE(Tabel1[[#This Row],[Up - V3a]:[Up - V3b]]),"")</f>
        <v>4</v>
      </c>
      <c r="BJ369" s="14" t="s">
        <v>189</v>
      </c>
      <c r="BK369" s="14">
        <f>IFERROR(AVERAGE(Tabel1[[#This Row],[Up - V1]],Tabel1[[#This Row],[Up - V2]],Tabel1[[#This Row],[Up - V3]],Tabel1[[#This Row],[Up - V4]]),"")</f>
        <v>4.0555555555555554</v>
      </c>
      <c r="BL369" s="14">
        <v>3</v>
      </c>
      <c r="BM369" s="14">
        <v>4</v>
      </c>
      <c r="BN369" s="14">
        <v>3</v>
      </c>
      <c r="BO369" s="14">
        <v>2</v>
      </c>
      <c r="BP369" s="14">
        <f>IFERROR(AVERAGE(Tabel1[[#This Row],[Up - A1a]:[Up - A1d]]),"")</f>
        <v>3</v>
      </c>
      <c r="BQ369" s="14">
        <v>2</v>
      </c>
      <c r="BR369" s="14">
        <v>4</v>
      </c>
      <c r="BS369" s="14">
        <f>IFERROR(AVERAGE(Tabel1[[#This Row],[Up - A2a]:[Up - A2b]]),"")</f>
        <v>3</v>
      </c>
      <c r="BT369" s="14">
        <v>4</v>
      </c>
      <c r="BU369" s="14">
        <f>IFERROR(AVERAGE(Tabel1[[#This Row],[Up - A3a]:[Up - A3a]]),"")</f>
        <v>4</v>
      </c>
      <c r="BV369" s="14">
        <v>3</v>
      </c>
      <c r="BW369" s="14">
        <f>IFERROR(AVERAGE(Tabel1[[#This Row],[Up - A1]],Tabel1[[#This Row],[Up - A2]],Tabel1[[#This Row],[Up - A3]]),"")</f>
        <v>3.3333333333333335</v>
      </c>
      <c r="BX369" s="14">
        <v>1</v>
      </c>
      <c r="BY369" s="14">
        <v>2</v>
      </c>
      <c r="BZ369" s="14">
        <f>IFERROR(AVERAGE(Tabel1[[#This Row],[In - R1a]:[In - R1b]]),"")</f>
        <v>1.5</v>
      </c>
      <c r="CA369" s="14">
        <v>2</v>
      </c>
      <c r="CB369" s="14">
        <v>3</v>
      </c>
      <c r="CC369" s="14">
        <v>2</v>
      </c>
      <c r="CD369" s="14" t="s">
        <v>189</v>
      </c>
      <c r="CE369" s="14">
        <f>IFERROR(AVERAGE(Tabel1[[#This Row],[In - R1]:[In - R5]]),"")</f>
        <v>2.125</v>
      </c>
      <c r="CF369" s="14">
        <v>4</v>
      </c>
      <c r="CG369" s="14">
        <v>4</v>
      </c>
      <c r="CH369" s="14">
        <v>3</v>
      </c>
      <c r="CI369" s="14">
        <f>IFERROR(AVERAGE(Tabel1[[#This Row],[In - C1a]:[In - C1c]]),"")</f>
        <v>3.6666666666666665</v>
      </c>
      <c r="CJ369" s="14">
        <v>2</v>
      </c>
      <c r="CK369" s="14">
        <v>4</v>
      </c>
      <c r="CL369" s="14">
        <v>4</v>
      </c>
      <c r="CM369" s="14">
        <f>IFERROR(AVERAGE(Tabel1[[#This Row],[In - C1]:[In - C4]]),"")</f>
        <v>3.4166666666666665</v>
      </c>
      <c r="CN369" s="14">
        <v>3</v>
      </c>
      <c r="CO369" s="14">
        <v>2</v>
      </c>
      <c r="CP369" s="14">
        <v>2</v>
      </c>
      <c r="CQ369" s="14">
        <f>IFERROR(AVERAGE(Tabel1[[#This Row],[In - F1a]:[In - F1c]]),"")</f>
        <v>2.3333333333333335</v>
      </c>
      <c r="CR369" s="14">
        <v>4</v>
      </c>
      <c r="CS369" s="14">
        <v>3</v>
      </c>
      <c r="CT369" s="14">
        <f>IFERROR(AVERAGE(Tabel1[[#This Row],[In - F2a]:[In - F2b]]),"")</f>
        <v>3.5</v>
      </c>
      <c r="CU369" s="14">
        <v>2</v>
      </c>
      <c r="CV369" s="14">
        <f>IFERROR(AVERAGE(Tabel1[[#This Row],[In - F3a]:[In - F3a]]),"")</f>
        <v>2</v>
      </c>
      <c r="CW369" s="14" t="s">
        <v>189</v>
      </c>
      <c r="CX369" s="14">
        <f>IFERROR(AVERAGE(Tabel1[[#This Row],[In - F1]],Tabel1[[#This Row],[In - F2]],Tabel1[[#This Row],[In - F3]],Tabel1[[#This Row],[In - F4]]),"")</f>
        <v>2.6111111111111112</v>
      </c>
      <c r="CY369" s="14">
        <v>3</v>
      </c>
      <c r="CZ369" s="14">
        <v>4</v>
      </c>
      <c r="DA369" s="14">
        <v>2</v>
      </c>
      <c r="DB369" s="14">
        <f>IFERROR(AVERAGE(Tabel1[[#This Row],[In - V1a]:[In - V1c]]),"")</f>
        <v>3</v>
      </c>
      <c r="DC369" s="14">
        <v>2</v>
      </c>
      <c r="DD369" s="14">
        <v>3</v>
      </c>
      <c r="DE369" s="14">
        <v>2</v>
      </c>
      <c r="DF369" s="14">
        <f>IFERROR(AVERAGE(Tabel1[[#This Row],[In - V2a]:[In - V2c]]),"")</f>
        <v>2.3333333333333335</v>
      </c>
      <c r="DG369" s="14">
        <v>3</v>
      </c>
      <c r="DH369" s="14">
        <v>4</v>
      </c>
      <c r="DI369" s="14">
        <f>IFERROR(AVERAGE(Tabel1[[#This Row],[In - V3a]:[In - V3b]]),"")</f>
        <v>3.5</v>
      </c>
      <c r="DJ369" s="14" t="s">
        <v>189</v>
      </c>
      <c r="DK369" s="14">
        <f>IFERROR(AVERAGE(Tabel1[[#This Row],[In - V1]],Tabel1[[#This Row],[In - V2]],Tabel1[[#This Row],[In - V3]],Tabel1[[#This Row],[In - V4]]),"")</f>
        <v>2.9444444444444446</v>
      </c>
      <c r="DL369" s="14">
        <v>5</v>
      </c>
      <c r="DM369" s="14">
        <v>3</v>
      </c>
      <c r="DN369" s="14">
        <f>IFERROR(AVERAGE(Tabel1[[#This Row],[In - A1a]:[In - A1b]]),"")</f>
        <v>4</v>
      </c>
      <c r="DO369" s="14">
        <v>5</v>
      </c>
      <c r="DP369" s="14">
        <v>3</v>
      </c>
      <c r="DQ369" s="14">
        <f>IFERROR(AVERAGE(Tabel1[[#This Row],[In - A2a]:[In - A2b]]),"")</f>
        <v>4</v>
      </c>
      <c r="DR369" s="14">
        <v>4</v>
      </c>
      <c r="DS369" s="14">
        <v>3</v>
      </c>
      <c r="DT369" s="14">
        <f>IFERROR(AVERAGE(Tabel1[[#This Row],[In - A3a]:[In - A3a]]),"")</f>
        <v>4</v>
      </c>
      <c r="DU369" s="14">
        <v>3</v>
      </c>
      <c r="DV369" s="14">
        <f>IFERROR(AVERAGE(Tabel1[[#This Row],[In - A1]],Tabel1[[#This Row],[In - A2]],Tabel1[[#This Row],[In - A3]],Tabel1[[#This Row],[In - A4]]),"")</f>
        <v>3.75</v>
      </c>
      <c r="DW369" s="14">
        <v>1</v>
      </c>
      <c r="DX369" s="14">
        <v>4</v>
      </c>
      <c r="DY369" s="14">
        <v>1</v>
      </c>
      <c r="DZ369" s="14">
        <f>IFERROR(AVERAGE(Tabel1[[#This Row],[Do - R1a]:[Do - R1c]]),"")</f>
        <v>2</v>
      </c>
      <c r="EA369" s="14">
        <v>2</v>
      </c>
      <c r="EB369" s="14">
        <v>1</v>
      </c>
      <c r="EC369" s="14">
        <v>1</v>
      </c>
      <c r="ED369" s="14" t="s">
        <v>189</v>
      </c>
      <c r="EE369" s="14">
        <f>IFERROR(AVERAGE(Tabel1[[#This Row],[Do - R1]:[Do - R5]]),"")</f>
        <v>1.5</v>
      </c>
      <c r="EF369" s="14">
        <v>5</v>
      </c>
      <c r="EG369" s="14" t="s">
        <v>189</v>
      </c>
      <c r="EH369" s="14" t="s">
        <v>189</v>
      </c>
      <c r="EI369" s="14">
        <f>IFERROR(AVERAGE(Tabel1[[#This Row],[Do - C1a]:[Do - C1c]]),"")</f>
        <v>5</v>
      </c>
      <c r="EJ369" s="14">
        <v>4</v>
      </c>
      <c r="EK369" s="14">
        <v>4</v>
      </c>
      <c r="EL369" s="14" t="s">
        <v>189</v>
      </c>
      <c r="EM369" s="14">
        <f>IFERROR(AVERAGE(Tabel1[[#This Row],[Do - C1]:[Do - C4]]),"")</f>
        <v>4.333333333333333</v>
      </c>
      <c r="EN369" s="14">
        <v>2</v>
      </c>
      <c r="EO369" s="14">
        <v>1</v>
      </c>
      <c r="EP369" s="14">
        <v>1</v>
      </c>
      <c r="EQ369" s="14">
        <f>IFERROR(AVERAGE(Tabel1[[#This Row],[Do - F1a]:[Do - F1c]]),"")</f>
        <v>1.3333333333333333</v>
      </c>
      <c r="ER369" s="14">
        <v>1</v>
      </c>
      <c r="ES369" s="14">
        <f>IFERROR(AVERAGE(Tabel1[[#This Row],[Do - F2a]:[Do - F2a]]),"")</f>
        <v>1</v>
      </c>
      <c r="ET369" s="14">
        <v>1</v>
      </c>
      <c r="EU369" s="14">
        <v>2</v>
      </c>
      <c r="EV369" s="14">
        <f>IFERROR(AVERAGE(Tabel1[[#This Row],[Do - F3a]:[Do - F3b]]),"")</f>
        <v>1.5</v>
      </c>
      <c r="EW369" s="14" t="s">
        <v>189</v>
      </c>
      <c r="EX369" s="14">
        <f>IFERROR(AVERAGE(Tabel1[[#This Row],[Do - F1]],Tabel1[[#This Row],[Do - F2]],Tabel1[[#This Row],[Do - F3]],Tabel1[[#This Row],[Do - F4]]),"")</f>
        <v>1.2777777777777777</v>
      </c>
      <c r="EY369" s="14">
        <v>3</v>
      </c>
      <c r="EZ369" s="14">
        <v>2</v>
      </c>
      <c r="FA369" s="14">
        <v>5</v>
      </c>
      <c r="FB369" s="14">
        <f>IFERROR(AVERAGE(Tabel1[[#This Row],[Do - V1a]:[Do - V1c]]),"")</f>
        <v>3.3333333333333335</v>
      </c>
      <c r="FC369" s="14">
        <v>5</v>
      </c>
      <c r="FD369" s="14" t="s">
        <v>189</v>
      </c>
      <c r="FE369" s="14">
        <f>IFERROR(AVERAGE(Tabel1[[#This Row],[Do - V2a]:[Do - V2b]]),"")</f>
        <v>5</v>
      </c>
      <c r="FF369" s="14" t="s">
        <v>189</v>
      </c>
      <c r="FG369" s="14" t="str">
        <f>IFERROR(AVERAGE(Tabel1[[#This Row],[Do - V3a]:[Do - V3a]]),"")</f>
        <v/>
      </c>
      <c r="FH369" s="14" t="s">
        <v>189</v>
      </c>
      <c r="FI369" s="14">
        <f>IFERROR(AVERAGE(Tabel1[[#This Row],[Do - V1]],Tabel1[[#This Row],[Do - V2]],Tabel1[[#This Row],[Do - V3]],Tabel1[[#This Row],[Do - V4]]),"")</f>
        <v>4.166666666666667</v>
      </c>
      <c r="FJ369" s="14">
        <v>4</v>
      </c>
      <c r="FK369" s="14">
        <v>4</v>
      </c>
      <c r="FL369" s="14" t="s">
        <v>189</v>
      </c>
      <c r="FM369" s="14">
        <f>IFERROR(AVERAGE(Tabel1[[#This Row],[Do - A1a]:[Do - A1c]]),"")</f>
        <v>4</v>
      </c>
      <c r="FN369" s="14">
        <v>2</v>
      </c>
      <c r="FO369" s="14" t="s">
        <v>189</v>
      </c>
      <c r="FP369" s="14">
        <f>IFERROR(AVERAGE(Tabel1[[#This Row],[Do - A2a]:[Do - A2b]]),"")</f>
        <v>2</v>
      </c>
      <c r="FQ369" s="14" t="s">
        <v>189</v>
      </c>
      <c r="FR369" s="14" t="str">
        <f>IFERROR(AVERAGE(Tabel1[[#This Row],[Do - A3a]:[Do - A3a]]),"")</f>
        <v/>
      </c>
      <c r="FS369" s="14" t="s">
        <v>189</v>
      </c>
      <c r="FT369" s="14">
        <f>IFERROR(AVERAGE(Tabel1[[#This Row],[Do - A1]],Tabel1[[#This Row],[Do - A2]],Tabel1[[#This Row],[Do - A3]],Tabel1[[#This Row],[Do - A4]]),"")</f>
        <v>3</v>
      </c>
      <c r="FU36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2.9925925925925929</v>
      </c>
      <c r="FV369" s="27" t="s">
        <v>1884</v>
      </c>
      <c r="FW369" t="b">
        <v>1</v>
      </c>
    </row>
    <row r="370" spans="1:179" x14ac:dyDescent="0.3">
      <c r="A370" s="13">
        <v>45588.429768518501</v>
      </c>
      <c r="B370" t="b">
        <v>0</v>
      </c>
      <c r="C370" s="14" t="s">
        <v>1885</v>
      </c>
      <c r="D370" s="14" t="s">
        <v>1886</v>
      </c>
      <c r="E370" s="14" t="s">
        <v>1887</v>
      </c>
      <c r="F370" s="14" t="s">
        <v>184</v>
      </c>
      <c r="G370" s="14" t="s">
        <v>1888</v>
      </c>
      <c r="H370" s="14" t="s">
        <v>222</v>
      </c>
      <c r="I370" s="14" t="s">
        <v>322</v>
      </c>
      <c r="J370" s="14" t="s">
        <v>323</v>
      </c>
      <c r="K370" s="28" t="s">
        <v>202</v>
      </c>
      <c r="L370" s="14" t="s">
        <v>385</v>
      </c>
      <c r="M370" s="14" t="s">
        <v>188</v>
      </c>
      <c r="N370" s="14" t="s">
        <v>316</v>
      </c>
      <c r="O370" s="14" t="s">
        <v>200</v>
      </c>
      <c r="P370" s="24" t="s">
        <v>255</v>
      </c>
      <c r="Q370" s="17" t="s">
        <v>201</v>
      </c>
      <c r="R370" s="24" t="s">
        <v>304</v>
      </c>
      <c r="S370" s="25" t="s">
        <v>187</v>
      </c>
      <c r="T370" s="14" t="s">
        <v>284</v>
      </c>
      <c r="U370" s="14" t="s">
        <v>349</v>
      </c>
      <c r="V370" s="14" t="s">
        <v>206</v>
      </c>
      <c r="W370" s="14" t="s">
        <v>207</v>
      </c>
      <c r="X370" s="14" t="s">
        <v>395</v>
      </c>
      <c r="Y370" s="14">
        <v>5</v>
      </c>
      <c r="Z370" s="14">
        <v>4</v>
      </c>
      <c r="AA370" s="14">
        <v>3</v>
      </c>
      <c r="AB370" s="15">
        <f>IFERROR(AVERAGE(Tabel1[[#This Row],[Up - R1a]:[Up - R1c]]),"")</f>
        <v>4</v>
      </c>
      <c r="AC370" s="14">
        <v>3</v>
      </c>
      <c r="AD370" s="14">
        <v>2</v>
      </c>
      <c r="AE370" s="14">
        <v>2</v>
      </c>
      <c r="AF370" s="14">
        <v>3</v>
      </c>
      <c r="AG370" s="14">
        <f>IFERROR(AVERAGE(Tabel1[[#This Row],[Up - R1]:[Up - R5]]),"")</f>
        <v>2.8</v>
      </c>
      <c r="AH370" s="14">
        <v>4</v>
      </c>
      <c r="AI370" s="14">
        <v>3</v>
      </c>
      <c r="AJ370" s="14">
        <v>3</v>
      </c>
      <c r="AK370" s="14">
        <f>IFERROR(AVERAGE(Tabel1[[#This Row],[Up - C1a]:[Up - C1c]]),"")</f>
        <v>3.3333333333333335</v>
      </c>
      <c r="AL370" s="14">
        <v>2</v>
      </c>
      <c r="AM370" s="14">
        <v>2</v>
      </c>
      <c r="AN370" s="14">
        <v>3</v>
      </c>
      <c r="AO370" s="14">
        <f>IFERROR(AVERAGE(Tabel1[[#This Row],[Up - C1]:[Up - C4]]),"")</f>
        <v>2.5833333333333335</v>
      </c>
      <c r="AP370" s="14">
        <v>4</v>
      </c>
      <c r="AQ370" s="14">
        <f>IFERROR(AVERAGE(Tabel1[[#This Row],[Up - F1a]:[Up - F1a]]),"")</f>
        <v>4</v>
      </c>
      <c r="AR370" s="14">
        <v>1</v>
      </c>
      <c r="AS370" s="14">
        <v>2</v>
      </c>
      <c r="AT370" s="14">
        <f>IFERROR(AVERAGE(Tabel1[[#This Row],[Up - F2a]:[Up - F2b]]),"")</f>
        <v>1.5</v>
      </c>
      <c r="AU370" s="14">
        <v>3</v>
      </c>
      <c r="AV370" s="14">
        <v>2</v>
      </c>
      <c r="AW370" s="14">
        <f>IFERROR(AVERAGE(Tabel1[[#This Row],[Up - F3a]:[Up - F3b]]),"")</f>
        <v>2.5</v>
      </c>
      <c r="AX370" s="14">
        <v>2</v>
      </c>
      <c r="AY370" s="14">
        <f>IFERROR(AVERAGE(Tabel1[[#This Row],[Up - F1]],Tabel1[[#This Row],[Up - F2]],Tabel1[[#This Row],[Up - F3]],Tabel1[[#This Row],[Up - F4]]),"")</f>
        <v>2.5</v>
      </c>
      <c r="AZ370" s="14">
        <v>3</v>
      </c>
      <c r="BA370" s="14" t="s">
        <v>189</v>
      </c>
      <c r="BB370" s="14">
        <f>IFERROR(AVERAGE(Tabel1[[#This Row],[Up - V1a]:[Up - V1b]]),"")</f>
        <v>3</v>
      </c>
      <c r="BC370" s="14">
        <v>4</v>
      </c>
      <c r="BD370" s="14">
        <v>2</v>
      </c>
      <c r="BE370" s="14">
        <v>4</v>
      </c>
      <c r="BF370" s="14">
        <f>IFERROR(AVERAGE(Tabel1[[#This Row],[Up - V2a]:[Up - V2c]]),"")</f>
        <v>3.3333333333333335</v>
      </c>
      <c r="BG370" s="14" t="s">
        <v>189</v>
      </c>
      <c r="BH370" s="14">
        <v>1</v>
      </c>
      <c r="BI370" s="14">
        <f>IFERROR(AVERAGE(Tabel1[[#This Row],[Up - V3a]:[Up - V3b]]),"")</f>
        <v>1</v>
      </c>
      <c r="BJ370" s="14">
        <v>3</v>
      </c>
      <c r="BK370" s="14">
        <f>IFERROR(AVERAGE(Tabel1[[#This Row],[Up - V1]],Tabel1[[#This Row],[Up - V2]],Tabel1[[#This Row],[Up - V3]],Tabel1[[#This Row],[Up - V4]]),"")</f>
        <v>2.5833333333333335</v>
      </c>
      <c r="BL370" s="14">
        <v>4</v>
      </c>
      <c r="BM370" s="14">
        <v>4</v>
      </c>
      <c r="BN370" s="14">
        <v>3</v>
      </c>
      <c r="BO370" s="14">
        <v>2</v>
      </c>
      <c r="BP370" s="14">
        <f>IFERROR(AVERAGE(Tabel1[[#This Row],[Up - A1a]:[Up - A1d]]),"")</f>
        <v>3.25</v>
      </c>
      <c r="BQ370" s="14">
        <v>3</v>
      </c>
      <c r="BR370" s="14">
        <v>1</v>
      </c>
      <c r="BS370" s="14">
        <f>IFERROR(AVERAGE(Tabel1[[#This Row],[Up - A2a]:[Up - A2b]]),"")</f>
        <v>2</v>
      </c>
      <c r="BT370" s="14">
        <v>4</v>
      </c>
      <c r="BU370" s="14">
        <f>IFERROR(AVERAGE(Tabel1[[#This Row],[Up - A3a]:[Up - A3a]]),"")</f>
        <v>4</v>
      </c>
      <c r="BV370" s="14" t="s">
        <v>189</v>
      </c>
      <c r="BW370" s="14">
        <f>IFERROR(AVERAGE(Tabel1[[#This Row],[Up - A1]],Tabel1[[#This Row],[Up - A2]],Tabel1[[#This Row],[Up - A3]]),"")</f>
        <v>3.0833333333333335</v>
      </c>
      <c r="BX370" s="14">
        <v>3</v>
      </c>
      <c r="BY370" s="14">
        <v>3</v>
      </c>
      <c r="BZ370" s="14">
        <f>IFERROR(AVERAGE(Tabel1[[#This Row],[In - R1a]:[In - R1b]]),"")</f>
        <v>3</v>
      </c>
      <c r="CA370" s="14">
        <v>4</v>
      </c>
      <c r="CB370" s="14">
        <v>1</v>
      </c>
      <c r="CC370" s="14">
        <v>2</v>
      </c>
      <c r="CD370" s="14">
        <v>5</v>
      </c>
      <c r="CE370" s="14">
        <f>IFERROR(AVERAGE(Tabel1[[#This Row],[In - R1]:[In - R5]]),"")</f>
        <v>3</v>
      </c>
      <c r="CF370" s="14">
        <v>1</v>
      </c>
      <c r="CG370" s="14">
        <v>1</v>
      </c>
      <c r="CH370" s="14">
        <v>2</v>
      </c>
      <c r="CI370" s="14">
        <f>IFERROR(AVERAGE(Tabel1[[#This Row],[In - C1a]:[In - C1c]]),"")</f>
        <v>1.3333333333333333</v>
      </c>
      <c r="CJ370" s="14">
        <v>2</v>
      </c>
      <c r="CK370" s="14">
        <v>2</v>
      </c>
      <c r="CL370" s="14">
        <v>1</v>
      </c>
      <c r="CM370" s="14">
        <f>IFERROR(AVERAGE(Tabel1[[#This Row],[In - C1]:[In - C4]]),"")</f>
        <v>1.5833333333333333</v>
      </c>
      <c r="CN370" s="14">
        <v>2</v>
      </c>
      <c r="CO370" s="14">
        <v>3</v>
      </c>
      <c r="CP370" s="14">
        <v>2</v>
      </c>
      <c r="CQ370" s="14">
        <f>IFERROR(AVERAGE(Tabel1[[#This Row],[In - F1a]:[In - F1c]]),"")</f>
        <v>2.3333333333333335</v>
      </c>
      <c r="CR370" s="14">
        <v>4</v>
      </c>
      <c r="CS370" s="14">
        <v>1</v>
      </c>
      <c r="CT370" s="14">
        <f>IFERROR(AVERAGE(Tabel1[[#This Row],[In - F2a]:[In - F2b]]),"")</f>
        <v>2.5</v>
      </c>
      <c r="CU370" s="14">
        <v>2</v>
      </c>
      <c r="CV370" s="14">
        <f>IFERROR(AVERAGE(Tabel1[[#This Row],[In - F3a]:[In - F3a]]),"")</f>
        <v>2</v>
      </c>
      <c r="CW370" s="14">
        <v>2</v>
      </c>
      <c r="CX370" s="14">
        <f>IFERROR(AVERAGE(Tabel1[[#This Row],[In - F1]],Tabel1[[#This Row],[In - F2]],Tabel1[[#This Row],[In - F3]],Tabel1[[#This Row],[In - F4]]),"")</f>
        <v>2.2083333333333335</v>
      </c>
      <c r="CY370" s="14">
        <v>4</v>
      </c>
      <c r="CZ370" s="14">
        <v>2</v>
      </c>
      <c r="DA370" s="14">
        <v>2</v>
      </c>
      <c r="DB370" s="14">
        <f>IFERROR(AVERAGE(Tabel1[[#This Row],[In - V1a]:[In - V1c]]),"")</f>
        <v>2.6666666666666665</v>
      </c>
      <c r="DC370" s="14">
        <v>5</v>
      </c>
      <c r="DD370" s="14">
        <v>2</v>
      </c>
      <c r="DE370" s="14">
        <v>5</v>
      </c>
      <c r="DF370" s="14">
        <f>IFERROR(AVERAGE(Tabel1[[#This Row],[In - V2a]:[In - V2c]]),"")</f>
        <v>4</v>
      </c>
      <c r="DG370" s="14">
        <v>3</v>
      </c>
      <c r="DH370" s="14">
        <v>2</v>
      </c>
      <c r="DI370" s="14">
        <f>IFERROR(AVERAGE(Tabel1[[#This Row],[In - V3a]:[In - V3b]]),"")</f>
        <v>2.5</v>
      </c>
      <c r="DJ370" s="14">
        <v>2</v>
      </c>
      <c r="DK370" s="14">
        <f>IFERROR(AVERAGE(Tabel1[[#This Row],[In - V1]],Tabel1[[#This Row],[In - V2]],Tabel1[[#This Row],[In - V3]],Tabel1[[#This Row],[In - V4]]),"")</f>
        <v>2.7916666666666665</v>
      </c>
      <c r="DL370" s="14">
        <v>5</v>
      </c>
      <c r="DM370" s="14">
        <v>1</v>
      </c>
      <c r="DN370" s="14">
        <f>IFERROR(AVERAGE(Tabel1[[#This Row],[In - A1a]:[In - A1b]]),"")</f>
        <v>3</v>
      </c>
      <c r="DO370" s="14">
        <v>5</v>
      </c>
      <c r="DP370" s="14">
        <v>2</v>
      </c>
      <c r="DQ370" s="14">
        <f>IFERROR(AVERAGE(Tabel1[[#This Row],[In - A2a]:[In - A2b]]),"")</f>
        <v>3.5</v>
      </c>
      <c r="DR370" s="14">
        <v>3</v>
      </c>
      <c r="DS370" s="14">
        <v>1</v>
      </c>
      <c r="DT370" s="14">
        <f>IFERROR(AVERAGE(Tabel1[[#This Row],[In - A3a]:[In - A3a]]),"")</f>
        <v>3</v>
      </c>
      <c r="DU370" s="14">
        <v>3</v>
      </c>
      <c r="DV370" s="14">
        <f>IFERROR(AVERAGE(Tabel1[[#This Row],[In - A1]],Tabel1[[#This Row],[In - A2]],Tabel1[[#This Row],[In - A3]],Tabel1[[#This Row],[In - A4]]),"")</f>
        <v>3.125</v>
      </c>
      <c r="DW370" s="14">
        <v>1</v>
      </c>
      <c r="DX370" s="14">
        <v>4</v>
      </c>
      <c r="DY370" s="14">
        <v>2</v>
      </c>
      <c r="DZ370" s="14">
        <f>IFERROR(AVERAGE(Tabel1[[#This Row],[Do - R1a]:[Do - R1c]]),"")</f>
        <v>2.3333333333333335</v>
      </c>
      <c r="EA370" s="14">
        <v>3</v>
      </c>
      <c r="EB370" s="14">
        <v>1</v>
      </c>
      <c r="EC370" s="14">
        <v>3</v>
      </c>
      <c r="ED370" s="14">
        <v>5</v>
      </c>
      <c r="EE370" s="14">
        <f>IFERROR(AVERAGE(Tabel1[[#This Row],[Do - R1]:[Do - R5]]),"")</f>
        <v>2.8666666666666667</v>
      </c>
      <c r="EF370" s="14">
        <v>3</v>
      </c>
      <c r="EG370" s="14">
        <v>2</v>
      </c>
      <c r="EH370" s="14">
        <v>4</v>
      </c>
      <c r="EI370" s="14">
        <f>IFERROR(AVERAGE(Tabel1[[#This Row],[Do - C1a]:[Do - C1c]]),"")</f>
        <v>3</v>
      </c>
      <c r="EJ370" s="14">
        <v>4</v>
      </c>
      <c r="EK370" s="14">
        <v>2</v>
      </c>
      <c r="EL370" s="14" t="s">
        <v>189</v>
      </c>
      <c r="EM370" s="14">
        <f>IFERROR(AVERAGE(Tabel1[[#This Row],[Do - C1]:[Do - C4]]),"")</f>
        <v>3</v>
      </c>
      <c r="EN370" s="14">
        <v>2</v>
      </c>
      <c r="EO370" s="14">
        <v>1</v>
      </c>
      <c r="EP370" s="14">
        <v>1</v>
      </c>
      <c r="EQ370" s="14">
        <f>IFERROR(AVERAGE(Tabel1[[#This Row],[Do - F1a]:[Do - F1c]]),"")</f>
        <v>1.3333333333333333</v>
      </c>
      <c r="ER370" s="14">
        <v>2</v>
      </c>
      <c r="ES370" s="14">
        <f>IFERROR(AVERAGE(Tabel1[[#This Row],[Do - F2a]:[Do - F2a]]),"")</f>
        <v>2</v>
      </c>
      <c r="ET370" s="14">
        <v>1</v>
      </c>
      <c r="EU370" s="14">
        <v>1</v>
      </c>
      <c r="EV370" s="14">
        <f>IFERROR(AVERAGE(Tabel1[[#This Row],[Do - F3a]:[Do - F3b]]),"")</f>
        <v>1</v>
      </c>
      <c r="EW370" s="14">
        <v>1</v>
      </c>
      <c r="EX370" s="14">
        <f>IFERROR(AVERAGE(Tabel1[[#This Row],[Do - F1]],Tabel1[[#This Row],[Do - F2]],Tabel1[[#This Row],[Do - F3]],Tabel1[[#This Row],[Do - F4]]),"")</f>
        <v>1.3333333333333333</v>
      </c>
      <c r="EY370" s="14">
        <v>4</v>
      </c>
      <c r="EZ370" s="14">
        <v>2</v>
      </c>
      <c r="FA370" s="14">
        <v>4</v>
      </c>
      <c r="FB370" s="14">
        <f>IFERROR(AVERAGE(Tabel1[[#This Row],[Do - V1a]:[Do - V1c]]),"")</f>
        <v>3.3333333333333335</v>
      </c>
      <c r="FC370" s="14">
        <v>3</v>
      </c>
      <c r="FD370" s="14">
        <v>4</v>
      </c>
      <c r="FE370" s="14">
        <f>IFERROR(AVERAGE(Tabel1[[#This Row],[Do - V2a]:[Do - V2b]]),"")</f>
        <v>3.5</v>
      </c>
      <c r="FF370" s="14">
        <v>1</v>
      </c>
      <c r="FG370" s="14">
        <f>IFERROR(AVERAGE(Tabel1[[#This Row],[Do - V3a]:[Do - V3a]]),"")</f>
        <v>1</v>
      </c>
      <c r="FH370" s="14">
        <v>1</v>
      </c>
      <c r="FI370" s="14">
        <f>IFERROR(AVERAGE(Tabel1[[#This Row],[Do - V1]],Tabel1[[#This Row],[Do - V2]],Tabel1[[#This Row],[Do - V3]],Tabel1[[#This Row],[Do - V4]]),"")</f>
        <v>2.2083333333333335</v>
      </c>
      <c r="FJ370" s="14">
        <v>5</v>
      </c>
      <c r="FK370" s="14" t="s">
        <v>189</v>
      </c>
      <c r="FL370" s="14">
        <v>3</v>
      </c>
      <c r="FM370" s="14">
        <f>IFERROR(AVERAGE(Tabel1[[#This Row],[Do - A1a]:[Do - A1c]]),"")</f>
        <v>4</v>
      </c>
      <c r="FN370" s="14">
        <v>2</v>
      </c>
      <c r="FO370" s="14">
        <v>1</v>
      </c>
      <c r="FP370" s="14">
        <f>IFERROR(AVERAGE(Tabel1[[#This Row],[Do - A2a]:[Do - A2b]]),"")</f>
        <v>1.5</v>
      </c>
      <c r="FQ370" s="14">
        <v>3</v>
      </c>
      <c r="FR370" s="14">
        <f>IFERROR(AVERAGE(Tabel1[[#This Row],[Do - A3a]:[Do - A3a]]),"")</f>
        <v>3</v>
      </c>
      <c r="FS370" s="14" t="s">
        <v>189</v>
      </c>
      <c r="FT370" s="14">
        <f>IFERROR(AVERAGE(Tabel1[[#This Row],[Do - A1]],Tabel1[[#This Row],[Do - A2]],Tabel1[[#This Row],[Do - A3]],Tabel1[[#This Row],[Do - A4]]),"")</f>
        <v>2.8333333333333335</v>
      </c>
      <c r="FU37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2.5666666666666673</v>
      </c>
      <c r="FV370" s="27" t="s">
        <v>1889</v>
      </c>
      <c r="FW370" t="b">
        <v>1</v>
      </c>
    </row>
    <row r="371" spans="1:179" x14ac:dyDescent="0.3">
      <c r="A371" s="13">
        <v>45597.656481481499</v>
      </c>
      <c r="B371" t="b">
        <v>0</v>
      </c>
      <c r="C371" s="14" t="s">
        <v>1890</v>
      </c>
      <c r="D371" s="14" t="s">
        <v>1891</v>
      </c>
      <c r="E371" s="14" t="s">
        <v>193</v>
      </c>
      <c r="F371" s="14" t="s">
        <v>189</v>
      </c>
      <c r="G371" s="14" t="s">
        <v>1892</v>
      </c>
      <c r="H371" s="14" t="s">
        <v>194</v>
      </c>
      <c r="I371" s="14" t="s">
        <v>195</v>
      </c>
      <c r="J371" s="14" t="s">
        <v>196</v>
      </c>
      <c r="K371" s="28" t="s">
        <v>187</v>
      </c>
      <c r="L371" s="14" t="s">
        <v>249</v>
      </c>
      <c r="M371" s="14" t="s">
        <v>198</v>
      </c>
      <c r="N371" s="14" t="s">
        <v>199</v>
      </c>
      <c r="O371" s="14" t="s">
        <v>200</v>
      </c>
      <c r="P371" s="25" t="s">
        <v>201</v>
      </c>
      <c r="Q371" s="17" t="s">
        <v>187</v>
      </c>
      <c r="R371" s="25" t="s">
        <v>187</v>
      </c>
      <c r="S371" s="25" t="s">
        <v>235</v>
      </c>
      <c r="T371" s="14" t="s">
        <v>204</v>
      </c>
      <c r="U371" s="14" t="s">
        <v>205</v>
      </c>
      <c r="V371" s="14" t="s">
        <v>206</v>
      </c>
      <c r="W371" s="14" t="s">
        <v>207</v>
      </c>
      <c r="X371" s="14" t="s">
        <v>207</v>
      </c>
      <c r="Y371" s="14">
        <v>2</v>
      </c>
      <c r="Z371" s="14">
        <v>3</v>
      </c>
      <c r="AA371" s="14">
        <v>2</v>
      </c>
      <c r="AB371" s="15">
        <f>IFERROR(AVERAGE(Tabel1[[#This Row],[Up - R1a]:[Up - R1c]]),"")</f>
        <v>2.3333333333333335</v>
      </c>
      <c r="AC371" s="14">
        <v>3</v>
      </c>
      <c r="AD371" s="14">
        <v>4</v>
      </c>
      <c r="AE371" s="14">
        <v>3</v>
      </c>
      <c r="AF371" s="14">
        <v>3</v>
      </c>
      <c r="AG371" s="14">
        <f>IFERROR(AVERAGE(Tabel1[[#This Row],[Up - R1]:[Up - R5]]),"")</f>
        <v>3.0666666666666669</v>
      </c>
      <c r="AH371" s="14">
        <v>3</v>
      </c>
      <c r="AI371" s="14">
        <v>3</v>
      </c>
      <c r="AJ371" s="14">
        <v>3</v>
      </c>
      <c r="AK371" s="14">
        <f>IFERROR(AVERAGE(Tabel1[[#This Row],[Up - C1a]:[Up - C1c]]),"")</f>
        <v>3</v>
      </c>
      <c r="AL371" s="14">
        <v>3</v>
      </c>
      <c r="AM371" s="14">
        <v>4</v>
      </c>
      <c r="AN371" s="14">
        <v>2</v>
      </c>
      <c r="AO371" s="14">
        <f>IFERROR(AVERAGE(Tabel1[[#This Row],[Up - C1]:[Up - C4]]),"")</f>
        <v>3</v>
      </c>
      <c r="AP371" s="14">
        <v>3</v>
      </c>
      <c r="AQ371" s="14">
        <f>IFERROR(AVERAGE(Tabel1[[#This Row],[Up - F1a]:[Up - F1a]]),"")</f>
        <v>3</v>
      </c>
      <c r="AR371" s="14">
        <v>1</v>
      </c>
      <c r="AS371" s="14">
        <v>2</v>
      </c>
      <c r="AT371" s="14">
        <f>IFERROR(AVERAGE(Tabel1[[#This Row],[Up - F2a]:[Up - F2b]]),"")</f>
        <v>1.5</v>
      </c>
      <c r="AU371" s="14">
        <v>3</v>
      </c>
      <c r="AV371" s="14">
        <v>1</v>
      </c>
      <c r="AW371" s="14">
        <f>IFERROR(AVERAGE(Tabel1[[#This Row],[Up - F3a]:[Up - F3b]]),"")</f>
        <v>2</v>
      </c>
      <c r="AX371" s="14">
        <v>2</v>
      </c>
      <c r="AY371" s="14">
        <f>IFERROR(AVERAGE(Tabel1[[#This Row],[Up - F1]],Tabel1[[#This Row],[Up - F2]],Tabel1[[#This Row],[Up - F3]],Tabel1[[#This Row],[Up - F4]]),"")</f>
        <v>2.125</v>
      </c>
      <c r="AZ371" s="14">
        <v>3</v>
      </c>
      <c r="BA371" s="14">
        <v>3</v>
      </c>
      <c r="BB371" s="14">
        <f>IFERROR(AVERAGE(Tabel1[[#This Row],[Up - V1a]:[Up - V1b]]),"")</f>
        <v>3</v>
      </c>
      <c r="BC371" s="14">
        <v>3</v>
      </c>
      <c r="BD371" s="14">
        <v>4</v>
      </c>
      <c r="BE371" s="14">
        <v>4</v>
      </c>
      <c r="BF371" s="14">
        <f>IFERROR(AVERAGE(Tabel1[[#This Row],[Up - V2a]:[Up - V2c]]),"")</f>
        <v>3.6666666666666665</v>
      </c>
      <c r="BG371" s="14">
        <v>2</v>
      </c>
      <c r="BH371" s="14">
        <v>3</v>
      </c>
      <c r="BI371" s="14">
        <f>IFERROR(AVERAGE(Tabel1[[#This Row],[Up - V3a]:[Up - V3b]]),"")</f>
        <v>2.5</v>
      </c>
      <c r="BJ371" s="14">
        <v>3</v>
      </c>
      <c r="BK371" s="14">
        <f>IFERROR(AVERAGE(Tabel1[[#This Row],[Up - V1]],Tabel1[[#This Row],[Up - V2]],Tabel1[[#This Row],[Up - V3]],Tabel1[[#This Row],[Up - V4]]),"")</f>
        <v>3.0416666666666665</v>
      </c>
      <c r="BL371" s="14">
        <v>4</v>
      </c>
      <c r="BM371" s="14">
        <v>3</v>
      </c>
      <c r="BN371" s="14">
        <v>2</v>
      </c>
      <c r="BO371" s="14">
        <v>2</v>
      </c>
      <c r="BP371" s="14">
        <f>IFERROR(AVERAGE(Tabel1[[#This Row],[Up - A1a]:[Up - A1d]]),"")</f>
        <v>2.75</v>
      </c>
      <c r="BQ371" s="14">
        <v>2</v>
      </c>
      <c r="BR371" s="14">
        <v>2</v>
      </c>
      <c r="BS371" s="14">
        <f>IFERROR(AVERAGE(Tabel1[[#This Row],[Up - A2a]:[Up - A2b]]),"")</f>
        <v>2</v>
      </c>
      <c r="BT371" s="14">
        <v>2</v>
      </c>
      <c r="BU371" s="14">
        <f>IFERROR(AVERAGE(Tabel1[[#This Row],[Up - A3a]:[Up - A3a]]),"")</f>
        <v>2</v>
      </c>
      <c r="BV371" s="14">
        <v>2</v>
      </c>
      <c r="BW371" s="14">
        <f>IFERROR(AVERAGE(Tabel1[[#This Row],[Up - A1]],Tabel1[[#This Row],[Up - A2]],Tabel1[[#This Row],[Up - A3]]),"")</f>
        <v>2.25</v>
      </c>
      <c r="BX371" s="14">
        <v>3</v>
      </c>
      <c r="BY371" s="14">
        <v>4</v>
      </c>
      <c r="BZ371" s="14">
        <f>IFERROR(AVERAGE(Tabel1[[#This Row],[In - R1a]:[In - R1b]]),"")</f>
        <v>3.5</v>
      </c>
      <c r="CA371" s="14">
        <v>3</v>
      </c>
      <c r="CB371" s="14">
        <v>4</v>
      </c>
      <c r="CC371" s="14">
        <v>2</v>
      </c>
      <c r="CD371" s="14">
        <v>4</v>
      </c>
      <c r="CE371" s="14">
        <f>IFERROR(AVERAGE(Tabel1[[#This Row],[In - R1]:[In - R5]]),"")</f>
        <v>3.3</v>
      </c>
      <c r="CF371" s="14">
        <v>4</v>
      </c>
      <c r="CG371" s="14">
        <v>4</v>
      </c>
      <c r="CH371" s="14">
        <v>3</v>
      </c>
      <c r="CI371" s="14">
        <f>IFERROR(AVERAGE(Tabel1[[#This Row],[In - C1a]:[In - C1c]]),"")</f>
        <v>3.6666666666666665</v>
      </c>
      <c r="CJ371" s="14">
        <v>2</v>
      </c>
      <c r="CK371" s="14">
        <v>5</v>
      </c>
      <c r="CL371" s="14">
        <v>3</v>
      </c>
      <c r="CM371" s="14">
        <f>IFERROR(AVERAGE(Tabel1[[#This Row],[In - C1]:[In - C4]]),"")</f>
        <v>3.4166666666666665</v>
      </c>
      <c r="CN371" s="14">
        <v>2</v>
      </c>
      <c r="CO371" s="14">
        <v>1</v>
      </c>
      <c r="CP371" s="14">
        <v>1</v>
      </c>
      <c r="CQ371" s="14">
        <f>IFERROR(AVERAGE(Tabel1[[#This Row],[In - F1a]:[In - F1c]]),"")</f>
        <v>1.3333333333333333</v>
      </c>
      <c r="CR371" s="14">
        <v>4</v>
      </c>
      <c r="CS371" s="14">
        <v>2</v>
      </c>
      <c r="CT371" s="14">
        <f>IFERROR(AVERAGE(Tabel1[[#This Row],[In - F2a]:[In - F2b]]),"")</f>
        <v>3</v>
      </c>
      <c r="CU371" s="14">
        <v>2</v>
      </c>
      <c r="CV371" s="14">
        <f>IFERROR(AVERAGE(Tabel1[[#This Row],[In - F3a]:[In - F3a]]),"")</f>
        <v>2</v>
      </c>
      <c r="CW371" s="14">
        <v>2</v>
      </c>
      <c r="CX371" s="14">
        <f>IFERROR(AVERAGE(Tabel1[[#This Row],[In - F1]],Tabel1[[#This Row],[In - F2]],Tabel1[[#This Row],[In - F3]],Tabel1[[#This Row],[In - F4]]),"")</f>
        <v>2.083333333333333</v>
      </c>
      <c r="CY371" s="14">
        <v>3</v>
      </c>
      <c r="CZ371" s="14">
        <v>3</v>
      </c>
      <c r="DA371" s="14">
        <v>3</v>
      </c>
      <c r="DB371" s="14">
        <f>IFERROR(AVERAGE(Tabel1[[#This Row],[In - V1a]:[In - V1c]]),"")</f>
        <v>3</v>
      </c>
      <c r="DC371" s="14">
        <v>3</v>
      </c>
      <c r="DD371" s="14">
        <v>3</v>
      </c>
      <c r="DE371" s="14">
        <v>4</v>
      </c>
      <c r="DF371" s="14">
        <f>IFERROR(AVERAGE(Tabel1[[#This Row],[In - V2a]:[In - V2c]]),"")</f>
        <v>3.3333333333333335</v>
      </c>
      <c r="DG371" s="14">
        <v>2</v>
      </c>
      <c r="DH371" s="14">
        <v>4</v>
      </c>
      <c r="DI371" s="14">
        <f>IFERROR(AVERAGE(Tabel1[[#This Row],[In - V3a]:[In - V3b]]),"")</f>
        <v>3</v>
      </c>
      <c r="DJ371" s="14">
        <v>3</v>
      </c>
      <c r="DK371" s="14">
        <f>IFERROR(AVERAGE(Tabel1[[#This Row],[In - V1]],Tabel1[[#This Row],[In - V2]],Tabel1[[#This Row],[In - V3]],Tabel1[[#This Row],[In - V4]]),"")</f>
        <v>3.0833333333333335</v>
      </c>
      <c r="DL371" s="14">
        <v>3</v>
      </c>
      <c r="DM371" s="14">
        <v>3</v>
      </c>
      <c r="DN371" s="14">
        <f>IFERROR(AVERAGE(Tabel1[[#This Row],[In - A1a]:[In - A1b]]),"")</f>
        <v>3</v>
      </c>
      <c r="DO371" s="14">
        <v>3</v>
      </c>
      <c r="DP371" s="14">
        <v>2</v>
      </c>
      <c r="DQ371" s="14">
        <f>IFERROR(AVERAGE(Tabel1[[#This Row],[In - A2a]:[In - A2b]]),"")</f>
        <v>2.5</v>
      </c>
      <c r="DR371" s="14">
        <v>2</v>
      </c>
      <c r="DS371" s="14">
        <v>2</v>
      </c>
      <c r="DT371" s="14">
        <f>IFERROR(AVERAGE(Tabel1[[#This Row],[In - A3a]:[In - A3a]]),"")</f>
        <v>2</v>
      </c>
      <c r="DU371" s="14">
        <v>2</v>
      </c>
      <c r="DV371" s="14">
        <f>IFERROR(AVERAGE(Tabel1[[#This Row],[In - A1]],Tabel1[[#This Row],[In - A2]],Tabel1[[#This Row],[In - A3]],Tabel1[[#This Row],[In - A4]]),"")</f>
        <v>2.375</v>
      </c>
      <c r="DW371" s="14" t="s">
        <v>189</v>
      </c>
      <c r="DX371" s="14">
        <v>5</v>
      </c>
      <c r="DY371" s="14" t="s">
        <v>189</v>
      </c>
      <c r="DZ371" s="14">
        <f>IFERROR(AVERAGE(Tabel1[[#This Row],[Do - R1a]:[Do - R1c]]),"")</f>
        <v>5</v>
      </c>
      <c r="EA371" s="14">
        <v>2</v>
      </c>
      <c r="EB371" s="14">
        <v>2</v>
      </c>
      <c r="EC371" s="14">
        <v>2</v>
      </c>
      <c r="ED371" s="14">
        <v>3</v>
      </c>
      <c r="EE371" s="14">
        <f>IFERROR(AVERAGE(Tabel1[[#This Row],[Do - R1]:[Do - R5]]),"")</f>
        <v>2.8</v>
      </c>
      <c r="EF371" s="14">
        <v>4</v>
      </c>
      <c r="EG371" s="14">
        <v>4</v>
      </c>
      <c r="EH371" s="14">
        <v>3</v>
      </c>
      <c r="EI371" s="14">
        <f>IFERROR(AVERAGE(Tabel1[[#This Row],[Do - C1a]:[Do - C1c]]),"")</f>
        <v>3.6666666666666665</v>
      </c>
      <c r="EJ371" s="14">
        <v>3</v>
      </c>
      <c r="EK371" s="14">
        <v>4</v>
      </c>
      <c r="EL371" s="14">
        <v>2</v>
      </c>
      <c r="EM371" s="14">
        <f>IFERROR(AVERAGE(Tabel1[[#This Row],[Do - C1]:[Do - C4]]),"")</f>
        <v>3.1666666666666665</v>
      </c>
      <c r="EN371" s="14">
        <v>3</v>
      </c>
      <c r="EO371" s="14">
        <v>1</v>
      </c>
      <c r="EP371" s="14">
        <v>3</v>
      </c>
      <c r="EQ371" s="14">
        <f>IFERROR(AVERAGE(Tabel1[[#This Row],[Do - F1a]:[Do - F1c]]),"")</f>
        <v>2.3333333333333335</v>
      </c>
      <c r="ER371" s="14">
        <v>3</v>
      </c>
      <c r="ES371" s="14">
        <f>IFERROR(AVERAGE(Tabel1[[#This Row],[Do - F2a]:[Do - F2a]]),"")</f>
        <v>3</v>
      </c>
      <c r="ET371" s="14">
        <v>2</v>
      </c>
      <c r="EU371" s="14">
        <v>3</v>
      </c>
      <c r="EV371" s="14">
        <f>IFERROR(AVERAGE(Tabel1[[#This Row],[Do - F3a]:[Do - F3b]]),"")</f>
        <v>2.5</v>
      </c>
      <c r="EW371" s="14">
        <v>2</v>
      </c>
      <c r="EX371" s="14">
        <f>IFERROR(AVERAGE(Tabel1[[#This Row],[Do - F1]],Tabel1[[#This Row],[Do - F2]],Tabel1[[#This Row],[Do - F3]],Tabel1[[#This Row],[Do - F4]]),"")</f>
        <v>2.4583333333333335</v>
      </c>
      <c r="EY371" s="14">
        <v>3</v>
      </c>
      <c r="EZ371" s="14">
        <v>2</v>
      </c>
      <c r="FA371" s="14">
        <v>3</v>
      </c>
      <c r="FB371" s="14">
        <f>IFERROR(AVERAGE(Tabel1[[#This Row],[Do - V1a]:[Do - V1c]]),"")</f>
        <v>2.6666666666666665</v>
      </c>
      <c r="FC371" s="14">
        <v>3</v>
      </c>
      <c r="FD371" s="14">
        <v>4</v>
      </c>
      <c r="FE371" s="14">
        <f>IFERROR(AVERAGE(Tabel1[[#This Row],[Do - V2a]:[Do - V2b]]),"")</f>
        <v>3.5</v>
      </c>
      <c r="FF371" s="14">
        <v>3</v>
      </c>
      <c r="FG371" s="14">
        <f>IFERROR(AVERAGE(Tabel1[[#This Row],[Do - V3a]:[Do - V3a]]),"")</f>
        <v>3</v>
      </c>
      <c r="FH371" s="14">
        <v>3</v>
      </c>
      <c r="FI371" s="14">
        <f>IFERROR(AVERAGE(Tabel1[[#This Row],[Do - V1]],Tabel1[[#This Row],[Do - V2]],Tabel1[[#This Row],[Do - V3]],Tabel1[[#This Row],[Do - V4]]),"")</f>
        <v>3.0416666666666665</v>
      </c>
      <c r="FJ371" s="14">
        <v>4</v>
      </c>
      <c r="FK371" s="14">
        <v>3</v>
      </c>
      <c r="FL371" s="14">
        <v>3</v>
      </c>
      <c r="FM371" s="14">
        <f>IFERROR(AVERAGE(Tabel1[[#This Row],[Do - A1a]:[Do - A1c]]),"")</f>
        <v>3.3333333333333335</v>
      </c>
      <c r="FN371" s="14">
        <v>3</v>
      </c>
      <c r="FO371" s="14">
        <v>2</v>
      </c>
      <c r="FP371" s="14">
        <f>IFERROR(AVERAGE(Tabel1[[#This Row],[Do - A2a]:[Do - A2b]]),"")</f>
        <v>2.5</v>
      </c>
      <c r="FQ371" s="14">
        <v>2</v>
      </c>
      <c r="FR371" s="14">
        <f>IFERROR(AVERAGE(Tabel1[[#This Row],[Do - A3a]:[Do - A3a]]),"")</f>
        <v>2</v>
      </c>
      <c r="FS371" s="14">
        <v>2</v>
      </c>
      <c r="FT371" s="14">
        <f>IFERROR(AVERAGE(Tabel1[[#This Row],[Do - A1]],Tabel1[[#This Row],[Do - A2]],Tabel1[[#This Row],[Do - A3]],Tabel1[[#This Row],[Do - A4]]),"")</f>
        <v>2.4583333333333335</v>
      </c>
      <c r="FU37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2.7777777777777777</v>
      </c>
      <c r="FV371" s="27" t="s">
        <v>1893</v>
      </c>
      <c r="FW371" t="b">
        <v>1</v>
      </c>
    </row>
    <row r="372" spans="1:179" x14ac:dyDescent="0.3">
      <c r="A372" s="13">
        <v>45600.502997685202</v>
      </c>
      <c r="B372" t="b">
        <v>0</v>
      </c>
      <c r="C372" s="14" t="s">
        <v>1894</v>
      </c>
      <c r="D372" s="14" t="s">
        <v>1895</v>
      </c>
      <c r="E372" s="14" t="s">
        <v>193</v>
      </c>
      <c r="F372" s="14" t="s">
        <v>189</v>
      </c>
      <c r="G372" s="14" t="s">
        <v>1896</v>
      </c>
      <c r="H372" s="14" t="s">
        <v>194</v>
      </c>
      <c r="I372" s="14" t="s">
        <v>385</v>
      </c>
      <c r="J372" s="14"/>
      <c r="K372" s="28" t="s">
        <v>187</v>
      </c>
      <c r="L372" s="14" t="s">
        <v>385</v>
      </c>
      <c r="M372" s="14" t="s">
        <v>188</v>
      </c>
      <c r="N372" s="14" t="s">
        <v>199</v>
      </c>
      <c r="O372" s="14" t="s">
        <v>256</v>
      </c>
      <c r="P372" s="24" t="s">
        <v>304</v>
      </c>
      <c r="Q372" s="17" t="s">
        <v>201</v>
      </c>
      <c r="R372" s="25" t="s">
        <v>235</v>
      </c>
      <c r="S372" s="25" t="s">
        <v>235</v>
      </c>
      <c r="T372" s="14" t="s">
        <v>204</v>
      </c>
      <c r="U372" s="14" t="s">
        <v>205</v>
      </c>
      <c r="V372" s="14" t="s">
        <v>206</v>
      </c>
      <c r="W372" s="14" t="s">
        <v>207</v>
      </c>
      <c r="X372" s="14" t="s">
        <v>207</v>
      </c>
      <c r="Y372" s="14">
        <v>4</v>
      </c>
      <c r="Z372" s="14">
        <v>4</v>
      </c>
      <c r="AA372" s="14" t="s">
        <v>189</v>
      </c>
      <c r="AB372" s="15">
        <f>IFERROR(AVERAGE(Tabel1[[#This Row],[Up - R1a]:[Up - R1c]]),"")</f>
        <v>4</v>
      </c>
      <c r="AC372" s="14">
        <v>5</v>
      </c>
      <c r="AD372" s="14">
        <v>5</v>
      </c>
      <c r="AE372" s="14">
        <v>3</v>
      </c>
      <c r="AF372" s="14">
        <v>2</v>
      </c>
      <c r="AG372" s="14">
        <f>IFERROR(AVERAGE(Tabel1[[#This Row],[Up - R1]:[Up - R5]]),"")</f>
        <v>3.8</v>
      </c>
      <c r="AH372" s="14">
        <v>4</v>
      </c>
      <c r="AI372" s="14">
        <v>4</v>
      </c>
      <c r="AJ372" s="14">
        <v>4</v>
      </c>
      <c r="AK372" s="14">
        <f>IFERROR(AVERAGE(Tabel1[[#This Row],[Up - C1a]:[Up - C1c]]),"")</f>
        <v>4</v>
      </c>
      <c r="AL372" s="14" t="s">
        <v>189</v>
      </c>
      <c r="AM372" s="14">
        <v>4</v>
      </c>
      <c r="AN372" s="14">
        <v>4</v>
      </c>
      <c r="AO372" s="14">
        <f>IFERROR(AVERAGE(Tabel1[[#This Row],[Up - C1]:[Up - C4]]),"")</f>
        <v>4</v>
      </c>
      <c r="AP372" s="14">
        <v>1</v>
      </c>
      <c r="AQ372" s="14">
        <f>IFERROR(AVERAGE(Tabel1[[#This Row],[Up - F1a]:[Up - F1a]]),"")</f>
        <v>1</v>
      </c>
      <c r="AR372" s="14">
        <v>2</v>
      </c>
      <c r="AS372" s="14" t="s">
        <v>189</v>
      </c>
      <c r="AT372" s="14">
        <f>IFERROR(AVERAGE(Tabel1[[#This Row],[Up - F2a]:[Up - F2b]]),"")</f>
        <v>2</v>
      </c>
      <c r="AU372" s="14">
        <v>4</v>
      </c>
      <c r="AV372" s="14">
        <v>1</v>
      </c>
      <c r="AW372" s="14">
        <f>IFERROR(AVERAGE(Tabel1[[#This Row],[Up - F3a]:[Up - F3b]]),"")</f>
        <v>2.5</v>
      </c>
      <c r="AX372" s="14">
        <v>2</v>
      </c>
      <c r="AY372" s="14">
        <f>IFERROR(AVERAGE(Tabel1[[#This Row],[Up - F1]],Tabel1[[#This Row],[Up - F2]],Tabel1[[#This Row],[Up - F3]],Tabel1[[#This Row],[Up - F4]]),"")</f>
        <v>1.875</v>
      </c>
      <c r="AZ372" s="14">
        <v>2</v>
      </c>
      <c r="BA372" s="14">
        <v>4</v>
      </c>
      <c r="BB372" s="14">
        <f>IFERROR(AVERAGE(Tabel1[[#This Row],[Up - V1a]:[Up - V1b]]),"")</f>
        <v>3</v>
      </c>
      <c r="BC372" s="14">
        <v>4</v>
      </c>
      <c r="BD372" s="14">
        <v>3</v>
      </c>
      <c r="BE372" s="14">
        <v>3</v>
      </c>
      <c r="BF372" s="14">
        <f>IFERROR(AVERAGE(Tabel1[[#This Row],[Up - V2a]:[Up - V2c]]),"")</f>
        <v>3.3333333333333335</v>
      </c>
      <c r="BG372" s="14">
        <v>2</v>
      </c>
      <c r="BH372" s="14">
        <v>5</v>
      </c>
      <c r="BI372" s="14">
        <f>IFERROR(AVERAGE(Tabel1[[#This Row],[Up - V3a]:[Up - V3b]]),"")</f>
        <v>3.5</v>
      </c>
      <c r="BJ372" s="14" t="s">
        <v>189</v>
      </c>
      <c r="BK372" s="14">
        <f>IFERROR(AVERAGE(Tabel1[[#This Row],[Up - V1]],Tabel1[[#This Row],[Up - V2]],Tabel1[[#This Row],[Up - V3]],Tabel1[[#This Row],[Up - V4]]),"")</f>
        <v>3.2777777777777781</v>
      </c>
      <c r="BL372" s="14">
        <v>4</v>
      </c>
      <c r="BM372" s="14">
        <v>5</v>
      </c>
      <c r="BN372" s="14">
        <v>1</v>
      </c>
      <c r="BO372" s="14">
        <v>1</v>
      </c>
      <c r="BP372" s="14">
        <f>IFERROR(AVERAGE(Tabel1[[#This Row],[Up - A1a]:[Up - A1d]]),"")</f>
        <v>2.75</v>
      </c>
      <c r="BQ372" s="14">
        <v>1</v>
      </c>
      <c r="BR372" s="14">
        <v>3</v>
      </c>
      <c r="BS372" s="14">
        <f>IFERROR(AVERAGE(Tabel1[[#This Row],[Up - A2a]:[Up - A2b]]),"")</f>
        <v>2</v>
      </c>
      <c r="BT372" s="14">
        <v>4</v>
      </c>
      <c r="BU372" s="14">
        <f>IFERROR(AVERAGE(Tabel1[[#This Row],[Up - A3a]:[Up - A3a]]),"")</f>
        <v>4</v>
      </c>
      <c r="BV372" s="14" t="s">
        <v>189</v>
      </c>
      <c r="BW372" s="14">
        <f>IFERROR(AVERAGE(Tabel1[[#This Row],[Up - A1]],Tabel1[[#This Row],[Up - A2]],Tabel1[[#This Row],[Up - A3]]),"")</f>
        <v>2.9166666666666665</v>
      </c>
      <c r="BX372" s="14">
        <v>4</v>
      </c>
      <c r="BY372" s="14">
        <v>4</v>
      </c>
      <c r="BZ372" s="14">
        <f>IFERROR(AVERAGE(Tabel1[[#This Row],[In - R1a]:[In - R1b]]),"")</f>
        <v>4</v>
      </c>
      <c r="CA372" s="14">
        <v>4</v>
      </c>
      <c r="CB372" s="14">
        <v>2</v>
      </c>
      <c r="CC372" s="14">
        <v>1</v>
      </c>
      <c r="CD372" s="14">
        <v>3</v>
      </c>
      <c r="CE372" s="14">
        <f>IFERROR(AVERAGE(Tabel1[[#This Row],[In - R1]:[In - R5]]),"")</f>
        <v>2.8</v>
      </c>
      <c r="CF372" s="14">
        <v>5</v>
      </c>
      <c r="CG372" s="14">
        <v>5</v>
      </c>
      <c r="CH372" s="14">
        <v>4</v>
      </c>
      <c r="CI372" s="14">
        <f>IFERROR(AVERAGE(Tabel1[[#This Row],[In - C1a]:[In - C1c]]),"")</f>
        <v>4.666666666666667</v>
      </c>
      <c r="CJ372" s="14">
        <v>2</v>
      </c>
      <c r="CK372" s="14">
        <v>4</v>
      </c>
      <c r="CL372" s="14">
        <v>2</v>
      </c>
      <c r="CM372" s="14">
        <f>IFERROR(AVERAGE(Tabel1[[#This Row],[In - C1]:[In - C4]]),"")</f>
        <v>3.166666666666667</v>
      </c>
      <c r="CN372" s="14">
        <v>5</v>
      </c>
      <c r="CO372" s="14">
        <v>1</v>
      </c>
      <c r="CP372" s="14">
        <v>4</v>
      </c>
      <c r="CQ372" s="14">
        <f>IFERROR(AVERAGE(Tabel1[[#This Row],[In - F1a]:[In - F1c]]),"")</f>
        <v>3.3333333333333335</v>
      </c>
      <c r="CR372" s="14">
        <v>4</v>
      </c>
      <c r="CS372" s="14">
        <v>1</v>
      </c>
      <c r="CT372" s="14">
        <f>IFERROR(AVERAGE(Tabel1[[#This Row],[In - F2a]:[In - F2b]]),"")</f>
        <v>2.5</v>
      </c>
      <c r="CU372" s="14">
        <v>2</v>
      </c>
      <c r="CV372" s="14">
        <f>IFERROR(AVERAGE(Tabel1[[#This Row],[In - F3a]:[In - F3a]]),"")</f>
        <v>2</v>
      </c>
      <c r="CW372" s="14">
        <v>3</v>
      </c>
      <c r="CX372" s="14">
        <f>IFERROR(AVERAGE(Tabel1[[#This Row],[In - F1]],Tabel1[[#This Row],[In - F2]],Tabel1[[#This Row],[In - F3]],Tabel1[[#This Row],[In - F4]]),"")</f>
        <v>2.7083333333333335</v>
      </c>
      <c r="CY372" s="14">
        <v>4</v>
      </c>
      <c r="CZ372" s="14">
        <v>4</v>
      </c>
      <c r="DA372" s="14">
        <v>3</v>
      </c>
      <c r="DB372" s="14">
        <f>IFERROR(AVERAGE(Tabel1[[#This Row],[In - V1a]:[In - V1c]]),"")</f>
        <v>3.6666666666666665</v>
      </c>
      <c r="DC372" s="14">
        <v>1</v>
      </c>
      <c r="DD372" s="14">
        <v>3</v>
      </c>
      <c r="DE372" s="14">
        <v>3</v>
      </c>
      <c r="DF372" s="14">
        <f>IFERROR(AVERAGE(Tabel1[[#This Row],[In - V2a]:[In - V2c]]),"")</f>
        <v>2.3333333333333335</v>
      </c>
      <c r="DG372" s="14">
        <v>4</v>
      </c>
      <c r="DH372" s="14">
        <v>5</v>
      </c>
      <c r="DI372" s="14">
        <f>IFERROR(AVERAGE(Tabel1[[#This Row],[In - V3a]:[In - V3b]]),"")</f>
        <v>4.5</v>
      </c>
      <c r="DJ372" s="14" t="s">
        <v>189</v>
      </c>
      <c r="DK372" s="14">
        <f>IFERROR(AVERAGE(Tabel1[[#This Row],[In - V1]],Tabel1[[#This Row],[In - V2]],Tabel1[[#This Row],[In - V3]],Tabel1[[#This Row],[In - V4]]),"")</f>
        <v>3.5</v>
      </c>
      <c r="DL372" s="14">
        <v>2</v>
      </c>
      <c r="DM372" s="14">
        <v>4</v>
      </c>
      <c r="DN372" s="14">
        <f>IFERROR(AVERAGE(Tabel1[[#This Row],[In - A1a]:[In - A1b]]),"")</f>
        <v>3</v>
      </c>
      <c r="DO372" s="14">
        <v>3</v>
      </c>
      <c r="DP372" s="14">
        <v>3</v>
      </c>
      <c r="DQ372" s="14">
        <f>IFERROR(AVERAGE(Tabel1[[#This Row],[In - A2a]:[In - A2b]]),"")</f>
        <v>3</v>
      </c>
      <c r="DR372" s="14">
        <v>3</v>
      </c>
      <c r="DS372" s="14">
        <v>2</v>
      </c>
      <c r="DT372" s="14">
        <f>IFERROR(AVERAGE(Tabel1[[#This Row],[In - A3a]:[In - A3a]]),"")</f>
        <v>3</v>
      </c>
      <c r="DU372" s="14" t="s">
        <v>189</v>
      </c>
      <c r="DV372" s="14">
        <f>IFERROR(AVERAGE(Tabel1[[#This Row],[In - A1]],Tabel1[[#This Row],[In - A2]],Tabel1[[#This Row],[In - A3]],Tabel1[[#This Row],[In - A4]]),"")</f>
        <v>3</v>
      </c>
      <c r="DW372" s="14" t="s">
        <v>189</v>
      </c>
      <c r="DX372" s="14">
        <v>4</v>
      </c>
      <c r="DY372" s="14" t="s">
        <v>189</v>
      </c>
      <c r="DZ372" s="14">
        <f>IFERROR(AVERAGE(Tabel1[[#This Row],[Do - R1a]:[Do - R1c]]),"")</f>
        <v>4</v>
      </c>
      <c r="EA372" s="14">
        <v>3</v>
      </c>
      <c r="EB372" s="14">
        <v>2</v>
      </c>
      <c r="EC372" s="14" t="s">
        <v>189</v>
      </c>
      <c r="ED372" s="14">
        <v>2</v>
      </c>
      <c r="EE372" s="14">
        <f>IFERROR(AVERAGE(Tabel1[[#This Row],[Do - R1]:[Do - R5]]),"")</f>
        <v>2.75</v>
      </c>
      <c r="EF372" s="14">
        <v>4</v>
      </c>
      <c r="EG372" s="14">
        <v>5</v>
      </c>
      <c r="EH372" s="14">
        <v>4</v>
      </c>
      <c r="EI372" s="14">
        <f>IFERROR(AVERAGE(Tabel1[[#This Row],[Do - C1a]:[Do - C1c]]),"")</f>
        <v>4.333333333333333</v>
      </c>
      <c r="EJ372" s="14" t="s">
        <v>189</v>
      </c>
      <c r="EK372" s="14" t="s">
        <v>189</v>
      </c>
      <c r="EL372" s="14">
        <v>2</v>
      </c>
      <c r="EM372" s="14">
        <f>IFERROR(AVERAGE(Tabel1[[#This Row],[Do - C1]:[Do - C4]]),"")</f>
        <v>3.1666666666666665</v>
      </c>
      <c r="EN372" s="14">
        <v>2</v>
      </c>
      <c r="EO372" s="14">
        <v>2</v>
      </c>
      <c r="EP372" s="14">
        <v>5</v>
      </c>
      <c r="EQ372" s="14">
        <f>IFERROR(AVERAGE(Tabel1[[#This Row],[Do - F1a]:[Do - F1c]]),"")</f>
        <v>3</v>
      </c>
      <c r="ER372" s="14">
        <v>1</v>
      </c>
      <c r="ES372" s="14">
        <f>IFERROR(AVERAGE(Tabel1[[#This Row],[Do - F2a]:[Do - F2a]]),"")</f>
        <v>1</v>
      </c>
      <c r="ET372" s="14">
        <v>2</v>
      </c>
      <c r="EU372" s="14">
        <v>1</v>
      </c>
      <c r="EV372" s="14">
        <f>IFERROR(AVERAGE(Tabel1[[#This Row],[Do - F3a]:[Do - F3b]]),"")</f>
        <v>1.5</v>
      </c>
      <c r="EW372" s="14">
        <v>1</v>
      </c>
      <c r="EX372" s="14">
        <f>IFERROR(AVERAGE(Tabel1[[#This Row],[Do - F1]],Tabel1[[#This Row],[Do - F2]],Tabel1[[#This Row],[Do - F3]],Tabel1[[#This Row],[Do - F4]]),"")</f>
        <v>1.625</v>
      </c>
      <c r="EY372" s="14">
        <v>2</v>
      </c>
      <c r="EZ372" s="14">
        <v>2</v>
      </c>
      <c r="FA372" s="14">
        <v>3</v>
      </c>
      <c r="FB372" s="14">
        <f>IFERROR(AVERAGE(Tabel1[[#This Row],[Do - V1a]:[Do - V1c]]),"")</f>
        <v>2.3333333333333335</v>
      </c>
      <c r="FC372" s="14">
        <v>4</v>
      </c>
      <c r="FD372" s="14">
        <v>3</v>
      </c>
      <c r="FE372" s="14">
        <f>IFERROR(AVERAGE(Tabel1[[#This Row],[Do - V2a]:[Do - V2b]]),"")</f>
        <v>3.5</v>
      </c>
      <c r="FF372" s="14" t="s">
        <v>189</v>
      </c>
      <c r="FG372" s="14" t="str">
        <f>IFERROR(AVERAGE(Tabel1[[#This Row],[Do - V3a]:[Do - V3a]]),"")</f>
        <v/>
      </c>
      <c r="FH372" s="14" t="s">
        <v>189</v>
      </c>
      <c r="FI372" s="14">
        <f>IFERROR(AVERAGE(Tabel1[[#This Row],[Do - V1]],Tabel1[[#This Row],[Do - V2]],Tabel1[[#This Row],[Do - V3]],Tabel1[[#This Row],[Do - V4]]),"")</f>
        <v>2.916666666666667</v>
      </c>
      <c r="FJ372" s="14">
        <v>3</v>
      </c>
      <c r="FK372" s="14">
        <v>3</v>
      </c>
      <c r="FL372" s="14">
        <v>1</v>
      </c>
      <c r="FM372" s="14">
        <f>IFERROR(AVERAGE(Tabel1[[#This Row],[Do - A1a]:[Do - A1c]]),"")</f>
        <v>2.3333333333333335</v>
      </c>
      <c r="FN372" s="14">
        <v>1</v>
      </c>
      <c r="FO372" s="14">
        <v>4</v>
      </c>
      <c r="FP372" s="14">
        <f>IFERROR(AVERAGE(Tabel1[[#This Row],[Do - A2a]:[Do - A2b]]),"")</f>
        <v>2.5</v>
      </c>
      <c r="FQ372" s="14">
        <v>4</v>
      </c>
      <c r="FR372" s="14">
        <f>IFERROR(AVERAGE(Tabel1[[#This Row],[Do - A3a]:[Do - A3a]]),"")</f>
        <v>4</v>
      </c>
      <c r="FS372" s="14" t="s">
        <v>189</v>
      </c>
      <c r="FT372" s="14">
        <f>IFERROR(AVERAGE(Tabel1[[#This Row],[Do - A1]],Tabel1[[#This Row],[Do - A2]],Tabel1[[#This Row],[Do - A3]],Tabel1[[#This Row],[Do - A4]]),"")</f>
        <v>2.9444444444444446</v>
      </c>
      <c r="FU37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2.9631481481481479</v>
      </c>
      <c r="FV372" s="27" t="s">
        <v>1897</v>
      </c>
      <c r="FW372" t="b">
        <v>1</v>
      </c>
    </row>
    <row r="373" spans="1:179" x14ac:dyDescent="0.3">
      <c r="A373" s="13">
        <v>45601.785335648201</v>
      </c>
      <c r="B373" t="b">
        <v>0</v>
      </c>
      <c r="C373" s="14" t="s">
        <v>1898</v>
      </c>
      <c r="D373" s="14" t="s">
        <v>192</v>
      </c>
      <c r="E373" s="14" t="s">
        <v>193</v>
      </c>
      <c r="F373" s="14" t="s">
        <v>189</v>
      </c>
      <c r="G373" s="14" t="s">
        <v>1899</v>
      </c>
      <c r="H373" s="14" t="s">
        <v>194</v>
      </c>
      <c r="I373" s="14" t="s">
        <v>195</v>
      </c>
      <c r="J373" s="14" t="s">
        <v>196</v>
      </c>
      <c r="K373" s="28" t="s">
        <v>187</v>
      </c>
      <c r="L373" s="14" t="s">
        <v>249</v>
      </c>
      <c r="M373" s="14" t="s">
        <v>198</v>
      </c>
      <c r="N373" s="14" t="s">
        <v>199</v>
      </c>
      <c r="O373" s="14" t="s">
        <v>200</v>
      </c>
      <c r="P373" s="25" t="s">
        <v>235</v>
      </c>
      <c r="Q373" s="17" t="s">
        <v>235</v>
      </c>
      <c r="R373" s="25" t="s">
        <v>187</v>
      </c>
      <c r="S373" s="25" t="s">
        <v>187</v>
      </c>
      <c r="T373" s="14" t="s">
        <v>236</v>
      </c>
      <c r="U373" s="14" t="s">
        <v>285</v>
      </c>
      <c r="V373" s="14" t="s">
        <v>206</v>
      </c>
      <c r="W373" s="14" t="s">
        <v>207</v>
      </c>
      <c r="X373" s="14" t="s">
        <v>207</v>
      </c>
      <c r="Y373" s="14">
        <v>3</v>
      </c>
      <c r="Z373" s="14">
        <v>3</v>
      </c>
      <c r="AA373" s="14">
        <v>2</v>
      </c>
      <c r="AB373" s="15">
        <f>IFERROR(AVERAGE(Tabel1[[#This Row],[Up - R1a]:[Up - R1c]]),"")</f>
        <v>2.6666666666666665</v>
      </c>
      <c r="AC373" s="14">
        <v>2</v>
      </c>
      <c r="AD373" s="14">
        <v>4</v>
      </c>
      <c r="AE373" s="14">
        <v>3</v>
      </c>
      <c r="AF373" s="14">
        <v>4</v>
      </c>
      <c r="AG373" s="14">
        <f>IFERROR(AVERAGE(Tabel1[[#This Row],[Up - R1]:[Up - R5]]),"")</f>
        <v>3.1333333333333333</v>
      </c>
      <c r="AH373" s="14">
        <v>5</v>
      </c>
      <c r="AI373" s="14">
        <v>3</v>
      </c>
      <c r="AJ373" s="14">
        <v>3</v>
      </c>
      <c r="AK373" s="14">
        <f>IFERROR(AVERAGE(Tabel1[[#This Row],[Up - C1a]:[Up - C1c]]),"")</f>
        <v>3.6666666666666665</v>
      </c>
      <c r="AL373" s="14">
        <v>3</v>
      </c>
      <c r="AM373" s="14">
        <v>3</v>
      </c>
      <c r="AN373" s="14">
        <v>4</v>
      </c>
      <c r="AO373" s="14">
        <f>IFERROR(AVERAGE(Tabel1[[#This Row],[Up - C1]:[Up - C4]]),"")</f>
        <v>3.4166666666666665</v>
      </c>
      <c r="AP373" s="14">
        <v>2</v>
      </c>
      <c r="AQ373" s="14">
        <f>IFERROR(AVERAGE(Tabel1[[#This Row],[Up - F1a]:[Up - F1a]]),"")</f>
        <v>2</v>
      </c>
      <c r="AR373" s="14">
        <v>3</v>
      </c>
      <c r="AS373" s="14">
        <v>2</v>
      </c>
      <c r="AT373" s="14">
        <f>IFERROR(AVERAGE(Tabel1[[#This Row],[Up - F2a]:[Up - F2b]]),"")</f>
        <v>2.5</v>
      </c>
      <c r="AU373" s="14">
        <v>4</v>
      </c>
      <c r="AV373" s="14" t="s">
        <v>189</v>
      </c>
      <c r="AW373" s="14">
        <f>IFERROR(AVERAGE(Tabel1[[#This Row],[Up - F3a]:[Up - F3b]]),"")</f>
        <v>4</v>
      </c>
      <c r="AX373" s="14">
        <v>3</v>
      </c>
      <c r="AY373" s="14">
        <f>IFERROR(AVERAGE(Tabel1[[#This Row],[Up - F1]],Tabel1[[#This Row],[Up - F2]],Tabel1[[#This Row],[Up - F3]],Tabel1[[#This Row],[Up - F4]]),"")</f>
        <v>2.875</v>
      </c>
      <c r="AZ373" s="14">
        <v>4</v>
      </c>
      <c r="BA373" s="14">
        <v>4</v>
      </c>
      <c r="BB373" s="14">
        <f>IFERROR(AVERAGE(Tabel1[[#This Row],[Up - V1a]:[Up - V1b]]),"")</f>
        <v>4</v>
      </c>
      <c r="BC373" s="14">
        <v>4</v>
      </c>
      <c r="BD373" s="14">
        <v>4</v>
      </c>
      <c r="BE373" s="14">
        <v>3</v>
      </c>
      <c r="BF373" s="14">
        <f>IFERROR(AVERAGE(Tabel1[[#This Row],[Up - V2a]:[Up - V2c]]),"")</f>
        <v>3.6666666666666665</v>
      </c>
      <c r="BG373" s="14">
        <v>4</v>
      </c>
      <c r="BH373" s="14">
        <v>4</v>
      </c>
      <c r="BI373" s="14">
        <f>IFERROR(AVERAGE(Tabel1[[#This Row],[Up - V3a]:[Up - V3b]]),"")</f>
        <v>4</v>
      </c>
      <c r="BJ373" s="14">
        <v>4</v>
      </c>
      <c r="BK373" s="14">
        <f>IFERROR(AVERAGE(Tabel1[[#This Row],[Up - V1]],Tabel1[[#This Row],[Up - V2]],Tabel1[[#This Row],[Up - V3]],Tabel1[[#This Row],[Up - V4]]),"")</f>
        <v>3.9166666666666665</v>
      </c>
      <c r="BL373" s="14">
        <v>4</v>
      </c>
      <c r="BM373" s="14">
        <v>3</v>
      </c>
      <c r="BN373" s="14">
        <v>2</v>
      </c>
      <c r="BO373" s="14">
        <v>2</v>
      </c>
      <c r="BP373" s="14">
        <f>IFERROR(AVERAGE(Tabel1[[#This Row],[Up - A1a]:[Up - A1d]]),"")</f>
        <v>2.75</v>
      </c>
      <c r="BQ373" s="14">
        <v>2</v>
      </c>
      <c r="BR373" s="14">
        <v>4</v>
      </c>
      <c r="BS373" s="14">
        <f>IFERROR(AVERAGE(Tabel1[[#This Row],[Up - A2a]:[Up - A2b]]),"")</f>
        <v>3</v>
      </c>
      <c r="BT373" s="14">
        <v>3</v>
      </c>
      <c r="BU373" s="14">
        <f>IFERROR(AVERAGE(Tabel1[[#This Row],[Up - A3a]:[Up - A3a]]),"")</f>
        <v>3</v>
      </c>
      <c r="BV373" s="14">
        <v>3</v>
      </c>
      <c r="BW373" s="14">
        <f>IFERROR(AVERAGE(Tabel1[[#This Row],[Up - A1]],Tabel1[[#This Row],[Up - A2]],Tabel1[[#This Row],[Up - A3]]),"")</f>
        <v>2.9166666666666665</v>
      </c>
      <c r="BX373" s="14">
        <v>4</v>
      </c>
      <c r="BY373" s="14">
        <v>3</v>
      </c>
      <c r="BZ373" s="14">
        <f>IFERROR(AVERAGE(Tabel1[[#This Row],[In - R1a]:[In - R1b]]),"")</f>
        <v>3.5</v>
      </c>
      <c r="CA373" s="14">
        <v>3</v>
      </c>
      <c r="CB373" s="14">
        <v>4</v>
      </c>
      <c r="CC373" s="14">
        <v>4</v>
      </c>
      <c r="CD373" s="14">
        <v>5</v>
      </c>
      <c r="CE373" s="14">
        <f>IFERROR(AVERAGE(Tabel1[[#This Row],[In - R1]:[In - R5]]),"")</f>
        <v>3.9</v>
      </c>
      <c r="CF373" s="14">
        <v>5</v>
      </c>
      <c r="CG373" s="14">
        <v>4</v>
      </c>
      <c r="CH373" s="14">
        <v>4</v>
      </c>
      <c r="CI373" s="14">
        <f>IFERROR(AVERAGE(Tabel1[[#This Row],[In - C1a]:[In - C1c]]),"")</f>
        <v>4.333333333333333</v>
      </c>
      <c r="CJ373" s="14">
        <v>4</v>
      </c>
      <c r="CK373" s="14">
        <v>4</v>
      </c>
      <c r="CL373" s="14">
        <v>4</v>
      </c>
      <c r="CM373" s="14">
        <f>IFERROR(AVERAGE(Tabel1[[#This Row],[In - C1]:[In - C4]]),"")</f>
        <v>4.083333333333333</v>
      </c>
      <c r="CN373" s="14">
        <v>4</v>
      </c>
      <c r="CO373" s="14" t="s">
        <v>189</v>
      </c>
      <c r="CP373" s="14">
        <v>3</v>
      </c>
      <c r="CQ373" s="14">
        <f>IFERROR(AVERAGE(Tabel1[[#This Row],[In - F1a]:[In - F1c]]),"")</f>
        <v>3.5</v>
      </c>
      <c r="CR373" s="14">
        <v>4</v>
      </c>
      <c r="CS373" s="14">
        <v>2</v>
      </c>
      <c r="CT373" s="14">
        <f>IFERROR(AVERAGE(Tabel1[[#This Row],[In - F2a]:[In - F2b]]),"")</f>
        <v>3</v>
      </c>
      <c r="CU373" s="14">
        <v>4</v>
      </c>
      <c r="CV373" s="14">
        <f>IFERROR(AVERAGE(Tabel1[[#This Row],[In - F3a]:[In - F3a]]),"")</f>
        <v>4</v>
      </c>
      <c r="CW373" s="14">
        <v>5</v>
      </c>
      <c r="CX373" s="14">
        <f>IFERROR(AVERAGE(Tabel1[[#This Row],[In - F1]],Tabel1[[#This Row],[In - F2]],Tabel1[[#This Row],[In - F3]],Tabel1[[#This Row],[In - F4]]),"")</f>
        <v>3.875</v>
      </c>
      <c r="CY373" s="14">
        <v>4</v>
      </c>
      <c r="CZ373" s="14">
        <v>4</v>
      </c>
      <c r="DA373" s="14">
        <v>3</v>
      </c>
      <c r="DB373" s="14">
        <f>IFERROR(AVERAGE(Tabel1[[#This Row],[In - V1a]:[In - V1c]]),"")</f>
        <v>3.6666666666666665</v>
      </c>
      <c r="DC373" s="14">
        <v>3</v>
      </c>
      <c r="DD373" s="14">
        <v>4</v>
      </c>
      <c r="DE373" s="14">
        <v>3</v>
      </c>
      <c r="DF373" s="14">
        <f>IFERROR(AVERAGE(Tabel1[[#This Row],[In - V2a]:[In - V2c]]),"")</f>
        <v>3.3333333333333335</v>
      </c>
      <c r="DG373" s="14">
        <v>4</v>
      </c>
      <c r="DH373" s="14">
        <v>3</v>
      </c>
      <c r="DI373" s="14">
        <f>IFERROR(AVERAGE(Tabel1[[#This Row],[In - V3a]:[In - V3b]]),"")</f>
        <v>3.5</v>
      </c>
      <c r="DJ373" s="14">
        <v>4</v>
      </c>
      <c r="DK373" s="14">
        <f>IFERROR(AVERAGE(Tabel1[[#This Row],[In - V1]],Tabel1[[#This Row],[In - V2]],Tabel1[[#This Row],[In - V3]],Tabel1[[#This Row],[In - V4]]),"")</f>
        <v>3.625</v>
      </c>
      <c r="DL373" s="14">
        <v>3</v>
      </c>
      <c r="DM373" s="14">
        <v>3</v>
      </c>
      <c r="DN373" s="14">
        <f>IFERROR(AVERAGE(Tabel1[[#This Row],[In - A1a]:[In - A1b]]),"")</f>
        <v>3</v>
      </c>
      <c r="DO373" s="14">
        <v>3</v>
      </c>
      <c r="DP373" s="14">
        <v>3</v>
      </c>
      <c r="DQ373" s="14">
        <f>IFERROR(AVERAGE(Tabel1[[#This Row],[In - A2a]:[In - A2b]]),"")</f>
        <v>3</v>
      </c>
      <c r="DR373" s="14">
        <v>3</v>
      </c>
      <c r="DS373" s="14">
        <v>2</v>
      </c>
      <c r="DT373" s="14">
        <f>IFERROR(AVERAGE(Tabel1[[#This Row],[In - A3a]:[In - A3a]]),"")</f>
        <v>3</v>
      </c>
      <c r="DU373" s="14">
        <v>3</v>
      </c>
      <c r="DV373" s="14">
        <f>IFERROR(AVERAGE(Tabel1[[#This Row],[In - A1]],Tabel1[[#This Row],[In - A2]],Tabel1[[#This Row],[In - A3]],Tabel1[[#This Row],[In - A4]]),"")</f>
        <v>3</v>
      </c>
      <c r="DW373" s="14">
        <v>2</v>
      </c>
      <c r="DX373" s="14">
        <v>5</v>
      </c>
      <c r="DY373" s="14">
        <v>2</v>
      </c>
      <c r="DZ373" s="14">
        <f>IFERROR(AVERAGE(Tabel1[[#This Row],[Do - R1a]:[Do - R1c]]),"")</f>
        <v>3</v>
      </c>
      <c r="EA373" s="14">
        <v>3</v>
      </c>
      <c r="EB373" s="14">
        <v>4</v>
      </c>
      <c r="EC373" s="14" t="s">
        <v>189</v>
      </c>
      <c r="ED373" s="14">
        <v>4</v>
      </c>
      <c r="EE373" s="14">
        <f>IFERROR(AVERAGE(Tabel1[[#This Row],[Do - R1]:[Do - R5]]),"")</f>
        <v>3.5</v>
      </c>
      <c r="EF373" s="14">
        <v>4</v>
      </c>
      <c r="EG373" s="14">
        <v>5</v>
      </c>
      <c r="EH373" s="14">
        <v>4</v>
      </c>
      <c r="EI373" s="14">
        <f>IFERROR(AVERAGE(Tabel1[[#This Row],[Do - C1a]:[Do - C1c]]),"")</f>
        <v>4.333333333333333</v>
      </c>
      <c r="EJ373" s="14">
        <v>4</v>
      </c>
      <c r="EK373" s="14">
        <v>3</v>
      </c>
      <c r="EL373" s="14">
        <v>4</v>
      </c>
      <c r="EM373" s="14">
        <f>IFERROR(AVERAGE(Tabel1[[#This Row],[Do - C1]:[Do - C4]]),"")</f>
        <v>3.833333333333333</v>
      </c>
      <c r="EN373" s="14">
        <v>2</v>
      </c>
      <c r="EO373" s="14">
        <v>2</v>
      </c>
      <c r="EP373" s="14">
        <v>5</v>
      </c>
      <c r="EQ373" s="14">
        <f>IFERROR(AVERAGE(Tabel1[[#This Row],[Do - F1a]:[Do - F1c]]),"")</f>
        <v>3</v>
      </c>
      <c r="ER373" s="14">
        <v>1</v>
      </c>
      <c r="ES373" s="14">
        <f>IFERROR(AVERAGE(Tabel1[[#This Row],[Do - F2a]:[Do - F2a]]),"")</f>
        <v>1</v>
      </c>
      <c r="ET373" s="14">
        <v>4</v>
      </c>
      <c r="EU373" s="14">
        <v>2</v>
      </c>
      <c r="EV373" s="14">
        <f>IFERROR(AVERAGE(Tabel1[[#This Row],[Do - F3a]:[Do - F3b]]),"")</f>
        <v>3</v>
      </c>
      <c r="EW373" s="14">
        <v>4</v>
      </c>
      <c r="EX373" s="14">
        <f>IFERROR(AVERAGE(Tabel1[[#This Row],[Do - F1]],Tabel1[[#This Row],[Do - F2]],Tabel1[[#This Row],[Do - F3]],Tabel1[[#This Row],[Do - F4]]),"")</f>
        <v>2.75</v>
      </c>
      <c r="EY373" s="14">
        <v>3</v>
      </c>
      <c r="EZ373" s="14">
        <v>4</v>
      </c>
      <c r="FA373" s="14">
        <v>3</v>
      </c>
      <c r="FB373" s="14">
        <f>IFERROR(AVERAGE(Tabel1[[#This Row],[Do - V1a]:[Do - V1c]]),"")</f>
        <v>3.3333333333333335</v>
      </c>
      <c r="FC373" s="14">
        <v>3</v>
      </c>
      <c r="FD373" s="14">
        <v>4</v>
      </c>
      <c r="FE373" s="14">
        <f>IFERROR(AVERAGE(Tabel1[[#This Row],[Do - V2a]:[Do - V2b]]),"")</f>
        <v>3.5</v>
      </c>
      <c r="FF373" s="14" t="s">
        <v>189</v>
      </c>
      <c r="FG373" s="14" t="str">
        <f>IFERROR(AVERAGE(Tabel1[[#This Row],[Do - V3a]:[Do - V3a]]),"")</f>
        <v/>
      </c>
      <c r="FH373" s="14">
        <v>4</v>
      </c>
      <c r="FI373" s="14">
        <f>IFERROR(AVERAGE(Tabel1[[#This Row],[Do - V1]],Tabel1[[#This Row],[Do - V2]],Tabel1[[#This Row],[Do - V3]],Tabel1[[#This Row],[Do - V4]]),"")</f>
        <v>3.6111111111111112</v>
      </c>
      <c r="FJ373" s="14">
        <v>4</v>
      </c>
      <c r="FK373" s="14">
        <v>2</v>
      </c>
      <c r="FL373" s="14">
        <v>3</v>
      </c>
      <c r="FM373" s="14">
        <f>IFERROR(AVERAGE(Tabel1[[#This Row],[Do - A1a]:[Do - A1c]]),"")</f>
        <v>3</v>
      </c>
      <c r="FN373" s="14">
        <v>4</v>
      </c>
      <c r="FO373" s="14">
        <v>4</v>
      </c>
      <c r="FP373" s="14">
        <f>IFERROR(AVERAGE(Tabel1[[#This Row],[Do - A2a]:[Do - A2b]]),"")</f>
        <v>4</v>
      </c>
      <c r="FQ373" s="14">
        <v>3</v>
      </c>
      <c r="FR373" s="14">
        <f>IFERROR(AVERAGE(Tabel1[[#This Row],[Do - A3a]:[Do - A3a]]),"")</f>
        <v>3</v>
      </c>
      <c r="FS373" s="14">
        <v>3</v>
      </c>
      <c r="FT373" s="14">
        <f>IFERROR(AVERAGE(Tabel1[[#This Row],[Do - A1]],Tabel1[[#This Row],[Do - A2]],Tabel1[[#This Row],[Do - A3]],Tabel1[[#This Row],[Do - A4]]),"")</f>
        <v>3.25</v>
      </c>
      <c r="FU37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3.4457407407407405</v>
      </c>
      <c r="FV373" s="27" t="s">
        <v>1900</v>
      </c>
      <c r="FW373" t="b">
        <v>1</v>
      </c>
    </row>
    <row r="374" spans="1:179" x14ac:dyDescent="0.3">
      <c r="A374" s="13">
        <v>45601.857245370396</v>
      </c>
      <c r="B374" t="b">
        <v>0</v>
      </c>
      <c r="C374" s="14" t="s">
        <v>1901</v>
      </c>
      <c r="D374" s="14" t="s">
        <v>864</v>
      </c>
      <c r="E374" s="29" t="s">
        <v>193</v>
      </c>
      <c r="F374" s="14" t="s">
        <v>189</v>
      </c>
      <c r="G374" s="14" t="s">
        <v>1902</v>
      </c>
      <c r="H374" s="14" t="s">
        <v>194</v>
      </c>
      <c r="I374" s="14" t="s">
        <v>195</v>
      </c>
      <c r="J374" s="14" t="s">
        <v>196</v>
      </c>
      <c r="K374" s="28" t="s">
        <v>235</v>
      </c>
      <c r="L374" s="14" t="s">
        <v>249</v>
      </c>
      <c r="M374" s="14" t="s">
        <v>233</v>
      </c>
      <c r="N374" s="14" t="s">
        <v>199</v>
      </c>
      <c r="O374" s="14" t="s">
        <v>200</v>
      </c>
      <c r="P374" s="25" t="s">
        <v>203</v>
      </c>
      <c r="Q374" s="17" t="s">
        <v>202</v>
      </c>
      <c r="R374" s="25" t="s">
        <v>187</v>
      </c>
      <c r="S374" s="25" t="s">
        <v>202</v>
      </c>
      <c r="T374" s="14" t="s">
        <v>204</v>
      </c>
      <c r="U374" s="14" t="s">
        <v>205</v>
      </c>
      <c r="V374" s="14" t="s">
        <v>206</v>
      </c>
      <c r="W374" s="14" t="s">
        <v>207</v>
      </c>
      <c r="X374" s="14" t="s">
        <v>207</v>
      </c>
      <c r="Y374" s="14">
        <v>4</v>
      </c>
      <c r="Z374" s="14">
        <v>5</v>
      </c>
      <c r="AA374" s="14">
        <v>3</v>
      </c>
      <c r="AB374" s="15">
        <f>IFERROR(AVERAGE(Tabel1[[#This Row],[Up - R1a]:[Up - R1c]]),"")</f>
        <v>4</v>
      </c>
      <c r="AC374" s="14">
        <v>4</v>
      </c>
      <c r="AD374" s="14">
        <v>5</v>
      </c>
      <c r="AE374" s="14">
        <v>4</v>
      </c>
      <c r="AF374" s="14">
        <v>4</v>
      </c>
      <c r="AG374" s="14">
        <f>IFERROR(AVERAGE(Tabel1[[#This Row],[Up - R1]:[Up - R5]]),"")</f>
        <v>4.2</v>
      </c>
      <c r="AH374" s="14">
        <v>4</v>
      </c>
      <c r="AI374" s="14">
        <v>5</v>
      </c>
      <c r="AJ374" s="14">
        <v>4</v>
      </c>
      <c r="AK374" s="14">
        <f>IFERROR(AVERAGE(Tabel1[[#This Row],[Up - C1a]:[Up - C1c]]),"")</f>
        <v>4.333333333333333</v>
      </c>
      <c r="AL374" s="14">
        <v>4</v>
      </c>
      <c r="AM374" s="14">
        <v>5</v>
      </c>
      <c r="AN374" s="14" t="s">
        <v>189</v>
      </c>
      <c r="AO374" s="14">
        <f>IFERROR(AVERAGE(Tabel1[[#This Row],[Up - C1]:[Up - C4]]),"")</f>
        <v>4.4444444444444438</v>
      </c>
      <c r="AP374" s="14">
        <v>1</v>
      </c>
      <c r="AQ374" s="14">
        <f>IFERROR(AVERAGE(Tabel1[[#This Row],[Up - F1a]:[Up - F1a]]),"")</f>
        <v>1</v>
      </c>
      <c r="AR374" s="14">
        <v>1</v>
      </c>
      <c r="AS374" s="14">
        <v>1</v>
      </c>
      <c r="AT374" s="14">
        <f>IFERROR(AVERAGE(Tabel1[[#This Row],[Up - F2a]:[Up - F2b]]),"")</f>
        <v>1</v>
      </c>
      <c r="AU374" s="14">
        <v>5</v>
      </c>
      <c r="AV374" s="14">
        <v>1</v>
      </c>
      <c r="AW374" s="14">
        <f>IFERROR(AVERAGE(Tabel1[[#This Row],[Up - F3a]:[Up - F3b]]),"")</f>
        <v>3</v>
      </c>
      <c r="AX374" s="14">
        <v>1</v>
      </c>
      <c r="AY374" s="14">
        <f>IFERROR(AVERAGE(Tabel1[[#This Row],[Up - F1]],Tabel1[[#This Row],[Up - F2]],Tabel1[[#This Row],[Up - F3]],Tabel1[[#This Row],[Up - F4]]),"")</f>
        <v>1.5</v>
      </c>
      <c r="AZ374" s="14">
        <v>4</v>
      </c>
      <c r="BA374" s="14">
        <v>4</v>
      </c>
      <c r="BB374" s="14">
        <f>IFERROR(AVERAGE(Tabel1[[#This Row],[Up - V1a]:[Up - V1b]]),"")</f>
        <v>4</v>
      </c>
      <c r="BC374" s="14">
        <v>5</v>
      </c>
      <c r="BD374" s="14">
        <v>4</v>
      </c>
      <c r="BE374" s="14">
        <v>4</v>
      </c>
      <c r="BF374" s="14">
        <f>IFERROR(AVERAGE(Tabel1[[#This Row],[Up - V2a]:[Up - V2c]]),"")</f>
        <v>4.333333333333333</v>
      </c>
      <c r="BG374" s="14" t="s">
        <v>189</v>
      </c>
      <c r="BH374" s="14">
        <v>4</v>
      </c>
      <c r="BI374" s="14">
        <f>IFERROR(AVERAGE(Tabel1[[#This Row],[Up - V3a]:[Up - V3b]]),"")</f>
        <v>4</v>
      </c>
      <c r="BJ374" s="14">
        <v>4</v>
      </c>
      <c r="BK374" s="14">
        <f>IFERROR(AVERAGE(Tabel1[[#This Row],[Up - V1]],Tabel1[[#This Row],[Up - V2]],Tabel1[[#This Row],[Up - V3]],Tabel1[[#This Row],[Up - V4]]),"")</f>
        <v>4.083333333333333</v>
      </c>
      <c r="BL374" s="14">
        <v>3</v>
      </c>
      <c r="BM374" s="14">
        <v>4</v>
      </c>
      <c r="BN374" s="14">
        <v>4</v>
      </c>
      <c r="BO374" s="14">
        <v>2</v>
      </c>
      <c r="BP374" s="14">
        <f>IFERROR(AVERAGE(Tabel1[[#This Row],[Up - A1a]:[Up - A1d]]),"")</f>
        <v>3.25</v>
      </c>
      <c r="BQ374" s="14">
        <v>4</v>
      </c>
      <c r="BR374" s="14">
        <v>5</v>
      </c>
      <c r="BS374" s="14">
        <f>IFERROR(AVERAGE(Tabel1[[#This Row],[Up - A2a]:[Up - A2b]]),"")</f>
        <v>4.5</v>
      </c>
      <c r="BT374" s="14">
        <v>4</v>
      </c>
      <c r="BU374" s="14">
        <f>IFERROR(AVERAGE(Tabel1[[#This Row],[Up - A3a]:[Up - A3a]]),"")</f>
        <v>4</v>
      </c>
      <c r="BV374" s="14">
        <v>3</v>
      </c>
      <c r="BW374" s="14">
        <f>IFERROR(AVERAGE(Tabel1[[#This Row],[Up - A1]],Tabel1[[#This Row],[Up - A2]],Tabel1[[#This Row],[Up - A3]]),"")</f>
        <v>3.9166666666666665</v>
      </c>
      <c r="BX374" s="14">
        <v>4</v>
      </c>
      <c r="BY374" s="14">
        <v>5</v>
      </c>
      <c r="BZ374" s="14">
        <f>IFERROR(AVERAGE(Tabel1[[#This Row],[In - R1a]:[In - R1b]]),"")</f>
        <v>4.5</v>
      </c>
      <c r="CA374" s="14">
        <v>4</v>
      </c>
      <c r="CB374" s="14">
        <v>5</v>
      </c>
      <c r="CC374" s="14">
        <v>3</v>
      </c>
      <c r="CD374" s="14">
        <v>5</v>
      </c>
      <c r="CE374" s="14">
        <f>IFERROR(AVERAGE(Tabel1[[#This Row],[In - R1]:[In - R5]]),"")</f>
        <v>4.3</v>
      </c>
      <c r="CF374" s="14">
        <v>5</v>
      </c>
      <c r="CG374" s="14">
        <v>4</v>
      </c>
      <c r="CH374" s="14">
        <v>5</v>
      </c>
      <c r="CI374" s="14">
        <f>IFERROR(AVERAGE(Tabel1[[#This Row],[In - C1a]:[In - C1c]]),"")</f>
        <v>4.666666666666667</v>
      </c>
      <c r="CJ374" s="14">
        <v>3</v>
      </c>
      <c r="CK374" s="14">
        <v>4</v>
      </c>
      <c r="CL374" s="14">
        <v>3</v>
      </c>
      <c r="CM374" s="14">
        <f>IFERROR(AVERAGE(Tabel1[[#This Row],[In - C1]:[In - C4]]),"")</f>
        <v>3.666666666666667</v>
      </c>
      <c r="CN374" s="14">
        <v>5</v>
      </c>
      <c r="CO374" s="14">
        <v>2</v>
      </c>
      <c r="CP374" s="14">
        <v>2</v>
      </c>
      <c r="CQ374" s="14">
        <f>IFERROR(AVERAGE(Tabel1[[#This Row],[In - F1a]:[In - F1c]]),"")</f>
        <v>3</v>
      </c>
      <c r="CR374" s="14">
        <v>3</v>
      </c>
      <c r="CS374" s="14">
        <v>1</v>
      </c>
      <c r="CT374" s="14">
        <f>IFERROR(AVERAGE(Tabel1[[#This Row],[In - F2a]:[In - F2b]]),"")</f>
        <v>2</v>
      </c>
      <c r="CU374" s="14">
        <v>2</v>
      </c>
      <c r="CV374" s="14">
        <f>IFERROR(AVERAGE(Tabel1[[#This Row],[In - F3a]:[In - F3a]]),"")</f>
        <v>2</v>
      </c>
      <c r="CW374" s="14" t="s">
        <v>189</v>
      </c>
      <c r="CX374" s="14">
        <f>IFERROR(AVERAGE(Tabel1[[#This Row],[In - F1]],Tabel1[[#This Row],[In - F2]],Tabel1[[#This Row],[In - F3]],Tabel1[[#This Row],[In - F4]]),"")</f>
        <v>2.3333333333333335</v>
      </c>
      <c r="CY374" s="14">
        <v>5</v>
      </c>
      <c r="CZ374" s="14">
        <v>4</v>
      </c>
      <c r="DA374" s="14">
        <v>4</v>
      </c>
      <c r="DB374" s="14">
        <f>IFERROR(AVERAGE(Tabel1[[#This Row],[In - V1a]:[In - V1c]]),"")</f>
        <v>4.333333333333333</v>
      </c>
      <c r="DC374" s="14">
        <v>5</v>
      </c>
      <c r="DD374" s="14">
        <v>3</v>
      </c>
      <c r="DE374" s="14">
        <v>3</v>
      </c>
      <c r="DF374" s="14">
        <f>IFERROR(AVERAGE(Tabel1[[#This Row],[In - V2a]:[In - V2c]]),"")</f>
        <v>3.6666666666666665</v>
      </c>
      <c r="DG374" s="14">
        <v>4</v>
      </c>
      <c r="DH374" s="14">
        <v>4</v>
      </c>
      <c r="DI374" s="14">
        <f>IFERROR(AVERAGE(Tabel1[[#This Row],[In - V3a]:[In - V3b]]),"")</f>
        <v>4</v>
      </c>
      <c r="DJ374" s="14" t="s">
        <v>189</v>
      </c>
      <c r="DK374" s="14">
        <f>IFERROR(AVERAGE(Tabel1[[#This Row],[In - V1]],Tabel1[[#This Row],[In - V2]],Tabel1[[#This Row],[In - V3]],Tabel1[[#This Row],[In - V4]]),"")</f>
        <v>4</v>
      </c>
      <c r="DL374" s="14">
        <v>3</v>
      </c>
      <c r="DM374" s="14">
        <v>4</v>
      </c>
      <c r="DN374" s="14">
        <f>IFERROR(AVERAGE(Tabel1[[#This Row],[In - A1a]:[In - A1b]]),"")</f>
        <v>3.5</v>
      </c>
      <c r="DO374" s="14">
        <v>3</v>
      </c>
      <c r="DP374" s="14">
        <v>4</v>
      </c>
      <c r="DQ374" s="14">
        <f>IFERROR(AVERAGE(Tabel1[[#This Row],[In - A2a]:[In - A2b]]),"")</f>
        <v>3.5</v>
      </c>
      <c r="DR374" s="14">
        <v>5</v>
      </c>
      <c r="DS374" s="14">
        <v>1</v>
      </c>
      <c r="DT374" s="14">
        <f>IFERROR(AVERAGE(Tabel1[[#This Row],[In - A3a]:[In - A3a]]),"")</f>
        <v>5</v>
      </c>
      <c r="DU374" s="14" t="s">
        <v>189</v>
      </c>
      <c r="DV374" s="14">
        <f>IFERROR(AVERAGE(Tabel1[[#This Row],[In - A1]],Tabel1[[#This Row],[In - A2]],Tabel1[[#This Row],[In - A3]],Tabel1[[#This Row],[In - A4]]),"")</f>
        <v>4</v>
      </c>
      <c r="DW374" s="14">
        <v>4</v>
      </c>
      <c r="DX374" s="14">
        <v>5</v>
      </c>
      <c r="DY374" s="14">
        <v>4</v>
      </c>
      <c r="DZ374" s="14">
        <f>IFERROR(AVERAGE(Tabel1[[#This Row],[Do - R1a]:[Do - R1c]]),"")</f>
        <v>4.333333333333333</v>
      </c>
      <c r="EA374" s="14">
        <v>2</v>
      </c>
      <c r="EB374" s="14">
        <v>2</v>
      </c>
      <c r="EC374" s="14">
        <v>5</v>
      </c>
      <c r="ED374" s="14">
        <v>4</v>
      </c>
      <c r="EE374" s="14">
        <f>IFERROR(AVERAGE(Tabel1[[#This Row],[Do - R1]:[Do - R5]]),"")</f>
        <v>3.4666666666666663</v>
      </c>
      <c r="EF374" s="14">
        <v>4</v>
      </c>
      <c r="EG374" s="14">
        <v>5</v>
      </c>
      <c r="EH374" s="14">
        <v>4</v>
      </c>
      <c r="EI374" s="14">
        <f>IFERROR(AVERAGE(Tabel1[[#This Row],[Do - C1a]:[Do - C1c]]),"")</f>
        <v>4.333333333333333</v>
      </c>
      <c r="EJ374" s="14">
        <v>3</v>
      </c>
      <c r="EK374" s="14">
        <v>5</v>
      </c>
      <c r="EL374" s="14" t="s">
        <v>189</v>
      </c>
      <c r="EM374" s="14">
        <f>IFERROR(AVERAGE(Tabel1[[#This Row],[Do - C1]:[Do - C4]]),"")</f>
        <v>4.1111111111111107</v>
      </c>
      <c r="EN374" s="14">
        <v>1</v>
      </c>
      <c r="EO374" s="14">
        <v>1</v>
      </c>
      <c r="EP374" s="14">
        <v>5</v>
      </c>
      <c r="EQ374" s="14">
        <f>IFERROR(AVERAGE(Tabel1[[#This Row],[Do - F1a]:[Do - F1c]]),"")</f>
        <v>2.3333333333333335</v>
      </c>
      <c r="ER374" s="14">
        <v>4</v>
      </c>
      <c r="ES374" s="14">
        <f>IFERROR(AVERAGE(Tabel1[[#This Row],[Do - F2a]:[Do - F2a]]),"")</f>
        <v>4</v>
      </c>
      <c r="ET374" s="14">
        <v>2</v>
      </c>
      <c r="EU374" s="14">
        <v>3</v>
      </c>
      <c r="EV374" s="14">
        <f>IFERROR(AVERAGE(Tabel1[[#This Row],[Do - F3a]:[Do - F3b]]),"")</f>
        <v>2.5</v>
      </c>
      <c r="EW374" s="14">
        <v>1</v>
      </c>
      <c r="EX374" s="14">
        <f>IFERROR(AVERAGE(Tabel1[[#This Row],[Do - F1]],Tabel1[[#This Row],[Do - F2]],Tabel1[[#This Row],[Do - F3]],Tabel1[[#This Row],[Do - F4]]),"")</f>
        <v>2.4583333333333335</v>
      </c>
      <c r="EY374" s="14">
        <v>3</v>
      </c>
      <c r="EZ374" s="14">
        <v>3</v>
      </c>
      <c r="FA374" s="14">
        <v>5</v>
      </c>
      <c r="FB374" s="14">
        <f>IFERROR(AVERAGE(Tabel1[[#This Row],[Do - V1a]:[Do - V1c]]),"")</f>
        <v>3.6666666666666665</v>
      </c>
      <c r="FC374" s="14">
        <v>5</v>
      </c>
      <c r="FD374" s="14">
        <v>5</v>
      </c>
      <c r="FE374" s="14">
        <f>IFERROR(AVERAGE(Tabel1[[#This Row],[Do - V2a]:[Do - V2b]]),"")</f>
        <v>5</v>
      </c>
      <c r="FF374" s="14">
        <v>4</v>
      </c>
      <c r="FG374" s="14">
        <f>IFERROR(AVERAGE(Tabel1[[#This Row],[Do - V3a]:[Do - V3a]]),"")</f>
        <v>4</v>
      </c>
      <c r="FH374" s="14" t="s">
        <v>189</v>
      </c>
      <c r="FI374" s="14">
        <f>IFERROR(AVERAGE(Tabel1[[#This Row],[Do - V1]],Tabel1[[#This Row],[Do - V2]],Tabel1[[#This Row],[Do - V3]],Tabel1[[#This Row],[Do - V4]]),"")</f>
        <v>4.2222222222222223</v>
      </c>
      <c r="FJ374" s="14">
        <v>4</v>
      </c>
      <c r="FK374" s="14">
        <v>2</v>
      </c>
      <c r="FL374" s="14">
        <v>2</v>
      </c>
      <c r="FM374" s="14">
        <f>IFERROR(AVERAGE(Tabel1[[#This Row],[Do - A1a]:[Do - A1c]]),"")</f>
        <v>2.6666666666666665</v>
      </c>
      <c r="FN374" s="14">
        <v>5</v>
      </c>
      <c r="FO374" s="14">
        <v>1</v>
      </c>
      <c r="FP374" s="14">
        <f>IFERROR(AVERAGE(Tabel1[[#This Row],[Do - A2a]:[Do - A2b]]),"")</f>
        <v>3</v>
      </c>
      <c r="FQ374" s="14">
        <v>4</v>
      </c>
      <c r="FR374" s="14">
        <f>IFERROR(AVERAGE(Tabel1[[#This Row],[Do - A3a]:[Do - A3a]]),"")</f>
        <v>4</v>
      </c>
      <c r="FS374" s="14" t="s">
        <v>189</v>
      </c>
      <c r="FT374" s="14">
        <f>IFERROR(AVERAGE(Tabel1[[#This Row],[Do - A1]],Tabel1[[#This Row],[Do - A2]],Tabel1[[#This Row],[Do - A3]],Tabel1[[#This Row],[Do - A4]]),"")</f>
        <v>3.2222222222222219</v>
      </c>
      <c r="FU37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3.5950000000000002</v>
      </c>
      <c r="FV374" s="27" t="s">
        <v>1903</v>
      </c>
      <c r="FW374" t="b">
        <v>1</v>
      </c>
    </row>
    <row r="375" spans="1:179" x14ac:dyDescent="0.3">
      <c r="A375" s="13">
        <v>45602.539166666698</v>
      </c>
      <c r="B375" t="b">
        <v>0</v>
      </c>
      <c r="C375" s="14" t="s">
        <v>1904</v>
      </c>
      <c r="D375" s="14" t="s">
        <v>1905</v>
      </c>
      <c r="E375" s="14" t="s">
        <v>193</v>
      </c>
      <c r="F375" s="14" t="s">
        <v>189</v>
      </c>
      <c r="G375" s="14" t="s">
        <v>1906</v>
      </c>
      <c r="H375" s="14" t="s">
        <v>194</v>
      </c>
      <c r="I375" s="14" t="s">
        <v>195</v>
      </c>
      <c r="J375" s="14" t="s">
        <v>261</v>
      </c>
      <c r="K375" s="28" t="s">
        <v>201</v>
      </c>
      <c r="L375" s="14" t="s">
        <v>197</v>
      </c>
      <c r="M375" s="14" t="s">
        <v>233</v>
      </c>
      <c r="N375" s="14" t="s">
        <v>199</v>
      </c>
      <c r="O375" s="14" t="s">
        <v>200</v>
      </c>
      <c r="P375" s="24" t="s">
        <v>304</v>
      </c>
      <c r="Q375" s="17" t="s">
        <v>201</v>
      </c>
      <c r="R375" s="25" t="s">
        <v>202</v>
      </c>
      <c r="S375" s="25" t="s">
        <v>203</v>
      </c>
      <c r="T375" s="14" t="s">
        <v>204</v>
      </c>
      <c r="U375" s="14" t="s">
        <v>205</v>
      </c>
      <c r="V375" s="14" t="s">
        <v>224</v>
      </c>
      <c r="W375" s="14" t="s">
        <v>306</v>
      </c>
      <c r="X375" s="14" t="s">
        <v>306</v>
      </c>
      <c r="Y375" s="14">
        <v>4</v>
      </c>
      <c r="Z375" s="14">
        <v>4</v>
      </c>
      <c r="AA375" s="14">
        <v>4</v>
      </c>
      <c r="AB375" s="15">
        <f>IFERROR(AVERAGE(Tabel1[[#This Row],[Up - R1a]:[Up - R1c]]),"")</f>
        <v>4</v>
      </c>
      <c r="AC375" s="14">
        <v>3</v>
      </c>
      <c r="AD375" s="14">
        <v>3</v>
      </c>
      <c r="AE375" s="14">
        <v>3</v>
      </c>
      <c r="AF375" s="14">
        <v>3</v>
      </c>
      <c r="AG375" s="14">
        <f>IFERROR(AVERAGE(Tabel1[[#This Row],[Up - R1]:[Up - R5]]),"")</f>
        <v>3.2</v>
      </c>
      <c r="AH375" s="14">
        <v>4</v>
      </c>
      <c r="AI375" s="14">
        <v>4</v>
      </c>
      <c r="AJ375" s="14">
        <v>3</v>
      </c>
      <c r="AK375" s="14">
        <f>IFERROR(AVERAGE(Tabel1[[#This Row],[Up - C1a]:[Up - C1c]]),"")</f>
        <v>3.6666666666666665</v>
      </c>
      <c r="AL375" s="14">
        <v>3</v>
      </c>
      <c r="AM375" s="14">
        <v>2</v>
      </c>
      <c r="AN375" s="14">
        <v>2</v>
      </c>
      <c r="AO375" s="14">
        <f>IFERROR(AVERAGE(Tabel1[[#This Row],[Up - C1]:[Up - C4]]),"")</f>
        <v>2.6666666666666665</v>
      </c>
      <c r="AP375" s="14">
        <v>2</v>
      </c>
      <c r="AQ375" s="14">
        <f>IFERROR(AVERAGE(Tabel1[[#This Row],[Up - F1a]:[Up - F1a]]),"")</f>
        <v>2</v>
      </c>
      <c r="AR375" s="14">
        <v>3</v>
      </c>
      <c r="AS375" s="14">
        <v>2</v>
      </c>
      <c r="AT375" s="14">
        <f>IFERROR(AVERAGE(Tabel1[[#This Row],[Up - F2a]:[Up - F2b]]),"")</f>
        <v>2.5</v>
      </c>
      <c r="AU375" s="14">
        <v>3</v>
      </c>
      <c r="AV375" s="14">
        <v>3</v>
      </c>
      <c r="AW375" s="14">
        <f>IFERROR(AVERAGE(Tabel1[[#This Row],[Up - F3a]:[Up - F3b]]),"")</f>
        <v>3</v>
      </c>
      <c r="AX375" s="14">
        <v>3</v>
      </c>
      <c r="AY375" s="14">
        <f>IFERROR(AVERAGE(Tabel1[[#This Row],[Up - F1]],Tabel1[[#This Row],[Up - F2]],Tabel1[[#This Row],[Up - F3]],Tabel1[[#This Row],[Up - F4]]),"")</f>
        <v>2.625</v>
      </c>
      <c r="AZ375" s="14">
        <v>2</v>
      </c>
      <c r="BA375" s="14">
        <v>3</v>
      </c>
      <c r="BB375" s="14">
        <f>IFERROR(AVERAGE(Tabel1[[#This Row],[Up - V1a]:[Up - V1b]]),"")</f>
        <v>2.5</v>
      </c>
      <c r="BC375" s="14">
        <v>3</v>
      </c>
      <c r="BD375" s="14">
        <v>3</v>
      </c>
      <c r="BE375" s="14">
        <v>3</v>
      </c>
      <c r="BF375" s="14">
        <f>IFERROR(AVERAGE(Tabel1[[#This Row],[Up - V2a]:[Up - V2c]]),"")</f>
        <v>3</v>
      </c>
      <c r="BG375" s="14">
        <v>4</v>
      </c>
      <c r="BH375" s="14">
        <v>2</v>
      </c>
      <c r="BI375" s="14">
        <f>IFERROR(AVERAGE(Tabel1[[#This Row],[Up - V3a]:[Up - V3b]]),"")</f>
        <v>3</v>
      </c>
      <c r="BJ375" s="14">
        <v>1</v>
      </c>
      <c r="BK375" s="14">
        <f>IFERROR(AVERAGE(Tabel1[[#This Row],[Up - V1]],Tabel1[[#This Row],[Up - V2]],Tabel1[[#This Row],[Up - V3]],Tabel1[[#This Row],[Up - V4]]),"")</f>
        <v>2.375</v>
      </c>
      <c r="BL375" s="14">
        <v>3</v>
      </c>
      <c r="BM375" s="14">
        <v>4</v>
      </c>
      <c r="BN375" s="14">
        <v>1</v>
      </c>
      <c r="BO375" s="14">
        <v>2</v>
      </c>
      <c r="BP375" s="14">
        <f>IFERROR(AVERAGE(Tabel1[[#This Row],[Up - A1a]:[Up - A1d]]),"")</f>
        <v>2.5</v>
      </c>
      <c r="BQ375" s="14">
        <v>3</v>
      </c>
      <c r="BR375" s="14">
        <v>3</v>
      </c>
      <c r="BS375" s="14">
        <f>IFERROR(AVERAGE(Tabel1[[#This Row],[Up - A2a]:[Up - A2b]]),"")</f>
        <v>3</v>
      </c>
      <c r="BT375" s="14">
        <v>3</v>
      </c>
      <c r="BU375" s="14">
        <f>IFERROR(AVERAGE(Tabel1[[#This Row],[Up - A3a]:[Up - A3a]]),"")</f>
        <v>3</v>
      </c>
      <c r="BV375" s="14" t="s">
        <v>189</v>
      </c>
      <c r="BW375" s="14">
        <f>IFERROR(AVERAGE(Tabel1[[#This Row],[Up - A1]],Tabel1[[#This Row],[Up - A2]],Tabel1[[#This Row],[Up - A3]]),"")</f>
        <v>2.8333333333333335</v>
      </c>
      <c r="BX375" s="14">
        <v>4</v>
      </c>
      <c r="BY375" s="14">
        <v>4</v>
      </c>
      <c r="BZ375" s="14">
        <f>IFERROR(AVERAGE(Tabel1[[#This Row],[In - R1a]:[In - R1b]]),"")</f>
        <v>4</v>
      </c>
      <c r="CA375" s="14">
        <v>3</v>
      </c>
      <c r="CB375" s="14">
        <v>4</v>
      </c>
      <c r="CC375" s="14">
        <v>1</v>
      </c>
      <c r="CD375" s="14">
        <v>2</v>
      </c>
      <c r="CE375" s="14">
        <f>IFERROR(AVERAGE(Tabel1[[#This Row],[In - R1]:[In - R5]]),"")</f>
        <v>2.8</v>
      </c>
      <c r="CF375" s="14">
        <v>4</v>
      </c>
      <c r="CG375" s="14">
        <v>3</v>
      </c>
      <c r="CH375" s="14">
        <v>4</v>
      </c>
      <c r="CI375" s="14">
        <f>IFERROR(AVERAGE(Tabel1[[#This Row],[In - C1a]:[In - C1c]]),"")</f>
        <v>3.6666666666666665</v>
      </c>
      <c r="CJ375" s="14">
        <v>3</v>
      </c>
      <c r="CK375" s="14">
        <v>3</v>
      </c>
      <c r="CL375" s="14">
        <v>4</v>
      </c>
      <c r="CM375" s="14">
        <f>IFERROR(AVERAGE(Tabel1[[#This Row],[In - C1]:[In - C4]]),"")</f>
        <v>3.4166666666666665</v>
      </c>
      <c r="CN375" s="14">
        <v>3</v>
      </c>
      <c r="CO375" s="14">
        <v>2</v>
      </c>
      <c r="CP375" s="14">
        <v>2</v>
      </c>
      <c r="CQ375" s="14">
        <f>IFERROR(AVERAGE(Tabel1[[#This Row],[In - F1a]:[In - F1c]]),"")</f>
        <v>2.3333333333333335</v>
      </c>
      <c r="CR375" s="14">
        <v>3</v>
      </c>
      <c r="CS375" s="14">
        <v>3</v>
      </c>
      <c r="CT375" s="14">
        <f>IFERROR(AVERAGE(Tabel1[[#This Row],[In - F2a]:[In - F2b]]),"")</f>
        <v>3</v>
      </c>
      <c r="CU375" s="14">
        <v>2</v>
      </c>
      <c r="CV375" s="14">
        <f>IFERROR(AVERAGE(Tabel1[[#This Row],[In - F3a]:[In - F3a]]),"")</f>
        <v>2</v>
      </c>
      <c r="CW375" s="14">
        <v>2</v>
      </c>
      <c r="CX375" s="14">
        <f>IFERROR(AVERAGE(Tabel1[[#This Row],[In - F1]],Tabel1[[#This Row],[In - F2]],Tabel1[[#This Row],[In - F3]],Tabel1[[#This Row],[In - F4]]),"")</f>
        <v>2.3333333333333335</v>
      </c>
      <c r="CY375" s="14">
        <v>3</v>
      </c>
      <c r="CZ375" s="14">
        <v>3</v>
      </c>
      <c r="DA375" s="14">
        <v>3</v>
      </c>
      <c r="DB375" s="14">
        <f>IFERROR(AVERAGE(Tabel1[[#This Row],[In - V1a]:[In - V1c]]),"")</f>
        <v>3</v>
      </c>
      <c r="DC375" s="14">
        <v>4</v>
      </c>
      <c r="DD375" s="14">
        <v>3</v>
      </c>
      <c r="DE375" s="14">
        <v>2</v>
      </c>
      <c r="DF375" s="14">
        <f>IFERROR(AVERAGE(Tabel1[[#This Row],[In - V2a]:[In - V2c]]),"")</f>
        <v>3</v>
      </c>
      <c r="DG375" s="14">
        <v>3</v>
      </c>
      <c r="DH375" s="14">
        <v>4</v>
      </c>
      <c r="DI375" s="14">
        <f>IFERROR(AVERAGE(Tabel1[[#This Row],[In - V3a]:[In - V3b]]),"")</f>
        <v>3.5</v>
      </c>
      <c r="DJ375" s="14">
        <v>3</v>
      </c>
      <c r="DK375" s="14">
        <f>IFERROR(AVERAGE(Tabel1[[#This Row],[In - V1]],Tabel1[[#This Row],[In - V2]],Tabel1[[#This Row],[In - V3]],Tabel1[[#This Row],[In - V4]]),"")</f>
        <v>3.125</v>
      </c>
      <c r="DL375" s="14">
        <v>2</v>
      </c>
      <c r="DM375" s="14">
        <v>3</v>
      </c>
      <c r="DN375" s="14">
        <f>IFERROR(AVERAGE(Tabel1[[#This Row],[In - A1a]:[In - A1b]]),"")</f>
        <v>2.5</v>
      </c>
      <c r="DO375" s="14">
        <v>4</v>
      </c>
      <c r="DP375" s="14">
        <v>3</v>
      </c>
      <c r="DQ375" s="14">
        <f>IFERROR(AVERAGE(Tabel1[[#This Row],[In - A2a]:[In - A2b]]),"")</f>
        <v>3.5</v>
      </c>
      <c r="DR375" s="14">
        <v>3</v>
      </c>
      <c r="DS375" s="14">
        <v>3</v>
      </c>
      <c r="DT375" s="14">
        <f>IFERROR(AVERAGE(Tabel1[[#This Row],[In - A3a]:[In - A3a]]),"")</f>
        <v>3</v>
      </c>
      <c r="DU375" s="14" t="s">
        <v>189</v>
      </c>
      <c r="DV375" s="14">
        <f>IFERROR(AVERAGE(Tabel1[[#This Row],[In - A1]],Tabel1[[#This Row],[In - A2]],Tabel1[[#This Row],[In - A3]],Tabel1[[#This Row],[In - A4]]),"")</f>
        <v>3</v>
      </c>
      <c r="DW375" s="14">
        <v>3</v>
      </c>
      <c r="DX375" s="14">
        <v>4</v>
      </c>
      <c r="DY375" s="14" t="s">
        <v>189</v>
      </c>
      <c r="DZ375" s="14">
        <f>IFERROR(AVERAGE(Tabel1[[#This Row],[Do - R1a]:[Do - R1c]]),"")</f>
        <v>3.5</v>
      </c>
      <c r="EA375" s="14">
        <v>3</v>
      </c>
      <c r="EB375" s="14">
        <v>2</v>
      </c>
      <c r="EC375" s="14">
        <v>1</v>
      </c>
      <c r="ED375" s="14">
        <v>1</v>
      </c>
      <c r="EE375" s="14">
        <f>IFERROR(AVERAGE(Tabel1[[#This Row],[Do - R1]:[Do - R5]]),"")</f>
        <v>2.1</v>
      </c>
      <c r="EF375" s="14">
        <v>3</v>
      </c>
      <c r="EG375" s="14">
        <v>2</v>
      </c>
      <c r="EH375" s="14">
        <v>2</v>
      </c>
      <c r="EI375" s="14">
        <f>IFERROR(AVERAGE(Tabel1[[#This Row],[Do - C1a]:[Do - C1c]]),"")</f>
        <v>2.3333333333333335</v>
      </c>
      <c r="EJ375" s="14">
        <v>3</v>
      </c>
      <c r="EK375" s="14">
        <v>1</v>
      </c>
      <c r="EL375" s="14">
        <v>2</v>
      </c>
      <c r="EM375" s="14">
        <f>IFERROR(AVERAGE(Tabel1[[#This Row],[Do - C1]:[Do - C4]]),"")</f>
        <v>2.0833333333333335</v>
      </c>
      <c r="EN375" s="14">
        <v>2</v>
      </c>
      <c r="EO375" s="14">
        <v>2</v>
      </c>
      <c r="EP375" s="14">
        <v>4</v>
      </c>
      <c r="EQ375" s="14">
        <f>IFERROR(AVERAGE(Tabel1[[#This Row],[Do - F1a]:[Do - F1c]]),"")</f>
        <v>2.6666666666666665</v>
      </c>
      <c r="ER375" s="14">
        <v>3</v>
      </c>
      <c r="ES375" s="14">
        <f>IFERROR(AVERAGE(Tabel1[[#This Row],[Do - F2a]:[Do - F2a]]),"")</f>
        <v>3</v>
      </c>
      <c r="ET375" s="14">
        <v>2</v>
      </c>
      <c r="EU375" s="14">
        <v>2</v>
      </c>
      <c r="EV375" s="14">
        <f>IFERROR(AVERAGE(Tabel1[[#This Row],[Do - F3a]:[Do - F3b]]),"")</f>
        <v>2</v>
      </c>
      <c r="EW375" s="14">
        <v>2</v>
      </c>
      <c r="EX375" s="14">
        <f>IFERROR(AVERAGE(Tabel1[[#This Row],[Do - F1]],Tabel1[[#This Row],[Do - F2]],Tabel1[[#This Row],[Do - F3]],Tabel1[[#This Row],[Do - F4]]),"")</f>
        <v>2.4166666666666665</v>
      </c>
      <c r="EY375" s="14">
        <v>2</v>
      </c>
      <c r="EZ375" s="14">
        <v>3</v>
      </c>
      <c r="FA375" s="14">
        <v>2</v>
      </c>
      <c r="FB375" s="14">
        <f>IFERROR(AVERAGE(Tabel1[[#This Row],[Do - V1a]:[Do - V1c]]),"")</f>
        <v>2.3333333333333335</v>
      </c>
      <c r="FC375" s="14">
        <v>3</v>
      </c>
      <c r="FD375" s="14">
        <v>3</v>
      </c>
      <c r="FE375" s="14">
        <f>IFERROR(AVERAGE(Tabel1[[#This Row],[Do - V2a]:[Do - V2b]]),"")</f>
        <v>3</v>
      </c>
      <c r="FF375" s="14">
        <v>3</v>
      </c>
      <c r="FG375" s="14">
        <f>IFERROR(AVERAGE(Tabel1[[#This Row],[Do - V3a]:[Do - V3a]]),"")</f>
        <v>3</v>
      </c>
      <c r="FH375" s="14">
        <v>3</v>
      </c>
      <c r="FI375" s="14">
        <f>IFERROR(AVERAGE(Tabel1[[#This Row],[Do - V1]],Tabel1[[#This Row],[Do - V2]],Tabel1[[#This Row],[Do - V3]],Tabel1[[#This Row],[Do - V4]]),"")</f>
        <v>2.8333333333333335</v>
      </c>
      <c r="FJ375" s="14">
        <v>4</v>
      </c>
      <c r="FK375" s="14">
        <v>2</v>
      </c>
      <c r="FL375" s="14">
        <v>3</v>
      </c>
      <c r="FM375" s="14">
        <f>IFERROR(AVERAGE(Tabel1[[#This Row],[Do - A1a]:[Do - A1c]]),"")</f>
        <v>3</v>
      </c>
      <c r="FN375" s="14">
        <v>3</v>
      </c>
      <c r="FO375" s="14">
        <v>2</v>
      </c>
      <c r="FP375" s="14">
        <f>IFERROR(AVERAGE(Tabel1[[#This Row],[Do - A2a]:[Do - A2b]]),"")</f>
        <v>2.5</v>
      </c>
      <c r="FQ375" s="14">
        <v>3</v>
      </c>
      <c r="FR375" s="14">
        <f>IFERROR(AVERAGE(Tabel1[[#This Row],[Do - A3a]:[Do - A3a]]),"")</f>
        <v>3</v>
      </c>
      <c r="FS375" s="14" t="s">
        <v>189</v>
      </c>
      <c r="FT375" s="14">
        <f>IFERROR(AVERAGE(Tabel1[[#This Row],[Do - A1]],Tabel1[[#This Row],[Do - A2]],Tabel1[[#This Row],[Do - A3]],Tabel1[[#This Row],[Do - A4]]),"")</f>
        <v>2.8333333333333335</v>
      </c>
      <c r="FU37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2.7094444444444448</v>
      </c>
      <c r="FV375" s="27" t="s">
        <v>1907</v>
      </c>
      <c r="FW375" t="b">
        <v>1</v>
      </c>
    </row>
    <row r="376" spans="1:179" x14ac:dyDescent="0.3">
      <c r="A376" s="13">
        <v>45604.607002314799</v>
      </c>
      <c r="B376" t="b">
        <v>0</v>
      </c>
      <c r="C376" s="14" t="s">
        <v>1908</v>
      </c>
      <c r="D376" s="14" t="s">
        <v>334</v>
      </c>
      <c r="E376" s="14" t="s">
        <v>1909</v>
      </c>
      <c r="F376" s="14" t="s">
        <v>189</v>
      </c>
      <c r="G376" s="8" t="s">
        <v>1910</v>
      </c>
      <c r="H376" s="14" t="s">
        <v>194</v>
      </c>
      <c r="I376" s="14" t="s">
        <v>195</v>
      </c>
      <c r="J376" s="14" t="s">
        <v>196</v>
      </c>
      <c r="K376" s="28" t="s">
        <v>187</v>
      </c>
      <c r="L376" s="14" t="s">
        <v>249</v>
      </c>
      <c r="M376" s="14" t="s">
        <v>233</v>
      </c>
      <c r="N376" s="14" t="s">
        <v>199</v>
      </c>
      <c r="O376" s="14" t="s">
        <v>200</v>
      </c>
      <c r="P376" s="25" t="s">
        <v>202</v>
      </c>
      <c r="Q376" s="17" t="s">
        <v>235</v>
      </c>
      <c r="R376" s="25" t="s">
        <v>187</v>
      </c>
      <c r="S376" s="25" t="s">
        <v>187</v>
      </c>
      <c r="T376" s="14" t="s">
        <v>204</v>
      </c>
      <c r="U376" s="14" t="s">
        <v>285</v>
      </c>
      <c r="V376" s="14" t="s">
        <v>206</v>
      </c>
      <c r="W376" s="14" t="s">
        <v>207</v>
      </c>
      <c r="X376" s="14" t="s">
        <v>207</v>
      </c>
      <c r="Y376" s="14">
        <v>4</v>
      </c>
      <c r="Z376" s="14">
        <v>5</v>
      </c>
      <c r="AA376" s="14">
        <v>4</v>
      </c>
      <c r="AB376" s="15">
        <f>IFERROR(AVERAGE(Tabel1[[#This Row],[Up - R1a]:[Up - R1c]]),"")</f>
        <v>4.333333333333333</v>
      </c>
      <c r="AC376" s="14">
        <v>3</v>
      </c>
      <c r="AD376" s="14">
        <v>3</v>
      </c>
      <c r="AE376" s="14">
        <v>1</v>
      </c>
      <c r="AF376" s="14">
        <v>2</v>
      </c>
      <c r="AG376" s="14">
        <f>IFERROR(AVERAGE(Tabel1[[#This Row],[Up - R1]:[Up - R5]]),"")</f>
        <v>2.6666666666666665</v>
      </c>
      <c r="AH376" s="14">
        <v>3</v>
      </c>
      <c r="AI376" s="14">
        <v>4</v>
      </c>
      <c r="AJ376" s="14">
        <v>3</v>
      </c>
      <c r="AK376" s="14">
        <f>IFERROR(AVERAGE(Tabel1[[#This Row],[Up - C1a]:[Up - C1c]]),"")</f>
        <v>3.3333333333333335</v>
      </c>
      <c r="AL376" s="14">
        <v>4</v>
      </c>
      <c r="AM376" s="14">
        <v>4</v>
      </c>
      <c r="AN376" s="14">
        <v>4</v>
      </c>
      <c r="AO376" s="14">
        <f>IFERROR(AVERAGE(Tabel1[[#This Row],[Up - C1]:[Up - C4]]),"")</f>
        <v>3.8333333333333335</v>
      </c>
      <c r="AP376" s="14">
        <v>1</v>
      </c>
      <c r="AQ376" s="14">
        <f>IFERROR(AVERAGE(Tabel1[[#This Row],[Up - F1a]:[Up - F1a]]),"")</f>
        <v>1</v>
      </c>
      <c r="AR376" s="14">
        <v>2</v>
      </c>
      <c r="AS376" s="14">
        <v>1</v>
      </c>
      <c r="AT376" s="14">
        <f>IFERROR(AVERAGE(Tabel1[[#This Row],[Up - F2a]:[Up - F2b]]),"")</f>
        <v>1.5</v>
      </c>
      <c r="AU376" s="14">
        <v>2</v>
      </c>
      <c r="AV376" s="14">
        <v>3</v>
      </c>
      <c r="AW376" s="14">
        <f>IFERROR(AVERAGE(Tabel1[[#This Row],[Up - F3a]:[Up - F3b]]),"")</f>
        <v>2.5</v>
      </c>
      <c r="AX376" s="14">
        <v>1</v>
      </c>
      <c r="AY376" s="14">
        <f>IFERROR(AVERAGE(Tabel1[[#This Row],[Up - F1]],Tabel1[[#This Row],[Up - F2]],Tabel1[[#This Row],[Up - F3]],Tabel1[[#This Row],[Up - F4]]),"")</f>
        <v>1.5</v>
      </c>
      <c r="AZ376" s="14">
        <v>5</v>
      </c>
      <c r="BA376" s="14">
        <v>4</v>
      </c>
      <c r="BB376" s="14">
        <f>IFERROR(AVERAGE(Tabel1[[#This Row],[Up - V1a]:[Up - V1b]]),"")</f>
        <v>4.5</v>
      </c>
      <c r="BC376" s="14">
        <v>4</v>
      </c>
      <c r="BD376" s="14">
        <v>2</v>
      </c>
      <c r="BE376" s="14">
        <v>4</v>
      </c>
      <c r="BF376" s="14">
        <f>IFERROR(AVERAGE(Tabel1[[#This Row],[Up - V2a]:[Up - V2c]]),"")</f>
        <v>3.3333333333333335</v>
      </c>
      <c r="BG376" s="14">
        <v>3</v>
      </c>
      <c r="BH376" s="14">
        <v>4</v>
      </c>
      <c r="BI376" s="14">
        <f>IFERROR(AVERAGE(Tabel1[[#This Row],[Up - V3a]:[Up - V3b]]),"")</f>
        <v>3.5</v>
      </c>
      <c r="BJ376" s="14">
        <v>4</v>
      </c>
      <c r="BK376" s="14">
        <f>IFERROR(AVERAGE(Tabel1[[#This Row],[Up - V1]],Tabel1[[#This Row],[Up - V2]],Tabel1[[#This Row],[Up - V3]],Tabel1[[#This Row],[Up - V4]]),"")</f>
        <v>3.8333333333333335</v>
      </c>
      <c r="BL376" s="14">
        <v>3</v>
      </c>
      <c r="BM376" s="14">
        <v>4</v>
      </c>
      <c r="BN376" s="14">
        <v>2</v>
      </c>
      <c r="BO376" s="14">
        <v>2</v>
      </c>
      <c r="BP376" s="14">
        <f>IFERROR(AVERAGE(Tabel1[[#This Row],[Up - A1a]:[Up - A1d]]),"")</f>
        <v>2.75</v>
      </c>
      <c r="BQ376" s="14">
        <v>3</v>
      </c>
      <c r="BR376" s="14">
        <v>4</v>
      </c>
      <c r="BS376" s="14">
        <f>IFERROR(AVERAGE(Tabel1[[#This Row],[Up - A2a]:[Up - A2b]]),"")</f>
        <v>3.5</v>
      </c>
      <c r="BT376" s="14">
        <v>4</v>
      </c>
      <c r="BU376" s="14">
        <f>IFERROR(AVERAGE(Tabel1[[#This Row],[Up - A3a]:[Up - A3a]]),"")</f>
        <v>4</v>
      </c>
      <c r="BV376" s="14">
        <v>2</v>
      </c>
      <c r="BW376" s="14">
        <f>IFERROR(AVERAGE(Tabel1[[#This Row],[Up - A1]],Tabel1[[#This Row],[Up - A2]],Tabel1[[#This Row],[Up - A3]]),"")</f>
        <v>3.4166666666666665</v>
      </c>
      <c r="BX376" s="14">
        <v>2</v>
      </c>
      <c r="BY376" s="14">
        <v>5</v>
      </c>
      <c r="BZ376" s="14">
        <f>IFERROR(AVERAGE(Tabel1[[#This Row],[In - R1a]:[In - R1b]]),"")</f>
        <v>3.5</v>
      </c>
      <c r="CA376" s="14">
        <v>2</v>
      </c>
      <c r="CB376" s="14">
        <v>3</v>
      </c>
      <c r="CC376" s="14">
        <v>1</v>
      </c>
      <c r="CD376" s="14">
        <v>2</v>
      </c>
      <c r="CE376" s="14">
        <f>IFERROR(AVERAGE(Tabel1[[#This Row],[In - R1]:[In - R5]]),"")</f>
        <v>2.2999999999999998</v>
      </c>
      <c r="CF376" s="14">
        <v>4</v>
      </c>
      <c r="CG376" s="14">
        <v>4</v>
      </c>
      <c r="CH376" s="14">
        <v>5</v>
      </c>
      <c r="CI376" s="14">
        <f>IFERROR(AVERAGE(Tabel1[[#This Row],[In - C1a]:[In - C1c]]),"")</f>
        <v>4.333333333333333</v>
      </c>
      <c r="CJ376" s="14">
        <v>4</v>
      </c>
      <c r="CK376" s="14">
        <v>5</v>
      </c>
      <c r="CL376" s="14">
        <v>5</v>
      </c>
      <c r="CM376" s="14">
        <f>IFERROR(AVERAGE(Tabel1[[#This Row],[In - C1]:[In - C4]]),"")</f>
        <v>4.583333333333333</v>
      </c>
      <c r="CN376" s="14">
        <v>1</v>
      </c>
      <c r="CO376" s="14">
        <v>1</v>
      </c>
      <c r="CP376" s="14">
        <v>3</v>
      </c>
      <c r="CQ376" s="14">
        <f>IFERROR(AVERAGE(Tabel1[[#This Row],[In - F1a]:[In - F1c]]),"")</f>
        <v>1.6666666666666667</v>
      </c>
      <c r="CR376" s="14">
        <v>5</v>
      </c>
      <c r="CS376" s="14">
        <v>1</v>
      </c>
      <c r="CT376" s="14">
        <f>IFERROR(AVERAGE(Tabel1[[#This Row],[In - F2a]:[In - F2b]]),"")</f>
        <v>3</v>
      </c>
      <c r="CU376" s="14">
        <v>3</v>
      </c>
      <c r="CV376" s="14">
        <f>IFERROR(AVERAGE(Tabel1[[#This Row],[In - F3a]:[In - F3a]]),"")</f>
        <v>3</v>
      </c>
      <c r="CW376" s="14">
        <v>1</v>
      </c>
      <c r="CX376" s="14">
        <f>IFERROR(AVERAGE(Tabel1[[#This Row],[In - F1]],Tabel1[[#This Row],[In - F2]],Tabel1[[#This Row],[In - F3]],Tabel1[[#This Row],[In - F4]]),"")</f>
        <v>2.166666666666667</v>
      </c>
      <c r="CY376" s="14">
        <v>5</v>
      </c>
      <c r="CZ376" s="14">
        <v>4</v>
      </c>
      <c r="DA376" s="14">
        <v>3</v>
      </c>
      <c r="DB376" s="14">
        <f>IFERROR(AVERAGE(Tabel1[[#This Row],[In - V1a]:[In - V1c]]),"")</f>
        <v>4</v>
      </c>
      <c r="DC376" s="14">
        <v>4</v>
      </c>
      <c r="DD376" s="14">
        <v>4</v>
      </c>
      <c r="DE376" s="14">
        <v>5</v>
      </c>
      <c r="DF376" s="14">
        <f>IFERROR(AVERAGE(Tabel1[[#This Row],[In - V2a]:[In - V2c]]),"")</f>
        <v>4.333333333333333</v>
      </c>
      <c r="DG376" s="14">
        <v>4</v>
      </c>
      <c r="DH376" s="14">
        <v>5</v>
      </c>
      <c r="DI376" s="14">
        <f>IFERROR(AVERAGE(Tabel1[[#This Row],[In - V3a]:[In - V3b]]),"")</f>
        <v>4.5</v>
      </c>
      <c r="DJ376" s="14">
        <v>4</v>
      </c>
      <c r="DK376" s="14">
        <f>IFERROR(AVERAGE(Tabel1[[#This Row],[In - V1]],Tabel1[[#This Row],[In - V2]],Tabel1[[#This Row],[In - V3]],Tabel1[[#This Row],[In - V4]]),"")</f>
        <v>4.208333333333333</v>
      </c>
      <c r="DL376" s="14">
        <v>3</v>
      </c>
      <c r="DM376" s="14">
        <v>4</v>
      </c>
      <c r="DN376" s="14">
        <f>IFERROR(AVERAGE(Tabel1[[#This Row],[In - A1a]:[In - A1b]]),"")</f>
        <v>3.5</v>
      </c>
      <c r="DO376" s="14">
        <v>3</v>
      </c>
      <c r="DP376" s="14">
        <v>3</v>
      </c>
      <c r="DQ376" s="14">
        <f>IFERROR(AVERAGE(Tabel1[[#This Row],[In - A2a]:[In - A2b]]),"")</f>
        <v>3</v>
      </c>
      <c r="DR376" s="14">
        <v>4</v>
      </c>
      <c r="DS376" s="14">
        <v>2</v>
      </c>
      <c r="DT376" s="14">
        <f>IFERROR(AVERAGE(Tabel1[[#This Row],[In - A3a]:[In - A3a]]),"")</f>
        <v>4</v>
      </c>
      <c r="DU376" s="14">
        <v>4</v>
      </c>
      <c r="DV376" s="14">
        <f>IFERROR(AVERAGE(Tabel1[[#This Row],[In - A1]],Tabel1[[#This Row],[In - A2]],Tabel1[[#This Row],[In - A3]],Tabel1[[#This Row],[In - A4]]),"")</f>
        <v>3.625</v>
      </c>
      <c r="DW376" s="14">
        <v>3</v>
      </c>
      <c r="DX376" s="14">
        <v>5</v>
      </c>
      <c r="DY376" s="14">
        <v>5</v>
      </c>
      <c r="DZ376" s="14">
        <f>IFERROR(AVERAGE(Tabel1[[#This Row],[Do - R1a]:[Do - R1c]]),"")</f>
        <v>4.333333333333333</v>
      </c>
      <c r="EA376" s="14">
        <v>2</v>
      </c>
      <c r="EB376" s="14">
        <v>3</v>
      </c>
      <c r="EC376" s="14">
        <v>1</v>
      </c>
      <c r="ED376" s="14">
        <v>1</v>
      </c>
      <c r="EE376" s="14">
        <f>IFERROR(AVERAGE(Tabel1[[#This Row],[Do - R1]:[Do - R5]]),"")</f>
        <v>2.2666666666666666</v>
      </c>
      <c r="EF376" s="14">
        <v>3</v>
      </c>
      <c r="EG376" s="14">
        <v>4</v>
      </c>
      <c r="EH376" s="14">
        <v>3</v>
      </c>
      <c r="EI376" s="14">
        <f>IFERROR(AVERAGE(Tabel1[[#This Row],[Do - C1a]:[Do - C1c]]),"")</f>
        <v>3.3333333333333335</v>
      </c>
      <c r="EJ376" s="14">
        <v>4</v>
      </c>
      <c r="EK376" s="14">
        <v>4</v>
      </c>
      <c r="EL376" s="14">
        <v>3</v>
      </c>
      <c r="EM376" s="14">
        <f>IFERROR(AVERAGE(Tabel1[[#This Row],[Do - C1]:[Do - C4]]),"")</f>
        <v>3.5833333333333335</v>
      </c>
      <c r="EN376" s="14">
        <v>1</v>
      </c>
      <c r="EO376" s="14">
        <v>1</v>
      </c>
      <c r="EP376" s="14">
        <v>5</v>
      </c>
      <c r="EQ376" s="14">
        <f>IFERROR(AVERAGE(Tabel1[[#This Row],[Do - F1a]:[Do - F1c]]),"")</f>
        <v>2.3333333333333335</v>
      </c>
      <c r="ER376" s="14">
        <v>2</v>
      </c>
      <c r="ES376" s="14">
        <f>IFERROR(AVERAGE(Tabel1[[#This Row],[Do - F2a]:[Do - F2a]]),"")</f>
        <v>2</v>
      </c>
      <c r="ET376" s="14">
        <v>3</v>
      </c>
      <c r="EU376" s="14">
        <v>4</v>
      </c>
      <c r="EV376" s="14">
        <f>IFERROR(AVERAGE(Tabel1[[#This Row],[Do - F3a]:[Do - F3b]]),"")</f>
        <v>3.5</v>
      </c>
      <c r="EW376" s="14">
        <v>1</v>
      </c>
      <c r="EX376" s="14">
        <f>IFERROR(AVERAGE(Tabel1[[#This Row],[Do - F1]],Tabel1[[#This Row],[Do - F2]],Tabel1[[#This Row],[Do - F3]],Tabel1[[#This Row],[Do - F4]]),"")</f>
        <v>2.2083333333333335</v>
      </c>
      <c r="EY376" s="14">
        <v>4</v>
      </c>
      <c r="EZ376" s="14">
        <v>3</v>
      </c>
      <c r="FA376" s="14">
        <v>3</v>
      </c>
      <c r="FB376" s="14">
        <f>IFERROR(AVERAGE(Tabel1[[#This Row],[Do - V1a]:[Do - V1c]]),"")</f>
        <v>3.3333333333333335</v>
      </c>
      <c r="FC376" s="14">
        <v>4</v>
      </c>
      <c r="FD376" s="14">
        <v>4</v>
      </c>
      <c r="FE376" s="14">
        <f>IFERROR(AVERAGE(Tabel1[[#This Row],[Do - V2a]:[Do - V2b]]),"")</f>
        <v>4</v>
      </c>
      <c r="FF376" s="14">
        <v>4</v>
      </c>
      <c r="FG376" s="14">
        <f>IFERROR(AVERAGE(Tabel1[[#This Row],[Do - V3a]:[Do - V3a]]),"")</f>
        <v>4</v>
      </c>
      <c r="FH376" s="14">
        <v>4</v>
      </c>
      <c r="FI376" s="14">
        <f>IFERROR(AVERAGE(Tabel1[[#This Row],[Do - V1]],Tabel1[[#This Row],[Do - V2]],Tabel1[[#This Row],[Do - V3]],Tabel1[[#This Row],[Do - V4]]),"")</f>
        <v>3.8333333333333335</v>
      </c>
      <c r="FJ376" s="14">
        <v>4</v>
      </c>
      <c r="FK376" s="14">
        <v>2</v>
      </c>
      <c r="FL376" s="14">
        <v>3</v>
      </c>
      <c r="FM376" s="14">
        <f>IFERROR(AVERAGE(Tabel1[[#This Row],[Do - A1a]:[Do - A1c]]),"")</f>
        <v>3</v>
      </c>
      <c r="FN376" s="14">
        <v>3</v>
      </c>
      <c r="FO376" s="14">
        <v>4</v>
      </c>
      <c r="FP376" s="14">
        <f>IFERROR(AVERAGE(Tabel1[[#This Row],[Do - A2a]:[Do - A2b]]),"")</f>
        <v>3.5</v>
      </c>
      <c r="FQ376" s="14">
        <v>4</v>
      </c>
      <c r="FR376" s="14">
        <f>IFERROR(AVERAGE(Tabel1[[#This Row],[Do - A3a]:[Do - A3a]]),"")</f>
        <v>4</v>
      </c>
      <c r="FS376" s="14">
        <v>4</v>
      </c>
      <c r="FT376" s="14">
        <f>IFERROR(AVERAGE(Tabel1[[#This Row],[Do - A1]],Tabel1[[#This Row],[Do - A2]],Tabel1[[#This Row],[Do - A3]],Tabel1[[#This Row],[Do - A4]]),"")</f>
        <v>3.625</v>
      </c>
      <c r="FU37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3.1766666666666672</v>
      </c>
      <c r="FV376" s="27" t="s">
        <v>1911</v>
      </c>
      <c r="FW376" t="b">
        <v>1</v>
      </c>
    </row>
    <row r="377" spans="1:179" x14ac:dyDescent="0.3">
      <c r="A377" s="13">
        <v>45604.607025463003</v>
      </c>
      <c r="B377" t="b">
        <v>0</v>
      </c>
      <c r="C377" s="14" t="s">
        <v>1912</v>
      </c>
      <c r="D377" s="14" t="s">
        <v>1913</v>
      </c>
      <c r="E377" s="14" t="s">
        <v>1914</v>
      </c>
      <c r="F377" s="14" t="s">
        <v>189</v>
      </c>
      <c r="G377" s="8" t="s">
        <v>1915</v>
      </c>
      <c r="H377" s="14" t="s">
        <v>194</v>
      </c>
      <c r="I377" s="14" t="s">
        <v>195</v>
      </c>
      <c r="J377" s="14" t="s">
        <v>196</v>
      </c>
      <c r="K377" s="28" t="s">
        <v>187</v>
      </c>
      <c r="L377" s="14" t="s">
        <v>249</v>
      </c>
      <c r="M377" s="14" t="s">
        <v>233</v>
      </c>
      <c r="N377" s="14" t="s">
        <v>199</v>
      </c>
      <c r="O377" s="14" t="s">
        <v>200</v>
      </c>
      <c r="P377" s="25" t="s">
        <v>202</v>
      </c>
      <c r="Q377" s="17" t="s">
        <v>202</v>
      </c>
      <c r="R377" s="25" t="s">
        <v>187</v>
      </c>
      <c r="S377" s="25" t="s">
        <v>187</v>
      </c>
      <c r="T377" s="14" t="s">
        <v>204</v>
      </c>
      <c r="U377" s="14" t="s">
        <v>285</v>
      </c>
      <c r="V377" s="14" t="s">
        <v>206</v>
      </c>
      <c r="W377" s="14" t="s">
        <v>207</v>
      </c>
      <c r="X377" s="14" t="s">
        <v>207</v>
      </c>
      <c r="Y377" s="14">
        <v>4</v>
      </c>
      <c r="Z377" s="14">
        <v>5</v>
      </c>
      <c r="AA377" s="14">
        <v>4</v>
      </c>
      <c r="AB377" s="15">
        <f>IFERROR(AVERAGE(Tabel1[[#This Row],[Up - R1a]:[Up - R1c]]),"")</f>
        <v>4.333333333333333</v>
      </c>
      <c r="AC377" s="14">
        <v>3</v>
      </c>
      <c r="AD377" s="14">
        <v>3</v>
      </c>
      <c r="AE377" s="14">
        <v>1</v>
      </c>
      <c r="AF377" s="14">
        <v>2</v>
      </c>
      <c r="AG377" s="14">
        <f>IFERROR(AVERAGE(Tabel1[[#This Row],[Up - R1]:[Up - R5]]),"")</f>
        <v>2.6666666666666665</v>
      </c>
      <c r="AH377" s="14">
        <v>3</v>
      </c>
      <c r="AI377" s="14">
        <v>4</v>
      </c>
      <c r="AJ377" s="14">
        <v>3</v>
      </c>
      <c r="AK377" s="14">
        <f>IFERROR(AVERAGE(Tabel1[[#This Row],[Up - C1a]:[Up - C1c]]),"")</f>
        <v>3.3333333333333335</v>
      </c>
      <c r="AL377" s="14">
        <v>4</v>
      </c>
      <c r="AM377" s="14">
        <v>4</v>
      </c>
      <c r="AN377" s="14">
        <v>4</v>
      </c>
      <c r="AO377" s="14">
        <f>IFERROR(AVERAGE(Tabel1[[#This Row],[Up - C1]:[Up - C4]]),"")</f>
        <v>3.8333333333333335</v>
      </c>
      <c r="AP377" s="14">
        <v>1</v>
      </c>
      <c r="AQ377" s="14">
        <f>IFERROR(AVERAGE(Tabel1[[#This Row],[Up - F1a]:[Up - F1a]]),"")</f>
        <v>1</v>
      </c>
      <c r="AR377" s="14">
        <v>2</v>
      </c>
      <c r="AS377" s="14">
        <v>1</v>
      </c>
      <c r="AT377" s="14">
        <f>IFERROR(AVERAGE(Tabel1[[#This Row],[Up - F2a]:[Up - F2b]]),"")</f>
        <v>1.5</v>
      </c>
      <c r="AU377" s="14">
        <v>2</v>
      </c>
      <c r="AV377" s="14">
        <v>3</v>
      </c>
      <c r="AW377" s="14">
        <f>IFERROR(AVERAGE(Tabel1[[#This Row],[Up - F3a]:[Up - F3b]]),"")</f>
        <v>2.5</v>
      </c>
      <c r="AX377" s="14">
        <v>1</v>
      </c>
      <c r="AY377" s="14">
        <f>IFERROR(AVERAGE(Tabel1[[#This Row],[Up - F1]],Tabel1[[#This Row],[Up - F2]],Tabel1[[#This Row],[Up - F3]],Tabel1[[#This Row],[Up - F4]]),"")</f>
        <v>1.5</v>
      </c>
      <c r="AZ377" s="14">
        <v>5</v>
      </c>
      <c r="BA377" s="14">
        <v>4</v>
      </c>
      <c r="BB377" s="14">
        <f>IFERROR(AVERAGE(Tabel1[[#This Row],[Up - V1a]:[Up - V1b]]),"")</f>
        <v>4.5</v>
      </c>
      <c r="BC377" s="14">
        <v>4</v>
      </c>
      <c r="BD377" s="14">
        <v>2</v>
      </c>
      <c r="BE377" s="14">
        <v>4</v>
      </c>
      <c r="BF377" s="14">
        <f>IFERROR(AVERAGE(Tabel1[[#This Row],[Up - V2a]:[Up - V2c]]),"")</f>
        <v>3.3333333333333335</v>
      </c>
      <c r="BG377" s="14">
        <v>3</v>
      </c>
      <c r="BH377" s="14">
        <v>4</v>
      </c>
      <c r="BI377" s="14">
        <f>IFERROR(AVERAGE(Tabel1[[#This Row],[Up - V3a]:[Up - V3b]]),"")</f>
        <v>3.5</v>
      </c>
      <c r="BJ377" s="14">
        <v>4</v>
      </c>
      <c r="BK377" s="14">
        <f>IFERROR(AVERAGE(Tabel1[[#This Row],[Up - V1]],Tabel1[[#This Row],[Up - V2]],Tabel1[[#This Row],[Up - V3]],Tabel1[[#This Row],[Up - V4]]),"")</f>
        <v>3.8333333333333335</v>
      </c>
      <c r="BL377" s="14">
        <v>3</v>
      </c>
      <c r="BM377" s="14">
        <v>4</v>
      </c>
      <c r="BN377" s="14">
        <v>2</v>
      </c>
      <c r="BO377" s="14">
        <v>2</v>
      </c>
      <c r="BP377" s="14">
        <f>IFERROR(AVERAGE(Tabel1[[#This Row],[Up - A1a]:[Up - A1d]]),"")</f>
        <v>2.75</v>
      </c>
      <c r="BQ377" s="14">
        <v>3</v>
      </c>
      <c r="BR377" s="14">
        <v>4</v>
      </c>
      <c r="BS377" s="14">
        <f>IFERROR(AVERAGE(Tabel1[[#This Row],[Up - A2a]:[Up - A2b]]),"")</f>
        <v>3.5</v>
      </c>
      <c r="BT377" s="14">
        <v>4</v>
      </c>
      <c r="BU377" s="14">
        <f>IFERROR(AVERAGE(Tabel1[[#This Row],[Up - A3a]:[Up - A3a]]),"")</f>
        <v>4</v>
      </c>
      <c r="BV377" s="14">
        <v>2</v>
      </c>
      <c r="BW377" s="14">
        <f>IFERROR(AVERAGE(Tabel1[[#This Row],[Up - A1]],Tabel1[[#This Row],[Up - A2]],Tabel1[[#This Row],[Up - A3]]),"")</f>
        <v>3.4166666666666665</v>
      </c>
      <c r="BX377" s="14">
        <v>2</v>
      </c>
      <c r="BY377" s="14">
        <v>5</v>
      </c>
      <c r="BZ377" s="14">
        <f>IFERROR(AVERAGE(Tabel1[[#This Row],[In - R1a]:[In - R1b]]),"")</f>
        <v>3.5</v>
      </c>
      <c r="CA377" s="14">
        <v>3</v>
      </c>
      <c r="CB377" s="14">
        <v>3</v>
      </c>
      <c r="CC377" s="14">
        <v>1</v>
      </c>
      <c r="CD377" s="14">
        <v>2</v>
      </c>
      <c r="CE377" s="14">
        <f>IFERROR(AVERAGE(Tabel1[[#This Row],[In - R1]:[In - R5]]),"")</f>
        <v>2.5</v>
      </c>
      <c r="CF377" s="14">
        <v>4</v>
      </c>
      <c r="CG377" s="14">
        <v>4</v>
      </c>
      <c r="CH377" s="14">
        <v>5</v>
      </c>
      <c r="CI377" s="14">
        <f>IFERROR(AVERAGE(Tabel1[[#This Row],[In - C1a]:[In - C1c]]),"")</f>
        <v>4.333333333333333</v>
      </c>
      <c r="CJ377" s="14">
        <v>4</v>
      </c>
      <c r="CK377" s="14">
        <v>5</v>
      </c>
      <c r="CL377" s="14">
        <v>5</v>
      </c>
      <c r="CM377" s="14">
        <f>IFERROR(AVERAGE(Tabel1[[#This Row],[In - C1]:[In - C4]]),"")</f>
        <v>4.583333333333333</v>
      </c>
      <c r="CN377" s="14">
        <v>1</v>
      </c>
      <c r="CO377" s="14">
        <v>1</v>
      </c>
      <c r="CP377" s="14">
        <v>2</v>
      </c>
      <c r="CQ377" s="14">
        <f>IFERROR(AVERAGE(Tabel1[[#This Row],[In - F1a]:[In - F1c]]),"")</f>
        <v>1.3333333333333333</v>
      </c>
      <c r="CR377" s="14">
        <v>5</v>
      </c>
      <c r="CS377" s="14">
        <v>1</v>
      </c>
      <c r="CT377" s="14">
        <f>IFERROR(AVERAGE(Tabel1[[#This Row],[In - F2a]:[In - F2b]]),"")</f>
        <v>3</v>
      </c>
      <c r="CU377" s="14">
        <v>3</v>
      </c>
      <c r="CV377" s="14">
        <f>IFERROR(AVERAGE(Tabel1[[#This Row],[In - F3a]:[In - F3a]]),"")</f>
        <v>3</v>
      </c>
      <c r="CW377" s="14">
        <v>1</v>
      </c>
      <c r="CX377" s="14">
        <f>IFERROR(AVERAGE(Tabel1[[#This Row],[In - F1]],Tabel1[[#This Row],[In - F2]],Tabel1[[#This Row],[In - F3]],Tabel1[[#This Row],[In - F4]]),"")</f>
        <v>2.083333333333333</v>
      </c>
      <c r="CY377" s="14">
        <v>5</v>
      </c>
      <c r="CZ377" s="14">
        <v>4</v>
      </c>
      <c r="DA377" s="14">
        <v>3</v>
      </c>
      <c r="DB377" s="14">
        <f>IFERROR(AVERAGE(Tabel1[[#This Row],[In - V1a]:[In - V1c]]),"")</f>
        <v>4</v>
      </c>
      <c r="DC377" s="14">
        <v>4</v>
      </c>
      <c r="DD377" s="14">
        <v>4</v>
      </c>
      <c r="DE377" s="14">
        <v>5</v>
      </c>
      <c r="DF377" s="14">
        <f>IFERROR(AVERAGE(Tabel1[[#This Row],[In - V2a]:[In - V2c]]),"")</f>
        <v>4.333333333333333</v>
      </c>
      <c r="DG377" s="14">
        <v>4</v>
      </c>
      <c r="DH377" s="14">
        <v>5</v>
      </c>
      <c r="DI377" s="14">
        <f>IFERROR(AVERAGE(Tabel1[[#This Row],[In - V3a]:[In - V3b]]),"")</f>
        <v>4.5</v>
      </c>
      <c r="DJ377" s="14">
        <v>4</v>
      </c>
      <c r="DK377" s="14">
        <f>IFERROR(AVERAGE(Tabel1[[#This Row],[In - V1]],Tabel1[[#This Row],[In - V2]],Tabel1[[#This Row],[In - V3]],Tabel1[[#This Row],[In - V4]]),"")</f>
        <v>4.208333333333333</v>
      </c>
      <c r="DL377" s="14">
        <v>3</v>
      </c>
      <c r="DM377" s="14">
        <v>4</v>
      </c>
      <c r="DN377" s="14">
        <f>IFERROR(AVERAGE(Tabel1[[#This Row],[In - A1a]:[In - A1b]]),"")</f>
        <v>3.5</v>
      </c>
      <c r="DO377" s="14">
        <v>3</v>
      </c>
      <c r="DP377" s="14">
        <v>4</v>
      </c>
      <c r="DQ377" s="14">
        <f>IFERROR(AVERAGE(Tabel1[[#This Row],[In - A2a]:[In - A2b]]),"")</f>
        <v>3.5</v>
      </c>
      <c r="DR377" s="14">
        <v>4</v>
      </c>
      <c r="DS377" s="14">
        <v>2</v>
      </c>
      <c r="DT377" s="14">
        <f>IFERROR(AVERAGE(Tabel1[[#This Row],[In - A3a]:[In - A3a]]),"")</f>
        <v>4</v>
      </c>
      <c r="DU377" s="14">
        <v>4</v>
      </c>
      <c r="DV377" s="14">
        <f>IFERROR(AVERAGE(Tabel1[[#This Row],[In - A1]],Tabel1[[#This Row],[In - A2]],Tabel1[[#This Row],[In - A3]],Tabel1[[#This Row],[In - A4]]),"")</f>
        <v>3.75</v>
      </c>
      <c r="DW377" s="14">
        <v>3</v>
      </c>
      <c r="DX377" s="14">
        <v>5</v>
      </c>
      <c r="DY377" s="14">
        <v>5</v>
      </c>
      <c r="DZ377" s="14">
        <f>IFERROR(AVERAGE(Tabel1[[#This Row],[Do - R1a]:[Do - R1c]]),"")</f>
        <v>4.333333333333333</v>
      </c>
      <c r="EA377" s="14">
        <v>2</v>
      </c>
      <c r="EB377" s="14">
        <v>3</v>
      </c>
      <c r="EC377" s="14">
        <v>1</v>
      </c>
      <c r="ED377" s="14">
        <v>1</v>
      </c>
      <c r="EE377" s="14">
        <f>IFERROR(AVERAGE(Tabel1[[#This Row],[Do - R1]:[Do - R5]]),"")</f>
        <v>2.2666666666666666</v>
      </c>
      <c r="EF377" s="14">
        <v>3</v>
      </c>
      <c r="EG377" s="14">
        <v>4</v>
      </c>
      <c r="EH377" s="14">
        <v>3</v>
      </c>
      <c r="EI377" s="14">
        <f>IFERROR(AVERAGE(Tabel1[[#This Row],[Do - C1a]:[Do - C1c]]),"")</f>
        <v>3.3333333333333335</v>
      </c>
      <c r="EJ377" s="14">
        <v>4</v>
      </c>
      <c r="EK377" s="14">
        <v>4</v>
      </c>
      <c r="EL377" s="14">
        <v>3</v>
      </c>
      <c r="EM377" s="14">
        <f>IFERROR(AVERAGE(Tabel1[[#This Row],[Do - C1]:[Do - C4]]),"")</f>
        <v>3.5833333333333335</v>
      </c>
      <c r="EN377" s="14">
        <v>1</v>
      </c>
      <c r="EO377" s="14">
        <v>1</v>
      </c>
      <c r="EP377" s="14">
        <v>5</v>
      </c>
      <c r="EQ377" s="14">
        <f>IFERROR(AVERAGE(Tabel1[[#This Row],[Do - F1a]:[Do - F1c]]),"")</f>
        <v>2.3333333333333335</v>
      </c>
      <c r="ER377" s="14">
        <v>2</v>
      </c>
      <c r="ES377" s="14">
        <f>IFERROR(AVERAGE(Tabel1[[#This Row],[Do - F2a]:[Do - F2a]]),"")</f>
        <v>2</v>
      </c>
      <c r="ET377" s="14">
        <v>3</v>
      </c>
      <c r="EU377" s="14">
        <v>4</v>
      </c>
      <c r="EV377" s="14">
        <f>IFERROR(AVERAGE(Tabel1[[#This Row],[Do - F3a]:[Do - F3b]]),"")</f>
        <v>3.5</v>
      </c>
      <c r="EW377" s="14">
        <v>1</v>
      </c>
      <c r="EX377" s="14">
        <f>IFERROR(AVERAGE(Tabel1[[#This Row],[Do - F1]],Tabel1[[#This Row],[Do - F2]],Tabel1[[#This Row],[Do - F3]],Tabel1[[#This Row],[Do - F4]]),"")</f>
        <v>2.2083333333333335</v>
      </c>
      <c r="EY377" s="14">
        <v>4</v>
      </c>
      <c r="EZ377" s="14">
        <v>3</v>
      </c>
      <c r="FA377" s="14">
        <v>3</v>
      </c>
      <c r="FB377" s="14">
        <f>IFERROR(AVERAGE(Tabel1[[#This Row],[Do - V1a]:[Do - V1c]]),"")</f>
        <v>3.3333333333333335</v>
      </c>
      <c r="FC377" s="14">
        <v>4</v>
      </c>
      <c r="FD377" s="14">
        <v>4</v>
      </c>
      <c r="FE377" s="14">
        <f>IFERROR(AVERAGE(Tabel1[[#This Row],[Do - V2a]:[Do - V2b]]),"")</f>
        <v>4</v>
      </c>
      <c r="FF377" s="14">
        <v>4</v>
      </c>
      <c r="FG377" s="14">
        <f>IFERROR(AVERAGE(Tabel1[[#This Row],[Do - V3a]:[Do - V3a]]),"")</f>
        <v>4</v>
      </c>
      <c r="FH377" s="14">
        <v>4</v>
      </c>
      <c r="FI377" s="14">
        <f>IFERROR(AVERAGE(Tabel1[[#This Row],[Do - V1]],Tabel1[[#This Row],[Do - V2]],Tabel1[[#This Row],[Do - V3]],Tabel1[[#This Row],[Do - V4]]),"")</f>
        <v>3.8333333333333335</v>
      </c>
      <c r="FJ377" s="14">
        <v>4</v>
      </c>
      <c r="FK377" s="14">
        <v>2</v>
      </c>
      <c r="FL377" s="14">
        <v>3</v>
      </c>
      <c r="FM377" s="14">
        <f>IFERROR(AVERAGE(Tabel1[[#This Row],[Do - A1a]:[Do - A1c]]),"")</f>
        <v>3</v>
      </c>
      <c r="FN377" s="14">
        <v>3</v>
      </c>
      <c r="FO377" s="14">
        <v>4</v>
      </c>
      <c r="FP377" s="14">
        <f>IFERROR(AVERAGE(Tabel1[[#This Row],[Do - A2a]:[Do - A2b]]),"")</f>
        <v>3.5</v>
      </c>
      <c r="FQ377" s="14">
        <v>4</v>
      </c>
      <c r="FR377" s="14">
        <f>IFERROR(AVERAGE(Tabel1[[#This Row],[Do - A3a]:[Do - A3a]]),"")</f>
        <v>4</v>
      </c>
      <c r="FS377" s="14">
        <v>4</v>
      </c>
      <c r="FT377" s="14">
        <f>IFERROR(AVERAGE(Tabel1[[#This Row],[Do - A1]],Tabel1[[#This Row],[Do - A2]],Tabel1[[#This Row],[Do - A3]],Tabel1[[#This Row],[Do - A4]]),"")</f>
        <v>3.625</v>
      </c>
      <c r="FU37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3.1927777777777782</v>
      </c>
      <c r="FV377" s="27" t="s">
        <v>1916</v>
      </c>
      <c r="FW377" t="b">
        <v>1</v>
      </c>
    </row>
    <row r="378" spans="1:179" x14ac:dyDescent="0.3">
      <c r="A378" s="13">
        <v>45604.6071296296</v>
      </c>
      <c r="B378" t="b">
        <v>0</v>
      </c>
      <c r="C378" s="14" t="s">
        <v>1917</v>
      </c>
      <c r="D378" s="14" t="s">
        <v>1918</v>
      </c>
      <c r="E378" s="14" t="s">
        <v>1914</v>
      </c>
      <c r="F378" s="14" t="s">
        <v>189</v>
      </c>
      <c r="G378" s="8" t="s">
        <v>1919</v>
      </c>
      <c r="H378" s="14" t="s">
        <v>194</v>
      </c>
      <c r="I378" s="14" t="s">
        <v>195</v>
      </c>
      <c r="J378" s="14" t="s">
        <v>196</v>
      </c>
      <c r="K378" s="28" t="s">
        <v>187</v>
      </c>
      <c r="L378" s="14" t="s">
        <v>249</v>
      </c>
      <c r="M378" s="14" t="s">
        <v>233</v>
      </c>
      <c r="N378" s="14" t="s">
        <v>199</v>
      </c>
      <c r="O378" s="14" t="s">
        <v>200</v>
      </c>
      <c r="P378" s="25" t="s">
        <v>202</v>
      </c>
      <c r="Q378" s="17" t="s">
        <v>235</v>
      </c>
      <c r="R378" s="25" t="s">
        <v>187</v>
      </c>
      <c r="S378" s="25" t="s">
        <v>187</v>
      </c>
      <c r="T378" s="14" t="s">
        <v>204</v>
      </c>
      <c r="U378" s="14" t="s">
        <v>285</v>
      </c>
      <c r="V378" s="14" t="s">
        <v>206</v>
      </c>
      <c r="W378" s="14" t="s">
        <v>207</v>
      </c>
      <c r="X378" s="14" t="s">
        <v>207</v>
      </c>
      <c r="Y378" s="14">
        <v>4</v>
      </c>
      <c r="Z378" s="14">
        <v>5</v>
      </c>
      <c r="AA378" s="14">
        <v>4</v>
      </c>
      <c r="AB378" s="15">
        <f>IFERROR(AVERAGE(Tabel1[[#This Row],[Up - R1a]:[Up - R1c]]),"")</f>
        <v>4.333333333333333</v>
      </c>
      <c r="AC378" s="14">
        <v>3</v>
      </c>
      <c r="AD378" s="14">
        <v>3</v>
      </c>
      <c r="AE378" s="14">
        <v>1</v>
      </c>
      <c r="AF378" s="14">
        <v>2</v>
      </c>
      <c r="AG378" s="14">
        <f>IFERROR(AVERAGE(Tabel1[[#This Row],[Up - R1]:[Up - R5]]),"")</f>
        <v>2.6666666666666665</v>
      </c>
      <c r="AH378" s="14">
        <v>3</v>
      </c>
      <c r="AI378" s="14">
        <v>4</v>
      </c>
      <c r="AJ378" s="14">
        <v>3</v>
      </c>
      <c r="AK378" s="14">
        <f>IFERROR(AVERAGE(Tabel1[[#This Row],[Up - C1a]:[Up - C1c]]),"")</f>
        <v>3.3333333333333335</v>
      </c>
      <c r="AL378" s="14">
        <v>4</v>
      </c>
      <c r="AM378" s="14">
        <v>4</v>
      </c>
      <c r="AN378" s="14">
        <v>4</v>
      </c>
      <c r="AO378" s="14">
        <f>IFERROR(AVERAGE(Tabel1[[#This Row],[Up - C1]:[Up - C4]]),"")</f>
        <v>3.8333333333333335</v>
      </c>
      <c r="AP378" s="14">
        <v>1</v>
      </c>
      <c r="AQ378" s="14">
        <f>IFERROR(AVERAGE(Tabel1[[#This Row],[Up - F1a]:[Up - F1a]]),"")</f>
        <v>1</v>
      </c>
      <c r="AR378" s="14">
        <v>2</v>
      </c>
      <c r="AS378" s="14">
        <v>1</v>
      </c>
      <c r="AT378" s="14">
        <f>IFERROR(AVERAGE(Tabel1[[#This Row],[Up - F2a]:[Up - F2b]]),"")</f>
        <v>1.5</v>
      </c>
      <c r="AU378" s="14">
        <v>2</v>
      </c>
      <c r="AV378" s="14">
        <v>3</v>
      </c>
      <c r="AW378" s="14">
        <f>IFERROR(AVERAGE(Tabel1[[#This Row],[Up - F3a]:[Up - F3b]]),"")</f>
        <v>2.5</v>
      </c>
      <c r="AX378" s="14">
        <v>1</v>
      </c>
      <c r="AY378" s="14">
        <f>IFERROR(AVERAGE(Tabel1[[#This Row],[Up - F1]],Tabel1[[#This Row],[Up - F2]],Tabel1[[#This Row],[Up - F3]],Tabel1[[#This Row],[Up - F4]]),"")</f>
        <v>1.5</v>
      </c>
      <c r="AZ378" s="14">
        <v>5</v>
      </c>
      <c r="BA378" s="14">
        <v>4</v>
      </c>
      <c r="BB378" s="14">
        <f>IFERROR(AVERAGE(Tabel1[[#This Row],[Up - V1a]:[Up - V1b]]),"")</f>
        <v>4.5</v>
      </c>
      <c r="BC378" s="14">
        <v>4</v>
      </c>
      <c r="BD378" s="14">
        <v>2</v>
      </c>
      <c r="BE378" s="14">
        <v>4</v>
      </c>
      <c r="BF378" s="14">
        <f>IFERROR(AVERAGE(Tabel1[[#This Row],[Up - V2a]:[Up - V2c]]),"")</f>
        <v>3.3333333333333335</v>
      </c>
      <c r="BG378" s="14">
        <v>3</v>
      </c>
      <c r="BH378" s="14">
        <v>4</v>
      </c>
      <c r="BI378" s="14">
        <f>IFERROR(AVERAGE(Tabel1[[#This Row],[Up - V3a]:[Up - V3b]]),"")</f>
        <v>3.5</v>
      </c>
      <c r="BJ378" s="14">
        <v>4</v>
      </c>
      <c r="BK378" s="14">
        <f>IFERROR(AVERAGE(Tabel1[[#This Row],[Up - V1]],Tabel1[[#This Row],[Up - V2]],Tabel1[[#This Row],[Up - V3]],Tabel1[[#This Row],[Up - V4]]),"")</f>
        <v>3.8333333333333335</v>
      </c>
      <c r="BL378" s="14">
        <v>4</v>
      </c>
      <c r="BM378" s="14">
        <v>4</v>
      </c>
      <c r="BN378" s="14">
        <v>2</v>
      </c>
      <c r="BO378" s="14">
        <v>2</v>
      </c>
      <c r="BP378" s="14">
        <f>IFERROR(AVERAGE(Tabel1[[#This Row],[Up - A1a]:[Up - A1d]]),"")</f>
        <v>3</v>
      </c>
      <c r="BQ378" s="14">
        <v>3</v>
      </c>
      <c r="BR378" s="14">
        <v>4</v>
      </c>
      <c r="BS378" s="14">
        <f>IFERROR(AVERAGE(Tabel1[[#This Row],[Up - A2a]:[Up - A2b]]),"")</f>
        <v>3.5</v>
      </c>
      <c r="BT378" s="14">
        <v>4</v>
      </c>
      <c r="BU378" s="14">
        <f>IFERROR(AVERAGE(Tabel1[[#This Row],[Up - A3a]:[Up - A3a]]),"")</f>
        <v>4</v>
      </c>
      <c r="BV378" s="14">
        <v>2</v>
      </c>
      <c r="BW378" s="14">
        <f>IFERROR(AVERAGE(Tabel1[[#This Row],[Up - A1]],Tabel1[[#This Row],[Up - A2]],Tabel1[[#This Row],[Up - A3]]),"")</f>
        <v>3.5</v>
      </c>
      <c r="BX378" s="14">
        <v>2</v>
      </c>
      <c r="BY378" s="14">
        <v>5</v>
      </c>
      <c r="BZ378" s="14">
        <f>IFERROR(AVERAGE(Tabel1[[#This Row],[In - R1a]:[In - R1b]]),"")</f>
        <v>3.5</v>
      </c>
      <c r="CA378" s="14">
        <v>2</v>
      </c>
      <c r="CB378" s="14">
        <v>3</v>
      </c>
      <c r="CC378" s="14">
        <v>1</v>
      </c>
      <c r="CD378" s="14">
        <v>2</v>
      </c>
      <c r="CE378" s="14">
        <f>IFERROR(AVERAGE(Tabel1[[#This Row],[In - R1]:[In - R5]]),"")</f>
        <v>2.2999999999999998</v>
      </c>
      <c r="CF378" s="14">
        <v>4</v>
      </c>
      <c r="CG378" s="14">
        <v>4</v>
      </c>
      <c r="CH378" s="14">
        <v>5</v>
      </c>
      <c r="CI378" s="14">
        <f>IFERROR(AVERAGE(Tabel1[[#This Row],[In - C1a]:[In - C1c]]),"")</f>
        <v>4.333333333333333</v>
      </c>
      <c r="CJ378" s="14">
        <v>4</v>
      </c>
      <c r="CK378" s="14">
        <v>5</v>
      </c>
      <c r="CL378" s="14">
        <v>5</v>
      </c>
      <c r="CM378" s="14">
        <f>IFERROR(AVERAGE(Tabel1[[#This Row],[In - C1]:[In - C4]]),"")</f>
        <v>4.583333333333333</v>
      </c>
      <c r="CN378" s="14">
        <v>1</v>
      </c>
      <c r="CO378" s="14">
        <v>1</v>
      </c>
      <c r="CP378" s="14">
        <v>3</v>
      </c>
      <c r="CQ378" s="14">
        <f>IFERROR(AVERAGE(Tabel1[[#This Row],[In - F1a]:[In - F1c]]),"")</f>
        <v>1.6666666666666667</v>
      </c>
      <c r="CR378" s="14">
        <v>5</v>
      </c>
      <c r="CS378" s="14">
        <v>1</v>
      </c>
      <c r="CT378" s="14">
        <f>IFERROR(AVERAGE(Tabel1[[#This Row],[In - F2a]:[In - F2b]]),"")</f>
        <v>3</v>
      </c>
      <c r="CU378" s="14">
        <v>3</v>
      </c>
      <c r="CV378" s="14">
        <f>IFERROR(AVERAGE(Tabel1[[#This Row],[In - F3a]:[In - F3a]]),"")</f>
        <v>3</v>
      </c>
      <c r="CW378" s="14">
        <v>1</v>
      </c>
      <c r="CX378" s="14">
        <f>IFERROR(AVERAGE(Tabel1[[#This Row],[In - F1]],Tabel1[[#This Row],[In - F2]],Tabel1[[#This Row],[In - F3]],Tabel1[[#This Row],[In - F4]]),"")</f>
        <v>2.166666666666667</v>
      </c>
      <c r="CY378" s="14">
        <v>5</v>
      </c>
      <c r="CZ378" s="14">
        <v>4</v>
      </c>
      <c r="DA378" s="14">
        <v>3</v>
      </c>
      <c r="DB378" s="14">
        <f>IFERROR(AVERAGE(Tabel1[[#This Row],[In - V1a]:[In - V1c]]),"")</f>
        <v>4</v>
      </c>
      <c r="DC378" s="14">
        <v>4</v>
      </c>
      <c r="DD378" s="14">
        <v>4</v>
      </c>
      <c r="DE378" s="14">
        <v>5</v>
      </c>
      <c r="DF378" s="14">
        <f>IFERROR(AVERAGE(Tabel1[[#This Row],[In - V2a]:[In - V2c]]),"")</f>
        <v>4.333333333333333</v>
      </c>
      <c r="DG378" s="14">
        <v>4</v>
      </c>
      <c r="DH378" s="14">
        <v>5</v>
      </c>
      <c r="DI378" s="14">
        <f>IFERROR(AVERAGE(Tabel1[[#This Row],[In - V3a]:[In - V3b]]),"")</f>
        <v>4.5</v>
      </c>
      <c r="DJ378" s="14">
        <v>4</v>
      </c>
      <c r="DK378" s="14">
        <f>IFERROR(AVERAGE(Tabel1[[#This Row],[In - V1]],Tabel1[[#This Row],[In - V2]],Tabel1[[#This Row],[In - V3]],Tabel1[[#This Row],[In - V4]]),"")</f>
        <v>4.208333333333333</v>
      </c>
      <c r="DL378" s="14">
        <v>3</v>
      </c>
      <c r="DM378" s="14">
        <v>4</v>
      </c>
      <c r="DN378" s="14">
        <f>IFERROR(AVERAGE(Tabel1[[#This Row],[In - A1a]:[In - A1b]]),"")</f>
        <v>3.5</v>
      </c>
      <c r="DO378" s="14">
        <v>3</v>
      </c>
      <c r="DP378" s="14">
        <v>3</v>
      </c>
      <c r="DQ378" s="14">
        <f>IFERROR(AVERAGE(Tabel1[[#This Row],[In - A2a]:[In - A2b]]),"")</f>
        <v>3</v>
      </c>
      <c r="DR378" s="14">
        <v>4</v>
      </c>
      <c r="DS378" s="14">
        <v>2</v>
      </c>
      <c r="DT378" s="14">
        <f>IFERROR(AVERAGE(Tabel1[[#This Row],[In - A3a]:[In - A3a]]),"")</f>
        <v>4</v>
      </c>
      <c r="DU378" s="14">
        <v>4</v>
      </c>
      <c r="DV378" s="14">
        <f>IFERROR(AVERAGE(Tabel1[[#This Row],[In - A1]],Tabel1[[#This Row],[In - A2]],Tabel1[[#This Row],[In - A3]],Tabel1[[#This Row],[In - A4]]),"")</f>
        <v>3.625</v>
      </c>
      <c r="DW378" s="14">
        <v>3</v>
      </c>
      <c r="DX378" s="14">
        <v>5</v>
      </c>
      <c r="DY378" s="14">
        <v>5</v>
      </c>
      <c r="DZ378" s="14">
        <f>IFERROR(AVERAGE(Tabel1[[#This Row],[Do - R1a]:[Do - R1c]]),"")</f>
        <v>4.333333333333333</v>
      </c>
      <c r="EA378" s="14">
        <v>2</v>
      </c>
      <c r="EB378" s="14">
        <v>3</v>
      </c>
      <c r="EC378" s="14">
        <v>1</v>
      </c>
      <c r="ED378" s="14">
        <v>2</v>
      </c>
      <c r="EE378" s="14">
        <f>IFERROR(AVERAGE(Tabel1[[#This Row],[Do - R1]:[Do - R5]]),"")</f>
        <v>2.4666666666666663</v>
      </c>
      <c r="EF378" s="14">
        <v>3</v>
      </c>
      <c r="EG378" s="14">
        <v>4</v>
      </c>
      <c r="EH378" s="14">
        <v>3</v>
      </c>
      <c r="EI378" s="14">
        <f>IFERROR(AVERAGE(Tabel1[[#This Row],[Do - C1a]:[Do - C1c]]),"")</f>
        <v>3.3333333333333335</v>
      </c>
      <c r="EJ378" s="14">
        <v>4</v>
      </c>
      <c r="EK378" s="14">
        <v>4</v>
      </c>
      <c r="EL378" s="14">
        <v>3</v>
      </c>
      <c r="EM378" s="14">
        <f>IFERROR(AVERAGE(Tabel1[[#This Row],[Do - C1]:[Do - C4]]),"")</f>
        <v>3.5833333333333335</v>
      </c>
      <c r="EN378" s="14">
        <v>1</v>
      </c>
      <c r="EO378" s="14">
        <v>1</v>
      </c>
      <c r="EP378" s="14">
        <v>5</v>
      </c>
      <c r="EQ378" s="14">
        <f>IFERROR(AVERAGE(Tabel1[[#This Row],[Do - F1a]:[Do - F1c]]),"")</f>
        <v>2.3333333333333335</v>
      </c>
      <c r="ER378" s="14">
        <v>2</v>
      </c>
      <c r="ES378" s="14">
        <f>IFERROR(AVERAGE(Tabel1[[#This Row],[Do - F2a]:[Do - F2a]]),"")</f>
        <v>2</v>
      </c>
      <c r="ET378" s="14">
        <v>3</v>
      </c>
      <c r="EU378" s="14">
        <v>4</v>
      </c>
      <c r="EV378" s="14">
        <f>IFERROR(AVERAGE(Tabel1[[#This Row],[Do - F3a]:[Do - F3b]]),"")</f>
        <v>3.5</v>
      </c>
      <c r="EW378" s="14">
        <v>1</v>
      </c>
      <c r="EX378" s="14">
        <f>IFERROR(AVERAGE(Tabel1[[#This Row],[Do - F1]],Tabel1[[#This Row],[Do - F2]],Tabel1[[#This Row],[Do - F3]],Tabel1[[#This Row],[Do - F4]]),"")</f>
        <v>2.2083333333333335</v>
      </c>
      <c r="EY378" s="14">
        <v>4</v>
      </c>
      <c r="EZ378" s="14">
        <v>3</v>
      </c>
      <c r="FA378" s="14">
        <v>3</v>
      </c>
      <c r="FB378" s="14">
        <f>IFERROR(AVERAGE(Tabel1[[#This Row],[Do - V1a]:[Do - V1c]]),"")</f>
        <v>3.3333333333333335</v>
      </c>
      <c r="FC378" s="14">
        <v>4</v>
      </c>
      <c r="FD378" s="14">
        <v>4</v>
      </c>
      <c r="FE378" s="14">
        <f>IFERROR(AVERAGE(Tabel1[[#This Row],[Do - V2a]:[Do - V2b]]),"")</f>
        <v>4</v>
      </c>
      <c r="FF378" s="14">
        <v>4</v>
      </c>
      <c r="FG378" s="14">
        <f>IFERROR(AVERAGE(Tabel1[[#This Row],[Do - V3a]:[Do - V3a]]),"")</f>
        <v>4</v>
      </c>
      <c r="FH378" s="14">
        <v>4</v>
      </c>
      <c r="FI378" s="14">
        <f>IFERROR(AVERAGE(Tabel1[[#This Row],[Do - V1]],Tabel1[[#This Row],[Do - V2]],Tabel1[[#This Row],[Do - V3]],Tabel1[[#This Row],[Do - V4]]),"")</f>
        <v>3.8333333333333335</v>
      </c>
      <c r="FJ378" s="14">
        <v>4</v>
      </c>
      <c r="FK378" s="14">
        <v>2</v>
      </c>
      <c r="FL378" s="14">
        <v>3</v>
      </c>
      <c r="FM378" s="14">
        <f>IFERROR(AVERAGE(Tabel1[[#This Row],[Do - A1a]:[Do - A1c]]),"")</f>
        <v>3</v>
      </c>
      <c r="FN378" s="14">
        <v>3</v>
      </c>
      <c r="FO378" s="14">
        <v>4</v>
      </c>
      <c r="FP378" s="14">
        <f>IFERROR(AVERAGE(Tabel1[[#This Row],[Do - A2a]:[Do - A2b]]),"")</f>
        <v>3.5</v>
      </c>
      <c r="FQ378" s="14">
        <v>4</v>
      </c>
      <c r="FR378" s="14">
        <f>IFERROR(AVERAGE(Tabel1[[#This Row],[Do - A3a]:[Do - A3a]]),"")</f>
        <v>4</v>
      </c>
      <c r="FS378" s="14">
        <v>4</v>
      </c>
      <c r="FT378" s="14">
        <f>IFERROR(AVERAGE(Tabel1[[#This Row],[Do - A1]],Tabel1[[#This Row],[Do - A2]],Tabel1[[#This Row],[Do - A3]],Tabel1[[#This Row],[Do - A4]]),"")</f>
        <v>3.625</v>
      </c>
      <c r="FU37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3.1955555555555564</v>
      </c>
      <c r="FV378" s="27" t="s">
        <v>1920</v>
      </c>
      <c r="FW378" t="b">
        <v>1</v>
      </c>
    </row>
    <row r="379" spans="1:179" x14ac:dyDescent="0.3">
      <c r="A379" s="13">
        <v>45604.758518518502</v>
      </c>
      <c r="B379" t="b">
        <v>0</v>
      </c>
      <c r="C379" s="14" t="s">
        <v>1921</v>
      </c>
      <c r="D379" s="14" t="s">
        <v>1102</v>
      </c>
      <c r="E379" s="14" t="s">
        <v>193</v>
      </c>
      <c r="F379" s="14" t="s">
        <v>189</v>
      </c>
      <c r="G379" s="14" t="s">
        <v>1922</v>
      </c>
      <c r="H379" s="14" t="s">
        <v>194</v>
      </c>
      <c r="I379" s="14" t="s">
        <v>195</v>
      </c>
      <c r="J379" s="14" t="s">
        <v>196</v>
      </c>
      <c r="K379" s="28" t="s">
        <v>187</v>
      </c>
      <c r="L379" s="14" t="s">
        <v>249</v>
      </c>
      <c r="M379" s="14" t="s">
        <v>233</v>
      </c>
      <c r="N379" s="14" t="s">
        <v>199</v>
      </c>
      <c r="O379" s="14" t="s">
        <v>200</v>
      </c>
      <c r="P379" s="25" t="s">
        <v>202</v>
      </c>
      <c r="Q379" s="17" t="s">
        <v>235</v>
      </c>
      <c r="R379" s="25" t="s">
        <v>187</v>
      </c>
      <c r="S379" s="25" t="s">
        <v>187</v>
      </c>
      <c r="T379" s="14" t="s">
        <v>204</v>
      </c>
      <c r="U379" s="14" t="s">
        <v>285</v>
      </c>
      <c r="V379" s="14" t="s">
        <v>206</v>
      </c>
      <c r="W379" s="14" t="s">
        <v>207</v>
      </c>
      <c r="X379" s="14" t="s">
        <v>207</v>
      </c>
      <c r="Y379" s="14">
        <v>4</v>
      </c>
      <c r="Z379" s="14">
        <v>5</v>
      </c>
      <c r="AA379" s="14">
        <v>4</v>
      </c>
      <c r="AB379" s="15">
        <f>IFERROR(AVERAGE(Tabel1[[#This Row],[Up - R1a]:[Up - R1c]]),"")</f>
        <v>4.333333333333333</v>
      </c>
      <c r="AC379" s="14">
        <v>3</v>
      </c>
      <c r="AD379" s="14">
        <v>3</v>
      </c>
      <c r="AE379" s="14">
        <v>1</v>
      </c>
      <c r="AF379" s="14">
        <v>2</v>
      </c>
      <c r="AG379" s="14">
        <f>IFERROR(AVERAGE(Tabel1[[#This Row],[Up - R1]:[Up - R5]]),"")</f>
        <v>2.6666666666666665</v>
      </c>
      <c r="AH379" s="14">
        <v>3</v>
      </c>
      <c r="AI379" s="14">
        <v>4</v>
      </c>
      <c r="AJ379" s="14">
        <v>3</v>
      </c>
      <c r="AK379" s="14">
        <f>IFERROR(AVERAGE(Tabel1[[#This Row],[Up - C1a]:[Up - C1c]]),"")</f>
        <v>3.3333333333333335</v>
      </c>
      <c r="AL379" s="14">
        <v>4</v>
      </c>
      <c r="AM379" s="14">
        <v>4</v>
      </c>
      <c r="AN379" s="14">
        <v>4</v>
      </c>
      <c r="AO379" s="14">
        <f>IFERROR(AVERAGE(Tabel1[[#This Row],[Up - C1]:[Up - C4]]),"")</f>
        <v>3.8333333333333335</v>
      </c>
      <c r="AP379" s="14">
        <v>1</v>
      </c>
      <c r="AQ379" s="14">
        <f>IFERROR(AVERAGE(Tabel1[[#This Row],[Up - F1a]:[Up - F1a]]),"")</f>
        <v>1</v>
      </c>
      <c r="AR379" s="14">
        <v>2</v>
      </c>
      <c r="AS379" s="14">
        <v>1</v>
      </c>
      <c r="AT379" s="14">
        <f>IFERROR(AVERAGE(Tabel1[[#This Row],[Up - F2a]:[Up - F2b]]),"")</f>
        <v>1.5</v>
      </c>
      <c r="AU379" s="14">
        <v>2</v>
      </c>
      <c r="AV379" s="14">
        <v>3</v>
      </c>
      <c r="AW379" s="14">
        <f>IFERROR(AVERAGE(Tabel1[[#This Row],[Up - F3a]:[Up - F3b]]),"")</f>
        <v>2.5</v>
      </c>
      <c r="AX379" s="14">
        <v>1</v>
      </c>
      <c r="AY379" s="14">
        <f>IFERROR(AVERAGE(Tabel1[[#This Row],[Up - F1]],Tabel1[[#This Row],[Up - F2]],Tabel1[[#This Row],[Up - F3]],Tabel1[[#This Row],[Up - F4]]),"")</f>
        <v>1.5</v>
      </c>
      <c r="AZ379" s="14">
        <v>5</v>
      </c>
      <c r="BA379" s="14">
        <v>4</v>
      </c>
      <c r="BB379" s="14">
        <f>IFERROR(AVERAGE(Tabel1[[#This Row],[Up - V1a]:[Up - V1b]]),"")</f>
        <v>4.5</v>
      </c>
      <c r="BC379" s="14">
        <v>4</v>
      </c>
      <c r="BD379" s="14">
        <v>2</v>
      </c>
      <c r="BE379" s="14">
        <v>4</v>
      </c>
      <c r="BF379" s="14">
        <f>IFERROR(AVERAGE(Tabel1[[#This Row],[Up - V2a]:[Up - V2c]]),"")</f>
        <v>3.3333333333333335</v>
      </c>
      <c r="BG379" s="14">
        <v>3</v>
      </c>
      <c r="BH379" s="14">
        <v>4</v>
      </c>
      <c r="BI379" s="14">
        <f>IFERROR(AVERAGE(Tabel1[[#This Row],[Up - V3a]:[Up - V3b]]),"")</f>
        <v>3.5</v>
      </c>
      <c r="BJ379" s="14">
        <v>4</v>
      </c>
      <c r="BK379" s="14">
        <f>IFERROR(AVERAGE(Tabel1[[#This Row],[Up - V1]],Tabel1[[#This Row],[Up - V2]],Tabel1[[#This Row],[Up - V3]],Tabel1[[#This Row],[Up - V4]]),"")</f>
        <v>3.8333333333333335</v>
      </c>
      <c r="BL379" s="14">
        <v>3</v>
      </c>
      <c r="BM379" s="14">
        <v>4</v>
      </c>
      <c r="BN379" s="14">
        <v>2</v>
      </c>
      <c r="BO379" s="14">
        <v>2</v>
      </c>
      <c r="BP379" s="14">
        <f>IFERROR(AVERAGE(Tabel1[[#This Row],[Up - A1a]:[Up - A1d]]),"")</f>
        <v>2.75</v>
      </c>
      <c r="BQ379" s="14">
        <v>3</v>
      </c>
      <c r="BR379" s="14">
        <v>4</v>
      </c>
      <c r="BS379" s="14">
        <f>IFERROR(AVERAGE(Tabel1[[#This Row],[Up - A2a]:[Up - A2b]]),"")</f>
        <v>3.5</v>
      </c>
      <c r="BT379" s="14">
        <v>4</v>
      </c>
      <c r="BU379" s="14">
        <f>IFERROR(AVERAGE(Tabel1[[#This Row],[Up - A3a]:[Up - A3a]]),"")</f>
        <v>4</v>
      </c>
      <c r="BV379" s="14">
        <v>2</v>
      </c>
      <c r="BW379" s="14">
        <f>IFERROR(AVERAGE(Tabel1[[#This Row],[Up - A1]],Tabel1[[#This Row],[Up - A2]],Tabel1[[#This Row],[Up - A3]]),"")</f>
        <v>3.4166666666666665</v>
      </c>
      <c r="BX379" s="14">
        <v>2</v>
      </c>
      <c r="BY379" s="14">
        <v>5</v>
      </c>
      <c r="BZ379" s="14">
        <f>IFERROR(AVERAGE(Tabel1[[#This Row],[In - R1a]:[In - R1b]]),"")</f>
        <v>3.5</v>
      </c>
      <c r="CA379" s="14">
        <v>2</v>
      </c>
      <c r="CB379" s="14">
        <v>3</v>
      </c>
      <c r="CC379" s="14">
        <v>1</v>
      </c>
      <c r="CD379" s="14">
        <v>2</v>
      </c>
      <c r="CE379" s="14">
        <f>IFERROR(AVERAGE(Tabel1[[#This Row],[In - R1]:[In - R5]]),"")</f>
        <v>2.2999999999999998</v>
      </c>
      <c r="CF379" s="14">
        <v>4</v>
      </c>
      <c r="CG379" s="14">
        <v>4</v>
      </c>
      <c r="CH379" s="14">
        <v>5</v>
      </c>
      <c r="CI379" s="14">
        <f>IFERROR(AVERAGE(Tabel1[[#This Row],[In - C1a]:[In - C1c]]),"")</f>
        <v>4.333333333333333</v>
      </c>
      <c r="CJ379" s="14">
        <v>4</v>
      </c>
      <c r="CK379" s="14">
        <v>5</v>
      </c>
      <c r="CL379" s="14">
        <v>5</v>
      </c>
      <c r="CM379" s="14">
        <f>IFERROR(AVERAGE(Tabel1[[#This Row],[In - C1]:[In - C4]]),"")</f>
        <v>4.583333333333333</v>
      </c>
      <c r="CN379" s="14">
        <v>1</v>
      </c>
      <c r="CO379" s="14">
        <v>1</v>
      </c>
      <c r="CP379" s="14">
        <v>3</v>
      </c>
      <c r="CQ379" s="14">
        <f>IFERROR(AVERAGE(Tabel1[[#This Row],[In - F1a]:[In - F1c]]),"")</f>
        <v>1.6666666666666667</v>
      </c>
      <c r="CR379" s="14">
        <v>5</v>
      </c>
      <c r="CS379" s="14">
        <v>1</v>
      </c>
      <c r="CT379" s="14">
        <f>IFERROR(AVERAGE(Tabel1[[#This Row],[In - F2a]:[In - F2b]]),"")</f>
        <v>3</v>
      </c>
      <c r="CU379" s="14">
        <v>3</v>
      </c>
      <c r="CV379" s="14">
        <f>IFERROR(AVERAGE(Tabel1[[#This Row],[In - F3a]:[In - F3a]]),"")</f>
        <v>3</v>
      </c>
      <c r="CW379" s="14">
        <v>1</v>
      </c>
      <c r="CX379" s="14">
        <f>IFERROR(AVERAGE(Tabel1[[#This Row],[In - F1]],Tabel1[[#This Row],[In - F2]],Tabel1[[#This Row],[In - F3]],Tabel1[[#This Row],[In - F4]]),"")</f>
        <v>2.166666666666667</v>
      </c>
      <c r="CY379" s="14">
        <v>5</v>
      </c>
      <c r="CZ379" s="14">
        <v>4</v>
      </c>
      <c r="DA379" s="14">
        <v>3</v>
      </c>
      <c r="DB379" s="14">
        <f>IFERROR(AVERAGE(Tabel1[[#This Row],[In - V1a]:[In - V1c]]),"")</f>
        <v>4</v>
      </c>
      <c r="DC379" s="14">
        <v>4</v>
      </c>
      <c r="DD379" s="14">
        <v>4</v>
      </c>
      <c r="DE379" s="14">
        <v>5</v>
      </c>
      <c r="DF379" s="14">
        <f>IFERROR(AVERAGE(Tabel1[[#This Row],[In - V2a]:[In - V2c]]),"")</f>
        <v>4.333333333333333</v>
      </c>
      <c r="DG379" s="14">
        <v>4</v>
      </c>
      <c r="DH379" s="14">
        <v>5</v>
      </c>
      <c r="DI379" s="14">
        <f>IFERROR(AVERAGE(Tabel1[[#This Row],[In - V3a]:[In - V3b]]),"")</f>
        <v>4.5</v>
      </c>
      <c r="DJ379" s="14">
        <v>4</v>
      </c>
      <c r="DK379" s="14">
        <f>IFERROR(AVERAGE(Tabel1[[#This Row],[In - V1]],Tabel1[[#This Row],[In - V2]],Tabel1[[#This Row],[In - V3]],Tabel1[[#This Row],[In - V4]]),"")</f>
        <v>4.208333333333333</v>
      </c>
      <c r="DL379" s="14">
        <v>3</v>
      </c>
      <c r="DM379" s="14">
        <v>4</v>
      </c>
      <c r="DN379" s="14">
        <f>IFERROR(AVERAGE(Tabel1[[#This Row],[In - A1a]:[In - A1b]]),"")</f>
        <v>3.5</v>
      </c>
      <c r="DO379" s="14">
        <v>3</v>
      </c>
      <c r="DP379" s="14">
        <v>3</v>
      </c>
      <c r="DQ379" s="14">
        <f>IFERROR(AVERAGE(Tabel1[[#This Row],[In - A2a]:[In - A2b]]),"")</f>
        <v>3</v>
      </c>
      <c r="DR379" s="14">
        <v>4</v>
      </c>
      <c r="DS379" s="14">
        <v>2</v>
      </c>
      <c r="DT379" s="14">
        <f>IFERROR(AVERAGE(Tabel1[[#This Row],[In - A3a]:[In - A3a]]),"")</f>
        <v>4</v>
      </c>
      <c r="DU379" s="14">
        <v>4</v>
      </c>
      <c r="DV379" s="14">
        <f>IFERROR(AVERAGE(Tabel1[[#This Row],[In - A1]],Tabel1[[#This Row],[In - A2]],Tabel1[[#This Row],[In - A3]],Tabel1[[#This Row],[In - A4]]),"")</f>
        <v>3.625</v>
      </c>
      <c r="DW379" s="14">
        <v>3</v>
      </c>
      <c r="DX379" s="14">
        <v>5</v>
      </c>
      <c r="DY379" s="14">
        <v>5</v>
      </c>
      <c r="DZ379" s="14">
        <f>IFERROR(AVERAGE(Tabel1[[#This Row],[Do - R1a]:[Do - R1c]]),"")</f>
        <v>4.333333333333333</v>
      </c>
      <c r="EA379" s="14">
        <v>2</v>
      </c>
      <c r="EB379" s="14">
        <v>3</v>
      </c>
      <c r="EC379" s="14">
        <v>1</v>
      </c>
      <c r="ED379" s="14">
        <v>1</v>
      </c>
      <c r="EE379" s="14">
        <f>IFERROR(AVERAGE(Tabel1[[#This Row],[Do - R1]:[Do - R5]]),"")</f>
        <v>2.2666666666666666</v>
      </c>
      <c r="EF379" s="14">
        <v>3</v>
      </c>
      <c r="EG379" s="14">
        <v>4</v>
      </c>
      <c r="EH379" s="14">
        <v>3</v>
      </c>
      <c r="EI379" s="14">
        <f>IFERROR(AVERAGE(Tabel1[[#This Row],[Do - C1a]:[Do - C1c]]),"")</f>
        <v>3.3333333333333335</v>
      </c>
      <c r="EJ379" s="14">
        <v>4</v>
      </c>
      <c r="EK379" s="14">
        <v>4</v>
      </c>
      <c r="EL379" s="14">
        <v>3</v>
      </c>
      <c r="EM379" s="14">
        <f>IFERROR(AVERAGE(Tabel1[[#This Row],[Do - C1]:[Do - C4]]),"")</f>
        <v>3.5833333333333335</v>
      </c>
      <c r="EN379" s="14">
        <v>1</v>
      </c>
      <c r="EO379" s="14">
        <v>1</v>
      </c>
      <c r="EP379" s="14">
        <v>5</v>
      </c>
      <c r="EQ379" s="14">
        <f>IFERROR(AVERAGE(Tabel1[[#This Row],[Do - F1a]:[Do - F1c]]),"")</f>
        <v>2.3333333333333335</v>
      </c>
      <c r="ER379" s="14">
        <v>2</v>
      </c>
      <c r="ES379" s="14">
        <f>IFERROR(AVERAGE(Tabel1[[#This Row],[Do - F2a]:[Do - F2a]]),"")</f>
        <v>2</v>
      </c>
      <c r="ET379" s="14">
        <v>3</v>
      </c>
      <c r="EU379" s="14">
        <v>4</v>
      </c>
      <c r="EV379" s="14">
        <f>IFERROR(AVERAGE(Tabel1[[#This Row],[Do - F3a]:[Do - F3b]]),"")</f>
        <v>3.5</v>
      </c>
      <c r="EW379" s="14">
        <v>1</v>
      </c>
      <c r="EX379" s="14">
        <f>IFERROR(AVERAGE(Tabel1[[#This Row],[Do - F1]],Tabel1[[#This Row],[Do - F2]],Tabel1[[#This Row],[Do - F3]],Tabel1[[#This Row],[Do - F4]]),"")</f>
        <v>2.2083333333333335</v>
      </c>
      <c r="EY379" s="14">
        <v>4</v>
      </c>
      <c r="EZ379" s="14">
        <v>3</v>
      </c>
      <c r="FA379" s="14">
        <v>3</v>
      </c>
      <c r="FB379" s="14">
        <f>IFERROR(AVERAGE(Tabel1[[#This Row],[Do - V1a]:[Do - V1c]]),"")</f>
        <v>3.3333333333333335</v>
      </c>
      <c r="FC379" s="14">
        <v>4</v>
      </c>
      <c r="FD379" s="14">
        <v>4</v>
      </c>
      <c r="FE379" s="14">
        <f>IFERROR(AVERAGE(Tabel1[[#This Row],[Do - V2a]:[Do - V2b]]),"")</f>
        <v>4</v>
      </c>
      <c r="FF379" s="14">
        <v>4</v>
      </c>
      <c r="FG379" s="14">
        <f>IFERROR(AVERAGE(Tabel1[[#This Row],[Do - V3a]:[Do - V3a]]),"")</f>
        <v>4</v>
      </c>
      <c r="FH379" s="14">
        <v>4</v>
      </c>
      <c r="FI379" s="14">
        <f>IFERROR(AVERAGE(Tabel1[[#This Row],[Do - V1]],Tabel1[[#This Row],[Do - V2]],Tabel1[[#This Row],[Do - V3]],Tabel1[[#This Row],[Do - V4]]),"")</f>
        <v>3.8333333333333335</v>
      </c>
      <c r="FJ379" s="14">
        <v>4</v>
      </c>
      <c r="FK379" s="14">
        <v>2</v>
      </c>
      <c r="FL379" s="14">
        <v>3</v>
      </c>
      <c r="FM379" s="14">
        <f>IFERROR(AVERAGE(Tabel1[[#This Row],[Do - A1a]:[Do - A1c]]),"")</f>
        <v>3</v>
      </c>
      <c r="FN379" s="14">
        <v>3</v>
      </c>
      <c r="FO379" s="14">
        <v>4</v>
      </c>
      <c r="FP379" s="14">
        <f>IFERROR(AVERAGE(Tabel1[[#This Row],[Do - A2a]:[Do - A2b]]),"")</f>
        <v>3.5</v>
      </c>
      <c r="FQ379" s="14">
        <v>4</v>
      </c>
      <c r="FR379" s="14">
        <f>IFERROR(AVERAGE(Tabel1[[#This Row],[Do - A3a]:[Do - A3a]]),"")</f>
        <v>4</v>
      </c>
      <c r="FS379" s="14">
        <v>4</v>
      </c>
      <c r="FT379" s="14">
        <f>IFERROR(AVERAGE(Tabel1[[#This Row],[Do - A1]],Tabel1[[#This Row],[Do - A2]],Tabel1[[#This Row],[Do - A3]],Tabel1[[#This Row],[Do - A4]]),"")</f>
        <v>3.625</v>
      </c>
      <c r="FU37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3.1766666666666672</v>
      </c>
      <c r="FV379" s="27" t="s">
        <v>1923</v>
      </c>
      <c r="FW379" t="b">
        <v>1</v>
      </c>
    </row>
    <row r="380" spans="1:179" x14ac:dyDescent="0.3">
      <c r="A380" s="13">
        <v>45607.509571759299</v>
      </c>
      <c r="B380" t="b">
        <v>0</v>
      </c>
      <c r="C380" s="14" t="s">
        <v>1924</v>
      </c>
      <c r="D380" s="14" t="s">
        <v>1925</v>
      </c>
      <c r="E380" s="29" t="s">
        <v>193</v>
      </c>
      <c r="F380" s="14" t="s">
        <v>189</v>
      </c>
      <c r="G380" s="14" t="s">
        <v>1926</v>
      </c>
      <c r="H380" s="14" t="s">
        <v>194</v>
      </c>
      <c r="I380" s="14" t="s">
        <v>195</v>
      </c>
      <c r="J380" s="14" t="s">
        <v>196</v>
      </c>
      <c r="K380" s="28" t="s">
        <v>187</v>
      </c>
      <c r="L380" s="14" t="s">
        <v>197</v>
      </c>
      <c r="M380" s="14" t="s">
        <v>198</v>
      </c>
      <c r="N380" s="14" t="s">
        <v>199</v>
      </c>
      <c r="O380" s="14" t="s">
        <v>200</v>
      </c>
      <c r="P380" s="25" t="s">
        <v>202</v>
      </c>
      <c r="Q380" s="17" t="s">
        <v>187</v>
      </c>
      <c r="R380" s="25" t="s">
        <v>187</v>
      </c>
      <c r="S380" s="25"/>
      <c r="T380" s="14" t="s">
        <v>204</v>
      </c>
      <c r="U380" s="14" t="s">
        <v>205</v>
      </c>
      <c r="V380" s="14" t="s">
        <v>206</v>
      </c>
      <c r="W380" s="14" t="s">
        <v>207</v>
      </c>
      <c r="X380" s="14" t="s">
        <v>207</v>
      </c>
      <c r="Y380" s="14">
        <v>3</v>
      </c>
      <c r="Z380" s="14">
        <v>4</v>
      </c>
      <c r="AA380" s="14" t="s">
        <v>189</v>
      </c>
      <c r="AB380" s="15">
        <f>IFERROR(AVERAGE(Tabel1[[#This Row],[Up - R1a]:[Up - R1c]]),"")</f>
        <v>3.5</v>
      </c>
      <c r="AC380" s="14">
        <v>4</v>
      </c>
      <c r="AD380" s="14">
        <v>3</v>
      </c>
      <c r="AE380" s="14">
        <v>1</v>
      </c>
      <c r="AF380" s="14">
        <v>3</v>
      </c>
      <c r="AG380" s="14">
        <f>IFERROR(AVERAGE(Tabel1[[#This Row],[Up - R1]:[Up - R5]]),"")</f>
        <v>2.9</v>
      </c>
      <c r="AH380" s="14">
        <v>4</v>
      </c>
      <c r="AI380" s="14">
        <v>4</v>
      </c>
      <c r="AJ380" s="14">
        <v>4</v>
      </c>
      <c r="AK380" s="14">
        <f>IFERROR(AVERAGE(Tabel1[[#This Row],[Up - C1a]:[Up - C1c]]),"")</f>
        <v>4</v>
      </c>
      <c r="AL380" s="14">
        <v>4</v>
      </c>
      <c r="AM380" s="14">
        <v>3</v>
      </c>
      <c r="AN380" s="14">
        <v>2</v>
      </c>
      <c r="AO380" s="14">
        <f>IFERROR(AVERAGE(Tabel1[[#This Row],[Up - C1]:[Up - C4]]),"")</f>
        <v>3.25</v>
      </c>
      <c r="AP380" s="14">
        <v>1</v>
      </c>
      <c r="AQ380" s="14">
        <f>IFERROR(AVERAGE(Tabel1[[#This Row],[Up - F1a]:[Up - F1a]]),"")</f>
        <v>1</v>
      </c>
      <c r="AR380" s="14">
        <v>3</v>
      </c>
      <c r="AS380" s="14">
        <v>3</v>
      </c>
      <c r="AT380" s="14">
        <f>IFERROR(AVERAGE(Tabel1[[#This Row],[Up - F2a]:[Up - F2b]]),"")</f>
        <v>3</v>
      </c>
      <c r="AU380" s="14">
        <v>3</v>
      </c>
      <c r="AV380" s="14">
        <v>2</v>
      </c>
      <c r="AW380" s="14">
        <f>IFERROR(AVERAGE(Tabel1[[#This Row],[Up - F3a]:[Up - F3b]]),"")</f>
        <v>2.5</v>
      </c>
      <c r="AX380" s="14">
        <v>3</v>
      </c>
      <c r="AY380" s="14">
        <f>IFERROR(AVERAGE(Tabel1[[#This Row],[Up - F1]],Tabel1[[#This Row],[Up - F2]],Tabel1[[#This Row],[Up - F3]],Tabel1[[#This Row],[Up - F4]]),"")</f>
        <v>2.375</v>
      </c>
      <c r="AZ380" s="14">
        <v>2</v>
      </c>
      <c r="BA380" s="14">
        <v>3</v>
      </c>
      <c r="BB380" s="14">
        <f>IFERROR(AVERAGE(Tabel1[[#This Row],[Up - V1a]:[Up - V1b]]),"")</f>
        <v>2.5</v>
      </c>
      <c r="BC380" s="14">
        <v>3</v>
      </c>
      <c r="BD380" s="14">
        <v>3</v>
      </c>
      <c r="BE380" s="14">
        <v>4</v>
      </c>
      <c r="BF380" s="14">
        <f>IFERROR(AVERAGE(Tabel1[[#This Row],[Up - V2a]:[Up - V2c]]),"")</f>
        <v>3.3333333333333335</v>
      </c>
      <c r="BG380" s="14">
        <v>3</v>
      </c>
      <c r="BH380" s="14">
        <v>4</v>
      </c>
      <c r="BI380" s="14">
        <f>IFERROR(AVERAGE(Tabel1[[#This Row],[Up - V3a]:[Up - V3b]]),"")</f>
        <v>3.5</v>
      </c>
      <c r="BJ380" s="14">
        <v>3</v>
      </c>
      <c r="BK380" s="14">
        <f>IFERROR(AVERAGE(Tabel1[[#This Row],[Up - V1]],Tabel1[[#This Row],[Up - V2]],Tabel1[[#This Row],[Up - V3]],Tabel1[[#This Row],[Up - V4]]),"")</f>
        <v>3.0833333333333335</v>
      </c>
      <c r="BL380" s="14">
        <v>4</v>
      </c>
      <c r="BM380" s="14">
        <v>4</v>
      </c>
      <c r="BN380" s="14">
        <v>2</v>
      </c>
      <c r="BO380" s="14">
        <v>3</v>
      </c>
      <c r="BP380" s="14">
        <f>IFERROR(AVERAGE(Tabel1[[#This Row],[Up - A1a]:[Up - A1d]]),"")</f>
        <v>3.25</v>
      </c>
      <c r="BQ380" s="14">
        <v>2</v>
      </c>
      <c r="BR380" s="14">
        <v>2</v>
      </c>
      <c r="BS380" s="14">
        <f>IFERROR(AVERAGE(Tabel1[[#This Row],[Up - A2a]:[Up - A2b]]),"")</f>
        <v>2</v>
      </c>
      <c r="BT380" s="14">
        <v>3</v>
      </c>
      <c r="BU380" s="14">
        <f>IFERROR(AVERAGE(Tabel1[[#This Row],[Up - A3a]:[Up - A3a]]),"")</f>
        <v>3</v>
      </c>
      <c r="BV380" s="14">
        <v>3</v>
      </c>
      <c r="BW380" s="14">
        <f>IFERROR(AVERAGE(Tabel1[[#This Row],[Up - A1]],Tabel1[[#This Row],[Up - A2]],Tabel1[[#This Row],[Up - A3]]),"")</f>
        <v>2.75</v>
      </c>
      <c r="BX380" s="14">
        <v>4</v>
      </c>
      <c r="BY380" s="14">
        <v>4</v>
      </c>
      <c r="BZ380" s="14">
        <f>IFERROR(AVERAGE(Tabel1[[#This Row],[In - R1a]:[In - R1b]]),"")</f>
        <v>4</v>
      </c>
      <c r="CA380" s="14">
        <v>4</v>
      </c>
      <c r="CB380" s="14">
        <v>3</v>
      </c>
      <c r="CC380" s="14">
        <v>1</v>
      </c>
      <c r="CD380" s="14">
        <v>4</v>
      </c>
      <c r="CE380" s="14">
        <f>IFERROR(AVERAGE(Tabel1[[#This Row],[In - R1]:[In - R5]]),"")</f>
        <v>3.2</v>
      </c>
      <c r="CF380" s="14">
        <v>5</v>
      </c>
      <c r="CG380" s="14">
        <v>5</v>
      </c>
      <c r="CH380" s="14">
        <v>4</v>
      </c>
      <c r="CI380" s="14">
        <f>IFERROR(AVERAGE(Tabel1[[#This Row],[In - C1a]:[In - C1c]]),"")</f>
        <v>4.666666666666667</v>
      </c>
      <c r="CJ380" s="14">
        <v>4</v>
      </c>
      <c r="CK380" s="14">
        <v>3</v>
      </c>
      <c r="CL380" s="14">
        <v>4</v>
      </c>
      <c r="CM380" s="14">
        <f>IFERROR(AVERAGE(Tabel1[[#This Row],[In - C1]:[In - C4]]),"")</f>
        <v>3.916666666666667</v>
      </c>
      <c r="CN380" s="14">
        <v>4</v>
      </c>
      <c r="CO380" s="14">
        <v>1</v>
      </c>
      <c r="CP380" s="14">
        <v>1</v>
      </c>
      <c r="CQ380" s="14">
        <f>IFERROR(AVERAGE(Tabel1[[#This Row],[In - F1a]:[In - F1c]]),"")</f>
        <v>2</v>
      </c>
      <c r="CR380" s="14">
        <v>4</v>
      </c>
      <c r="CS380" s="14">
        <v>1</v>
      </c>
      <c r="CT380" s="14">
        <f>IFERROR(AVERAGE(Tabel1[[#This Row],[In - F2a]:[In - F2b]]),"")</f>
        <v>2.5</v>
      </c>
      <c r="CU380" s="14">
        <v>2</v>
      </c>
      <c r="CV380" s="14">
        <f>IFERROR(AVERAGE(Tabel1[[#This Row],[In - F3a]:[In - F3a]]),"")</f>
        <v>2</v>
      </c>
      <c r="CW380" s="14">
        <v>2</v>
      </c>
      <c r="CX380" s="14">
        <f>IFERROR(AVERAGE(Tabel1[[#This Row],[In - F1]],Tabel1[[#This Row],[In - F2]],Tabel1[[#This Row],[In - F3]],Tabel1[[#This Row],[In - F4]]),"")</f>
        <v>2.125</v>
      </c>
      <c r="CY380" s="14">
        <v>4</v>
      </c>
      <c r="CZ380" s="14">
        <v>5</v>
      </c>
      <c r="DA380" s="14">
        <v>3</v>
      </c>
      <c r="DB380" s="14">
        <f>IFERROR(AVERAGE(Tabel1[[#This Row],[In - V1a]:[In - V1c]]),"")</f>
        <v>4</v>
      </c>
      <c r="DC380" s="14">
        <v>3</v>
      </c>
      <c r="DD380" s="14">
        <v>4</v>
      </c>
      <c r="DE380" s="14">
        <v>5</v>
      </c>
      <c r="DF380" s="14">
        <f>IFERROR(AVERAGE(Tabel1[[#This Row],[In - V2a]:[In - V2c]]),"")</f>
        <v>4</v>
      </c>
      <c r="DG380" s="14">
        <v>4</v>
      </c>
      <c r="DH380" s="14">
        <v>3</v>
      </c>
      <c r="DI380" s="14">
        <f>IFERROR(AVERAGE(Tabel1[[#This Row],[In - V3a]:[In - V3b]]),"")</f>
        <v>3.5</v>
      </c>
      <c r="DJ380" s="14">
        <v>4</v>
      </c>
      <c r="DK380" s="14">
        <f>IFERROR(AVERAGE(Tabel1[[#This Row],[In - V1]],Tabel1[[#This Row],[In - V2]],Tabel1[[#This Row],[In - V3]],Tabel1[[#This Row],[In - V4]]),"")</f>
        <v>3.875</v>
      </c>
      <c r="DL380" s="14">
        <v>3</v>
      </c>
      <c r="DM380" s="14">
        <v>4</v>
      </c>
      <c r="DN380" s="14">
        <f>IFERROR(AVERAGE(Tabel1[[#This Row],[In - A1a]:[In - A1b]]),"")</f>
        <v>3.5</v>
      </c>
      <c r="DO380" s="14">
        <v>4</v>
      </c>
      <c r="DP380" s="14">
        <v>3</v>
      </c>
      <c r="DQ380" s="14">
        <f>IFERROR(AVERAGE(Tabel1[[#This Row],[In - A2a]:[In - A2b]]),"")</f>
        <v>3.5</v>
      </c>
      <c r="DR380" s="14">
        <v>4</v>
      </c>
      <c r="DS380" s="14">
        <v>3</v>
      </c>
      <c r="DT380" s="14">
        <f>IFERROR(AVERAGE(Tabel1[[#This Row],[In - A3a]:[In - A3a]]),"")</f>
        <v>4</v>
      </c>
      <c r="DU380" s="14">
        <v>3</v>
      </c>
      <c r="DV380" s="14">
        <f>IFERROR(AVERAGE(Tabel1[[#This Row],[In - A1]],Tabel1[[#This Row],[In - A2]],Tabel1[[#This Row],[In - A3]],Tabel1[[#This Row],[In - A4]]),"")</f>
        <v>3.5</v>
      </c>
      <c r="DW380" s="14">
        <v>2</v>
      </c>
      <c r="DX380" s="14">
        <v>3</v>
      </c>
      <c r="DY380" s="14">
        <v>1</v>
      </c>
      <c r="DZ380" s="14">
        <f>IFERROR(AVERAGE(Tabel1[[#This Row],[Do - R1a]:[Do - R1c]]),"")</f>
        <v>2</v>
      </c>
      <c r="EA380" s="14">
        <v>4</v>
      </c>
      <c r="EB380" s="14">
        <v>2</v>
      </c>
      <c r="EC380" s="14">
        <v>2</v>
      </c>
      <c r="ED380" s="14">
        <v>4</v>
      </c>
      <c r="EE380" s="14">
        <f>IFERROR(AVERAGE(Tabel1[[#This Row],[Do - R1]:[Do - R5]]),"")</f>
        <v>2.8</v>
      </c>
      <c r="EF380" s="14">
        <v>4</v>
      </c>
      <c r="EG380" s="14">
        <v>4</v>
      </c>
      <c r="EH380" s="14">
        <v>4</v>
      </c>
      <c r="EI380" s="14">
        <f>IFERROR(AVERAGE(Tabel1[[#This Row],[Do - C1a]:[Do - C1c]]),"")</f>
        <v>4</v>
      </c>
      <c r="EJ380" s="14">
        <v>4</v>
      </c>
      <c r="EK380" s="14">
        <v>3</v>
      </c>
      <c r="EL380" s="14">
        <v>2</v>
      </c>
      <c r="EM380" s="14">
        <f>IFERROR(AVERAGE(Tabel1[[#This Row],[Do - C1]:[Do - C4]]),"")</f>
        <v>3.25</v>
      </c>
      <c r="EN380" s="14">
        <v>3</v>
      </c>
      <c r="EO380" s="14">
        <v>3</v>
      </c>
      <c r="EP380" s="14">
        <v>5</v>
      </c>
      <c r="EQ380" s="14">
        <f>IFERROR(AVERAGE(Tabel1[[#This Row],[Do - F1a]:[Do - F1c]]),"")</f>
        <v>3.6666666666666665</v>
      </c>
      <c r="ER380" s="14">
        <v>3</v>
      </c>
      <c r="ES380" s="14">
        <f>IFERROR(AVERAGE(Tabel1[[#This Row],[Do - F2a]:[Do - F2a]]),"")</f>
        <v>3</v>
      </c>
      <c r="ET380" s="14">
        <v>2</v>
      </c>
      <c r="EU380" s="14">
        <v>3</v>
      </c>
      <c r="EV380" s="14">
        <f>IFERROR(AVERAGE(Tabel1[[#This Row],[Do - F3a]:[Do - F3b]]),"")</f>
        <v>2.5</v>
      </c>
      <c r="EW380" s="14">
        <v>2</v>
      </c>
      <c r="EX380" s="14">
        <f>IFERROR(AVERAGE(Tabel1[[#This Row],[Do - F1]],Tabel1[[#This Row],[Do - F2]],Tabel1[[#This Row],[Do - F3]],Tabel1[[#This Row],[Do - F4]]),"")</f>
        <v>2.7916666666666665</v>
      </c>
      <c r="EY380" s="14">
        <v>4</v>
      </c>
      <c r="EZ380" s="14">
        <v>3</v>
      </c>
      <c r="FA380" s="14">
        <v>4</v>
      </c>
      <c r="FB380" s="14">
        <f>IFERROR(AVERAGE(Tabel1[[#This Row],[Do - V1a]:[Do - V1c]]),"")</f>
        <v>3.6666666666666665</v>
      </c>
      <c r="FC380" s="14">
        <v>4</v>
      </c>
      <c r="FD380" s="14">
        <v>3</v>
      </c>
      <c r="FE380" s="14">
        <f>IFERROR(AVERAGE(Tabel1[[#This Row],[Do - V2a]:[Do - V2b]]),"")</f>
        <v>3.5</v>
      </c>
      <c r="FF380" s="14">
        <v>3</v>
      </c>
      <c r="FG380" s="14">
        <f>IFERROR(AVERAGE(Tabel1[[#This Row],[Do - V3a]:[Do - V3a]]),"")</f>
        <v>3</v>
      </c>
      <c r="FH380" s="14">
        <v>4</v>
      </c>
      <c r="FI380" s="14">
        <f>IFERROR(AVERAGE(Tabel1[[#This Row],[Do - V1]],Tabel1[[#This Row],[Do - V2]],Tabel1[[#This Row],[Do - V3]],Tabel1[[#This Row],[Do - V4]]),"")</f>
        <v>3.5416666666666665</v>
      </c>
      <c r="FJ380" s="14">
        <v>4</v>
      </c>
      <c r="FK380" s="14">
        <v>3</v>
      </c>
      <c r="FL380" s="14">
        <v>4</v>
      </c>
      <c r="FM380" s="14">
        <f>IFERROR(AVERAGE(Tabel1[[#This Row],[Do - A1a]:[Do - A1c]]),"")</f>
        <v>3.6666666666666665</v>
      </c>
      <c r="FN380" s="14">
        <v>2</v>
      </c>
      <c r="FO380" s="14">
        <v>3</v>
      </c>
      <c r="FP380" s="14">
        <f>IFERROR(AVERAGE(Tabel1[[#This Row],[Do - A2a]:[Do - A2b]]),"")</f>
        <v>2.5</v>
      </c>
      <c r="FQ380" s="14">
        <v>4</v>
      </c>
      <c r="FR380" s="14">
        <f>IFERROR(AVERAGE(Tabel1[[#This Row],[Do - A3a]:[Do - A3a]]),"")</f>
        <v>4</v>
      </c>
      <c r="FS380" s="14">
        <v>4</v>
      </c>
      <c r="FT380" s="14">
        <f>IFERROR(AVERAGE(Tabel1[[#This Row],[Do - A1]],Tabel1[[#This Row],[Do - A2]],Tabel1[[#This Row],[Do - A3]],Tabel1[[#This Row],[Do - A4]]),"")</f>
        <v>3.5416666666666665</v>
      </c>
      <c r="FU38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3.126666666666666</v>
      </c>
      <c r="FV380" s="27" t="s">
        <v>1927</v>
      </c>
      <c r="FW380" t="b">
        <v>1</v>
      </c>
    </row>
    <row r="381" spans="1:179" x14ac:dyDescent="0.3">
      <c r="A381" s="13">
        <v>45608.107314814799</v>
      </c>
      <c r="B381" t="b">
        <v>0</v>
      </c>
      <c r="C381" s="14" t="s">
        <v>1928</v>
      </c>
      <c r="D381" s="14" t="s">
        <v>182</v>
      </c>
      <c r="E381" s="14" t="s">
        <v>193</v>
      </c>
      <c r="F381" s="14" t="s">
        <v>189</v>
      </c>
      <c r="G381" s="14" t="s">
        <v>1929</v>
      </c>
      <c r="H381" s="14" t="s">
        <v>194</v>
      </c>
      <c r="I381" s="14" t="s">
        <v>195</v>
      </c>
      <c r="J381" s="14" t="s">
        <v>196</v>
      </c>
      <c r="K381" s="28" t="s">
        <v>235</v>
      </c>
      <c r="L381" s="14" t="s">
        <v>385</v>
      </c>
      <c r="M381" s="14" t="s">
        <v>198</v>
      </c>
      <c r="N381" s="14" t="s">
        <v>262</v>
      </c>
      <c r="O381" s="14"/>
      <c r="P381" s="25" t="s">
        <v>701</v>
      </c>
      <c r="Q381" s="17" t="s">
        <v>201</v>
      </c>
      <c r="R381" s="25" t="s">
        <v>201</v>
      </c>
      <c r="S381" s="25" t="s">
        <v>235</v>
      </c>
      <c r="T381" s="14" t="s">
        <v>204</v>
      </c>
      <c r="U381" s="14" t="s">
        <v>285</v>
      </c>
      <c r="V381" s="14" t="s">
        <v>206</v>
      </c>
      <c r="W381" s="14" t="s">
        <v>207</v>
      </c>
      <c r="X381" s="14" t="s">
        <v>207</v>
      </c>
      <c r="Y381" s="14">
        <v>2</v>
      </c>
      <c r="Z381" s="14">
        <v>4</v>
      </c>
      <c r="AA381" s="14" t="s">
        <v>189</v>
      </c>
      <c r="AB381" s="15">
        <f>IFERROR(AVERAGE(Tabel1[[#This Row],[Up - R1a]:[Up - R1c]]),"")</f>
        <v>3</v>
      </c>
      <c r="AC381" s="14">
        <v>2</v>
      </c>
      <c r="AD381" s="14">
        <v>5</v>
      </c>
      <c r="AE381" s="14">
        <v>1</v>
      </c>
      <c r="AF381" s="14">
        <v>4</v>
      </c>
      <c r="AG381" s="14">
        <f>IFERROR(AVERAGE(Tabel1[[#This Row],[Up - R1]:[Up - R5]]),"")</f>
        <v>3</v>
      </c>
      <c r="AH381" s="14">
        <v>2</v>
      </c>
      <c r="AI381" s="14">
        <v>2</v>
      </c>
      <c r="AJ381" s="14">
        <v>3</v>
      </c>
      <c r="AK381" s="14">
        <f>IFERROR(AVERAGE(Tabel1[[#This Row],[Up - C1a]:[Up - C1c]]),"")</f>
        <v>2.3333333333333335</v>
      </c>
      <c r="AL381" s="14">
        <v>4</v>
      </c>
      <c r="AM381" s="14">
        <v>3</v>
      </c>
      <c r="AN381" s="14" t="s">
        <v>189</v>
      </c>
      <c r="AO381" s="14">
        <f>IFERROR(AVERAGE(Tabel1[[#This Row],[Up - C1]:[Up - C4]]),"")</f>
        <v>3.1111111111111112</v>
      </c>
      <c r="AP381" s="14">
        <v>2</v>
      </c>
      <c r="AQ381" s="14">
        <f>IFERROR(AVERAGE(Tabel1[[#This Row],[Up - F1a]:[Up - F1a]]),"")</f>
        <v>2</v>
      </c>
      <c r="AR381" s="14">
        <v>1</v>
      </c>
      <c r="AS381" s="14">
        <v>2</v>
      </c>
      <c r="AT381" s="14">
        <f>IFERROR(AVERAGE(Tabel1[[#This Row],[Up - F2a]:[Up - F2b]]),"")</f>
        <v>1.5</v>
      </c>
      <c r="AU381" s="14">
        <v>3</v>
      </c>
      <c r="AV381" s="14">
        <v>2</v>
      </c>
      <c r="AW381" s="14">
        <f>IFERROR(AVERAGE(Tabel1[[#This Row],[Up - F3a]:[Up - F3b]]),"")</f>
        <v>2.5</v>
      </c>
      <c r="AX381" s="14">
        <v>1</v>
      </c>
      <c r="AY381" s="14">
        <f>IFERROR(AVERAGE(Tabel1[[#This Row],[Up - F1]],Tabel1[[#This Row],[Up - F2]],Tabel1[[#This Row],[Up - F3]],Tabel1[[#This Row],[Up - F4]]),"")</f>
        <v>1.75</v>
      </c>
      <c r="AZ381" s="14">
        <v>1</v>
      </c>
      <c r="BA381" s="14">
        <v>4</v>
      </c>
      <c r="BB381" s="14">
        <f>IFERROR(AVERAGE(Tabel1[[#This Row],[Up - V1a]:[Up - V1b]]),"")</f>
        <v>2.5</v>
      </c>
      <c r="BC381" s="14">
        <v>3</v>
      </c>
      <c r="BD381" s="14">
        <v>5</v>
      </c>
      <c r="BE381" s="14">
        <v>4</v>
      </c>
      <c r="BF381" s="14">
        <f>IFERROR(AVERAGE(Tabel1[[#This Row],[Up - V2a]:[Up - V2c]]),"")</f>
        <v>4</v>
      </c>
      <c r="BG381" s="14">
        <v>4</v>
      </c>
      <c r="BH381" s="14">
        <v>4</v>
      </c>
      <c r="BI381" s="14">
        <f>IFERROR(AVERAGE(Tabel1[[#This Row],[Up - V3a]:[Up - V3b]]),"")</f>
        <v>4</v>
      </c>
      <c r="BJ381" s="14" t="s">
        <v>189</v>
      </c>
      <c r="BK381" s="14">
        <f>IFERROR(AVERAGE(Tabel1[[#This Row],[Up - V1]],Tabel1[[#This Row],[Up - V2]],Tabel1[[#This Row],[Up - V3]],Tabel1[[#This Row],[Up - V4]]),"")</f>
        <v>3.5</v>
      </c>
      <c r="BL381" s="14">
        <v>3</v>
      </c>
      <c r="BM381" s="14">
        <v>4</v>
      </c>
      <c r="BN381" s="14">
        <v>3</v>
      </c>
      <c r="BO381" s="14">
        <v>2</v>
      </c>
      <c r="BP381" s="14">
        <f>IFERROR(AVERAGE(Tabel1[[#This Row],[Up - A1a]:[Up - A1d]]),"")</f>
        <v>3</v>
      </c>
      <c r="BQ381" s="14">
        <v>3</v>
      </c>
      <c r="BR381" s="14">
        <v>5</v>
      </c>
      <c r="BS381" s="14">
        <f>IFERROR(AVERAGE(Tabel1[[#This Row],[Up - A2a]:[Up - A2b]]),"")</f>
        <v>4</v>
      </c>
      <c r="BT381" s="14">
        <v>4</v>
      </c>
      <c r="BU381" s="14">
        <f>IFERROR(AVERAGE(Tabel1[[#This Row],[Up - A3a]:[Up - A3a]]),"")</f>
        <v>4</v>
      </c>
      <c r="BV381" s="14" t="s">
        <v>189</v>
      </c>
      <c r="BW381" s="14">
        <f>IFERROR(AVERAGE(Tabel1[[#This Row],[Up - A1]],Tabel1[[#This Row],[Up - A2]],Tabel1[[#This Row],[Up - A3]]),"")</f>
        <v>3.6666666666666665</v>
      </c>
      <c r="BX381" s="14">
        <v>5</v>
      </c>
      <c r="BY381" s="14">
        <v>5</v>
      </c>
      <c r="BZ381" s="14">
        <f>IFERROR(AVERAGE(Tabel1[[#This Row],[In - R1a]:[In - R1b]]),"")</f>
        <v>5</v>
      </c>
      <c r="CA381" s="14">
        <v>5</v>
      </c>
      <c r="CB381" s="14">
        <v>5</v>
      </c>
      <c r="CC381" s="14">
        <v>1</v>
      </c>
      <c r="CD381" s="14">
        <v>5</v>
      </c>
      <c r="CE381" s="14">
        <f>IFERROR(AVERAGE(Tabel1[[#This Row],[In - R1]:[In - R5]]),"")</f>
        <v>4.2</v>
      </c>
      <c r="CF381" s="14">
        <v>5</v>
      </c>
      <c r="CG381" s="14">
        <v>5</v>
      </c>
      <c r="CH381" s="14">
        <v>5</v>
      </c>
      <c r="CI381" s="14">
        <f>IFERROR(AVERAGE(Tabel1[[#This Row],[In - C1a]:[In - C1c]]),"")</f>
        <v>5</v>
      </c>
      <c r="CJ381" s="14">
        <v>4</v>
      </c>
      <c r="CK381" s="14">
        <v>5</v>
      </c>
      <c r="CL381" s="14">
        <v>3</v>
      </c>
      <c r="CM381" s="14">
        <f>IFERROR(AVERAGE(Tabel1[[#This Row],[In - C1]:[In - C4]]),"")</f>
        <v>4.25</v>
      </c>
      <c r="CN381" s="14">
        <v>5</v>
      </c>
      <c r="CO381" s="14">
        <v>2</v>
      </c>
      <c r="CP381" s="14">
        <v>2</v>
      </c>
      <c r="CQ381" s="14">
        <f>IFERROR(AVERAGE(Tabel1[[#This Row],[In - F1a]:[In - F1c]]),"")</f>
        <v>3</v>
      </c>
      <c r="CR381" s="14">
        <v>3</v>
      </c>
      <c r="CS381" s="14">
        <v>1</v>
      </c>
      <c r="CT381" s="14">
        <f>IFERROR(AVERAGE(Tabel1[[#This Row],[In - F2a]:[In - F2b]]),"")</f>
        <v>2</v>
      </c>
      <c r="CU381" s="14">
        <v>3</v>
      </c>
      <c r="CV381" s="14">
        <f>IFERROR(AVERAGE(Tabel1[[#This Row],[In - F3a]:[In - F3a]]),"")</f>
        <v>3</v>
      </c>
      <c r="CW381" s="14" t="s">
        <v>189</v>
      </c>
      <c r="CX381" s="14">
        <f>IFERROR(AVERAGE(Tabel1[[#This Row],[In - F1]],Tabel1[[#This Row],[In - F2]],Tabel1[[#This Row],[In - F3]],Tabel1[[#This Row],[In - F4]]),"")</f>
        <v>2.6666666666666665</v>
      </c>
      <c r="CY381" s="14">
        <v>3</v>
      </c>
      <c r="CZ381" s="14">
        <v>5</v>
      </c>
      <c r="DA381" s="14">
        <v>4</v>
      </c>
      <c r="DB381" s="14">
        <f>IFERROR(AVERAGE(Tabel1[[#This Row],[In - V1a]:[In - V1c]]),"")</f>
        <v>4</v>
      </c>
      <c r="DC381" s="14">
        <v>3</v>
      </c>
      <c r="DD381" s="14">
        <v>4</v>
      </c>
      <c r="DE381" s="14">
        <v>4</v>
      </c>
      <c r="DF381" s="14">
        <f>IFERROR(AVERAGE(Tabel1[[#This Row],[In - V2a]:[In - V2c]]),"")</f>
        <v>3.6666666666666665</v>
      </c>
      <c r="DG381" s="14">
        <v>5</v>
      </c>
      <c r="DH381" s="14">
        <v>4</v>
      </c>
      <c r="DI381" s="14">
        <f>IFERROR(AVERAGE(Tabel1[[#This Row],[In - V3a]:[In - V3b]]),"")</f>
        <v>4.5</v>
      </c>
      <c r="DJ381" s="14" t="s">
        <v>189</v>
      </c>
      <c r="DK381" s="14">
        <f>IFERROR(AVERAGE(Tabel1[[#This Row],[In - V1]],Tabel1[[#This Row],[In - V2]],Tabel1[[#This Row],[In - V3]],Tabel1[[#This Row],[In - V4]]),"")</f>
        <v>4.0555555555555554</v>
      </c>
      <c r="DL381" s="14">
        <v>4</v>
      </c>
      <c r="DM381" s="14">
        <v>4</v>
      </c>
      <c r="DN381" s="14">
        <f>IFERROR(AVERAGE(Tabel1[[#This Row],[In - A1a]:[In - A1b]]),"")</f>
        <v>4</v>
      </c>
      <c r="DO381" s="14">
        <v>4</v>
      </c>
      <c r="DP381" s="14">
        <v>4</v>
      </c>
      <c r="DQ381" s="14">
        <f>IFERROR(AVERAGE(Tabel1[[#This Row],[In - A2a]:[In - A2b]]),"")</f>
        <v>4</v>
      </c>
      <c r="DR381" s="14">
        <v>4</v>
      </c>
      <c r="DS381" s="14">
        <v>3</v>
      </c>
      <c r="DT381" s="14">
        <f>IFERROR(AVERAGE(Tabel1[[#This Row],[In - A3a]:[In - A3a]]),"")</f>
        <v>4</v>
      </c>
      <c r="DU381" s="14">
        <v>3</v>
      </c>
      <c r="DV381" s="14">
        <f>IFERROR(AVERAGE(Tabel1[[#This Row],[In - A1]],Tabel1[[#This Row],[In - A2]],Tabel1[[#This Row],[In - A3]],Tabel1[[#This Row],[In - A4]]),"")</f>
        <v>3.75</v>
      </c>
      <c r="DW381" s="14">
        <v>2</v>
      </c>
      <c r="DX381" s="14">
        <v>5</v>
      </c>
      <c r="DY381" s="14">
        <v>1</v>
      </c>
      <c r="DZ381" s="14">
        <f>IFERROR(AVERAGE(Tabel1[[#This Row],[Do - R1a]:[Do - R1c]]),"")</f>
        <v>2.6666666666666665</v>
      </c>
      <c r="EA381" s="14">
        <v>3</v>
      </c>
      <c r="EB381" s="14">
        <v>4</v>
      </c>
      <c r="EC381" s="14">
        <v>1</v>
      </c>
      <c r="ED381" s="14">
        <v>5</v>
      </c>
      <c r="EE381" s="14">
        <f>IFERROR(AVERAGE(Tabel1[[#This Row],[Do - R1]:[Do - R5]]),"")</f>
        <v>3.1333333333333333</v>
      </c>
      <c r="EF381" s="14">
        <v>4</v>
      </c>
      <c r="EG381" s="14">
        <v>3</v>
      </c>
      <c r="EH381" s="14">
        <v>4</v>
      </c>
      <c r="EI381" s="14">
        <f>IFERROR(AVERAGE(Tabel1[[#This Row],[Do - C1a]:[Do - C1c]]),"")</f>
        <v>3.6666666666666665</v>
      </c>
      <c r="EJ381" s="14">
        <v>4</v>
      </c>
      <c r="EK381" s="14">
        <v>2</v>
      </c>
      <c r="EL381" s="14">
        <v>2</v>
      </c>
      <c r="EM381" s="14">
        <f>IFERROR(AVERAGE(Tabel1[[#This Row],[Do - C1]:[Do - C4]]),"")</f>
        <v>2.9166666666666665</v>
      </c>
      <c r="EN381" s="14">
        <v>1</v>
      </c>
      <c r="EO381" s="14">
        <v>1</v>
      </c>
      <c r="EP381" s="14">
        <v>5</v>
      </c>
      <c r="EQ381" s="14">
        <f>IFERROR(AVERAGE(Tabel1[[#This Row],[Do - F1a]:[Do - F1c]]),"")</f>
        <v>2.3333333333333335</v>
      </c>
      <c r="ER381" s="14">
        <v>3</v>
      </c>
      <c r="ES381" s="14">
        <f>IFERROR(AVERAGE(Tabel1[[#This Row],[Do - F2a]:[Do - F2a]]),"")</f>
        <v>3</v>
      </c>
      <c r="ET381" s="14">
        <v>4</v>
      </c>
      <c r="EU381" s="14">
        <v>2</v>
      </c>
      <c r="EV381" s="14">
        <f>IFERROR(AVERAGE(Tabel1[[#This Row],[Do - F3a]:[Do - F3b]]),"")</f>
        <v>3</v>
      </c>
      <c r="EW381" s="14">
        <v>2</v>
      </c>
      <c r="EX381" s="14">
        <f>IFERROR(AVERAGE(Tabel1[[#This Row],[Do - F1]],Tabel1[[#This Row],[Do - F2]],Tabel1[[#This Row],[Do - F3]],Tabel1[[#This Row],[Do - F4]]),"")</f>
        <v>2.5833333333333335</v>
      </c>
      <c r="EY381" s="14">
        <v>3</v>
      </c>
      <c r="EZ381" s="14">
        <v>2</v>
      </c>
      <c r="FA381" s="14">
        <v>4</v>
      </c>
      <c r="FB381" s="14">
        <f>IFERROR(AVERAGE(Tabel1[[#This Row],[Do - V1a]:[Do - V1c]]),"")</f>
        <v>3</v>
      </c>
      <c r="FC381" s="14">
        <v>5</v>
      </c>
      <c r="FD381" s="14">
        <v>3</v>
      </c>
      <c r="FE381" s="14">
        <f>IFERROR(AVERAGE(Tabel1[[#This Row],[Do - V2a]:[Do - V2b]]),"")</f>
        <v>4</v>
      </c>
      <c r="FF381" s="14">
        <v>4</v>
      </c>
      <c r="FG381" s="14">
        <f>IFERROR(AVERAGE(Tabel1[[#This Row],[Do - V3a]:[Do - V3a]]),"")</f>
        <v>4</v>
      </c>
      <c r="FH381" s="14" t="s">
        <v>189</v>
      </c>
      <c r="FI381" s="14">
        <f>IFERROR(AVERAGE(Tabel1[[#This Row],[Do - V1]],Tabel1[[#This Row],[Do - V2]],Tabel1[[#This Row],[Do - V3]],Tabel1[[#This Row],[Do - V4]]),"")</f>
        <v>3.6666666666666665</v>
      </c>
      <c r="FJ381" s="14">
        <v>3</v>
      </c>
      <c r="FK381" s="14">
        <v>3</v>
      </c>
      <c r="FL381" s="14" t="s">
        <v>189</v>
      </c>
      <c r="FM381" s="14">
        <f>IFERROR(AVERAGE(Tabel1[[#This Row],[Do - A1a]:[Do - A1c]]),"")</f>
        <v>3</v>
      </c>
      <c r="FN381" s="14">
        <v>2</v>
      </c>
      <c r="FO381" s="14">
        <v>5</v>
      </c>
      <c r="FP381" s="14">
        <f>IFERROR(AVERAGE(Tabel1[[#This Row],[Do - A2a]:[Do - A2b]]),"")</f>
        <v>3.5</v>
      </c>
      <c r="FQ381" s="14">
        <v>5</v>
      </c>
      <c r="FR381" s="14">
        <f>IFERROR(AVERAGE(Tabel1[[#This Row],[Do - A3a]:[Do - A3a]]),"")</f>
        <v>5</v>
      </c>
      <c r="FS381" s="14" t="s">
        <v>189</v>
      </c>
      <c r="FT381" s="14">
        <f>IFERROR(AVERAGE(Tabel1[[#This Row],[Do - A1]],Tabel1[[#This Row],[Do - A2]],Tabel1[[#This Row],[Do - A3]],Tabel1[[#This Row],[Do - A4]]),"")</f>
        <v>3.8333333333333335</v>
      </c>
      <c r="FU38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3.338888888888889</v>
      </c>
      <c r="FV381" s="27" t="s">
        <v>1930</v>
      </c>
      <c r="FW381" t="b">
        <v>1</v>
      </c>
    </row>
    <row r="382" spans="1:179" x14ac:dyDescent="0.3">
      <c r="A382" s="13">
        <v>45609.688287037039</v>
      </c>
      <c r="B382" t="b">
        <v>0</v>
      </c>
      <c r="C382" s="14" t="s">
        <v>1931</v>
      </c>
      <c r="D382" s="14" t="s">
        <v>192</v>
      </c>
      <c r="E382" s="14" t="s">
        <v>193</v>
      </c>
      <c r="F382" s="14" t="s">
        <v>1932</v>
      </c>
      <c r="G382" s="8" t="s">
        <v>1933</v>
      </c>
      <c r="H382" s="14" t="s">
        <v>194</v>
      </c>
      <c r="I382" s="14" t="s">
        <v>195</v>
      </c>
      <c r="J382" s="14" t="s">
        <v>196</v>
      </c>
      <c r="K382" s="28" t="s">
        <v>235</v>
      </c>
      <c r="L382" s="14" t="s">
        <v>197</v>
      </c>
      <c r="M382" s="14" t="s">
        <v>198</v>
      </c>
      <c r="N382" s="14" t="s">
        <v>199</v>
      </c>
      <c r="O382" s="14" t="s">
        <v>200</v>
      </c>
      <c r="P382" s="25" t="s">
        <v>1605</v>
      </c>
      <c r="Q382" s="17" t="s">
        <v>203</v>
      </c>
      <c r="R382" s="25" t="s">
        <v>235</v>
      </c>
      <c r="S382" s="25" t="s">
        <v>201</v>
      </c>
      <c r="T382" s="14" t="s">
        <v>204</v>
      </c>
      <c r="U382" s="14" t="s">
        <v>205</v>
      </c>
      <c r="V382" s="14" t="s">
        <v>206</v>
      </c>
      <c r="W382" s="14" t="s">
        <v>306</v>
      </c>
      <c r="X382" s="14" t="s">
        <v>306</v>
      </c>
      <c r="Y382" s="14">
        <v>3</v>
      </c>
      <c r="Z382" s="14">
        <v>4</v>
      </c>
      <c r="AA382" s="14">
        <v>4</v>
      </c>
      <c r="AB382" s="15">
        <f>IFERROR(AVERAGE(Tabel1[[#This Row],[Up - R1a]:[Up - R1c]]),"")</f>
        <v>3.6666666666666665</v>
      </c>
      <c r="AC382" s="14">
        <v>4</v>
      </c>
      <c r="AD382" s="14">
        <v>5</v>
      </c>
      <c r="AE382" s="14">
        <v>2</v>
      </c>
      <c r="AF382" s="14">
        <v>3</v>
      </c>
      <c r="AG382" s="14">
        <f>IFERROR(AVERAGE(Tabel1[[#This Row],[Up - R1]:[Up - R5]]),"")</f>
        <v>3.5333333333333328</v>
      </c>
      <c r="AH382" s="14">
        <v>3</v>
      </c>
      <c r="AI382" s="14">
        <v>4</v>
      </c>
      <c r="AJ382" s="14">
        <v>4</v>
      </c>
      <c r="AK382" s="14">
        <f>IFERROR(AVERAGE(Tabel1[[#This Row],[Up - C1a]:[Up - C1c]]),"")</f>
        <v>3.6666666666666665</v>
      </c>
      <c r="AL382" s="14">
        <v>2</v>
      </c>
      <c r="AM382" s="14">
        <v>3</v>
      </c>
      <c r="AN382" s="14">
        <v>3</v>
      </c>
      <c r="AO382" s="14">
        <f>IFERROR(AVERAGE(Tabel1[[#This Row],[Up - C1]:[Up - C4]]),"")</f>
        <v>2.9166666666666665</v>
      </c>
      <c r="AP382" s="14">
        <v>3</v>
      </c>
      <c r="AQ382" s="14">
        <f>IFERROR(AVERAGE(Tabel1[[#This Row],[Up - F1a]:[Up - F1a]]),"")</f>
        <v>3</v>
      </c>
      <c r="AR382" s="14">
        <v>2</v>
      </c>
      <c r="AS382" s="14">
        <v>3</v>
      </c>
      <c r="AT382" s="14">
        <f>IFERROR(AVERAGE(Tabel1[[#This Row],[Up - F2a]:[Up - F2b]]),"")</f>
        <v>2.5</v>
      </c>
      <c r="AU382" s="14">
        <v>4</v>
      </c>
      <c r="AV382" s="14">
        <v>3</v>
      </c>
      <c r="AW382" s="14">
        <f>IFERROR(AVERAGE(Tabel1[[#This Row],[Up - F3a]:[Up - F3b]]),"")</f>
        <v>3.5</v>
      </c>
      <c r="AX382" s="14">
        <v>3</v>
      </c>
      <c r="AY382" s="14">
        <f>IFERROR(AVERAGE(Tabel1[[#This Row],[Up - F1]],Tabel1[[#This Row],[Up - F2]],Tabel1[[#This Row],[Up - F3]],Tabel1[[#This Row],[Up - F4]]),"")</f>
        <v>3</v>
      </c>
      <c r="AZ382" s="14">
        <v>2</v>
      </c>
      <c r="BA382" s="14">
        <v>3</v>
      </c>
      <c r="BB382" s="14">
        <f>IFERROR(AVERAGE(Tabel1[[#This Row],[Up - V1a]:[Up - V1b]]),"")</f>
        <v>2.5</v>
      </c>
      <c r="BC382" s="14">
        <v>2</v>
      </c>
      <c r="BD382" s="14">
        <v>4</v>
      </c>
      <c r="BE382" s="14">
        <v>4</v>
      </c>
      <c r="BF382" s="14">
        <f>IFERROR(AVERAGE(Tabel1[[#This Row],[Up - V2a]:[Up - V2c]]),"")</f>
        <v>3.3333333333333335</v>
      </c>
      <c r="BG382" s="14">
        <v>4</v>
      </c>
      <c r="BH382" s="14">
        <v>3</v>
      </c>
      <c r="BI382" s="14">
        <f>IFERROR(AVERAGE(Tabel1[[#This Row],[Up - V3a]:[Up - V3b]]),"")</f>
        <v>3.5</v>
      </c>
      <c r="BJ382" s="14">
        <v>3</v>
      </c>
      <c r="BK382" s="14">
        <f>IFERROR(AVERAGE(Tabel1[[#This Row],[Up - V1]],Tabel1[[#This Row],[Up - V2]],Tabel1[[#This Row],[Up - V3]],Tabel1[[#This Row],[Up - V4]]),"")</f>
        <v>3.0833333333333335</v>
      </c>
      <c r="BL382" s="14">
        <v>4</v>
      </c>
      <c r="BM382" s="14">
        <v>4</v>
      </c>
      <c r="BN382" s="14">
        <v>2</v>
      </c>
      <c r="BO382" s="14">
        <v>2</v>
      </c>
      <c r="BP382" s="14">
        <f>IFERROR(AVERAGE(Tabel1[[#This Row],[Up - A1a]:[Up - A1d]]),"")</f>
        <v>3</v>
      </c>
      <c r="BQ382" s="14">
        <v>3</v>
      </c>
      <c r="BR382" s="14">
        <v>3</v>
      </c>
      <c r="BS382" s="14">
        <f>IFERROR(AVERAGE(Tabel1[[#This Row],[Up - A2a]:[Up - A2b]]),"")</f>
        <v>3</v>
      </c>
      <c r="BT382" s="14">
        <v>4</v>
      </c>
      <c r="BU382" s="14">
        <f>IFERROR(AVERAGE(Tabel1[[#This Row],[Up - A3a]:[Up - A3a]]),"")</f>
        <v>4</v>
      </c>
      <c r="BV382" s="14">
        <v>2</v>
      </c>
      <c r="BW382" s="14">
        <f>IFERROR(AVERAGE(Tabel1[[#This Row],[Up - A1]],Tabel1[[#This Row],[Up - A2]],Tabel1[[#This Row],[Up - A3]]),"")</f>
        <v>3.3333333333333335</v>
      </c>
      <c r="BX382" s="14">
        <v>3</v>
      </c>
      <c r="BY382" s="14">
        <v>4</v>
      </c>
      <c r="BZ382" s="14">
        <f>IFERROR(AVERAGE(Tabel1[[#This Row],[In - R1a]:[In - R1b]]),"")</f>
        <v>3.5</v>
      </c>
      <c r="CA382" s="14">
        <v>5</v>
      </c>
      <c r="CB382" s="14">
        <v>5</v>
      </c>
      <c r="CC382" s="14">
        <v>2</v>
      </c>
      <c r="CD382" s="14">
        <v>3</v>
      </c>
      <c r="CE382" s="14">
        <f>IFERROR(AVERAGE(Tabel1[[#This Row],[In - R1]:[In - R5]]),"")</f>
        <v>3.7</v>
      </c>
      <c r="CF382" s="14">
        <v>5</v>
      </c>
      <c r="CG382" s="14">
        <v>4</v>
      </c>
      <c r="CH382" s="14">
        <v>4</v>
      </c>
      <c r="CI382" s="14">
        <f>IFERROR(AVERAGE(Tabel1[[#This Row],[In - C1a]:[In - C1c]]),"")</f>
        <v>4.333333333333333</v>
      </c>
      <c r="CJ382" s="14">
        <v>5</v>
      </c>
      <c r="CK382" s="14">
        <v>4</v>
      </c>
      <c r="CL382" s="14">
        <v>4</v>
      </c>
      <c r="CM382" s="14">
        <f>IFERROR(AVERAGE(Tabel1[[#This Row],[In - C1]:[In - C4]]),"")</f>
        <v>4.333333333333333</v>
      </c>
      <c r="CN382" s="14">
        <v>3</v>
      </c>
      <c r="CO382" s="14">
        <v>2</v>
      </c>
      <c r="CP382" s="14">
        <v>3</v>
      </c>
      <c r="CQ382" s="14">
        <f>IFERROR(AVERAGE(Tabel1[[#This Row],[In - F1a]:[In - F1c]]),"")</f>
        <v>2.6666666666666665</v>
      </c>
      <c r="CR382" s="14">
        <v>3</v>
      </c>
      <c r="CS382" s="14">
        <v>2</v>
      </c>
      <c r="CT382" s="14">
        <f>IFERROR(AVERAGE(Tabel1[[#This Row],[In - F2a]:[In - F2b]]),"")</f>
        <v>2.5</v>
      </c>
      <c r="CU382" s="14">
        <v>2</v>
      </c>
      <c r="CV382" s="14">
        <f>IFERROR(AVERAGE(Tabel1[[#This Row],[In - F3a]:[In - F3a]]),"")</f>
        <v>2</v>
      </c>
      <c r="CW382" s="14">
        <v>2</v>
      </c>
      <c r="CX382" s="14">
        <f>IFERROR(AVERAGE(Tabel1[[#This Row],[In - F1]],Tabel1[[#This Row],[In - F2]],Tabel1[[#This Row],[In - F3]],Tabel1[[#This Row],[In - F4]]),"")</f>
        <v>2.2916666666666665</v>
      </c>
      <c r="CY382" s="14">
        <v>4</v>
      </c>
      <c r="CZ382" s="14">
        <v>4</v>
      </c>
      <c r="DA382" s="14">
        <v>4</v>
      </c>
      <c r="DB382" s="14">
        <f>IFERROR(AVERAGE(Tabel1[[#This Row],[In - V1a]:[In - V1c]]),"")</f>
        <v>4</v>
      </c>
      <c r="DC382" s="14">
        <v>4</v>
      </c>
      <c r="DD382" s="14">
        <v>4</v>
      </c>
      <c r="DE382" s="14">
        <v>5</v>
      </c>
      <c r="DF382" s="14">
        <f>IFERROR(AVERAGE(Tabel1[[#This Row],[In - V2a]:[In - V2c]]),"")</f>
        <v>4.333333333333333</v>
      </c>
      <c r="DG382" s="14">
        <v>4</v>
      </c>
      <c r="DH382" s="14">
        <v>4</v>
      </c>
      <c r="DI382" s="14">
        <f>IFERROR(AVERAGE(Tabel1[[#This Row],[In - V3a]:[In - V3b]]),"")</f>
        <v>4</v>
      </c>
      <c r="DJ382" s="14">
        <v>4</v>
      </c>
      <c r="DK382" s="14">
        <f>IFERROR(AVERAGE(Tabel1[[#This Row],[In - V1]],Tabel1[[#This Row],[In - V2]],Tabel1[[#This Row],[In - V3]],Tabel1[[#This Row],[In - V4]]),"")</f>
        <v>4.083333333333333</v>
      </c>
      <c r="DL382" s="14">
        <v>3</v>
      </c>
      <c r="DM382" s="14">
        <v>3</v>
      </c>
      <c r="DN382" s="14">
        <f>IFERROR(AVERAGE(Tabel1[[#This Row],[In - A1a]:[In - A1b]]),"")</f>
        <v>3</v>
      </c>
      <c r="DO382" s="14" t="s">
        <v>189</v>
      </c>
      <c r="DP382" s="14">
        <v>3</v>
      </c>
      <c r="DQ382" s="14">
        <f>IFERROR(AVERAGE(Tabel1[[#This Row],[In - A2a]:[In - A2b]]),"")</f>
        <v>3</v>
      </c>
      <c r="DR382" s="14">
        <v>4</v>
      </c>
      <c r="DS382" s="14">
        <v>2</v>
      </c>
      <c r="DT382" s="14">
        <f>IFERROR(AVERAGE(Tabel1[[#This Row],[In - A3a]:[In - A3a]]),"")</f>
        <v>4</v>
      </c>
      <c r="DU382" s="14">
        <v>3</v>
      </c>
      <c r="DV382" s="14">
        <f>IFERROR(AVERAGE(Tabel1[[#This Row],[In - A1]],Tabel1[[#This Row],[In - A2]],Tabel1[[#This Row],[In - A3]],Tabel1[[#This Row],[In - A4]]),"")</f>
        <v>3.25</v>
      </c>
      <c r="DW382" s="14">
        <v>2</v>
      </c>
      <c r="DX382" s="14">
        <v>5</v>
      </c>
      <c r="DY382" s="14">
        <v>3</v>
      </c>
      <c r="DZ382" s="14">
        <f>IFERROR(AVERAGE(Tabel1[[#This Row],[Do - R1a]:[Do - R1c]]),"")</f>
        <v>3.3333333333333335</v>
      </c>
      <c r="EA382" s="14">
        <v>5</v>
      </c>
      <c r="EB382" s="14">
        <v>4</v>
      </c>
      <c r="EC382" s="14">
        <v>2</v>
      </c>
      <c r="ED382" s="14">
        <v>3</v>
      </c>
      <c r="EE382" s="14">
        <f>IFERROR(AVERAGE(Tabel1[[#This Row],[Do - R1]:[Do - R5]]),"")</f>
        <v>3.4666666666666672</v>
      </c>
      <c r="EF382" s="14">
        <v>3</v>
      </c>
      <c r="EG382" s="14">
        <v>4</v>
      </c>
      <c r="EH382" s="14">
        <v>4</v>
      </c>
      <c r="EI382" s="14">
        <f>IFERROR(AVERAGE(Tabel1[[#This Row],[Do - C1a]:[Do - C1c]]),"")</f>
        <v>3.6666666666666665</v>
      </c>
      <c r="EJ382" s="14">
        <v>4</v>
      </c>
      <c r="EK382" s="14">
        <v>4</v>
      </c>
      <c r="EL382" s="14">
        <v>3</v>
      </c>
      <c r="EM382" s="14">
        <f>IFERROR(AVERAGE(Tabel1[[#This Row],[Do - C1]:[Do - C4]]),"")</f>
        <v>3.6666666666666665</v>
      </c>
      <c r="EN382" s="14">
        <v>3</v>
      </c>
      <c r="EO382" s="14">
        <v>3</v>
      </c>
      <c r="EP382" s="14">
        <v>5</v>
      </c>
      <c r="EQ382" s="14">
        <f>IFERROR(AVERAGE(Tabel1[[#This Row],[Do - F1a]:[Do - F1c]]),"")</f>
        <v>3.6666666666666665</v>
      </c>
      <c r="ER382" s="14">
        <v>3</v>
      </c>
      <c r="ES382" s="14">
        <f>IFERROR(AVERAGE(Tabel1[[#This Row],[Do - F2a]:[Do - F2a]]),"")</f>
        <v>3</v>
      </c>
      <c r="ET382" s="14">
        <v>3</v>
      </c>
      <c r="EU382" s="14">
        <v>4</v>
      </c>
      <c r="EV382" s="14">
        <f>IFERROR(AVERAGE(Tabel1[[#This Row],[Do - F3a]:[Do - F3b]]),"")</f>
        <v>3.5</v>
      </c>
      <c r="EW382" s="14">
        <v>2</v>
      </c>
      <c r="EX382" s="14">
        <f>IFERROR(AVERAGE(Tabel1[[#This Row],[Do - F1]],Tabel1[[#This Row],[Do - F2]],Tabel1[[#This Row],[Do - F3]],Tabel1[[#This Row],[Do - F4]]),"")</f>
        <v>3.0416666666666665</v>
      </c>
      <c r="EY382" s="14">
        <v>3</v>
      </c>
      <c r="EZ382" s="14">
        <v>3</v>
      </c>
      <c r="FA382" s="14">
        <v>4</v>
      </c>
      <c r="FB382" s="14">
        <f>IFERROR(AVERAGE(Tabel1[[#This Row],[Do - V1a]:[Do - V1c]]),"")</f>
        <v>3.3333333333333335</v>
      </c>
      <c r="FC382" s="14">
        <v>2</v>
      </c>
      <c r="FD382" s="14">
        <v>3</v>
      </c>
      <c r="FE382" s="14">
        <f>IFERROR(AVERAGE(Tabel1[[#This Row],[Do - V2a]:[Do - V2b]]),"")</f>
        <v>2.5</v>
      </c>
      <c r="FF382" s="14">
        <v>4</v>
      </c>
      <c r="FG382" s="14">
        <f>IFERROR(AVERAGE(Tabel1[[#This Row],[Do - V3a]:[Do - V3a]]),"")</f>
        <v>4</v>
      </c>
      <c r="FH382" s="14">
        <v>4</v>
      </c>
      <c r="FI382" s="14">
        <f>IFERROR(AVERAGE(Tabel1[[#This Row],[Do - V1]],Tabel1[[#This Row],[Do - V2]],Tabel1[[#This Row],[Do - V3]],Tabel1[[#This Row],[Do - V4]]),"")</f>
        <v>3.4583333333333335</v>
      </c>
      <c r="FJ382" s="14">
        <v>5</v>
      </c>
      <c r="FK382" s="14">
        <v>3</v>
      </c>
      <c r="FL382" s="14">
        <v>4</v>
      </c>
      <c r="FM382" s="14">
        <f>IFERROR(AVERAGE(Tabel1[[#This Row],[Do - A1a]:[Do - A1c]]),"")</f>
        <v>4</v>
      </c>
      <c r="FN382" s="14">
        <v>4</v>
      </c>
      <c r="FO382" s="14">
        <v>4</v>
      </c>
      <c r="FP382" s="14">
        <f>IFERROR(AVERAGE(Tabel1[[#This Row],[Do - A2a]:[Do - A2b]]),"")</f>
        <v>4</v>
      </c>
      <c r="FQ382" s="14">
        <v>4</v>
      </c>
      <c r="FR382" s="14">
        <f>IFERROR(AVERAGE(Tabel1[[#This Row],[Do - A3a]:[Do - A3a]]),"")</f>
        <v>4</v>
      </c>
      <c r="FS382" s="14">
        <v>2</v>
      </c>
      <c r="FT382" s="14">
        <f>IFERROR(AVERAGE(Tabel1[[#This Row],[Do - A1]],Tabel1[[#This Row],[Do - A2]],Tabel1[[#This Row],[Do - A3]],Tabel1[[#This Row],[Do - A4]]),"")</f>
        <v>3.5</v>
      </c>
      <c r="FU38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3.3772222222222221</v>
      </c>
      <c r="FV382" s="27" t="s">
        <v>1934</v>
      </c>
      <c r="FW382" t="b">
        <v>1</v>
      </c>
    </row>
    <row r="383" spans="1:179" x14ac:dyDescent="0.3">
      <c r="A383" s="13">
        <v>45610.582939814798</v>
      </c>
      <c r="B383" t="b">
        <v>0</v>
      </c>
      <c r="C383" s="14" t="s">
        <v>1935</v>
      </c>
      <c r="D383" s="14" t="s">
        <v>1936</v>
      </c>
      <c r="E383" s="14" t="s">
        <v>193</v>
      </c>
      <c r="F383" s="14" t="s">
        <v>189</v>
      </c>
      <c r="G383" s="14" t="s">
        <v>1937</v>
      </c>
      <c r="H383" s="14" t="s">
        <v>194</v>
      </c>
      <c r="I383" s="14" t="s">
        <v>195</v>
      </c>
      <c r="J383" s="14" t="s">
        <v>196</v>
      </c>
      <c r="K383" s="28" t="s">
        <v>187</v>
      </c>
      <c r="L383" s="14" t="s">
        <v>385</v>
      </c>
      <c r="M383" s="14" t="s">
        <v>188</v>
      </c>
      <c r="N383" s="14" t="s">
        <v>199</v>
      </c>
      <c r="O383" s="14" t="s">
        <v>256</v>
      </c>
      <c r="P383" s="25" t="s">
        <v>203</v>
      </c>
      <c r="Q383" s="17" t="s">
        <v>235</v>
      </c>
      <c r="R383" s="25" t="s">
        <v>187</v>
      </c>
      <c r="S383" s="25" t="s">
        <v>235</v>
      </c>
      <c r="T383" s="14" t="s">
        <v>284</v>
      </c>
      <c r="U383" s="14" t="s">
        <v>205</v>
      </c>
      <c r="V383" s="14" t="s">
        <v>206</v>
      </c>
      <c r="W383" s="14" t="s">
        <v>207</v>
      </c>
      <c r="X383" s="14" t="s">
        <v>306</v>
      </c>
      <c r="Y383" s="14">
        <v>3</v>
      </c>
      <c r="Z383" s="14">
        <v>5</v>
      </c>
      <c r="AA383" s="14" t="s">
        <v>189</v>
      </c>
      <c r="AB383" s="15">
        <f>IFERROR(AVERAGE(Tabel1[[#This Row],[Up - R1a]:[Up - R1c]]),"")</f>
        <v>4</v>
      </c>
      <c r="AC383" s="14">
        <v>3</v>
      </c>
      <c r="AD383" s="14">
        <v>4</v>
      </c>
      <c r="AE383" s="14">
        <v>3</v>
      </c>
      <c r="AF383" s="14">
        <v>4</v>
      </c>
      <c r="AG383" s="14">
        <f>IFERROR(AVERAGE(Tabel1[[#This Row],[Up - R1]:[Up - R5]]),"")</f>
        <v>3.6</v>
      </c>
      <c r="AH383" s="14">
        <v>3</v>
      </c>
      <c r="AI383" s="14">
        <v>3</v>
      </c>
      <c r="AJ383" s="14">
        <v>4</v>
      </c>
      <c r="AK383" s="14">
        <f>IFERROR(AVERAGE(Tabel1[[#This Row],[Up - C1a]:[Up - C1c]]),"")</f>
        <v>3.3333333333333335</v>
      </c>
      <c r="AL383" s="14">
        <v>4</v>
      </c>
      <c r="AM383" s="14" t="s">
        <v>189</v>
      </c>
      <c r="AN383" s="14" t="s">
        <v>189</v>
      </c>
      <c r="AO383" s="14">
        <f>IFERROR(AVERAGE(Tabel1[[#This Row],[Up - C1]:[Up - C4]]),"")</f>
        <v>3.666666666666667</v>
      </c>
      <c r="AP383" s="14">
        <v>3</v>
      </c>
      <c r="AQ383" s="14">
        <f>IFERROR(AVERAGE(Tabel1[[#This Row],[Up - F1a]:[Up - F1a]]),"")</f>
        <v>3</v>
      </c>
      <c r="AR383" s="14">
        <v>2</v>
      </c>
      <c r="AS383" s="14">
        <v>4</v>
      </c>
      <c r="AT383" s="14">
        <f>IFERROR(AVERAGE(Tabel1[[#This Row],[Up - F2a]:[Up - F2b]]),"")</f>
        <v>3</v>
      </c>
      <c r="AU383" s="14">
        <v>4</v>
      </c>
      <c r="AV383" s="14">
        <v>4</v>
      </c>
      <c r="AW383" s="14">
        <f>IFERROR(AVERAGE(Tabel1[[#This Row],[Up - F3a]:[Up - F3b]]),"")</f>
        <v>4</v>
      </c>
      <c r="AX383" s="14" t="s">
        <v>189</v>
      </c>
      <c r="AY383" s="14">
        <f>IFERROR(AVERAGE(Tabel1[[#This Row],[Up - F1]],Tabel1[[#This Row],[Up - F2]],Tabel1[[#This Row],[Up - F3]],Tabel1[[#This Row],[Up - F4]]),"")</f>
        <v>3.3333333333333335</v>
      </c>
      <c r="AZ383" s="14">
        <v>3</v>
      </c>
      <c r="BA383" s="14">
        <v>3</v>
      </c>
      <c r="BB383" s="14">
        <f>IFERROR(AVERAGE(Tabel1[[#This Row],[Up - V1a]:[Up - V1b]]),"")</f>
        <v>3</v>
      </c>
      <c r="BC383" s="14">
        <v>3</v>
      </c>
      <c r="BD383" s="14">
        <v>3</v>
      </c>
      <c r="BE383" s="14">
        <v>4</v>
      </c>
      <c r="BF383" s="14">
        <f>IFERROR(AVERAGE(Tabel1[[#This Row],[Up - V2a]:[Up - V2c]]),"")</f>
        <v>3.3333333333333335</v>
      </c>
      <c r="BG383" s="14">
        <v>2</v>
      </c>
      <c r="BH383" s="14">
        <v>4</v>
      </c>
      <c r="BI383" s="14">
        <f>IFERROR(AVERAGE(Tabel1[[#This Row],[Up - V3a]:[Up - V3b]]),"")</f>
        <v>3</v>
      </c>
      <c r="BJ383" s="14">
        <v>3</v>
      </c>
      <c r="BK383" s="14">
        <f>IFERROR(AVERAGE(Tabel1[[#This Row],[Up - V1]],Tabel1[[#This Row],[Up - V2]],Tabel1[[#This Row],[Up - V3]],Tabel1[[#This Row],[Up - V4]]),"")</f>
        <v>3.0833333333333335</v>
      </c>
      <c r="BL383" s="14">
        <v>4</v>
      </c>
      <c r="BM383" s="14">
        <v>4</v>
      </c>
      <c r="BN383" s="14">
        <v>2</v>
      </c>
      <c r="BO383" s="14">
        <v>2</v>
      </c>
      <c r="BP383" s="14">
        <f>IFERROR(AVERAGE(Tabel1[[#This Row],[Up - A1a]:[Up - A1d]]),"")</f>
        <v>3</v>
      </c>
      <c r="BQ383" s="14">
        <v>3</v>
      </c>
      <c r="BR383" s="14">
        <v>4</v>
      </c>
      <c r="BS383" s="14">
        <f>IFERROR(AVERAGE(Tabel1[[#This Row],[Up - A2a]:[Up - A2b]]),"")</f>
        <v>3.5</v>
      </c>
      <c r="BT383" s="14">
        <v>3</v>
      </c>
      <c r="BU383" s="14">
        <f>IFERROR(AVERAGE(Tabel1[[#This Row],[Up - A3a]:[Up - A3a]]),"")</f>
        <v>3</v>
      </c>
      <c r="BV383" s="14">
        <v>3</v>
      </c>
      <c r="BW383" s="14">
        <f>IFERROR(AVERAGE(Tabel1[[#This Row],[Up - A1]],Tabel1[[#This Row],[Up - A2]],Tabel1[[#This Row],[Up - A3]]),"")</f>
        <v>3.1666666666666665</v>
      </c>
      <c r="BX383" s="14">
        <v>4</v>
      </c>
      <c r="BY383" s="14">
        <v>5</v>
      </c>
      <c r="BZ383" s="14">
        <f>IFERROR(AVERAGE(Tabel1[[#This Row],[In - R1a]:[In - R1b]]),"")</f>
        <v>4.5</v>
      </c>
      <c r="CA383" s="14">
        <v>4</v>
      </c>
      <c r="CB383" s="14">
        <v>5</v>
      </c>
      <c r="CC383" s="14">
        <v>3</v>
      </c>
      <c r="CD383" s="14">
        <v>5</v>
      </c>
      <c r="CE383" s="14">
        <f>IFERROR(AVERAGE(Tabel1[[#This Row],[In - R1]:[In - R5]]),"")</f>
        <v>4.3</v>
      </c>
      <c r="CF383" s="14">
        <v>4</v>
      </c>
      <c r="CG383" s="14">
        <v>4</v>
      </c>
      <c r="CH383" s="14">
        <v>5</v>
      </c>
      <c r="CI383" s="14">
        <f>IFERROR(AVERAGE(Tabel1[[#This Row],[In - C1a]:[In - C1c]]),"")</f>
        <v>4.333333333333333</v>
      </c>
      <c r="CJ383" s="14">
        <v>5</v>
      </c>
      <c r="CK383" s="14">
        <v>3</v>
      </c>
      <c r="CL383" s="14">
        <v>3</v>
      </c>
      <c r="CM383" s="14">
        <f>IFERROR(AVERAGE(Tabel1[[#This Row],[In - C1]:[In - C4]]),"")</f>
        <v>3.833333333333333</v>
      </c>
      <c r="CN383" s="14">
        <v>5</v>
      </c>
      <c r="CO383" s="14">
        <v>2</v>
      </c>
      <c r="CP383" s="14">
        <v>1</v>
      </c>
      <c r="CQ383" s="14">
        <f>IFERROR(AVERAGE(Tabel1[[#This Row],[In - F1a]:[In - F1c]]),"")</f>
        <v>2.6666666666666665</v>
      </c>
      <c r="CR383" s="14">
        <v>4</v>
      </c>
      <c r="CS383" s="14">
        <v>3</v>
      </c>
      <c r="CT383" s="14">
        <f>IFERROR(AVERAGE(Tabel1[[#This Row],[In - F2a]:[In - F2b]]),"")</f>
        <v>3.5</v>
      </c>
      <c r="CU383" s="14">
        <v>3</v>
      </c>
      <c r="CV383" s="14">
        <f>IFERROR(AVERAGE(Tabel1[[#This Row],[In - F3a]:[In - F3a]]),"")</f>
        <v>3</v>
      </c>
      <c r="CW383" s="14" t="s">
        <v>189</v>
      </c>
      <c r="CX383" s="14">
        <f>IFERROR(AVERAGE(Tabel1[[#This Row],[In - F1]],Tabel1[[#This Row],[In - F2]],Tabel1[[#This Row],[In - F3]],Tabel1[[#This Row],[In - F4]]),"")</f>
        <v>3.0555555555555554</v>
      </c>
      <c r="CY383" s="14">
        <v>3</v>
      </c>
      <c r="CZ383" s="14">
        <v>4</v>
      </c>
      <c r="DA383" s="14">
        <v>4</v>
      </c>
      <c r="DB383" s="14">
        <f>IFERROR(AVERAGE(Tabel1[[#This Row],[In - V1a]:[In - V1c]]),"")</f>
        <v>3.6666666666666665</v>
      </c>
      <c r="DC383" s="14">
        <v>3</v>
      </c>
      <c r="DD383" s="14">
        <v>4</v>
      </c>
      <c r="DE383" s="14">
        <v>3</v>
      </c>
      <c r="DF383" s="14">
        <f>IFERROR(AVERAGE(Tabel1[[#This Row],[In - V2a]:[In - V2c]]),"")</f>
        <v>3.3333333333333335</v>
      </c>
      <c r="DG383" s="14">
        <v>4</v>
      </c>
      <c r="DH383" s="14">
        <v>4</v>
      </c>
      <c r="DI383" s="14">
        <f>IFERROR(AVERAGE(Tabel1[[#This Row],[In - V3a]:[In - V3b]]),"")</f>
        <v>4</v>
      </c>
      <c r="DJ383" s="14">
        <v>4</v>
      </c>
      <c r="DK383" s="14">
        <f>IFERROR(AVERAGE(Tabel1[[#This Row],[In - V1]],Tabel1[[#This Row],[In - V2]],Tabel1[[#This Row],[In - V3]],Tabel1[[#This Row],[In - V4]]),"")</f>
        <v>3.75</v>
      </c>
      <c r="DL383" s="14">
        <v>3</v>
      </c>
      <c r="DM383" s="14">
        <v>3</v>
      </c>
      <c r="DN383" s="14">
        <f>IFERROR(AVERAGE(Tabel1[[#This Row],[In - A1a]:[In - A1b]]),"")</f>
        <v>3</v>
      </c>
      <c r="DO383" s="14">
        <v>3</v>
      </c>
      <c r="DP383" s="14">
        <v>3</v>
      </c>
      <c r="DQ383" s="14">
        <f>IFERROR(AVERAGE(Tabel1[[#This Row],[In - A2a]:[In - A2b]]),"")</f>
        <v>3</v>
      </c>
      <c r="DR383" s="14">
        <v>3</v>
      </c>
      <c r="DS383" s="14">
        <v>2</v>
      </c>
      <c r="DT383" s="14">
        <f>IFERROR(AVERAGE(Tabel1[[#This Row],[In - A3a]:[In - A3a]]),"")</f>
        <v>3</v>
      </c>
      <c r="DU383" s="14">
        <v>2</v>
      </c>
      <c r="DV383" s="14">
        <f>IFERROR(AVERAGE(Tabel1[[#This Row],[In - A1]],Tabel1[[#This Row],[In - A2]],Tabel1[[#This Row],[In - A3]],Tabel1[[#This Row],[In - A4]]),"")</f>
        <v>2.75</v>
      </c>
      <c r="DW383" s="14">
        <v>3</v>
      </c>
      <c r="DX383" s="14">
        <v>5</v>
      </c>
      <c r="DY383" s="14">
        <v>3</v>
      </c>
      <c r="DZ383" s="14">
        <f>IFERROR(AVERAGE(Tabel1[[#This Row],[Do - R1a]:[Do - R1c]]),"")</f>
        <v>3.6666666666666665</v>
      </c>
      <c r="EA383" s="14">
        <v>2</v>
      </c>
      <c r="EB383" s="14">
        <v>4</v>
      </c>
      <c r="EC383" s="14">
        <v>3</v>
      </c>
      <c r="ED383" s="14" t="s">
        <v>189</v>
      </c>
      <c r="EE383" s="14">
        <f>IFERROR(AVERAGE(Tabel1[[#This Row],[Do - R1]:[Do - R5]]),"")</f>
        <v>3.1666666666666665</v>
      </c>
      <c r="EF383" s="14">
        <v>3</v>
      </c>
      <c r="EG383" s="14">
        <v>4</v>
      </c>
      <c r="EH383" s="14">
        <v>4</v>
      </c>
      <c r="EI383" s="14">
        <f>IFERROR(AVERAGE(Tabel1[[#This Row],[Do - C1a]:[Do - C1c]]),"")</f>
        <v>3.6666666666666665</v>
      </c>
      <c r="EJ383" s="14">
        <v>3</v>
      </c>
      <c r="EK383" s="14">
        <v>3</v>
      </c>
      <c r="EL383" s="14">
        <v>3</v>
      </c>
      <c r="EM383" s="14">
        <f>IFERROR(AVERAGE(Tabel1[[#This Row],[Do - C1]:[Do - C4]]),"")</f>
        <v>3.1666666666666665</v>
      </c>
      <c r="EN383" s="14">
        <v>4</v>
      </c>
      <c r="EO383" s="14">
        <v>3</v>
      </c>
      <c r="EP383" s="14">
        <v>4</v>
      </c>
      <c r="EQ383" s="14">
        <f>IFERROR(AVERAGE(Tabel1[[#This Row],[Do - F1a]:[Do - F1c]]),"")</f>
        <v>3.6666666666666665</v>
      </c>
      <c r="ER383" s="14">
        <v>4</v>
      </c>
      <c r="ES383" s="14">
        <f>IFERROR(AVERAGE(Tabel1[[#This Row],[Do - F2a]:[Do - F2a]]),"")</f>
        <v>4</v>
      </c>
      <c r="ET383" s="14">
        <v>4</v>
      </c>
      <c r="EU383" s="14">
        <v>4</v>
      </c>
      <c r="EV383" s="14">
        <f>IFERROR(AVERAGE(Tabel1[[#This Row],[Do - F3a]:[Do - F3b]]),"")</f>
        <v>4</v>
      </c>
      <c r="EW383" s="14">
        <v>4</v>
      </c>
      <c r="EX383" s="14">
        <f>IFERROR(AVERAGE(Tabel1[[#This Row],[Do - F1]],Tabel1[[#This Row],[Do - F2]],Tabel1[[#This Row],[Do - F3]],Tabel1[[#This Row],[Do - F4]]),"")</f>
        <v>3.9166666666666665</v>
      </c>
      <c r="EY383" s="14">
        <v>4</v>
      </c>
      <c r="EZ383" s="14">
        <v>3</v>
      </c>
      <c r="FA383" s="14">
        <v>4</v>
      </c>
      <c r="FB383" s="14">
        <f>IFERROR(AVERAGE(Tabel1[[#This Row],[Do - V1a]:[Do - V1c]]),"")</f>
        <v>3.6666666666666665</v>
      </c>
      <c r="FC383" s="14">
        <v>3</v>
      </c>
      <c r="FD383" s="14">
        <v>4</v>
      </c>
      <c r="FE383" s="14">
        <f>IFERROR(AVERAGE(Tabel1[[#This Row],[Do - V2a]:[Do - V2b]]),"")</f>
        <v>3.5</v>
      </c>
      <c r="FF383" s="14">
        <v>2</v>
      </c>
      <c r="FG383" s="14">
        <f>IFERROR(AVERAGE(Tabel1[[#This Row],[Do - V3a]:[Do - V3a]]),"")</f>
        <v>2</v>
      </c>
      <c r="FH383" s="14">
        <v>3</v>
      </c>
      <c r="FI383" s="14">
        <f>IFERROR(AVERAGE(Tabel1[[#This Row],[Do - V1]],Tabel1[[#This Row],[Do - V2]],Tabel1[[#This Row],[Do - V3]],Tabel1[[#This Row],[Do - V4]]),"")</f>
        <v>3.0416666666666665</v>
      </c>
      <c r="FJ383" s="14">
        <v>3</v>
      </c>
      <c r="FK383" s="14">
        <v>3</v>
      </c>
      <c r="FL383" s="14">
        <v>3</v>
      </c>
      <c r="FM383" s="14">
        <f>IFERROR(AVERAGE(Tabel1[[#This Row],[Do - A1a]:[Do - A1c]]),"")</f>
        <v>3</v>
      </c>
      <c r="FN383" s="14">
        <v>4</v>
      </c>
      <c r="FO383" s="14">
        <v>4</v>
      </c>
      <c r="FP383" s="14">
        <f>IFERROR(AVERAGE(Tabel1[[#This Row],[Do - A2a]:[Do - A2b]]),"")</f>
        <v>4</v>
      </c>
      <c r="FQ383" s="14">
        <v>4</v>
      </c>
      <c r="FR383" s="14">
        <f>IFERROR(AVERAGE(Tabel1[[#This Row],[Do - A3a]:[Do - A3a]]),"")</f>
        <v>4</v>
      </c>
      <c r="FS383" s="14">
        <v>3</v>
      </c>
      <c r="FT383" s="14">
        <f>IFERROR(AVERAGE(Tabel1[[#This Row],[Do - A1]],Tabel1[[#This Row],[Do - A2]],Tabel1[[#This Row],[Do - A3]],Tabel1[[#This Row],[Do - A4]]),"")</f>
        <v>3.5</v>
      </c>
      <c r="FU38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3.4220370370370365</v>
      </c>
      <c r="FV383" s="27" t="s">
        <v>1938</v>
      </c>
      <c r="FW383" t="b">
        <v>1</v>
      </c>
    </row>
    <row r="384" spans="1:179" x14ac:dyDescent="0.3">
      <c r="A384" s="13">
        <v>45610.583773148202</v>
      </c>
      <c r="B384" t="b">
        <v>0</v>
      </c>
      <c r="C384" s="14" t="s">
        <v>1939</v>
      </c>
      <c r="D384" s="14" t="s">
        <v>1940</v>
      </c>
      <c r="E384" s="14" t="s">
        <v>1941</v>
      </c>
      <c r="F384" s="14" t="s">
        <v>184</v>
      </c>
      <c r="G384" s="14" t="s">
        <v>1942</v>
      </c>
      <c r="H384" s="14" t="s">
        <v>222</v>
      </c>
      <c r="I384" s="14" t="s">
        <v>542</v>
      </c>
      <c r="J384" s="14" t="s">
        <v>543</v>
      </c>
      <c r="K384" s="28" t="s">
        <v>203</v>
      </c>
      <c r="L384" s="14" t="s">
        <v>249</v>
      </c>
      <c r="M384" s="14" t="s">
        <v>198</v>
      </c>
      <c r="N384" s="14" t="s">
        <v>199</v>
      </c>
      <c r="O384" s="14" t="s">
        <v>200</v>
      </c>
      <c r="P384" s="24" t="s">
        <v>255</v>
      </c>
      <c r="Q384" s="17" t="s">
        <v>203</v>
      </c>
      <c r="R384" s="25" t="s">
        <v>201</v>
      </c>
      <c r="S384" s="24" t="s">
        <v>304</v>
      </c>
      <c r="T384" s="14" t="s">
        <v>348</v>
      </c>
      <c r="U384" s="14" t="s">
        <v>285</v>
      </c>
      <c r="V384" s="14" t="s">
        <v>359</v>
      </c>
      <c r="W384" s="14" t="s">
        <v>207</v>
      </c>
      <c r="X384" s="14" t="s">
        <v>306</v>
      </c>
      <c r="Y384" s="14">
        <v>4</v>
      </c>
      <c r="Z384" s="14">
        <v>3</v>
      </c>
      <c r="AA384" s="14">
        <v>2</v>
      </c>
      <c r="AB384" s="15">
        <f>IFERROR(AVERAGE(Tabel1[[#This Row],[Up - R1a]:[Up - R1c]]),"")</f>
        <v>3</v>
      </c>
      <c r="AC384" s="14">
        <v>3</v>
      </c>
      <c r="AD384" s="14">
        <v>3</v>
      </c>
      <c r="AE384" s="14">
        <v>2</v>
      </c>
      <c r="AF384" s="14">
        <v>3</v>
      </c>
      <c r="AG384" s="14">
        <f>IFERROR(AVERAGE(Tabel1[[#This Row],[Up - R1]:[Up - R5]]),"")</f>
        <v>2.8</v>
      </c>
      <c r="AH384" s="14">
        <v>3</v>
      </c>
      <c r="AI384" s="14">
        <v>2</v>
      </c>
      <c r="AJ384" s="14">
        <v>3</v>
      </c>
      <c r="AK384" s="14">
        <f>IFERROR(AVERAGE(Tabel1[[#This Row],[Up - C1a]:[Up - C1c]]),"")</f>
        <v>2.6666666666666665</v>
      </c>
      <c r="AL384" s="14">
        <v>2</v>
      </c>
      <c r="AM384" s="14">
        <v>2</v>
      </c>
      <c r="AN384" s="14">
        <v>3</v>
      </c>
      <c r="AO384" s="14">
        <f>IFERROR(AVERAGE(Tabel1[[#This Row],[Up - C1]:[Up - C4]]),"")</f>
        <v>2.4166666666666665</v>
      </c>
      <c r="AP384" s="14">
        <v>4</v>
      </c>
      <c r="AQ384" s="14">
        <f>IFERROR(AVERAGE(Tabel1[[#This Row],[Up - F1a]:[Up - F1a]]),"")</f>
        <v>4</v>
      </c>
      <c r="AR384" s="14">
        <v>2</v>
      </c>
      <c r="AS384" s="14">
        <v>5</v>
      </c>
      <c r="AT384" s="14">
        <f>IFERROR(AVERAGE(Tabel1[[#This Row],[Up - F2a]:[Up - F2b]]),"")</f>
        <v>3.5</v>
      </c>
      <c r="AU384" s="14">
        <v>3</v>
      </c>
      <c r="AV384" s="14" t="s">
        <v>189</v>
      </c>
      <c r="AW384" s="14">
        <f>IFERROR(AVERAGE(Tabel1[[#This Row],[Up - F3a]:[Up - F3b]]),"")</f>
        <v>3</v>
      </c>
      <c r="AX384" s="14">
        <v>4</v>
      </c>
      <c r="AY384" s="14">
        <f>IFERROR(AVERAGE(Tabel1[[#This Row],[Up - F1]],Tabel1[[#This Row],[Up - F2]],Tabel1[[#This Row],[Up - F3]],Tabel1[[#This Row],[Up - F4]]),"")</f>
        <v>3.625</v>
      </c>
      <c r="AZ384" s="14">
        <v>4</v>
      </c>
      <c r="BA384" s="14">
        <v>4</v>
      </c>
      <c r="BB384" s="14">
        <f>IFERROR(AVERAGE(Tabel1[[#This Row],[Up - V1a]:[Up - V1b]]),"")</f>
        <v>4</v>
      </c>
      <c r="BC384" s="14">
        <v>3</v>
      </c>
      <c r="BD384" s="14">
        <v>3</v>
      </c>
      <c r="BE384" s="14">
        <v>4</v>
      </c>
      <c r="BF384" s="14">
        <f>IFERROR(AVERAGE(Tabel1[[#This Row],[Up - V2a]:[Up - V2c]]),"")</f>
        <v>3.3333333333333335</v>
      </c>
      <c r="BG384" s="14">
        <v>2</v>
      </c>
      <c r="BH384" s="14">
        <v>2</v>
      </c>
      <c r="BI384" s="14">
        <f>IFERROR(AVERAGE(Tabel1[[#This Row],[Up - V3a]:[Up - V3b]]),"")</f>
        <v>2</v>
      </c>
      <c r="BJ384" s="14">
        <v>3</v>
      </c>
      <c r="BK384" s="14">
        <f>IFERROR(AVERAGE(Tabel1[[#This Row],[Up - V1]],Tabel1[[#This Row],[Up - V2]],Tabel1[[#This Row],[Up - V3]],Tabel1[[#This Row],[Up - V4]]),"")</f>
        <v>3.0833333333333335</v>
      </c>
      <c r="BL384" s="14">
        <v>4</v>
      </c>
      <c r="BM384" s="14">
        <v>4</v>
      </c>
      <c r="BN384" s="14">
        <v>4</v>
      </c>
      <c r="BO384" s="14">
        <v>4</v>
      </c>
      <c r="BP384" s="14">
        <f>IFERROR(AVERAGE(Tabel1[[#This Row],[Up - A1a]:[Up - A1d]]),"")</f>
        <v>4</v>
      </c>
      <c r="BQ384" s="14">
        <v>3</v>
      </c>
      <c r="BR384" s="14">
        <v>3</v>
      </c>
      <c r="BS384" s="14">
        <f>IFERROR(AVERAGE(Tabel1[[#This Row],[Up - A2a]:[Up - A2b]]),"")</f>
        <v>3</v>
      </c>
      <c r="BT384" s="14">
        <v>4</v>
      </c>
      <c r="BU384" s="14">
        <f>IFERROR(AVERAGE(Tabel1[[#This Row],[Up - A3a]:[Up - A3a]]),"")</f>
        <v>4</v>
      </c>
      <c r="BV384" s="14">
        <v>2</v>
      </c>
      <c r="BW384" s="14">
        <f>IFERROR(AVERAGE(Tabel1[[#This Row],[Up - A1]],Tabel1[[#This Row],[Up - A2]],Tabel1[[#This Row],[Up - A3]]),"")</f>
        <v>3.6666666666666665</v>
      </c>
      <c r="BX384" s="14">
        <v>2</v>
      </c>
      <c r="BY384" s="14">
        <v>1</v>
      </c>
      <c r="BZ384" s="14">
        <f>IFERROR(AVERAGE(Tabel1[[#This Row],[In - R1a]:[In - R1b]]),"")</f>
        <v>1.5</v>
      </c>
      <c r="CA384" s="14">
        <v>3</v>
      </c>
      <c r="CB384" s="14">
        <v>2</v>
      </c>
      <c r="CC384" s="14">
        <v>3</v>
      </c>
      <c r="CD384" s="14">
        <v>5</v>
      </c>
      <c r="CE384" s="14">
        <f>IFERROR(AVERAGE(Tabel1[[#This Row],[In - R1]:[In - R5]]),"")</f>
        <v>2.9</v>
      </c>
      <c r="CF384" s="14">
        <v>3</v>
      </c>
      <c r="CG384" s="14">
        <v>4</v>
      </c>
      <c r="CH384" s="14">
        <v>4</v>
      </c>
      <c r="CI384" s="14">
        <f>IFERROR(AVERAGE(Tabel1[[#This Row],[In - C1a]:[In - C1c]]),"")</f>
        <v>3.6666666666666665</v>
      </c>
      <c r="CJ384" s="14">
        <v>4</v>
      </c>
      <c r="CK384" s="14">
        <v>2</v>
      </c>
      <c r="CL384" s="14">
        <v>4</v>
      </c>
      <c r="CM384" s="14">
        <f>IFERROR(AVERAGE(Tabel1[[#This Row],[In - C1]:[In - C4]]),"")</f>
        <v>3.4166666666666665</v>
      </c>
      <c r="CN384" s="14">
        <v>4</v>
      </c>
      <c r="CO384" s="14">
        <v>3</v>
      </c>
      <c r="CP384" s="14">
        <v>2</v>
      </c>
      <c r="CQ384" s="14">
        <f>IFERROR(AVERAGE(Tabel1[[#This Row],[In - F1a]:[In - F1c]]),"")</f>
        <v>3</v>
      </c>
      <c r="CR384" s="14">
        <v>5</v>
      </c>
      <c r="CS384" s="14">
        <v>3</v>
      </c>
      <c r="CT384" s="14">
        <f>IFERROR(AVERAGE(Tabel1[[#This Row],[In - F2a]:[In - F2b]]),"")</f>
        <v>4</v>
      </c>
      <c r="CU384" s="14">
        <v>3</v>
      </c>
      <c r="CV384" s="14">
        <f>IFERROR(AVERAGE(Tabel1[[#This Row],[In - F3a]:[In - F3a]]),"")</f>
        <v>3</v>
      </c>
      <c r="CW384" s="14">
        <v>4</v>
      </c>
      <c r="CX384" s="14">
        <f>IFERROR(AVERAGE(Tabel1[[#This Row],[In - F1]],Tabel1[[#This Row],[In - F2]],Tabel1[[#This Row],[In - F3]],Tabel1[[#This Row],[In - F4]]),"")</f>
        <v>3.5</v>
      </c>
      <c r="CY384" s="14">
        <v>3</v>
      </c>
      <c r="CZ384" s="14">
        <v>4</v>
      </c>
      <c r="DA384" s="14">
        <v>3</v>
      </c>
      <c r="DB384" s="14">
        <f>IFERROR(AVERAGE(Tabel1[[#This Row],[In - V1a]:[In - V1c]]),"")</f>
        <v>3.3333333333333335</v>
      </c>
      <c r="DC384" s="14">
        <v>3</v>
      </c>
      <c r="DD384" s="14">
        <v>3</v>
      </c>
      <c r="DE384" s="14">
        <v>5</v>
      </c>
      <c r="DF384" s="14">
        <f>IFERROR(AVERAGE(Tabel1[[#This Row],[In - V2a]:[In - V2c]]),"")</f>
        <v>3.6666666666666665</v>
      </c>
      <c r="DG384" s="14">
        <v>3</v>
      </c>
      <c r="DH384" s="14">
        <v>4</v>
      </c>
      <c r="DI384" s="14">
        <f>IFERROR(AVERAGE(Tabel1[[#This Row],[In - V3a]:[In - V3b]]),"")</f>
        <v>3.5</v>
      </c>
      <c r="DJ384" s="14">
        <v>5</v>
      </c>
      <c r="DK384" s="14">
        <f>IFERROR(AVERAGE(Tabel1[[#This Row],[In - V1]],Tabel1[[#This Row],[In - V2]],Tabel1[[#This Row],[In - V3]],Tabel1[[#This Row],[In - V4]]),"")</f>
        <v>3.875</v>
      </c>
      <c r="DL384" s="14">
        <v>3</v>
      </c>
      <c r="DM384" s="14">
        <v>4</v>
      </c>
      <c r="DN384" s="14">
        <f>IFERROR(AVERAGE(Tabel1[[#This Row],[In - A1a]:[In - A1b]]),"")</f>
        <v>3.5</v>
      </c>
      <c r="DO384" s="14" t="s">
        <v>189</v>
      </c>
      <c r="DP384" s="14">
        <v>4</v>
      </c>
      <c r="DQ384" s="14">
        <f>IFERROR(AVERAGE(Tabel1[[#This Row],[In - A2a]:[In - A2b]]),"")</f>
        <v>4</v>
      </c>
      <c r="DR384" s="14">
        <v>3</v>
      </c>
      <c r="DS384" s="14">
        <v>2</v>
      </c>
      <c r="DT384" s="14">
        <f>IFERROR(AVERAGE(Tabel1[[#This Row],[In - A3a]:[In - A3a]]),"")</f>
        <v>3</v>
      </c>
      <c r="DU384" s="14" t="s">
        <v>189</v>
      </c>
      <c r="DV384" s="14">
        <f>IFERROR(AVERAGE(Tabel1[[#This Row],[In - A1]],Tabel1[[#This Row],[In - A2]],Tabel1[[#This Row],[In - A3]],Tabel1[[#This Row],[In - A4]]),"")</f>
        <v>3.5</v>
      </c>
      <c r="DW384" s="14">
        <v>2</v>
      </c>
      <c r="DX384" s="14">
        <v>5</v>
      </c>
      <c r="DY384" s="14">
        <v>2</v>
      </c>
      <c r="DZ384" s="14">
        <f>IFERROR(AVERAGE(Tabel1[[#This Row],[Do - R1a]:[Do - R1c]]),"")</f>
        <v>3</v>
      </c>
      <c r="EA384" s="14">
        <v>2</v>
      </c>
      <c r="EB384" s="14">
        <v>3</v>
      </c>
      <c r="EC384" s="14">
        <v>1</v>
      </c>
      <c r="ED384" s="14">
        <v>3</v>
      </c>
      <c r="EE384" s="14">
        <f>IFERROR(AVERAGE(Tabel1[[#This Row],[Do - R1]:[Do - R5]]),"")</f>
        <v>2.4</v>
      </c>
      <c r="EF384" s="14">
        <v>4</v>
      </c>
      <c r="EG384" s="14">
        <v>4</v>
      </c>
      <c r="EH384" s="14">
        <v>3</v>
      </c>
      <c r="EI384" s="14">
        <f>IFERROR(AVERAGE(Tabel1[[#This Row],[Do - C1a]:[Do - C1c]]),"")</f>
        <v>3.6666666666666665</v>
      </c>
      <c r="EJ384" s="14">
        <v>4</v>
      </c>
      <c r="EK384" s="14">
        <v>3</v>
      </c>
      <c r="EL384" s="14">
        <v>4</v>
      </c>
      <c r="EM384" s="14">
        <f>IFERROR(AVERAGE(Tabel1[[#This Row],[Do - C1]:[Do - C4]]),"")</f>
        <v>3.6666666666666665</v>
      </c>
      <c r="EN384" s="14">
        <v>4</v>
      </c>
      <c r="EO384" s="14">
        <v>1</v>
      </c>
      <c r="EP384" s="14">
        <v>1</v>
      </c>
      <c r="EQ384" s="14">
        <f>IFERROR(AVERAGE(Tabel1[[#This Row],[Do - F1a]:[Do - F1c]]),"")</f>
        <v>2</v>
      </c>
      <c r="ER384" s="14">
        <v>4</v>
      </c>
      <c r="ES384" s="14">
        <f>IFERROR(AVERAGE(Tabel1[[#This Row],[Do - F2a]:[Do - F2a]]),"")</f>
        <v>4</v>
      </c>
      <c r="ET384" s="14">
        <v>3</v>
      </c>
      <c r="EU384" s="14" t="s">
        <v>189</v>
      </c>
      <c r="EV384" s="14">
        <f>IFERROR(AVERAGE(Tabel1[[#This Row],[Do - F3a]:[Do - F3b]]),"")</f>
        <v>3</v>
      </c>
      <c r="EW384" s="14">
        <v>4</v>
      </c>
      <c r="EX384" s="14">
        <f>IFERROR(AVERAGE(Tabel1[[#This Row],[Do - F1]],Tabel1[[#This Row],[Do - F2]],Tabel1[[#This Row],[Do - F3]],Tabel1[[#This Row],[Do - F4]]),"")</f>
        <v>3.25</v>
      </c>
      <c r="EY384" s="14">
        <v>3</v>
      </c>
      <c r="EZ384" s="14">
        <v>3</v>
      </c>
      <c r="FA384" s="14">
        <v>3</v>
      </c>
      <c r="FB384" s="14">
        <f>IFERROR(AVERAGE(Tabel1[[#This Row],[Do - V1a]:[Do - V1c]]),"")</f>
        <v>3</v>
      </c>
      <c r="FC384" s="14">
        <v>4</v>
      </c>
      <c r="FD384" s="14">
        <v>4</v>
      </c>
      <c r="FE384" s="14">
        <f>IFERROR(AVERAGE(Tabel1[[#This Row],[Do - V2a]:[Do - V2b]]),"")</f>
        <v>4</v>
      </c>
      <c r="FF384" s="14">
        <v>3</v>
      </c>
      <c r="FG384" s="14">
        <f>IFERROR(AVERAGE(Tabel1[[#This Row],[Do - V3a]:[Do - V3a]]),"")</f>
        <v>3</v>
      </c>
      <c r="FH384" s="14">
        <v>3</v>
      </c>
      <c r="FI384" s="14">
        <f>IFERROR(AVERAGE(Tabel1[[#This Row],[Do - V1]],Tabel1[[#This Row],[Do - V2]],Tabel1[[#This Row],[Do - V3]],Tabel1[[#This Row],[Do - V4]]),"")</f>
        <v>3.25</v>
      </c>
      <c r="FJ384" s="14">
        <v>4</v>
      </c>
      <c r="FK384" s="14">
        <v>4</v>
      </c>
      <c r="FL384" s="14">
        <v>5</v>
      </c>
      <c r="FM384" s="14">
        <f>IFERROR(AVERAGE(Tabel1[[#This Row],[Do - A1a]:[Do - A1c]]),"")</f>
        <v>4.333333333333333</v>
      </c>
      <c r="FN384" s="14" t="s">
        <v>189</v>
      </c>
      <c r="FO384" s="14">
        <v>4</v>
      </c>
      <c r="FP384" s="14">
        <f>IFERROR(AVERAGE(Tabel1[[#This Row],[Do - A2a]:[Do - A2b]]),"")</f>
        <v>4</v>
      </c>
      <c r="FQ384" s="14">
        <v>4</v>
      </c>
      <c r="FR384" s="14">
        <f>IFERROR(AVERAGE(Tabel1[[#This Row],[Do - A3a]:[Do - A3a]]),"")</f>
        <v>4</v>
      </c>
      <c r="FS384" s="14">
        <v>3</v>
      </c>
      <c r="FT384" s="14">
        <f>IFERROR(AVERAGE(Tabel1[[#This Row],[Do - A1]],Tabel1[[#This Row],[Do - A2]],Tabel1[[#This Row],[Do - A3]],Tabel1[[#This Row],[Do - A4]]),"")</f>
        <v>3.833333333333333</v>
      </c>
      <c r="FU38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3.2788888888888885</v>
      </c>
      <c r="FV384" s="27" t="s">
        <v>1943</v>
      </c>
      <c r="FW384" t="b">
        <v>1</v>
      </c>
    </row>
    <row r="385" spans="1:179" x14ac:dyDescent="0.3">
      <c r="A385" s="13">
        <v>45611.372905092598</v>
      </c>
      <c r="B385" t="b">
        <v>0</v>
      </c>
      <c r="C385" s="14" t="s">
        <v>1944</v>
      </c>
      <c r="D385" s="14" t="s">
        <v>1945</v>
      </c>
      <c r="E385" s="14" t="s">
        <v>193</v>
      </c>
      <c r="F385" s="14" t="s">
        <v>189</v>
      </c>
      <c r="G385" s="14" t="s">
        <v>1946</v>
      </c>
      <c r="H385" s="14" t="s">
        <v>194</v>
      </c>
      <c r="I385" s="14" t="s">
        <v>195</v>
      </c>
      <c r="J385" s="14" t="s">
        <v>196</v>
      </c>
      <c r="K385" s="28" t="s">
        <v>235</v>
      </c>
      <c r="L385" s="14" t="s">
        <v>249</v>
      </c>
      <c r="M385" s="14" t="s">
        <v>198</v>
      </c>
      <c r="N385" s="14" t="s">
        <v>262</v>
      </c>
      <c r="O385" s="14" t="s">
        <v>256</v>
      </c>
      <c r="P385" s="24" t="s">
        <v>255</v>
      </c>
      <c r="Q385" s="17" t="s">
        <v>201</v>
      </c>
      <c r="R385" s="25" t="s">
        <v>202</v>
      </c>
      <c r="S385" s="25" t="s">
        <v>201</v>
      </c>
      <c r="T385" s="14" t="s">
        <v>236</v>
      </c>
      <c r="U385" s="14" t="s">
        <v>237</v>
      </c>
      <c r="V385" s="14" t="s">
        <v>224</v>
      </c>
      <c r="W385" s="14" t="s">
        <v>207</v>
      </c>
      <c r="X385" s="14" t="s">
        <v>207</v>
      </c>
      <c r="Y385" s="14">
        <v>2</v>
      </c>
      <c r="Z385" s="14">
        <v>4</v>
      </c>
      <c r="AA385" s="14">
        <v>3</v>
      </c>
      <c r="AB385" s="15">
        <f>IFERROR(AVERAGE(Tabel1[[#This Row],[Up - R1a]:[Up - R1c]]),"")</f>
        <v>3</v>
      </c>
      <c r="AC385" s="14">
        <v>3</v>
      </c>
      <c r="AD385" s="14">
        <v>3</v>
      </c>
      <c r="AE385" s="14">
        <v>4</v>
      </c>
      <c r="AF385" s="14">
        <v>3</v>
      </c>
      <c r="AG385" s="14">
        <f>IFERROR(AVERAGE(Tabel1[[#This Row],[Up - R1]:[Up - R5]]),"")</f>
        <v>3.2</v>
      </c>
      <c r="AH385" s="14">
        <v>3</v>
      </c>
      <c r="AI385" s="14">
        <v>3</v>
      </c>
      <c r="AJ385" s="14">
        <v>3</v>
      </c>
      <c r="AK385" s="14">
        <f>IFERROR(AVERAGE(Tabel1[[#This Row],[Up - C1a]:[Up - C1c]]),"")</f>
        <v>3</v>
      </c>
      <c r="AL385" s="14" t="s">
        <v>189</v>
      </c>
      <c r="AM385" s="14">
        <v>2</v>
      </c>
      <c r="AN385" s="14">
        <v>3</v>
      </c>
      <c r="AO385" s="14">
        <f>IFERROR(AVERAGE(Tabel1[[#This Row],[Up - C1]:[Up - C4]]),"")</f>
        <v>2.6666666666666665</v>
      </c>
      <c r="AP385" s="14">
        <v>4</v>
      </c>
      <c r="AQ385" s="14">
        <f>IFERROR(AVERAGE(Tabel1[[#This Row],[Up - F1a]:[Up - F1a]]),"")</f>
        <v>4</v>
      </c>
      <c r="AR385" s="14">
        <v>4</v>
      </c>
      <c r="AS385" s="14">
        <v>2</v>
      </c>
      <c r="AT385" s="14">
        <f>IFERROR(AVERAGE(Tabel1[[#This Row],[Up - F2a]:[Up - F2b]]),"")</f>
        <v>3</v>
      </c>
      <c r="AU385" s="14">
        <v>3</v>
      </c>
      <c r="AV385" s="14">
        <v>1</v>
      </c>
      <c r="AW385" s="14">
        <f>IFERROR(AVERAGE(Tabel1[[#This Row],[Up - F3a]:[Up - F3b]]),"")</f>
        <v>2</v>
      </c>
      <c r="AX385" s="14">
        <v>3</v>
      </c>
      <c r="AY385" s="14">
        <f>IFERROR(AVERAGE(Tabel1[[#This Row],[Up - F1]],Tabel1[[#This Row],[Up - F2]],Tabel1[[#This Row],[Up - F3]],Tabel1[[#This Row],[Up - F4]]),"")</f>
        <v>3</v>
      </c>
      <c r="AZ385" s="14">
        <v>2</v>
      </c>
      <c r="BA385" s="14">
        <v>3</v>
      </c>
      <c r="BB385" s="14">
        <f>IFERROR(AVERAGE(Tabel1[[#This Row],[Up - V1a]:[Up - V1b]]),"")</f>
        <v>2.5</v>
      </c>
      <c r="BC385" s="14">
        <v>3</v>
      </c>
      <c r="BD385" s="14">
        <v>2</v>
      </c>
      <c r="BE385" s="14">
        <v>3</v>
      </c>
      <c r="BF385" s="14">
        <f>IFERROR(AVERAGE(Tabel1[[#This Row],[Up - V2a]:[Up - V2c]]),"")</f>
        <v>2.6666666666666665</v>
      </c>
      <c r="BG385" s="14">
        <v>2</v>
      </c>
      <c r="BH385" s="14">
        <v>4</v>
      </c>
      <c r="BI385" s="14">
        <f>IFERROR(AVERAGE(Tabel1[[#This Row],[Up - V3a]:[Up - V3b]]),"")</f>
        <v>3</v>
      </c>
      <c r="BJ385" s="14">
        <v>3</v>
      </c>
      <c r="BK385" s="14">
        <f>IFERROR(AVERAGE(Tabel1[[#This Row],[Up - V1]],Tabel1[[#This Row],[Up - V2]],Tabel1[[#This Row],[Up - V3]],Tabel1[[#This Row],[Up - V4]]),"")</f>
        <v>2.7916666666666665</v>
      </c>
      <c r="BL385" s="14">
        <v>3</v>
      </c>
      <c r="BM385" s="14">
        <v>4</v>
      </c>
      <c r="BN385" s="14">
        <v>2</v>
      </c>
      <c r="BO385" s="14">
        <v>2</v>
      </c>
      <c r="BP385" s="14">
        <f>IFERROR(AVERAGE(Tabel1[[#This Row],[Up - A1a]:[Up - A1d]]),"")</f>
        <v>2.75</v>
      </c>
      <c r="BQ385" s="14">
        <v>3</v>
      </c>
      <c r="BR385" s="14">
        <v>3</v>
      </c>
      <c r="BS385" s="14">
        <f>IFERROR(AVERAGE(Tabel1[[#This Row],[Up - A2a]:[Up - A2b]]),"")</f>
        <v>3</v>
      </c>
      <c r="BT385" s="14">
        <v>4</v>
      </c>
      <c r="BU385" s="14">
        <f>IFERROR(AVERAGE(Tabel1[[#This Row],[Up - A3a]:[Up - A3a]]),"")</f>
        <v>4</v>
      </c>
      <c r="BV385" s="14">
        <v>3</v>
      </c>
      <c r="BW385" s="14">
        <f>IFERROR(AVERAGE(Tabel1[[#This Row],[Up - A1]],Tabel1[[#This Row],[Up - A2]],Tabel1[[#This Row],[Up - A3]]),"")</f>
        <v>3.25</v>
      </c>
      <c r="BX385" s="14">
        <v>3</v>
      </c>
      <c r="BY385" s="14">
        <v>4</v>
      </c>
      <c r="BZ385" s="14">
        <f>IFERROR(AVERAGE(Tabel1[[#This Row],[In - R1a]:[In - R1b]]),"")</f>
        <v>3.5</v>
      </c>
      <c r="CA385" s="14">
        <v>2</v>
      </c>
      <c r="CB385" s="14">
        <v>4</v>
      </c>
      <c r="CC385" s="14">
        <v>3</v>
      </c>
      <c r="CD385" s="14">
        <v>4</v>
      </c>
      <c r="CE385" s="14">
        <f>IFERROR(AVERAGE(Tabel1[[#This Row],[In - R1]:[In - R5]]),"")</f>
        <v>3.3</v>
      </c>
      <c r="CF385" s="14">
        <v>3</v>
      </c>
      <c r="CG385" s="14">
        <v>4</v>
      </c>
      <c r="CH385" s="14">
        <v>3</v>
      </c>
      <c r="CI385" s="14">
        <f>IFERROR(AVERAGE(Tabel1[[#This Row],[In - C1a]:[In - C1c]]),"")</f>
        <v>3.3333333333333335</v>
      </c>
      <c r="CJ385" s="14">
        <v>3</v>
      </c>
      <c r="CK385" s="14">
        <v>3</v>
      </c>
      <c r="CL385" s="14">
        <v>3</v>
      </c>
      <c r="CM385" s="14">
        <f>IFERROR(AVERAGE(Tabel1[[#This Row],[In - C1]:[In - C4]]),"")</f>
        <v>3.0833333333333335</v>
      </c>
      <c r="CN385" s="14">
        <v>4</v>
      </c>
      <c r="CO385" s="14">
        <v>2</v>
      </c>
      <c r="CP385" s="14">
        <v>2</v>
      </c>
      <c r="CQ385" s="14">
        <f>IFERROR(AVERAGE(Tabel1[[#This Row],[In - F1a]:[In - F1c]]),"")</f>
        <v>2.6666666666666665</v>
      </c>
      <c r="CR385" s="14">
        <v>3</v>
      </c>
      <c r="CS385" s="14">
        <v>3</v>
      </c>
      <c r="CT385" s="14">
        <f>IFERROR(AVERAGE(Tabel1[[#This Row],[In - F2a]:[In - F2b]]),"")</f>
        <v>3</v>
      </c>
      <c r="CU385" s="14">
        <v>3</v>
      </c>
      <c r="CV385" s="14">
        <f>IFERROR(AVERAGE(Tabel1[[#This Row],[In - F3a]:[In - F3a]]),"")</f>
        <v>3</v>
      </c>
      <c r="CW385" s="14">
        <v>3</v>
      </c>
      <c r="CX385" s="14">
        <f>IFERROR(AVERAGE(Tabel1[[#This Row],[In - F1]],Tabel1[[#This Row],[In - F2]],Tabel1[[#This Row],[In - F3]],Tabel1[[#This Row],[In - F4]]),"")</f>
        <v>2.9166666666666665</v>
      </c>
      <c r="CY385" s="14">
        <v>2</v>
      </c>
      <c r="CZ385" s="14">
        <v>4</v>
      </c>
      <c r="DA385" s="14">
        <v>2</v>
      </c>
      <c r="DB385" s="14">
        <f>IFERROR(AVERAGE(Tabel1[[#This Row],[In - V1a]:[In - V1c]]),"")</f>
        <v>2.6666666666666665</v>
      </c>
      <c r="DC385" s="14">
        <v>2</v>
      </c>
      <c r="DD385" s="14">
        <v>3</v>
      </c>
      <c r="DE385" s="14">
        <v>3</v>
      </c>
      <c r="DF385" s="14">
        <f>IFERROR(AVERAGE(Tabel1[[#This Row],[In - V2a]:[In - V2c]]),"")</f>
        <v>2.6666666666666665</v>
      </c>
      <c r="DG385" s="14">
        <v>2</v>
      </c>
      <c r="DH385" s="14">
        <v>4</v>
      </c>
      <c r="DI385" s="14">
        <f>IFERROR(AVERAGE(Tabel1[[#This Row],[In - V3a]:[In - V3b]]),"")</f>
        <v>3</v>
      </c>
      <c r="DJ385" s="14">
        <v>3</v>
      </c>
      <c r="DK385" s="14">
        <f>IFERROR(AVERAGE(Tabel1[[#This Row],[In - V1]],Tabel1[[#This Row],[In - V2]],Tabel1[[#This Row],[In - V3]],Tabel1[[#This Row],[In - V4]]),"")</f>
        <v>2.833333333333333</v>
      </c>
      <c r="DL385" s="14">
        <v>4</v>
      </c>
      <c r="DM385" s="14">
        <v>2</v>
      </c>
      <c r="DN385" s="14">
        <f>IFERROR(AVERAGE(Tabel1[[#This Row],[In - A1a]:[In - A1b]]),"")</f>
        <v>3</v>
      </c>
      <c r="DO385" s="14">
        <v>3</v>
      </c>
      <c r="DP385" s="14">
        <v>2</v>
      </c>
      <c r="DQ385" s="14">
        <f>IFERROR(AVERAGE(Tabel1[[#This Row],[In - A2a]:[In - A2b]]),"")</f>
        <v>2.5</v>
      </c>
      <c r="DR385" s="14">
        <v>3</v>
      </c>
      <c r="DS385" s="14">
        <v>2</v>
      </c>
      <c r="DT385" s="14">
        <f>IFERROR(AVERAGE(Tabel1[[#This Row],[In - A3a]:[In - A3a]]),"")</f>
        <v>3</v>
      </c>
      <c r="DU385" s="14">
        <v>3</v>
      </c>
      <c r="DV385" s="14">
        <f>IFERROR(AVERAGE(Tabel1[[#This Row],[In - A1]],Tabel1[[#This Row],[In - A2]],Tabel1[[#This Row],[In - A3]],Tabel1[[#This Row],[In - A4]]),"")</f>
        <v>2.875</v>
      </c>
      <c r="DW385" s="14">
        <v>3</v>
      </c>
      <c r="DX385" s="14">
        <v>4</v>
      </c>
      <c r="DY385" s="14">
        <v>2</v>
      </c>
      <c r="DZ385" s="14">
        <f>IFERROR(AVERAGE(Tabel1[[#This Row],[Do - R1a]:[Do - R1c]]),"")</f>
        <v>3</v>
      </c>
      <c r="EA385" s="14">
        <v>3</v>
      </c>
      <c r="EB385" s="14">
        <v>4</v>
      </c>
      <c r="EC385" s="14">
        <v>3</v>
      </c>
      <c r="ED385" s="14">
        <v>3</v>
      </c>
      <c r="EE385" s="14">
        <f>IFERROR(AVERAGE(Tabel1[[#This Row],[Do - R1]:[Do - R5]]),"")</f>
        <v>3.2</v>
      </c>
      <c r="EF385" s="14">
        <v>4</v>
      </c>
      <c r="EG385" s="14" t="s">
        <v>189</v>
      </c>
      <c r="EH385" s="14">
        <v>2</v>
      </c>
      <c r="EI385" s="14">
        <f>IFERROR(AVERAGE(Tabel1[[#This Row],[Do - C1a]:[Do - C1c]]),"")</f>
        <v>3</v>
      </c>
      <c r="EJ385" s="14">
        <v>4</v>
      </c>
      <c r="EK385" s="14">
        <v>3</v>
      </c>
      <c r="EL385" s="14">
        <v>4</v>
      </c>
      <c r="EM385" s="14">
        <f>IFERROR(AVERAGE(Tabel1[[#This Row],[Do - C1]:[Do - C4]]),"")</f>
        <v>3.5</v>
      </c>
      <c r="EN385" s="14">
        <v>3</v>
      </c>
      <c r="EO385" s="14">
        <v>3</v>
      </c>
      <c r="EP385" s="14">
        <v>4</v>
      </c>
      <c r="EQ385" s="14">
        <f>IFERROR(AVERAGE(Tabel1[[#This Row],[Do - F1a]:[Do - F1c]]),"")</f>
        <v>3.3333333333333335</v>
      </c>
      <c r="ER385" s="14">
        <v>3</v>
      </c>
      <c r="ES385" s="14">
        <f>IFERROR(AVERAGE(Tabel1[[#This Row],[Do - F2a]:[Do - F2a]]),"")</f>
        <v>3</v>
      </c>
      <c r="ET385" s="14">
        <v>2</v>
      </c>
      <c r="EU385" s="14">
        <v>2</v>
      </c>
      <c r="EV385" s="14">
        <f>IFERROR(AVERAGE(Tabel1[[#This Row],[Do - F3a]:[Do - F3b]]),"")</f>
        <v>2</v>
      </c>
      <c r="EW385" s="14">
        <v>3</v>
      </c>
      <c r="EX385" s="14">
        <f>IFERROR(AVERAGE(Tabel1[[#This Row],[Do - F1]],Tabel1[[#This Row],[Do - F2]],Tabel1[[#This Row],[Do - F3]],Tabel1[[#This Row],[Do - F4]]),"")</f>
        <v>2.8333333333333335</v>
      </c>
      <c r="EY385" s="14">
        <v>3</v>
      </c>
      <c r="EZ385" s="14">
        <v>2</v>
      </c>
      <c r="FA385" s="14">
        <v>2</v>
      </c>
      <c r="FB385" s="14">
        <f>IFERROR(AVERAGE(Tabel1[[#This Row],[Do - V1a]:[Do - V1c]]),"")</f>
        <v>2.3333333333333335</v>
      </c>
      <c r="FC385" s="14">
        <v>3</v>
      </c>
      <c r="FD385" s="14">
        <v>3</v>
      </c>
      <c r="FE385" s="14">
        <f>IFERROR(AVERAGE(Tabel1[[#This Row],[Do - V2a]:[Do - V2b]]),"")</f>
        <v>3</v>
      </c>
      <c r="FF385" s="14" t="s">
        <v>189</v>
      </c>
      <c r="FG385" s="14" t="str">
        <f>IFERROR(AVERAGE(Tabel1[[#This Row],[Do - V3a]:[Do - V3a]]),"")</f>
        <v/>
      </c>
      <c r="FH385" s="14">
        <v>2</v>
      </c>
      <c r="FI385" s="14">
        <f>IFERROR(AVERAGE(Tabel1[[#This Row],[Do - V1]],Tabel1[[#This Row],[Do - V2]],Tabel1[[#This Row],[Do - V3]],Tabel1[[#This Row],[Do - V4]]),"")</f>
        <v>2.4444444444444446</v>
      </c>
      <c r="FJ385" s="14">
        <v>4</v>
      </c>
      <c r="FK385" s="14">
        <v>3</v>
      </c>
      <c r="FL385" s="14">
        <v>3</v>
      </c>
      <c r="FM385" s="14">
        <f>IFERROR(AVERAGE(Tabel1[[#This Row],[Do - A1a]:[Do - A1c]]),"")</f>
        <v>3.3333333333333335</v>
      </c>
      <c r="FN385" s="14">
        <v>3</v>
      </c>
      <c r="FO385" s="14">
        <v>2</v>
      </c>
      <c r="FP385" s="14">
        <f>IFERROR(AVERAGE(Tabel1[[#This Row],[Do - A2a]:[Do - A2b]]),"")</f>
        <v>2.5</v>
      </c>
      <c r="FQ385" s="14">
        <v>3</v>
      </c>
      <c r="FR385" s="14">
        <f>IFERROR(AVERAGE(Tabel1[[#This Row],[Do - A3a]:[Do - A3a]]),"")</f>
        <v>3</v>
      </c>
      <c r="FS385" s="14">
        <v>3</v>
      </c>
      <c r="FT385" s="14">
        <f>IFERROR(AVERAGE(Tabel1[[#This Row],[Do - A1]],Tabel1[[#This Row],[Do - A2]],Tabel1[[#This Row],[Do - A3]],Tabel1[[#This Row],[Do - A4]]),"")</f>
        <v>2.9583333333333335</v>
      </c>
      <c r="FU38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2.9901851851851853</v>
      </c>
      <c r="FV385" s="27" t="s">
        <v>1947</v>
      </c>
      <c r="FW385" t="b">
        <v>1</v>
      </c>
    </row>
    <row r="386" spans="1:179" x14ac:dyDescent="0.3">
      <c r="A386" s="13">
        <v>45614.106365740699</v>
      </c>
      <c r="B386" t="b">
        <v>0</v>
      </c>
      <c r="C386" s="14" t="s">
        <v>1948</v>
      </c>
      <c r="D386" s="14" t="s">
        <v>864</v>
      </c>
      <c r="E386" s="14" t="s">
        <v>193</v>
      </c>
      <c r="F386" s="14" t="s">
        <v>189</v>
      </c>
      <c r="G386" s="14" t="s">
        <v>1949</v>
      </c>
      <c r="H386" s="14" t="s">
        <v>194</v>
      </c>
      <c r="I386" s="14" t="s">
        <v>195</v>
      </c>
      <c r="J386" s="14" t="s">
        <v>196</v>
      </c>
      <c r="K386" s="28" t="s">
        <v>235</v>
      </c>
      <c r="L386" s="14" t="s">
        <v>249</v>
      </c>
      <c r="M386" s="14" t="s">
        <v>188</v>
      </c>
      <c r="N386" s="14" t="s">
        <v>199</v>
      </c>
      <c r="O386" s="14" t="s">
        <v>256</v>
      </c>
      <c r="P386" s="24" t="s">
        <v>255</v>
      </c>
      <c r="Q386" s="17" t="s">
        <v>203</v>
      </c>
      <c r="R386" s="25" t="s">
        <v>187</v>
      </c>
      <c r="S386" s="25" t="s">
        <v>203</v>
      </c>
      <c r="T386" s="14" t="s">
        <v>284</v>
      </c>
      <c r="U386" s="14" t="s">
        <v>237</v>
      </c>
      <c r="V386" s="14" t="s">
        <v>206</v>
      </c>
      <c r="W386" s="14" t="s">
        <v>306</v>
      </c>
      <c r="X386" s="14" t="s">
        <v>306</v>
      </c>
      <c r="Y386" s="14">
        <v>4</v>
      </c>
      <c r="Z386" s="14">
        <v>4</v>
      </c>
      <c r="AA386" s="14" t="s">
        <v>189</v>
      </c>
      <c r="AB386" s="15">
        <f>IFERROR(AVERAGE(Tabel1[[#This Row],[Up - R1a]:[Up - R1c]]),"")</f>
        <v>4</v>
      </c>
      <c r="AC386" s="14">
        <v>5</v>
      </c>
      <c r="AD386" s="14">
        <v>5</v>
      </c>
      <c r="AE386" s="14">
        <v>3</v>
      </c>
      <c r="AF386" s="14" t="s">
        <v>189</v>
      </c>
      <c r="AG386" s="14">
        <f>IFERROR(AVERAGE(Tabel1[[#This Row],[Up - R1]:[Up - R5]]),"")</f>
        <v>4.25</v>
      </c>
      <c r="AH386" s="14">
        <v>3</v>
      </c>
      <c r="AI386" s="14">
        <v>4</v>
      </c>
      <c r="AJ386" s="14">
        <v>3</v>
      </c>
      <c r="AK386" s="14">
        <f>IFERROR(AVERAGE(Tabel1[[#This Row],[Up - C1a]:[Up - C1c]]),"")</f>
        <v>3.3333333333333335</v>
      </c>
      <c r="AL386" s="14">
        <v>4</v>
      </c>
      <c r="AM386" s="14" t="s">
        <v>189</v>
      </c>
      <c r="AN386" s="14">
        <v>3</v>
      </c>
      <c r="AO386" s="14">
        <f>IFERROR(AVERAGE(Tabel1[[#This Row],[Up - C1]:[Up - C4]]),"")</f>
        <v>3.4444444444444446</v>
      </c>
      <c r="AP386" s="14">
        <v>4</v>
      </c>
      <c r="AQ386" s="14">
        <f>IFERROR(AVERAGE(Tabel1[[#This Row],[Up - F1a]:[Up - F1a]]),"")</f>
        <v>4</v>
      </c>
      <c r="AR386" s="14">
        <v>4</v>
      </c>
      <c r="AS386" s="14">
        <v>5</v>
      </c>
      <c r="AT386" s="14">
        <f>IFERROR(AVERAGE(Tabel1[[#This Row],[Up - F2a]:[Up - F2b]]),"")</f>
        <v>4.5</v>
      </c>
      <c r="AU386" s="14">
        <v>5</v>
      </c>
      <c r="AV386" s="14">
        <v>3</v>
      </c>
      <c r="AW386" s="14">
        <f>IFERROR(AVERAGE(Tabel1[[#This Row],[Up - F3a]:[Up - F3b]]),"")</f>
        <v>4</v>
      </c>
      <c r="AX386" s="14">
        <v>4</v>
      </c>
      <c r="AY386" s="14">
        <f>IFERROR(AVERAGE(Tabel1[[#This Row],[Up - F1]],Tabel1[[#This Row],[Up - F2]],Tabel1[[#This Row],[Up - F3]],Tabel1[[#This Row],[Up - F4]]),"")</f>
        <v>4.125</v>
      </c>
      <c r="AZ386" s="14">
        <v>5</v>
      </c>
      <c r="BA386" s="14">
        <v>3</v>
      </c>
      <c r="BB386" s="14">
        <f>IFERROR(AVERAGE(Tabel1[[#This Row],[Up - V1a]:[Up - V1b]]),"")</f>
        <v>4</v>
      </c>
      <c r="BC386" s="14">
        <v>5</v>
      </c>
      <c r="BD386" s="14">
        <v>4</v>
      </c>
      <c r="BE386" s="14">
        <v>5</v>
      </c>
      <c r="BF386" s="14">
        <f>IFERROR(AVERAGE(Tabel1[[#This Row],[Up - V2a]:[Up - V2c]]),"")</f>
        <v>4.666666666666667</v>
      </c>
      <c r="BG386" s="14">
        <v>4</v>
      </c>
      <c r="BH386" s="14">
        <v>4</v>
      </c>
      <c r="BI386" s="14">
        <f>IFERROR(AVERAGE(Tabel1[[#This Row],[Up - V3a]:[Up - V3b]]),"")</f>
        <v>4</v>
      </c>
      <c r="BJ386" s="14">
        <v>4</v>
      </c>
      <c r="BK386" s="14">
        <f>IFERROR(AVERAGE(Tabel1[[#This Row],[Up - V1]],Tabel1[[#This Row],[Up - V2]],Tabel1[[#This Row],[Up - V3]],Tabel1[[#This Row],[Up - V4]]),"")</f>
        <v>4.166666666666667</v>
      </c>
      <c r="BL386" s="14">
        <v>4</v>
      </c>
      <c r="BM386" s="14">
        <v>4</v>
      </c>
      <c r="BN386" s="14">
        <v>4</v>
      </c>
      <c r="BO386" s="14">
        <v>1</v>
      </c>
      <c r="BP386" s="14">
        <f>IFERROR(AVERAGE(Tabel1[[#This Row],[Up - A1a]:[Up - A1d]]),"")</f>
        <v>3.25</v>
      </c>
      <c r="BQ386" s="14">
        <v>3</v>
      </c>
      <c r="BR386" s="14">
        <v>5</v>
      </c>
      <c r="BS386" s="14">
        <f>IFERROR(AVERAGE(Tabel1[[#This Row],[Up - A2a]:[Up - A2b]]),"")</f>
        <v>4</v>
      </c>
      <c r="BT386" s="14">
        <v>4</v>
      </c>
      <c r="BU386" s="14">
        <f>IFERROR(AVERAGE(Tabel1[[#This Row],[Up - A3a]:[Up - A3a]]),"")</f>
        <v>4</v>
      </c>
      <c r="BV386" s="14">
        <v>4</v>
      </c>
      <c r="BW386" s="14">
        <f>IFERROR(AVERAGE(Tabel1[[#This Row],[Up - A1]],Tabel1[[#This Row],[Up - A2]],Tabel1[[#This Row],[Up - A3]]),"")</f>
        <v>3.75</v>
      </c>
      <c r="BX386" s="14">
        <v>3</v>
      </c>
      <c r="BY386" s="14">
        <v>3</v>
      </c>
      <c r="BZ386" s="14">
        <f>IFERROR(AVERAGE(Tabel1[[#This Row],[In - R1a]:[In - R1b]]),"")</f>
        <v>3</v>
      </c>
      <c r="CA386" s="14">
        <v>5</v>
      </c>
      <c r="CB386" s="14">
        <v>4</v>
      </c>
      <c r="CC386" s="14">
        <v>1</v>
      </c>
      <c r="CD386" s="14">
        <v>5</v>
      </c>
      <c r="CE386" s="14">
        <f>IFERROR(AVERAGE(Tabel1[[#This Row],[In - R1]:[In - R5]]),"")</f>
        <v>3.6</v>
      </c>
      <c r="CF386" s="14">
        <v>4</v>
      </c>
      <c r="CG386" s="14">
        <v>5</v>
      </c>
      <c r="CH386" s="14">
        <v>5</v>
      </c>
      <c r="CI386" s="14">
        <f>IFERROR(AVERAGE(Tabel1[[#This Row],[In - C1a]:[In - C1c]]),"")</f>
        <v>4.666666666666667</v>
      </c>
      <c r="CJ386" s="14">
        <v>4</v>
      </c>
      <c r="CK386" s="14">
        <v>4</v>
      </c>
      <c r="CL386" s="14">
        <v>5</v>
      </c>
      <c r="CM386" s="14">
        <f>IFERROR(AVERAGE(Tabel1[[#This Row],[In - C1]:[In - C4]]),"")</f>
        <v>4.416666666666667</v>
      </c>
      <c r="CN386" s="14">
        <v>5</v>
      </c>
      <c r="CO386" s="14">
        <v>2</v>
      </c>
      <c r="CP386" s="14">
        <v>2</v>
      </c>
      <c r="CQ386" s="14">
        <f>IFERROR(AVERAGE(Tabel1[[#This Row],[In - F1a]:[In - F1c]]),"")</f>
        <v>3</v>
      </c>
      <c r="CR386" s="14">
        <v>5</v>
      </c>
      <c r="CS386" s="14">
        <v>4</v>
      </c>
      <c r="CT386" s="14">
        <f>IFERROR(AVERAGE(Tabel1[[#This Row],[In - F2a]:[In - F2b]]),"")</f>
        <v>4.5</v>
      </c>
      <c r="CU386" s="14">
        <v>4</v>
      </c>
      <c r="CV386" s="14">
        <f>IFERROR(AVERAGE(Tabel1[[#This Row],[In - F3a]:[In - F3a]]),"")</f>
        <v>4</v>
      </c>
      <c r="CW386" s="14" t="s">
        <v>189</v>
      </c>
      <c r="CX386" s="14">
        <f>IFERROR(AVERAGE(Tabel1[[#This Row],[In - F1]],Tabel1[[#This Row],[In - F2]],Tabel1[[#This Row],[In - F3]],Tabel1[[#This Row],[In - F4]]),"")</f>
        <v>3.8333333333333335</v>
      </c>
      <c r="CY386" s="14">
        <v>5</v>
      </c>
      <c r="CZ386" s="14">
        <v>4</v>
      </c>
      <c r="DA386" s="14">
        <v>4</v>
      </c>
      <c r="DB386" s="14">
        <f>IFERROR(AVERAGE(Tabel1[[#This Row],[In - V1a]:[In - V1c]]),"")</f>
        <v>4.333333333333333</v>
      </c>
      <c r="DC386" s="14">
        <v>5</v>
      </c>
      <c r="DD386" s="14">
        <v>5</v>
      </c>
      <c r="DE386" s="14">
        <v>5</v>
      </c>
      <c r="DF386" s="14">
        <f>IFERROR(AVERAGE(Tabel1[[#This Row],[In - V2a]:[In - V2c]]),"")</f>
        <v>5</v>
      </c>
      <c r="DG386" s="14">
        <v>4</v>
      </c>
      <c r="DH386" s="14">
        <v>4</v>
      </c>
      <c r="DI386" s="14">
        <f>IFERROR(AVERAGE(Tabel1[[#This Row],[In - V3a]:[In - V3b]]),"")</f>
        <v>4</v>
      </c>
      <c r="DJ386" s="14">
        <v>5</v>
      </c>
      <c r="DK386" s="14">
        <f>IFERROR(AVERAGE(Tabel1[[#This Row],[In - V1]],Tabel1[[#This Row],[In - V2]],Tabel1[[#This Row],[In - V3]],Tabel1[[#This Row],[In - V4]]),"")</f>
        <v>4.583333333333333</v>
      </c>
      <c r="DL386" s="14">
        <v>5</v>
      </c>
      <c r="DM386" s="14">
        <v>5</v>
      </c>
      <c r="DN386" s="14">
        <f>IFERROR(AVERAGE(Tabel1[[#This Row],[In - A1a]:[In - A1b]]),"")</f>
        <v>5</v>
      </c>
      <c r="DO386" s="14">
        <v>5</v>
      </c>
      <c r="DP386" s="14">
        <v>4</v>
      </c>
      <c r="DQ386" s="14">
        <f>IFERROR(AVERAGE(Tabel1[[#This Row],[In - A2a]:[In - A2b]]),"")</f>
        <v>4.5</v>
      </c>
      <c r="DR386" s="14">
        <v>4</v>
      </c>
      <c r="DS386" s="14">
        <v>2</v>
      </c>
      <c r="DT386" s="14">
        <f>IFERROR(AVERAGE(Tabel1[[#This Row],[In - A3a]:[In - A3a]]),"")</f>
        <v>4</v>
      </c>
      <c r="DU386" s="14">
        <v>4</v>
      </c>
      <c r="DV386" s="14">
        <f>IFERROR(AVERAGE(Tabel1[[#This Row],[In - A1]],Tabel1[[#This Row],[In - A2]],Tabel1[[#This Row],[In - A3]],Tabel1[[#This Row],[In - A4]]),"")</f>
        <v>4.375</v>
      </c>
      <c r="DW386" s="14">
        <v>3</v>
      </c>
      <c r="DX386" s="14">
        <v>3</v>
      </c>
      <c r="DY386" s="14">
        <v>3</v>
      </c>
      <c r="DZ386" s="14">
        <f>IFERROR(AVERAGE(Tabel1[[#This Row],[Do - R1a]:[Do - R1c]]),"")</f>
        <v>3</v>
      </c>
      <c r="EA386" s="14">
        <v>5</v>
      </c>
      <c r="EB386" s="14">
        <v>4</v>
      </c>
      <c r="EC386" s="14">
        <v>1</v>
      </c>
      <c r="ED386" s="14">
        <v>4</v>
      </c>
      <c r="EE386" s="14">
        <f>IFERROR(AVERAGE(Tabel1[[#This Row],[Do - R1]:[Do - R5]]),"")</f>
        <v>3.4</v>
      </c>
      <c r="EF386" s="14">
        <v>4</v>
      </c>
      <c r="EG386" s="14">
        <v>3</v>
      </c>
      <c r="EH386" s="14">
        <v>3</v>
      </c>
      <c r="EI386" s="14">
        <f>IFERROR(AVERAGE(Tabel1[[#This Row],[Do - C1a]:[Do - C1c]]),"")</f>
        <v>3.3333333333333335</v>
      </c>
      <c r="EJ386" s="14">
        <v>3</v>
      </c>
      <c r="EK386" s="14" t="s">
        <v>189</v>
      </c>
      <c r="EL386" s="14">
        <v>4</v>
      </c>
      <c r="EM386" s="14">
        <f>IFERROR(AVERAGE(Tabel1[[#This Row],[Do - C1]:[Do - C4]]),"")</f>
        <v>3.4444444444444446</v>
      </c>
      <c r="EN386" s="14">
        <v>4</v>
      </c>
      <c r="EO386" s="14">
        <v>3</v>
      </c>
      <c r="EP386" s="14">
        <v>5</v>
      </c>
      <c r="EQ386" s="14">
        <f>IFERROR(AVERAGE(Tabel1[[#This Row],[Do - F1a]:[Do - F1c]]),"")</f>
        <v>4</v>
      </c>
      <c r="ER386" s="14">
        <v>4</v>
      </c>
      <c r="ES386" s="14">
        <f>IFERROR(AVERAGE(Tabel1[[#This Row],[Do - F2a]:[Do - F2a]]),"")</f>
        <v>4</v>
      </c>
      <c r="ET386" s="14">
        <v>3</v>
      </c>
      <c r="EU386" s="14">
        <v>5</v>
      </c>
      <c r="EV386" s="14">
        <f>IFERROR(AVERAGE(Tabel1[[#This Row],[Do - F3a]:[Do - F3b]]),"")</f>
        <v>4</v>
      </c>
      <c r="EW386" s="14">
        <v>4</v>
      </c>
      <c r="EX386" s="14">
        <f>IFERROR(AVERAGE(Tabel1[[#This Row],[Do - F1]],Tabel1[[#This Row],[Do - F2]],Tabel1[[#This Row],[Do - F3]],Tabel1[[#This Row],[Do - F4]]),"")</f>
        <v>4</v>
      </c>
      <c r="EY386" s="14">
        <v>2</v>
      </c>
      <c r="EZ386" s="14">
        <v>3</v>
      </c>
      <c r="FA386" s="14">
        <v>3</v>
      </c>
      <c r="FB386" s="14">
        <f>IFERROR(AVERAGE(Tabel1[[#This Row],[Do - V1a]:[Do - V1c]]),"")</f>
        <v>2.6666666666666665</v>
      </c>
      <c r="FC386" s="14">
        <v>5</v>
      </c>
      <c r="FD386" s="14">
        <v>5</v>
      </c>
      <c r="FE386" s="14">
        <f>IFERROR(AVERAGE(Tabel1[[#This Row],[Do - V2a]:[Do - V2b]]),"")</f>
        <v>5</v>
      </c>
      <c r="FF386" s="14">
        <v>4</v>
      </c>
      <c r="FG386" s="14">
        <f>IFERROR(AVERAGE(Tabel1[[#This Row],[Do - V3a]:[Do - V3a]]),"")</f>
        <v>4</v>
      </c>
      <c r="FH386" s="14">
        <v>4</v>
      </c>
      <c r="FI386" s="14">
        <f>IFERROR(AVERAGE(Tabel1[[#This Row],[Do - V1]],Tabel1[[#This Row],[Do - V2]],Tabel1[[#This Row],[Do - V3]],Tabel1[[#This Row],[Do - V4]]),"")</f>
        <v>3.9166666666666665</v>
      </c>
      <c r="FJ386" s="14">
        <v>4</v>
      </c>
      <c r="FK386" s="14">
        <v>2</v>
      </c>
      <c r="FL386" s="14">
        <v>4</v>
      </c>
      <c r="FM386" s="14">
        <f>IFERROR(AVERAGE(Tabel1[[#This Row],[Do - A1a]:[Do - A1c]]),"")</f>
        <v>3.3333333333333335</v>
      </c>
      <c r="FN386" s="14">
        <v>4</v>
      </c>
      <c r="FO386" s="14">
        <v>4</v>
      </c>
      <c r="FP386" s="14">
        <f>IFERROR(AVERAGE(Tabel1[[#This Row],[Do - A2a]:[Do - A2b]]),"")</f>
        <v>4</v>
      </c>
      <c r="FQ386" s="14">
        <v>4</v>
      </c>
      <c r="FR386" s="14">
        <f>IFERROR(AVERAGE(Tabel1[[#This Row],[Do - A3a]:[Do - A3a]]),"")</f>
        <v>4</v>
      </c>
      <c r="FS386" s="14">
        <v>4</v>
      </c>
      <c r="FT386" s="14">
        <f>IFERROR(AVERAGE(Tabel1[[#This Row],[Do - A1]],Tabel1[[#This Row],[Do - A2]],Tabel1[[#This Row],[Do - A3]],Tabel1[[#This Row],[Do - A4]]),"")</f>
        <v>3.8333333333333335</v>
      </c>
      <c r="FU38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3.9425925925925922</v>
      </c>
      <c r="FV386" s="27" t="s">
        <v>1950</v>
      </c>
      <c r="FW386" t="b">
        <v>1</v>
      </c>
    </row>
    <row r="387" spans="1:179" x14ac:dyDescent="0.3">
      <c r="A387" s="13">
        <v>45614.581747685203</v>
      </c>
      <c r="B387" t="b">
        <v>0</v>
      </c>
      <c r="C387" s="14" t="s">
        <v>1951</v>
      </c>
      <c r="D387" s="14" t="s">
        <v>1952</v>
      </c>
      <c r="E387" s="14" t="s">
        <v>1953</v>
      </c>
      <c r="F387" s="14" t="s">
        <v>184</v>
      </c>
      <c r="G387" s="14" t="s">
        <v>1954</v>
      </c>
      <c r="H387" s="14" t="s">
        <v>222</v>
      </c>
      <c r="I387" s="14" t="s">
        <v>1223</v>
      </c>
      <c r="J387" s="14" t="s">
        <v>212</v>
      </c>
      <c r="K387" s="28" t="s">
        <v>235</v>
      </c>
      <c r="L387" s="14" t="s">
        <v>218</v>
      </c>
      <c r="M387" s="14" t="s">
        <v>188</v>
      </c>
      <c r="N387" s="14" t="s">
        <v>316</v>
      </c>
      <c r="O387" s="14"/>
      <c r="P387" s="25" t="s">
        <v>235</v>
      </c>
      <c r="Q387" s="17"/>
      <c r="R387" s="25"/>
      <c r="S387" s="25"/>
      <c r="T387" s="14"/>
      <c r="U387" s="14"/>
      <c r="V387" s="14"/>
      <c r="W387" s="14"/>
      <c r="X387" s="14"/>
      <c r="Y387" s="14">
        <v>5</v>
      </c>
      <c r="Z387" s="14">
        <v>5</v>
      </c>
      <c r="AA387" s="14">
        <v>5</v>
      </c>
      <c r="AB387" s="15">
        <f>IFERROR(AVERAGE(Tabel1[[#This Row],[Up - R1a]:[Up - R1c]]),"")</f>
        <v>5</v>
      </c>
      <c r="AC387" s="14">
        <v>5</v>
      </c>
      <c r="AD387" s="14">
        <v>5</v>
      </c>
      <c r="AE387" s="14">
        <v>5</v>
      </c>
      <c r="AF387" s="14">
        <v>5</v>
      </c>
      <c r="AG387" s="14">
        <f>IFERROR(AVERAGE(Tabel1[[#This Row],[Up - R1]:[Up - R5]]),"")</f>
        <v>5</v>
      </c>
      <c r="AH387" s="14">
        <v>5</v>
      </c>
      <c r="AI387" s="14">
        <v>5</v>
      </c>
      <c r="AJ387" s="14">
        <v>5</v>
      </c>
      <c r="AK387" s="14">
        <f>IFERROR(AVERAGE(Tabel1[[#This Row],[Up - C1a]:[Up - C1c]]),"")</f>
        <v>5</v>
      </c>
      <c r="AL387" s="14">
        <v>5</v>
      </c>
      <c r="AM387" s="14">
        <v>5</v>
      </c>
      <c r="AN387" s="14">
        <v>5</v>
      </c>
      <c r="AO387" s="14">
        <f>IFERROR(AVERAGE(Tabel1[[#This Row],[Up - C1]:[Up - C4]]),"")</f>
        <v>5</v>
      </c>
      <c r="AP387" s="14">
        <v>5</v>
      </c>
      <c r="AQ387" s="14">
        <f>IFERROR(AVERAGE(Tabel1[[#This Row],[Up - F1a]:[Up - F1a]]),"")</f>
        <v>5</v>
      </c>
      <c r="AR387" s="14">
        <v>5</v>
      </c>
      <c r="AS387" s="14">
        <v>5</v>
      </c>
      <c r="AT387" s="14">
        <f>IFERROR(AVERAGE(Tabel1[[#This Row],[Up - F2a]:[Up - F2b]]),"")</f>
        <v>5</v>
      </c>
      <c r="AU387" s="14">
        <v>5</v>
      </c>
      <c r="AV387" s="14">
        <v>5</v>
      </c>
      <c r="AW387" s="14">
        <f>IFERROR(AVERAGE(Tabel1[[#This Row],[Up - F3a]:[Up - F3b]]),"")</f>
        <v>5</v>
      </c>
      <c r="AX387" s="14">
        <v>5</v>
      </c>
      <c r="AY387" s="14">
        <f>IFERROR(AVERAGE(Tabel1[[#This Row],[Up - F1]],Tabel1[[#This Row],[Up - F2]],Tabel1[[#This Row],[Up - F3]],Tabel1[[#This Row],[Up - F4]]),"")</f>
        <v>5</v>
      </c>
      <c r="AZ387" s="14">
        <v>5</v>
      </c>
      <c r="BA387" s="14">
        <v>5</v>
      </c>
      <c r="BB387" s="14">
        <f>IFERROR(AVERAGE(Tabel1[[#This Row],[Up - V1a]:[Up - V1b]]),"")</f>
        <v>5</v>
      </c>
      <c r="BC387" s="14">
        <v>5</v>
      </c>
      <c r="BD387" s="14">
        <v>5</v>
      </c>
      <c r="BE387" s="14">
        <v>5</v>
      </c>
      <c r="BF387" s="14">
        <f>IFERROR(AVERAGE(Tabel1[[#This Row],[Up - V2a]:[Up - V2c]]),"")</f>
        <v>5</v>
      </c>
      <c r="BG387" s="14">
        <v>5</v>
      </c>
      <c r="BH387" s="14">
        <v>5</v>
      </c>
      <c r="BI387" s="14">
        <f>IFERROR(AVERAGE(Tabel1[[#This Row],[Up - V3a]:[Up - V3b]]),"")</f>
        <v>5</v>
      </c>
      <c r="BJ387" s="14">
        <v>5</v>
      </c>
      <c r="BK387" s="14">
        <f>IFERROR(AVERAGE(Tabel1[[#This Row],[Up - V1]],Tabel1[[#This Row],[Up - V2]],Tabel1[[#This Row],[Up - V3]],Tabel1[[#This Row],[Up - V4]]),"")</f>
        <v>5</v>
      </c>
      <c r="BL387" s="14">
        <v>5</v>
      </c>
      <c r="BM387" s="14">
        <v>5</v>
      </c>
      <c r="BN387" s="14">
        <v>5</v>
      </c>
      <c r="BO387" s="14">
        <v>5</v>
      </c>
      <c r="BP387" s="14">
        <f>IFERROR(AVERAGE(Tabel1[[#This Row],[Up - A1a]:[Up - A1d]]),"")</f>
        <v>5</v>
      </c>
      <c r="BQ387" s="14">
        <v>5</v>
      </c>
      <c r="BR387" s="14">
        <v>5</v>
      </c>
      <c r="BS387" s="14">
        <f>IFERROR(AVERAGE(Tabel1[[#This Row],[Up - A2a]:[Up - A2b]]),"")</f>
        <v>5</v>
      </c>
      <c r="BT387" s="14">
        <v>5</v>
      </c>
      <c r="BU387" s="14">
        <f>IFERROR(AVERAGE(Tabel1[[#This Row],[Up - A3a]:[Up - A3a]]),"")</f>
        <v>5</v>
      </c>
      <c r="BV387" s="14">
        <v>5</v>
      </c>
      <c r="BW387" s="14">
        <f>IFERROR(AVERAGE(Tabel1[[#This Row],[Up - A1]],Tabel1[[#This Row],[Up - A2]],Tabel1[[#This Row],[Up - A3]]),"")</f>
        <v>5</v>
      </c>
      <c r="BX387" s="14">
        <v>5</v>
      </c>
      <c r="BY387" s="14">
        <v>5</v>
      </c>
      <c r="BZ387" s="14">
        <f>IFERROR(AVERAGE(Tabel1[[#This Row],[In - R1a]:[In - R1b]]),"")</f>
        <v>5</v>
      </c>
      <c r="CA387" s="14">
        <v>5</v>
      </c>
      <c r="CB387" s="14">
        <v>5</v>
      </c>
      <c r="CC387" s="14">
        <v>5</v>
      </c>
      <c r="CD387" s="14">
        <v>5</v>
      </c>
      <c r="CE387" s="14">
        <f>IFERROR(AVERAGE(Tabel1[[#This Row],[In - R1]:[In - R5]]),"")</f>
        <v>5</v>
      </c>
      <c r="CF387" s="14">
        <v>5</v>
      </c>
      <c r="CG387" s="14">
        <v>5</v>
      </c>
      <c r="CH387" s="14">
        <v>5</v>
      </c>
      <c r="CI387" s="14">
        <f>IFERROR(AVERAGE(Tabel1[[#This Row],[In - C1a]:[In - C1c]]),"")</f>
        <v>5</v>
      </c>
      <c r="CJ387" s="14">
        <v>5</v>
      </c>
      <c r="CK387" s="14">
        <v>5</v>
      </c>
      <c r="CL387" s="14">
        <v>5</v>
      </c>
      <c r="CM387" s="14">
        <f>IFERROR(AVERAGE(Tabel1[[#This Row],[In - C1]:[In - C4]]),"")</f>
        <v>5</v>
      </c>
      <c r="CN387" s="14" t="s">
        <v>189</v>
      </c>
      <c r="CO387" s="14" t="s">
        <v>189</v>
      </c>
      <c r="CP387" s="14" t="s">
        <v>189</v>
      </c>
      <c r="CQ387" s="14" t="str">
        <f>IFERROR(AVERAGE(Tabel1[[#This Row],[In - F1a]:[In - F1c]]),"")</f>
        <v/>
      </c>
      <c r="CR387" s="14" t="s">
        <v>189</v>
      </c>
      <c r="CS387" s="14" t="s">
        <v>189</v>
      </c>
      <c r="CT387" s="14" t="str">
        <f>IFERROR(AVERAGE(Tabel1[[#This Row],[In - F2a]:[In - F2b]]),"")</f>
        <v/>
      </c>
      <c r="CU387" s="14" t="s">
        <v>189</v>
      </c>
      <c r="CV387" s="14" t="str">
        <f>IFERROR(AVERAGE(Tabel1[[#This Row],[In - F3a]:[In - F3a]]),"")</f>
        <v/>
      </c>
      <c r="CW387" s="14" t="s">
        <v>189</v>
      </c>
      <c r="CX387" s="14" t="str">
        <f>IFERROR(AVERAGE(Tabel1[[#This Row],[In - F1]],Tabel1[[#This Row],[In - F2]],Tabel1[[#This Row],[In - F3]],Tabel1[[#This Row],[In - F4]]),"")</f>
        <v/>
      </c>
      <c r="CY387" s="14">
        <v>5</v>
      </c>
      <c r="CZ387" s="14">
        <v>5</v>
      </c>
      <c r="DA387" s="14">
        <v>5</v>
      </c>
      <c r="DB387" s="14">
        <f>IFERROR(AVERAGE(Tabel1[[#This Row],[In - V1a]:[In - V1c]]),"")</f>
        <v>5</v>
      </c>
      <c r="DC387" s="14">
        <v>5</v>
      </c>
      <c r="DD387" s="14">
        <v>5</v>
      </c>
      <c r="DE387" s="14">
        <v>5</v>
      </c>
      <c r="DF387" s="14">
        <f>IFERROR(AVERAGE(Tabel1[[#This Row],[In - V2a]:[In - V2c]]),"")</f>
        <v>5</v>
      </c>
      <c r="DG387" s="14">
        <v>5</v>
      </c>
      <c r="DH387" s="14">
        <v>5</v>
      </c>
      <c r="DI387" s="14">
        <f>IFERROR(AVERAGE(Tabel1[[#This Row],[In - V3a]:[In - V3b]]),"")</f>
        <v>5</v>
      </c>
      <c r="DJ387" s="14">
        <v>5</v>
      </c>
      <c r="DK387" s="14">
        <f>IFERROR(AVERAGE(Tabel1[[#This Row],[In - V1]],Tabel1[[#This Row],[In - V2]],Tabel1[[#This Row],[In - V3]],Tabel1[[#This Row],[In - V4]]),"")</f>
        <v>5</v>
      </c>
      <c r="DL387" s="14">
        <v>5</v>
      </c>
      <c r="DM387" s="14">
        <v>5</v>
      </c>
      <c r="DN387" s="14">
        <f>IFERROR(AVERAGE(Tabel1[[#This Row],[In - A1a]:[In - A1b]]),"")</f>
        <v>5</v>
      </c>
      <c r="DO387" s="14">
        <v>5</v>
      </c>
      <c r="DP387" s="14">
        <v>5</v>
      </c>
      <c r="DQ387" s="14">
        <f>IFERROR(AVERAGE(Tabel1[[#This Row],[In - A2a]:[In - A2b]]),"")</f>
        <v>5</v>
      </c>
      <c r="DR387" s="14">
        <v>5</v>
      </c>
      <c r="DS387" s="14">
        <v>5</v>
      </c>
      <c r="DT387" s="14">
        <f>IFERROR(AVERAGE(Tabel1[[#This Row],[In - A3a]:[In - A3a]]),"")</f>
        <v>5</v>
      </c>
      <c r="DU387" s="14">
        <v>5</v>
      </c>
      <c r="DV387" s="14">
        <f>IFERROR(AVERAGE(Tabel1[[#This Row],[In - A1]],Tabel1[[#This Row],[In - A2]],Tabel1[[#This Row],[In - A3]],Tabel1[[#This Row],[In - A4]]),"")</f>
        <v>5</v>
      </c>
      <c r="DW387" s="14">
        <v>5</v>
      </c>
      <c r="DX387" s="14">
        <v>5</v>
      </c>
      <c r="DY387" s="14">
        <v>5</v>
      </c>
      <c r="DZ387" s="14">
        <f>IFERROR(AVERAGE(Tabel1[[#This Row],[Do - R1a]:[Do - R1c]]),"")</f>
        <v>5</v>
      </c>
      <c r="EA387" s="14">
        <v>5</v>
      </c>
      <c r="EB387" s="14">
        <v>5</v>
      </c>
      <c r="EC387" s="14">
        <v>5</v>
      </c>
      <c r="ED387" s="14">
        <v>5</v>
      </c>
      <c r="EE387" s="14">
        <f>IFERROR(AVERAGE(Tabel1[[#This Row],[Do - R1]:[Do - R5]]),"")</f>
        <v>5</v>
      </c>
      <c r="EF387" s="14">
        <v>5</v>
      </c>
      <c r="EG387" s="14">
        <v>5</v>
      </c>
      <c r="EH387" s="14">
        <v>5</v>
      </c>
      <c r="EI387" s="14">
        <f>IFERROR(AVERAGE(Tabel1[[#This Row],[Do - C1a]:[Do - C1c]]),"")</f>
        <v>5</v>
      </c>
      <c r="EJ387" s="14">
        <v>5</v>
      </c>
      <c r="EK387" s="14">
        <v>5</v>
      </c>
      <c r="EL387" s="14">
        <v>5</v>
      </c>
      <c r="EM387" s="14">
        <f>IFERROR(AVERAGE(Tabel1[[#This Row],[Do - C1]:[Do - C4]]),"")</f>
        <v>5</v>
      </c>
      <c r="EN387" s="14">
        <v>5</v>
      </c>
      <c r="EO387" s="14">
        <v>5</v>
      </c>
      <c r="EP387" s="14">
        <v>5</v>
      </c>
      <c r="EQ387" s="14">
        <f>IFERROR(AVERAGE(Tabel1[[#This Row],[Do - F1a]:[Do - F1c]]),"")</f>
        <v>5</v>
      </c>
      <c r="ER387" s="14">
        <v>5</v>
      </c>
      <c r="ES387" s="14">
        <f>IFERROR(AVERAGE(Tabel1[[#This Row],[Do - F2a]:[Do - F2a]]),"")</f>
        <v>5</v>
      </c>
      <c r="ET387" s="14">
        <v>5</v>
      </c>
      <c r="EU387" s="14">
        <v>5</v>
      </c>
      <c r="EV387" s="14">
        <f>IFERROR(AVERAGE(Tabel1[[#This Row],[Do - F3a]:[Do - F3b]]),"")</f>
        <v>5</v>
      </c>
      <c r="EW387" s="14">
        <v>5</v>
      </c>
      <c r="EX387" s="14">
        <f>IFERROR(AVERAGE(Tabel1[[#This Row],[Do - F1]],Tabel1[[#This Row],[Do - F2]],Tabel1[[#This Row],[Do - F3]],Tabel1[[#This Row],[Do - F4]]),"")</f>
        <v>5</v>
      </c>
      <c r="EY387" s="14">
        <v>5</v>
      </c>
      <c r="EZ387" s="14">
        <v>5</v>
      </c>
      <c r="FA387" s="14">
        <v>5</v>
      </c>
      <c r="FB387" s="14">
        <f>IFERROR(AVERAGE(Tabel1[[#This Row],[Do - V1a]:[Do - V1c]]),"")</f>
        <v>5</v>
      </c>
      <c r="FC387" s="14">
        <v>5</v>
      </c>
      <c r="FD387" s="14">
        <v>5</v>
      </c>
      <c r="FE387" s="14">
        <f>IFERROR(AVERAGE(Tabel1[[#This Row],[Do - V2a]:[Do - V2b]]),"")</f>
        <v>5</v>
      </c>
      <c r="FF387" s="14">
        <v>5</v>
      </c>
      <c r="FG387" s="14">
        <f>IFERROR(AVERAGE(Tabel1[[#This Row],[Do - V3a]:[Do - V3a]]),"")</f>
        <v>5</v>
      </c>
      <c r="FH387" s="14">
        <v>5</v>
      </c>
      <c r="FI387" s="14">
        <f>IFERROR(AVERAGE(Tabel1[[#This Row],[Do - V1]],Tabel1[[#This Row],[Do - V2]],Tabel1[[#This Row],[Do - V3]],Tabel1[[#This Row],[Do - V4]]),"")</f>
        <v>5</v>
      </c>
      <c r="FJ387" s="14">
        <v>5</v>
      </c>
      <c r="FK387" s="14">
        <v>5</v>
      </c>
      <c r="FL387" s="14">
        <v>5</v>
      </c>
      <c r="FM387" s="14">
        <f>IFERROR(AVERAGE(Tabel1[[#This Row],[Do - A1a]:[Do - A1c]]),"")</f>
        <v>5</v>
      </c>
      <c r="FN387" s="14">
        <v>5</v>
      </c>
      <c r="FO387" s="14">
        <v>5</v>
      </c>
      <c r="FP387" s="14">
        <f>IFERROR(AVERAGE(Tabel1[[#This Row],[Do - A2a]:[Do - A2b]]),"")</f>
        <v>5</v>
      </c>
      <c r="FQ387" s="14">
        <v>5</v>
      </c>
      <c r="FR387" s="14">
        <f>IFERROR(AVERAGE(Tabel1[[#This Row],[Do - A3a]:[Do - A3a]]),"")</f>
        <v>5</v>
      </c>
      <c r="FS387" s="14">
        <v>5</v>
      </c>
      <c r="FT387" s="14">
        <f>IFERROR(AVERAGE(Tabel1[[#This Row],[Do - A1]],Tabel1[[#This Row],[Do - A2]],Tabel1[[#This Row],[Do - A3]],Tabel1[[#This Row],[Do - A4]]),"")</f>
        <v>5</v>
      </c>
      <c r="FU38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5</v>
      </c>
      <c r="FV387" s="27" t="s">
        <v>1955</v>
      </c>
      <c r="FW387" t="b">
        <v>1</v>
      </c>
    </row>
    <row r="388" spans="1:179" x14ac:dyDescent="0.3">
      <c r="A388" s="13">
        <v>45614.596516203703</v>
      </c>
      <c r="B388" t="b">
        <v>0</v>
      </c>
      <c r="C388" s="14" t="s">
        <v>1956</v>
      </c>
      <c r="D388" s="14" t="s">
        <v>864</v>
      </c>
      <c r="E388" s="14" t="s">
        <v>193</v>
      </c>
      <c r="F388" s="14" t="s">
        <v>1957</v>
      </c>
      <c r="G388" s="14" t="s">
        <v>1958</v>
      </c>
      <c r="H388" s="14" t="s">
        <v>194</v>
      </c>
      <c r="I388" s="14" t="s">
        <v>195</v>
      </c>
      <c r="J388" s="14" t="s">
        <v>196</v>
      </c>
      <c r="K388" s="28" t="s">
        <v>235</v>
      </c>
      <c r="L388" s="14" t="s">
        <v>249</v>
      </c>
      <c r="M388" s="14" t="s">
        <v>198</v>
      </c>
      <c r="N388" s="14" t="s">
        <v>199</v>
      </c>
      <c r="O388" s="14" t="s">
        <v>200</v>
      </c>
      <c r="P388" s="24" t="s">
        <v>304</v>
      </c>
      <c r="Q388" s="17" t="s">
        <v>235</v>
      </c>
      <c r="R388" s="25" t="s">
        <v>235</v>
      </c>
      <c r="S388" s="25" t="s">
        <v>235</v>
      </c>
      <c r="T388" s="14" t="s">
        <v>204</v>
      </c>
      <c r="U388" s="14" t="s">
        <v>285</v>
      </c>
      <c r="V388" s="14" t="s">
        <v>206</v>
      </c>
      <c r="W388" s="14" t="s">
        <v>305</v>
      </c>
      <c r="X388" s="14" t="s">
        <v>305</v>
      </c>
      <c r="Y388" s="14">
        <v>4</v>
      </c>
      <c r="Z388" s="14">
        <v>4</v>
      </c>
      <c r="AA388" s="14">
        <v>3</v>
      </c>
      <c r="AB388" s="15">
        <f>IFERROR(AVERAGE(Tabel1[[#This Row],[Up - R1a]:[Up - R1c]]),"")</f>
        <v>3.6666666666666665</v>
      </c>
      <c r="AC388" s="14">
        <v>4</v>
      </c>
      <c r="AD388" s="14">
        <v>4</v>
      </c>
      <c r="AE388" s="14">
        <v>3</v>
      </c>
      <c r="AF388" s="14">
        <v>4</v>
      </c>
      <c r="AG388" s="14">
        <f>IFERROR(AVERAGE(Tabel1[[#This Row],[Up - R1]:[Up - R5]]),"")</f>
        <v>3.7333333333333329</v>
      </c>
      <c r="AH388" s="14">
        <v>4</v>
      </c>
      <c r="AI388" s="14">
        <v>4</v>
      </c>
      <c r="AJ388" s="14" t="s">
        <v>189</v>
      </c>
      <c r="AK388" s="14">
        <f>IFERROR(AVERAGE(Tabel1[[#This Row],[Up - C1a]:[Up - C1c]]),"")</f>
        <v>4</v>
      </c>
      <c r="AL388" s="14">
        <v>4</v>
      </c>
      <c r="AM388" s="14">
        <v>4</v>
      </c>
      <c r="AN388" s="14">
        <v>4</v>
      </c>
      <c r="AO388" s="14">
        <f>IFERROR(AVERAGE(Tabel1[[#This Row],[Up - C1]:[Up - C4]]),"")</f>
        <v>4</v>
      </c>
      <c r="AP388" s="14">
        <v>4</v>
      </c>
      <c r="AQ388" s="14">
        <f>IFERROR(AVERAGE(Tabel1[[#This Row],[Up - F1a]:[Up - F1a]]),"")</f>
        <v>4</v>
      </c>
      <c r="AR388" s="14">
        <v>3</v>
      </c>
      <c r="AS388" s="14">
        <v>4</v>
      </c>
      <c r="AT388" s="14">
        <f>IFERROR(AVERAGE(Tabel1[[#This Row],[Up - F2a]:[Up - F2b]]),"")</f>
        <v>3.5</v>
      </c>
      <c r="AU388" s="14">
        <v>4</v>
      </c>
      <c r="AV388" s="14">
        <v>3</v>
      </c>
      <c r="AW388" s="14">
        <f>IFERROR(AVERAGE(Tabel1[[#This Row],[Up - F3a]:[Up - F3b]]),"")</f>
        <v>3.5</v>
      </c>
      <c r="AX388" s="14">
        <v>4</v>
      </c>
      <c r="AY388" s="14">
        <f>IFERROR(AVERAGE(Tabel1[[#This Row],[Up - F1]],Tabel1[[#This Row],[Up - F2]],Tabel1[[#This Row],[Up - F3]],Tabel1[[#This Row],[Up - F4]]),"")</f>
        <v>3.75</v>
      </c>
      <c r="AZ388" s="14">
        <v>3</v>
      </c>
      <c r="BA388" s="14">
        <v>4</v>
      </c>
      <c r="BB388" s="14">
        <f>IFERROR(AVERAGE(Tabel1[[#This Row],[Up - V1a]:[Up - V1b]]),"")</f>
        <v>3.5</v>
      </c>
      <c r="BC388" s="14">
        <v>4</v>
      </c>
      <c r="BD388" s="14">
        <v>4</v>
      </c>
      <c r="BE388" s="14">
        <v>4</v>
      </c>
      <c r="BF388" s="14">
        <f>IFERROR(AVERAGE(Tabel1[[#This Row],[Up - V2a]:[Up - V2c]]),"")</f>
        <v>4</v>
      </c>
      <c r="BG388" s="14">
        <v>3</v>
      </c>
      <c r="BH388" s="14">
        <v>4</v>
      </c>
      <c r="BI388" s="14">
        <f>IFERROR(AVERAGE(Tabel1[[#This Row],[Up - V3a]:[Up - V3b]]),"")</f>
        <v>3.5</v>
      </c>
      <c r="BJ388" s="14">
        <v>4</v>
      </c>
      <c r="BK388" s="14">
        <f>IFERROR(AVERAGE(Tabel1[[#This Row],[Up - V1]],Tabel1[[#This Row],[Up - V2]],Tabel1[[#This Row],[Up - V3]],Tabel1[[#This Row],[Up - V4]]),"")</f>
        <v>3.75</v>
      </c>
      <c r="BL388" s="14">
        <v>4</v>
      </c>
      <c r="BM388" s="14">
        <v>4</v>
      </c>
      <c r="BN388" s="14">
        <v>3</v>
      </c>
      <c r="BO388" s="14">
        <v>3</v>
      </c>
      <c r="BP388" s="14">
        <f>IFERROR(AVERAGE(Tabel1[[#This Row],[Up - A1a]:[Up - A1d]]),"")</f>
        <v>3.5</v>
      </c>
      <c r="BQ388" s="14">
        <v>3</v>
      </c>
      <c r="BR388" s="14">
        <v>4</v>
      </c>
      <c r="BS388" s="14">
        <f>IFERROR(AVERAGE(Tabel1[[#This Row],[Up - A2a]:[Up - A2b]]),"")</f>
        <v>3.5</v>
      </c>
      <c r="BT388" s="14">
        <v>4</v>
      </c>
      <c r="BU388" s="14">
        <f>IFERROR(AVERAGE(Tabel1[[#This Row],[Up - A3a]:[Up - A3a]]),"")</f>
        <v>4</v>
      </c>
      <c r="BV388" s="14">
        <v>4</v>
      </c>
      <c r="BW388" s="14">
        <f>IFERROR(AVERAGE(Tabel1[[#This Row],[Up - A1]],Tabel1[[#This Row],[Up - A2]],Tabel1[[#This Row],[Up - A3]]),"")</f>
        <v>3.6666666666666665</v>
      </c>
      <c r="BX388" s="14">
        <v>4</v>
      </c>
      <c r="BY388" s="14">
        <v>4</v>
      </c>
      <c r="BZ388" s="14">
        <f>IFERROR(AVERAGE(Tabel1[[#This Row],[In - R1a]:[In - R1b]]),"")</f>
        <v>4</v>
      </c>
      <c r="CA388" s="14">
        <v>4</v>
      </c>
      <c r="CB388" s="14">
        <v>4</v>
      </c>
      <c r="CC388" s="14">
        <v>3</v>
      </c>
      <c r="CD388" s="14">
        <v>4</v>
      </c>
      <c r="CE388" s="14">
        <f>IFERROR(AVERAGE(Tabel1[[#This Row],[In - R1]:[In - R5]]),"")</f>
        <v>3.8</v>
      </c>
      <c r="CF388" s="14">
        <v>5</v>
      </c>
      <c r="CG388" s="14">
        <v>4</v>
      </c>
      <c r="CH388" s="14">
        <v>4</v>
      </c>
      <c r="CI388" s="14">
        <f>IFERROR(AVERAGE(Tabel1[[#This Row],[In - C1a]:[In - C1c]]),"")</f>
        <v>4.333333333333333</v>
      </c>
      <c r="CJ388" s="14">
        <v>4</v>
      </c>
      <c r="CK388" s="14">
        <v>4</v>
      </c>
      <c r="CL388" s="14">
        <v>4</v>
      </c>
      <c r="CM388" s="14">
        <f>IFERROR(AVERAGE(Tabel1[[#This Row],[In - C1]:[In - C4]]),"")</f>
        <v>4.083333333333333</v>
      </c>
      <c r="CN388" s="14">
        <v>5</v>
      </c>
      <c r="CO388" s="14">
        <v>3</v>
      </c>
      <c r="CP388" s="14">
        <v>3</v>
      </c>
      <c r="CQ388" s="14">
        <f>IFERROR(AVERAGE(Tabel1[[#This Row],[In - F1a]:[In - F1c]]),"")</f>
        <v>3.6666666666666665</v>
      </c>
      <c r="CR388" s="14">
        <v>4</v>
      </c>
      <c r="CS388" s="14">
        <v>4</v>
      </c>
      <c r="CT388" s="14">
        <f>IFERROR(AVERAGE(Tabel1[[#This Row],[In - F2a]:[In - F2b]]),"")</f>
        <v>4</v>
      </c>
      <c r="CU388" s="14">
        <v>4</v>
      </c>
      <c r="CV388" s="14">
        <f>IFERROR(AVERAGE(Tabel1[[#This Row],[In - F3a]:[In - F3a]]),"")</f>
        <v>4</v>
      </c>
      <c r="CW388" s="14">
        <v>5</v>
      </c>
      <c r="CX388" s="14">
        <f>IFERROR(AVERAGE(Tabel1[[#This Row],[In - F1]],Tabel1[[#This Row],[In - F2]],Tabel1[[#This Row],[In - F3]],Tabel1[[#This Row],[In - F4]]),"")</f>
        <v>4.1666666666666661</v>
      </c>
      <c r="CY388" s="14">
        <v>5</v>
      </c>
      <c r="CZ388" s="14">
        <v>4</v>
      </c>
      <c r="DA388" s="14">
        <v>4</v>
      </c>
      <c r="DB388" s="14">
        <f>IFERROR(AVERAGE(Tabel1[[#This Row],[In - V1a]:[In - V1c]]),"")</f>
        <v>4.333333333333333</v>
      </c>
      <c r="DC388" s="14">
        <v>4</v>
      </c>
      <c r="DD388" s="14">
        <v>4</v>
      </c>
      <c r="DE388" s="14">
        <v>4</v>
      </c>
      <c r="DF388" s="14">
        <f>IFERROR(AVERAGE(Tabel1[[#This Row],[In - V2a]:[In - V2c]]),"")</f>
        <v>4</v>
      </c>
      <c r="DG388" s="14">
        <v>4</v>
      </c>
      <c r="DH388" s="14">
        <v>4</v>
      </c>
      <c r="DI388" s="14">
        <f>IFERROR(AVERAGE(Tabel1[[#This Row],[In - V3a]:[In - V3b]]),"")</f>
        <v>4</v>
      </c>
      <c r="DJ388" s="14">
        <v>4</v>
      </c>
      <c r="DK388" s="14">
        <f>IFERROR(AVERAGE(Tabel1[[#This Row],[In - V1]],Tabel1[[#This Row],[In - V2]],Tabel1[[#This Row],[In - V3]],Tabel1[[#This Row],[In - V4]]),"")</f>
        <v>4.083333333333333</v>
      </c>
      <c r="DL388" s="14">
        <v>4</v>
      </c>
      <c r="DM388" s="14">
        <v>4</v>
      </c>
      <c r="DN388" s="14">
        <f>IFERROR(AVERAGE(Tabel1[[#This Row],[In - A1a]:[In - A1b]]),"")</f>
        <v>4</v>
      </c>
      <c r="DO388" s="14">
        <v>4</v>
      </c>
      <c r="DP388" s="14">
        <v>4</v>
      </c>
      <c r="DQ388" s="14">
        <f>IFERROR(AVERAGE(Tabel1[[#This Row],[In - A2a]:[In - A2b]]),"")</f>
        <v>4</v>
      </c>
      <c r="DR388" s="14">
        <v>4</v>
      </c>
      <c r="DS388" s="14">
        <v>4</v>
      </c>
      <c r="DT388" s="14">
        <f>IFERROR(AVERAGE(Tabel1[[#This Row],[In - A3a]:[In - A3a]]),"")</f>
        <v>4</v>
      </c>
      <c r="DU388" s="14">
        <v>4</v>
      </c>
      <c r="DV388" s="14">
        <f>IFERROR(AVERAGE(Tabel1[[#This Row],[In - A1]],Tabel1[[#This Row],[In - A2]],Tabel1[[#This Row],[In - A3]],Tabel1[[#This Row],[In - A4]]),"")</f>
        <v>4</v>
      </c>
      <c r="DW388" s="14">
        <v>5</v>
      </c>
      <c r="DX388" s="14">
        <v>5</v>
      </c>
      <c r="DY388" s="14">
        <v>5</v>
      </c>
      <c r="DZ388" s="14">
        <f>IFERROR(AVERAGE(Tabel1[[#This Row],[Do - R1a]:[Do - R1c]]),"")</f>
        <v>5</v>
      </c>
      <c r="EA388" s="14">
        <v>2</v>
      </c>
      <c r="EB388" s="14">
        <v>4</v>
      </c>
      <c r="EC388" s="14">
        <v>2</v>
      </c>
      <c r="ED388" s="14">
        <v>4</v>
      </c>
      <c r="EE388" s="14">
        <f>IFERROR(AVERAGE(Tabel1[[#This Row],[Do - R1]:[Do - R5]]),"")</f>
        <v>3.4</v>
      </c>
      <c r="EF388" s="14">
        <v>4</v>
      </c>
      <c r="EG388" s="14">
        <v>4</v>
      </c>
      <c r="EH388" s="14">
        <v>4</v>
      </c>
      <c r="EI388" s="14">
        <f>IFERROR(AVERAGE(Tabel1[[#This Row],[Do - C1a]:[Do - C1c]]),"")</f>
        <v>4</v>
      </c>
      <c r="EJ388" s="14">
        <v>4</v>
      </c>
      <c r="EK388" s="14">
        <v>4</v>
      </c>
      <c r="EL388" s="14">
        <v>4</v>
      </c>
      <c r="EM388" s="14">
        <f>IFERROR(AVERAGE(Tabel1[[#This Row],[Do - C1]:[Do - C4]]),"")</f>
        <v>4</v>
      </c>
      <c r="EN388" s="14">
        <v>4</v>
      </c>
      <c r="EO388" s="14">
        <v>4</v>
      </c>
      <c r="EP388" s="14" t="s">
        <v>189</v>
      </c>
      <c r="EQ388" s="14">
        <f>IFERROR(AVERAGE(Tabel1[[#This Row],[Do - F1a]:[Do - F1c]]),"")</f>
        <v>4</v>
      </c>
      <c r="ER388" s="14">
        <v>3</v>
      </c>
      <c r="ES388" s="14">
        <f>IFERROR(AVERAGE(Tabel1[[#This Row],[Do - F2a]:[Do - F2a]]),"")</f>
        <v>3</v>
      </c>
      <c r="ET388" s="14">
        <v>4</v>
      </c>
      <c r="EU388" s="14">
        <v>4</v>
      </c>
      <c r="EV388" s="14">
        <f>IFERROR(AVERAGE(Tabel1[[#This Row],[Do - F3a]:[Do - F3b]]),"")</f>
        <v>4</v>
      </c>
      <c r="EW388" s="14">
        <v>4</v>
      </c>
      <c r="EX388" s="14">
        <f>IFERROR(AVERAGE(Tabel1[[#This Row],[Do - F1]],Tabel1[[#This Row],[Do - F2]],Tabel1[[#This Row],[Do - F3]],Tabel1[[#This Row],[Do - F4]]),"")</f>
        <v>3.75</v>
      </c>
      <c r="EY388" s="14">
        <v>4</v>
      </c>
      <c r="EZ388" s="14">
        <v>4</v>
      </c>
      <c r="FA388" s="14">
        <v>4</v>
      </c>
      <c r="FB388" s="14">
        <f>IFERROR(AVERAGE(Tabel1[[#This Row],[Do - V1a]:[Do - V1c]]),"")</f>
        <v>4</v>
      </c>
      <c r="FC388" s="14">
        <v>4</v>
      </c>
      <c r="FD388" s="14">
        <v>4</v>
      </c>
      <c r="FE388" s="14">
        <f>IFERROR(AVERAGE(Tabel1[[#This Row],[Do - V2a]:[Do - V2b]]),"")</f>
        <v>4</v>
      </c>
      <c r="FF388" s="14">
        <v>4</v>
      </c>
      <c r="FG388" s="14">
        <f>IFERROR(AVERAGE(Tabel1[[#This Row],[Do - V3a]:[Do - V3a]]),"")</f>
        <v>4</v>
      </c>
      <c r="FH388" s="14">
        <v>4</v>
      </c>
      <c r="FI388" s="14">
        <f>IFERROR(AVERAGE(Tabel1[[#This Row],[Do - V1]],Tabel1[[#This Row],[Do - V2]],Tabel1[[#This Row],[Do - V3]],Tabel1[[#This Row],[Do - V4]]),"")</f>
        <v>4</v>
      </c>
      <c r="FJ388" s="14">
        <v>4</v>
      </c>
      <c r="FK388" s="14">
        <v>4</v>
      </c>
      <c r="FL388" s="14">
        <v>4</v>
      </c>
      <c r="FM388" s="14">
        <f>IFERROR(AVERAGE(Tabel1[[#This Row],[Do - A1a]:[Do - A1c]]),"")</f>
        <v>4</v>
      </c>
      <c r="FN388" s="14">
        <v>4</v>
      </c>
      <c r="FO388" s="14">
        <v>4</v>
      </c>
      <c r="FP388" s="14">
        <f>IFERROR(AVERAGE(Tabel1[[#This Row],[Do - A2a]:[Do - A2b]]),"")</f>
        <v>4</v>
      </c>
      <c r="FQ388" s="14">
        <v>4</v>
      </c>
      <c r="FR388" s="14">
        <f>IFERROR(AVERAGE(Tabel1[[#This Row],[Do - A3a]:[Do - A3a]]),"")</f>
        <v>4</v>
      </c>
      <c r="FS388" s="14">
        <v>4</v>
      </c>
      <c r="FT388" s="14">
        <f>IFERROR(AVERAGE(Tabel1[[#This Row],[Do - A1]],Tabel1[[#This Row],[Do - A2]],Tabel1[[#This Row],[Do - A3]],Tabel1[[#This Row],[Do - A4]]),"")</f>
        <v>4</v>
      </c>
      <c r="FU38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3.8788888888888886</v>
      </c>
      <c r="FV388" s="27" t="s">
        <v>1959</v>
      </c>
      <c r="FW388" t="b">
        <v>1</v>
      </c>
    </row>
    <row r="389" spans="1:179" x14ac:dyDescent="0.3">
      <c r="A389" s="13">
        <v>45615.444884259297</v>
      </c>
      <c r="B389" t="b">
        <v>0</v>
      </c>
      <c r="C389" s="14" t="s">
        <v>1960</v>
      </c>
      <c r="D389" s="14" t="s">
        <v>864</v>
      </c>
      <c r="E389" s="14" t="s">
        <v>193</v>
      </c>
      <c r="F389" s="14" t="s">
        <v>1961</v>
      </c>
      <c r="G389" s="14" t="s">
        <v>1962</v>
      </c>
      <c r="H389" s="14" t="s">
        <v>194</v>
      </c>
      <c r="I389" s="14" t="s">
        <v>195</v>
      </c>
      <c r="J389" s="14" t="s">
        <v>196</v>
      </c>
      <c r="K389" s="28" t="s">
        <v>201</v>
      </c>
      <c r="L389" s="14" t="s">
        <v>197</v>
      </c>
      <c r="M389" s="14" t="s">
        <v>233</v>
      </c>
      <c r="N389" s="14" t="s">
        <v>199</v>
      </c>
      <c r="O389" s="14" t="s">
        <v>200</v>
      </c>
      <c r="P389" s="24" t="s">
        <v>255</v>
      </c>
      <c r="Q389" s="17" t="s">
        <v>304</v>
      </c>
      <c r="R389" s="25" t="s">
        <v>235</v>
      </c>
      <c r="S389" s="24" t="s">
        <v>304</v>
      </c>
      <c r="T389" s="14" t="s">
        <v>204</v>
      </c>
      <c r="U389" s="14" t="s">
        <v>237</v>
      </c>
      <c r="V389" s="14" t="s">
        <v>610</v>
      </c>
      <c r="W389" s="14" t="s">
        <v>395</v>
      </c>
      <c r="X389" s="14" t="s">
        <v>306</v>
      </c>
      <c r="Y389" s="14">
        <v>4</v>
      </c>
      <c r="Z389" s="14">
        <v>4</v>
      </c>
      <c r="AA389" s="14" t="s">
        <v>189</v>
      </c>
      <c r="AB389" s="15">
        <f>IFERROR(AVERAGE(Tabel1[[#This Row],[Up - R1a]:[Up - R1c]]),"")</f>
        <v>4</v>
      </c>
      <c r="AC389" s="14">
        <v>3</v>
      </c>
      <c r="AD389" s="14">
        <v>1</v>
      </c>
      <c r="AE389" s="14">
        <v>2</v>
      </c>
      <c r="AF389" s="14" t="s">
        <v>189</v>
      </c>
      <c r="AG389" s="14">
        <f>IFERROR(AVERAGE(Tabel1[[#This Row],[Up - R1]:[Up - R5]]),"")</f>
        <v>2.5</v>
      </c>
      <c r="AH389" s="14">
        <v>5</v>
      </c>
      <c r="AI389" s="14">
        <v>5</v>
      </c>
      <c r="AJ389" s="14">
        <v>4</v>
      </c>
      <c r="AK389" s="14">
        <f>IFERROR(AVERAGE(Tabel1[[#This Row],[Up - C1a]:[Up - C1c]]),"")</f>
        <v>4.666666666666667</v>
      </c>
      <c r="AL389" s="14">
        <v>5</v>
      </c>
      <c r="AM389" s="14">
        <v>4</v>
      </c>
      <c r="AN389" s="14">
        <v>4</v>
      </c>
      <c r="AO389" s="14">
        <f>IFERROR(AVERAGE(Tabel1[[#This Row],[Up - C1]:[Up - C4]]),"")</f>
        <v>4.416666666666667</v>
      </c>
      <c r="AP389" s="14">
        <v>3</v>
      </c>
      <c r="AQ389" s="14">
        <f>IFERROR(AVERAGE(Tabel1[[#This Row],[Up - F1a]:[Up - F1a]]),"")</f>
        <v>3</v>
      </c>
      <c r="AR389" s="14">
        <v>2</v>
      </c>
      <c r="AS389" s="14">
        <v>3</v>
      </c>
      <c r="AT389" s="14">
        <f>IFERROR(AVERAGE(Tabel1[[#This Row],[Up - F2a]:[Up - F2b]]),"")</f>
        <v>2.5</v>
      </c>
      <c r="AU389" s="14">
        <v>3</v>
      </c>
      <c r="AV389" s="14">
        <v>3</v>
      </c>
      <c r="AW389" s="14">
        <f>IFERROR(AVERAGE(Tabel1[[#This Row],[Up - F3a]:[Up - F3b]]),"")</f>
        <v>3</v>
      </c>
      <c r="AX389" s="14">
        <v>3</v>
      </c>
      <c r="AY389" s="14">
        <f>IFERROR(AVERAGE(Tabel1[[#This Row],[Up - F1]],Tabel1[[#This Row],[Up - F2]],Tabel1[[#This Row],[Up - F3]],Tabel1[[#This Row],[Up - F4]]),"")</f>
        <v>2.875</v>
      </c>
      <c r="AZ389" s="14">
        <v>3</v>
      </c>
      <c r="BA389" s="14">
        <v>4</v>
      </c>
      <c r="BB389" s="14">
        <f>IFERROR(AVERAGE(Tabel1[[#This Row],[Up - V1a]:[Up - V1b]]),"")</f>
        <v>3.5</v>
      </c>
      <c r="BC389" s="14">
        <v>4</v>
      </c>
      <c r="BD389" s="14">
        <v>3</v>
      </c>
      <c r="BE389" s="14">
        <v>3</v>
      </c>
      <c r="BF389" s="14">
        <f>IFERROR(AVERAGE(Tabel1[[#This Row],[Up - V2a]:[Up - V2c]]),"")</f>
        <v>3.3333333333333335</v>
      </c>
      <c r="BG389" s="14">
        <v>3</v>
      </c>
      <c r="BH389" s="14">
        <v>3</v>
      </c>
      <c r="BI389" s="14">
        <f>IFERROR(AVERAGE(Tabel1[[#This Row],[Up - V3a]:[Up - V3b]]),"")</f>
        <v>3</v>
      </c>
      <c r="BJ389" s="14">
        <v>4</v>
      </c>
      <c r="BK389" s="14">
        <f>IFERROR(AVERAGE(Tabel1[[#This Row],[Up - V1]],Tabel1[[#This Row],[Up - V2]],Tabel1[[#This Row],[Up - V3]],Tabel1[[#This Row],[Up - V4]]),"")</f>
        <v>3.4583333333333335</v>
      </c>
      <c r="BL389" s="14">
        <v>4</v>
      </c>
      <c r="BM389" s="14">
        <v>4</v>
      </c>
      <c r="BN389" s="14">
        <v>2</v>
      </c>
      <c r="BO389" s="14">
        <v>3</v>
      </c>
      <c r="BP389" s="14">
        <f>IFERROR(AVERAGE(Tabel1[[#This Row],[Up - A1a]:[Up - A1d]]),"")</f>
        <v>3.25</v>
      </c>
      <c r="BQ389" s="14" t="s">
        <v>189</v>
      </c>
      <c r="BR389" s="14">
        <v>1</v>
      </c>
      <c r="BS389" s="14">
        <f>IFERROR(AVERAGE(Tabel1[[#This Row],[Up - A2a]:[Up - A2b]]),"")</f>
        <v>1</v>
      </c>
      <c r="BT389" s="14">
        <v>4</v>
      </c>
      <c r="BU389" s="14">
        <f>IFERROR(AVERAGE(Tabel1[[#This Row],[Up - A3a]:[Up - A3a]]),"")</f>
        <v>4</v>
      </c>
      <c r="BV389" s="14">
        <v>4</v>
      </c>
      <c r="BW389" s="14">
        <f>IFERROR(AVERAGE(Tabel1[[#This Row],[Up - A1]],Tabel1[[#This Row],[Up - A2]],Tabel1[[#This Row],[Up - A3]]),"")</f>
        <v>2.75</v>
      </c>
      <c r="BX389" s="14">
        <v>3</v>
      </c>
      <c r="BY389" s="14">
        <v>4</v>
      </c>
      <c r="BZ389" s="14">
        <f>IFERROR(AVERAGE(Tabel1[[#This Row],[In - R1a]:[In - R1b]]),"")</f>
        <v>3.5</v>
      </c>
      <c r="CA389" s="14">
        <v>2</v>
      </c>
      <c r="CB389" s="14">
        <v>5</v>
      </c>
      <c r="CC389" s="14">
        <v>2</v>
      </c>
      <c r="CD389" s="14" t="s">
        <v>189</v>
      </c>
      <c r="CE389" s="14">
        <f>IFERROR(AVERAGE(Tabel1[[#This Row],[In - R1]:[In - R5]]),"")</f>
        <v>3.125</v>
      </c>
      <c r="CF389" s="14">
        <v>5</v>
      </c>
      <c r="CG389" s="14">
        <v>4</v>
      </c>
      <c r="CH389" s="14">
        <v>4</v>
      </c>
      <c r="CI389" s="14">
        <f>IFERROR(AVERAGE(Tabel1[[#This Row],[In - C1a]:[In - C1c]]),"")</f>
        <v>4.333333333333333</v>
      </c>
      <c r="CJ389" s="14">
        <v>5</v>
      </c>
      <c r="CK389" s="14">
        <v>3</v>
      </c>
      <c r="CL389" s="14">
        <v>4</v>
      </c>
      <c r="CM389" s="14">
        <f>IFERROR(AVERAGE(Tabel1[[#This Row],[In - C1]:[In - C4]]),"")</f>
        <v>4.083333333333333</v>
      </c>
      <c r="CN389" s="14">
        <v>4</v>
      </c>
      <c r="CO389" s="14">
        <v>3</v>
      </c>
      <c r="CP389" s="14">
        <v>2</v>
      </c>
      <c r="CQ389" s="14">
        <f>IFERROR(AVERAGE(Tabel1[[#This Row],[In - F1a]:[In - F1c]]),"")</f>
        <v>3</v>
      </c>
      <c r="CR389" s="14">
        <v>4</v>
      </c>
      <c r="CS389" s="14">
        <v>3</v>
      </c>
      <c r="CT389" s="14">
        <f>IFERROR(AVERAGE(Tabel1[[#This Row],[In - F2a]:[In - F2b]]),"")</f>
        <v>3.5</v>
      </c>
      <c r="CU389" s="14">
        <v>3</v>
      </c>
      <c r="CV389" s="14">
        <f>IFERROR(AVERAGE(Tabel1[[#This Row],[In - F3a]:[In - F3a]]),"")</f>
        <v>3</v>
      </c>
      <c r="CW389" s="14">
        <v>3</v>
      </c>
      <c r="CX389" s="14">
        <f>IFERROR(AVERAGE(Tabel1[[#This Row],[In - F1]],Tabel1[[#This Row],[In - F2]],Tabel1[[#This Row],[In - F3]],Tabel1[[#This Row],[In - F4]]),"")</f>
        <v>3.125</v>
      </c>
      <c r="CY389" s="14">
        <v>5</v>
      </c>
      <c r="CZ389" s="14">
        <v>5</v>
      </c>
      <c r="DA389" s="14">
        <v>4</v>
      </c>
      <c r="DB389" s="14">
        <f>IFERROR(AVERAGE(Tabel1[[#This Row],[In - V1a]:[In - V1c]]),"")</f>
        <v>4.666666666666667</v>
      </c>
      <c r="DC389" s="14">
        <v>4</v>
      </c>
      <c r="DD389" s="14">
        <v>3</v>
      </c>
      <c r="DE389" s="14">
        <v>4</v>
      </c>
      <c r="DF389" s="14">
        <f>IFERROR(AVERAGE(Tabel1[[#This Row],[In - V2a]:[In - V2c]]),"")</f>
        <v>3.6666666666666665</v>
      </c>
      <c r="DG389" s="14">
        <v>3</v>
      </c>
      <c r="DH389" s="14">
        <v>4</v>
      </c>
      <c r="DI389" s="14">
        <f>IFERROR(AVERAGE(Tabel1[[#This Row],[In - V3a]:[In - V3b]]),"")</f>
        <v>3.5</v>
      </c>
      <c r="DJ389" s="14">
        <v>4</v>
      </c>
      <c r="DK389" s="14">
        <f>IFERROR(AVERAGE(Tabel1[[#This Row],[In - V1]],Tabel1[[#This Row],[In - V2]],Tabel1[[#This Row],[In - V3]],Tabel1[[#This Row],[In - V4]]),"")</f>
        <v>3.9583333333333335</v>
      </c>
      <c r="DL389" s="14">
        <v>3</v>
      </c>
      <c r="DM389" s="14">
        <v>4</v>
      </c>
      <c r="DN389" s="14">
        <f>IFERROR(AVERAGE(Tabel1[[#This Row],[In - A1a]:[In - A1b]]),"")</f>
        <v>3.5</v>
      </c>
      <c r="DO389" s="14">
        <v>3</v>
      </c>
      <c r="DP389" s="14">
        <v>4</v>
      </c>
      <c r="DQ389" s="14">
        <f>IFERROR(AVERAGE(Tabel1[[#This Row],[In - A2a]:[In - A2b]]),"")</f>
        <v>3.5</v>
      </c>
      <c r="DR389" s="14">
        <v>4</v>
      </c>
      <c r="DS389" s="14">
        <v>4</v>
      </c>
      <c r="DT389" s="14">
        <f>IFERROR(AVERAGE(Tabel1[[#This Row],[In - A3a]:[In - A3a]]),"")</f>
        <v>4</v>
      </c>
      <c r="DU389" s="14">
        <v>4</v>
      </c>
      <c r="DV389" s="14">
        <f>IFERROR(AVERAGE(Tabel1[[#This Row],[In - A1]],Tabel1[[#This Row],[In - A2]],Tabel1[[#This Row],[In - A3]],Tabel1[[#This Row],[In - A4]]),"")</f>
        <v>3.75</v>
      </c>
      <c r="DW389" s="14" t="s">
        <v>189</v>
      </c>
      <c r="DX389" s="14">
        <v>4</v>
      </c>
      <c r="DY389" s="14" t="s">
        <v>189</v>
      </c>
      <c r="DZ389" s="14">
        <f>IFERROR(AVERAGE(Tabel1[[#This Row],[Do - R1a]:[Do - R1c]]),"")</f>
        <v>4</v>
      </c>
      <c r="EA389" s="14">
        <v>2</v>
      </c>
      <c r="EB389" s="14">
        <v>1</v>
      </c>
      <c r="EC389" s="14" t="s">
        <v>189</v>
      </c>
      <c r="ED389" s="14" t="s">
        <v>189</v>
      </c>
      <c r="EE389" s="14">
        <f>IFERROR(AVERAGE(Tabel1[[#This Row],[Do - R1]:[Do - R5]]),"")</f>
        <v>2.3333333333333335</v>
      </c>
      <c r="EF389" s="14">
        <v>5</v>
      </c>
      <c r="EG389" s="14">
        <v>4</v>
      </c>
      <c r="EH389" s="14">
        <v>4</v>
      </c>
      <c r="EI389" s="14">
        <f>IFERROR(AVERAGE(Tabel1[[#This Row],[Do - C1a]:[Do - C1c]]),"")</f>
        <v>4.333333333333333</v>
      </c>
      <c r="EJ389" s="14">
        <v>5</v>
      </c>
      <c r="EK389" s="14">
        <v>3</v>
      </c>
      <c r="EL389" s="14">
        <v>4</v>
      </c>
      <c r="EM389" s="14">
        <f>IFERROR(AVERAGE(Tabel1[[#This Row],[Do - C1]:[Do - C4]]),"")</f>
        <v>4.083333333333333</v>
      </c>
      <c r="EN389" s="14">
        <v>4</v>
      </c>
      <c r="EO389" s="14">
        <v>4</v>
      </c>
      <c r="EP389" s="14">
        <v>4</v>
      </c>
      <c r="EQ389" s="14">
        <f>IFERROR(AVERAGE(Tabel1[[#This Row],[Do - F1a]:[Do - F1c]]),"")</f>
        <v>4</v>
      </c>
      <c r="ER389" s="14">
        <v>3</v>
      </c>
      <c r="ES389" s="14">
        <f>IFERROR(AVERAGE(Tabel1[[#This Row],[Do - F2a]:[Do - F2a]]),"")</f>
        <v>3</v>
      </c>
      <c r="ET389" s="14">
        <v>3</v>
      </c>
      <c r="EU389" s="14">
        <v>3</v>
      </c>
      <c r="EV389" s="14">
        <f>IFERROR(AVERAGE(Tabel1[[#This Row],[Do - F3a]:[Do - F3b]]),"")</f>
        <v>3</v>
      </c>
      <c r="EW389" s="14">
        <v>3</v>
      </c>
      <c r="EX389" s="14">
        <f>IFERROR(AVERAGE(Tabel1[[#This Row],[Do - F1]],Tabel1[[#This Row],[Do - F2]],Tabel1[[#This Row],[Do - F3]],Tabel1[[#This Row],[Do - F4]]),"")</f>
        <v>3.25</v>
      </c>
      <c r="EY389" s="14">
        <v>4</v>
      </c>
      <c r="EZ389" s="14">
        <v>3</v>
      </c>
      <c r="FA389" s="14">
        <v>4</v>
      </c>
      <c r="FB389" s="14">
        <f>IFERROR(AVERAGE(Tabel1[[#This Row],[Do - V1a]:[Do - V1c]]),"")</f>
        <v>3.6666666666666665</v>
      </c>
      <c r="FC389" s="14">
        <v>4</v>
      </c>
      <c r="FD389" s="14">
        <v>3</v>
      </c>
      <c r="FE389" s="14">
        <f>IFERROR(AVERAGE(Tabel1[[#This Row],[Do - V2a]:[Do - V2b]]),"")</f>
        <v>3.5</v>
      </c>
      <c r="FF389" s="14">
        <v>2</v>
      </c>
      <c r="FG389" s="14">
        <f>IFERROR(AVERAGE(Tabel1[[#This Row],[Do - V3a]:[Do - V3a]]),"")</f>
        <v>2</v>
      </c>
      <c r="FH389" s="14">
        <v>3</v>
      </c>
      <c r="FI389" s="14">
        <f>IFERROR(AVERAGE(Tabel1[[#This Row],[Do - V1]],Tabel1[[#This Row],[Do - V2]],Tabel1[[#This Row],[Do - V3]],Tabel1[[#This Row],[Do - V4]]),"")</f>
        <v>3.0416666666666665</v>
      </c>
      <c r="FJ389" s="14">
        <v>3</v>
      </c>
      <c r="FK389" s="14">
        <v>4</v>
      </c>
      <c r="FL389" s="14">
        <v>3</v>
      </c>
      <c r="FM389" s="14">
        <f>IFERROR(AVERAGE(Tabel1[[#This Row],[Do - A1a]:[Do - A1c]]),"")</f>
        <v>3.3333333333333335</v>
      </c>
      <c r="FN389" s="14">
        <v>4</v>
      </c>
      <c r="FO389" s="14">
        <v>1</v>
      </c>
      <c r="FP389" s="14">
        <f>IFERROR(AVERAGE(Tabel1[[#This Row],[Do - A2a]:[Do - A2b]]),"")</f>
        <v>2.5</v>
      </c>
      <c r="FQ389" s="14">
        <v>4</v>
      </c>
      <c r="FR389" s="14">
        <f>IFERROR(AVERAGE(Tabel1[[#This Row],[Do - A3a]:[Do - A3a]]),"")</f>
        <v>4</v>
      </c>
      <c r="FS389" s="14">
        <v>4</v>
      </c>
      <c r="FT389" s="14">
        <f>IFERROR(AVERAGE(Tabel1[[#This Row],[Do - A1]],Tabel1[[#This Row],[Do - A2]],Tabel1[[#This Row],[Do - A3]],Tabel1[[#This Row],[Do - A4]]),"")</f>
        <v>3.4583333333333335</v>
      </c>
      <c r="FU38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3.3472222222222223</v>
      </c>
      <c r="FV389" s="27" t="s">
        <v>1963</v>
      </c>
      <c r="FW389" t="b">
        <v>1</v>
      </c>
    </row>
    <row r="390" spans="1:179" x14ac:dyDescent="0.3">
      <c r="A390" s="13">
        <v>45615.501365740703</v>
      </c>
      <c r="B390" t="b">
        <v>0</v>
      </c>
      <c r="C390" s="14" t="s">
        <v>1964</v>
      </c>
      <c r="D390" s="14" t="s">
        <v>1965</v>
      </c>
      <c r="E390" s="14" t="s">
        <v>193</v>
      </c>
      <c r="F390" s="14" t="s">
        <v>1133</v>
      </c>
      <c r="G390" s="14" t="s">
        <v>1966</v>
      </c>
      <c r="H390" s="14" t="s">
        <v>194</v>
      </c>
      <c r="I390" s="14" t="s">
        <v>195</v>
      </c>
      <c r="J390" s="14" t="s">
        <v>196</v>
      </c>
      <c r="K390" s="28" t="s">
        <v>202</v>
      </c>
      <c r="L390" s="14" t="s">
        <v>249</v>
      </c>
      <c r="M390" s="14" t="s">
        <v>198</v>
      </c>
      <c r="N390" s="14" t="s">
        <v>199</v>
      </c>
      <c r="O390" s="14" t="s">
        <v>256</v>
      </c>
      <c r="P390" s="24" t="s">
        <v>255</v>
      </c>
      <c r="Q390" s="17" t="s">
        <v>203</v>
      </c>
      <c r="R390" s="25" t="s">
        <v>235</v>
      </c>
      <c r="S390" s="25" t="s">
        <v>201</v>
      </c>
      <c r="T390" s="14" t="s">
        <v>204</v>
      </c>
      <c r="U390" s="14" t="s">
        <v>237</v>
      </c>
      <c r="V390" s="14" t="s">
        <v>224</v>
      </c>
      <c r="W390" s="14" t="s">
        <v>306</v>
      </c>
      <c r="X390" s="14" t="s">
        <v>306</v>
      </c>
      <c r="Y390" s="14">
        <v>3</v>
      </c>
      <c r="Z390" s="14">
        <v>3</v>
      </c>
      <c r="AA390" s="14">
        <v>3</v>
      </c>
      <c r="AB390" s="15">
        <f>IFERROR(AVERAGE(Tabel1[[#This Row],[Up - R1a]:[Up - R1c]]),"")</f>
        <v>3</v>
      </c>
      <c r="AC390" s="14">
        <v>2</v>
      </c>
      <c r="AD390" s="14">
        <v>3</v>
      </c>
      <c r="AE390" s="14">
        <v>3</v>
      </c>
      <c r="AF390" s="14">
        <v>3</v>
      </c>
      <c r="AG390" s="14">
        <f>IFERROR(AVERAGE(Tabel1[[#This Row],[Up - R1]:[Up - R5]]),"")</f>
        <v>2.8</v>
      </c>
      <c r="AH390" s="14">
        <v>2</v>
      </c>
      <c r="AI390" s="14">
        <v>5</v>
      </c>
      <c r="AJ390" s="14">
        <v>4</v>
      </c>
      <c r="AK390" s="14">
        <f>IFERROR(AVERAGE(Tabel1[[#This Row],[Up - C1a]:[Up - C1c]]),"")</f>
        <v>3.6666666666666665</v>
      </c>
      <c r="AL390" s="14">
        <v>3</v>
      </c>
      <c r="AM390" s="14">
        <v>3</v>
      </c>
      <c r="AN390" s="14">
        <v>2</v>
      </c>
      <c r="AO390" s="14">
        <f>IFERROR(AVERAGE(Tabel1[[#This Row],[Up - C1]:[Up - C4]]),"")</f>
        <v>2.9166666666666665</v>
      </c>
      <c r="AP390" s="14">
        <v>3</v>
      </c>
      <c r="AQ390" s="14">
        <f>IFERROR(AVERAGE(Tabel1[[#This Row],[Up - F1a]:[Up - F1a]]),"")</f>
        <v>3</v>
      </c>
      <c r="AR390" s="14">
        <v>2</v>
      </c>
      <c r="AS390" s="14">
        <v>2</v>
      </c>
      <c r="AT390" s="14">
        <f>IFERROR(AVERAGE(Tabel1[[#This Row],[Up - F2a]:[Up - F2b]]),"")</f>
        <v>2</v>
      </c>
      <c r="AU390" s="14">
        <v>3</v>
      </c>
      <c r="AV390" s="14">
        <v>4</v>
      </c>
      <c r="AW390" s="14">
        <f>IFERROR(AVERAGE(Tabel1[[#This Row],[Up - F3a]:[Up - F3b]]),"")</f>
        <v>3.5</v>
      </c>
      <c r="AX390" s="14">
        <v>3</v>
      </c>
      <c r="AY390" s="14">
        <f>IFERROR(AVERAGE(Tabel1[[#This Row],[Up - F1]],Tabel1[[#This Row],[Up - F2]],Tabel1[[#This Row],[Up - F3]],Tabel1[[#This Row],[Up - F4]]),"")</f>
        <v>2.875</v>
      </c>
      <c r="AZ390" s="14">
        <v>3</v>
      </c>
      <c r="BA390" s="14">
        <v>3</v>
      </c>
      <c r="BB390" s="14">
        <f>IFERROR(AVERAGE(Tabel1[[#This Row],[Up - V1a]:[Up - V1b]]),"")</f>
        <v>3</v>
      </c>
      <c r="BC390" s="14">
        <v>4</v>
      </c>
      <c r="BD390" s="14">
        <v>3</v>
      </c>
      <c r="BE390" s="14">
        <v>4</v>
      </c>
      <c r="BF390" s="14">
        <f>IFERROR(AVERAGE(Tabel1[[#This Row],[Up - V2a]:[Up - V2c]]),"")</f>
        <v>3.6666666666666665</v>
      </c>
      <c r="BG390" s="14">
        <v>3</v>
      </c>
      <c r="BH390" s="14">
        <v>5</v>
      </c>
      <c r="BI390" s="14">
        <f>IFERROR(AVERAGE(Tabel1[[#This Row],[Up - V3a]:[Up - V3b]]),"")</f>
        <v>4</v>
      </c>
      <c r="BJ390" s="14">
        <v>3</v>
      </c>
      <c r="BK390" s="14">
        <f>IFERROR(AVERAGE(Tabel1[[#This Row],[Up - V1]],Tabel1[[#This Row],[Up - V2]],Tabel1[[#This Row],[Up - V3]],Tabel1[[#This Row],[Up - V4]]),"")</f>
        <v>3.4166666666666665</v>
      </c>
      <c r="BL390" s="14">
        <v>3</v>
      </c>
      <c r="BM390" s="14">
        <v>3</v>
      </c>
      <c r="BN390" s="14">
        <v>1</v>
      </c>
      <c r="BO390" s="14">
        <v>1</v>
      </c>
      <c r="BP390" s="14">
        <f>IFERROR(AVERAGE(Tabel1[[#This Row],[Up - A1a]:[Up - A1d]]),"")</f>
        <v>2</v>
      </c>
      <c r="BQ390" s="14">
        <v>1</v>
      </c>
      <c r="BR390" s="14">
        <v>4</v>
      </c>
      <c r="BS390" s="14">
        <f>IFERROR(AVERAGE(Tabel1[[#This Row],[Up - A2a]:[Up - A2b]]),"")</f>
        <v>2.5</v>
      </c>
      <c r="BT390" s="14">
        <v>4</v>
      </c>
      <c r="BU390" s="14">
        <f>IFERROR(AVERAGE(Tabel1[[#This Row],[Up - A3a]:[Up - A3a]]),"")</f>
        <v>4</v>
      </c>
      <c r="BV390" s="14">
        <v>3</v>
      </c>
      <c r="BW390" s="14">
        <f>IFERROR(AVERAGE(Tabel1[[#This Row],[Up - A1]],Tabel1[[#This Row],[Up - A2]],Tabel1[[#This Row],[Up - A3]]),"")</f>
        <v>2.8333333333333335</v>
      </c>
      <c r="BX390" s="14">
        <v>4</v>
      </c>
      <c r="BY390" s="14">
        <v>4</v>
      </c>
      <c r="BZ390" s="14">
        <f>IFERROR(AVERAGE(Tabel1[[#This Row],[In - R1a]:[In - R1b]]),"")</f>
        <v>4</v>
      </c>
      <c r="CA390" s="14">
        <v>3</v>
      </c>
      <c r="CB390" s="14">
        <v>4</v>
      </c>
      <c r="CC390" s="14">
        <v>2</v>
      </c>
      <c r="CD390" s="14">
        <v>3</v>
      </c>
      <c r="CE390" s="14">
        <f>IFERROR(AVERAGE(Tabel1[[#This Row],[In - R1]:[In - R5]]),"")</f>
        <v>3.2</v>
      </c>
      <c r="CF390" s="14">
        <v>5</v>
      </c>
      <c r="CG390" s="14">
        <v>3</v>
      </c>
      <c r="CH390" s="14">
        <v>3</v>
      </c>
      <c r="CI390" s="14">
        <f>IFERROR(AVERAGE(Tabel1[[#This Row],[In - C1a]:[In - C1c]]),"")</f>
        <v>3.6666666666666665</v>
      </c>
      <c r="CJ390" s="14">
        <v>3</v>
      </c>
      <c r="CK390" s="14">
        <v>3</v>
      </c>
      <c r="CL390" s="14">
        <v>4</v>
      </c>
      <c r="CM390" s="14">
        <f>IFERROR(AVERAGE(Tabel1[[#This Row],[In - C1]:[In - C4]]),"")</f>
        <v>3.4166666666666665</v>
      </c>
      <c r="CN390" s="14">
        <v>5</v>
      </c>
      <c r="CO390" s="14">
        <v>1</v>
      </c>
      <c r="CP390" s="14">
        <v>2</v>
      </c>
      <c r="CQ390" s="14">
        <f>IFERROR(AVERAGE(Tabel1[[#This Row],[In - F1a]:[In - F1c]]),"")</f>
        <v>2.6666666666666665</v>
      </c>
      <c r="CR390" s="14">
        <v>3</v>
      </c>
      <c r="CS390" s="14">
        <v>2</v>
      </c>
      <c r="CT390" s="14">
        <f>IFERROR(AVERAGE(Tabel1[[#This Row],[In - F2a]:[In - F2b]]),"")</f>
        <v>2.5</v>
      </c>
      <c r="CU390" s="14">
        <v>2</v>
      </c>
      <c r="CV390" s="14">
        <f>IFERROR(AVERAGE(Tabel1[[#This Row],[In - F3a]:[In - F3a]]),"")</f>
        <v>2</v>
      </c>
      <c r="CW390" s="14">
        <v>3</v>
      </c>
      <c r="CX390" s="14">
        <f>IFERROR(AVERAGE(Tabel1[[#This Row],[In - F1]],Tabel1[[#This Row],[In - F2]],Tabel1[[#This Row],[In - F3]],Tabel1[[#This Row],[In - F4]]),"")</f>
        <v>2.5416666666666665</v>
      </c>
      <c r="CY390" s="14">
        <v>3</v>
      </c>
      <c r="CZ390" s="14">
        <v>3</v>
      </c>
      <c r="DA390" s="14">
        <v>4</v>
      </c>
      <c r="DB390" s="14">
        <f>IFERROR(AVERAGE(Tabel1[[#This Row],[In - V1a]:[In - V1c]]),"")</f>
        <v>3.3333333333333335</v>
      </c>
      <c r="DC390" s="14">
        <v>3</v>
      </c>
      <c r="DD390" s="14">
        <v>3</v>
      </c>
      <c r="DE390" s="14">
        <v>3</v>
      </c>
      <c r="DF390" s="14">
        <f>IFERROR(AVERAGE(Tabel1[[#This Row],[In - V2a]:[In - V2c]]),"")</f>
        <v>3</v>
      </c>
      <c r="DG390" s="14">
        <v>3</v>
      </c>
      <c r="DH390" s="14">
        <v>4</v>
      </c>
      <c r="DI390" s="14">
        <f>IFERROR(AVERAGE(Tabel1[[#This Row],[In - V3a]:[In - V3b]]),"")</f>
        <v>3.5</v>
      </c>
      <c r="DJ390" s="14">
        <v>3</v>
      </c>
      <c r="DK390" s="14">
        <f>IFERROR(AVERAGE(Tabel1[[#This Row],[In - V1]],Tabel1[[#This Row],[In - V2]],Tabel1[[#This Row],[In - V3]],Tabel1[[#This Row],[In - V4]]),"")</f>
        <v>3.2083333333333335</v>
      </c>
      <c r="DL390" s="14">
        <v>3</v>
      </c>
      <c r="DM390" s="14">
        <v>3</v>
      </c>
      <c r="DN390" s="14">
        <f>IFERROR(AVERAGE(Tabel1[[#This Row],[In - A1a]:[In - A1b]]),"")</f>
        <v>3</v>
      </c>
      <c r="DO390" s="14">
        <v>3</v>
      </c>
      <c r="DP390" s="14">
        <v>3</v>
      </c>
      <c r="DQ390" s="14">
        <f>IFERROR(AVERAGE(Tabel1[[#This Row],[In - A2a]:[In - A2b]]),"")</f>
        <v>3</v>
      </c>
      <c r="DR390" s="14">
        <v>4</v>
      </c>
      <c r="DS390" s="14">
        <v>2</v>
      </c>
      <c r="DT390" s="14">
        <f>IFERROR(AVERAGE(Tabel1[[#This Row],[In - A3a]:[In - A3a]]),"")</f>
        <v>4</v>
      </c>
      <c r="DU390" s="14" t="s">
        <v>189</v>
      </c>
      <c r="DV390" s="14">
        <f>IFERROR(AVERAGE(Tabel1[[#This Row],[In - A1]],Tabel1[[#This Row],[In - A2]],Tabel1[[#This Row],[In - A3]],Tabel1[[#This Row],[In - A4]]),"")</f>
        <v>3.3333333333333335</v>
      </c>
      <c r="DW390" s="14">
        <v>3</v>
      </c>
      <c r="DX390" s="14">
        <v>3</v>
      </c>
      <c r="DY390" s="14">
        <v>3</v>
      </c>
      <c r="DZ390" s="14">
        <f>IFERROR(AVERAGE(Tabel1[[#This Row],[Do - R1a]:[Do - R1c]]),"")</f>
        <v>3</v>
      </c>
      <c r="EA390" s="14">
        <v>2</v>
      </c>
      <c r="EB390" s="14">
        <v>3</v>
      </c>
      <c r="EC390" s="14">
        <v>3</v>
      </c>
      <c r="ED390" s="14">
        <v>3</v>
      </c>
      <c r="EE390" s="14">
        <f>IFERROR(AVERAGE(Tabel1[[#This Row],[Do - R1]:[Do - R5]]),"")</f>
        <v>2.8</v>
      </c>
      <c r="EF390" s="14">
        <v>2</v>
      </c>
      <c r="EG390" s="14">
        <v>5</v>
      </c>
      <c r="EH390" s="14">
        <v>3</v>
      </c>
      <c r="EI390" s="14">
        <f>IFERROR(AVERAGE(Tabel1[[#This Row],[Do - C1a]:[Do - C1c]]),"")</f>
        <v>3.3333333333333335</v>
      </c>
      <c r="EJ390" s="14">
        <v>4</v>
      </c>
      <c r="EK390" s="14">
        <v>3</v>
      </c>
      <c r="EL390" s="14">
        <v>2</v>
      </c>
      <c r="EM390" s="14">
        <f>IFERROR(AVERAGE(Tabel1[[#This Row],[Do - C1]:[Do - C4]]),"")</f>
        <v>3.0833333333333335</v>
      </c>
      <c r="EN390" s="14">
        <v>3</v>
      </c>
      <c r="EO390" s="14">
        <v>2</v>
      </c>
      <c r="EP390" s="14">
        <v>3</v>
      </c>
      <c r="EQ390" s="14">
        <f>IFERROR(AVERAGE(Tabel1[[#This Row],[Do - F1a]:[Do - F1c]]),"")</f>
        <v>2.6666666666666665</v>
      </c>
      <c r="ER390" s="14">
        <v>2</v>
      </c>
      <c r="ES390" s="14">
        <f>IFERROR(AVERAGE(Tabel1[[#This Row],[Do - F2a]:[Do - F2a]]),"")</f>
        <v>2</v>
      </c>
      <c r="ET390" s="14">
        <v>2</v>
      </c>
      <c r="EU390" s="14">
        <v>3</v>
      </c>
      <c r="EV390" s="14">
        <f>IFERROR(AVERAGE(Tabel1[[#This Row],[Do - F3a]:[Do - F3b]]),"")</f>
        <v>2.5</v>
      </c>
      <c r="EW390" s="14">
        <v>3</v>
      </c>
      <c r="EX390" s="14">
        <f>IFERROR(AVERAGE(Tabel1[[#This Row],[Do - F1]],Tabel1[[#This Row],[Do - F2]],Tabel1[[#This Row],[Do - F3]],Tabel1[[#This Row],[Do - F4]]),"")</f>
        <v>2.5416666666666665</v>
      </c>
      <c r="EY390" s="14">
        <v>3</v>
      </c>
      <c r="EZ390" s="14">
        <v>4</v>
      </c>
      <c r="FA390" s="14">
        <v>4</v>
      </c>
      <c r="FB390" s="14">
        <f>IFERROR(AVERAGE(Tabel1[[#This Row],[Do - V1a]:[Do - V1c]]),"")</f>
        <v>3.6666666666666665</v>
      </c>
      <c r="FC390" s="14">
        <v>4</v>
      </c>
      <c r="FD390" s="14">
        <v>4</v>
      </c>
      <c r="FE390" s="14">
        <f>IFERROR(AVERAGE(Tabel1[[#This Row],[Do - V2a]:[Do - V2b]]),"")</f>
        <v>4</v>
      </c>
      <c r="FF390" s="14">
        <v>3</v>
      </c>
      <c r="FG390" s="14">
        <f>IFERROR(AVERAGE(Tabel1[[#This Row],[Do - V3a]:[Do - V3a]]),"")</f>
        <v>3</v>
      </c>
      <c r="FH390" s="14">
        <v>3</v>
      </c>
      <c r="FI390" s="14">
        <f>IFERROR(AVERAGE(Tabel1[[#This Row],[Do - V1]],Tabel1[[#This Row],[Do - V2]],Tabel1[[#This Row],[Do - V3]],Tabel1[[#This Row],[Do - V4]]),"")</f>
        <v>3.4166666666666665</v>
      </c>
      <c r="FJ390" s="14">
        <v>3</v>
      </c>
      <c r="FK390" s="14">
        <v>2</v>
      </c>
      <c r="FL390" s="14" t="s">
        <v>189</v>
      </c>
      <c r="FM390" s="14">
        <f>IFERROR(AVERAGE(Tabel1[[#This Row],[Do - A1a]:[Do - A1c]]),"")</f>
        <v>2.5</v>
      </c>
      <c r="FN390" s="14">
        <v>4</v>
      </c>
      <c r="FO390" s="14">
        <v>3</v>
      </c>
      <c r="FP390" s="14">
        <f>IFERROR(AVERAGE(Tabel1[[#This Row],[Do - A2a]:[Do - A2b]]),"")</f>
        <v>3.5</v>
      </c>
      <c r="FQ390" s="14">
        <v>3</v>
      </c>
      <c r="FR390" s="14">
        <f>IFERROR(AVERAGE(Tabel1[[#This Row],[Do - A3a]:[Do - A3a]]),"")</f>
        <v>3</v>
      </c>
      <c r="FS390" s="14" t="s">
        <v>189</v>
      </c>
      <c r="FT390" s="14">
        <f>IFERROR(AVERAGE(Tabel1[[#This Row],[Do - A1]],Tabel1[[#This Row],[Do - A2]],Tabel1[[#This Row],[Do - A3]],Tabel1[[#This Row],[Do - A4]]),"")</f>
        <v>3</v>
      </c>
      <c r="FU39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3.0255555555555556</v>
      </c>
      <c r="FV390" s="27" t="s">
        <v>1967</v>
      </c>
      <c r="FW390" t="b">
        <v>1</v>
      </c>
    </row>
    <row r="391" spans="1:179" x14ac:dyDescent="0.3">
      <c r="A391" s="13">
        <v>45615.772395833301</v>
      </c>
      <c r="B391" t="b">
        <v>0</v>
      </c>
      <c r="C391" s="14" t="s">
        <v>1968</v>
      </c>
      <c r="D391" s="14" t="s">
        <v>1969</v>
      </c>
      <c r="E391" s="14" t="s">
        <v>1970</v>
      </c>
      <c r="F391" s="14" t="s">
        <v>184</v>
      </c>
      <c r="G391" s="14" t="s">
        <v>1971</v>
      </c>
      <c r="H391" s="14" t="s">
        <v>222</v>
      </c>
      <c r="I391" s="14" t="s">
        <v>1223</v>
      </c>
      <c r="J391" s="14" t="s">
        <v>1972</v>
      </c>
      <c r="K391" s="28"/>
      <c r="L391" s="14"/>
      <c r="M391" s="14"/>
      <c r="N391" s="14"/>
      <c r="O391" s="14"/>
      <c r="P391" s="25"/>
      <c r="Q391" s="17"/>
      <c r="R391" s="24" t="s">
        <v>304</v>
      </c>
      <c r="S391" s="25"/>
      <c r="T391" s="14"/>
      <c r="U391" s="14"/>
      <c r="V391" s="14"/>
      <c r="W391" s="14"/>
      <c r="X391" s="14" t="s">
        <v>305</v>
      </c>
      <c r="Y391" s="14">
        <v>5</v>
      </c>
      <c r="Z391" s="14" t="s">
        <v>189</v>
      </c>
      <c r="AA391" s="14" t="s">
        <v>189</v>
      </c>
      <c r="AB391" s="15">
        <f>IFERROR(AVERAGE(Tabel1[[#This Row],[Up - R1a]:[Up - R1c]]),"")</f>
        <v>5</v>
      </c>
      <c r="AC391" s="14" t="s">
        <v>189</v>
      </c>
      <c r="AD391" s="14" t="s">
        <v>189</v>
      </c>
      <c r="AE391" s="14" t="s">
        <v>189</v>
      </c>
      <c r="AF391" s="14" t="s">
        <v>189</v>
      </c>
      <c r="AG391" s="14">
        <f>IFERROR(AVERAGE(Tabel1[[#This Row],[Up - R1]:[Up - R5]]),"")</f>
        <v>5</v>
      </c>
      <c r="AH391" s="14">
        <v>3</v>
      </c>
      <c r="AI391" s="14" t="s">
        <v>189</v>
      </c>
      <c r="AJ391" s="14" t="s">
        <v>189</v>
      </c>
      <c r="AK391" s="14">
        <f>IFERROR(AVERAGE(Tabel1[[#This Row],[Up - C1a]:[Up - C1c]]),"")</f>
        <v>3</v>
      </c>
      <c r="AL391" s="14" t="s">
        <v>189</v>
      </c>
      <c r="AM391" s="14" t="s">
        <v>189</v>
      </c>
      <c r="AN391" s="14" t="s">
        <v>189</v>
      </c>
      <c r="AO391" s="14">
        <f>IFERROR(AVERAGE(Tabel1[[#This Row],[Up - C1]:[Up - C4]]),"")</f>
        <v>3</v>
      </c>
      <c r="AP391" s="14">
        <v>2</v>
      </c>
      <c r="AQ391" s="14">
        <f>IFERROR(AVERAGE(Tabel1[[#This Row],[Up - F1a]:[Up - F1a]]),"")</f>
        <v>2</v>
      </c>
      <c r="AR391" s="14" t="s">
        <v>189</v>
      </c>
      <c r="AS391" s="14" t="s">
        <v>189</v>
      </c>
      <c r="AT391" s="14" t="str">
        <f>IFERROR(AVERAGE(Tabel1[[#This Row],[Up - F2a]:[Up - F2b]]),"")</f>
        <v/>
      </c>
      <c r="AU391" s="14" t="s">
        <v>189</v>
      </c>
      <c r="AV391" s="14" t="s">
        <v>189</v>
      </c>
      <c r="AW391" s="14" t="str">
        <f>IFERROR(AVERAGE(Tabel1[[#This Row],[Up - F3a]:[Up - F3b]]),"")</f>
        <v/>
      </c>
      <c r="AX391" s="14" t="s">
        <v>189</v>
      </c>
      <c r="AY391" s="14">
        <f>IFERROR(AVERAGE(Tabel1[[#This Row],[Up - F1]],Tabel1[[#This Row],[Up - F2]],Tabel1[[#This Row],[Up - F3]],Tabel1[[#This Row],[Up - F4]]),"")</f>
        <v>2</v>
      </c>
      <c r="AZ391" s="14">
        <v>2</v>
      </c>
      <c r="BA391" s="14" t="s">
        <v>189</v>
      </c>
      <c r="BB391" s="14">
        <f>IFERROR(AVERAGE(Tabel1[[#This Row],[Up - V1a]:[Up - V1b]]),"")</f>
        <v>2</v>
      </c>
      <c r="BC391" s="14" t="s">
        <v>189</v>
      </c>
      <c r="BD391" s="14" t="s">
        <v>189</v>
      </c>
      <c r="BE391" s="14" t="s">
        <v>189</v>
      </c>
      <c r="BF391" s="14" t="str">
        <f>IFERROR(AVERAGE(Tabel1[[#This Row],[Up - V2a]:[Up - V2c]]),"")</f>
        <v/>
      </c>
      <c r="BG391" s="14" t="s">
        <v>189</v>
      </c>
      <c r="BH391" s="14" t="s">
        <v>189</v>
      </c>
      <c r="BI391" s="14" t="str">
        <f>IFERROR(AVERAGE(Tabel1[[#This Row],[Up - V3a]:[Up - V3b]]),"")</f>
        <v/>
      </c>
      <c r="BJ391" s="14" t="s">
        <v>189</v>
      </c>
      <c r="BK391" s="14">
        <f>IFERROR(AVERAGE(Tabel1[[#This Row],[Up - V1]],Tabel1[[#This Row],[Up - V2]],Tabel1[[#This Row],[Up - V3]],Tabel1[[#This Row],[Up - V4]]),"")</f>
        <v>2</v>
      </c>
      <c r="BL391" s="14" t="s">
        <v>189</v>
      </c>
      <c r="BM391" s="14" t="s">
        <v>189</v>
      </c>
      <c r="BN391" s="14" t="s">
        <v>189</v>
      </c>
      <c r="BO391" s="14" t="s">
        <v>189</v>
      </c>
      <c r="BP391" s="14" t="str">
        <f>IFERROR(AVERAGE(Tabel1[[#This Row],[Up - A1a]:[Up - A1d]]),"")</f>
        <v/>
      </c>
      <c r="BQ391" s="14" t="s">
        <v>189</v>
      </c>
      <c r="BR391" s="14" t="s">
        <v>189</v>
      </c>
      <c r="BS391" s="14" t="str">
        <f>IFERROR(AVERAGE(Tabel1[[#This Row],[Up - A2a]:[Up - A2b]]),"")</f>
        <v/>
      </c>
      <c r="BT391" s="14" t="s">
        <v>189</v>
      </c>
      <c r="BU391" s="14" t="str">
        <f>IFERROR(AVERAGE(Tabel1[[#This Row],[Up - A3a]:[Up - A3a]]),"")</f>
        <v/>
      </c>
      <c r="BV391" s="14" t="s">
        <v>189</v>
      </c>
      <c r="BW391" s="14" t="str">
        <f>IFERROR(AVERAGE(Tabel1[[#This Row],[Up - A1]],Tabel1[[#This Row],[Up - A2]],Tabel1[[#This Row],[Up - A3]]),"")</f>
        <v/>
      </c>
      <c r="BX391" s="14">
        <v>5</v>
      </c>
      <c r="BY391" s="14" t="s">
        <v>189</v>
      </c>
      <c r="BZ391" s="14">
        <f>IFERROR(AVERAGE(Tabel1[[#This Row],[In - R1a]:[In - R1b]]),"")</f>
        <v>5</v>
      </c>
      <c r="CA391" s="14" t="s">
        <v>189</v>
      </c>
      <c r="CB391" s="14" t="s">
        <v>189</v>
      </c>
      <c r="CC391" s="14" t="s">
        <v>189</v>
      </c>
      <c r="CD391" s="14">
        <v>3</v>
      </c>
      <c r="CE391" s="14">
        <f>IFERROR(AVERAGE(Tabel1[[#This Row],[In - R1]:[In - R5]]),"")</f>
        <v>4</v>
      </c>
      <c r="CF391" s="14" t="s">
        <v>189</v>
      </c>
      <c r="CG391" s="14">
        <v>5</v>
      </c>
      <c r="CH391" s="14" t="s">
        <v>189</v>
      </c>
      <c r="CI391" s="14">
        <f>IFERROR(AVERAGE(Tabel1[[#This Row],[In - C1a]:[In - C1c]]),"")</f>
        <v>5</v>
      </c>
      <c r="CJ391" s="14" t="s">
        <v>189</v>
      </c>
      <c r="CK391" s="14" t="s">
        <v>189</v>
      </c>
      <c r="CL391" s="14" t="s">
        <v>189</v>
      </c>
      <c r="CM391" s="14">
        <f>IFERROR(AVERAGE(Tabel1[[#This Row],[In - C1]:[In - C4]]),"")</f>
        <v>5</v>
      </c>
      <c r="CN391" s="14" t="s">
        <v>189</v>
      </c>
      <c r="CO391" s="14" t="s">
        <v>189</v>
      </c>
      <c r="CP391" s="14" t="s">
        <v>189</v>
      </c>
      <c r="CQ391" s="14" t="str">
        <f>IFERROR(AVERAGE(Tabel1[[#This Row],[In - F1a]:[In - F1c]]),"")</f>
        <v/>
      </c>
      <c r="CR391" s="14" t="s">
        <v>189</v>
      </c>
      <c r="CS391" s="14" t="s">
        <v>189</v>
      </c>
      <c r="CT391" s="14" t="str">
        <f>IFERROR(AVERAGE(Tabel1[[#This Row],[In - F2a]:[In - F2b]]),"")</f>
        <v/>
      </c>
      <c r="CU391" s="14">
        <v>2</v>
      </c>
      <c r="CV391" s="14">
        <f>IFERROR(AVERAGE(Tabel1[[#This Row],[In - F3a]:[In - F3a]]),"")</f>
        <v>2</v>
      </c>
      <c r="CW391" s="14" t="s">
        <v>189</v>
      </c>
      <c r="CX391" s="14">
        <f>IFERROR(AVERAGE(Tabel1[[#This Row],[In - F1]],Tabel1[[#This Row],[In - F2]],Tabel1[[#This Row],[In - F3]],Tabel1[[#This Row],[In - F4]]),"")</f>
        <v>2</v>
      </c>
      <c r="CY391" s="14">
        <v>3</v>
      </c>
      <c r="CZ391" s="14" t="s">
        <v>189</v>
      </c>
      <c r="DA391" s="14" t="s">
        <v>189</v>
      </c>
      <c r="DB391" s="14">
        <f>IFERROR(AVERAGE(Tabel1[[#This Row],[In - V1a]:[In - V1c]]),"")</f>
        <v>3</v>
      </c>
      <c r="DC391" s="14" t="s">
        <v>189</v>
      </c>
      <c r="DD391" s="14" t="s">
        <v>189</v>
      </c>
      <c r="DE391" s="14" t="s">
        <v>189</v>
      </c>
      <c r="DF391" s="14" t="str">
        <f>IFERROR(AVERAGE(Tabel1[[#This Row],[In - V2a]:[In - V2c]]),"")</f>
        <v/>
      </c>
      <c r="DG391" s="14" t="s">
        <v>189</v>
      </c>
      <c r="DH391" s="14" t="s">
        <v>189</v>
      </c>
      <c r="DI391" s="14" t="str">
        <f>IFERROR(AVERAGE(Tabel1[[#This Row],[In - V3a]:[In - V3b]]),"")</f>
        <v/>
      </c>
      <c r="DJ391" s="14" t="s">
        <v>189</v>
      </c>
      <c r="DK391" s="14">
        <f>IFERROR(AVERAGE(Tabel1[[#This Row],[In - V1]],Tabel1[[#This Row],[In - V2]],Tabel1[[#This Row],[In - V3]],Tabel1[[#This Row],[In - V4]]),"")</f>
        <v>3</v>
      </c>
      <c r="DL391" s="14">
        <v>3</v>
      </c>
      <c r="DM391" s="14" t="s">
        <v>189</v>
      </c>
      <c r="DN391" s="14">
        <f>IFERROR(AVERAGE(Tabel1[[#This Row],[In - A1a]:[In - A1b]]),"")</f>
        <v>3</v>
      </c>
      <c r="DO391" s="14" t="s">
        <v>189</v>
      </c>
      <c r="DP391" s="14" t="s">
        <v>189</v>
      </c>
      <c r="DQ391" s="14" t="str">
        <f>IFERROR(AVERAGE(Tabel1[[#This Row],[In - A2a]:[In - A2b]]),"")</f>
        <v/>
      </c>
      <c r="DR391" s="14" t="s">
        <v>189</v>
      </c>
      <c r="DS391" s="14" t="s">
        <v>189</v>
      </c>
      <c r="DT391" s="14" t="str">
        <f>IFERROR(AVERAGE(Tabel1[[#This Row],[In - A3a]:[In - A3a]]),"")</f>
        <v/>
      </c>
      <c r="DU391" s="14" t="s">
        <v>189</v>
      </c>
      <c r="DV391" s="14">
        <f>IFERROR(AVERAGE(Tabel1[[#This Row],[In - A1]],Tabel1[[#This Row],[In - A2]],Tabel1[[#This Row],[In - A3]],Tabel1[[#This Row],[In - A4]]),"")</f>
        <v>3</v>
      </c>
      <c r="DW391" s="14">
        <v>4</v>
      </c>
      <c r="DX391" s="14" t="s">
        <v>189</v>
      </c>
      <c r="DY391" s="14" t="s">
        <v>189</v>
      </c>
      <c r="DZ391" s="14">
        <f>IFERROR(AVERAGE(Tabel1[[#This Row],[Do - R1a]:[Do - R1c]]),"")</f>
        <v>4</v>
      </c>
      <c r="EA391" s="14" t="s">
        <v>189</v>
      </c>
      <c r="EB391" s="14" t="s">
        <v>189</v>
      </c>
      <c r="EC391" s="14" t="s">
        <v>189</v>
      </c>
      <c r="ED391" s="14" t="s">
        <v>189</v>
      </c>
      <c r="EE391" s="14">
        <f>IFERROR(AVERAGE(Tabel1[[#This Row],[Do - R1]:[Do - R5]]),"")</f>
        <v>4</v>
      </c>
      <c r="EF391" s="14" t="s">
        <v>189</v>
      </c>
      <c r="EG391" s="14">
        <v>4</v>
      </c>
      <c r="EH391" s="14" t="s">
        <v>189</v>
      </c>
      <c r="EI391" s="14">
        <f>IFERROR(AVERAGE(Tabel1[[#This Row],[Do - C1a]:[Do - C1c]]),"")</f>
        <v>4</v>
      </c>
      <c r="EJ391" s="14" t="s">
        <v>189</v>
      </c>
      <c r="EK391" s="14" t="s">
        <v>189</v>
      </c>
      <c r="EL391" s="14" t="s">
        <v>189</v>
      </c>
      <c r="EM391" s="14">
        <f>IFERROR(AVERAGE(Tabel1[[#This Row],[Do - C1]:[Do - C4]]),"")</f>
        <v>4</v>
      </c>
      <c r="EN391" s="14" t="s">
        <v>189</v>
      </c>
      <c r="EO391" s="14" t="s">
        <v>189</v>
      </c>
      <c r="EP391" s="14" t="s">
        <v>189</v>
      </c>
      <c r="EQ391" s="14" t="str">
        <f>IFERROR(AVERAGE(Tabel1[[#This Row],[Do - F1a]:[Do - F1c]]),"")</f>
        <v/>
      </c>
      <c r="ER391" s="14" t="s">
        <v>189</v>
      </c>
      <c r="ES391" s="14" t="str">
        <f>IFERROR(AVERAGE(Tabel1[[#This Row],[Do - F2a]:[Do - F2a]]),"")</f>
        <v/>
      </c>
      <c r="ET391" s="14">
        <v>3</v>
      </c>
      <c r="EU391" s="14" t="s">
        <v>189</v>
      </c>
      <c r="EV391" s="14">
        <f>IFERROR(AVERAGE(Tabel1[[#This Row],[Do - F3a]:[Do - F3b]]),"")</f>
        <v>3</v>
      </c>
      <c r="EW391" s="14" t="s">
        <v>189</v>
      </c>
      <c r="EX391" s="14">
        <f>IFERROR(AVERAGE(Tabel1[[#This Row],[Do - F1]],Tabel1[[#This Row],[Do - F2]],Tabel1[[#This Row],[Do - F3]],Tabel1[[#This Row],[Do - F4]]),"")</f>
        <v>3</v>
      </c>
      <c r="EY391" s="14">
        <v>3</v>
      </c>
      <c r="EZ391" s="14" t="s">
        <v>189</v>
      </c>
      <c r="FA391" s="14" t="s">
        <v>189</v>
      </c>
      <c r="FB391" s="14">
        <f>IFERROR(AVERAGE(Tabel1[[#This Row],[Do - V1a]:[Do - V1c]]),"")</f>
        <v>3</v>
      </c>
      <c r="FC391" s="14" t="s">
        <v>189</v>
      </c>
      <c r="FD391" s="14" t="s">
        <v>189</v>
      </c>
      <c r="FE391" s="14" t="str">
        <f>IFERROR(AVERAGE(Tabel1[[#This Row],[Do - V2a]:[Do - V2b]]),"")</f>
        <v/>
      </c>
      <c r="FF391" s="14" t="s">
        <v>189</v>
      </c>
      <c r="FG391" s="14" t="str">
        <f>IFERROR(AVERAGE(Tabel1[[#This Row],[Do - V3a]:[Do - V3a]]),"")</f>
        <v/>
      </c>
      <c r="FH391" s="14" t="s">
        <v>189</v>
      </c>
      <c r="FI391" s="14">
        <f>IFERROR(AVERAGE(Tabel1[[#This Row],[Do - V1]],Tabel1[[#This Row],[Do - V2]],Tabel1[[#This Row],[Do - V3]],Tabel1[[#This Row],[Do - V4]]),"")</f>
        <v>3</v>
      </c>
      <c r="FJ391" s="14" t="s">
        <v>189</v>
      </c>
      <c r="FK391" s="14" t="s">
        <v>189</v>
      </c>
      <c r="FL391" s="14" t="s">
        <v>189</v>
      </c>
      <c r="FM391" s="14" t="str">
        <f>IFERROR(AVERAGE(Tabel1[[#This Row],[Do - A1a]:[Do - A1c]]),"")</f>
        <v/>
      </c>
      <c r="FN391" s="14" t="s">
        <v>189</v>
      </c>
      <c r="FO391" s="14" t="s">
        <v>189</v>
      </c>
      <c r="FP391" s="14" t="str">
        <f>IFERROR(AVERAGE(Tabel1[[#This Row],[Do - A2a]:[Do - A2b]]),"")</f>
        <v/>
      </c>
      <c r="FQ391" s="14" t="s">
        <v>189</v>
      </c>
      <c r="FR391" s="14" t="str">
        <f>IFERROR(AVERAGE(Tabel1[[#This Row],[Do - A3a]:[Do - A3a]]),"")</f>
        <v/>
      </c>
      <c r="FS391" s="14" t="s">
        <v>189</v>
      </c>
      <c r="FT391" s="14" t="str">
        <f>IFERROR(AVERAGE(Tabel1[[#This Row],[Do - A1]],Tabel1[[#This Row],[Do - A2]],Tabel1[[#This Row],[Do - A3]],Tabel1[[#This Row],[Do - A4]]),"")</f>
        <v/>
      </c>
      <c r="FU39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3.3076923076923075</v>
      </c>
      <c r="FV391" s="27" t="s">
        <v>1973</v>
      </c>
      <c r="FW391" t="b">
        <v>1</v>
      </c>
    </row>
    <row r="392" spans="1:179" x14ac:dyDescent="0.3">
      <c r="A392" s="13">
        <v>45622.6332638889</v>
      </c>
      <c r="B392" t="b">
        <v>0</v>
      </c>
      <c r="C392" s="14" t="s">
        <v>1974</v>
      </c>
      <c r="D392" s="14" t="s">
        <v>1206</v>
      </c>
      <c r="E392" s="14" t="s">
        <v>1887</v>
      </c>
      <c r="F392" s="14" t="s">
        <v>184</v>
      </c>
      <c r="G392" s="14" t="s">
        <v>1975</v>
      </c>
      <c r="H392" s="14" t="s">
        <v>222</v>
      </c>
      <c r="I392" s="14" t="s">
        <v>542</v>
      </c>
      <c r="J392" s="14" t="s">
        <v>543</v>
      </c>
      <c r="K392" s="28" t="s">
        <v>235</v>
      </c>
      <c r="L392" s="14" t="s">
        <v>249</v>
      </c>
      <c r="M392" s="14" t="s">
        <v>233</v>
      </c>
      <c r="N392" s="14" t="s">
        <v>262</v>
      </c>
      <c r="O392" s="14" t="s">
        <v>200</v>
      </c>
      <c r="P392" s="24" t="s">
        <v>304</v>
      </c>
      <c r="Q392" s="17" t="s">
        <v>203</v>
      </c>
      <c r="R392" s="25" t="s">
        <v>203</v>
      </c>
      <c r="S392" s="25" t="s">
        <v>202</v>
      </c>
      <c r="T392" s="14" t="s">
        <v>380</v>
      </c>
      <c r="U392" s="14" t="s">
        <v>205</v>
      </c>
      <c r="V392" s="14" t="s">
        <v>359</v>
      </c>
      <c r="W392" s="14" t="s">
        <v>207</v>
      </c>
      <c r="X392" s="14" t="s">
        <v>207</v>
      </c>
      <c r="Y392" s="14">
        <v>4</v>
      </c>
      <c r="Z392" s="14">
        <v>3</v>
      </c>
      <c r="AA392" s="14">
        <v>4</v>
      </c>
      <c r="AB392" s="15">
        <f>IFERROR(AVERAGE(Tabel1[[#This Row],[Up - R1a]:[Up - R1c]]),"")</f>
        <v>3.6666666666666665</v>
      </c>
      <c r="AC392" s="14">
        <v>4</v>
      </c>
      <c r="AD392" s="14">
        <v>4</v>
      </c>
      <c r="AE392" s="14">
        <v>4</v>
      </c>
      <c r="AF392" s="14">
        <v>3</v>
      </c>
      <c r="AG392" s="14">
        <f>IFERROR(AVERAGE(Tabel1[[#This Row],[Up - R1]:[Up - R5]]),"")</f>
        <v>3.7333333333333329</v>
      </c>
      <c r="AH392" s="14">
        <v>3</v>
      </c>
      <c r="AI392" s="14">
        <v>2</v>
      </c>
      <c r="AJ392" s="14">
        <v>4</v>
      </c>
      <c r="AK392" s="14">
        <f>IFERROR(AVERAGE(Tabel1[[#This Row],[Up - C1a]:[Up - C1c]]),"")</f>
        <v>3</v>
      </c>
      <c r="AL392" s="14">
        <v>2</v>
      </c>
      <c r="AM392" s="14" t="s">
        <v>189</v>
      </c>
      <c r="AN392" s="14">
        <v>5</v>
      </c>
      <c r="AO392" s="14">
        <f>IFERROR(AVERAGE(Tabel1[[#This Row],[Up - C1]:[Up - C4]]),"")</f>
        <v>3.3333333333333335</v>
      </c>
      <c r="AP392" s="14">
        <v>3</v>
      </c>
      <c r="AQ392" s="14">
        <f>IFERROR(AVERAGE(Tabel1[[#This Row],[Up - F1a]:[Up - F1a]]),"")</f>
        <v>3</v>
      </c>
      <c r="AR392" s="14">
        <v>3</v>
      </c>
      <c r="AS392" s="14">
        <v>3</v>
      </c>
      <c r="AT392" s="14">
        <f>IFERROR(AVERAGE(Tabel1[[#This Row],[Up - F2a]:[Up - F2b]]),"")</f>
        <v>3</v>
      </c>
      <c r="AU392" s="14">
        <v>4</v>
      </c>
      <c r="AV392" s="14">
        <v>3</v>
      </c>
      <c r="AW392" s="14">
        <f>IFERROR(AVERAGE(Tabel1[[#This Row],[Up - F3a]:[Up - F3b]]),"")</f>
        <v>3.5</v>
      </c>
      <c r="AX392" s="14">
        <v>3</v>
      </c>
      <c r="AY392" s="14">
        <f>IFERROR(AVERAGE(Tabel1[[#This Row],[Up - F1]],Tabel1[[#This Row],[Up - F2]],Tabel1[[#This Row],[Up - F3]],Tabel1[[#This Row],[Up - F4]]),"")</f>
        <v>3.125</v>
      </c>
      <c r="AZ392" s="14">
        <v>4</v>
      </c>
      <c r="BA392" s="14">
        <v>3</v>
      </c>
      <c r="BB392" s="14">
        <f>IFERROR(AVERAGE(Tabel1[[#This Row],[Up - V1a]:[Up - V1b]]),"")</f>
        <v>3.5</v>
      </c>
      <c r="BC392" s="14">
        <v>3</v>
      </c>
      <c r="BD392" s="14">
        <v>4</v>
      </c>
      <c r="BE392" s="14">
        <v>4</v>
      </c>
      <c r="BF392" s="14">
        <f>IFERROR(AVERAGE(Tabel1[[#This Row],[Up - V2a]:[Up - V2c]]),"")</f>
        <v>3.6666666666666665</v>
      </c>
      <c r="BG392" s="14">
        <v>5</v>
      </c>
      <c r="BH392" s="14">
        <v>3</v>
      </c>
      <c r="BI392" s="14">
        <f>IFERROR(AVERAGE(Tabel1[[#This Row],[Up - V3a]:[Up - V3b]]),"")</f>
        <v>4</v>
      </c>
      <c r="BJ392" s="14">
        <v>4</v>
      </c>
      <c r="BK392" s="14">
        <f>IFERROR(AVERAGE(Tabel1[[#This Row],[Up - V1]],Tabel1[[#This Row],[Up - V2]],Tabel1[[#This Row],[Up - V3]],Tabel1[[#This Row],[Up - V4]]),"")</f>
        <v>3.7916666666666665</v>
      </c>
      <c r="BL392" s="14">
        <v>4</v>
      </c>
      <c r="BM392" s="14">
        <v>4</v>
      </c>
      <c r="BN392" s="14">
        <v>4</v>
      </c>
      <c r="BO392" s="14">
        <v>2</v>
      </c>
      <c r="BP392" s="14">
        <f>IFERROR(AVERAGE(Tabel1[[#This Row],[Up - A1a]:[Up - A1d]]),"")</f>
        <v>3.5</v>
      </c>
      <c r="BQ392" s="14">
        <v>3</v>
      </c>
      <c r="BR392" s="14">
        <v>3</v>
      </c>
      <c r="BS392" s="14">
        <f>IFERROR(AVERAGE(Tabel1[[#This Row],[Up - A2a]:[Up - A2b]]),"")</f>
        <v>3</v>
      </c>
      <c r="BT392" s="14">
        <v>3</v>
      </c>
      <c r="BU392" s="14">
        <f>IFERROR(AVERAGE(Tabel1[[#This Row],[Up - A3a]:[Up - A3a]]),"")</f>
        <v>3</v>
      </c>
      <c r="BV392" s="14">
        <v>4</v>
      </c>
      <c r="BW392" s="14">
        <f>IFERROR(AVERAGE(Tabel1[[#This Row],[Up - A1]],Tabel1[[#This Row],[Up - A2]],Tabel1[[#This Row],[Up - A3]]),"")</f>
        <v>3.1666666666666665</v>
      </c>
      <c r="BX392" s="14">
        <v>4</v>
      </c>
      <c r="BY392" s="14">
        <v>3</v>
      </c>
      <c r="BZ392" s="14">
        <f>IFERROR(AVERAGE(Tabel1[[#This Row],[In - R1a]:[In - R1b]]),"")</f>
        <v>3.5</v>
      </c>
      <c r="CA392" s="14">
        <v>4</v>
      </c>
      <c r="CB392" s="14">
        <v>4</v>
      </c>
      <c r="CC392" s="14">
        <v>3</v>
      </c>
      <c r="CD392" s="14">
        <v>4</v>
      </c>
      <c r="CE392" s="14">
        <f>IFERROR(AVERAGE(Tabel1[[#This Row],[In - R1]:[In - R5]]),"")</f>
        <v>3.7</v>
      </c>
      <c r="CF392" s="14">
        <v>4</v>
      </c>
      <c r="CG392" s="14">
        <v>4</v>
      </c>
      <c r="CH392" s="14">
        <v>3</v>
      </c>
      <c r="CI392" s="14">
        <f>IFERROR(AVERAGE(Tabel1[[#This Row],[In - C1a]:[In - C1c]]),"")</f>
        <v>3.6666666666666665</v>
      </c>
      <c r="CJ392" s="14">
        <v>4</v>
      </c>
      <c r="CK392" s="14" t="s">
        <v>189</v>
      </c>
      <c r="CL392" s="14">
        <v>3</v>
      </c>
      <c r="CM392" s="14">
        <f>IFERROR(AVERAGE(Tabel1[[#This Row],[In - C1]:[In - C4]]),"")</f>
        <v>3.5555555555555554</v>
      </c>
      <c r="CN392" s="14">
        <v>2</v>
      </c>
      <c r="CO392" s="14">
        <v>2</v>
      </c>
      <c r="CP392" s="14">
        <v>3</v>
      </c>
      <c r="CQ392" s="14">
        <f>IFERROR(AVERAGE(Tabel1[[#This Row],[In - F1a]:[In - F1c]]),"")</f>
        <v>2.3333333333333335</v>
      </c>
      <c r="CR392" s="14">
        <v>4</v>
      </c>
      <c r="CS392" s="14">
        <v>4</v>
      </c>
      <c r="CT392" s="14">
        <f>IFERROR(AVERAGE(Tabel1[[#This Row],[In - F2a]:[In - F2b]]),"")</f>
        <v>4</v>
      </c>
      <c r="CU392" s="14">
        <v>2</v>
      </c>
      <c r="CV392" s="14">
        <f>IFERROR(AVERAGE(Tabel1[[#This Row],[In - F3a]:[In - F3a]]),"")</f>
        <v>2</v>
      </c>
      <c r="CW392" s="14">
        <v>2</v>
      </c>
      <c r="CX392" s="14">
        <f>IFERROR(AVERAGE(Tabel1[[#This Row],[In - F1]],Tabel1[[#This Row],[In - F2]],Tabel1[[#This Row],[In - F3]],Tabel1[[#This Row],[In - F4]]),"")</f>
        <v>2.5833333333333335</v>
      </c>
      <c r="CY392" s="14">
        <v>3</v>
      </c>
      <c r="CZ392" s="14">
        <v>2</v>
      </c>
      <c r="DA392" s="14">
        <v>3</v>
      </c>
      <c r="DB392" s="14">
        <f>IFERROR(AVERAGE(Tabel1[[#This Row],[In - V1a]:[In - V1c]]),"")</f>
        <v>2.6666666666666665</v>
      </c>
      <c r="DC392" s="14">
        <v>4</v>
      </c>
      <c r="DD392" s="14">
        <v>4</v>
      </c>
      <c r="DE392" s="14">
        <v>4</v>
      </c>
      <c r="DF392" s="14">
        <f>IFERROR(AVERAGE(Tabel1[[#This Row],[In - V2a]:[In - V2c]]),"")</f>
        <v>4</v>
      </c>
      <c r="DG392" s="14">
        <v>4</v>
      </c>
      <c r="DH392" s="14">
        <v>4</v>
      </c>
      <c r="DI392" s="14">
        <f>IFERROR(AVERAGE(Tabel1[[#This Row],[In - V3a]:[In - V3b]]),"")</f>
        <v>4</v>
      </c>
      <c r="DJ392" s="14">
        <v>4</v>
      </c>
      <c r="DK392" s="14">
        <f>IFERROR(AVERAGE(Tabel1[[#This Row],[In - V1]],Tabel1[[#This Row],[In - V2]],Tabel1[[#This Row],[In - V3]],Tabel1[[#This Row],[In - V4]]),"")</f>
        <v>3.6666666666666665</v>
      </c>
      <c r="DL392" s="14">
        <v>3</v>
      </c>
      <c r="DM392" s="14">
        <v>2</v>
      </c>
      <c r="DN392" s="14">
        <f>IFERROR(AVERAGE(Tabel1[[#This Row],[In - A1a]:[In - A1b]]),"")</f>
        <v>2.5</v>
      </c>
      <c r="DO392" s="14">
        <v>4</v>
      </c>
      <c r="DP392" s="14">
        <v>2</v>
      </c>
      <c r="DQ392" s="14">
        <f>IFERROR(AVERAGE(Tabel1[[#This Row],[In - A2a]:[In - A2b]]),"")</f>
        <v>3</v>
      </c>
      <c r="DR392" s="14">
        <v>4</v>
      </c>
      <c r="DS392" s="14">
        <v>3</v>
      </c>
      <c r="DT392" s="14">
        <f>IFERROR(AVERAGE(Tabel1[[#This Row],[In - A3a]:[In - A3a]]),"")</f>
        <v>4</v>
      </c>
      <c r="DU392" s="14">
        <v>2</v>
      </c>
      <c r="DV392" s="14">
        <f>IFERROR(AVERAGE(Tabel1[[#This Row],[In - A1]],Tabel1[[#This Row],[In - A2]],Tabel1[[#This Row],[In - A3]],Tabel1[[#This Row],[In - A4]]),"")</f>
        <v>2.875</v>
      </c>
      <c r="DW392" s="14">
        <v>4</v>
      </c>
      <c r="DX392" s="14">
        <v>4</v>
      </c>
      <c r="DY392" s="14">
        <v>3</v>
      </c>
      <c r="DZ392" s="14">
        <f>IFERROR(AVERAGE(Tabel1[[#This Row],[Do - R1a]:[Do - R1c]]),"")</f>
        <v>3.6666666666666665</v>
      </c>
      <c r="EA392" s="14">
        <v>3</v>
      </c>
      <c r="EB392" s="14">
        <v>3</v>
      </c>
      <c r="EC392" s="14">
        <v>4</v>
      </c>
      <c r="ED392" s="14">
        <v>3</v>
      </c>
      <c r="EE392" s="14">
        <f>IFERROR(AVERAGE(Tabel1[[#This Row],[Do - R1]:[Do - R5]]),"")</f>
        <v>3.333333333333333</v>
      </c>
      <c r="EF392" s="14">
        <v>3</v>
      </c>
      <c r="EG392" s="14">
        <v>3</v>
      </c>
      <c r="EH392" s="14">
        <v>4</v>
      </c>
      <c r="EI392" s="14">
        <f>IFERROR(AVERAGE(Tabel1[[#This Row],[Do - C1a]:[Do - C1c]]),"")</f>
        <v>3.3333333333333335</v>
      </c>
      <c r="EJ392" s="14" t="s">
        <v>189</v>
      </c>
      <c r="EK392" s="14">
        <v>4</v>
      </c>
      <c r="EL392" s="14">
        <v>2</v>
      </c>
      <c r="EM392" s="14">
        <f>IFERROR(AVERAGE(Tabel1[[#This Row],[Do - C1]:[Do - C4]]),"")</f>
        <v>3.1111111111111112</v>
      </c>
      <c r="EN392" s="14">
        <v>4</v>
      </c>
      <c r="EO392" s="14">
        <v>2</v>
      </c>
      <c r="EP392" s="14">
        <v>4</v>
      </c>
      <c r="EQ392" s="14">
        <f>IFERROR(AVERAGE(Tabel1[[#This Row],[Do - F1a]:[Do - F1c]]),"")</f>
        <v>3.3333333333333335</v>
      </c>
      <c r="ER392" s="14">
        <v>3</v>
      </c>
      <c r="ES392" s="14">
        <f>IFERROR(AVERAGE(Tabel1[[#This Row],[Do - F2a]:[Do - F2a]]),"")</f>
        <v>3</v>
      </c>
      <c r="ET392" s="14">
        <v>4</v>
      </c>
      <c r="EU392" s="14">
        <v>4</v>
      </c>
      <c r="EV392" s="14">
        <f>IFERROR(AVERAGE(Tabel1[[#This Row],[Do - F3a]:[Do - F3b]]),"")</f>
        <v>4</v>
      </c>
      <c r="EW392" s="14">
        <v>4</v>
      </c>
      <c r="EX392" s="14">
        <f>IFERROR(AVERAGE(Tabel1[[#This Row],[Do - F1]],Tabel1[[#This Row],[Do - F2]],Tabel1[[#This Row],[Do - F3]],Tabel1[[#This Row],[Do - F4]]),"")</f>
        <v>3.5833333333333335</v>
      </c>
      <c r="EY392" s="14">
        <v>4</v>
      </c>
      <c r="EZ392" s="14">
        <v>4</v>
      </c>
      <c r="FA392" s="14">
        <v>4</v>
      </c>
      <c r="FB392" s="14">
        <f>IFERROR(AVERAGE(Tabel1[[#This Row],[Do - V1a]:[Do - V1c]]),"")</f>
        <v>4</v>
      </c>
      <c r="FC392" s="14">
        <v>3</v>
      </c>
      <c r="FD392" s="14">
        <v>4</v>
      </c>
      <c r="FE392" s="14">
        <f>IFERROR(AVERAGE(Tabel1[[#This Row],[Do - V2a]:[Do - V2b]]),"")</f>
        <v>3.5</v>
      </c>
      <c r="FF392" s="14">
        <v>3</v>
      </c>
      <c r="FG392" s="14">
        <f>IFERROR(AVERAGE(Tabel1[[#This Row],[Do - V3a]:[Do - V3a]]),"")</f>
        <v>3</v>
      </c>
      <c r="FH392" s="14">
        <v>3</v>
      </c>
      <c r="FI392" s="14">
        <f>IFERROR(AVERAGE(Tabel1[[#This Row],[Do - V1]],Tabel1[[#This Row],[Do - V2]],Tabel1[[#This Row],[Do - V3]],Tabel1[[#This Row],[Do - V4]]),"")</f>
        <v>3.375</v>
      </c>
      <c r="FJ392" s="14">
        <v>4</v>
      </c>
      <c r="FK392" s="14">
        <v>3</v>
      </c>
      <c r="FL392" s="14">
        <v>2</v>
      </c>
      <c r="FM392" s="14">
        <f>IFERROR(AVERAGE(Tabel1[[#This Row],[Do - A1a]:[Do - A1c]]),"")</f>
        <v>3</v>
      </c>
      <c r="FN392" s="14">
        <v>4</v>
      </c>
      <c r="FO392" s="14">
        <v>4</v>
      </c>
      <c r="FP392" s="14">
        <f>IFERROR(AVERAGE(Tabel1[[#This Row],[Do - A2a]:[Do - A2b]]),"")</f>
        <v>4</v>
      </c>
      <c r="FQ392" s="14">
        <v>3</v>
      </c>
      <c r="FR392" s="14">
        <f>IFERROR(AVERAGE(Tabel1[[#This Row],[Do - A3a]:[Do - A3a]]),"")</f>
        <v>3</v>
      </c>
      <c r="FS392" s="14">
        <v>3</v>
      </c>
      <c r="FT392" s="14">
        <f>IFERROR(AVERAGE(Tabel1[[#This Row],[Do - A1]],Tabel1[[#This Row],[Do - A2]],Tabel1[[#This Row],[Do - A3]],Tabel1[[#This Row],[Do - A4]]),"")</f>
        <v>3.25</v>
      </c>
      <c r="FU39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3.3455555555555558</v>
      </c>
      <c r="FV392" s="27" t="s">
        <v>1976</v>
      </c>
      <c r="FW392" t="b">
        <v>1</v>
      </c>
    </row>
    <row r="393" spans="1:179" x14ac:dyDescent="0.3">
      <c r="A393" s="13">
        <v>45624.334733796299</v>
      </c>
      <c r="B393" t="b">
        <v>0</v>
      </c>
      <c r="C393" s="14" t="s">
        <v>1977</v>
      </c>
      <c r="D393" s="14" t="s">
        <v>1978</v>
      </c>
      <c r="E393" s="14" t="s">
        <v>1979</v>
      </c>
      <c r="F393" s="14" t="s">
        <v>184</v>
      </c>
      <c r="G393" s="14" t="s">
        <v>1980</v>
      </c>
      <c r="H393" s="14" t="s">
        <v>222</v>
      </c>
      <c r="I393" s="14" t="s">
        <v>195</v>
      </c>
      <c r="J393" s="14" t="s">
        <v>347</v>
      </c>
      <c r="K393" s="28" t="s">
        <v>235</v>
      </c>
      <c r="L393" s="14" t="s">
        <v>249</v>
      </c>
      <c r="M393" s="14" t="s">
        <v>188</v>
      </c>
      <c r="N393" s="14" t="s">
        <v>262</v>
      </c>
      <c r="O393" s="14" t="s">
        <v>200</v>
      </c>
      <c r="P393" s="24" t="s">
        <v>255</v>
      </c>
      <c r="Q393" s="17" t="s">
        <v>235</v>
      </c>
      <c r="R393" s="24" t="s">
        <v>304</v>
      </c>
      <c r="S393" s="24" t="s">
        <v>304</v>
      </c>
      <c r="T393" s="14" t="s">
        <v>380</v>
      </c>
      <c r="U393" s="14" t="s">
        <v>237</v>
      </c>
      <c r="V393" s="14" t="s">
        <v>359</v>
      </c>
      <c r="W393" s="14" t="s">
        <v>207</v>
      </c>
      <c r="X393" s="14" t="s">
        <v>207</v>
      </c>
      <c r="Y393" s="14">
        <v>3</v>
      </c>
      <c r="Z393" s="14">
        <v>4</v>
      </c>
      <c r="AA393" s="14">
        <v>3</v>
      </c>
      <c r="AB393" s="15">
        <f>IFERROR(AVERAGE(Tabel1[[#This Row],[Up - R1a]:[Up - R1c]]),"")</f>
        <v>3.3333333333333335</v>
      </c>
      <c r="AC393" s="14">
        <v>3</v>
      </c>
      <c r="AD393" s="14">
        <v>1</v>
      </c>
      <c r="AE393" s="14">
        <v>1</v>
      </c>
      <c r="AF393" s="14">
        <v>3</v>
      </c>
      <c r="AG393" s="14">
        <f>IFERROR(AVERAGE(Tabel1[[#This Row],[Up - R1]:[Up - R5]]),"")</f>
        <v>2.2666666666666666</v>
      </c>
      <c r="AH393" s="14">
        <v>4</v>
      </c>
      <c r="AI393" s="14">
        <v>3</v>
      </c>
      <c r="AJ393" s="14">
        <v>2</v>
      </c>
      <c r="AK393" s="14">
        <f>IFERROR(AVERAGE(Tabel1[[#This Row],[Up - C1a]:[Up - C1c]]),"")</f>
        <v>3</v>
      </c>
      <c r="AL393" s="14">
        <v>3</v>
      </c>
      <c r="AM393" s="14" t="s">
        <v>189</v>
      </c>
      <c r="AN393" s="14" t="s">
        <v>189</v>
      </c>
      <c r="AO393" s="14">
        <f>IFERROR(AVERAGE(Tabel1[[#This Row],[Up - C1]:[Up - C4]]),"")</f>
        <v>3</v>
      </c>
      <c r="AP393" s="14">
        <v>3</v>
      </c>
      <c r="AQ393" s="14">
        <f>IFERROR(AVERAGE(Tabel1[[#This Row],[Up - F1a]:[Up - F1a]]),"")</f>
        <v>3</v>
      </c>
      <c r="AR393" s="14">
        <v>1</v>
      </c>
      <c r="AS393" s="14">
        <v>2</v>
      </c>
      <c r="AT393" s="14">
        <f>IFERROR(AVERAGE(Tabel1[[#This Row],[Up - F2a]:[Up - F2b]]),"")</f>
        <v>1.5</v>
      </c>
      <c r="AU393" s="14">
        <v>2</v>
      </c>
      <c r="AV393" s="14">
        <v>3</v>
      </c>
      <c r="AW393" s="14">
        <f>IFERROR(AVERAGE(Tabel1[[#This Row],[Up - F3a]:[Up - F3b]]),"")</f>
        <v>2.5</v>
      </c>
      <c r="AX393" s="14">
        <v>1</v>
      </c>
      <c r="AY393" s="14">
        <f>IFERROR(AVERAGE(Tabel1[[#This Row],[Up - F1]],Tabel1[[#This Row],[Up - F2]],Tabel1[[#This Row],[Up - F3]],Tabel1[[#This Row],[Up - F4]]),"")</f>
        <v>2</v>
      </c>
      <c r="AZ393" s="14">
        <v>4</v>
      </c>
      <c r="BA393" s="14">
        <v>4</v>
      </c>
      <c r="BB393" s="14">
        <f>IFERROR(AVERAGE(Tabel1[[#This Row],[Up - V1a]:[Up - V1b]]),"")</f>
        <v>4</v>
      </c>
      <c r="BC393" s="14">
        <v>4</v>
      </c>
      <c r="BD393" s="14">
        <v>4</v>
      </c>
      <c r="BE393" s="14">
        <v>4</v>
      </c>
      <c r="BF393" s="14">
        <f>IFERROR(AVERAGE(Tabel1[[#This Row],[Up - V2a]:[Up - V2c]]),"")</f>
        <v>4</v>
      </c>
      <c r="BG393" s="14">
        <v>2</v>
      </c>
      <c r="BH393" s="14">
        <v>4</v>
      </c>
      <c r="BI393" s="14">
        <f>IFERROR(AVERAGE(Tabel1[[#This Row],[Up - V3a]:[Up - V3b]]),"")</f>
        <v>3</v>
      </c>
      <c r="BJ393" s="14">
        <v>4</v>
      </c>
      <c r="BK393" s="14">
        <f>IFERROR(AVERAGE(Tabel1[[#This Row],[Up - V1]],Tabel1[[#This Row],[Up - V2]],Tabel1[[#This Row],[Up - V3]],Tabel1[[#This Row],[Up - V4]]),"")</f>
        <v>3.75</v>
      </c>
      <c r="BL393" s="14" t="s">
        <v>189</v>
      </c>
      <c r="BM393" s="14">
        <v>3</v>
      </c>
      <c r="BN393" s="14">
        <v>3</v>
      </c>
      <c r="BO393" s="14">
        <v>2</v>
      </c>
      <c r="BP393" s="14">
        <f>IFERROR(AVERAGE(Tabel1[[#This Row],[Up - A1a]:[Up - A1d]]),"")</f>
        <v>2.6666666666666665</v>
      </c>
      <c r="BQ393" s="14">
        <v>4</v>
      </c>
      <c r="BR393" s="14">
        <v>2</v>
      </c>
      <c r="BS393" s="14">
        <f>IFERROR(AVERAGE(Tabel1[[#This Row],[Up - A2a]:[Up - A2b]]),"")</f>
        <v>3</v>
      </c>
      <c r="BT393" s="14">
        <v>4</v>
      </c>
      <c r="BU393" s="14">
        <f>IFERROR(AVERAGE(Tabel1[[#This Row],[Up - A3a]:[Up - A3a]]),"")</f>
        <v>4</v>
      </c>
      <c r="BV393" s="14" t="s">
        <v>189</v>
      </c>
      <c r="BW393" s="14">
        <f>IFERROR(AVERAGE(Tabel1[[#This Row],[Up - A1]],Tabel1[[#This Row],[Up - A2]],Tabel1[[#This Row],[Up - A3]]),"")</f>
        <v>3.2222222222222219</v>
      </c>
      <c r="BX393" s="14" t="s">
        <v>189</v>
      </c>
      <c r="BY393" s="14" t="s">
        <v>189</v>
      </c>
      <c r="BZ393" s="14" t="str">
        <f>IFERROR(AVERAGE(Tabel1[[#This Row],[In - R1a]:[In - R1b]]),"")</f>
        <v/>
      </c>
      <c r="CA393" s="14">
        <v>3</v>
      </c>
      <c r="CB393" s="14" t="s">
        <v>189</v>
      </c>
      <c r="CC393" s="14">
        <v>1</v>
      </c>
      <c r="CD393" s="14">
        <v>4</v>
      </c>
      <c r="CE393" s="14">
        <f>IFERROR(AVERAGE(Tabel1[[#This Row],[In - R1]:[In - R5]]),"")</f>
        <v>2.6666666666666665</v>
      </c>
      <c r="CF393" s="14">
        <v>4</v>
      </c>
      <c r="CG393" s="14">
        <v>4</v>
      </c>
      <c r="CH393" s="14">
        <v>3</v>
      </c>
      <c r="CI393" s="14">
        <f>IFERROR(AVERAGE(Tabel1[[#This Row],[In - C1a]:[In - C1c]]),"")</f>
        <v>3.6666666666666665</v>
      </c>
      <c r="CJ393" s="14">
        <v>2</v>
      </c>
      <c r="CK393" s="14">
        <v>2</v>
      </c>
      <c r="CL393" s="14" t="s">
        <v>189</v>
      </c>
      <c r="CM393" s="14">
        <f>IFERROR(AVERAGE(Tabel1[[#This Row],[In - C1]:[In - C4]]),"")</f>
        <v>2.5555555555555554</v>
      </c>
      <c r="CN393" s="14">
        <v>3</v>
      </c>
      <c r="CO393" s="14">
        <v>2</v>
      </c>
      <c r="CP393" s="14">
        <v>1</v>
      </c>
      <c r="CQ393" s="14">
        <f>IFERROR(AVERAGE(Tabel1[[#This Row],[In - F1a]:[In - F1c]]),"")</f>
        <v>2</v>
      </c>
      <c r="CR393" s="14">
        <v>2</v>
      </c>
      <c r="CS393" s="14">
        <v>1</v>
      </c>
      <c r="CT393" s="14">
        <f>IFERROR(AVERAGE(Tabel1[[#This Row],[In - F2a]:[In - F2b]]),"")</f>
        <v>1.5</v>
      </c>
      <c r="CU393" s="14">
        <v>2</v>
      </c>
      <c r="CV393" s="14">
        <f>IFERROR(AVERAGE(Tabel1[[#This Row],[In - F3a]:[In - F3a]]),"")</f>
        <v>2</v>
      </c>
      <c r="CW393" s="14" t="s">
        <v>189</v>
      </c>
      <c r="CX393" s="14">
        <f>IFERROR(AVERAGE(Tabel1[[#This Row],[In - F1]],Tabel1[[#This Row],[In - F2]],Tabel1[[#This Row],[In - F3]],Tabel1[[#This Row],[In - F4]]),"")</f>
        <v>1.8333333333333333</v>
      </c>
      <c r="CY393" s="14">
        <v>4</v>
      </c>
      <c r="CZ393" s="14">
        <v>4</v>
      </c>
      <c r="DA393" s="14">
        <v>2</v>
      </c>
      <c r="DB393" s="14">
        <f>IFERROR(AVERAGE(Tabel1[[#This Row],[In - V1a]:[In - V1c]]),"")</f>
        <v>3.3333333333333335</v>
      </c>
      <c r="DC393" s="14">
        <v>4</v>
      </c>
      <c r="DD393" s="14">
        <v>3</v>
      </c>
      <c r="DE393" s="14">
        <v>4</v>
      </c>
      <c r="DF393" s="14">
        <f>IFERROR(AVERAGE(Tabel1[[#This Row],[In - V2a]:[In - V2c]]),"")</f>
        <v>3.6666666666666665</v>
      </c>
      <c r="DG393" s="14" t="s">
        <v>189</v>
      </c>
      <c r="DH393" s="14">
        <v>4</v>
      </c>
      <c r="DI393" s="14">
        <f>IFERROR(AVERAGE(Tabel1[[#This Row],[In - V3a]:[In - V3b]]),"")</f>
        <v>4</v>
      </c>
      <c r="DJ393" s="14" t="s">
        <v>189</v>
      </c>
      <c r="DK393" s="14">
        <f>IFERROR(AVERAGE(Tabel1[[#This Row],[In - V1]],Tabel1[[#This Row],[In - V2]],Tabel1[[#This Row],[In - V3]],Tabel1[[#This Row],[In - V4]]),"")</f>
        <v>3.6666666666666665</v>
      </c>
      <c r="DL393" s="14" t="s">
        <v>189</v>
      </c>
      <c r="DM393" s="14">
        <v>3</v>
      </c>
      <c r="DN393" s="14">
        <f>IFERROR(AVERAGE(Tabel1[[#This Row],[In - A1a]:[In - A1b]]),"")</f>
        <v>3</v>
      </c>
      <c r="DO393" s="14" t="s">
        <v>189</v>
      </c>
      <c r="DP393" s="14">
        <v>2</v>
      </c>
      <c r="DQ393" s="14">
        <f>IFERROR(AVERAGE(Tabel1[[#This Row],[In - A2a]:[In - A2b]]),"")</f>
        <v>2</v>
      </c>
      <c r="DR393" s="14">
        <v>3</v>
      </c>
      <c r="DS393" s="14">
        <v>1</v>
      </c>
      <c r="DT393" s="14">
        <f>IFERROR(AVERAGE(Tabel1[[#This Row],[In - A3a]:[In - A3a]]),"")</f>
        <v>3</v>
      </c>
      <c r="DU393" s="14" t="s">
        <v>189</v>
      </c>
      <c r="DV393" s="14">
        <f>IFERROR(AVERAGE(Tabel1[[#This Row],[In - A1]],Tabel1[[#This Row],[In - A2]],Tabel1[[#This Row],[In - A3]],Tabel1[[#This Row],[In - A4]]),"")</f>
        <v>2.6666666666666665</v>
      </c>
      <c r="DW393" s="14">
        <v>1</v>
      </c>
      <c r="DX393" s="14">
        <v>4</v>
      </c>
      <c r="DY393" s="14">
        <v>2</v>
      </c>
      <c r="DZ393" s="14">
        <f>IFERROR(AVERAGE(Tabel1[[#This Row],[Do - R1a]:[Do - R1c]]),"")</f>
        <v>2.3333333333333335</v>
      </c>
      <c r="EA393" s="14" t="s">
        <v>189</v>
      </c>
      <c r="EB393" s="14">
        <v>2</v>
      </c>
      <c r="EC393" s="14" t="s">
        <v>189</v>
      </c>
      <c r="ED393" s="14">
        <v>4</v>
      </c>
      <c r="EE393" s="14">
        <f>IFERROR(AVERAGE(Tabel1[[#This Row],[Do - R1]:[Do - R5]]),"")</f>
        <v>2.7777777777777781</v>
      </c>
      <c r="EF393" s="14">
        <v>4</v>
      </c>
      <c r="EG393" s="14">
        <v>3</v>
      </c>
      <c r="EH393" s="14" t="s">
        <v>189</v>
      </c>
      <c r="EI393" s="14">
        <f>IFERROR(AVERAGE(Tabel1[[#This Row],[Do - C1a]:[Do - C1c]]),"")</f>
        <v>3.5</v>
      </c>
      <c r="EJ393" s="14">
        <v>3</v>
      </c>
      <c r="EK393" s="14" t="s">
        <v>189</v>
      </c>
      <c r="EL393" s="14" t="s">
        <v>189</v>
      </c>
      <c r="EM393" s="14">
        <f>IFERROR(AVERAGE(Tabel1[[#This Row],[Do - C1]:[Do - C4]]),"")</f>
        <v>3.25</v>
      </c>
      <c r="EN393" s="14" t="s">
        <v>189</v>
      </c>
      <c r="EO393" s="14" t="s">
        <v>189</v>
      </c>
      <c r="EP393" s="14" t="s">
        <v>189</v>
      </c>
      <c r="EQ393" s="14" t="str">
        <f>IFERROR(AVERAGE(Tabel1[[#This Row],[Do - F1a]:[Do - F1c]]),"")</f>
        <v/>
      </c>
      <c r="ER393" s="14">
        <v>1</v>
      </c>
      <c r="ES393" s="14">
        <f>IFERROR(AVERAGE(Tabel1[[#This Row],[Do - F2a]:[Do - F2a]]),"")</f>
        <v>1</v>
      </c>
      <c r="ET393" s="14">
        <v>2</v>
      </c>
      <c r="EU393" s="14" t="s">
        <v>189</v>
      </c>
      <c r="EV393" s="14">
        <f>IFERROR(AVERAGE(Tabel1[[#This Row],[Do - F3a]:[Do - F3b]]),"")</f>
        <v>2</v>
      </c>
      <c r="EW393" s="14" t="s">
        <v>189</v>
      </c>
      <c r="EX393" s="14">
        <f>IFERROR(AVERAGE(Tabel1[[#This Row],[Do - F1]],Tabel1[[#This Row],[Do - F2]],Tabel1[[#This Row],[Do - F3]],Tabel1[[#This Row],[Do - F4]]),"")</f>
        <v>1.5</v>
      </c>
      <c r="EY393" s="14">
        <v>4</v>
      </c>
      <c r="EZ393" s="14" t="s">
        <v>189</v>
      </c>
      <c r="FA393" s="14">
        <v>4</v>
      </c>
      <c r="FB393" s="14">
        <f>IFERROR(AVERAGE(Tabel1[[#This Row],[Do - V1a]:[Do - V1c]]),"")</f>
        <v>4</v>
      </c>
      <c r="FC393" s="14" t="s">
        <v>189</v>
      </c>
      <c r="FD393" s="14">
        <v>4</v>
      </c>
      <c r="FE393" s="14">
        <f>IFERROR(AVERAGE(Tabel1[[#This Row],[Do - V2a]:[Do - V2b]]),"")</f>
        <v>4</v>
      </c>
      <c r="FF393" s="14" t="s">
        <v>189</v>
      </c>
      <c r="FG393" s="14" t="str">
        <f>IFERROR(AVERAGE(Tabel1[[#This Row],[Do - V3a]:[Do - V3a]]),"")</f>
        <v/>
      </c>
      <c r="FH393" s="14" t="s">
        <v>189</v>
      </c>
      <c r="FI393" s="14">
        <f>IFERROR(AVERAGE(Tabel1[[#This Row],[Do - V1]],Tabel1[[#This Row],[Do - V2]],Tabel1[[#This Row],[Do - V3]],Tabel1[[#This Row],[Do - V4]]),"")</f>
        <v>4</v>
      </c>
      <c r="FJ393" s="14" t="s">
        <v>189</v>
      </c>
      <c r="FK393" s="14">
        <v>2</v>
      </c>
      <c r="FL393" s="14">
        <v>3</v>
      </c>
      <c r="FM393" s="14">
        <f>IFERROR(AVERAGE(Tabel1[[#This Row],[Do - A1a]:[Do - A1c]]),"")</f>
        <v>2.5</v>
      </c>
      <c r="FN393" s="14" t="s">
        <v>189</v>
      </c>
      <c r="FO393" s="14">
        <v>2</v>
      </c>
      <c r="FP393" s="14">
        <f>IFERROR(AVERAGE(Tabel1[[#This Row],[Do - A2a]:[Do - A2b]]),"")</f>
        <v>2</v>
      </c>
      <c r="FQ393" s="14" t="s">
        <v>189</v>
      </c>
      <c r="FR393" s="14" t="str">
        <f>IFERROR(AVERAGE(Tabel1[[#This Row],[Do - A3a]:[Do - A3a]]),"")</f>
        <v/>
      </c>
      <c r="FS393" s="14" t="s">
        <v>189</v>
      </c>
      <c r="FT393" s="14">
        <f>IFERROR(AVERAGE(Tabel1[[#This Row],[Do - A1]],Tabel1[[#This Row],[Do - A2]],Tabel1[[#This Row],[Do - A3]],Tabel1[[#This Row],[Do - A4]]),"")</f>
        <v>2.25</v>
      </c>
      <c r="FU39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2.7603703703703699</v>
      </c>
      <c r="FV393" s="27" t="s">
        <v>1981</v>
      </c>
      <c r="FW393" t="b">
        <v>1</v>
      </c>
    </row>
    <row r="394" spans="1:179" x14ac:dyDescent="0.3">
      <c r="A394" s="13">
        <v>45624.3422685185</v>
      </c>
      <c r="B394" t="b">
        <v>0</v>
      </c>
      <c r="C394" s="14" t="s">
        <v>1982</v>
      </c>
      <c r="D394" s="14" t="s">
        <v>963</v>
      </c>
      <c r="E394" s="14" t="s">
        <v>1979</v>
      </c>
      <c r="F394" s="14" t="s">
        <v>184</v>
      </c>
      <c r="G394" s="14" t="s">
        <v>1983</v>
      </c>
      <c r="H394" s="14" t="s">
        <v>222</v>
      </c>
      <c r="I394" s="14" t="s">
        <v>195</v>
      </c>
      <c r="J394" s="14"/>
      <c r="K394" s="28" t="s">
        <v>235</v>
      </c>
      <c r="L394" s="14" t="s">
        <v>197</v>
      </c>
      <c r="M394" s="14" t="s">
        <v>188</v>
      </c>
      <c r="N394" s="14" t="s">
        <v>262</v>
      </c>
      <c r="O394" s="14" t="s">
        <v>200</v>
      </c>
      <c r="P394" s="24" t="s">
        <v>255</v>
      </c>
      <c r="Q394" s="17" t="s">
        <v>202</v>
      </c>
      <c r="R394" s="24" t="s">
        <v>255</v>
      </c>
      <c r="S394" s="24" t="s">
        <v>304</v>
      </c>
      <c r="T394" s="14" t="s">
        <v>236</v>
      </c>
      <c r="U394" s="14" t="s">
        <v>237</v>
      </c>
      <c r="V394" s="14" t="s">
        <v>224</v>
      </c>
      <c r="W394" s="14" t="s">
        <v>207</v>
      </c>
      <c r="X394" s="14" t="s">
        <v>207</v>
      </c>
      <c r="Y394" s="14">
        <v>1</v>
      </c>
      <c r="Z394" s="14">
        <v>1</v>
      </c>
      <c r="AA394" s="14">
        <v>1</v>
      </c>
      <c r="AB394" s="15">
        <f>IFERROR(AVERAGE(Tabel1[[#This Row],[Up - R1a]:[Up - R1c]]),"")</f>
        <v>1</v>
      </c>
      <c r="AC394" s="14">
        <v>3</v>
      </c>
      <c r="AD394" s="14">
        <v>4</v>
      </c>
      <c r="AE394" s="14">
        <v>2</v>
      </c>
      <c r="AF394" s="14">
        <v>3</v>
      </c>
      <c r="AG394" s="14">
        <f>IFERROR(AVERAGE(Tabel1[[#This Row],[Up - R1]:[Up - R5]]),"")</f>
        <v>2.6</v>
      </c>
      <c r="AH394" s="14">
        <v>2</v>
      </c>
      <c r="AI394" s="14">
        <v>3</v>
      </c>
      <c r="AJ394" s="14">
        <v>4</v>
      </c>
      <c r="AK394" s="14">
        <f>IFERROR(AVERAGE(Tabel1[[#This Row],[Up - C1a]:[Up - C1c]]),"")</f>
        <v>3</v>
      </c>
      <c r="AL394" s="14">
        <v>5</v>
      </c>
      <c r="AM394" s="14">
        <v>4</v>
      </c>
      <c r="AN394" s="14">
        <v>3</v>
      </c>
      <c r="AO394" s="14">
        <f>IFERROR(AVERAGE(Tabel1[[#This Row],[Up - C1]:[Up - C4]]),"")</f>
        <v>3.75</v>
      </c>
      <c r="AP394" s="14">
        <v>5</v>
      </c>
      <c r="AQ394" s="14">
        <f>IFERROR(AVERAGE(Tabel1[[#This Row],[Up - F1a]:[Up - F1a]]),"")</f>
        <v>5</v>
      </c>
      <c r="AR394" s="14">
        <v>1</v>
      </c>
      <c r="AS394" s="14">
        <v>2</v>
      </c>
      <c r="AT394" s="14">
        <f>IFERROR(AVERAGE(Tabel1[[#This Row],[Up - F2a]:[Up - F2b]]),"")</f>
        <v>1.5</v>
      </c>
      <c r="AU394" s="14">
        <v>1</v>
      </c>
      <c r="AV394" s="14">
        <v>1</v>
      </c>
      <c r="AW394" s="14">
        <f>IFERROR(AVERAGE(Tabel1[[#This Row],[Up - F3a]:[Up - F3b]]),"")</f>
        <v>1</v>
      </c>
      <c r="AX394" s="14">
        <v>2</v>
      </c>
      <c r="AY394" s="14">
        <f>IFERROR(AVERAGE(Tabel1[[#This Row],[Up - F1]],Tabel1[[#This Row],[Up - F2]],Tabel1[[#This Row],[Up - F3]],Tabel1[[#This Row],[Up - F4]]),"")</f>
        <v>2.375</v>
      </c>
      <c r="AZ394" s="14">
        <v>3</v>
      </c>
      <c r="BA394" s="14">
        <v>3</v>
      </c>
      <c r="BB394" s="14">
        <f>IFERROR(AVERAGE(Tabel1[[#This Row],[Up - V1a]:[Up - V1b]]),"")</f>
        <v>3</v>
      </c>
      <c r="BC394" s="14">
        <v>5</v>
      </c>
      <c r="BD394" s="14">
        <v>5</v>
      </c>
      <c r="BE394" s="14">
        <v>3</v>
      </c>
      <c r="BF394" s="14">
        <f>IFERROR(AVERAGE(Tabel1[[#This Row],[Up - V2a]:[Up - V2c]]),"")</f>
        <v>4.333333333333333</v>
      </c>
      <c r="BG394" s="14">
        <v>3</v>
      </c>
      <c r="BH394" s="14">
        <v>3</v>
      </c>
      <c r="BI394" s="14">
        <f>IFERROR(AVERAGE(Tabel1[[#This Row],[Up - V3a]:[Up - V3b]]),"")</f>
        <v>3</v>
      </c>
      <c r="BJ394" s="14">
        <v>2</v>
      </c>
      <c r="BK394" s="14">
        <f>IFERROR(AVERAGE(Tabel1[[#This Row],[Up - V1]],Tabel1[[#This Row],[Up - V2]],Tabel1[[#This Row],[Up - V3]],Tabel1[[#This Row],[Up - V4]]),"")</f>
        <v>3.083333333333333</v>
      </c>
      <c r="BL394" s="14">
        <v>4</v>
      </c>
      <c r="BM394" s="14">
        <v>5</v>
      </c>
      <c r="BN394" s="14">
        <v>1</v>
      </c>
      <c r="BO394" s="14">
        <v>4</v>
      </c>
      <c r="BP394" s="14">
        <f>IFERROR(AVERAGE(Tabel1[[#This Row],[Up - A1a]:[Up - A1d]]),"")</f>
        <v>3.5</v>
      </c>
      <c r="BQ394" s="14">
        <v>3</v>
      </c>
      <c r="BR394" s="14" t="s">
        <v>189</v>
      </c>
      <c r="BS394" s="14">
        <f>IFERROR(AVERAGE(Tabel1[[#This Row],[Up - A2a]:[Up - A2b]]),"")</f>
        <v>3</v>
      </c>
      <c r="BT394" s="14">
        <v>3</v>
      </c>
      <c r="BU394" s="14">
        <f>IFERROR(AVERAGE(Tabel1[[#This Row],[Up - A3a]:[Up - A3a]]),"")</f>
        <v>3</v>
      </c>
      <c r="BV394" s="14">
        <v>2</v>
      </c>
      <c r="BW394" s="14">
        <f>IFERROR(AVERAGE(Tabel1[[#This Row],[Up - A1]],Tabel1[[#This Row],[Up - A2]],Tabel1[[#This Row],[Up - A3]]),"")</f>
        <v>3.1666666666666665</v>
      </c>
      <c r="BX394" s="14">
        <v>3</v>
      </c>
      <c r="BY394" s="14">
        <v>3</v>
      </c>
      <c r="BZ394" s="14">
        <f>IFERROR(AVERAGE(Tabel1[[#This Row],[In - R1a]:[In - R1b]]),"")</f>
        <v>3</v>
      </c>
      <c r="CA394" s="14">
        <v>3</v>
      </c>
      <c r="CB394" s="14">
        <v>1</v>
      </c>
      <c r="CC394" s="14">
        <v>2</v>
      </c>
      <c r="CD394" s="14">
        <v>5</v>
      </c>
      <c r="CE394" s="14">
        <f>IFERROR(AVERAGE(Tabel1[[#This Row],[In - R1]:[In - R5]]),"")</f>
        <v>2.8</v>
      </c>
      <c r="CF394" s="14" t="s">
        <v>189</v>
      </c>
      <c r="CG394" s="14" t="s">
        <v>189</v>
      </c>
      <c r="CH394" s="14" t="s">
        <v>189</v>
      </c>
      <c r="CI394" s="14" t="str">
        <f>IFERROR(AVERAGE(Tabel1[[#This Row],[In - C1a]:[In - C1c]]),"")</f>
        <v/>
      </c>
      <c r="CJ394" s="14" t="s">
        <v>189</v>
      </c>
      <c r="CK394" s="14">
        <v>3</v>
      </c>
      <c r="CL394" s="14" t="s">
        <v>189</v>
      </c>
      <c r="CM394" s="14">
        <f>IFERROR(AVERAGE(Tabel1[[#This Row],[In - C1]:[In - C4]]),"")</f>
        <v>3</v>
      </c>
      <c r="CN394" s="14">
        <v>3</v>
      </c>
      <c r="CO394" s="14" t="s">
        <v>189</v>
      </c>
      <c r="CP394" s="14">
        <v>2</v>
      </c>
      <c r="CQ394" s="14">
        <f>IFERROR(AVERAGE(Tabel1[[#This Row],[In - F1a]:[In - F1c]]),"")</f>
        <v>2.5</v>
      </c>
      <c r="CR394" s="14">
        <v>2</v>
      </c>
      <c r="CS394" s="14">
        <v>1</v>
      </c>
      <c r="CT394" s="14">
        <f>IFERROR(AVERAGE(Tabel1[[#This Row],[In - F2a]:[In - F2b]]),"")</f>
        <v>1.5</v>
      </c>
      <c r="CU394" s="14">
        <v>1</v>
      </c>
      <c r="CV394" s="14">
        <f>IFERROR(AVERAGE(Tabel1[[#This Row],[In - F3a]:[In - F3a]]),"")</f>
        <v>1</v>
      </c>
      <c r="CW394" s="14">
        <v>3</v>
      </c>
      <c r="CX394" s="14">
        <f>IFERROR(AVERAGE(Tabel1[[#This Row],[In - F1]],Tabel1[[#This Row],[In - F2]],Tabel1[[#This Row],[In - F3]],Tabel1[[#This Row],[In - F4]]),"")</f>
        <v>2</v>
      </c>
      <c r="CY394" s="14">
        <v>5</v>
      </c>
      <c r="CZ394" s="14">
        <v>2</v>
      </c>
      <c r="DA394" s="14" t="s">
        <v>189</v>
      </c>
      <c r="DB394" s="14">
        <f>IFERROR(AVERAGE(Tabel1[[#This Row],[In - V1a]:[In - V1c]]),"")</f>
        <v>3.5</v>
      </c>
      <c r="DC394" s="14">
        <v>4</v>
      </c>
      <c r="DD394" s="14">
        <v>5</v>
      </c>
      <c r="DE394" s="14">
        <v>5</v>
      </c>
      <c r="DF394" s="14">
        <f>IFERROR(AVERAGE(Tabel1[[#This Row],[In - V2a]:[In - V2c]]),"")</f>
        <v>4.666666666666667</v>
      </c>
      <c r="DG394" s="14" t="s">
        <v>189</v>
      </c>
      <c r="DH394" s="14">
        <v>5</v>
      </c>
      <c r="DI394" s="14">
        <f>IFERROR(AVERAGE(Tabel1[[#This Row],[In - V3a]:[In - V3b]]),"")</f>
        <v>5</v>
      </c>
      <c r="DJ394" s="14">
        <v>4</v>
      </c>
      <c r="DK394" s="14">
        <f>IFERROR(AVERAGE(Tabel1[[#This Row],[In - V1]],Tabel1[[#This Row],[In - V2]],Tabel1[[#This Row],[In - V3]],Tabel1[[#This Row],[In - V4]]),"")</f>
        <v>4.291666666666667</v>
      </c>
      <c r="DL394" s="14">
        <v>1</v>
      </c>
      <c r="DM394" s="14" t="s">
        <v>189</v>
      </c>
      <c r="DN394" s="14">
        <f>IFERROR(AVERAGE(Tabel1[[#This Row],[In - A1a]:[In - A1b]]),"")</f>
        <v>1</v>
      </c>
      <c r="DO394" s="14">
        <v>3</v>
      </c>
      <c r="DP394" s="14" t="s">
        <v>189</v>
      </c>
      <c r="DQ394" s="14">
        <f>IFERROR(AVERAGE(Tabel1[[#This Row],[In - A2a]:[In - A2b]]),"")</f>
        <v>3</v>
      </c>
      <c r="DR394" s="14">
        <v>3</v>
      </c>
      <c r="DS394" s="14">
        <v>1</v>
      </c>
      <c r="DT394" s="14">
        <f>IFERROR(AVERAGE(Tabel1[[#This Row],[In - A3a]:[In - A3a]]),"")</f>
        <v>3</v>
      </c>
      <c r="DU394" s="14">
        <v>1</v>
      </c>
      <c r="DV394" s="14">
        <f>IFERROR(AVERAGE(Tabel1[[#This Row],[In - A1]],Tabel1[[#This Row],[In - A2]],Tabel1[[#This Row],[In - A3]],Tabel1[[#This Row],[In - A4]]),"")</f>
        <v>2</v>
      </c>
      <c r="DW394" s="14">
        <v>2</v>
      </c>
      <c r="DX394" s="14">
        <v>3</v>
      </c>
      <c r="DY394" s="14">
        <v>1</v>
      </c>
      <c r="DZ394" s="14">
        <f>IFERROR(AVERAGE(Tabel1[[#This Row],[Do - R1a]:[Do - R1c]]),"")</f>
        <v>2</v>
      </c>
      <c r="EA394" s="14">
        <v>4</v>
      </c>
      <c r="EB394" s="14">
        <v>2</v>
      </c>
      <c r="EC394" s="14">
        <v>2</v>
      </c>
      <c r="ED394" s="14">
        <v>4</v>
      </c>
      <c r="EE394" s="14">
        <f>IFERROR(AVERAGE(Tabel1[[#This Row],[Do - R1]:[Do - R5]]),"")</f>
        <v>2.8</v>
      </c>
      <c r="EF394" s="14">
        <v>3</v>
      </c>
      <c r="EG394" s="14">
        <v>5</v>
      </c>
      <c r="EH394" s="14">
        <v>5</v>
      </c>
      <c r="EI394" s="14">
        <f>IFERROR(AVERAGE(Tabel1[[#This Row],[Do - C1a]:[Do - C1c]]),"")</f>
        <v>4.333333333333333</v>
      </c>
      <c r="EJ394" s="14">
        <v>5</v>
      </c>
      <c r="EK394" s="14">
        <v>5</v>
      </c>
      <c r="EL394" s="14">
        <v>3</v>
      </c>
      <c r="EM394" s="14">
        <f>IFERROR(AVERAGE(Tabel1[[#This Row],[Do - C1]:[Do - C4]]),"")</f>
        <v>4.333333333333333</v>
      </c>
      <c r="EN394" s="14">
        <v>5</v>
      </c>
      <c r="EO394" s="14">
        <v>1</v>
      </c>
      <c r="EP394" s="14">
        <v>1</v>
      </c>
      <c r="EQ394" s="14">
        <f>IFERROR(AVERAGE(Tabel1[[#This Row],[Do - F1a]:[Do - F1c]]),"")</f>
        <v>2.3333333333333335</v>
      </c>
      <c r="ER394" s="14">
        <v>1</v>
      </c>
      <c r="ES394" s="14">
        <f>IFERROR(AVERAGE(Tabel1[[#This Row],[Do - F2a]:[Do - F2a]]),"")</f>
        <v>1</v>
      </c>
      <c r="ET394" s="14">
        <v>2</v>
      </c>
      <c r="EU394" s="14">
        <v>1</v>
      </c>
      <c r="EV394" s="14">
        <f>IFERROR(AVERAGE(Tabel1[[#This Row],[Do - F3a]:[Do - F3b]]),"")</f>
        <v>1.5</v>
      </c>
      <c r="EW394" s="14">
        <v>2</v>
      </c>
      <c r="EX394" s="14">
        <f>IFERROR(AVERAGE(Tabel1[[#This Row],[Do - F1]],Tabel1[[#This Row],[Do - F2]],Tabel1[[#This Row],[Do - F3]],Tabel1[[#This Row],[Do - F4]]),"")</f>
        <v>1.7083333333333335</v>
      </c>
      <c r="EY394" s="14">
        <v>3</v>
      </c>
      <c r="EZ394" s="14">
        <v>1</v>
      </c>
      <c r="FA394" s="14">
        <v>3</v>
      </c>
      <c r="FB394" s="14">
        <f>IFERROR(AVERAGE(Tabel1[[#This Row],[Do - V1a]:[Do - V1c]]),"")</f>
        <v>2.3333333333333335</v>
      </c>
      <c r="FC394" s="14" t="s">
        <v>189</v>
      </c>
      <c r="FD394" s="14">
        <v>5</v>
      </c>
      <c r="FE394" s="14">
        <f>IFERROR(AVERAGE(Tabel1[[#This Row],[Do - V2a]:[Do - V2b]]),"")</f>
        <v>5</v>
      </c>
      <c r="FF394" s="14">
        <v>3</v>
      </c>
      <c r="FG394" s="14">
        <f>IFERROR(AVERAGE(Tabel1[[#This Row],[Do - V3a]:[Do - V3a]]),"")</f>
        <v>3</v>
      </c>
      <c r="FH394" s="14">
        <v>5</v>
      </c>
      <c r="FI394" s="14">
        <f>IFERROR(AVERAGE(Tabel1[[#This Row],[Do - V1]],Tabel1[[#This Row],[Do - V2]],Tabel1[[#This Row],[Do - V3]],Tabel1[[#This Row],[Do - V4]]),"")</f>
        <v>3.8333333333333335</v>
      </c>
      <c r="FJ394" s="14">
        <v>2</v>
      </c>
      <c r="FK394" s="14" t="s">
        <v>189</v>
      </c>
      <c r="FL394" s="14">
        <v>1</v>
      </c>
      <c r="FM394" s="14">
        <f>IFERROR(AVERAGE(Tabel1[[#This Row],[Do - A1a]:[Do - A1c]]),"")</f>
        <v>1.5</v>
      </c>
      <c r="FN394" s="14">
        <v>1</v>
      </c>
      <c r="FO394" s="14" t="s">
        <v>189</v>
      </c>
      <c r="FP394" s="14">
        <f>IFERROR(AVERAGE(Tabel1[[#This Row],[Do - A2a]:[Do - A2b]]),"")</f>
        <v>1</v>
      </c>
      <c r="FQ394" s="14">
        <v>3</v>
      </c>
      <c r="FR394" s="14">
        <f>IFERROR(AVERAGE(Tabel1[[#This Row],[Do - A3a]:[Do - A3a]]),"")</f>
        <v>3</v>
      </c>
      <c r="FS394" s="14">
        <v>3</v>
      </c>
      <c r="FT394" s="14">
        <f>IFERROR(AVERAGE(Tabel1[[#This Row],[Do - A1]],Tabel1[[#This Row],[Do - A2]],Tabel1[[#This Row],[Do - A3]],Tabel1[[#This Row],[Do - A4]]),"")</f>
        <v>2.125</v>
      </c>
      <c r="FU394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2.9244444444444451</v>
      </c>
      <c r="FV394" s="27" t="s">
        <v>1984</v>
      </c>
      <c r="FW394" t="b">
        <v>1</v>
      </c>
    </row>
    <row r="395" spans="1:179" x14ac:dyDescent="0.3">
      <c r="A395" s="13">
        <v>45624.359606481499</v>
      </c>
      <c r="B395" t="b">
        <v>0</v>
      </c>
      <c r="C395" s="14" t="s">
        <v>1985</v>
      </c>
      <c r="D395" s="14" t="s">
        <v>1986</v>
      </c>
      <c r="E395" s="14" t="s">
        <v>1979</v>
      </c>
      <c r="F395" s="14" t="s">
        <v>184</v>
      </c>
      <c r="G395" s="14" t="s">
        <v>1987</v>
      </c>
      <c r="H395" s="14" t="s">
        <v>222</v>
      </c>
      <c r="I395" s="14" t="s">
        <v>195</v>
      </c>
      <c r="J395" s="14" t="s">
        <v>347</v>
      </c>
      <c r="K395" s="28" t="s">
        <v>235</v>
      </c>
      <c r="L395" s="14" t="s">
        <v>385</v>
      </c>
      <c r="M395" s="14" t="s">
        <v>188</v>
      </c>
      <c r="N395" s="14" t="s">
        <v>262</v>
      </c>
      <c r="O395" s="14" t="s">
        <v>200</v>
      </c>
      <c r="P395" s="24" t="s">
        <v>255</v>
      </c>
      <c r="Q395" s="17" t="s">
        <v>203</v>
      </c>
      <c r="R395" s="24" t="s">
        <v>304</v>
      </c>
      <c r="S395" s="24" t="s">
        <v>304</v>
      </c>
      <c r="T395" s="14" t="s">
        <v>348</v>
      </c>
      <c r="U395" s="14" t="s">
        <v>237</v>
      </c>
      <c r="V395" s="14" t="s">
        <v>359</v>
      </c>
      <c r="W395" s="14" t="s">
        <v>207</v>
      </c>
      <c r="X395" s="14" t="s">
        <v>207</v>
      </c>
      <c r="Y395" s="14">
        <v>2</v>
      </c>
      <c r="Z395" s="14">
        <v>2</v>
      </c>
      <c r="AA395" s="14">
        <v>2</v>
      </c>
      <c r="AB395" s="15">
        <f>IFERROR(AVERAGE(Tabel1[[#This Row],[Up - R1a]:[Up - R1c]]),"")</f>
        <v>2</v>
      </c>
      <c r="AC395" s="14">
        <v>2</v>
      </c>
      <c r="AD395" s="14">
        <v>5</v>
      </c>
      <c r="AE395" s="14">
        <v>3</v>
      </c>
      <c r="AF395" s="14">
        <v>4</v>
      </c>
      <c r="AG395" s="14">
        <f>IFERROR(AVERAGE(Tabel1[[#This Row],[Up - R1]:[Up - R5]]),"")</f>
        <v>3.2</v>
      </c>
      <c r="AH395" s="14">
        <v>4</v>
      </c>
      <c r="AI395" s="14">
        <v>5</v>
      </c>
      <c r="AJ395" s="14">
        <v>3</v>
      </c>
      <c r="AK395" s="14">
        <f>IFERROR(AVERAGE(Tabel1[[#This Row],[Up - C1a]:[Up - C1c]]),"")</f>
        <v>4</v>
      </c>
      <c r="AL395" s="14">
        <v>3</v>
      </c>
      <c r="AM395" s="14">
        <v>3</v>
      </c>
      <c r="AN395" s="14">
        <v>2</v>
      </c>
      <c r="AO395" s="14">
        <f>IFERROR(AVERAGE(Tabel1[[#This Row],[Up - C1]:[Up - C4]]),"")</f>
        <v>3</v>
      </c>
      <c r="AP395" s="14">
        <v>1</v>
      </c>
      <c r="AQ395" s="14">
        <f>IFERROR(AVERAGE(Tabel1[[#This Row],[Up - F1a]:[Up - F1a]]),"")</f>
        <v>1</v>
      </c>
      <c r="AR395" s="14">
        <v>1</v>
      </c>
      <c r="AS395" s="14">
        <v>1</v>
      </c>
      <c r="AT395" s="14">
        <f>IFERROR(AVERAGE(Tabel1[[#This Row],[Up - F2a]:[Up - F2b]]),"")</f>
        <v>1</v>
      </c>
      <c r="AU395" s="14">
        <v>4</v>
      </c>
      <c r="AV395" s="14">
        <v>1</v>
      </c>
      <c r="AW395" s="14">
        <f>IFERROR(AVERAGE(Tabel1[[#This Row],[Up - F3a]:[Up - F3b]]),"")</f>
        <v>2.5</v>
      </c>
      <c r="AX395" s="14">
        <v>1</v>
      </c>
      <c r="AY395" s="14">
        <f>IFERROR(AVERAGE(Tabel1[[#This Row],[Up - F1]],Tabel1[[#This Row],[Up - F2]],Tabel1[[#This Row],[Up - F3]],Tabel1[[#This Row],[Up - F4]]),"")</f>
        <v>1.375</v>
      </c>
      <c r="AZ395" s="14">
        <v>1</v>
      </c>
      <c r="BA395" s="14">
        <v>4</v>
      </c>
      <c r="BB395" s="14">
        <f>IFERROR(AVERAGE(Tabel1[[#This Row],[Up - V1a]:[Up - V1b]]),"")</f>
        <v>2.5</v>
      </c>
      <c r="BC395" s="14">
        <v>2</v>
      </c>
      <c r="BD395" s="14">
        <v>4</v>
      </c>
      <c r="BE395" s="14">
        <v>4</v>
      </c>
      <c r="BF395" s="14">
        <f>IFERROR(AVERAGE(Tabel1[[#This Row],[Up - V2a]:[Up - V2c]]),"")</f>
        <v>3.3333333333333335</v>
      </c>
      <c r="BG395" s="14">
        <v>4</v>
      </c>
      <c r="BH395" s="14">
        <v>1</v>
      </c>
      <c r="BI395" s="14">
        <f>IFERROR(AVERAGE(Tabel1[[#This Row],[Up - V3a]:[Up - V3b]]),"")</f>
        <v>2.5</v>
      </c>
      <c r="BJ395" s="14">
        <v>3</v>
      </c>
      <c r="BK395" s="14">
        <f>IFERROR(AVERAGE(Tabel1[[#This Row],[Up - V1]],Tabel1[[#This Row],[Up - V2]],Tabel1[[#This Row],[Up - V3]],Tabel1[[#This Row],[Up - V4]]),"")</f>
        <v>2.8333333333333335</v>
      </c>
      <c r="BL395" s="14">
        <v>2</v>
      </c>
      <c r="BM395" s="14">
        <v>2</v>
      </c>
      <c r="BN395" s="14">
        <v>2</v>
      </c>
      <c r="BO395" s="14">
        <v>2</v>
      </c>
      <c r="BP395" s="14">
        <f>IFERROR(AVERAGE(Tabel1[[#This Row],[Up - A1a]:[Up - A1d]]),"")</f>
        <v>2</v>
      </c>
      <c r="BQ395" s="14">
        <v>4</v>
      </c>
      <c r="BR395" s="14">
        <v>4</v>
      </c>
      <c r="BS395" s="14">
        <f>IFERROR(AVERAGE(Tabel1[[#This Row],[Up - A2a]:[Up - A2b]]),"")</f>
        <v>4</v>
      </c>
      <c r="BT395" s="14">
        <v>5</v>
      </c>
      <c r="BU395" s="14">
        <f>IFERROR(AVERAGE(Tabel1[[#This Row],[Up - A3a]:[Up - A3a]]),"")</f>
        <v>5</v>
      </c>
      <c r="BV395" s="14">
        <v>1</v>
      </c>
      <c r="BW395" s="14">
        <f>IFERROR(AVERAGE(Tabel1[[#This Row],[Up - A1]],Tabel1[[#This Row],[Up - A2]],Tabel1[[#This Row],[Up - A3]]),"")</f>
        <v>3.6666666666666665</v>
      </c>
      <c r="BX395" s="14">
        <v>2</v>
      </c>
      <c r="BY395" s="14">
        <v>1</v>
      </c>
      <c r="BZ395" s="14">
        <f>IFERROR(AVERAGE(Tabel1[[#This Row],[In - R1a]:[In - R1b]]),"")</f>
        <v>1.5</v>
      </c>
      <c r="CA395" s="14">
        <v>4</v>
      </c>
      <c r="CB395" s="14">
        <v>2</v>
      </c>
      <c r="CC395" s="14">
        <v>3</v>
      </c>
      <c r="CD395" s="14">
        <v>4</v>
      </c>
      <c r="CE395" s="14">
        <f>IFERROR(AVERAGE(Tabel1[[#This Row],[In - R1]:[In - R5]]),"")</f>
        <v>2.9</v>
      </c>
      <c r="CF395" s="14">
        <v>3</v>
      </c>
      <c r="CG395" s="14">
        <v>4</v>
      </c>
      <c r="CH395" s="14">
        <v>4</v>
      </c>
      <c r="CI395" s="14">
        <f>IFERROR(AVERAGE(Tabel1[[#This Row],[In - C1a]:[In - C1c]]),"")</f>
        <v>3.6666666666666665</v>
      </c>
      <c r="CJ395" s="14">
        <v>2</v>
      </c>
      <c r="CK395" s="14">
        <v>3</v>
      </c>
      <c r="CL395" s="14">
        <v>3</v>
      </c>
      <c r="CM395" s="14">
        <f>IFERROR(AVERAGE(Tabel1[[#This Row],[In - C1]:[In - C4]]),"")</f>
        <v>2.9166666666666665</v>
      </c>
      <c r="CN395" s="14">
        <v>4</v>
      </c>
      <c r="CO395" s="14">
        <v>2</v>
      </c>
      <c r="CP395" s="14">
        <v>2</v>
      </c>
      <c r="CQ395" s="14">
        <f>IFERROR(AVERAGE(Tabel1[[#This Row],[In - F1a]:[In - F1c]]),"")</f>
        <v>2.6666666666666665</v>
      </c>
      <c r="CR395" s="14">
        <v>1</v>
      </c>
      <c r="CS395" s="14">
        <v>3</v>
      </c>
      <c r="CT395" s="14">
        <f>IFERROR(AVERAGE(Tabel1[[#This Row],[In - F2a]:[In - F2b]]),"")</f>
        <v>2</v>
      </c>
      <c r="CU395" s="14">
        <v>2</v>
      </c>
      <c r="CV395" s="14">
        <f>IFERROR(AVERAGE(Tabel1[[#This Row],[In - F3a]:[In - F3a]]),"")</f>
        <v>2</v>
      </c>
      <c r="CW395" s="14" t="s">
        <v>189</v>
      </c>
      <c r="CX395" s="14">
        <f>IFERROR(AVERAGE(Tabel1[[#This Row],[In - F1]],Tabel1[[#This Row],[In - F2]],Tabel1[[#This Row],[In - F3]],Tabel1[[#This Row],[In - F4]]),"")</f>
        <v>2.2222222222222219</v>
      </c>
      <c r="CY395" s="14">
        <v>4</v>
      </c>
      <c r="CZ395" s="14">
        <v>4</v>
      </c>
      <c r="DA395" s="14">
        <v>4</v>
      </c>
      <c r="DB395" s="14">
        <f>IFERROR(AVERAGE(Tabel1[[#This Row],[In - V1a]:[In - V1c]]),"")</f>
        <v>4</v>
      </c>
      <c r="DC395" s="14">
        <v>2</v>
      </c>
      <c r="DD395" s="14">
        <v>2</v>
      </c>
      <c r="DE395" s="14">
        <v>5</v>
      </c>
      <c r="DF395" s="14">
        <f>IFERROR(AVERAGE(Tabel1[[#This Row],[In - V2a]:[In - V2c]]),"")</f>
        <v>3</v>
      </c>
      <c r="DG395" s="14">
        <v>5</v>
      </c>
      <c r="DH395" s="14">
        <v>5</v>
      </c>
      <c r="DI395" s="14">
        <f>IFERROR(AVERAGE(Tabel1[[#This Row],[In - V3a]:[In - V3b]]),"")</f>
        <v>5</v>
      </c>
      <c r="DJ395" s="14">
        <v>2</v>
      </c>
      <c r="DK395" s="14">
        <f>IFERROR(AVERAGE(Tabel1[[#This Row],[In - V1]],Tabel1[[#This Row],[In - V2]],Tabel1[[#This Row],[In - V3]],Tabel1[[#This Row],[In - V4]]),"")</f>
        <v>3.5</v>
      </c>
      <c r="DL395" s="14">
        <v>2</v>
      </c>
      <c r="DM395" s="14">
        <v>2</v>
      </c>
      <c r="DN395" s="14">
        <f>IFERROR(AVERAGE(Tabel1[[#This Row],[In - A1a]:[In - A1b]]),"")</f>
        <v>2</v>
      </c>
      <c r="DO395" s="14">
        <v>2</v>
      </c>
      <c r="DP395" s="14">
        <v>1</v>
      </c>
      <c r="DQ395" s="14">
        <f>IFERROR(AVERAGE(Tabel1[[#This Row],[In - A2a]:[In - A2b]]),"")</f>
        <v>1.5</v>
      </c>
      <c r="DR395" s="14">
        <v>1</v>
      </c>
      <c r="DS395" s="14">
        <v>1</v>
      </c>
      <c r="DT395" s="14">
        <f>IFERROR(AVERAGE(Tabel1[[#This Row],[In - A3a]:[In - A3a]]),"")</f>
        <v>1</v>
      </c>
      <c r="DU395" s="14" t="s">
        <v>189</v>
      </c>
      <c r="DV395" s="14">
        <f>IFERROR(AVERAGE(Tabel1[[#This Row],[In - A1]],Tabel1[[#This Row],[In - A2]],Tabel1[[#This Row],[In - A3]],Tabel1[[#This Row],[In - A4]]),"")</f>
        <v>1.5</v>
      </c>
      <c r="DW395" s="14">
        <v>1</v>
      </c>
      <c r="DX395" s="14">
        <v>1</v>
      </c>
      <c r="DY395" s="14">
        <v>1</v>
      </c>
      <c r="DZ395" s="14">
        <f>IFERROR(AVERAGE(Tabel1[[#This Row],[Do - R1a]:[Do - R1c]]),"")</f>
        <v>1</v>
      </c>
      <c r="EA395" s="14">
        <v>2</v>
      </c>
      <c r="EB395" s="14">
        <v>4</v>
      </c>
      <c r="EC395" s="14">
        <v>1</v>
      </c>
      <c r="ED395" s="14">
        <v>4</v>
      </c>
      <c r="EE395" s="14">
        <f>IFERROR(AVERAGE(Tabel1[[#This Row],[Do - R1]:[Do - R5]]),"")</f>
        <v>2.4</v>
      </c>
      <c r="EF395" s="14">
        <v>1</v>
      </c>
      <c r="EG395" s="14">
        <v>1</v>
      </c>
      <c r="EH395" s="14">
        <v>3</v>
      </c>
      <c r="EI395" s="14">
        <f>IFERROR(AVERAGE(Tabel1[[#This Row],[Do - C1a]:[Do - C1c]]),"")</f>
        <v>1.6666666666666667</v>
      </c>
      <c r="EJ395" s="14">
        <v>3</v>
      </c>
      <c r="EK395" s="14" t="s">
        <v>189</v>
      </c>
      <c r="EL395" s="14">
        <v>2</v>
      </c>
      <c r="EM395" s="14">
        <f>IFERROR(AVERAGE(Tabel1[[#This Row],[Do - C1]:[Do - C4]]),"")</f>
        <v>2.2222222222222223</v>
      </c>
      <c r="EN395" s="14">
        <v>5</v>
      </c>
      <c r="EO395" s="14">
        <v>1</v>
      </c>
      <c r="EP395" s="14">
        <v>1</v>
      </c>
      <c r="EQ395" s="14">
        <f>IFERROR(AVERAGE(Tabel1[[#This Row],[Do - F1a]:[Do - F1c]]),"")</f>
        <v>2.3333333333333335</v>
      </c>
      <c r="ER395" s="14">
        <v>1</v>
      </c>
      <c r="ES395" s="14">
        <f>IFERROR(AVERAGE(Tabel1[[#This Row],[Do - F2a]:[Do - F2a]]),"")</f>
        <v>1</v>
      </c>
      <c r="ET395" s="14">
        <v>1</v>
      </c>
      <c r="EU395" s="14">
        <v>1</v>
      </c>
      <c r="EV395" s="14">
        <f>IFERROR(AVERAGE(Tabel1[[#This Row],[Do - F3a]:[Do - F3b]]),"")</f>
        <v>1</v>
      </c>
      <c r="EW395" s="14">
        <v>1</v>
      </c>
      <c r="EX395" s="14">
        <f>IFERROR(AVERAGE(Tabel1[[#This Row],[Do - F1]],Tabel1[[#This Row],[Do - F2]],Tabel1[[#This Row],[Do - F3]],Tabel1[[#This Row],[Do - F4]]),"")</f>
        <v>1.3333333333333335</v>
      </c>
      <c r="EY395" s="14">
        <v>5</v>
      </c>
      <c r="EZ395" s="14" t="s">
        <v>189</v>
      </c>
      <c r="FA395" s="14" t="s">
        <v>189</v>
      </c>
      <c r="FB395" s="14">
        <f>IFERROR(AVERAGE(Tabel1[[#This Row],[Do - V1a]:[Do - V1c]]),"")</f>
        <v>5</v>
      </c>
      <c r="FC395" s="14">
        <v>4</v>
      </c>
      <c r="FD395" s="14">
        <v>5</v>
      </c>
      <c r="FE395" s="14">
        <f>IFERROR(AVERAGE(Tabel1[[#This Row],[Do - V2a]:[Do - V2b]]),"")</f>
        <v>4.5</v>
      </c>
      <c r="FF395" s="14">
        <v>1</v>
      </c>
      <c r="FG395" s="14">
        <f>IFERROR(AVERAGE(Tabel1[[#This Row],[Do - V3a]:[Do - V3a]]),"")</f>
        <v>1</v>
      </c>
      <c r="FH395" s="14" t="s">
        <v>189</v>
      </c>
      <c r="FI395" s="14">
        <f>IFERROR(AVERAGE(Tabel1[[#This Row],[Do - V1]],Tabel1[[#This Row],[Do - V2]],Tabel1[[#This Row],[Do - V3]],Tabel1[[#This Row],[Do - V4]]),"")</f>
        <v>3.5</v>
      </c>
      <c r="FJ395" s="14" t="s">
        <v>189</v>
      </c>
      <c r="FK395" s="14">
        <v>1</v>
      </c>
      <c r="FL395" s="14">
        <v>1</v>
      </c>
      <c r="FM395" s="14">
        <f>IFERROR(AVERAGE(Tabel1[[#This Row],[Do - A1a]:[Do - A1c]]),"")</f>
        <v>1</v>
      </c>
      <c r="FN395" s="14" t="s">
        <v>189</v>
      </c>
      <c r="FO395" s="14">
        <v>4</v>
      </c>
      <c r="FP395" s="14">
        <f>IFERROR(AVERAGE(Tabel1[[#This Row],[Do - A2a]:[Do - A2b]]),"")</f>
        <v>4</v>
      </c>
      <c r="FQ395" s="14" t="s">
        <v>189</v>
      </c>
      <c r="FR395" s="14" t="str">
        <f>IFERROR(AVERAGE(Tabel1[[#This Row],[Do - A3a]:[Do - A3a]]),"")</f>
        <v/>
      </c>
      <c r="FS395" s="14" t="s">
        <v>189</v>
      </c>
      <c r="FT395" s="14">
        <f>IFERROR(AVERAGE(Tabel1[[#This Row],[Do - A1]],Tabel1[[#This Row],[Do - A2]],Tabel1[[#This Row],[Do - A3]],Tabel1[[#This Row],[Do - A4]]),"")</f>
        <v>2.5</v>
      </c>
      <c r="FU39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2.6046296296296294</v>
      </c>
      <c r="FV395" s="27" t="s">
        <v>1988</v>
      </c>
      <c r="FW395" t="b">
        <v>1</v>
      </c>
    </row>
    <row r="396" spans="1:179" x14ac:dyDescent="0.3">
      <c r="A396" s="13">
        <v>45624.417222222197</v>
      </c>
      <c r="B396" t="b">
        <v>0</v>
      </c>
      <c r="C396" s="14" t="s">
        <v>1989</v>
      </c>
      <c r="D396" s="14" t="s">
        <v>1990</v>
      </c>
      <c r="E396" s="14" t="s">
        <v>1979</v>
      </c>
      <c r="F396" s="14" t="s">
        <v>184</v>
      </c>
      <c r="G396" s="14" t="s">
        <v>1991</v>
      </c>
      <c r="H396" s="14" t="s">
        <v>222</v>
      </c>
      <c r="I396" s="14" t="s">
        <v>195</v>
      </c>
      <c r="J396" s="14" t="s">
        <v>347</v>
      </c>
      <c r="K396" s="28" t="s">
        <v>235</v>
      </c>
      <c r="L396" s="14" t="s">
        <v>249</v>
      </c>
      <c r="M396" s="14" t="s">
        <v>233</v>
      </c>
      <c r="N396" s="14" t="s">
        <v>262</v>
      </c>
      <c r="O396" s="14" t="s">
        <v>200</v>
      </c>
      <c r="P396" s="24" t="s">
        <v>255</v>
      </c>
      <c r="Q396" s="17" t="s">
        <v>202</v>
      </c>
      <c r="R396" s="24" t="s">
        <v>304</v>
      </c>
      <c r="S396" s="25" t="s">
        <v>201</v>
      </c>
      <c r="T396" s="14" t="s">
        <v>380</v>
      </c>
      <c r="U396" s="14" t="s">
        <v>205</v>
      </c>
      <c r="V396" s="14" t="s">
        <v>359</v>
      </c>
      <c r="W396" s="14" t="s">
        <v>207</v>
      </c>
      <c r="X396" s="14" t="s">
        <v>207</v>
      </c>
      <c r="Y396" s="14">
        <v>2</v>
      </c>
      <c r="Z396" s="14">
        <v>5</v>
      </c>
      <c r="AA396" s="14">
        <v>4</v>
      </c>
      <c r="AB396" s="15">
        <f>IFERROR(AVERAGE(Tabel1[[#This Row],[Up - R1a]:[Up - R1c]]),"")</f>
        <v>3.6666666666666665</v>
      </c>
      <c r="AC396" s="14">
        <v>1</v>
      </c>
      <c r="AD396" s="14">
        <v>1</v>
      </c>
      <c r="AE396" s="14">
        <v>1</v>
      </c>
      <c r="AF396" s="14">
        <v>3</v>
      </c>
      <c r="AG396" s="14">
        <f>IFERROR(AVERAGE(Tabel1[[#This Row],[Up - R1]:[Up - R5]]),"")</f>
        <v>1.9333333333333331</v>
      </c>
      <c r="AH396" s="14">
        <v>3</v>
      </c>
      <c r="AI396" s="14">
        <v>2</v>
      </c>
      <c r="AJ396" s="14">
        <v>2</v>
      </c>
      <c r="AK396" s="14">
        <f>IFERROR(AVERAGE(Tabel1[[#This Row],[Up - C1a]:[Up - C1c]]),"")</f>
        <v>2.3333333333333335</v>
      </c>
      <c r="AL396" s="14">
        <v>1</v>
      </c>
      <c r="AM396" s="14">
        <v>1</v>
      </c>
      <c r="AN396" s="14">
        <v>2</v>
      </c>
      <c r="AO396" s="14">
        <f>IFERROR(AVERAGE(Tabel1[[#This Row],[Up - C1]:[Up - C4]]),"")</f>
        <v>1.5833333333333335</v>
      </c>
      <c r="AP396" s="14">
        <v>4</v>
      </c>
      <c r="AQ396" s="14">
        <f>IFERROR(AVERAGE(Tabel1[[#This Row],[Up - F1a]:[Up - F1a]]),"")</f>
        <v>4</v>
      </c>
      <c r="AR396" s="14">
        <v>1</v>
      </c>
      <c r="AS396" s="14">
        <v>3</v>
      </c>
      <c r="AT396" s="14">
        <f>IFERROR(AVERAGE(Tabel1[[#This Row],[Up - F2a]:[Up - F2b]]),"")</f>
        <v>2</v>
      </c>
      <c r="AU396" s="14">
        <v>3</v>
      </c>
      <c r="AV396" s="14" t="s">
        <v>189</v>
      </c>
      <c r="AW396" s="14">
        <f>IFERROR(AVERAGE(Tabel1[[#This Row],[Up - F3a]:[Up - F3b]]),"")</f>
        <v>3</v>
      </c>
      <c r="AX396" s="14">
        <v>2</v>
      </c>
      <c r="AY396" s="14">
        <f>IFERROR(AVERAGE(Tabel1[[#This Row],[Up - F1]],Tabel1[[#This Row],[Up - F2]],Tabel1[[#This Row],[Up - F3]],Tabel1[[#This Row],[Up - F4]]),"")</f>
        <v>2.75</v>
      </c>
      <c r="AZ396" s="14">
        <v>2</v>
      </c>
      <c r="BA396" s="14">
        <v>3</v>
      </c>
      <c r="BB396" s="14">
        <f>IFERROR(AVERAGE(Tabel1[[#This Row],[Up - V1a]:[Up - V1b]]),"")</f>
        <v>2.5</v>
      </c>
      <c r="BC396" s="14">
        <v>4</v>
      </c>
      <c r="BD396" s="14">
        <v>3</v>
      </c>
      <c r="BE396" s="14">
        <v>2</v>
      </c>
      <c r="BF396" s="14">
        <f>IFERROR(AVERAGE(Tabel1[[#This Row],[Up - V2a]:[Up - V2c]]),"")</f>
        <v>3</v>
      </c>
      <c r="BG396" s="14">
        <v>2</v>
      </c>
      <c r="BH396" s="14">
        <v>2</v>
      </c>
      <c r="BI396" s="14">
        <f>IFERROR(AVERAGE(Tabel1[[#This Row],[Up - V3a]:[Up - V3b]]),"")</f>
        <v>2</v>
      </c>
      <c r="BJ396" s="14">
        <v>4</v>
      </c>
      <c r="BK396" s="14">
        <f>IFERROR(AVERAGE(Tabel1[[#This Row],[Up - V1]],Tabel1[[#This Row],[Up - V2]],Tabel1[[#This Row],[Up - V3]],Tabel1[[#This Row],[Up - V4]]),"")</f>
        <v>2.875</v>
      </c>
      <c r="BL396" s="14">
        <v>2</v>
      </c>
      <c r="BM396" s="14">
        <v>3</v>
      </c>
      <c r="BN396" s="14">
        <v>2</v>
      </c>
      <c r="BO396" s="14">
        <v>4</v>
      </c>
      <c r="BP396" s="14">
        <f>IFERROR(AVERAGE(Tabel1[[#This Row],[Up - A1a]:[Up - A1d]]),"")</f>
        <v>2.75</v>
      </c>
      <c r="BQ396" s="14">
        <v>4</v>
      </c>
      <c r="BR396" s="14">
        <v>5</v>
      </c>
      <c r="BS396" s="14">
        <f>IFERROR(AVERAGE(Tabel1[[#This Row],[Up - A2a]:[Up - A2b]]),"")</f>
        <v>4.5</v>
      </c>
      <c r="BT396" s="14">
        <v>3</v>
      </c>
      <c r="BU396" s="14">
        <f>IFERROR(AVERAGE(Tabel1[[#This Row],[Up - A3a]:[Up - A3a]]),"")</f>
        <v>3</v>
      </c>
      <c r="BV396" s="14">
        <v>2</v>
      </c>
      <c r="BW396" s="14">
        <f>IFERROR(AVERAGE(Tabel1[[#This Row],[Up - A1]],Tabel1[[#This Row],[Up - A2]],Tabel1[[#This Row],[Up - A3]]),"")</f>
        <v>3.4166666666666665</v>
      </c>
      <c r="BX396" s="14">
        <v>4</v>
      </c>
      <c r="BY396" s="14">
        <v>5</v>
      </c>
      <c r="BZ396" s="14">
        <f>IFERROR(AVERAGE(Tabel1[[#This Row],[In - R1a]:[In - R1b]]),"")</f>
        <v>4.5</v>
      </c>
      <c r="CA396" s="14">
        <v>2</v>
      </c>
      <c r="CB396" s="14">
        <v>1</v>
      </c>
      <c r="CC396" s="14">
        <v>1</v>
      </c>
      <c r="CD396" s="14">
        <v>4</v>
      </c>
      <c r="CE396" s="14">
        <f>IFERROR(AVERAGE(Tabel1[[#This Row],[In - R1]:[In - R5]]),"")</f>
        <v>2.5</v>
      </c>
      <c r="CF396" s="14">
        <v>3</v>
      </c>
      <c r="CG396" s="14">
        <v>4</v>
      </c>
      <c r="CH396" s="14">
        <v>2</v>
      </c>
      <c r="CI396" s="14">
        <f>IFERROR(AVERAGE(Tabel1[[#This Row],[In - C1a]:[In - C1c]]),"")</f>
        <v>3</v>
      </c>
      <c r="CJ396" s="14">
        <v>4</v>
      </c>
      <c r="CK396" s="14">
        <v>2</v>
      </c>
      <c r="CL396" s="14">
        <v>3</v>
      </c>
      <c r="CM396" s="14">
        <f>IFERROR(AVERAGE(Tabel1[[#This Row],[In - C1]:[In - C4]]),"")</f>
        <v>3</v>
      </c>
      <c r="CN396" s="14">
        <v>3</v>
      </c>
      <c r="CO396" s="14">
        <v>3</v>
      </c>
      <c r="CP396" s="14">
        <v>2</v>
      </c>
      <c r="CQ396" s="14">
        <f>IFERROR(AVERAGE(Tabel1[[#This Row],[In - F1a]:[In - F1c]]),"")</f>
        <v>2.6666666666666665</v>
      </c>
      <c r="CR396" s="14">
        <v>4</v>
      </c>
      <c r="CS396" s="14">
        <v>1</v>
      </c>
      <c r="CT396" s="14">
        <f>IFERROR(AVERAGE(Tabel1[[#This Row],[In - F2a]:[In - F2b]]),"")</f>
        <v>2.5</v>
      </c>
      <c r="CU396" s="14">
        <v>2</v>
      </c>
      <c r="CV396" s="14">
        <f>IFERROR(AVERAGE(Tabel1[[#This Row],[In - F3a]:[In - F3a]]),"")</f>
        <v>2</v>
      </c>
      <c r="CW396" s="14">
        <v>2</v>
      </c>
      <c r="CX396" s="14">
        <f>IFERROR(AVERAGE(Tabel1[[#This Row],[In - F1]],Tabel1[[#This Row],[In - F2]],Tabel1[[#This Row],[In - F3]],Tabel1[[#This Row],[In - F4]]),"")</f>
        <v>2.2916666666666665</v>
      </c>
      <c r="CY396" s="14">
        <v>4</v>
      </c>
      <c r="CZ396" s="14">
        <v>5</v>
      </c>
      <c r="DA396" s="14">
        <v>2</v>
      </c>
      <c r="DB396" s="14">
        <f>IFERROR(AVERAGE(Tabel1[[#This Row],[In - V1a]:[In - V1c]]),"")</f>
        <v>3.6666666666666665</v>
      </c>
      <c r="DC396" s="14">
        <v>4</v>
      </c>
      <c r="DD396" s="14">
        <v>3</v>
      </c>
      <c r="DE396" s="14">
        <v>3</v>
      </c>
      <c r="DF396" s="14">
        <f>IFERROR(AVERAGE(Tabel1[[#This Row],[In - V2a]:[In - V2c]]),"")</f>
        <v>3.3333333333333335</v>
      </c>
      <c r="DG396" s="14">
        <v>4</v>
      </c>
      <c r="DH396" s="14">
        <v>4</v>
      </c>
      <c r="DI396" s="14">
        <f>IFERROR(AVERAGE(Tabel1[[#This Row],[In - V3a]:[In - V3b]]),"")</f>
        <v>4</v>
      </c>
      <c r="DJ396" s="14">
        <v>4</v>
      </c>
      <c r="DK396" s="14">
        <f>IFERROR(AVERAGE(Tabel1[[#This Row],[In - V1]],Tabel1[[#This Row],[In - V2]],Tabel1[[#This Row],[In - V3]],Tabel1[[#This Row],[In - V4]]),"")</f>
        <v>3.75</v>
      </c>
      <c r="DL396" s="14">
        <v>1</v>
      </c>
      <c r="DM396" s="14">
        <v>4</v>
      </c>
      <c r="DN396" s="14">
        <f>IFERROR(AVERAGE(Tabel1[[#This Row],[In - A1a]:[In - A1b]]),"")</f>
        <v>2.5</v>
      </c>
      <c r="DO396" s="14">
        <v>3</v>
      </c>
      <c r="DP396" s="14">
        <v>3</v>
      </c>
      <c r="DQ396" s="14">
        <f>IFERROR(AVERAGE(Tabel1[[#This Row],[In - A2a]:[In - A2b]]),"")</f>
        <v>3</v>
      </c>
      <c r="DR396" s="14">
        <v>4</v>
      </c>
      <c r="DS396" s="14">
        <v>4</v>
      </c>
      <c r="DT396" s="14">
        <f>IFERROR(AVERAGE(Tabel1[[#This Row],[In - A3a]:[In - A3a]]),"")</f>
        <v>4</v>
      </c>
      <c r="DU396" s="14">
        <v>1</v>
      </c>
      <c r="DV396" s="14">
        <f>IFERROR(AVERAGE(Tabel1[[#This Row],[In - A1]],Tabel1[[#This Row],[In - A2]],Tabel1[[#This Row],[In - A3]],Tabel1[[#This Row],[In - A4]]),"")</f>
        <v>2.625</v>
      </c>
      <c r="DW396" s="14">
        <v>1</v>
      </c>
      <c r="DX396" s="14">
        <v>4</v>
      </c>
      <c r="DY396" s="14">
        <v>1</v>
      </c>
      <c r="DZ396" s="14">
        <f>IFERROR(AVERAGE(Tabel1[[#This Row],[Do - R1a]:[Do - R1c]]),"")</f>
        <v>2</v>
      </c>
      <c r="EA396" s="14">
        <v>1</v>
      </c>
      <c r="EB396" s="14">
        <v>4</v>
      </c>
      <c r="EC396" s="14">
        <v>2</v>
      </c>
      <c r="ED396" s="14">
        <v>5</v>
      </c>
      <c r="EE396" s="14">
        <f>IFERROR(AVERAGE(Tabel1[[#This Row],[Do - R1]:[Do - R5]]),"")</f>
        <v>2.8</v>
      </c>
      <c r="EF396" s="14">
        <v>3</v>
      </c>
      <c r="EG396" s="14">
        <v>3</v>
      </c>
      <c r="EH396" s="14">
        <v>2</v>
      </c>
      <c r="EI396" s="14">
        <f>IFERROR(AVERAGE(Tabel1[[#This Row],[Do - C1a]:[Do - C1c]]),"")</f>
        <v>2.6666666666666665</v>
      </c>
      <c r="EJ396" s="14">
        <v>3</v>
      </c>
      <c r="EK396" s="14" t="s">
        <v>189</v>
      </c>
      <c r="EL396" s="14">
        <v>2</v>
      </c>
      <c r="EM396" s="14">
        <f>IFERROR(AVERAGE(Tabel1[[#This Row],[Do - C1]:[Do - C4]]),"")</f>
        <v>2.5555555555555554</v>
      </c>
      <c r="EN396" s="14">
        <v>3</v>
      </c>
      <c r="EO396" s="14">
        <v>2</v>
      </c>
      <c r="EP396" s="14">
        <v>3</v>
      </c>
      <c r="EQ396" s="14">
        <f>IFERROR(AVERAGE(Tabel1[[#This Row],[Do - F1a]:[Do - F1c]]),"")</f>
        <v>2.6666666666666665</v>
      </c>
      <c r="ER396" s="14">
        <v>3</v>
      </c>
      <c r="ES396" s="14">
        <f>IFERROR(AVERAGE(Tabel1[[#This Row],[Do - F2a]:[Do - F2a]]),"")</f>
        <v>3</v>
      </c>
      <c r="ET396" s="14">
        <v>3</v>
      </c>
      <c r="EU396" s="14">
        <v>3</v>
      </c>
      <c r="EV396" s="14">
        <f>IFERROR(AVERAGE(Tabel1[[#This Row],[Do - F3a]:[Do - F3b]]),"")</f>
        <v>3</v>
      </c>
      <c r="EW396" s="14">
        <v>2</v>
      </c>
      <c r="EX396" s="14">
        <f>IFERROR(AVERAGE(Tabel1[[#This Row],[Do - F1]],Tabel1[[#This Row],[Do - F2]],Tabel1[[#This Row],[Do - F3]],Tabel1[[#This Row],[Do - F4]]),"")</f>
        <v>2.6666666666666665</v>
      </c>
      <c r="EY396" s="14">
        <v>4</v>
      </c>
      <c r="EZ396" s="14">
        <v>4</v>
      </c>
      <c r="FA396" s="14">
        <v>3</v>
      </c>
      <c r="FB396" s="14">
        <f>IFERROR(AVERAGE(Tabel1[[#This Row],[Do - V1a]:[Do - V1c]]),"")</f>
        <v>3.6666666666666665</v>
      </c>
      <c r="FC396" s="14">
        <v>5</v>
      </c>
      <c r="FD396" s="14">
        <v>5</v>
      </c>
      <c r="FE396" s="14">
        <f>IFERROR(AVERAGE(Tabel1[[#This Row],[Do - V2a]:[Do - V2b]]),"")</f>
        <v>5</v>
      </c>
      <c r="FF396" s="14">
        <v>2</v>
      </c>
      <c r="FG396" s="14">
        <f>IFERROR(AVERAGE(Tabel1[[#This Row],[Do - V3a]:[Do - V3a]]),"")</f>
        <v>2</v>
      </c>
      <c r="FH396" s="14">
        <v>4</v>
      </c>
      <c r="FI396" s="14">
        <f>IFERROR(AVERAGE(Tabel1[[#This Row],[Do - V1]],Tabel1[[#This Row],[Do - V2]],Tabel1[[#This Row],[Do - V3]],Tabel1[[#This Row],[Do - V4]]),"")</f>
        <v>3.6666666666666665</v>
      </c>
      <c r="FJ396" s="14">
        <v>2</v>
      </c>
      <c r="FK396" s="14">
        <v>1</v>
      </c>
      <c r="FL396" s="14">
        <v>1</v>
      </c>
      <c r="FM396" s="14">
        <f>IFERROR(AVERAGE(Tabel1[[#This Row],[Do - A1a]:[Do - A1c]]),"")</f>
        <v>1.3333333333333333</v>
      </c>
      <c r="FN396" s="14" t="s">
        <v>189</v>
      </c>
      <c r="FO396" s="14">
        <v>5</v>
      </c>
      <c r="FP396" s="14">
        <f>IFERROR(AVERAGE(Tabel1[[#This Row],[Do - A2a]:[Do - A2b]]),"")</f>
        <v>5</v>
      </c>
      <c r="FQ396" s="14">
        <v>2</v>
      </c>
      <c r="FR396" s="14">
        <f>IFERROR(AVERAGE(Tabel1[[#This Row],[Do - A3a]:[Do - A3a]]),"")</f>
        <v>2</v>
      </c>
      <c r="FS396" s="14">
        <v>3</v>
      </c>
      <c r="FT396" s="14">
        <f>IFERROR(AVERAGE(Tabel1[[#This Row],[Do - A1]],Tabel1[[#This Row],[Do - A2]],Tabel1[[#This Row],[Do - A3]],Tabel1[[#This Row],[Do - A4]]),"")</f>
        <v>2.833333333333333</v>
      </c>
      <c r="FU39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2.7498148148148145</v>
      </c>
      <c r="FV396" s="27" t="s">
        <v>1992</v>
      </c>
      <c r="FW396" t="b">
        <v>1</v>
      </c>
    </row>
    <row r="397" spans="1:179" x14ac:dyDescent="0.3">
      <c r="A397" s="13">
        <v>45624.4594097222</v>
      </c>
      <c r="B397" t="b">
        <v>0</v>
      </c>
      <c r="C397" s="14" t="s">
        <v>1993</v>
      </c>
      <c r="D397" s="14" t="s">
        <v>597</v>
      </c>
      <c r="E397" s="14" t="s">
        <v>1979</v>
      </c>
      <c r="F397" s="14" t="s">
        <v>184</v>
      </c>
      <c r="G397" s="14" t="s">
        <v>1994</v>
      </c>
      <c r="H397" s="14" t="s">
        <v>222</v>
      </c>
      <c r="I397" s="14" t="s">
        <v>195</v>
      </c>
      <c r="J397" s="14" t="s">
        <v>347</v>
      </c>
      <c r="K397" s="28" t="s">
        <v>235</v>
      </c>
      <c r="L397" s="14" t="s">
        <v>249</v>
      </c>
      <c r="M397" s="14" t="s">
        <v>198</v>
      </c>
      <c r="N397" s="14" t="s">
        <v>262</v>
      </c>
      <c r="O397" s="14" t="s">
        <v>200</v>
      </c>
      <c r="P397" s="24" t="s">
        <v>255</v>
      </c>
      <c r="Q397" s="17" t="s">
        <v>202</v>
      </c>
      <c r="R397" s="24" t="s">
        <v>255</v>
      </c>
      <c r="S397" s="24" t="s">
        <v>304</v>
      </c>
      <c r="T397" s="14" t="s">
        <v>236</v>
      </c>
      <c r="U397" s="14" t="s">
        <v>349</v>
      </c>
      <c r="V397" s="14" t="s">
        <v>359</v>
      </c>
      <c r="W397" s="14" t="s">
        <v>207</v>
      </c>
      <c r="X397" s="14" t="s">
        <v>306</v>
      </c>
      <c r="Y397" s="14">
        <v>2</v>
      </c>
      <c r="Z397" s="14">
        <v>3</v>
      </c>
      <c r="AA397" s="14">
        <v>4</v>
      </c>
      <c r="AB397" s="15">
        <f>IFERROR(AVERAGE(Tabel1[[#This Row],[Up - R1a]:[Up - R1c]]),"")</f>
        <v>3</v>
      </c>
      <c r="AC397" s="14">
        <v>2</v>
      </c>
      <c r="AD397" s="14">
        <v>4</v>
      </c>
      <c r="AE397" s="14">
        <v>1</v>
      </c>
      <c r="AF397" s="14">
        <v>3</v>
      </c>
      <c r="AG397" s="14">
        <f>IFERROR(AVERAGE(Tabel1[[#This Row],[Up - R1]:[Up - R5]]),"")</f>
        <v>2.6</v>
      </c>
      <c r="AH397" s="14">
        <v>4</v>
      </c>
      <c r="AI397" s="14">
        <v>3</v>
      </c>
      <c r="AJ397" s="14">
        <v>4</v>
      </c>
      <c r="AK397" s="14">
        <f>IFERROR(AVERAGE(Tabel1[[#This Row],[Up - C1a]:[Up - C1c]]),"")</f>
        <v>3.6666666666666665</v>
      </c>
      <c r="AL397" s="14">
        <v>5</v>
      </c>
      <c r="AM397" s="14">
        <v>4</v>
      </c>
      <c r="AN397" s="14">
        <v>1</v>
      </c>
      <c r="AO397" s="14">
        <f>IFERROR(AVERAGE(Tabel1[[#This Row],[Up - C1]:[Up - C4]]),"")</f>
        <v>3.4166666666666665</v>
      </c>
      <c r="AP397" s="14">
        <v>2</v>
      </c>
      <c r="AQ397" s="14">
        <f>IFERROR(AVERAGE(Tabel1[[#This Row],[Up - F1a]:[Up - F1a]]),"")</f>
        <v>2</v>
      </c>
      <c r="AR397" s="14">
        <v>1</v>
      </c>
      <c r="AS397" s="14">
        <v>1</v>
      </c>
      <c r="AT397" s="14">
        <f>IFERROR(AVERAGE(Tabel1[[#This Row],[Up - F2a]:[Up - F2b]]),"")</f>
        <v>1</v>
      </c>
      <c r="AU397" s="14">
        <v>2</v>
      </c>
      <c r="AV397" s="14">
        <v>1</v>
      </c>
      <c r="AW397" s="14">
        <f>IFERROR(AVERAGE(Tabel1[[#This Row],[Up - F3a]:[Up - F3b]]),"")</f>
        <v>1.5</v>
      </c>
      <c r="AX397" s="14">
        <v>2</v>
      </c>
      <c r="AY397" s="14">
        <f>IFERROR(AVERAGE(Tabel1[[#This Row],[Up - F1]],Tabel1[[#This Row],[Up - F2]],Tabel1[[#This Row],[Up - F3]],Tabel1[[#This Row],[Up - F4]]),"")</f>
        <v>1.625</v>
      </c>
      <c r="AZ397" s="14">
        <v>1</v>
      </c>
      <c r="BA397" s="14">
        <v>2</v>
      </c>
      <c r="BB397" s="14">
        <f>IFERROR(AVERAGE(Tabel1[[#This Row],[Up - V1a]:[Up - V1b]]),"")</f>
        <v>1.5</v>
      </c>
      <c r="BC397" s="14">
        <v>4</v>
      </c>
      <c r="BD397" s="14">
        <v>2</v>
      </c>
      <c r="BE397" s="14">
        <v>3</v>
      </c>
      <c r="BF397" s="14">
        <f>IFERROR(AVERAGE(Tabel1[[#This Row],[Up - V2a]:[Up - V2c]]),"")</f>
        <v>3</v>
      </c>
      <c r="BG397" s="14">
        <v>2</v>
      </c>
      <c r="BH397" s="14">
        <v>3</v>
      </c>
      <c r="BI397" s="14">
        <f>IFERROR(AVERAGE(Tabel1[[#This Row],[Up - V3a]:[Up - V3b]]),"")</f>
        <v>2.5</v>
      </c>
      <c r="BJ397" s="14">
        <v>2</v>
      </c>
      <c r="BK397" s="14">
        <f>IFERROR(AVERAGE(Tabel1[[#This Row],[Up - V1]],Tabel1[[#This Row],[Up - V2]],Tabel1[[#This Row],[Up - V3]],Tabel1[[#This Row],[Up - V4]]),"")</f>
        <v>2.25</v>
      </c>
      <c r="BL397" s="14">
        <v>1</v>
      </c>
      <c r="BM397" s="14">
        <v>4</v>
      </c>
      <c r="BN397" s="14">
        <v>1</v>
      </c>
      <c r="BO397" s="14">
        <v>1</v>
      </c>
      <c r="BP397" s="14">
        <f>IFERROR(AVERAGE(Tabel1[[#This Row],[Up - A1a]:[Up - A1d]]),"")</f>
        <v>1.75</v>
      </c>
      <c r="BQ397" s="14">
        <v>3</v>
      </c>
      <c r="BR397" s="14">
        <v>1</v>
      </c>
      <c r="BS397" s="14">
        <f>IFERROR(AVERAGE(Tabel1[[#This Row],[Up - A2a]:[Up - A2b]]),"")</f>
        <v>2</v>
      </c>
      <c r="BT397" s="14">
        <v>2</v>
      </c>
      <c r="BU397" s="14">
        <f>IFERROR(AVERAGE(Tabel1[[#This Row],[Up - A3a]:[Up - A3a]]),"")</f>
        <v>2</v>
      </c>
      <c r="BV397" s="14">
        <v>1</v>
      </c>
      <c r="BW397" s="14">
        <f>IFERROR(AVERAGE(Tabel1[[#This Row],[Up - A1]],Tabel1[[#This Row],[Up - A2]],Tabel1[[#This Row],[Up - A3]]),"")</f>
        <v>1.9166666666666667</v>
      </c>
      <c r="BX397" s="14">
        <v>2</v>
      </c>
      <c r="BY397" s="14">
        <v>2</v>
      </c>
      <c r="BZ397" s="14">
        <f>IFERROR(AVERAGE(Tabel1[[#This Row],[In - R1a]:[In - R1b]]),"")</f>
        <v>2</v>
      </c>
      <c r="CA397" s="14">
        <v>5</v>
      </c>
      <c r="CB397" s="14">
        <v>1</v>
      </c>
      <c r="CC397" s="14">
        <v>2</v>
      </c>
      <c r="CD397" s="14">
        <v>4</v>
      </c>
      <c r="CE397" s="14">
        <f>IFERROR(AVERAGE(Tabel1[[#This Row],[In - R1]:[In - R5]]),"")</f>
        <v>2.8</v>
      </c>
      <c r="CF397" s="14">
        <v>3</v>
      </c>
      <c r="CG397" s="14">
        <v>2</v>
      </c>
      <c r="CH397" s="14">
        <v>3</v>
      </c>
      <c r="CI397" s="14">
        <f>IFERROR(AVERAGE(Tabel1[[#This Row],[In - C1a]:[In - C1c]]),"")</f>
        <v>2.6666666666666665</v>
      </c>
      <c r="CJ397" s="14">
        <v>2</v>
      </c>
      <c r="CK397" s="14">
        <v>3</v>
      </c>
      <c r="CL397" s="14">
        <v>1</v>
      </c>
      <c r="CM397" s="14">
        <f>IFERROR(AVERAGE(Tabel1[[#This Row],[In - C1]:[In - C4]]),"")</f>
        <v>2.1666666666666665</v>
      </c>
      <c r="CN397" s="14">
        <v>1</v>
      </c>
      <c r="CO397" s="14">
        <v>3</v>
      </c>
      <c r="CP397" s="14">
        <v>1</v>
      </c>
      <c r="CQ397" s="14">
        <f>IFERROR(AVERAGE(Tabel1[[#This Row],[In - F1a]:[In - F1c]]),"")</f>
        <v>1.6666666666666667</v>
      </c>
      <c r="CR397" s="14">
        <v>1</v>
      </c>
      <c r="CS397" s="14">
        <v>1</v>
      </c>
      <c r="CT397" s="14">
        <f>IFERROR(AVERAGE(Tabel1[[#This Row],[In - F2a]:[In - F2b]]),"")</f>
        <v>1</v>
      </c>
      <c r="CU397" s="14">
        <v>1</v>
      </c>
      <c r="CV397" s="14">
        <f>IFERROR(AVERAGE(Tabel1[[#This Row],[In - F3a]:[In - F3a]]),"")</f>
        <v>1</v>
      </c>
      <c r="CW397" s="14">
        <v>1</v>
      </c>
      <c r="CX397" s="14">
        <f>IFERROR(AVERAGE(Tabel1[[#This Row],[In - F1]],Tabel1[[#This Row],[In - F2]],Tabel1[[#This Row],[In - F3]],Tabel1[[#This Row],[In - F4]]),"")</f>
        <v>1.1666666666666667</v>
      </c>
      <c r="CY397" s="14">
        <v>2</v>
      </c>
      <c r="CZ397" s="14">
        <v>1</v>
      </c>
      <c r="DA397" s="14">
        <v>4</v>
      </c>
      <c r="DB397" s="14">
        <f>IFERROR(AVERAGE(Tabel1[[#This Row],[In - V1a]:[In - V1c]]),"")</f>
        <v>2.3333333333333335</v>
      </c>
      <c r="DC397" s="14">
        <v>3</v>
      </c>
      <c r="DD397" s="14">
        <v>2</v>
      </c>
      <c r="DE397" s="14">
        <v>4</v>
      </c>
      <c r="DF397" s="14">
        <f>IFERROR(AVERAGE(Tabel1[[#This Row],[In - V2a]:[In - V2c]]),"")</f>
        <v>3</v>
      </c>
      <c r="DG397" s="14">
        <v>3</v>
      </c>
      <c r="DH397" s="14">
        <v>4</v>
      </c>
      <c r="DI397" s="14">
        <f>IFERROR(AVERAGE(Tabel1[[#This Row],[In - V3a]:[In - V3b]]),"")</f>
        <v>3.5</v>
      </c>
      <c r="DJ397" s="14">
        <v>2</v>
      </c>
      <c r="DK397" s="14">
        <f>IFERROR(AVERAGE(Tabel1[[#This Row],[In - V1]],Tabel1[[#This Row],[In - V2]],Tabel1[[#This Row],[In - V3]],Tabel1[[#This Row],[In - V4]]),"")</f>
        <v>2.7083333333333335</v>
      </c>
      <c r="DL397" s="14">
        <v>2</v>
      </c>
      <c r="DM397" s="14">
        <v>3</v>
      </c>
      <c r="DN397" s="14">
        <f>IFERROR(AVERAGE(Tabel1[[#This Row],[In - A1a]:[In - A1b]]),"")</f>
        <v>2.5</v>
      </c>
      <c r="DO397" s="14">
        <v>3</v>
      </c>
      <c r="DP397" s="14">
        <v>1</v>
      </c>
      <c r="DQ397" s="14">
        <f>IFERROR(AVERAGE(Tabel1[[#This Row],[In - A2a]:[In - A2b]]),"")</f>
        <v>2</v>
      </c>
      <c r="DR397" s="14">
        <v>3</v>
      </c>
      <c r="DS397" s="14">
        <v>1</v>
      </c>
      <c r="DT397" s="14">
        <f>IFERROR(AVERAGE(Tabel1[[#This Row],[In - A3a]:[In - A3a]]),"")</f>
        <v>3</v>
      </c>
      <c r="DU397" s="14">
        <v>1</v>
      </c>
      <c r="DV397" s="14">
        <f>IFERROR(AVERAGE(Tabel1[[#This Row],[In - A1]],Tabel1[[#This Row],[In - A2]],Tabel1[[#This Row],[In - A3]],Tabel1[[#This Row],[In - A4]]),"")</f>
        <v>2.125</v>
      </c>
      <c r="DW397" s="14">
        <v>1</v>
      </c>
      <c r="DX397" s="14">
        <v>2</v>
      </c>
      <c r="DY397" s="14">
        <v>1</v>
      </c>
      <c r="DZ397" s="14">
        <f>IFERROR(AVERAGE(Tabel1[[#This Row],[Do - R1a]:[Do - R1c]]),"")</f>
        <v>1.3333333333333333</v>
      </c>
      <c r="EA397" s="14">
        <v>1</v>
      </c>
      <c r="EB397" s="14">
        <v>2</v>
      </c>
      <c r="EC397" s="14">
        <v>4</v>
      </c>
      <c r="ED397" s="14">
        <v>4</v>
      </c>
      <c r="EE397" s="14">
        <f>IFERROR(AVERAGE(Tabel1[[#This Row],[Do - R1]:[Do - R5]]),"")</f>
        <v>2.4666666666666663</v>
      </c>
      <c r="EF397" s="14">
        <v>4</v>
      </c>
      <c r="EG397" s="14">
        <v>3</v>
      </c>
      <c r="EH397" s="14">
        <v>4</v>
      </c>
      <c r="EI397" s="14">
        <f>IFERROR(AVERAGE(Tabel1[[#This Row],[Do - C1a]:[Do - C1c]]),"")</f>
        <v>3.6666666666666665</v>
      </c>
      <c r="EJ397" s="14">
        <v>2</v>
      </c>
      <c r="EK397" s="14">
        <v>3</v>
      </c>
      <c r="EL397" s="14" t="s">
        <v>189</v>
      </c>
      <c r="EM397" s="14">
        <f>IFERROR(AVERAGE(Tabel1[[#This Row],[Do - C1]:[Do - C4]]),"")</f>
        <v>2.8888888888888888</v>
      </c>
      <c r="EN397" s="14">
        <v>1</v>
      </c>
      <c r="EO397" s="14">
        <v>3</v>
      </c>
      <c r="EP397" s="14" t="s">
        <v>189</v>
      </c>
      <c r="EQ397" s="14">
        <f>IFERROR(AVERAGE(Tabel1[[#This Row],[Do - F1a]:[Do - F1c]]),"")</f>
        <v>2</v>
      </c>
      <c r="ER397" s="14">
        <v>1</v>
      </c>
      <c r="ES397" s="14">
        <f>IFERROR(AVERAGE(Tabel1[[#This Row],[Do - F2a]:[Do - F2a]]),"")</f>
        <v>1</v>
      </c>
      <c r="ET397" s="14">
        <v>1</v>
      </c>
      <c r="EU397" s="14">
        <v>1</v>
      </c>
      <c r="EV397" s="14">
        <f>IFERROR(AVERAGE(Tabel1[[#This Row],[Do - F3a]:[Do - F3b]]),"")</f>
        <v>1</v>
      </c>
      <c r="EW397" s="14">
        <v>1</v>
      </c>
      <c r="EX397" s="14">
        <f>IFERROR(AVERAGE(Tabel1[[#This Row],[Do - F1]],Tabel1[[#This Row],[Do - F2]],Tabel1[[#This Row],[Do - F3]],Tabel1[[#This Row],[Do - F4]]),"")</f>
        <v>1.25</v>
      </c>
      <c r="EY397" s="14">
        <v>2</v>
      </c>
      <c r="EZ397" s="14">
        <v>2</v>
      </c>
      <c r="FA397" s="14">
        <v>3</v>
      </c>
      <c r="FB397" s="14">
        <f>IFERROR(AVERAGE(Tabel1[[#This Row],[Do - V1a]:[Do - V1c]]),"")</f>
        <v>2.3333333333333335</v>
      </c>
      <c r="FC397" s="14" t="s">
        <v>189</v>
      </c>
      <c r="FD397" s="14">
        <v>1</v>
      </c>
      <c r="FE397" s="14">
        <f>IFERROR(AVERAGE(Tabel1[[#This Row],[Do - V2a]:[Do - V2b]]),"")</f>
        <v>1</v>
      </c>
      <c r="FF397" s="14" t="s">
        <v>189</v>
      </c>
      <c r="FG397" s="14" t="str">
        <f>IFERROR(AVERAGE(Tabel1[[#This Row],[Do - V3a]:[Do - V3a]]),"")</f>
        <v/>
      </c>
      <c r="FH397" s="14" t="s">
        <v>189</v>
      </c>
      <c r="FI397" s="14">
        <f>IFERROR(AVERAGE(Tabel1[[#This Row],[Do - V1]],Tabel1[[#This Row],[Do - V2]],Tabel1[[#This Row],[Do - V3]],Tabel1[[#This Row],[Do - V4]]),"")</f>
        <v>1.6666666666666667</v>
      </c>
      <c r="FJ397" s="14">
        <v>1</v>
      </c>
      <c r="FK397" s="14">
        <v>1</v>
      </c>
      <c r="FL397" s="14">
        <v>1</v>
      </c>
      <c r="FM397" s="14">
        <f>IFERROR(AVERAGE(Tabel1[[#This Row],[Do - A1a]:[Do - A1c]]),"")</f>
        <v>1</v>
      </c>
      <c r="FN397" s="14">
        <v>1</v>
      </c>
      <c r="FO397" s="14">
        <v>1</v>
      </c>
      <c r="FP397" s="14">
        <f>IFERROR(AVERAGE(Tabel1[[#This Row],[Do - A2a]:[Do - A2b]]),"")</f>
        <v>1</v>
      </c>
      <c r="FQ397" s="14">
        <v>1</v>
      </c>
      <c r="FR397" s="14">
        <f>IFERROR(AVERAGE(Tabel1[[#This Row],[Do - A3a]:[Do - A3a]]),"")</f>
        <v>1</v>
      </c>
      <c r="FS397" s="14" t="s">
        <v>189</v>
      </c>
      <c r="FT397" s="14">
        <f>IFERROR(AVERAGE(Tabel1[[#This Row],[Do - A1]],Tabel1[[#This Row],[Do - A2]],Tabel1[[#This Row],[Do - A3]],Tabel1[[#This Row],[Do - A4]]),"")</f>
        <v>1</v>
      </c>
      <c r="FU397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2.1364814814814812</v>
      </c>
      <c r="FV397" s="27" t="s">
        <v>1995</v>
      </c>
      <c r="FW397" t="b">
        <v>1</v>
      </c>
    </row>
    <row r="398" spans="1:179" x14ac:dyDescent="0.3">
      <c r="A398" s="13">
        <v>45624.461851851898</v>
      </c>
      <c r="B398" t="b">
        <v>0</v>
      </c>
      <c r="C398" s="14" t="s">
        <v>1996</v>
      </c>
      <c r="D398" s="14" t="s">
        <v>1997</v>
      </c>
      <c r="E398" s="14" t="s">
        <v>1979</v>
      </c>
      <c r="F398" s="14" t="s">
        <v>184</v>
      </c>
      <c r="G398" s="14" t="s">
        <v>1998</v>
      </c>
      <c r="H398" s="14" t="s">
        <v>222</v>
      </c>
      <c r="I398" s="14" t="s">
        <v>195</v>
      </c>
      <c r="J398" s="14" t="s">
        <v>347</v>
      </c>
      <c r="K398" s="28" t="s">
        <v>235</v>
      </c>
      <c r="L398" s="14" t="s">
        <v>249</v>
      </c>
      <c r="M398" s="14" t="s">
        <v>188</v>
      </c>
      <c r="N398" s="14" t="s">
        <v>316</v>
      </c>
      <c r="O398" s="14" t="s">
        <v>200</v>
      </c>
      <c r="P398" s="25" t="s">
        <v>701</v>
      </c>
      <c r="Q398" s="17" t="s">
        <v>203</v>
      </c>
      <c r="R398" s="24" t="s">
        <v>304</v>
      </c>
      <c r="S398" s="24" t="s">
        <v>304</v>
      </c>
      <c r="T398" s="14" t="s">
        <v>348</v>
      </c>
      <c r="U398" s="14" t="s">
        <v>237</v>
      </c>
      <c r="V398" s="14" t="s">
        <v>224</v>
      </c>
      <c r="W398" s="14" t="s">
        <v>395</v>
      </c>
      <c r="X398" s="14" t="s">
        <v>395</v>
      </c>
      <c r="Y398" s="14">
        <v>3</v>
      </c>
      <c r="Z398" s="14">
        <v>1</v>
      </c>
      <c r="AA398" s="14">
        <v>2</v>
      </c>
      <c r="AB398" s="15">
        <f>IFERROR(AVERAGE(Tabel1[[#This Row],[Up - R1a]:[Up - R1c]]),"")</f>
        <v>2</v>
      </c>
      <c r="AC398" s="14">
        <v>2</v>
      </c>
      <c r="AD398" s="14">
        <v>1</v>
      </c>
      <c r="AE398" s="14">
        <v>4</v>
      </c>
      <c r="AF398" s="14">
        <v>3</v>
      </c>
      <c r="AG398" s="14">
        <f>IFERROR(AVERAGE(Tabel1[[#This Row],[Up - R1]:[Up - R5]]),"")</f>
        <v>2.4</v>
      </c>
      <c r="AH398" s="14">
        <v>4</v>
      </c>
      <c r="AI398" s="14">
        <v>3</v>
      </c>
      <c r="AJ398" s="14">
        <v>4</v>
      </c>
      <c r="AK398" s="14">
        <f>IFERROR(AVERAGE(Tabel1[[#This Row],[Up - C1a]:[Up - C1c]]),"")</f>
        <v>3.6666666666666665</v>
      </c>
      <c r="AL398" s="14">
        <v>2</v>
      </c>
      <c r="AM398" s="14">
        <v>4</v>
      </c>
      <c r="AN398" s="14">
        <v>2</v>
      </c>
      <c r="AO398" s="14">
        <f>IFERROR(AVERAGE(Tabel1[[#This Row],[Up - C1]:[Up - C4]]),"")</f>
        <v>2.9166666666666665</v>
      </c>
      <c r="AP398" s="14">
        <v>3</v>
      </c>
      <c r="AQ398" s="14">
        <f>IFERROR(AVERAGE(Tabel1[[#This Row],[Up - F1a]:[Up - F1a]]),"")</f>
        <v>3</v>
      </c>
      <c r="AR398" s="14">
        <v>1</v>
      </c>
      <c r="AS398" s="14">
        <v>2</v>
      </c>
      <c r="AT398" s="14">
        <f>IFERROR(AVERAGE(Tabel1[[#This Row],[Up - F2a]:[Up - F2b]]),"")</f>
        <v>1.5</v>
      </c>
      <c r="AU398" s="14">
        <v>4</v>
      </c>
      <c r="AV398" s="14">
        <v>3</v>
      </c>
      <c r="AW398" s="14">
        <f>IFERROR(AVERAGE(Tabel1[[#This Row],[Up - F3a]:[Up - F3b]]),"")</f>
        <v>3.5</v>
      </c>
      <c r="AX398" s="14">
        <v>4</v>
      </c>
      <c r="AY398" s="14">
        <f>IFERROR(AVERAGE(Tabel1[[#This Row],[Up - F1]],Tabel1[[#This Row],[Up - F2]],Tabel1[[#This Row],[Up - F3]],Tabel1[[#This Row],[Up - F4]]),"")</f>
        <v>3</v>
      </c>
      <c r="AZ398" s="14">
        <v>5</v>
      </c>
      <c r="BA398" s="14">
        <v>4</v>
      </c>
      <c r="BB398" s="14">
        <f>IFERROR(AVERAGE(Tabel1[[#This Row],[Up - V1a]:[Up - V1b]]),"")</f>
        <v>4.5</v>
      </c>
      <c r="BC398" s="14">
        <v>5</v>
      </c>
      <c r="BD398" s="14">
        <v>5</v>
      </c>
      <c r="BE398" s="14">
        <v>4</v>
      </c>
      <c r="BF398" s="14">
        <f>IFERROR(AVERAGE(Tabel1[[#This Row],[Up - V2a]:[Up - V2c]]),"")</f>
        <v>4.666666666666667</v>
      </c>
      <c r="BG398" s="14">
        <v>3</v>
      </c>
      <c r="BH398" s="14">
        <v>2</v>
      </c>
      <c r="BI398" s="14">
        <f>IFERROR(AVERAGE(Tabel1[[#This Row],[Up - V3a]:[Up - V3b]]),"")</f>
        <v>2.5</v>
      </c>
      <c r="BJ398" s="14">
        <v>4</v>
      </c>
      <c r="BK398" s="14">
        <f>IFERROR(AVERAGE(Tabel1[[#This Row],[Up - V1]],Tabel1[[#This Row],[Up - V2]],Tabel1[[#This Row],[Up - V3]],Tabel1[[#This Row],[Up - V4]]),"")</f>
        <v>3.916666666666667</v>
      </c>
      <c r="BL398" s="14">
        <v>3</v>
      </c>
      <c r="BM398" s="14">
        <v>4</v>
      </c>
      <c r="BN398" s="14">
        <v>3</v>
      </c>
      <c r="BO398" s="14" t="s">
        <v>189</v>
      </c>
      <c r="BP398" s="14">
        <f>IFERROR(AVERAGE(Tabel1[[#This Row],[Up - A1a]:[Up - A1d]]),"")</f>
        <v>3.3333333333333335</v>
      </c>
      <c r="BQ398" s="14">
        <v>4</v>
      </c>
      <c r="BR398" s="14">
        <v>4</v>
      </c>
      <c r="BS398" s="14">
        <f>IFERROR(AVERAGE(Tabel1[[#This Row],[Up - A2a]:[Up - A2b]]),"")</f>
        <v>4</v>
      </c>
      <c r="BT398" s="14">
        <v>4</v>
      </c>
      <c r="BU398" s="14">
        <f>IFERROR(AVERAGE(Tabel1[[#This Row],[Up - A3a]:[Up - A3a]]),"")</f>
        <v>4</v>
      </c>
      <c r="BV398" s="14">
        <v>3</v>
      </c>
      <c r="BW398" s="14">
        <f>IFERROR(AVERAGE(Tabel1[[#This Row],[Up - A1]],Tabel1[[#This Row],[Up - A2]],Tabel1[[#This Row],[Up - A3]]),"")</f>
        <v>3.7777777777777781</v>
      </c>
      <c r="BX398" s="14" t="s">
        <v>189</v>
      </c>
      <c r="BY398" s="14">
        <v>1</v>
      </c>
      <c r="BZ398" s="14">
        <f>IFERROR(AVERAGE(Tabel1[[#This Row],[In - R1a]:[In - R1b]]),"")</f>
        <v>1</v>
      </c>
      <c r="CA398" s="14">
        <v>2</v>
      </c>
      <c r="CB398" s="14">
        <v>1</v>
      </c>
      <c r="CC398" s="14" t="s">
        <v>189</v>
      </c>
      <c r="CD398" s="14">
        <v>5</v>
      </c>
      <c r="CE398" s="14">
        <f>IFERROR(AVERAGE(Tabel1[[#This Row],[In - R1]:[In - R5]]),"")</f>
        <v>2.25</v>
      </c>
      <c r="CF398" s="14">
        <v>4</v>
      </c>
      <c r="CG398" s="14">
        <v>2</v>
      </c>
      <c r="CH398" s="14">
        <v>4</v>
      </c>
      <c r="CI398" s="14">
        <f>IFERROR(AVERAGE(Tabel1[[#This Row],[In - C1a]:[In - C1c]]),"")</f>
        <v>3.3333333333333335</v>
      </c>
      <c r="CJ398" s="14">
        <v>3</v>
      </c>
      <c r="CK398" s="14">
        <v>3</v>
      </c>
      <c r="CL398" s="14">
        <v>4</v>
      </c>
      <c r="CM398" s="14">
        <f>IFERROR(AVERAGE(Tabel1[[#This Row],[In - C1]:[In - C4]]),"")</f>
        <v>3.3333333333333335</v>
      </c>
      <c r="CN398" s="14">
        <v>3</v>
      </c>
      <c r="CO398" s="14">
        <v>4</v>
      </c>
      <c r="CP398" s="14">
        <v>1</v>
      </c>
      <c r="CQ398" s="14">
        <f>IFERROR(AVERAGE(Tabel1[[#This Row],[In - F1a]:[In - F1c]]),"")</f>
        <v>2.6666666666666665</v>
      </c>
      <c r="CR398" s="14">
        <v>4</v>
      </c>
      <c r="CS398" s="14">
        <v>1</v>
      </c>
      <c r="CT398" s="14">
        <f>IFERROR(AVERAGE(Tabel1[[#This Row],[In - F2a]:[In - F2b]]),"")</f>
        <v>2.5</v>
      </c>
      <c r="CU398" s="14">
        <v>3</v>
      </c>
      <c r="CV398" s="14">
        <f>IFERROR(AVERAGE(Tabel1[[#This Row],[In - F3a]:[In - F3a]]),"")</f>
        <v>3</v>
      </c>
      <c r="CW398" s="14">
        <v>2</v>
      </c>
      <c r="CX398" s="14">
        <f>IFERROR(AVERAGE(Tabel1[[#This Row],[In - F1]],Tabel1[[#This Row],[In - F2]],Tabel1[[#This Row],[In - F3]],Tabel1[[#This Row],[In - F4]]),"")</f>
        <v>2.5416666666666665</v>
      </c>
      <c r="CY398" s="14">
        <v>4</v>
      </c>
      <c r="CZ398" s="14">
        <v>2</v>
      </c>
      <c r="DA398" s="14">
        <v>3</v>
      </c>
      <c r="DB398" s="14">
        <f>IFERROR(AVERAGE(Tabel1[[#This Row],[In - V1a]:[In - V1c]]),"")</f>
        <v>3</v>
      </c>
      <c r="DC398" s="14">
        <v>4</v>
      </c>
      <c r="DD398" s="14">
        <v>4</v>
      </c>
      <c r="DE398" s="14">
        <v>4</v>
      </c>
      <c r="DF398" s="14">
        <f>IFERROR(AVERAGE(Tabel1[[#This Row],[In - V2a]:[In - V2c]]),"")</f>
        <v>4</v>
      </c>
      <c r="DG398" s="14" t="s">
        <v>189</v>
      </c>
      <c r="DH398" s="14" t="s">
        <v>189</v>
      </c>
      <c r="DI398" s="14" t="str">
        <f>IFERROR(AVERAGE(Tabel1[[#This Row],[In - V3a]:[In - V3b]]),"")</f>
        <v/>
      </c>
      <c r="DJ398" s="14" t="s">
        <v>189</v>
      </c>
      <c r="DK398" s="14">
        <f>IFERROR(AVERAGE(Tabel1[[#This Row],[In - V1]],Tabel1[[#This Row],[In - V2]],Tabel1[[#This Row],[In - V3]],Tabel1[[#This Row],[In - V4]]),"")</f>
        <v>3.5</v>
      </c>
      <c r="DL398" s="14">
        <v>2</v>
      </c>
      <c r="DM398" s="14">
        <v>2</v>
      </c>
      <c r="DN398" s="14">
        <f>IFERROR(AVERAGE(Tabel1[[#This Row],[In - A1a]:[In - A1b]]),"")</f>
        <v>2</v>
      </c>
      <c r="DO398" s="14" t="s">
        <v>189</v>
      </c>
      <c r="DP398" s="14" t="s">
        <v>189</v>
      </c>
      <c r="DQ398" s="14" t="str">
        <f>IFERROR(AVERAGE(Tabel1[[#This Row],[In - A2a]:[In - A2b]]),"")</f>
        <v/>
      </c>
      <c r="DR398" s="14">
        <v>4</v>
      </c>
      <c r="DS398" s="14">
        <v>2</v>
      </c>
      <c r="DT398" s="14">
        <f>IFERROR(AVERAGE(Tabel1[[#This Row],[In - A3a]:[In - A3a]]),"")</f>
        <v>4</v>
      </c>
      <c r="DU398" s="14">
        <v>2</v>
      </c>
      <c r="DV398" s="14">
        <f>IFERROR(AVERAGE(Tabel1[[#This Row],[In - A1]],Tabel1[[#This Row],[In - A2]],Tabel1[[#This Row],[In - A3]],Tabel1[[#This Row],[In - A4]]),"")</f>
        <v>2.6666666666666665</v>
      </c>
      <c r="DW398" s="14">
        <v>1</v>
      </c>
      <c r="DX398" s="14">
        <v>1</v>
      </c>
      <c r="DY398" s="14">
        <v>1</v>
      </c>
      <c r="DZ398" s="14">
        <f>IFERROR(AVERAGE(Tabel1[[#This Row],[Do - R1a]:[Do - R1c]]),"")</f>
        <v>1</v>
      </c>
      <c r="EA398" s="14" t="s">
        <v>189</v>
      </c>
      <c r="EB398" s="14" t="s">
        <v>189</v>
      </c>
      <c r="EC398" s="14" t="s">
        <v>189</v>
      </c>
      <c r="ED398" s="14">
        <v>5</v>
      </c>
      <c r="EE398" s="14">
        <f>IFERROR(AVERAGE(Tabel1[[#This Row],[Do - R1]:[Do - R5]]),"")</f>
        <v>3</v>
      </c>
      <c r="EF398" s="14">
        <v>5</v>
      </c>
      <c r="EG398" s="14" t="s">
        <v>189</v>
      </c>
      <c r="EH398" s="14" t="s">
        <v>189</v>
      </c>
      <c r="EI398" s="14">
        <f>IFERROR(AVERAGE(Tabel1[[#This Row],[Do - C1a]:[Do - C1c]]),"")</f>
        <v>5</v>
      </c>
      <c r="EJ398" s="14">
        <v>3</v>
      </c>
      <c r="EK398" s="14" t="s">
        <v>189</v>
      </c>
      <c r="EL398" s="14" t="s">
        <v>189</v>
      </c>
      <c r="EM398" s="14">
        <f>IFERROR(AVERAGE(Tabel1[[#This Row],[Do - C1]:[Do - C4]]),"")</f>
        <v>4</v>
      </c>
      <c r="EN398" s="14" t="s">
        <v>189</v>
      </c>
      <c r="EO398" s="14">
        <v>1</v>
      </c>
      <c r="EP398" s="14" t="s">
        <v>189</v>
      </c>
      <c r="EQ398" s="14">
        <f>IFERROR(AVERAGE(Tabel1[[#This Row],[Do - F1a]:[Do - F1c]]),"")</f>
        <v>1</v>
      </c>
      <c r="ER398" s="14">
        <v>4</v>
      </c>
      <c r="ES398" s="14">
        <f>IFERROR(AVERAGE(Tabel1[[#This Row],[Do - F2a]:[Do - F2a]]),"")</f>
        <v>4</v>
      </c>
      <c r="ET398" s="14" t="s">
        <v>189</v>
      </c>
      <c r="EU398" s="14">
        <v>4</v>
      </c>
      <c r="EV398" s="14">
        <f>IFERROR(AVERAGE(Tabel1[[#This Row],[Do - F3a]:[Do - F3b]]),"")</f>
        <v>4</v>
      </c>
      <c r="EW398" s="14" t="s">
        <v>189</v>
      </c>
      <c r="EX398" s="14">
        <f>IFERROR(AVERAGE(Tabel1[[#This Row],[Do - F1]],Tabel1[[#This Row],[Do - F2]],Tabel1[[#This Row],[Do - F3]],Tabel1[[#This Row],[Do - F4]]),"")</f>
        <v>3</v>
      </c>
      <c r="EY398" s="14">
        <v>3</v>
      </c>
      <c r="EZ398" s="14" t="s">
        <v>189</v>
      </c>
      <c r="FA398" s="14" t="s">
        <v>189</v>
      </c>
      <c r="FB398" s="14">
        <f>IFERROR(AVERAGE(Tabel1[[#This Row],[Do - V1a]:[Do - V1c]]),"")</f>
        <v>3</v>
      </c>
      <c r="FC398" s="14" t="s">
        <v>189</v>
      </c>
      <c r="FD398" s="14" t="s">
        <v>189</v>
      </c>
      <c r="FE398" s="14" t="str">
        <f>IFERROR(AVERAGE(Tabel1[[#This Row],[Do - V2a]:[Do - V2b]]),"")</f>
        <v/>
      </c>
      <c r="FF398" s="14">
        <v>2</v>
      </c>
      <c r="FG398" s="14">
        <f>IFERROR(AVERAGE(Tabel1[[#This Row],[Do - V3a]:[Do - V3a]]),"")</f>
        <v>2</v>
      </c>
      <c r="FH398" s="14" t="s">
        <v>189</v>
      </c>
      <c r="FI398" s="14">
        <f>IFERROR(AVERAGE(Tabel1[[#This Row],[Do - V1]],Tabel1[[#This Row],[Do - V2]],Tabel1[[#This Row],[Do - V3]],Tabel1[[#This Row],[Do - V4]]),"")</f>
        <v>2.5</v>
      </c>
      <c r="FJ398" s="14">
        <v>4</v>
      </c>
      <c r="FK398" s="14" t="s">
        <v>189</v>
      </c>
      <c r="FL398" s="14" t="s">
        <v>189</v>
      </c>
      <c r="FM398" s="14">
        <f>IFERROR(AVERAGE(Tabel1[[#This Row],[Do - A1a]:[Do - A1c]]),"")</f>
        <v>4</v>
      </c>
      <c r="FN398" s="14" t="s">
        <v>189</v>
      </c>
      <c r="FO398" s="14" t="s">
        <v>189</v>
      </c>
      <c r="FP398" s="14" t="str">
        <f>IFERROR(AVERAGE(Tabel1[[#This Row],[Do - A2a]:[Do - A2b]]),"")</f>
        <v/>
      </c>
      <c r="FQ398" s="14" t="s">
        <v>189</v>
      </c>
      <c r="FR398" s="14" t="str">
        <f>IFERROR(AVERAGE(Tabel1[[#This Row],[Do - A3a]:[Do - A3a]]),"")</f>
        <v/>
      </c>
      <c r="FS398" s="14" t="s">
        <v>189</v>
      </c>
      <c r="FT398" s="14">
        <f>IFERROR(AVERAGE(Tabel1[[#This Row],[Do - A1]],Tabel1[[#This Row],[Do - A2]],Tabel1[[#This Row],[Do - A3]],Tabel1[[#This Row],[Do - A4]]),"")</f>
        <v>4</v>
      </c>
      <c r="FU398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3.1201851851851852</v>
      </c>
      <c r="FV398" s="27" t="s">
        <v>1999</v>
      </c>
      <c r="FW398" t="b">
        <v>1</v>
      </c>
    </row>
    <row r="399" spans="1:179" x14ac:dyDescent="0.3">
      <c r="A399" s="13">
        <v>45624.546643518501</v>
      </c>
      <c r="B399" t="b">
        <v>0</v>
      </c>
      <c r="C399" s="14" t="s">
        <v>2000</v>
      </c>
      <c r="D399" s="14" t="s">
        <v>2001</v>
      </c>
      <c r="E399" s="14" t="s">
        <v>1979</v>
      </c>
      <c r="F399" s="14" t="s">
        <v>184</v>
      </c>
      <c r="G399" s="14" t="s">
        <v>2002</v>
      </c>
      <c r="H399" s="14" t="s">
        <v>222</v>
      </c>
      <c r="I399" s="14" t="s">
        <v>195</v>
      </c>
      <c r="J399" s="14" t="s">
        <v>347</v>
      </c>
      <c r="K399" s="28" t="s">
        <v>235</v>
      </c>
      <c r="L399" s="14" t="s">
        <v>218</v>
      </c>
      <c r="M399" s="14" t="s">
        <v>188</v>
      </c>
      <c r="N399" s="14" t="s">
        <v>262</v>
      </c>
      <c r="O399" s="14" t="s">
        <v>200</v>
      </c>
      <c r="P399" s="24" t="s">
        <v>255</v>
      </c>
      <c r="Q399" s="17" t="s">
        <v>201</v>
      </c>
      <c r="R399" s="24" t="s">
        <v>255</v>
      </c>
      <c r="S399" s="25" t="s">
        <v>187</v>
      </c>
      <c r="T399" s="14" t="s">
        <v>236</v>
      </c>
      <c r="U399" s="14" t="s">
        <v>285</v>
      </c>
      <c r="V399" s="14" t="s">
        <v>359</v>
      </c>
      <c r="W399" s="14" t="s">
        <v>395</v>
      </c>
      <c r="X399" s="14" t="s">
        <v>207</v>
      </c>
      <c r="Y399" s="14">
        <v>3</v>
      </c>
      <c r="Z399" s="14">
        <v>3</v>
      </c>
      <c r="AA399" s="14">
        <v>4</v>
      </c>
      <c r="AB399" s="15">
        <f>IFERROR(AVERAGE(Tabel1[[#This Row],[Up - R1a]:[Up - R1c]]),"")</f>
        <v>3.3333333333333335</v>
      </c>
      <c r="AC399" s="14">
        <v>4</v>
      </c>
      <c r="AD399" s="14">
        <v>3</v>
      </c>
      <c r="AE399" s="14">
        <v>2</v>
      </c>
      <c r="AF399" s="14">
        <v>2</v>
      </c>
      <c r="AG399" s="14">
        <f>IFERROR(AVERAGE(Tabel1[[#This Row],[Up - R1]:[Up - R5]]),"")</f>
        <v>2.8666666666666667</v>
      </c>
      <c r="AH399" s="14" t="s">
        <v>189</v>
      </c>
      <c r="AI399" s="14">
        <v>3</v>
      </c>
      <c r="AJ399" s="14">
        <v>4</v>
      </c>
      <c r="AK399" s="14">
        <f>IFERROR(AVERAGE(Tabel1[[#This Row],[Up - C1a]:[Up - C1c]]),"")</f>
        <v>3.5</v>
      </c>
      <c r="AL399" s="14" t="s">
        <v>189</v>
      </c>
      <c r="AM399" s="14">
        <v>2</v>
      </c>
      <c r="AN399" s="14" t="s">
        <v>189</v>
      </c>
      <c r="AO399" s="14">
        <f>IFERROR(AVERAGE(Tabel1[[#This Row],[Up - C1]:[Up - C4]]),"")</f>
        <v>2.75</v>
      </c>
      <c r="AP399" s="14" t="s">
        <v>189</v>
      </c>
      <c r="AQ399" s="14" t="str">
        <f>IFERROR(AVERAGE(Tabel1[[#This Row],[Up - F1a]:[Up - F1a]]),"")</f>
        <v/>
      </c>
      <c r="AR399" s="14">
        <v>2</v>
      </c>
      <c r="AS399" s="14">
        <v>2</v>
      </c>
      <c r="AT399" s="14">
        <f>IFERROR(AVERAGE(Tabel1[[#This Row],[Up - F2a]:[Up - F2b]]),"")</f>
        <v>2</v>
      </c>
      <c r="AU399" s="14" t="s">
        <v>189</v>
      </c>
      <c r="AV399" s="14">
        <v>2</v>
      </c>
      <c r="AW399" s="14">
        <f>IFERROR(AVERAGE(Tabel1[[#This Row],[Up - F3a]:[Up - F3b]]),"")</f>
        <v>2</v>
      </c>
      <c r="AX399" s="14">
        <v>1</v>
      </c>
      <c r="AY399" s="14">
        <f>IFERROR(AVERAGE(Tabel1[[#This Row],[Up - F1]],Tabel1[[#This Row],[Up - F2]],Tabel1[[#This Row],[Up - F3]],Tabel1[[#This Row],[Up - F4]]),"")</f>
        <v>1.6666666666666667</v>
      </c>
      <c r="AZ399" s="14">
        <v>3</v>
      </c>
      <c r="BA399" s="14">
        <v>2</v>
      </c>
      <c r="BB399" s="14">
        <f>IFERROR(AVERAGE(Tabel1[[#This Row],[Up - V1a]:[Up - V1b]]),"")</f>
        <v>2.5</v>
      </c>
      <c r="BC399" s="14">
        <v>3</v>
      </c>
      <c r="BD399" s="14" t="s">
        <v>189</v>
      </c>
      <c r="BE399" s="14">
        <v>2</v>
      </c>
      <c r="BF399" s="14">
        <f>IFERROR(AVERAGE(Tabel1[[#This Row],[Up - V2a]:[Up - V2c]]),"")</f>
        <v>2.5</v>
      </c>
      <c r="BG399" s="14">
        <v>1</v>
      </c>
      <c r="BH399" s="14">
        <v>1</v>
      </c>
      <c r="BI399" s="14">
        <f>IFERROR(AVERAGE(Tabel1[[#This Row],[Up - V3a]:[Up - V3b]]),"")</f>
        <v>1</v>
      </c>
      <c r="BJ399" s="14" t="s">
        <v>189</v>
      </c>
      <c r="BK399" s="14">
        <f>IFERROR(AVERAGE(Tabel1[[#This Row],[Up - V1]],Tabel1[[#This Row],[Up - V2]],Tabel1[[#This Row],[Up - V3]],Tabel1[[#This Row],[Up - V4]]),"")</f>
        <v>2</v>
      </c>
      <c r="BL399" s="14">
        <v>3</v>
      </c>
      <c r="BM399" s="14" t="s">
        <v>189</v>
      </c>
      <c r="BN399" s="14">
        <v>3</v>
      </c>
      <c r="BO399" s="14" t="s">
        <v>189</v>
      </c>
      <c r="BP399" s="14">
        <f>IFERROR(AVERAGE(Tabel1[[#This Row],[Up - A1a]:[Up - A1d]]),"")</f>
        <v>3</v>
      </c>
      <c r="BQ399" s="14" t="s">
        <v>189</v>
      </c>
      <c r="BR399" s="14" t="s">
        <v>189</v>
      </c>
      <c r="BS399" s="14" t="str">
        <f>IFERROR(AVERAGE(Tabel1[[#This Row],[Up - A2a]:[Up - A2b]]),"")</f>
        <v/>
      </c>
      <c r="BT399" s="14">
        <v>4</v>
      </c>
      <c r="BU399" s="14">
        <f>IFERROR(AVERAGE(Tabel1[[#This Row],[Up - A3a]:[Up - A3a]]),"")</f>
        <v>4</v>
      </c>
      <c r="BV399" s="14" t="s">
        <v>189</v>
      </c>
      <c r="BW399" s="14">
        <f>IFERROR(AVERAGE(Tabel1[[#This Row],[Up - A1]],Tabel1[[#This Row],[Up - A2]],Tabel1[[#This Row],[Up - A3]]),"")</f>
        <v>3.5</v>
      </c>
      <c r="BX399" s="14" t="s">
        <v>189</v>
      </c>
      <c r="BY399" s="14">
        <v>3</v>
      </c>
      <c r="BZ399" s="14">
        <f>IFERROR(AVERAGE(Tabel1[[#This Row],[In - R1a]:[In - R1b]]),"")</f>
        <v>3</v>
      </c>
      <c r="CA399" s="14">
        <v>4</v>
      </c>
      <c r="CB399" s="14">
        <v>2</v>
      </c>
      <c r="CC399" s="14">
        <v>4</v>
      </c>
      <c r="CD399" s="14">
        <v>3</v>
      </c>
      <c r="CE399" s="14">
        <f>IFERROR(AVERAGE(Tabel1[[#This Row],[In - R1]:[In - R5]]),"")</f>
        <v>3.2</v>
      </c>
      <c r="CF399" s="14">
        <v>4</v>
      </c>
      <c r="CG399" s="14">
        <v>4</v>
      </c>
      <c r="CH399" s="14">
        <v>4</v>
      </c>
      <c r="CI399" s="14">
        <f>IFERROR(AVERAGE(Tabel1[[#This Row],[In - C1a]:[In - C1c]]),"")</f>
        <v>4</v>
      </c>
      <c r="CJ399" s="14">
        <v>4</v>
      </c>
      <c r="CK399" s="14">
        <v>1</v>
      </c>
      <c r="CL399" s="14" t="s">
        <v>189</v>
      </c>
      <c r="CM399" s="14">
        <f>IFERROR(AVERAGE(Tabel1[[#This Row],[In - C1]:[In - C4]]),"")</f>
        <v>3</v>
      </c>
      <c r="CN399" s="14">
        <v>4</v>
      </c>
      <c r="CO399" s="14">
        <v>3</v>
      </c>
      <c r="CP399" s="14">
        <v>2</v>
      </c>
      <c r="CQ399" s="14">
        <f>IFERROR(AVERAGE(Tabel1[[#This Row],[In - F1a]:[In - F1c]]),"")</f>
        <v>3</v>
      </c>
      <c r="CR399" s="14">
        <v>2</v>
      </c>
      <c r="CS399" s="14">
        <v>1</v>
      </c>
      <c r="CT399" s="14">
        <f>IFERROR(AVERAGE(Tabel1[[#This Row],[In - F2a]:[In - F2b]]),"")</f>
        <v>1.5</v>
      </c>
      <c r="CU399" s="14">
        <v>2</v>
      </c>
      <c r="CV399" s="14">
        <f>IFERROR(AVERAGE(Tabel1[[#This Row],[In - F3a]:[In - F3a]]),"")</f>
        <v>2</v>
      </c>
      <c r="CW399" s="14" t="s">
        <v>189</v>
      </c>
      <c r="CX399" s="14">
        <f>IFERROR(AVERAGE(Tabel1[[#This Row],[In - F1]],Tabel1[[#This Row],[In - F2]],Tabel1[[#This Row],[In - F3]],Tabel1[[#This Row],[In - F4]]),"")</f>
        <v>2.1666666666666665</v>
      </c>
      <c r="CY399" s="14">
        <v>4</v>
      </c>
      <c r="CZ399" s="14">
        <v>4</v>
      </c>
      <c r="DA399" s="14">
        <v>2</v>
      </c>
      <c r="DB399" s="14">
        <f>IFERROR(AVERAGE(Tabel1[[#This Row],[In - V1a]:[In - V1c]]),"")</f>
        <v>3.3333333333333335</v>
      </c>
      <c r="DC399" s="14">
        <v>4</v>
      </c>
      <c r="DD399" s="14">
        <v>4</v>
      </c>
      <c r="DE399" s="14">
        <v>2</v>
      </c>
      <c r="DF399" s="14">
        <f>IFERROR(AVERAGE(Tabel1[[#This Row],[In - V2a]:[In - V2c]]),"")</f>
        <v>3.3333333333333335</v>
      </c>
      <c r="DG399" s="14" t="s">
        <v>189</v>
      </c>
      <c r="DH399" s="14">
        <v>4</v>
      </c>
      <c r="DI399" s="14">
        <f>IFERROR(AVERAGE(Tabel1[[#This Row],[In - V3a]:[In - V3b]]),"")</f>
        <v>4</v>
      </c>
      <c r="DJ399" s="14" t="s">
        <v>189</v>
      </c>
      <c r="DK399" s="14">
        <f>IFERROR(AVERAGE(Tabel1[[#This Row],[In - V1]],Tabel1[[#This Row],[In - V2]],Tabel1[[#This Row],[In - V3]],Tabel1[[#This Row],[In - V4]]),"")</f>
        <v>3.5555555555555558</v>
      </c>
      <c r="DL399" s="14">
        <v>3</v>
      </c>
      <c r="DM399" s="14">
        <v>2</v>
      </c>
      <c r="DN399" s="14">
        <f>IFERROR(AVERAGE(Tabel1[[#This Row],[In - A1a]:[In - A1b]]),"")</f>
        <v>2.5</v>
      </c>
      <c r="DO399" s="14" t="s">
        <v>189</v>
      </c>
      <c r="DP399" s="14">
        <v>3</v>
      </c>
      <c r="DQ399" s="14">
        <f>IFERROR(AVERAGE(Tabel1[[#This Row],[In - A2a]:[In - A2b]]),"")</f>
        <v>3</v>
      </c>
      <c r="DR399" s="14">
        <v>4</v>
      </c>
      <c r="DS399" s="14">
        <v>3</v>
      </c>
      <c r="DT399" s="14">
        <f>IFERROR(AVERAGE(Tabel1[[#This Row],[In - A3a]:[In - A3a]]),"")</f>
        <v>4</v>
      </c>
      <c r="DU399" s="14" t="s">
        <v>189</v>
      </c>
      <c r="DV399" s="14">
        <f>IFERROR(AVERAGE(Tabel1[[#This Row],[In - A1]],Tabel1[[#This Row],[In - A2]],Tabel1[[#This Row],[In - A3]],Tabel1[[#This Row],[In - A4]]),"")</f>
        <v>3.1666666666666665</v>
      </c>
      <c r="DW399" s="14" t="s">
        <v>189</v>
      </c>
      <c r="DX399" s="14" t="s">
        <v>189</v>
      </c>
      <c r="DY399" s="14" t="s">
        <v>189</v>
      </c>
      <c r="DZ399" s="14" t="str">
        <f>IFERROR(AVERAGE(Tabel1[[#This Row],[Do - R1a]:[Do - R1c]]),"")</f>
        <v/>
      </c>
      <c r="EA399" s="14">
        <v>3</v>
      </c>
      <c r="EB399" s="14" t="s">
        <v>189</v>
      </c>
      <c r="EC399" s="14" t="s">
        <v>189</v>
      </c>
      <c r="ED399" s="14" t="s">
        <v>189</v>
      </c>
      <c r="EE399" s="14">
        <f>IFERROR(AVERAGE(Tabel1[[#This Row],[Do - R1]:[Do - R5]]),"")</f>
        <v>3</v>
      </c>
      <c r="EF399" s="14">
        <v>4</v>
      </c>
      <c r="EG399" s="14">
        <v>4</v>
      </c>
      <c r="EH399" s="14">
        <v>3</v>
      </c>
      <c r="EI399" s="14">
        <f>IFERROR(AVERAGE(Tabel1[[#This Row],[Do - C1a]:[Do - C1c]]),"")</f>
        <v>3.6666666666666665</v>
      </c>
      <c r="EJ399" s="14" t="s">
        <v>189</v>
      </c>
      <c r="EK399" s="14">
        <v>2</v>
      </c>
      <c r="EL399" s="14" t="s">
        <v>189</v>
      </c>
      <c r="EM399" s="14">
        <f>IFERROR(AVERAGE(Tabel1[[#This Row],[Do - C1]:[Do - C4]]),"")</f>
        <v>2.833333333333333</v>
      </c>
      <c r="EN399" s="14">
        <v>3</v>
      </c>
      <c r="EO399" s="14" t="s">
        <v>189</v>
      </c>
      <c r="EP399" s="14">
        <v>3</v>
      </c>
      <c r="EQ399" s="14">
        <f>IFERROR(AVERAGE(Tabel1[[#This Row],[Do - F1a]:[Do - F1c]]),"")</f>
        <v>3</v>
      </c>
      <c r="ER399" s="14">
        <v>2</v>
      </c>
      <c r="ES399" s="14">
        <f>IFERROR(AVERAGE(Tabel1[[#This Row],[Do - F2a]:[Do - F2a]]),"")</f>
        <v>2</v>
      </c>
      <c r="ET399" s="14" t="s">
        <v>189</v>
      </c>
      <c r="EU399" s="14">
        <v>4</v>
      </c>
      <c r="EV399" s="14">
        <f>IFERROR(AVERAGE(Tabel1[[#This Row],[Do - F3a]:[Do - F3b]]),"")</f>
        <v>4</v>
      </c>
      <c r="EW399" s="14" t="s">
        <v>189</v>
      </c>
      <c r="EX399" s="14">
        <f>IFERROR(AVERAGE(Tabel1[[#This Row],[Do - F1]],Tabel1[[#This Row],[Do - F2]],Tabel1[[#This Row],[Do - F3]],Tabel1[[#This Row],[Do - F4]]),"")</f>
        <v>3</v>
      </c>
      <c r="EY399" s="14" t="s">
        <v>189</v>
      </c>
      <c r="EZ399" s="14" t="s">
        <v>189</v>
      </c>
      <c r="FA399" s="14" t="s">
        <v>189</v>
      </c>
      <c r="FB399" s="14" t="str">
        <f>IFERROR(AVERAGE(Tabel1[[#This Row],[Do - V1a]:[Do - V1c]]),"")</f>
        <v/>
      </c>
      <c r="FC399" s="14" t="s">
        <v>189</v>
      </c>
      <c r="FD399" s="14" t="s">
        <v>189</v>
      </c>
      <c r="FE399" s="14" t="str">
        <f>IFERROR(AVERAGE(Tabel1[[#This Row],[Do - V2a]:[Do - V2b]]),"")</f>
        <v/>
      </c>
      <c r="FF399" s="14" t="s">
        <v>189</v>
      </c>
      <c r="FG399" s="14" t="str">
        <f>IFERROR(AVERAGE(Tabel1[[#This Row],[Do - V3a]:[Do - V3a]]),"")</f>
        <v/>
      </c>
      <c r="FH399" s="14" t="s">
        <v>189</v>
      </c>
      <c r="FI399" s="14" t="str">
        <f>IFERROR(AVERAGE(Tabel1[[#This Row],[Do - V1]],Tabel1[[#This Row],[Do - V2]],Tabel1[[#This Row],[Do - V3]],Tabel1[[#This Row],[Do - V4]]),"")</f>
        <v/>
      </c>
      <c r="FJ399" s="14" t="s">
        <v>189</v>
      </c>
      <c r="FK399" s="14">
        <v>2</v>
      </c>
      <c r="FL399" s="14" t="s">
        <v>189</v>
      </c>
      <c r="FM399" s="14">
        <f>IFERROR(AVERAGE(Tabel1[[#This Row],[Do - A1a]:[Do - A1c]]),"")</f>
        <v>2</v>
      </c>
      <c r="FN399" s="14">
        <v>3</v>
      </c>
      <c r="FO399" s="14" t="s">
        <v>189</v>
      </c>
      <c r="FP399" s="14">
        <f>IFERROR(AVERAGE(Tabel1[[#This Row],[Do - A2a]:[Do - A2b]]),"")</f>
        <v>3</v>
      </c>
      <c r="FQ399" s="14">
        <v>3</v>
      </c>
      <c r="FR399" s="14">
        <f>IFERROR(AVERAGE(Tabel1[[#This Row],[Do - A3a]:[Do - A3a]]),"")</f>
        <v>3</v>
      </c>
      <c r="FS399" s="14" t="s">
        <v>189</v>
      </c>
      <c r="FT399" s="14">
        <f>IFERROR(AVERAGE(Tabel1[[#This Row],[Do - A1]],Tabel1[[#This Row],[Do - A2]],Tabel1[[#This Row],[Do - A3]],Tabel1[[#This Row],[Do - A4]]),"")</f>
        <v>2.6666666666666665</v>
      </c>
      <c r="FU399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2.8123015873015875</v>
      </c>
      <c r="FV399" s="27" t="s">
        <v>2003</v>
      </c>
      <c r="FW399" t="b">
        <v>1</v>
      </c>
    </row>
    <row r="400" spans="1:179" x14ac:dyDescent="0.3">
      <c r="A400" s="13">
        <v>45624.565266203703</v>
      </c>
      <c r="B400" t="b">
        <v>0</v>
      </c>
      <c r="C400" s="14" t="s">
        <v>2004</v>
      </c>
      <c r="D400" s="14" t="s">
        <v>2005</v>
      </c>
      <c r="E400" s="14" t="s">
        <v>1979</v>
      </c>
      <c r="F400" s="14" t="s">
        <v>184</v>
      </c>
      <c r="G400" s="14" t="s">
        <v>2006</v>
      </c>
      <c r="H400" s="14" t="s">
        <v>222</v>
      </c>
      <c r="I400" s="14" t="s">
        <v>195</v>
      </c>
      <c r="J400" s="14" t="s">
        <v>533</v>
      </c>
      <c r="K400" s="28" t="s">
        <v>235</v>
      </c>
      <c r="L400" s="14" t="s">
        <v>197</v>
      </c>
      <c r="M400" s="14" t="s">
        <v>281</v>
      </c>
      <c r="N400" s="14" t="s">
        <v>262</v>
      </c>
      <c r="O400" s="14" t="s">
        <v>200</v>
      </c>
      <c r="P400" s="24" t="s">
        <v>304</v>
      </c>
      <c r="Q400" s="17" t="s">
        <v>201</v>
      </c>
      <c r="R400" s="24" t="s">
        <v>304</v>
      </c>
      <c r="S400" s="25" t="s">
        <v>187</v>
      </c>
      <c r="T400" s="14" t="s">
        <v>236</v>
      </c>
      <c r="U400" s="14" t="s">
        <v>285</v>
      </c>
      <c r="V400" s="14" t="s">
        <v>359</v>
      </c>
      <c r="W400" s="14" t="s">
        <v>207</v>
      </c>
      <c r="X400" s="14" t="s">
        <v>207</v>
      </c>
      <c r="Y400" s="14">
        <v>3</v>
      </c>
      <c r="Z400" s="14">
        <v>4</v>
      </c>
      <c r="AA400" s="14">
        <v>3</v>
      </c>
      <c r="AB400" s="15">
        <f>IFERROR(AVERAGE(Tabel1[[#This Row],[Up - R1a]:[Up - R1c]]),"")</f>
        <v>3.3333333333333335</v>
      </c>
      <c r="AC400" s="14">
        <v>3</v>
      </c>
      <c r="AD400" s="14">
        <v>4</v>
      </c>
      <c r="AE400" s="14">
        <v>1</v>
      </c>
      <c r="AF400" s="14">
        <v>3</v>
      </c>
      <c r="AG400" s="14">
        <f>IFERROR(AVERAGE(Tabel1[[#This Row],[Up - R1]:[Up - R5]]),"")</f>
        <v>2.8666666666666667</v>
      </c>
      <c r="AH400" s="14">
        <v>3</v>
      </c>
      <c r="AI400" s="14">
        <v>4</v>
      </c>
      <c r="AJ400" s="14">
        <v>2</v>
      </c>
      <c r="AK400" s="14">
        <f>IFERROR(AVERAGE(Tabel1[[#This Row],[Up - C1a]:[Up - C1c]]),"")</f>
        <v>3</v>
      </c>
      <c r="AL400" s="14">
        <v>4</v>
      </c>
      <c r="AM400" s="14">
        <v>2</v>
      </c>
      <c r="AN400" s="14">
        <v>3</v>
      </c>
      <c r="AO400" s="14">
        <f>IFERROR(AVERAGE(Tabel1[[#This Row],[Up - C1]:[Up - C4]]),"")</f>
        <v>3</v>
      </c>
      <c r="AP400" s="14">
        <v>4</v>
      </c>
      <c r="AQ400" s="14">
        <f>IFERROR(AVERAGE(Tabel1[[#This Row],[Up - F1a]:[Up - F1a]]),"")</f>
        <v>4</v>
      </c>
      <c r="AR400" s="14">
        <v>2</v>
      </c>
      <c r="AS400" s="14">
        <v>2</v>
      </c>
      <c r="AT400" s="14">
        <f>IFERROR(AVERAGE(Tabel1[[#This Row],[Up - F2a]:[Up - F2b]]),"")</f>
        <v>2</v>
      </c>
      <c r="AU400" s="14">
        <v>3</v>
      </c>
      <c r="AV400" s="14">
        <v>4</v>
      </c>
      <c r="AW400" s="14">
        <f>IFERROR(AVERAGE(Tabel1[[#This Row],[Up - F3a]:[Up - F3b]]),"")</f>
        <v>3.5</v>
      </c>
      <c r="AX400" s="14">
        <v>4</v>
      </c>
      <c r="AY400" s="14">
        <f>IFERROR(AVERAGE(Tabel1[[#This Row],[Up - F1]],Tabel1[[#This Row],[Up - F2]],Tabel1[[#This Row],[Up - F3]],Tabel1[[#This Row],[Up - F4]]),"")</f>
        <v>3.375</v>
      </c>
      <c r="AZ400" s="14">
        <v>1</v>
      </c>
      <c r="BA400" s="14">
        <v>3</v>
      </c>
      <c r="BB400" s="14">
        <f>IFERROR(AVERAGE(Tabel1[[#This Row],[Up - V1a]:[Up - V1b]]),"")</f>
        <v>2</v>
      </c>
      <c r="BC400" s="14">
        <v>2</v>
      </c>
      <c r="BD400" s="14">
        <v>4</v>
      </c>
      <c r="BE400" s="14">
        <v>3</v>
      </c>
      <c r="BF400" s="14">
        <f>IFERROR(AVERAGE(Tabel1[[#This Row],[Up - V2a]:[Up - V2c]]),"")</f>
        <v>3</v>
      </c>
      <c r="BG400" s="14">
        <v>2</v>
      </c>
      <c r="BH400" s="14">
        <v>3</v>
      </c>
      <c r="BI400" s="14">
        <f>IFERROR(AVERAGE(Tabel1[[#This Row],[Up - V3a]:[Up - V3b]]),"")</f>
        <v>2.5</v>
      </c>
      <c r="BJ400" s="14">
        <v>3</v>
      </c>
      <c r="BK400" s="14">
        <f>IFERROR(AVERAGE(Tabel1[[#This Row],[Up - V1]],Tabel1[[#This Row],[Up - V2]],Tabel1[[#This Row],[Up - V3]],Tabel1[[#This Row],[Up - V4]]),"")</f>
        <v>2.625</v>
      </c>
      <c r="BL400" s="14">
        <v>4</v>
      </c>
      <c r="BM400" s="14">
        <v>5</v>
      </c>
      <c r="BN400" s="14">
        <v>2</v>
      </c>
      <c r="BO400" s="14">
        <v>2</v>
      </c>
      <c r="BP400" s="14">
        <f>IFERROR(AVERAGE(Tabel1[[#This Row],[Up - A1a]:[Up - A1d]]),"")</f>
        <v>3.25</v>
      </c>
      <c r="BQ400" s="14">
        <v>3</v>
      </c>
      <c r="BR400" s="14">
        <v>4</v>
      </c>
      <c r="BS400" s="14">
        <f>IFERROR(AVERAGE(Tabel1[[#This Row],[Up - A2a]:[Up - A2b]]),"")</f>
        <v>3.5</v>
      </c>
      <c r="BT400" s="14">
        <v>3</v>
      </c>
      <c r="BU400" s="14">
        <f>IFERROR(AVERAGE(Tabel1[[#This Row],[Up - A3a]:[Up - A3a]]),"")</f>
        <v>3</v>
      </c>
      <c r="BV400" s="14">
        <v>3</v>
      </c>
      <c r="BW400" s="14">
        <f>IFERROR(AVERAGE(Tabel1[[#This Row],[Up - A1]],Tabel1[[#This Row],[Up - A2]],Tabel1[[#This Row],[Up - A3]]),"")</f>
        <v>3.25</v>
      </c>
      <c r="BX400" s="14">
        <v>3</v>
      </c>
      <c r="BY400" s="14">
        <v>4</v>
      </c>
      <c r="BZ400" s="14">
        <f>IFERROR(AVERAGE(Tabel1[[#This Row],[In - R1a]:[In - R1b]]),"")</f>
        <v>3.5</v>
      </c>
      <c r="CA400" s="14">
        <v>3</v>
      </c>
      <c r="CB400" s="14">
        <v>4</v>
      </c>
      <c r="CC400" s="14">
        <v>1</v>
      </c>
      <c r="CD400" s="14">
        <v>3</v>
      </c>
      <c r="CE400" s="14">
        <f>IFERROR(AVERAGE(Tabel1[[#This Row],[In - R1]:[In - R5]]),"")</f>
        <v>2.9</v>
      </c>
      <c r="CF400" s="14">
        <v>4</v>
      </c>
      <c r="CG400" s="14">
        <v>3</v>
      </c>
      <c r="CH400" s="14">
        <v>4</v>
      </c>
      <c r="CI400" s="14">
        <f>IFERROR(AVERAGE(Tabel1[[#This Row],[In - C1a]:[In - C1c]]),"")</f>
        <v>3.6666666666666665</v>
      </c>
      <c r="CJ400" s="14">
        <v>3</v>
      </c>
      <c r="CK400" s="14">
        <v>2</v>
      </c>
      <c r="CL400" s="14">
        <v>3</v>
      </c>
      <c r="CM400" s="14">
        <f>IFERROR(AVERAGE(Tabel1[[#This Row],[In - C1]:[In - C4]]),"")</f>
        <v>2.9166666666666665</v>
      </c>
      <c r="CN400" s="14">
        <v>3</v>
      </c>
      <c r="CO400" s="14">
        <v>3</v>
      </c>
      <c r="CP400" s="14">
        <v>2</v>
      </c>
      <c r="CQ400" s="14">
        <f>IFERROR(AVERAGE(Tabel1[[#This Row],[In - F1a]:[In - F1c]]),"")</f>
        <v>2.6666666666666665</v>
      </c>
      <c r="CR400" s="14">
        <v>2</v>
      </c>
      <c r="CS400" s="14">
        <v>2</v>
      </c>
      <c r="CT400" s="14">
        <f>IFERROR(AVERAGE(Tabel1[[#This Row],[In - F2a]:[In - F2b]]),"")</f>
        <v>2</v>
      </c>
      <c r="CU400" s="14">
        <v>4</v>
      </c>
      <c r="CV400" s="14">
        <f>IFERROR(AVERAGE(Tabel1[[#This Row],[In - F3a]:[In - F3a]]),"")</f>
        <v>4</v>
      </c>
      <c r="CW400" s="14">
        <v>4</v>
      </c>
      <c r="CX400" s="14">
        <f>IFERROR(AVERAGE(Tabel1[[#This Row],[In - F1]],Tabel1[[#This Row],[In - F2]],Tabel1[[#This Row],[In - F3]],Tabel1[[#This Row],[In - F4]]),"")</f>
        <v>3.1666666666666665</v>
      </c>
      <c r="CY400" s="14">
        <v>3</v>
      </c>
      <c r="CZ400" s="14">
        <v>4</v>
      </c>
      <c r="DA400" s="14">
        <v>3</v>
      </c>
      <c r="DB400" s="14">
        <f>IFERROR(AVERAGE(Tabel1[[#This Row],[In - V1a]:[In - V1c]]),"")</f>
        <v>3.3333333333333335</v>
      </c>
      <c r="DC400" s="14">
        <v>3</v>
      </c>
      <c r="DD400" s="14">
        <v>3</v>
      </c>
      <c r="DE400" s="14">
        <v>4</v>
      </c>
      <c r="DF400" s="14">
        <f>IFERROR(AVERAGE(Tabel1[[#This Row],[In - V2a]:[In - V2c]]),"")</f>
        <v>3.3333333333333335</v>
      </c>
      <c r="DG400" s="14">
        <v>3</v>
      </c>
      <c r="DH400" s="14">
        <v>2</v>
      </c>
      <c r="DI400" s="14">
        <f>IFERROR(AVERAGE(Tabel1[[#This Row],[In - V3a]:[In - V3b]]),"")</f>
        <v>2.5</v>
      </c>
      <c r="DJ400" s="14">
        <v>2</v>
      </c>
      <c r="DK400" s="14">
        <f>IFERROR(AVERAGE(Tabel1[[#This Row],[In - V1]],Tabel1[[#This Row],[In - V2]],Tabel1[[#This Row],[In - V3]],Tabel1[[#This Row],[In - V4]]),"")</f>
        <v>2.791666666666667</v>
      </c>
      <c r="DL400" s="14">
        <v>3</v>
      </c>
      <c r="DM400" s="14">
        <v>4</v>
      </c>
      <c r="DN400" s="14">
        <f>IFERROR(AVERAGE(Tabel1[[#This Row],[In - A1a]:[In - A1b]]),"")</f>
        <v>3.5</v>
      </c>
      <c r="DO400" s="14">
        <v>4</v>
      </c>
      <c r="DP400" s="14">
        <v>3</v>
      </c>
      <c r="DQ400" s="14">
        <f>IFERROR(AVERAGE(Tabel1[[#This Row],[In - A2a]:[In - A2b]]),"")</f>
        <v>3.5</v>
      </c>
      <c r="DR400" s="14">
        <v>4</v>
      </c>
      <c r="DS400" s="14">
        <v>2</v>
      </c>
      <c r="DT400" s="14">
        <f>IFERROR(AVERAGE(Tabel1[[#This Row],[In - A3a]:[In - A3a]]),"")</f>
        <v>4</v>
      </c>
      <c r="DU400" s="14">
        <v>3</v>
      </c>
      <c r="DV400" s="14">
        <f>IFERROR(AVERAGE(Tabel1[[#This Row],[In - A1]],Tabel1[[#This Row],[In - A2]],Tabel1[[#This Row],[In - A3]],Tabel1[[#This Row],[In - A4]]),"")</f>
        <v>3.5</v>
      </c>
      <c r="DW400" s="14">
        <v>2</v>
      </c>
      <c r="DX400" s="14">
        <v>3</v>
      </c>
      <c r="DY400" s="14">
        <v>2</v>
      </c>
      <c r="DZ400" s="14">
        <f>IFERROR(AVERAGE(Tabel1[[#This Row],[Do - R1a]:[Do - R1c]]),"")</f>
        <v>2.3333333333333335</v>
      </c>
      <c r="EA400" s="14">
        <v>3</v>
      </c>
      <c r="EB400" s="14">
        <v>4</v>
      </c>
      <c r="EC400" s="14">
        <v>3</v>
      </c>
      <c r="ED400" s="14">
        <v>4</v>
      </c>
      <c r="EE400" s="14">
        <f>IFERROR(AVERAGE(Tabel1[[#This Row],[Do - R1]:[Do - R5]]),"")</f>
        <v>3.2666666666666671</v>
      </c>
      <c r="EF400" s="14">
        <v>3</v>
      </c>
      <c r="EG400" s="14">
        <v>4</v>
      </c>
      <c r="EH400" s="14">
        <v>2</v>
      </c>
      <c r="EI400" s="14">
        <f>IFERROR(AVERAGE(Tabel1[[#This Row],[Do - C1a]:[Do - C1c]]),"")</f>
        <v>3</v>
      </c>
      <c r="EJ400" s="14">
        <v>3</v>
      </c>
      <c r="EK400" s="14">
        <v>3</v>
      </c>
      <c r="EL400" s="14">
        <v>3</v>
      </c>
      <c r="EM400" s="14">
        <f>IFERROR(AVERAGE(Tabel1[[#This Row],[Do - C1]:[Do - C4]]),"")</f>
        <v>3</v>
      </c>
      <c r="EN400" s="14">
        <v>4</v>
      </c>
      <c r="EO400" s="14">
        <v>3</v>
      </c>
      <c r="EP400" s="14">
        <v>2</v>
      </c>
      <c r="EQ400" s="14">
        <f>IFERROR(AVERAGE(Tabel1[[#This Row],[Do - F1a]:[Do - F1c]]),"")</f>
        <v>3</v>
      </c>
      <c r="ER400" s="14">
        <v>2</v>
      </c>
      <c r="ES400" s="14">
        <f>IFERROR(AVERAGE(Tabel1[[#This Row],[Do - F2a]:[Do - F2a]]),"")</f>
        <v>2</v>
      </c>
      <c r="ET400" s="14">
        <v>4</v>
      </c>
      <c r="EU400" s="14">
        <v>4</v>
      </c>
      <c r="EV400" s="14">
        <f>IFERROR(AVERAGE(Tabel1[[#This Row],[Do - F3a]:[Do - F3b]]),"")</f>
        <v>4</v>
      </c>
      <c r="EW400" s="14">
        <v>4</v>
      </c>
      <c r="EX400" s="14">
        <f>IFERROR(AVERAGE(Tabel1[[#This Row],[Do - F1]],Tabel1[[#This Row],[Do - F2]],Tabel1[[#This Row],[Do - F3]],Tabel1[[#This Row],[Do - F4]]),"")</f>
        <v>3.25</v>
      </c>
      <c r="EY400" s="14">
        <v>4</v>
      </c>
      <c r="EZ400" s="14">
        <v>3</v>
      </c>
      <c r="FA400" s="14">
        <v>3</v>
      </c>
      <c r="FB400" s="14">
        <f>IFERROR(AVERAGE(Tabel1[[#This Row],[Do - V1a]:[Do - V1c]]),"")</f>
        <v>3.3333333333333335</v>
      </c>
      <c r="FC400" s="14">
        <v>3</v>
      </c>
      <c r="FD400" s="14">
        <v>4</v>
      </c>
      <c r="FE400" s="14">
        <f>IFERROR(AVERAGE(Tabel1[[#This Row],[Do - V2a]:[Do - V2b]]),"")</f>
        <v>3.5</v>
      </c>
      <c r="FF400" s="14">
        <v>2</v>
      </c>
      <c r="FG400" s="14">
        <f>IFERROR(AVERAGE(Tabel1[[#This Row],[Do - V3a]:[Do - V3a]]),"")</f>
        <v>2</v>
      </c>
      <c r="FH400" s="14">
        <v>2</v>
      </c>
      <c r="FI400" s="14">
        <f>IFERROR(AVERAGE(Tabel1[[#This Row],[Do - V1]],Tabel1[[#This Row],[Do - V2]],Tabel1[[#This Row],[Do - V3]],Tabel1[[#This Row],[Do - V4]]),"")</f>
        <v>2.7083333333333335</v>
      </c>
      <c r="FJ400" s="14">
        <v>3</v>
      </c>
      <c r="FK400" s="14">
        <v>2</v>
      </c>
      <c r="FL400" s="14">
        <v>2</v>
      </c>
      <c r="FM400" s="14">
        <f>IFERROR(AVERAGE(Tabel1[[#This Row],[Do - A1a]:[Do - A1c]]),"")</f>
        <v>2.3333333333333335</v>
      </c>
      <c r="FN400" s="14">
        <v>3</v>
      </c>
      <c r="FO400" s="14">
        <v>3</v>
      </c>
      <c r="FP400" s="14">
        <f>IFERROR(AVERAGE(Tabel1[[#This Row],[Do - A2a]:[Do - A2b]]),"")</f>
        <v>3</v>
      </c>
      <c r="FQ400" s="14">
        <v>3</v>
      </c>
      <c r="FR400" s="14">
        <f>IFERROR(AVERAGE(Tabel1[[#This Row],[Do - A3a]:[Do - A3a]]),"")</f>
        <v>3</v>
      </c>
      <c r="FS400" s="14">
        <v>3</v>
      </c>
      <c r="FT400" s="14">
        <f>IFERROR(AVERAGE(Tabel1[[#This Row],[Do - A1]],Tabel1[[#This Row],[Do - A2]],Tabel1[[#This Row],[Do - A3]],Tabel1[[#This Row],[Do - A4]]),"")</f>
        <v>2.8333333333333335</v>
      </c>
      <c r="FU400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3.0300000000000007</v>
      </c>
      <c r="FV400" s="27" t="s">
        <v>2007</v>
      </c>
      <c r="FW400" t="b">
        <v>1</v>
      </c>
    </row>
    <row r="401" spans="1:179" x14ac:dyDescent="0.3">
      <c r="A401" s="13">
        <v>45624.663229166697</v>
      </c>
      <c r="B401" t="b">
        <v>0</v>
      </c>
      <c r="C401" s="14" t="s">
        <v>2008</v>
      </c>
      <c r="D401" s="14" t="s">
        <v>963</v>
      </c>
      <c r="E401" s="14" t="s">
        <v>1979</v>
      </c>
      <c r="F401" s="14" t="s">
        <v>184</v>
      </c>
      <c r="G401" s="14" t="s">
        <v>2009</v>
      </c>
      <c r="H401" s="14" t="s">
        <v>222</v>
      </c>
      <c r="I401" s="14" t="s">
        <v>195</v>
      </c>
      <c r="J401" s="14" t="s">
        <v>347</v>
      </c>
      <c r="K401" s="28" t="s">
        <v>235</v>
      </c>
      <c r="L401" s="14" t="s">
        <v>197</v>
      </c>
      <c r="M401" s="14" t="s">
        <v>233</v>
      </c>
      <c r="N401" s="14" t="s">
        <v>262</v>
      </c>
      <c r="O401" s="14" t="s">
        <v>200</v>
      </c>
      <c r="P401" s="24" t="s">
        <v>255</v>
      </c>
      <c r="Q401" s="17" t="s">
        <v>235</v>
      </c>
      <c r="R401" s="24" t="s">
        <v>304</v>
      </c>
      <c r="S401" s="24" t="s">
        <v>304</v>
      </c>
      <c r="T401" s="14" t="s">
        <v>348</v>
      </c>
      <c r="U401" s="14" t="s">
        <v>237</v>
      </c>
      <c r="V401" s="14" t="s">
        <v>359</v>
      </c>
      <c r="W401" s="14" t="s">
        <v>207</v>
      </c>
      <c r="X401" s="14" t="s">
        <v>207</v>
      </c>
      <c r="Y401" s="14">
        <v>4</v>
      </c>
      <c r="Z401" s="14">
        <v>4</v>
      </c>
      <c r="AA401" s="14">
        <v>4</v>
      </c>
      <c r="AB401" s="15">
        <f>IFERROR(AVERAGE(Tabel1[[#This Row],[Up - R1a]:[Up - R1c]]),"")</f>
        <v>4</v>
      </c>
      <c r="AC401" s="14">
        <v>4</v>
      </c>
      <c r="AD401" s="14">
        <v>3</v>
      </c>
      <c r="AE401" s="14">
        <v>5</v>
      </c>
      <c r="AF401" s="14">
        <v>3</v>
      </c>
      <c r="AG401" s="14">
        <f>IFERROR(AVERAGE(Tabel1[[#This Row],[Up - R1]:[Up - R5]]),"")</f>
        <v>3.8</v>
      </c>
      <c r="AH401" s="14">
        <v>2</v>
      </c>
      <c r="AI401" s="14">
        <v>4</v>
      </c>
      <c r="AJ401" s="14">
        <v>4</v>
      </c>
      <c r="AK401" s="14">
        <f>IFERROR(AVERAGE(Tabel1[[#This Row],[Up - C1a]:[Up - C1c]]),"")</f>
        <v>3.3333333333333335</v>
      </c>
      <c r="AL401" s="14">
        <v>4</v>
      </c>
      <c r="AM401" s="14">
        <v>4</v>
      </c>
      <c r="AN401" s="14">
        <v>3</v>
      </c>
      <c r="AO401" s="14">
        <f>IFERROR(AVERAGE(Tabel1[[#This Row],[Up - C1]:[Up - C4]]),"")</f>
        <v>3.5833333333333335</v>
      </c>
      <c r="AP401" s="14">
        <v>3</v>
      </c>
      <c r="AQ401" s="14">
        <f>IFERROR(AVERAGE(Tabel1[[#This Row],[Up - F1a]:[Up - F1a]]),"")</f>
        <v>3</v>
      </c>
      <c r="AR401" s="14">
        <v>4</v>
      </c>
      <c r="AS401" s="14">
        <v>3</v>
      </c>
      <c r="AT401" s="14">
        <f>IFERROR(AVERAGE(Tabel1[[#This Row],[Up - F2a]:[Up - F2b]]),"")</f>
        <v>3.5</v>
      </c>
      <c r="AU401" s="14">
        <v>4</v>
      </c>
      <c r="AV401" s="14">
        <v>4</v>
      </c>
      <c r="AW401" s="14">
        <f>IFERROR(AVERAGE(Tabel1[[#This Row],[Up - F3a]:[Up - F3b]]),"")</f>
        <v>4</v>
      </c>
      <c r="AX401" s="14">
        <v>4</v>
      </c>
      <c r="AY401" s="14">
        <f>IFERROR(AVERAGE(Tabel1[[#This Row],[Up - F1]],Tabel1[[#This Row],[Up - F2]],Tabel1[[#This Row],[Up - F3]],Tabel1[[#This Row],[Up - F4]]),"")</f>
        <v>3.625</v>
      </c>
      <c r="AZ401" s="14">
        <v>4</v>
      </c>
      <c r="BA401" s="14">
        <v>3</v>
      </c>
      <c r="BB401" s="14">
        <f>IFERROR(AVERAGE(Tabel1[[#This Row],[Up - V1a]:[Up - V1b]]),"")</f>
        <v>3.5</v>
      </c>
      <c r="BC401" s="14">
        <v>3</v>
      </c>
      <c r="BD401" s="14">
        <v>4</v>
      </c>
      <c r="BE401" s="14">
        <v>3</v>
      </c>
      <c r="BF401" s="14">
        <f>IFERROR(AVERAGE(Tabel1[[#This Row],[Up - V2a]:[Up - V2c]]),"")</f>
        <v>3.3333333333333335</v>
      </c>
      <c r="BG401" s="14">
        <v>4</v>
      </c>
      <c r="BH401" s="14">
        <v>4</v>
      </c>
      <c r="BI401" s="14">
        <f>IFERROR(AVERAGE(Tabel1[[#This Row],[Up - V3a]:[Up - V3b]]),"")</f>
        <v>4</v>
      </c>
      <c r="BJ401" s="14">
        <v>4</v>
      </c>
      <c r="BK401" s="14">
        <f>IFERROR(AVERAGE(Tabel1[[#This Row],[Up - V1]],Tabel1[[#This Row],[Up - V2]],Tabel1[[#This Row],[Up - V3]],Tabel1[[#This Row],[Up - V4]]),"")</f>
        <v>3.7083333333333335</v>
      </c>
      <c r="BL401" s="14" t="s">
        <v>189</v>
      </c>
      <c r="BM401" s="14">
        <v>4</v>
      </c>
      <c r="BN401" s="14">
        <v>3</v>
      </c>
      <c r="BO401" s="14">
        <v>2</v>
      </c>
      <c r="BP401" s="14">
        <f>IFERROR(AVERAGE(Tabel1[[#This Row],[Up - A1a]:[Up - A1d]]),"")</f>
        <v>3</v>
      </c>
      <c r="BQ401" s="14">
        <v>2</v>
      </c>
      <c r="BR401" s="14">
        <v>4</v>
      </c>
      <c r="BS401" s="14">
        <f>IFERROR(AVERAGE(Tabel1[[#This Row],[Up - A2a]:[Up - A2b]]),"")</f>
        <v>3</v>
      </c>
      <c r="BT401" s="14">
        <v>2</v>
      </c>
      <c r="BU401" s="14">
        <f>IFERROR(AVERAGE(Tabel1[[#This Row],[Up - A3a]:[Up - A3a]]),"")</f>
        <v>2</v>
      </c>
      <c r="BV401" s="14">
        <v>4</v>
      </c>
      <c r="BW401" s="14">
        <f>IFERROR(AVERAGE(Tabel1[[#This Row],[Up - A1]],Tabel1[[#This Row],[Up - A2]],Tabel1[[#This Row],[Up - A3]]),"")</f>
        <v>2.6666666666666665</v>
      </c>
      <c r="BX401" s="14">
        <v>4</v>
      </c>
      <c r="BY401" s="14">
        <v>5</v>
      </c>
      <c r="BZ401" s="14">
        <f>IFERROR(AVERAGE(Tabel1[[#This Row],[In - R1a]:[In - R1b]]),"")</f>
        <v>4.5</v>
      </c>
      <c r="CA401" s="14">
        <v>3</v>
      </c>
      <c r="CB401" s="14">
        <v>5</v>
      </c>
      <c r="CC401" s="14">
        <v>4</v>
      </c>
      <c r="CD401" s="14">
        <v>2</v>
      </c>
      <c r="CE401" s="14">
        <f>IFERROR(AVERAGE(Tabel1[[#This Row],[In - R1]:[In - R5]]),"")</f>
        <v>3.7</v>
      </c>
      <c r="CF401" s="14">
        <v>2</v>
      </c>
      <c r="CG401" s="14">
        <v>2</v>
      </c>
      <c r="CH401" s="14">
        <v>2</v>
      </c>
      <c r="CI401" s="14">
        <f>IFERROR(AVERAGE(Tabel1[[#This Row],[In - C1a]:[In - C1c]]),"")</f>
        <v>2</v>
      </c>
      <c r="CJ401" s="14">
        <v>3</v>
      </c>
      <c r="CK401" s="14">
        <v>3</v>
      </c>
      <c r="CL401" s="14">
        <v>2</v>
      </c>
      <c r="CM401" s="14">
        <f>IFERROR(AVERAGE(Tabel1[[#This Row],[In - C1]:[In - C4]]),"")</f>
        <v>2.5</v>
      </c>
      <c r="CN401" s="14">
        <v>3</v>
      </c>
      <c r="CO401" s="14">
        <v>3</v>
      </c>
      <c r="CP401" s="14">
        <v>4</v>
      </c>
      <c r="CQ401" s="14">
        <f>IFERROR(AVERAGE(Tabel1[[#This Row],[In - F1a]:[In - F1c]]),"")</f>
        <v>3.3333333333333335</v>
      </c>
      <c r="CR401" s="14">
        <v>5</v>
      </c>
      <c r="CS401" s="14">
        <v>4</v>
      </c>
      <c r="CT401" s="14">
        <f>IFERROR(AVERAGE(Tabel1[[#This Row],[In - F2a]:[In - F2b]]),"")</f>
        <v>4.5</v>
      </c>
      <c r="CU401" s="14">
        <v>3</v>
      </c>
      <c r="CV401" s="14">
        <f>IFERROR(AVERAGE(Tabel1[[#This Row],[In - F3a]:[In - F3a]]),"")</f>
        <v>3</v>
      </c>
      <c r="CW401" s="14" t="s">
        <v>189</v>
      </c>
      <c r="CX401" s="14">
        <f>IFERROR(AVERAGE(Tabel1[[#This Row],[In - F1]],Tabel1[[#This Row],[In - F2]],Tabel1[[#This Row],[In - F3]],Tabel1[[#This Row],[In - F4]]),"")</f>
        <v>3.6111111111111112</v>
      </c>
      <c r="CY401" s="14">
        <v>3</v>
      </c>
      <c r="CZ401" s="14">
        <v>2</v>
      </c>
      <c r="DA401" s="14">
        <v>4</v>
      </c>
      <c r="DB401" s="14">
        <f>IFERROR(AVERAGE(Tabel1[[#This Row],[In - V1a]:[In - V1c]]),"")</f>
        <v>3</v>
      </c>
      <c r="DC401" s="14">
        <v>3</v>
      </c>
      <c r="DD401" s="14">
        <v>3</v>
      </c>
      <c r="DE401" s="14">
        <v>2</v>
      </c>
      <c r="DF401" s="14">
        <f>IFERROR(AVERAGE(Tabel1[[#This Row],[In - V2a]:[In - V2c]]),"")</f>
        <v>2.6666666666666665</v>
      </c>
      <c r="DG401" s="14">
        <v>2</v>
      </c>
      <c r="DH401" s="14">
        <v>4</v>
      </c>
      <c r="DI401" s="14">
        <f>IFERROR(AVERAGE(Tabel1[[#This Row],[In - V3a]:[In - V3b]]),"")</f>
        <v>3</v>
      </c>
      <c r="DJ401" s="14" t="s">
        <v>189</v>
      </c>
      <c r="DK401" s="14">
        <f>IFERROR(AVERAGE(Tabel1[[#This Row],[In - V1]],Tabel1[[#This Row],[In - V2]],Tabel1[[#This Row],[In - V3]],Tabel1[[#This Row],[In - V4]]),"")</f>
        <v>2.8888888888888888</v>
      </c>
      <c r="DL401" s="14">
        <v>4</v>
      </c>
      <c r="DM401" s="14">
        <v>4</v>
      </c>
      <c r="DN401" s="14">
        <f>IFERROR(AVERAGE(Tabel1[[#This Row],[In - A1a]:[In - A1b]]),"")</f>
        <v>4</v>
      </c>
      <c r="DO401" s="14">
        <v>3</v>
      </c>
      <c r="DP401" s="14">
        <v>3</v>
      </c>
      <c r="DQ401" s="14">
        <f>IFERROR(AVERAGE(Tabel1[[#This Row],[In - A2a]:[In - A2b]]),"")</f>
        <v>3</v>
      </c>
      <c r="DR401" s="14">
        <v>2</v>
      </c>
      <c r="DS401" s="14">
        <v>4</v>
      </c>
      <c r="DT401" s="14">
        <f>IFERROR(AVERAGE(Tabel1[[#This Row],[In - A3a]:[In - A3a]]),"")</f>
        <v>2</v>
      </c>
      <c r="DU401" s="14">
        <v>4</v>
      </c>
      <c r="DV401" s="14">
        <f>IFERROR(AVERAGE(Tabel1[[#This Row],[In - A1]],Tabel1[[#This Row],[In - A2]],Tabel1[[#This Row],[In - A3]],Tabel1[[#This Row],[In - A4]]),"")</f>
        <v>3.25</v>
      </c>
      <c r="DW401" s="14">
        <v>5</v>
      </c>
      <c r="DX401" s="14">
        <v>3</v>
      </c>
      <c r="DY401" s="14">
        <v>5</v>
      </c>
      <c r="DZ401" s="14">
        <f>IFERROR(AVERAGE(Tabel1[[#This Row],[Do - R1a]:[Do - R1c]]),"")</f>
        <v>4.333333333333333</v>
      </c>
      <c r="EA401" s="14">
        <v>4</v>
      </c>
      <c r="EB401" s="14" t="s">
        <v>189</v>
      </c>
      <c r="EC401" s="14">
        <v>4</v>
      </c>
      <c r="ED401" s="14" t="s">
        <v>189</v>
      </c>
      <c r="EE401" s="14">
        <f>IFERROR(AVERAGE(Tabel1[[#This Row],[Do - R1]:[Do - R5]]),"")</f>
        <v>4.1111111111111107</v>
      </c>
      <c r="EF401" s="14">
        <v>1</v>
      </c>
      <c r="EG401" s="14">
        <v>2</v>
      </c>
      <c r="EH401" s="14">
        <v>1</v>
      </c>
      <c r="EI401" s="14">
        <f>IFERROR(AVERAGE(Tabel1[[#This Row],[Do - C1a]:[Do - C1c]]),"")</f>
        <v>1.3333333333333333</v>
      </c>
      <c r="EJ401" s="14">
        <v>4</v>
      </c>
      <c r="EK401" s="14">
        <v>2</v>
      </c>
      <c r="EL401" s="14" t="s">
        <v>189</v>
      </c>
      <c r="EM401" s="14">
        <f>IFERROR(AVERAGE(Tabel1[[#This Row],[Do - C1]:[Do - C4]]),"")</f>
        <v>2.4444444444444442</v>
      </c>
      <c r="EN401" s="14" t="s">
        <v>189</v>
      </c>
      <c r="EO401" s="14">
        <v>5</v>
      </c>
      <c r="EP401" s="14">
        <v>5</v>
      </c>
      <c r="EQ401" s="14">
        <f>IFERROR(AVERAGE(Tabel1[[#This Row],[Do - F1a]:[Do - F1c]]),"")</f>
        <v>5</v>
      </c>
      <c r="ER401" s="14">
        <v>4</v>
      </c>
      <c r="ES401" s="14">
        <f>IFERROR(AVERAGE(Tabel1[[#This Row],[Do - F2a]:[Do - F2a]]),"")</f>
        <v>4</v>
      </c>
      <c r="ET401" s="14">
        <v>3</v>
      </c>
      <c r="EU401" s="14">
        <v>4</v>
      </c>
      <c r="EV401" s="14">
        <f>IFERROR(AVERAGE(Tabel1[[#This Row],[Do - F3a]:[Do - F3b]]),"")</f>
        <v>3.5</v>
      </c>
      <c r="EW401" s="14" t="s">
        <v>189</v>
      </c>
      <c r="EX401" s="14">
        <f>IFERROR(AVERAGE(Tabel1[[#This Row],[Do - F1]],Tabel1[[#This Row],[Do - F2]],Tabel1[[#This Row],[Do - F3]],Tabel1[[#This Row],[Do - F4]]),"")</f>
        <v>4.166666666666667</v>
      </c>
      <c r="EY401" s="14">
        <v>4</v>
      </c>
      <c r="EZ401" s="14">
        <v>4</v>
      </c>
      <c r="FA401" s="14">
        <v>5</v>
      </c>
      <c r="FB401" s="14">
        <f>IFERROR(AVERAGE(Tabel1[[#This Row],[Do - V1a]:[Do - V1c]]),"")</f>
        <v>4.333333333333333</v>
      </c>
      <c r="FC401" s="14">
        <v>3</v>
      </c>
      <c r="FD401" s="14">
        <v>4</v>
      </c>
      <c r="FE401" s="14">
        <f>IFERROR(AVERAGE(Tabel1[[#This Row],[Do - V2a]:[Do - V2b]]),"")</f>
        <v>3.5</v>
      </c>
      <c r="FF401" s="14">
        <v>3</v>
      </c>
      <c r="FG401" s="14">
        <f>IFERROR(AVERAGE(Tabel1[[#This Row],[Do - V3a]:[Do - V3a]]),"")</f>
        <v>3</v>
      </c>
      <c r="FH401" s="14">
        <v>2</v>
      </c>
      <c r="FI401" s="14">
        <f>IFERROR(AVERAGE(Tabel1[[#This Row],[Do - V1]],Tabel1[[#This Row],[Do - V2]],Tabel1[[#This Row],[Do - V3]],Tabel1[[#This Row],[Do - V4]]),"")</f>
        <v>3.208333333333333</v>
      </c>
      <c r="FJ401" s="14" t="s">
        <v>189</v>
      </c>
      <c r="FK401" s="14">
        <v>5</v>
      </c>
      <c r="FL401" s="14">
        <v>3</v>
      </c>
      <c r="FM401" s="14">
        <f>IFERROR(AVERAGE(Tabel1[[#This Row],[Do - A1a]:[Do - A1c]]),"")</f>
        <v>4</v>
      </c>
      <c r="FN401" s="14" t="s">
        <v>189</v>
      </c>
      <c r="FO401" s="14">
        <v>4</v>
      </c>
      <c r="FP401" s="14">
        <f>IFERROR(AVERAGE(Tabel1[[#This Row],[Do - A2a]:[Do - A2b]]),"")</f>
        <v>4</v>
      </c>
      <c r="FQ401" s="14" t="s">
        <v>189</v>
      </c>
      <c r="FR401" s="14" t="str">
        <f>IFERROR(AVERAGE(Tabel1[[#This Row],[Do - A3a]:[Do - A3a]]),"")</f>
        <v/>
      </c>
      <c r="FS401" s="14">
        <v>4</v>
      </c>
      <c r="FT401" s="14">
        <f>IFERROR(AVERAGE(Tabel1[[#This Row],[Do - A1]],Tabel1[[#This Row],[Do - A2]],Tabel1[[#This Row],[Do - A3]],Tabel1[[#This Row],[Do - A4]]),"")</f>
        <v>4</v>
      </c>
      <c r="FU401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3.4175925925925923</v>
      </c>
      <c r="FV401" s="27" t="s">
        <v>2010</v>
      </c>
      <c r="FW401" t="b">
        <v>1</v>
      </c>
    </row>
    <row r="402" spans="1:179" x14ac:dyDescent="0.3">
      <c r="A402" s="13">
        <v>45625.309062499997</v>
      </c>
      <c r="B402" t="b">
        <v>0</v>
      </c>
      <c r="C402" s="14" t="s">
        <v>2011</v>
      </c>
      <c r="D402" s="14" t="s">
        <v>973</v>
      </c>
      <c r="E402" s="14" t="s">
        <v>1979</v>
      </c>
      <c r="F402" s="14" t="s">
        <v>184</v>
      </c>
      <c r="G402" s="14" t="s">
        <v>2012</v>
      </c>
      <c r="H402" s="14" t="s">
        <v>222</v>
      </c>
      <c r="I402" s="14" t="s">
        <v>195</v>
      </c>
      <c r="J402" s="14" t="s">
        <v>347</v>
      </c>
      <c r="K402" s="28" t="s">
        <v>235</v>
      </c>
      <c r="L402" s="14" t="s">
        <v>249</v>
      </c>
      <c r="M402" s="14" t="s">
        <v>188</v>
      </c>
      <c r="N402" s="14" t="s">
        <v>262</v>
      </c>
      <c r="O402" s="14" t="s">
        <v>200</v>
      </c>
      <c r="P402" s="24" t="s">
        <v>304</v>
      </c>
      <c r="Q402" s="17" t="s">
        <v>304</v>
      </c>
      <c r="R402" s="24" t="s">
        <v>255</v>
      </c>
      <c r="S402" s="25" t="s">
        <v>201</v>
      </c>
      <c r="T402" s="14" t="s">
        <v>348</v>
      </c>
      <c r="U402" s="14" t="s">
        <v>237</v>
      </c>
      <c r="V402" s="14" t="s">
        <v>359</v>
      </c>
      <c r="W402" s="14" t="s">
        <v>207</v>
      </c>
      <c r="X402" s="14" t="s">
        <v>207</v>
      </c>
      <c r="Y402" s="14">
        <v>4</v>
      </c>
      <c r="Z402" s="14">
        <v>3</v>
      </c>
      <c r="AA402" s="14" t="s">
        <v>189</v>
      </c>
      <c r="AB402" s="15">
        <f>IFERROR(AVERAGE(Tabel1[[#This Row],[Up - R1a]:[Up - R1c]]),"")</f>
        <v>3.5</v>
      </c>
      <c r="AC402" s="14">
        <v>2</v>
      </c>
      <c r="AD402" s="14">
        <v>5</v>
      </c>
      <c r="AE402" s="14">
        <v>3</v>
      </c>
      <c r="AF402" s="14">
        <v>3</v>
      </c>
      <c r="AG402" s="14">
        <f>IFERROR(AVERAGE(Tabel1[[#This Row],[Up - R1]:[Up - R5]]),"")</f>
        <v>3.3</v>
      </c>
      <c r="AH402" s="14">
        <v>4</v>
      </c>
      <c r="AI402" s="14">
        <v>2</v>
      </c>
      <c r="AJ402" s="14">
        <v>4</v>
      </c>
      <c r="AK402" s="14">
        <f>IFERROR(AVERAGE(Tabel1[[#This Row],[Up - C1a]:[Up - C1c]]),"")</f>
        <v>3.3333333333333335</v>
      </c>
      <c r="AL402" s="14">
        <v>3</v>
      </c>
      <c r="AM402" s="14">
        <v>2</v>
      </c>
      <c r="AN402" s="14">
        <v>2</v>
      </c>
      <c r="AO402" s="14">
        <f>IFERROR(AVERAGE(Tabel1[[#This Row],[Up - C1]:[Up - C4]]),"")</f>
        <v>2.5833333333333335</v>
      </c>
      <c r="AP402" s="14">
        <v>3</v>
      </c>
      <c r="AQ402" s="14">
        <f>IFERROR(AVERAGE(Tabel1[[#This Row],[Up - F1a]:[Up - F1a]]),"")</f>
        <v>3</v>
      </c>
      <c r="AR402" s="14">
        <v>2</v>
      </c>
      <c r="AS402" s="14">
        <v>5</v>
      </c>
      <c r="AT402" s="14">
        <f>IFERROR(AVERAGE(Tabel1[[#This Row],[Up - F2a]:[Up - F2b]]),"")</f>
        <v>3.5</v>
      </c>
      <c r="AU402" s="14">
        <v>5</v>
      </c>
      <c r="AV402" s="14">
        <v>1</v>
      </c>
      <c r="AW402" s="14">
        <f>IFERROR(AVERAGE(Tabel1[[#This Row],[Up - F3a]:[Up - F3b]]),"")</f>
        <v>3</v>
      </c>
      <c r="AX402" s="14">
        <v>1</v>
      </c>
      <c r="AY402" s="14">
        <f>IFERROR(AVERAGE(Tabel1[[#This Row],[Up - F1]],Tabel1[[#This Row],[Up - F2]],Tabel1[[#This Row],[Up - F3]],Tabel1[[#This Row],[Up - F4]]),"")</f>
        <v>2.625</v>
      </c>
      <c r="AZ402" s="14">
        <v>1</v>
      </c>
      <c r="BA402" s="14">
        <v>3</v>
      </c>
      <c r="BB402" s="14">
        <f>IFERROR(AVERAGE(Tabel1[[#This Row],[Up - V1a]:[Up - V1b]]),"")</f>
        <v>2</v>
      </c>
      <c r="BC402" s="14">
        <v>1</v>
      </c>
      <c r="BD402" s="14">
        <v>3</v>
      </c>
      <c r="BE402" s="14">
        <v>3</v>
      </c>
      <c r="BF402" s="14">
        <f>IFERROR(AVERAGE(Tabel1[[#This Row],[Up - V2a]:[Up - V2c]]),"")</f>
        <v>2.3333333333333335</v>
      </c>
      <c r="BG402" s="14">
        <v>3</v>
      </c>
      <c r="BH402" s="14">
        <v>2</v>
      </c>
      <c r="BI402" s="14">
        <f>IFERROR(AVERAGE(Tabel1[[#This Row],[Up - V3a]:[Up - V3b]]),"")</f>
        <v>2.5</v>
      </c>
      <c r="BJ402" s="14">
        <v>2</v>
      </c>
      <c r="BK402" s="14">
        <f>IFERROR(AVERAGE(Tabel1[[#This Row],[Up - V1]],Tabel1[[#This Row],[Up - V2]],Tabel1[[#This Row],[Up - V3]],Tabel1[[#This Row],[Up - V4]]),"")</f>
        <v>2.2083333333333335</v>
      </c>
      <c r="BL402" s="14">
        <v>2</v>
      </c>
      <c r="BM402" s="14">
        <v>3</v>
      </c>
      <c r="BN402" s="14">
        <v>3</v>
      </c>
      <c r="BO402" s="14">
        <v>3</v>
      </c>
      <c r="BP402" s="14">
        <f>IFERROR(AVERAGE(Tabel1[[#This Row],[Up - A1a]:[Up - A1d]]),"")</f>
        <v>2.75</v>
      </c>
      <c r="BQ402" s="14">
        <v>2</v>
      </c>
      <c r="BR402" s="14">
        <v>5</v>
      </c>
      <c r="BS402" s="14">
        <f>IFERROR(AVERAGE(Tabel1[[#This Row],[Up - A2a]:[Up - A2b]]),"")</f>
        <v>3.5</v>
      </c>
      <c r="BT402" s="14">
        <v>3</v>
      </c>
      <c r="BU402" s="14">
        <f>IFERROR(AVERAGE(Tabel1[[#This Row],[Up - A3a]:[Up - A3a]]),"")</f>
        <v>3</v>
      </c>
      <c r="BV402" s="14">
        <v>2</v>
      </c>
      <c r="BW402" s="14">
        <f>IFERROR(AVERAGE(Tabel1[[#This Row],[Up - A1]],Tabel1[[#This Row],[Up - A2]],Tabel1[[#This Row],[Up - A3]]),"")</f>
        <v>3.0833333333333335</v>
      </c>
      <c r="BX402" s="14">
        <v>3</v>
      </c>
      <c r="BY402" s="14">
        <v>3</v>
      </c>
      <c r="BZ402" s="14">
        <f>IFERROR(AVERAGE(Tabel1[[#This Row],[In - R1a]:[In - R1b]]),"")</f>
        <v>3</v>
      </c>
      <c r="CA402" s="14">
        <v>2</v>
      </c>
      <c r="CB402" s="14">
        <v>2</v>
      </c>
      <c r="CC402" s="14">
        <v>3</v>
      </c>
      <c r="CD402" s="14" t="s">
        <v>189</v>
      </c>
      <c r="CE402" s="14">
        <f>IFERROR(AVERAGE(Tabel1[[#This Row],[In - R1]:[In - R5]]),"")</f>
        <v>2.5</v>
      </c>
      <c r="CF402" s="14">
        <v>2</v>
      </c>
      <c r="CG402" s="14">
        <v>4</v>
      </c>
      <c r="CH402" s="14">
        <v>3</v>
      </c>
      <c r="CI402" s="14">
        <f>IFERROR(AVERAGE(Tabel1[[#This Row],[In - C1a]:[In - C1c]]),"")</f>
        <v>3</v>
      </c>
      <c r="CJ402" s="14" t="s">
        <v>189</v>
      </c>
      <c r="CK402" s="14">
        <v>2</v>
      </c>
      <c r="CL402" s="14">
        <v>2</v>
      </c>
      <c r="CM402" s="14">
        <f>IFERROR(AVERAGE(Tabel1[[#This Row],[In - C1]:[In - C4]]),"")</f>
        <v>2.3333333333333335</v>
      </c>
      <c r="CN402" s="14">
        <v>2</v>
      </c>
      <c r="CO402" s="14">
        <v>3</v>
      </c>
      <c r="CP402" s="14">
        <v>3</v>
      </c>
      <c r="CQ402" s="14">
        <f>IFERROR(AVERAGE(Tabel1[[#This Row],[In - F1a]:[In - F1c]]),"")</f>
        <v>2.6666666666666665</v>
      </c>
      <c r="CR402" s="14">
        <v>1</v>
      </c>
      <c r="CS402" s="14">
        <v>1</v>
      </c>
      <c r="CT402" s="14">
        <f>IFERROR(AVERAGE(Tabel1[[#This Row],[In - F2a]:[In - F2b]]),"")</f>
        <v>1</v>
      </c>
      <c r="CU402" s="14">
        <v>1</v>
      </c>
      <c r="CV402" s="14">
        <f>IFERROR(AVERAGE(Tabel1[[#This Row],[In - F3a]:[In - F3a]]),"")</f>
        <v>1</v>
      </c>
      <c r="CW402" s="14">
        <v>1</v>
      </c>
      <c r="CX402" s="14">
        <f>IFERROR(AVERAGE(Tabel1[[#This Row],[In - F1]],Tabel1[[#This Row],[In - F2]],Tabel1[[#This Row],[In - F3]],Tabel1[[#This Row],[In - F4]]),"")</f>
        <v>1.4166666666666665</v>
      </c>
      <c r="CY402" s="14">
        <v>1</v>
      </c>
      <c r="CZ402" s="14">
        <v>3</v>
      </c>
      <c r="DA402" s="14">
        <v>2</v>
      </c>
      <c r="DB402" s="14">
        <f>IFERROR(AVERAGE(Tabel1[[#This Row],[In - V1a]:[In - V1c]]),"")</f>
        <v>2</v>
      </c>
      <c r="DC402" s="14">
        <v>1</v>
      </c>
      <c r="DD402" s="14">
        <v>1</v>
      </c>
      <c r="DE402" s="14">
        <v>4</v>
      </c>
      <c r="DF402" s="14">
        <f>IFERROR(AVERAGE(Tabel1[[#This Row],[In - V2a]:[In - V2c]]),"")</f>
        <v>2</v>
      </c>
      <c r="DG402" s="14" t="s">
        <v>189</v>
      </c>
      <c r="DH402" s="14" t="s">
        <v>189</v>
      </c>
      <c r="DI402" s="14" t="str">
        <f>IFERROR(AVERAGE(Tabel1[[#This Row],[In - V3a]:[In - V3b]]),"")</f>
        <v/>
      </c>
      <c r="DJ402" s="14">
        <v>2</v>
      </c>
      <c r="DK402" s="14">
        <f>IFERROR(AVERAGE(Tabel1[[#This Row],[In - V1]],Tabel1[[#This Row],[In - V2]],Tabel1[[#This Row],[In - V3]],Tabel1[[#This Row],[In - V4]]),"")</f>
        <v>2</v>
      </c>
      <c r="DL402" s="14">
        <v>2</v>
      </c>
      <c r="DM402" s="14">
        <v>2</v>
      </c>
      <c r="DN402" s="14">
        <f>IFERROR(AVERAGE(Tabel1[[#This Row],[In - A1a]:[In - A1b]]),"")</f>
        <v>2</v>
      </c>
      <c r="DO402" s="14" t="s">
        <v>189</v>
      </c>
      <c r="DP402" s="14">
        <v>3</v>
      </c>
      <c r="DQ402" s="14">
        <f>IFERROR(AVERAGE(Tabel1[[#This Row],[In - A2a]:[In - A2b]]),"")</f>
        <v>3</v>
      </c>
      <c r="DR402" s="14">
        <v>2</v>
      </c>
      <c r="DS402" s="14" t="s">
        <v>189</v>
      </c>
      <c r="DT402" s="14">
        <f>IFERROR(AVERAGE(Tabel1[[#This Row],[In - A3a]:[In - A3a]]),"")</f>
        <v>2</v>
      </c>
      <c r="DU402" s="14" t="s">
        <v>189</v>
      </c>
      <c r="DV402" s="14">
        <f>IFERROR(AVERAGE(Tabel1[[#This Row],[In - A1]],Tabel1[[#This Row],[In - A2]],Tabel1[[#This Row],[In - A3]],Tabel1[[#This Row],[In - A4]]),"")</f>
        <v>2.3333333333333335</v>
      </c>
      <c r="DW402" s="14">
        <v>3</v>
      </c>
      <c r="DX402" s="14">
        <v>3</v>
      </c>
      <c r="DY402" s="14">
        <v>3</v>
      </c>
      <c r="DZ402" s="14">
        <f>IFERROR(AVERAGE(Tabel1[[#This Row],[Do - R1a]:[Do - R1c]]),"")</f>
        <v>3</v>
      </c>
      <c r="EA402" s="14" t="s">
        <v>189</v>
      </c>
      <c r="EB402" s="14">
        <v>4</v>
      </c>
      <c r="EC402" s="14">
        <v>1</v>
      </c>
      <c r="ED402" s="14" t="s">
        <v>189</v>
      </c>
      <c r="EE402" s="14">
        <f>IFERROR(AVERAGE(Tabel1[[#This Row],[Do - R1]:[Do - R5]]),"")</f>
        <v>2.6666666666666665</v>
      </c>
      <c r="EF402" s="14" t="s">
        <v>189</v>
      </c>
      <c r="EG402" s="14">
        <v>2</v>
      </c>
      <c r="EH402" s="14" t="s">
        <v>189</v>
      </c>
      <c r="EI402" s="14">
        <f>IFERROR(AVERAGE(Tabel1[[#This Row],[Do - C1a]:[Do - C1c]]),"")</f>
        <v>2</v>
      </c>
      <c r="EJ402" s="14">
        <v>4</v>
      </c>
      <c r="EK402" s="14" t="s">
        <v>189</v>
      </c>
      <c r="EL402" s="14" t="s">
        <v>189</v>
      </c>
      <c r="EM402" s="14">
        <f>IFERROR(AVERAGE(Tabel1[[#This Row],[Do - C1]:[Do - C4]]),"")</f>
        <v>3</v>
      </c>
      <c r="EN402" s="14" t="s">
        <v>189</v>
      </c>
      <c r="EO402" s="14" t="s">
        <v>189</v>
      </c>
      <c r="EP402" s="14" t="s">
        <v>189</v>
      </c>
      <c r="EQ402" s="14" t="str">
        <f>IFERROR(AVERAGE(Tabel1[[#This Row],[Do - F1a]:[Do - F1c]]),"")</f>
        <v/>
      </c>
      <c r="ER402" s="14">
        <v>1</v>
      </c>
      <c r="ES402" s="14">
        <f>IFERROR(AVERAGE(Tabel1[[#This Row],[Do - F2a]:[Do - F2a]]),"")</f>
        <v>1</v>
      </c>
      <c r="ET402" s="14" t="s">
        <v>189</v>
      </c>
      <c r="EU402" s="14">
        <v>1</v>
      </c>
      <c r="EV402" s="14">
        <f>IFERROR(AVERAGE(Tabel1[[#This Row],[Do - F3a]:[Do - F3b]]),"")</f>
        <v>1</v>
      </c>
      <c r="EW402" s="14">
        <v>1</v>
      </c>
      <c r="EX402" s="14">
        <f>IFERROR(AVERAGE(Tabel1[[#This Row],[Do - F1]],Tabel1[[#This Row],[Do - F2]],Tabel1[[#This Row],[Do - F3]],Tabel1[[#This Row],[Do - F4]]),"")</f>
        <v>1</v>
      </c>
      <c r="EY402" s="14">
        <v>5</v>
      </c>
      <c r="EZ402" s="14" t="s">
        <v>189</v>
      </c>
      <c r="FA402" s="14" t="s">
        <v>189</v>
      </c>
      <c r="FB402" s="14">
        <f>IFERROR(AVERAGE(Tabel1[[#This Row],[Do - V1a]:[Do - V1c]]),"")</f>
        <v>5</v>
      </c>
      <c r="FC402" s="14">
        <v>1</v>
      </c>
      <c r="FD402" s="14" t="s">
        <v>189</v>
      </c>
      <c r="FE402" s="14">
        <f>IFERROR(AVERAGE(Tabel1[[#This Row],[Do - V2a]:[Do - V2b]]),"")</f>
        <v>1</v>
      </c>
      <c r="FF402" s="14">
        <v>3</v>
      </c>
      <c r="FG402" s="14">
        <f>IFERROR(AVERAGE(Tabel1[[#This Row],[Do - V3a]:[Do - V3a]]),"")</f>
        <v>3</v>
      </c>
      <c r="FH402" s="14" t="s">
        <v>189</v>
      </c>
      <c r="FI402" s="14">
        <f>IFERROR(AVERAGE(Tabel1[[#This Row],[Do - V1]],Tabel1[[#This Row],[Do - V2]],Tabel1[[#This Row],[Do - V3]],Tabel1[[#This Row],[Do - V4]]),"")</f>
        <v>3</v>
      </c>
      <c r="FJ402" s="14" t="s">
        <v>189</v>
      </c>
      <c r="FK402" s="14">
        <v>3</v>
      </c>
      <c r="FL402" s="14" t="s">
        <v>189</v>
      </c>
      <c r="FM402" s="14">
        <f>IFERROR(AVERAGE(Tabel1[[#This Row],[Do - A1a]:[Do - A1c]]),"")</f>
        <v>3</v>
      </c>
      <c r="FN402" s="14" t="s">
        <v>189</v>
      </c>
      <c r="FO402" s="14">
        <v>5</v>
      </c>
      <c r="FP402" s="14">
        <f>IFERROR(AVERAGE(Tabel1[[#This Row],[Do - A2a]:[Do - A2b]]),"")</f>
        <v>5</v>
      </c>
      <c r="FQ402" s="14" t="s">
        <v>189</v>
      </c>
      <c r="FR402" s="14" t="str">
        <f>IFERROR(AVERAGE(Tabel1[[#This Row],[Do - A3a]:[Do - A3a]]),"")</f>
        <v/>
      </c>
      <c r="FS402" s="14" t="s">
        <v>189</v>
      </c>
      <c r="FT402" s="14">
        <f>IFERROR(AVERAGE(Tabel1[[#This Row],[Do - A1]],Tabel1[[#This Row],[Do - A2]],Tabel1[[#This Row],[Do - A3]],Tabel1[[#This Row],[Do - A4]]),"")</f>
        <v>4</v>
      </c>
      <c r="FU402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2.5366666666666666</v>
      </c>
      <c r="FV402" s="27" t="s">
        <v>2013</v>
      </c>
      <c r="FW402" t="b">
        <v>1</v>
      </c>
    </row>
    <row r="403" spans="1:179" x14ac:dyDescent="0.3">
      <c r="A403" s="13">
        <v>45628.3230555556</v>
      </c>
      <c r="B403" t="b">
        <v>0</v>
      </c>
      <c r="C403" s="14" t="s">
        <v>2014</v>
      </c>
      <c r="D403" s="14" t="s">
        <v>973</v>
      </c>
      <c r="E403" s="14" t="s">
        <v>1979</v>
      </c>
      <c r="F403" s="14" t="s">
        <v>184</v>
      </c>
      <c r="G403" s="14" t="s">
        <v>2015</v>
      </c>
      <c r="H403" s="14" t="s">
        <v>222</v>
      </c>
      <c r="I403" s="14" t="s">
        <v>195</v>
      </c>
      <c r="J403" s="14" t="s">
        <v>347</v>
      </c>
      <c r="K403" s="28" t="s">
        <v>235</v>
      </c>
      <c r="L403" s="14" t="s">
        <v>197</v>
      </c>
      <c r="M403" s="14" t="s">
        <v>188</v>
      </c>
      <c r="N403" s="14" t="s">
        <v>262</v>
      </c>
      <c r="O403" s="14" t="s">
        <v>200</v>
      </c>
      <c r="P403" s="24" t="s">
        <v>255</v>
      </c>
      <c r="Q403" s="17" t="s">
        <v>201</v>
      </c>
      <c r="R403" s="24" t="s">
        <v>255</v>
      </c>
      <c r="S403" s="24" t="s">
        <v>255</v>
      </c>
      <c r="T403" s="14" t="s">
        <v>348</v>
      </c>
      <c r="U403" s="14" t="s">
        <v>285</v>
      </c>
      <c r="V403" s="14" t="s">
        <v>359</v>
      </c>
      <c r="W403" s="14" t="s">
        <v>207</v>
      </c>
      <c r="X403" s="14" t="s">
        <v>207</v>
      </c>
      <c r="Y403" s="14">
        <v>2</v>
      </c>
      <c r="Z403" s="14">
        <v>2</v>
      </c>
      <c r="AA403" s="14">
        <v>2</v>
      </c>
      <c r="AB403" s="15">
        <f>IFERROR(AVERAGE(Tabel1[[#This Row],[Up - R1a]:[Up - R1c]]),"")</f>
        <v>2</v>
      </c>
      <c r="AC403" s="14">
        <v>4</v>
      </c>
      <c r="AD403" s="14">
        <v>2</v>
      </c>
      <c r="AE403" s="14">
        <v>2</v>
      </c>
      <c r="AF403" s="14">
        <v>4</v>
      </c>
      <c r="AG403" s="14">
        <f>IFERROR(AVERAGE(Tabel1[[#This Row],[Up - R1]:[Up - R5]]),"")</f>
        <v>2.8</v>
      </c>
      <c r="AH403" s="14">
        <v>3</v>
      </c>
      <c r="AI403" s="14">
        <v>2</v>
      </c>
      <c r="AJ403" s="14">
        <v>3</v>
      </c>
      <c r="AK403" s="14">
        <f>IFERROR(AVERAGE(Tabel1[[#This Row],[Up - C1a]:[Up - C1c]]),"")</f>
        <v>2.6666666666666665</v>
      </c>
      <c r="AL403" s="14">
        <v>2</v>
      </c>
      <c r="AM403" s="14">
        <v>2</v>
      </c>
      <c r="AN403" s="14">
        <v>2</v>
      </c>
      <c r="AO403" s="14">
        <f>IFERROR(AVERAGE(Tabel1[[#This Row],[Up - C1]:[Up - C4]]),"")</f>
        <v>2.1666666666666665</v>
      </c>
      <c r="AP403" s="14">
        <v>3</v>
      </c>
      <c r="AQ403" s="14">
        <f>IFERROR(AVERAGE(Tabel1[[#This Row],[Up - F1a]:[Up - F1a]]),"")</f>
        <v>3</v>
      </c>
      <c r="AR403" s="14">
        <v>2</v>
      </c>
      <c r="AS403" s="14">
        <v>3</v>
      </c>
      <c r="AT403" s="14">
        <f>IFERROR(AVERAGE(Tabel1[[#This Row],[Up - F2a]:[Up - F2b]]),"")</f>
        <v>2.5</v>
      </c>
      <c r="AU403" s="14">
        <v>3</v>
      </c>
      <c r="AV403" s="14">
        <v>1</v>
      </c>
      <c r="AW403" s="14">
        <f>IFERROR(AVERAGE(Tabel1[[#This Row],[Up - F3a]:[Up - F3b]]),"")</f>
        <v>2</v>
      </c>
      <c r="AX403" s="14">
        <v>2</v>
      </c>
      <c r="AY403" s="14">
        <f>IFERROR(AVERAGE(Tabel1[[#This Row],[Up - F1]],Tabel1[[#This Row],[Up - F2]],Tabel1[[#This Row],[Up - F3]],Tabel1[[#This Row],[Up - F4]]),"")</f>
        <v>2.375</v>
      </c>
      <c r="AZ403" s="14">
        <v>3</v>
      </c>
      <c r="BA403" s="14">
        <v>4</v>
      </c>
      <c r="BB403" s="14">
        <f>IFERROR(AVERAGE(Tabel1[[#This Row],[Up - V1a]:[Up - V1b]]),"")</f>
        <v>3.5</v>
      </c>
      <c r="BC403" s="14">
        <v>3</v>
      </c>
      <c r="BD403" s="14">
        <v>2</v>
      </c>
      <c r="BE403" s="14">
        <v>3</v>
      </c>
      <c r="BF403" s="14">
        <f>IFERROR(AVERAGE(Tabel1[[#This Row],[Up - V2a]:[Up - V2c]]),"")</f>
        <v>2.6666666666666665</v>
      </c>
      <c r="BG403" s="14">
        <v>2</v>
      </c>
      <c r="BH403" s="14">
        <v>2</v>
      </c>
      <c r="BI403" s="14">
        <f>IFERROR(AVERAGE(Tabel1[[#This Row],[Up - V3a]:[Up - V3b]]),"")</f>
        <v>2</v>
      </c>
      <c r="BJ403" s="14">
        <v>2</v>
      </c>
      <c r="BK403" s="14">
        <f>IFERROR(AVERAGE(Tabel1[[#This Row],[Up - V1]],Tabel1[[#This Row],[Up - V2]],Tabel1[[#This Row],[Up - V3]],Tabel1[[#This Row],[Up - V4]]),"")</f>
        <v>2.5416666666666665</v>
      </c>
      <c r="BL403" s="14">
        <v>3</v>
      </c>
      <c r="BM403" s="14">
        <v>3</v>
      </c>
      <c r="BN403" s="14">
        <v>3</v>
      </c>
      <c r="BO403" s="14">
        <v>3</v>
      </c>
      <c r="BP403" s="14">
        <f>IFERROR(AVERAGE(Tabel1[[#This Row],[Up - A1a]:[Up - A1d]]),"")</f>
        <v>3</v>
      </c>
      <c r="BQ403" s="14">
        <v>3</v>
      </c>
      <c r="BR403" s="14">
        <v>3</v>
      </c>
      <c r="BS403" s="14">
        <f>IFERROR(AVERAGE(Tabel1[[#This Row],[Up - A2a]:[Up - A2b]]),"")</f>
        <v>3</v>
      </c>
      <c r="BT403" s="14">
        <v>4</v>
      </c>
      <c r="BU403" s="14">
        <f>IFERROR(AVERAGE(Tabel1[[#This Row],[Up - A3a]:[Up - A3a]]),"")</f>
        <v>4</v>
      </c>
      <c r="BV403" s="14" t="s">
        <v>189</v>
      </c>
      <c r="BW403" s="14">
        <f>IFERROR(AVERAGE(Tabel1[[#This Row],[Up - A1]],Tabel1[[#This Row],[Up - A2]],Tabel1[[#This Row],[Up - A3]]),"")</f>
        <v>3.3333333333333335</v>
      </c>
      <c r="BX403" s="14" t="s">
        <v>189</v>
      </c>
      <c r="BY403" s="14" t="s">
        <v>189</v>
      </c>
      <c r="BZ403" s="14" t="str">
        <f>IFERROR(AVERAGE(Tabel1[[#This Row],[In - R1a]:[In - R1b]]),"")</f>
        <v/>
      </c>
      <c r="CA403" s="14">
        <v>4</v>
      </c>
      <c r="CB403" s="14" t="s">
        <v>189</v>
      </c>
      <c r="CC403" s="14" t="s">
        <v>189</v>
      </c>
      <c r="CD403" s="14" t="s">
        <v>189</v>
      </c>
      <c r="CE403" s="14">
        <f>IFERROR(AVERAGE(Tabel1[[#This Row],[In - R1]:[In - R5]]),"")</f>
        <v>4</v>
      </c>
      <c r="CF403" s="14">
        <v>4</v>
      </c>
      <c r="CG403" s="14">
        <v>2</v>
      </c>
      <c r="CH403" s="14">
        <v>3</v>
      </c>
      <c r="CI403" s="14">
        <f>IFERROR(AVERAGE(Tabel1[[#This Row],[In - C1a]:[In - C1c]]),"")</f>
        <v>3</v>
      </c>
      <c r="CJ403" s="14">
        <v>3</v>
      </c>
      <c r="CK403" s="14">
        <v>2</v>
      </c>
      <c r="CL403" s="14" t="s">
        <v>189</v>
      </c>
      <c r="CM403" s="14">
        <f>IFERROR(AVERAGE(Tabel1[[#This Row],[In - C1]:[In - C4]]),"")</f>
        <v>2.6666666666666665</v>
      </c>
      <c r="CN403" s="14" t="s">
        <v>189</v>
      </c>
      <c r="CO403" s="14" t="s">
        <v>189</v>
      </c>
      <c r="CP403" s="14" t="s">
        <v>189</v>
      </c>
      <c r="CQ403" s="14" t="str">
        <f>IFERROR(AVERAGE(Tabel1[[#This Row],[In - F1a]:[In - F1c]]),"")</f>
        <v/>
      </c>
      <c r="CR403" s="14" t="s">
        <v>189</v>
      </c>
      <c r="CS403" s="14" t="s">
        <v>189</v>
      </c>
      <c r="CT403" s="14" t="str">
        <f>IFERROR(AVERAGE(Tabel1[[#This Row],[In - F2a]:[In - F2b]]),"")</f>
        <v/>
      </c>
      <c r="CU403" s="14" t="s">
        <v>189</v>
      </c>
      <c r="CV403" s="14" t="str">
        <f>IFERROR(AVERAGE(Tabel1[[#This Row],[In - F3a]:[In - F3a]]),"")</f>
        <v/>
      </c>
      <c r="CW403" s="14" t="s">
        <v>189</v>
      </c>
      <c r="CX403" s="14" t="str">
        <f>IFERROR(AVERAGE(Tabel1[[#This Row],[In - F1]],Tabel1[[#This Row],[In - F2]],Tabel1[[#This Row],[In - F3]],Tabel1[[#This Row],[In - F4]]),"")</f>
        <v/>
      </c>
      <c r="CY403" s="14">
        <v>3</v>
      </c>
      <c r="CZ403" s="14">
        <v>3</v>
      </c>
      <c r="DA403" s="14" t="s">
        <v>189</v>
      </c>
      <c r="DB403" s="14">
        <f>IFERROR(AVERAGE(Tabel1[[#This Row],[In - V1a]:[In - V1c]]),"")</f>
        <v>3</v>
      </c>
      <c r="DC403" s="14" t="s">
        <v>189</v>
      </c>
      <c r="DD403" s="14" t="s">
        <v>189</v>
      </c>
      <c r="DE403" s="14">
        <v>3</v>
      </c>
      <c r="DF403" s="14">
        <f>IFERROR(AVERAGE(Tabel1[[#This Row],[In - V2a]:[In - V2c]]),"")</f>
        <v>3</v>
      </c>
      <c r="DG403" s="14">
        <v>2</v>
      </c>
      <c r="DH403" s="14" t="s">
        <v>189</v>
      </c>
      <c r="DI403" s="14">
        <f>IFERROR(AVERAGE(Tabel1[[#This Row],[In - V3a]:[In - V3b]]),"")</f>
        <v>2</v>
      </c>
      <c r="DJ403" s="14" t="s">
        <v>189</v>
      </c>
      <c r="DK403" s="14">
        <f>IFERROR(AVERAGE(Tabel1[[#This Row],[In - V1]],Tabel1[[#This Row],[In - V2]],Tabel1[[#This Row],[In - V3]],Tabel1[[#This Row],[In - V4]]),"")</f>
        <v>2.6666666666666665</v>
      </c>
      <c r="DL403" s="14">
        <v>3</v>
      </c>
      <c r="DM403" s="14">
        <v>3</v>
      </c>
      <c r="DN403" s="14">
        <f>IFERROR(AVERAGE(Tabel1[[#This Row],[In - A1a]:[In - A1b]]),"")</f>
        <v>3</v>
      </c>
      <c r="DO403" s="14" t="s">
        <v>189</v>
      </c>
      <c r="DP403" s="14">
        <v>3</v>
      </c>
      <c r="DQ403" s="14">
        <f>IFERROR(AVERAGE(Tabel1[[#This Row],[In - A2a]:[In - A2b]]),"")</f>
        <v>3</v>
      </c>
      <c r="DR403" s="14">
        <v>3</v>
      </c>
      <c r="DS403" s="14" t="s">
        <v>189</v>
      </c>
      <c r="DT403" s="14">
        <f>IFERROR(AVERAGE(Tabel1[[#This Row],[In - A3a]:[In - A3a]]),"")</f>
        <v>3</v>
      </c>
      <c r="DU403" s="14" t="s">
        <v>189</v>
      </c>
      <c r="DV403" s="14">
        <f>IFERROR(AVERAGE(Tabel1[[#This Row],[In - A1]],Tabel1[[#This Row],[In - A2]],Tabel1[[#This Row],[In - A3]],Tabel1[[#This Row],[In - A4]]),"")</f>
        <v>3</v>
      </c>
      <c r="DW403" s="14" t="s">
        <v>189</v>
      </c>
      <c r="DX403" s="14" t="s">
        <v>189</v>
      </c>
      <c r="DY403" s="14" t="s">
        <v>189</v>
      </c>
      <c r="DZ403" s="14" t="str">
        <f>IFERROR(AVERAGE(Tabel1[[#This Row],[Do - R1a]:[Do - R1c]]),"")</f>
        <v/>
      </c>
      <c r="EA403" s="14" t="s">
        <v>189</v>
      </c>
      <c r="EB403" s="14" t="s">
        <v>189</v>
      </c>
      <c r="EC403" s="14" t="s">
        <v>189</v>
      </c>
      <c r="ED403" s="14" t="s">
        <v>189</v>
      </c>
      <c r="EE403" s="14" t="str">
        <f>IFERROR(AVERAGE(Tabel1[[#This Row],[Do - R1]:[Do - R5]]),"")</f>
        <v/>
      </c>
      <c r="EF403" s="14" t="s">
        <v>189</v>
      </c>
      <c r="EG403" s="14" t="s">
        <v>189</v>
      </c>
      <c r="EH403" s="14" t="s">
        <v>189</v>
      </c>
      <c r="EI403" s="14" t="str">
        <f>IFERROR(AVERAGE(Tabel1[[#This Row],[Do - C1a]:[Do - C1c]]),"")</f>
        <v/>
      </c>
      <c r="EJ403" s="14" t="s">
        <v>189</v>
      </c>
      <c r="EK403" s="14" t="s">
        <v>189</v>
      </c>
      <c r="EL403" s="14" t="s">
        <v>189</v>
      </c>
      <c r="EM403" s="14" t="str">
        <f>IFERROR(AVERAGE(Tabel1[[#This Row],[Do - C1]:[Do - C4]]),"")</f>
        <v/>
      </c>
      <c r="EN403" s="14" t="s">
        <v>189</v>
      </c>
      <c r="EO403" s="14" t="s">
        <v>189</v>
      </c>
      <c r="EP403" s="14" t="s">
        <v>189</v>
      </c>
      <c r="EQ403" s="14" t="str">
        <f>IFERROR(AVERAGE(Tabel1[[#This Row],[Do - F1a]:[Do - F1c]]),"")</f>
        <v/>
      </c>
      <c r="ER403" s="14" t="s">
        <v>189</v>
      </c>
      <c r="ES403" s="14" t="str">
        <f>IFERROR(AVERAGE(Tabel1[[#This Row],[Do - F2a]:[Do - F2a]]),"")</f>
        <v/>
      </c>
      <c r="ET403" s="14" t="s">
        <v>189</v>
      </c>
      <c r="EU403" s="14" t="s">
        <v>189</v>
      </c>
      <c r="EV403" s="14" t="str">
        <f>IFERROR(AVERAGE(Tabel1[[#This Row],[Do - F3a]:[Do - F3b]]),"")</f>
        <v/>
      </c>
      <c r="EW403" s="14" t="s">
        <v>189</v>
      </c>
      <c r="EX403" s="14" t="str">
        <f>IFERROR(AVERAGE(Tabel1[[#This Row],[Do - F1]],Tabel1[[#This Row],[Do - F2]],Tabel1[[#This Row],[Do - F3]],Tabel1[[#This Row],[Do - F4]]),"")</f>
        <v/>
      </c>
      <c r="EY403" s="14">
        <v>4</v>
      </c>
      <c r="EZ403" s="14" t="s">
        <v>189</v>
      </c>
      <c r="FA403" s="14" t="s">
        <v>189</v>
      </c>
      <c r="FB403" s="14">
        <f>IFERROR(AVERAGE(Tabel1[[#This Row],[Do - V1a]:[Do - V1c]]),"")</f>
        <v>4</v>
      </c>
      <c r="FC403" s="14" t="s">
        <v>189</v>
      </c>
      <c r="FD403" s="14" t="s">
        <v>189</v>
      </c>
      <c r="FE403" s="14" t="str">
        <f>IFERROR(AVERAGE(Tabel1[[#This Row],[Do - V2a]:[Do - V2b]]),"")</f>
        <v/>
      </c>
      <c r="FF403" s="14" t="s">
        <v>189</v>
      </c>
      <c r="FG403" s="14" t="str">
        <f>IFERROR(AVERAGE(Tabel1[[#This Row],[Do - V3a]:[Do - V3a]]),"")</f>
        <v/>
      </c>
      <c r="FH403" s="14" t="s">
        <v>189</v>
      </c>
      <c r="FI403" s="14">
        <f>IFERROR(AVERAGE(Tabel1[[#This Row],[Do - V1]],Tabel1[[#This Row],[Do - V2]],Tabel1[[#This Row],[Do - V3]],Tabel1[[#This Row],[Do - V4]]),"")</f>
        <v>4</v>
      </c>
      <c r="FJ403" s="14" t="s">
        <v>189</v>
      </c>
      <c r="FK403" s="14" t="s">
        <v>189</v>
      </c>
      <c r="FL403" s="14" t="s">
        <v>189</v>
      </c>
      <c r="FM403" s="14" t="str">
        <f>IFERROR(AVERAGE(Tabel1[[#This Row],[Do - A1a]:[Do - A1c]]),"")</f>
        <v/>
      </c>
      <c r="FN403" s="14" t="s">
        <v>189</v>
      </c>
      <c r="FO403" s="14" t="s">
        <v>189</v>
      </c>
      <c r="FP403" s="14" t="str">
        <f>IFERROR(AVERAGE(Tabel1[[#This Row],[Do - A2a]:[Do - A2b]]),"")</f>
        <v/>
      </c>
      <c r="FQ403" s="14" t="s">
        <v>189</v>
      </c>
      <c r="FR403" s="14" t="str">
        <f>IFERROR(AVERAGE(Tabel1[[#This Row],[Do - A3a]:[Do - A3a]]),"")</f>
        <v/>
      </c>
      <c r="FS403" s="14" t="s">
        <v>189</v>
      </c>
      <c r="FT403" s="14" t="str">
        <f>IFERROR(AVERAGE(Tabel1[[#This Row],[Do - A1]],Tabel1[[#This Row],[Do - A2]],Tabel1[[#This Row],[Do - A3]],Tabel1[[#This Row],[Do - A4]]),"")</f>
        <v/>
      </c>
      <c r="FU403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2.9550000000000005</v>
      </c>
      <c r="FV403" s="27" t="s">
        <v>2016</v>
      </c>
      <c r="FW403" t="b">
        <v>1</v>
      </c>
    </row>
    <row r="404" spans="1:179" x14ac:dyDescent="0.3">
      <c r="A404" s="13">
        <v>45628.554097222201</v>
      </c>
      <c r="B404" t="b">
        <v>0</v>
      </c>
      <c r="C404" t="s">
        <v>2017</v>
      </c>
      <c r="D404" t="s">
        <v>2018</v>
      </c>
      <c r="E404" t="s">
        <v>2019</v>
      </c>
      <c r="F404" s="14" t="s">
        <v>184</v>
      </c>
      <c r="G404" s="8" t="s">
        <v>2020</v>
      </c>
      <c r="H404" s="14" t="s">
        <v>194</v>
      </c>
      <c r="I404" t="s">
        <v>195</v>
      </c>
      <c r="J404" t="s">
        <v>533</v>
      </c>
      <c r="K404" t="s">
        <v>235</v>
      </c>
      <c r="L404" t="s">
        <v>249</v>
      </c>
      <c r="M404" t="s">
        <v>198</v>
      </c>
      <c r="N404" t="s">
        <v>199</v>
      </c>
      <c r="O404" t="s">
        <v>200</v>
      </c>
      <c r="P404" s="22" t="s">
        <v>255</v>
      </c>
      <c r="Q404" s="30" t="s">
        <v>201</v>
      </c>
      <c r="R404" s="23" t="s">
        <v>201</v>
      </c>
      <c r="S404" s="30" t="s">
        <v>201</v>
      </c>
      <c r="U404" t="s">
        <v>285</v>
      </c>
      <c r="V404" t="s">
        <v>359</v>
      </c>
      <c r="W404" t="s">
        <v>207</v>
      </c>
      <c r="X404" t="s">
        <v>207</v>
      </c>
      <c r="Y404">
        <v>1</v>
      </c>
      <c r="Z404">
        <v>2</v>
      </c>
      <c r="AA404">
        <v>1</v>
      </c>
      <c r="AB404">
        <f>IFERROR(AVERAGE(Tabel1[[#This Row],[Up - R1a]:[Up - R1c]]),"")</f>
        <v>1.3333333333333333</v>
      </c>
      <c r="AC404">
        <v>4</v>
      </c>
      <c r="AD404">
        <v>4</v>
      </c>
      <c r="AE404">
        <v>3</v>
      </c>
      <c r="AF404">
        <v>3</v>
      </c>
      <c r="AG404">
        <f>IFERROR(AVERAGE(Tabel1[[#This Row],[Up - R1]:[Up - R5]]),"")</f>
        <v>3.0666666666666664</v>
      </c>
      <c r="AH404">
        <v>3</v>
      </c>
      <c r="AI404">
        <v>4</v>
      </c>
      <c r="AJ404">
        <v>2</v>
      </c>
      <c r="AK404">
        <f>IFERROR(AVERAGE(Tabel1[[#This Row],[Up - C1a]:[Up - C1c]]),"")</f>
        <v>3</v>
      </c>
      <c r="AL404">
        <v>4</v>
      </c>
      <c r="AM404">
        <v>1</v>
      </c>
      <c r="AN404">
        <v>4</v>
      </c>
      <c r="AO404">
        <f>IFERROR(AVERAGE(Tabel1[[#This Row],[Up - C1]:[Up - C4]]),"")</f>
        <v>3</v>
      </c>
      <c r="AP404">
        <v>3</v>
      </c>
      <c r="AQ404" s="14">
        <f>IFERROR(AVERAGE(Tabel1[[#This Row],[Up - F1a]:[Up - F1a]]),"")</f>
        <v>3</v>
      </c>
      <c r="AR404">
        <v>1</v>
      </c>
      <c r="AS404">
        <v>1</v>
      </c>
      <c r="AT404">
        <f>IFERROR(AVERAGE(Tabel1[[#This Row],[Up - F2a]:[Up - F2b]]),"")</f>
        <v>1</v>
      </c>
      <c r="AU404">
        <v>1</v>
      </c>
      <c r="AV404">
        <v>1</v>
      </c>
      <c r="AW404">
        <f>IFERROR(AVERAGE(Tabel1[[#This Row],[Up - F3a]:[Up - F3b]]),"")</f>
        <v>1</v>
      </c>
      <c r="AX404">
        <v>3</v>
      </c>
      <c r="AY404">
        <f>IFERROR(AVERAGE(Tabel1[[#This Row],[Up - F1]],Tabel1[[#This Row],[Up - F2]],Tabel1[[#This Row],[Up - F3]],Tabel1[[#This Row],[Up - F4]]),"")</f>
        <v>2</v>
      </c>
      <c r="AZ404">
        <v>5</v>
      </c>
      <c r="BA404">
        <v>3</v>
      </c>
      <c r="BB404">
        <f>IFERROR(AVERAGE(Tabel1[[#This Row],[Up - V1a]:[Up - V1b]]),"")</f>
        <v>4</v>
      </c>
      <c r="BC404">
        <v>3</v>
      </c>
      <c r="BD404">
        <v>4</v>
      </c>
      <c r="BE404">
        <v>3</v>
      </c>
      <c r="BF404">
        <f>IFERROR(AVERAGE(Tabel1[[#This Row],[Up - V2a]:[Up - V2c]]),"")</f>
        <v>3.3333333333333335</v>
      </c>
      <c r="BG404">
        <v>2</v>
      </c>
      <c r="BH404">
        <v>3</v>
      </c>
      <c r="BI404" s="14">
        <f>IFERROR(AVERAGE(Tabel1[[#This Row],[Up - V3a]:[Up - V3b]]),"")</f>
        <v>2.5</v>
      </c>
      <c r="BJ404">
        <v>4</v>
      </c>
      <c r="BK404">
        <f>IFERROR(AVERAGE(Tabel1[[#This Row],[Up - V1]],Tabel1[[#This Row],[Up - V2]],Tabel1[[#This Row],[Up - V3]],Tabel1[[#This Row],[Up - V4]]),"")</f>
        <v>3.4583333333333335</v>
      </c>
      <c r="BL404">
        <v>3</v>
      </c>
      <c r="BM404">
        <v>3</v>
      </c>
      <c r="BN404">
        <v>2</v>
      </c>
      <c r="BO404">
        <v>3</v>
      </c>
      <c r="BP404">
        <f>IFERROR(AVERAGE(Tabel1[[#This Row],[Up - A1a]:[Up - A1d]]),"")</f>
        <v>2.75</v>
      </c>
      <c r="BQ404">
        <v>4</v>
      </c>
      <c r="BR404">
        <v>5</v>
      </c>
      <c r="BS404">
        <f>IFERROR(AVERAGE(Tabel1[[#This Row],[Up - A2a]:[Up - A2b]]),"")</f>
        <v>4.5</v>
      </c>
      <c r="BT404">
        <v>4</v>
      </c>
      <c r="BU404">
        <f>IFERROR(AVERAGE(Tabel1[[#This Row],[Up - A3a]:[Up - A3a]]),"")</f>
        <v>4</v>
      </c>
      <c r="BV404">
        <v>4</v>
      </c>
      <c r="BW404">
        <f>IFERROR(AVERAGE(Tabel1[[#This Row],[Up - A1]],Tabel1[[#This Row],[Up - A2]],Tabel1[[#This Row],[Up - A3]]),"")</f>
        <v>3.75</v>
      </c>
      <c r="BX404">
        <v>4</v>
      </c>
      <c r="BY404">
        <v>4</v>
      </c>
      <c r="BZ404">
        <f>IFERROR(AVERAGE(Tabel1[[#This Row],[In - R1a]:[In - R1b]]),"")</f>
        <v>4</v>
      </c>
      <c r="CA404">
        <v>5</v>
      </c>
      <c r="CB404">
        <v>3</v>
      </c>
      <c r="CC404">
        <v>4</v>
      </c>
      <c r="CD404">
        <v>4</v>
      </c>
      <c r="CE404">
        <f>IFERROR(AVERAGE(Tabel1[[#This Row],[In - R1]:[In - R5]]),"")</f>
        <v>4</v>
      </c>
      <c r="CF404">
        <v>4</v>
      </c>
      <c r="CG404">
        <v>1</v>
      </c>
      <c r="CH404">
        <v>2</v>
      </c>
      <c r="CI404">
        <f>IFERROR(AVERAGE(Tabel1[[#This Row],[In - C1a]:[In - C1c]]),"")</f>
        <v>2.3333333333333335</v>
      </c>
      <c r="CJ404">
        <v>3</v>
      </c>
      <c r="CK404">
        <v>3</v>
      </c>
      <c r="CL404">
        <v>4</v>
      </c>
      <c r="CM404">
        <f>IFERROR(AVERAGE(Tabel1[[#This Row],[In - C1]:[In - C4]]),"")</f>
        <v>3.0833333333333335</v>
      </c>
      <c r="CN404">
        <v>1</v>
      </c>
      <c r="CO404">
        <v>4</v>
      </c>
      <c r="CP404">
        <v>1</v>
      </c>
      <c r="CQ404">
        <f>IFERROR(AVERAGE(Tabel1[[#This Row],[In - F1a]:[In - F1c]]),"")</f>
        <v>2</v>
      </c>
      <c r="CR404">
        <v>4</v>
      </c>
      <c r="CS404">
        <v>1</v>
      </c>
      <c r="CT404">
        <f>IFERROR(AVERAGE(Tabel1[[#This Row],[In - F2a]:[In - F2b]]),"")</f>
        <v>2.5</v>
      </c>
      <c r="CU404">
        <v>1</v>
      </c>
      <c r="CV404">
        <f>IFERROR(AVERAGE(Tabel1[[#This Row],[In - F3a]:[In - F3a]]),"")</f>
        <v>1</v>
      </c>
      <c r="CW404">
        <v>4</v>
      </c>
      <c r="CX404">
        <f>IFERROR(AVERAGE(Tabel1[[#This Row],[In - F1]],Tabel1[[#This Row],[In - F2]],Tabel1[[#This Row],[In - F3]],Tabel1[[#This Row],[In - F4]]),"")</f>
        <v>2.375</v>
      </c>
      <c r="CY404">
        <v>4</v>
      </c>
      <c r="CZ404">
        <v>3</v>
      </c>
      <c r="DA404">
        <v>3</v>
      </c>
      <c r="DB404">
        <f>IFERROR(AVERAGE(Tabel1[[#This Row],[In - V1a]:[In - V1c]]),"")</f>
        <v>3.3333333333333335</v>
      </c>
      <c r="DC404">
        <v>3</v>
      </c>
      <c r="DD404">
        <v>3</v>
      </c>
      <c r="DE404">
        <v>4</v>
      </c>
      <c r="DF404">
        <f>IFERROR(AVERAGE(Tabel1[[#This Row],[In - V2a]:[In - V2c]]),"")</f>
        <v>3.3333333333333335</v>
      </c>
      <c r="DG404">
        <v>1</v>
      </c>
      <c r="DH404">
        <v>2</v>
      </c>
      <c r="DI404">
        <f>IFERROR(AVERAGE(Tabel1[[#This Row],[In - V3a]:[In - V3b]]),"")</f>
        <v>1.5</v>
      </c>
      <c r="DJ404">
        <v>2</v>
      </c>
      <c r="DK404">
        <f>IFERROR(AVERAGE(Tabel1[[#This Row],[In - V1]],Tabel1[[#This Row],[In - V2]],Tabel1[[#This Row],[In - V3]],Tabel1[[#This Row],[In - V4]]),"")</f>
        <v>2.541666666666667</v>
      </c>
      <c r="DL404">
        <v>2</v>
      </c>
      <c r="DM404">
        <v>1</v>
      </c>
      <c r="DN404">
        <f>IFERROR(AVERAGE(Tabel1[[#This Row],[In - A1a]:[In - A1b]]),"")</f>
        <v>1.5</v>
      </c>
      <c r="DO404">
        <v>4</v>
      </c>
      <c r="DP404">
        <v>1</v>
      </c>
      <c r="DQ404">
        <f>IFERROR(AVERAGE(Tabel1[[#This Row],[In - A2a]:[In - A2b]]),"")</f>
        <v>2.5</v>
      </c>
      <c r="DR404">
        <v>2</v>
      </c>
      <c r="DS404">
        <v>1</v>
      </c>
      <c r="DT404">
        <f>IFERROR(AVERAGE(Tabel1[[#This Row],[In - A3a]:[In - A3a]]),"")</f>
        <v>2</v>
      </c>
      <c r="DU404">
        <v>2</v>
      </c>
      <c r="DV404">
        <f>IFERROR(AVERAGE(Tabel1[[#This Row],[In - A1]],Tabel1[[#This Row],[In - A2]],Tabel1[[#This Row],[In - A3]],Tabel1[[#This Row],[In - A4]]),"")</f>
        <v>2</v>
      </c>
      <c r="DW404">
        <v>1</v>
      </c>
      <c r="DX404">
        <v>5</v>
      </c>
      <c r="DY404">
        <v>1</v>
      </c>
      <c r="DZ404">
        <f>IFERROR(AVERAGE(Tabel1[[#This Row],[Do - R1a]:[Do - R1c]]),"")</f>
        <v>2.3333333333333335</v>
      </c>
      <c r="EA404">
        <v>2</v>
      </c>
      <c r="EB404">
        <v>5</v>
      </c>
      <c r="EC404" t="s">
        <v>189</v>
      </c>
      <c r="ED404" t="s">
        <v>189</v>
      </c>
      <c r="EE404">
        <f>IFERROR(AVERAGE(Tabel1[[#This Row],[Do - R1]:[Do - R5]]),"")</f>
        <v>3.1111111111111112</v>
      </c>
      <c r="EF404">
        <v>3</v>
      </c>
      <c r="EG404">
        <v>3</v>
      </c>
      <c r="EH404">
        <v>3</v>
      </c>
      <c r="EI404">
        <f>IFERROR(AVERAGE(Tabel1[[#This Row],[Do - C1a]:[Do - C1c]]),"")</f>
        <v>3</v>
      </c>
      <c r="EJ404" t="s">
        <v>189</v>
      </c>
      <c r="EK404">
        <v>1</v>
      </c>
      <c r="EL404">
        <v>3</v>
      </c>
      <c r="EM404">
        <f>IFERROR(AVERAGE(Tabel1[[#This Row],[Do - C1]:[Do - C4]]),"")</f>
        <v>2.3333333333333335</v>
      </c>
      <c r="EN404">
        <v>2</v>
      </c>
      <c r="EO404">
        <v>2</v>
      </c>
      <c r="EP404">
        <v>3</v>
      </c>
      <c r="EQ404">
        <f>IFERROR(AVERAGE(Tabel1[[#This Row],[Do - F1a]:[Do - F1c]]),"")</f>
        <v>2.3333333333333335</v>
      </c>
      <c r="ER404">
        <v>2</v>
      </c>
      <c r="ES404" s="14">
        <f>IFERROR(AVERAGE(Tabel1[[#This Row],[Do - F2a]:[Do - F2a]]),"")</f>
        <v>2</v>
      </c>
      <c r="ET404">
        <v>3</v>
      </c>
      <c r="EU404">
        <v>2</v>
      </c>
      <c r="EV404" s="14">
        <f>IFERROR(AVERAGE(Tabel1[[#This Row],[Do - F3a]:[Do - F3b]]),"")</f>
        <v>2.5</v>
      </c>
      <c r="EW404">
        <v>3</v>
      </c>
      <c r="EX404" s="14">
        <f>IFERROR(AVERAGE(Tabel1[[#This Row],[Do - F1]],Tabel1[[#This Row],[Do - F2]],Tabel1[[#This Row],[Do - F3]],Tabel1[[#This Row],[Do - F4]]),"")</f>
        <v>2.4583333333333335</v>
      </c>
      <c r="EY404">
        <v>4</v>
      </c>
      <c r="EZ404">
        <v>3</v>
      </c>
      <c r="FA404">
        <v>4</v>
      </c>
      <c r="FB404">
        <f>IFERROR(AVERAGE(Tabel1[[#This Row],[Do - V1a]:[Do - V1c]]),"")</f>
        <v>3.6666666666666665</v>
      </c>
      <c r="FC404">
        <v>3</v>
      </c>
      <c r="FD404">
        <v>4</v>
      </c>
      <c r="FE404">
        <f>IFERROR(AVERAGE(Tabel1[[#This Row],[Do - V2a]:[Do - V2b]]),"")</f>
        <v>3.5</v>
      </c>
      <c r="FF404">
        <v>3</v>
      </c>
      <c r="FG404">
        <f>IFERROR(AVERAGE(Tabel1[[#This Row],[Do - V3a]:[Do - V3a]]),"")</f>
        <v>3</v>
      </c>
      <c r="FH404">
        <v>4</v>
      </c>
      <c r="FI404">
        <f>IFERROR(AVERAGE(Tabel1[[#This Row],[Do - V1]],Tabel1[[#This Row],[Do - V2]],Tabel1[[#This Row],[Do - V3]],Tabel1[[#This Row],[Do - V4]]),"")</f>
        <v>3.5416666666666665</v>
      </c>
      <c r="FJ404">
        <v>5</v>
      </c>
      <c r="FK404">
        <v>2</v>
      </c>
      <c r="FL404">
        <v>3</v>
      </c>
      <c r="FM404">
        <f>IFERROR(AVERAGE(Tabel1[[#This Row],[Do - A1a]:[Do - A1c]]),"")</f>
        <v>3.3333333333333335</v>
      </c>
      <c r="FN404">
        <v>3</v>
      </c>
      <c r="FO404">
        <v>4</v>
      </c>
      <c r="FP404">
        <f>IFERROR(AVERAGE(Tabel1[[#This Row],[Do - A2a]:[Do - A2b]]),"")</f>
        <v>3.5</v>
      </c>
      <c r="FQ404">
        <v>4</v>
      </c>
      <c r="FR404">
        <f>IFERROR(AVERAGE(Tabel1[[#This Row],[Do - A3a]:[Do - A3a]]),"")</f>
        <v>4</v>
      </c>
      <c r="FS404">
        <v>3</v>
      </c>
      <c r="FT404">
        <f>IFERROR(AVERAGE(Tabel1[[#This Row],[Do - A1]],Tabel1[[#This Row],[Do - A2]],Tabel1[[#This Row],[Do - A3]],Tabel1[[#This Row],[Do - A4]]),"")</f>
        <v>3.4583333333333335</v>
      </c>
      <c r="FU40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2.9451851851851858</v>
      </c>
      <c r="FV404" t="s">
        <v>2021</v>
      </c>
      <c r="FW404" t="b">
        <v>1</v>
      </c>
    </row>
    <row r="405" spans="1:179" x14ac:dyDescent="0.3">
      <c r="A405" s="13">
        <v>45630.710370370398</v>
      </c>
      <c r="B405" t="b">
        <v>0</v>
      </c>
      <c r="C405" s="14" t="s">
        <v>2022</v>
      </c>
      <c r="D405" s="14" t="s">
        <v>2023</v>
      </c>
      <c r="E405" s="14" t="s">
        <v>2024</v>
      </c>
      <c r="F405" s="14" t="s">
        <v>1775</v>
      </c>
      <c r="G405" s="14" t="s">
        <v>2025</v>
      </c>
      <c r="H405" s="14" t="s">
        <v>194</v>
      </c>
      <c r="I405" s="14" t="s">
        <v>322</v>
      </c>
      <c r="J405" s="14" t="s">
        <v>323</v>
      </c>
      <c r="K405" s="14" t="s">
        <v>304</v>
      </c>
      <c r="L405" s="14" t="s">
        <v>249</v>
      </c>
      <c r="M405" s="14" t="s">
        <v>281</v>
      </c>
      <c r="N405" s="14" t="s">
        <v>262</v>
      </c>
      <c r="O405" s="14" t="s">
        <v>200</v>
      </c>
      <c r="P405" s="14" t="s">
        <v>255</v>
      </c>
      <c r="Q405" s="17" t="s">
        <v>304</v>
      </c>
      <c r="R405" s="14" t="s">
        <v>203</v>
      </c>
      <c r="S405" s="14" t="s">
        <v>201</v>
      </c>
      <c r="T405" s="14" t="s">
        <v>348</v>
      </c>
      <c r="U405" s="14" t="s">
        <v>285</v>
      </c>
      <c r="V405" s="14" t="s">
        <v>224</v>
      </c>
      <c r="W405" s="14" t="s">
        <v>395</v>
      </c>
      <c r="X405" s="14" t="s">
        <v>207</v>
      </c>
      <c r="Y405" s="14">
        <v>3</v>
      </c>
      <c r="Z405" s="14">
        <v>2</v>
      </c>
      <c r="AA405" s="14">
        <v>2</v>
      </c>
      <c r="AB405" s="15">
        <f>IFERROR(AVERAGE(Tabel1[[#This Row],[Up - R1a]:[Up - R1c]]),"")</f>
        <v>2.3333333333333335</v>
      </c>
      <c r="AC405" s="14">
        <v>4</v>
      </c>
      <c r="AD405" s="14">
        <v>3</v>
      </c>
      <c r="AE405" s="14">
        <v>3</v>
      </c>
      <c r="AF405" s="14">
        <v>2</v>
      </c>
      <c r="AG405" s="14">
        <f>IFERROR(AVERAGE(Tabel1[[#This Row],[Up - R1]:[Up - R5]]),"")</f>
        <v>2.8666666666666667</v>
      </c>
      <c r="AH405" s="14">
        <v>2</v>
      </c>
      <c r="AI405" s="14">
        <v>4</v>
      </c>
      <c r="AJ405" s="14">
        <v>3</v>
      </c>
      <c r="AK405" s="14">
        <f>IFERROR(AVERAGE(Tabel1[[#This Row],[Up - C1a]:[Up - C1c]]),"")</f>
        <v>3</v>
      </c>
      <c r="AL405" s="14">
        <v>1</v>
      </c>
      <c r="AM405" s="14">
        <v>3</v>
      </c>
      <c r="AN405" s="14">
        <v>4</v>
      </c>
      <c r="AO405" s="14">
        <f>IFERROR(AVERAGE(Tabel1[[#This Row],[Up - C1]:[Up - C4]]),"")</f>
        <v>2.75</v>
      </c>
      <c r="AP405" s="14">
        <v>3</v>
      </c>
      <c r="AQ405" s="14">
        <f>IFERROR(AVERAGE(Tabel1[[#This Row],[Up - F1a]:[Up - F1a]]),"")</f>
        <v>3</v>
      </c>
      <c r="AR405" s="14">
        <v>1</v>
      </c>
      <c r="AS405" s="14">
        <v>3</v>
      </c>
      <c r="AT405" s="14">
        <f>IFERROR(AVERAGE(Tabel1[[#This Row],[Up - F2a]:[Up - F2b]]),"")</f>
        <v>2</v>
      </c>
      <c r="AU405" s="14">
        <v>4</v>
      </c>
      <c r="AV405" s="14">
        <v>3</v>
      </c>
      <c r="AW405" s="14">
        <f>IFERROR(AVERAGE(Tabel1[[#This Row],[Up - F3a]:[Up - F3b]]),"")</f>
        <v>3.5</v>
      </c>
      <c r="AX405" s="14">
        <v>4</v>
      </c>
      <c r="AY405" s="14">
        <f>IFERROR(AVERAGE(Tabel1[[#This Row],[Up - F1]],Tabel1[[#This Row],[Up - F2]],Tabel1[[#This Row],[Up - F3]],Tabel1[[#This Row],[Up - F4]]),"")</f>
        <v>3.125</v>
      </c>
      <c r="AZ405" s="14">
        <v>3</v>
      </c>
      <c r="BA405" s="14">
        <v>4</v>
      </c>
      <c r="BB405" s="14">
        <f>IFERROR(AVERAGE(Tabel1[[#This Row],[Up - V1a]:[Up - V1b]]),"")</f>
        <v>3.5</v>
      </c>
      <c r="BC405" s="14">
        <v>3</v>
      </c>
      <c r="BD405" s="14">
        <v>4</v>
      </c>
      <c r="BE405" s="14">
        <v>3</v>
      </c>
      <c r="BF405" s="14">
        <f>IFERROR(AVERAGE(Tabel1[[#This Row],[Up - V2a]:[Up - V2c]]),"")</f>
        <v>3.3333333333333335</v>
      </c>
      <c r="BG405" s="14">
        <v>4</v>
      </c>
      <c r="BH405" s="14">
        <v>3</v>
      </c>
      <c r="BI405" s="14">
        <f>IFERROR(AVERAGE(Tabel1[[#This Row],[Up - V3a]:[Up - V3b]]),"")</f>
        <v>3.5</v>
      </c>
      <c r="BJ405" s="14">
        <v>1</v>
      </c>
      <c r="BK405" s="14">
        <f>IFERROR(AVERAGE(Tabel1[[#This Row],[Up - V1]],Tabel1[[#This Row],[Up - V2]],Tabel1[[#This Row],[Up - V3]],Tabel1[[#This Row],[Up - V4]]),"")</f>
        <v>2.8333333333333335</v>
      </c>
      <c r="BL405" s="14">
        <v>2</v>
      </c>
      <c r="BM405" s="14">
        <v>1</v>
      </c>
      <c r="BN405" s="14">
        <v>1</v>
      </c>
      <c r="BO405" s="14">
        <v>2</v>
      </c>
      <c r="BP405" s="14">
        <f>IFERROR(AVERAGE(Tabel1[[#This Row],[Up - A1a]:[Up - A1d]]),"")</f>
        <v>1.5</v>
      </c>
      <c r="BQ405" s="14">
        <v>4</v>
      </c>
      <c r="BR405" s="14">
        <v>1</v>
      </c>
      <c r="BS405" s="14">
        <f>IFERROR(AVERAGE(Tabel1[[#This Row],[Up - A2a]:[Up - A2b]]),"")</f>
        <v>2.5</v>
      </c>
      <c r="BT405" s="14">
        <v>1</v>
      </c>
      <c r="BU405" s="14">
        <f>IFERROR(AVERAGE(Tabel1[[#This Row],[Up - A3a]:[Up - A3a]]),"")</f>
        <v>1</v>
      </c>
      <c r="BV405" s="14">
        <v>3</v>
      </c>
      <c r="BW405" s="14">
        <f>IFERROR(AVERAGE(Tabel1[[#This Row],[Up - A1]],Tabel1[[#This Row],[Up - A2]],Tabel1[[#This Row],[Up - A3]]),"")</f>
        <v>1.6666666666666667</v>
      </c>
      <c r="BX405" s="14">
        <v>3</v>
      </c>
      <c r="BY405" s="14">
        <v>3</v>
      </c>
      <c r="BZ405" s="14">
        <f>IFERROR(AVERAGE(Tabel1[[#This Row],[In - R1a]:[In - R1b]]),"")</f>
        <v>3</v>
      </c>
      <c r="CA405" s="14">
        <v>4</v>
      </c>
      <c r="CB405" s="14">
        <v>2</v>
      </c>
      <c r="CC405" s="14">
        <v>3</v>
      </c>
      <c r="CD405" s="14">
        <v>5</v>
      </c>
      <c r="CE405" s="14">
        <f>IFERROR(AVERAGE(Tabel1[[#This Row],[In - R1]:[In - R5]]),"")</f>
        <v>3.4</v>
      </c>
      <c r="CF405" s="14">
        <v>4</v>
      </c>
      <c r="CG405" s="14">
        <v>4</v>
      </c>
      <c r="CH405" s="14">
        <v>5</v>
      </c>
      <c r="CI405" s="14">
        <f>IFERROR(AVERAGE(Tabel1[[#This Row],[In - C1a]:[In - C1c]]),"")</f>
        <v>4.333333333333333</v>
      </c>
      <c r="CJ405" s="14">
        <v>3</v>
      </c>
      <c r="CK405" s="14">
        <v>4</v>
      </c>
      <c r="CL405" s="14">
        <v>4</v>
      </c>
      <c r="CM405" s="14">
        <f>IFERROR(AVERAGE(Tabel1[[#This Row],[In - C1]:[In - C4]]),"")</f>
        <v>3.833333333333333</v>
      </c>
      <c r="CN405" s="14">
        <v>1</v>
      </c>
      <c r="CO405" s="14">
        <v>1</v>
      </c>
      <c r="CP405" s="14">
        <v>1</v>
      </c>
      <c r="CQ405" s="14">
        <f>IFERROR(AVERAGE(Tabel1[[#This Row],[In - F1a]:[In - F1c]]),"")</f>
        <v>1</v>
      </c>
      <c r="CR405" s="14">
        <v>2</v>
      </c>
      <c r="CS405" s="14">
        <v>4</v>
      </c>
      <c r="CT405" s="14">
        <f>IFERROR(AVERAGE(Tabel1[[#This Row],[In - F2a]:[In - F2b]]),"")</f>
        <v>3</v>
      </c>
      <c r="CU405" s="14">
        <v>3</v>
      </c>
      <c r="CV405" s="14">
        <f>IFERROR(AVERAGE(Tabel1[[#This Row],[In - F3a]:[In - F3a]]),"")</f>
        <v>3</v>
      </c>
      <c r="CW405" s="14">
        <v>2</v>
      </c>
      <c r="CX405" s="14">
        <f>IFERROR(AVERAGE(Tabel1[[#This Row],[In - F1]],Tabel1[[#This Row],[In - F2]],Tabel1[[#This Row],[In - F3]],Tabel1[[#This Row],[In - F4]]),"")</f>
        <v>2.25</v>
      </c>
      <c r="CY405" s="14">
        <v>4</v>
      </c>
      <c r="CZ405" s="14">
        <v>4</v>
      </c>
      <c r="DA405" s="14">
        <v>3</v>
      </c>
      <c r="DB405" s="14">
        <f>IFERROR(AVERAGE(Tabel1[[#This Row],[In - V1a]:[In - V1c]]),"")</f>
        <v>3.6666666666666665</v>
      </c>
      <c r="DC405" s="14">
        <v>3</v>
      </c>
      <c r="DD405" s="14">
        <v>3</v>
      </c>
      <c r="DE405" s="14">
        <v>3</v>
      </c>
      <c r="DF405" s="14">
        <f>IFERROR(AVERAGE(Tabel1[[#This Row],[In - V2a]:[In - V2c]]),"")</f>
        <v>3</v>
      </c>
      <c r="DG405" s="14">
        <v>3</v>
      </c>
      <c r="DH405" s="14">
        <v>2</v>
      </c>
      <c r="DI405" s="14">
        <f>IFERROR(AVERAGE(Tabel1[[#This Row],[In - V3a]:[In - V3b]]),"")</f>
        <v>2.5</v>
      </c>
      <c r="DJ405" s="14">
        <v>1</v>
      </c>
      <c r="DK405" s="14">
        <f>IFERROR(AVERAGE(Tabel1[[#This Row],[In - V1]],Tabel1[[#This Row],[In - V2]],Tabel1[[#This Row],[In - V3]],Tabel1[[#This Row],[In - V4]]),"")</f>
        <v>2.5416666666666665</v>
      </c>
      <c r="DL405" s="14">
        <v>1</v>
      </c>
      <c r="DM405" s="14">
        <v>1</v>
      </c>
      <c r="DN405" s="14">
        <f>IFERROR(AVERAGE(Tabel1[[#This Row],[In - A1a]:[In - A1b]]),"")</f>
        <v>1</v>
      </c>
      <c r="DO405" s="14">
        <v>3</v>
      </c>
      <c r="DP405" s="14">
        <v>1</v>
      </c>
      <c r="DQ405" s="14">
        <f>IFERROR(AVERAGE(Tabel1[[#This Row],[In - A2a]:[In - A2b]]),"")</f>
        <v>2</v>
      </c>
      <c r="DR405" s="14">
        <v>2</v>
      </c>
      <c r="DS405" s="14">
        <v>1</v>
      </c>
      <c r="DT405" s="14">
        <f>IFERROR(AVERAGE(Tabel1[[#This Row],[In - A3a]:[In - A3a]]),"")</f>
        <v>2</v>
      </c>
      <c r="DU405" s="14">
        <v>4</v>
      </c>
      <c r="DV405" s="14">
        <f>IFERROR(AVERAGE(Tabel1[[#This Row],[In - A1]],Tabel1[[#This Row],[In - A2]],Tabel1[[#This Row],[In - A3]],Tabel1[[#This Row],[In - A4]]),"")</f>
        <v>2.25</v>
      </c>
      <c r="DW405" s="14">
        <v>2</v>
      </c>
      <c r="DX405" s="14">
        <v>4</v>
      </c>
      <c r="DY405" s="14">
        <v>4</v>
      </c>
      <c r="DZ405" s="14">
        <f>IFERROR(AVERAGE(Tabel1[[#This Row],[Do - R1a]:[Do - R1c]]),"")</f>
        <v>3.3333333333333335</v>
      </c>
      <c r="EA405" s="14">
        <v>2</v>
      </c>
      <c r="EB405" s="14">
        <v>5</v>
      </c>
      <c r="EC405" s="14">
        <v>5</v>
      </c>
      <c r="ED405" s="14">
        <v>4</v>
      </c>
      <c r="EE405" s="14">
        <f>IFERROR(AVERAGE(Tabel1[[#This Row],[Do - R1]:[Do - R5]]),"")</f>
        <v>3.8666666666666671</v>
      </c>
      <c r="EF405" s="14">
        <v>3</v>
      </c>
      <c r="EG405" s="14">
        <v>4</v>
      </c>
      <c r="EH405" s="14">
        <v>2</v>
      </c>
      <c r="EI405" s="14">
        <f>IFERROR(AVERAGE(Tabel1[[#This Row],[Do - C1a]:[Do - C1c]]),"")</f>
        <v>3</v>
      </c>
      <c r="EJ405" s="14">
        <v>3</v>
      </c>
      <c r="EK405" s="14">
        <v>5</v>
      </c>
      <c r="EL405" s="14">
        <v>4</v>
      </c>
      <c r="EM405" s="14">
        <f>IFERROR(AVERAGE(Tabel1[[#This Row],[Do - C1]:[Do - C4]]),"")</f>
        <v>3.75</v>
      </c>
      <c r="EN405" s="14">
        <v>1</v>
      </c>
      <c r="EO405" s="14">
        <v>2</v>
      </c>
      <c r="EP405" s="14">
        <v>1</v>
      </c>
      <c r="EQ405" s="14">
        <f>IFERROR(AVERAGE(Tabel1[[#This Row],[Do - F1a]:[Do - F1c]]),"")</f>
        <v>1.3333333333333333</v>
      </c>
      <c r="ER405" s="14">
        <v>3</v>
      </c>
      <c r="ES405" s="14">
        <f>IFERROR(AVERAGE(Tabel1[[#This Row],[Do - F2a]:[Do - F2a]]),"")</f>
        <v>3</v>
      </c>
      <c r="ET405" s="14">
        <v>4</v>
      </c>
      <c r="EU405" s="14">
        <v>4</v>
      </c>
      <c r="EV405" s="14">
        <f>IFERROR(AVERAGE(Tabel1[[#This Row],[Do - F3a]:[Do - F3b]]),"")</f>
        <v>4</v>
      </c>
      <c r="EW405" s="14">
        <v>3</v>
      </c>
      <c r="EX405" s="14">
        <f>IFERROR(AVERAGE(Tabel1[[#This Row],[Do - F1]],Tabel1[[#This Row],[Do - F2]],Tabel1[[#This Row],[Do - F3]],Tabel1[[#This Row],[Do - F4]]),"")</f>
        <v>2.833333333333333</v>
      </c>
      <c r="EY405" s="14">
        <v>4</v>
      </c>
      <c r="EZ405" s="14">
        <v>4</v>
      </c>
      <c r="FA405" s="14">
        <v>4</v>
      </c>
      <c r="FB405" s="14">
        <f>IFERROR(AVERAGE(Tabel1[[#This Row],[Do - V1a]:[Do - V1c]]),"")</f>
        <v>4</v>
      </c>
      <c r="FC405" s="14">
        <v>5</v>
      </c>
      <c r="FD405" s="14">
        <v>4</v>
      </c>
      <c r="FE405" s="14">
        <f>IFERROR(AVERAGE(Tabel1[[#This Row],[Do - V2a]:[Do - V2b]]),"")</f>
        <v>4.5</v>
      </c>
      <c r="FF405" s="14">
        <v>3</v>
      </c>
      <c r="FG405" s="14">
        <f>IFERROR(AVERAGE(Tabel1[[#This Row],[Do - V3a]:[Do - V3a]]),"")</f>
        <v>3</v>
      </c>
      <c r="FH405" s="14">
        <v>1</v>
      </c>
      <c r="FI405" s="14">
        <f>IFERROR(AVERAGE(Tabel1[[#This Row],[Do - V1]],Tabel1[[#This Row],[Do - V2]],Tabel1[[#This Row],[Do - V3]],Tabel1[[#This Row],[Do - V4]]),"")</f>
        <v>3.125</v>
      </c>
      <c r="FJ405" s="14"/>
      <c r="FK405" s="14">
        <v>2</v>
      </c>
      <c r="FL405" s="14">
        <v>2</v>
      </c>
      <c r="FM405" s="14">
        <f>IFERROR(AVERAGE(Tabel1[[#This Row],[Do - A1a]:[Do - A1c]]),"")</f>
        <v>2</v>
      </c>
      <c r="FN405" s="14">
        <v>2</v>
      </c>
      <c r="FO405" s="14">
        <v>2</v>
      </c>
      <c r="FP405" s="14">
        <f>IFERROR(AVERAGE(Tabel1[[#This Row],[Do - A2a]:[Do - A2b]]),"")</f>
        <v>2</v>
      </c>
      <c r="FQ405" s="14">
        <v>2</v>
      </c>
      <c r="FR405" s="14">
        <f>IFERROR(AVERAGE(Tabel1[[#This Row],[Do - A3a]:[Do - A3a]]),"")</f>
        <v>2</v>
      </c>
      <c r="FS405" s="14">
        <v>5</v>
      </c>
      <c r="FT405" s="14">
        <f>IFERROR(AVERAGE(Tabel1[[#This Row],[Do - A1]],Tabel1[[#This Row],[Do - A2]],Tabel1[[#This Row],[Do - A3]],Tabel1[[#This Row],[Do - A4]]),"")</f>
        <v>2.75</v>
      </c>
      <c r="FU405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2.9227777777777777</v>
      </c>
      <c r="FV405" s="16" t="s">
        <v>2026</v>
      </c>
      <c r="FW405" t="b">
        <v>1</v>
      </c>
    </row>
    <row r="406" spans="1:179" x14ac:dyDescent="0.3">
      <c r="A406" s="13">
        <v>45631.6651388889</v>
      </c>
      <c r="B406" t="b">
        <v>0</v>
      </c>
      <c r="C406" s="14" t="s">
        <v>2027</v>
      </c>
      <c r="D406" s="14" t="s">
        <v>2028</v>
      </c>
      <c r="E406" s="14" t="s">
        <v>2029</v>
      </c>
      <c r="F406" s="14" t="s">
        <v>184</v>
      </c>
      <c r="G406" s="14" t="s">
        <v>2030</v>
      </c>
      <c r="H406" s="14" t="s">
        <v>194</v>
      </c>
      <c r="I406" s="14" t="s">
        <v>195</v>
      </c>
      <c r="J406" s="14" t="s">
        <v>261</v>
      </c>
      <c r="K406" s="14" t="s">
        <v>235</v>
      </c>
      <c r="L406" s="14" t="s">
        <v>218</v>
      </c>
      <c r="M406" s="14"/>
      <c r="N406" s="14" t="s">
        <v>262</v>
      </c>
      <c r="O406" s="14" t="s">
        <v>200</v>
      </c>
      <c r="P406" s="14" t="s">
        <v>255</v>
      </c>
      <c r="Q406" s="17" t="s">
        <v>201</v>
      </c>
      <c r="R406" s="14" t="s">
        <v>235</v>
      </c>
      <c r="S406" s="14" t="s">
        <v>235</v>
      </c>
      <c r="T406" s="14" t="s">
        <v>204</v>
      </c>
      <c r="U406" s="14" t="s">
        <v>205</v>
      </c>
      <c r="V406" s="14" t="s">
        <v>206</v>
      </c>
      <c r="W406" s="14" t="s">
        <v>207</v>
      </c>
      <c r="X406" s="14" t="s">
        <v>207</v>
      </c>
      <c r="Y406" s="14">
        <v>3</v>
      </c>
      <c r="Z406" s="14">
        <v>2</v>
      </c>
      <c r="AA406" s="14" t="s">
        <v>189</v>
      </c>
      <c r="AB406" s="15">
        <f>IFERROR(AVERAGE(Tabel1[[#This Row],[Up - R1a]:[Up - R1c]]),"")</f>
        <v>2.5</v>
      </c>
      <c r="AC406" s="14">
        <v>2</v>
      </c>
      <c r="AD406" s="14">
        <v>4</v>
      </c>
      <c r="AE406" s="14" t="s">
        <v>189</v>
      </c>
      <c r="AF406" s="14" t="s">
        <v>189</v>
      </c>
      <c r="AG406" s="14">
        <f>IFERROR(AVERAGE(Tabel1[[#This Row],[Up - R1]:[Up - R5]]),"")</f>
        <v>2.8333333333333335</v>
      </c>
      <c r="AH406" s="14" t="s">
        <v>189</v>
      </c>
      <c r="AI406" s="14">
        <v>3</v>
      </c>
      <c r="AJ406" s="14">
        <v>3</v>
      </c>
      <c r="AK406" s="14">
        <f>IFERROR(AVERAGE(Tabel1[[#This Row],[Up - C1a]:[Up - C1c]]),"")</f>
        <v>3</v>
      </c>
      <c r="AL406" s="14">
        <v>4</v>
      </c>
      <c r="AM406" s="14" t="s">
        <v>189</v>
      </c>
      <c r="AN406" s="14" t="s">
        <v>189</v>
      </c>
      <c r="AO406" s="14">
        <f>IFERROR(AVERAGE(Tabel1[[#This Row],[Up - C1]:[Up - C4]]),"")</f>
        <v>3.5</v>
      </c>
      <c r="AP406" s="14">
        <v>4</v>
      </c>
      <c r="AQ406" s="14">
        <f>IFERROR(AVERAGE(Tabel1[[#This Row],[Up - F1a]:[Up - F1a]]),"")</f>
        <v>4</v>
      </c>
      <c r="AR406" s="14">
        <v>2</v>
      </c>
      <c r="AS406" s="14">
        <v>2</v>
      </c>
      <c r="AT406" s="14">
        <f>IFERROR(AVERAGE(Tabel1[[#This Row],[Up - F2a]:[Up - F2b]]),"")</f>
        <v>2</v>
      </c>
      <c r="AU406" s="14">
        <v>3</v>
      </c>
      <c r="AV406" s="14" t="s">
        <v>189</v>
      </c>
      <c r="AW406" s="14">
        <f>IFERROR(AVERAGE(Tabel1[[#This Row],[Up - F3a]:[Up - F3b]]),"")</f>
        <v>3</v>
      </c>
      <c r="AX406" s="14" t="s">
        <v>189</v>
      </c>
      <c r="AY406" s="14">
        <f>IFERROR(AVERAGE(Tabel1[[#This Row],[Up - F1]],Tabel1[[#This Row],[Up - F2]],Tabel1[[#This Row],[Up - F3]],Tabel1[[#This Row],[Up - F4]]),"")</f>
        <v>3</v>
      </c>
      <c r="AZ406" s="14">
        <v>3</v>
      </c>
      <c r="BA406" s="14">
        <v>3</v>
      </c>
      <c r="BB406" s="14">
        <f>IFERROR(AVERAGE(Tabel1[[#This Row],[Up - V1a]:[Up - V1b]]),"")</f>
        <v>3</v>
      </c>
      <c r="BC406" s="14" t="s">
        <v>189</v>
      </c>
      <c r="BD406" s="14">
        <v>3</v>
      </c>
      <c r="BE406" s="14">
        <v>4</v>
      </c>
      <c r="BF406" s="14">
        <f>IFERROR(AVERAGE(Tabel1[[#This Row],[Up - V2a]:[Up - V2c]]),"")</f>
        <v>3.5</v>
      </c>
      <c r="BG406" s="14" t="s">
        <v>189</v>
      </c>
      <c r="BH406" s="14" t="s">
        <v>189</v>
      </c>
      <c r="BI406" s="14" t="str">
        <f>IFERROR(AVERAGE(Tabel1[[#This Row],[Up - V3a]:[Up - V3b]]),"")</f>
        <v/>
      </c>
      <c r="BJ406" s="14" t="s">
        <v>189</v>
      </c>
      <c r="BK406" s="14">
        <f>IFERROR(AVERAGE(Tabel1[[#This Row],[Up - V1]],Tabel1[[#This Row],[Up - V2]],Tabel1[[#This Row],[Up - V3]],Tabel1[[#This Row],[Up - V4]]),"")</f>
        <v>3.25</v>
      </c>
      <c r="BL406" s="14">
        <v>4</v>
      </c>
      <c r="BM406" s="14">
        <v>5</v>
      </c>
      <c r="BN406" s="14">
        <v>1</v>
      </c>
      <c r="BO406" s="14" t="s">
        <v>189</v>
      </c>
      <c r="BP406" s="14">
        <f>IFERROR(AVERAGE(Tabel1[[#This Row],[Up - A1a]:[Up - A1d]]),"")</f>
        <v>3.3333333333333335</v>
      </c>
      <c r="BQ406" s="14" t="s">
        <v>189</v>
      </c>
      <c r="BR406" s="14">
        <v>5</v>
      </c>
      <c r="BS406" s="14">
        <f>IFERROR(AVERAGE(Tabel1[[#This Row],[Up - A2a]:[Up - A2b]]),"")</f>
        <v>5</v>
      </c>
      <c r="BT406" s="14">
        <v>4</v>
      </c>
      <c r="BU406" s="14">
        <f>IFERROR(AVERAGE(Tabel1[[#This Row],[Up - A3a]:[Up - A3a]]),"")</f>
        <v>4</v>
      </c>
      <c r="BV406" s="14" t="s">
        <v>189</v>
      </c>
      <c r="BW406" s="14">
        <f>IFERROR(AVERAGE(Tabel1[[#This Row],[Up - A1]],Tabel1[[#This Row],[Up - A2]],Tabel1[[#This Row],[Up - A3]]),"")</f>
        <v>4.1111111111111116</v>
      </c>
      <c r="BX406" s="14">
        <v>3</v>
      </c>
      <c r="BY406" s="14">
        <v>4</v>
      </c>
      <c r="BZ406" s="14">
        <f>IFERROR(AVERAGE(Tabel1[[#This Row],[In - R1a]:[In - R1b]]),"")</f>
        <v>3.5</v>
      </c>
      <c r="CA406" s="14">
        <v>5</v>
      </c>
      <c r="CB406" s="14">
        <v>5</v>
      </c>
      <c r="CC406" s="14">
        <v>2</v>
      </c>
      <c r="CD406" s="14" t="s">
        <v>189</v>
      </c>
      <c r="CE406" s="14">
        <f>IFERROR(AVERAGE(Tabel1[[#This Row],[In - R1]:[In - R5]]),"")</f>
        <v>3.875</v>
      </c>
      <c r="CF406" s="14">
        <v>3</v>
      </c>
      <c r="CG406" s="14">
        <v>3</v>
      </c>
      <c r="CH406" s="14">
        <v>4</v>
      </c>
      <c r="CI406" s="14">
        <f>IFERROR(AVERAGE(Tabel1[[#This Row],[In - C1a]:[In - C1c]]),"")</f>
        <v>3.3333333333333335</v>
      </c>
      <c r="CJ406" s="14">
        <v>3</v>
      </c>
      <c r="CK406" s="14">
        <v>1</v>
      </c>
      <c r="CL406" s="14">
        <v>3</v>
      </c>
      <c r="CM406" s="14">
        <f>IFERROR(AVERAGE(Tabel1[[#This Row],[In - C1]:[In - C4]]),"")</f>
        <v>2.5833333333333335</v>
      </c>
      <c r="CN406" s="14">
        <v>4</v>
      </c>
      <c r="CO406" s="14">
        <v>3</v>
      </c>
      <c r="CP406" s="14">
        <v>2</v>
      </c>
      <c r="CQ406" s="14">
        <f>IFERROR(AVERAGE(Tabel1[[#This Row],[In - F1a]:[In - F1c]]),"")</f>
        <v>3</v>
      </c>
      <c r="CR406" s="14">
        <v>5</v>
      </c>
      <c r="CS406" s="14">
        <v>4</v>
      </c>
      <c r="CT406" s="14">
        <f>IFERROR(AVERAGE(Tabel1[[#This Row],[In - F2a]:[In - F2b]]),"")</f>
        <v>4.5</v>
      </c>
      <c r="CU406" s="14">
        <v>2</v>
      </c>
      <c r="CV406" s="14">
        <f>IFERROR(AVERAGE(Tabel1[[#This Row],[In - F3a]:[In - F3a]]),"")</f>
        <v>2</v>
      </c>
      <c r="CW406" s="14" t="s">
        <v>189</v>
      </c>
      <c r="CX406" s="14">
        <f>IFERROR(AVERAGE(Tabel1[[#This Row],[In - F1]],Tabel1[[#This Row],[In - F2]],Tabel1[[#This Row],[In - F3]],Tabel1[[#This Row],[In - F4]]),"")</f>
        <v>3.1666666666666665</v>
      </c>
      <c r="CY406" s="14">
        <v>4</v>
      </c>
      <c r="CZ406" s="14">
        <v>3</v>
      </c>
      <c r="DA406" s="14">
        <v>1</v>
      </c>
      <c r="DB406" s="14">
        <f>IFERROR(AVERAGE(Tabel1[[#This Row],[In - V1a]:[In - V1c]]),"")</f>
        <v>2.6666666666666665</v>
      </c>
      <c r="DC406" s="14" t="s">
        <v>189</v>
      </c>
      <c r="DD406" s="14">
        <v>2</v>
      </c>
      <c r="DE406" s="14">
        <v>2</v>
      </c>
      <c r="DF406" s="14">
        <f>IFERROR(AVERAGE(Tabel1[[#This Row],[In - V2a]:[In - V2c]]),"")</f>
        <v>2</v>
      </c>
      <c r="DG406" s="14">
        <v>1</v>
      </c>
      <c r="DH406" s="14" t="s">
        <v>189</v>
      </c>
      <c r="DI406" s="14">
        <f>IFERROR(AVERAGE(Tabel1[[#This Row],[In - V3a]:[In - V3b]]),"")</f>
        <v>1</v>
      </c>
      <c r="DJ406" s="14" t="s">
        <v>189</v>
      </c>
      <c r="DK406" s="14">
        <f>IFERROR(AVERAGE(Tabel1[[#This Row],[In - V1]],Tabel1[[#This Row],[In - V2]],Tabel1[[#This Row],[In - V3]],Tabel1[[#This Row],[In - V4]]),"")</f>
        <v>1.8888888888888886</v>
      </c>
      <c r="DL406" s="14">
        <v>5</v>
      </c>
      <c r="DM406" s="14">
        <v>3</v>
      </c>
      <c r="DN406" s="14">
        <f>IFERROR(AVERAGE(Tabel1[[#This Row],[In - A1a]:[In - A1b]]),"")</f>
        <v>4</v>
      </c>
      <c r="DO406" s="14">
        <v>4</v>
      </c>
      <c r="DP406" s="14">
        <v>3</v>
      </c>
      <c r="DQ406" s="14">
        <f>IFERROR(AVERAGE(Tabel1[[#This Row],[In - A2a]:[In - A2b]]),"")</f>
        <v>3.5</v>
      </c>
      <c r="DR406" s="14">
        <v>5</v>
      </c>
      <c r="DS406" s="14">
        <v>4</v>
      </c>
      <c r="DT406" s="14">
        <f>IFERROR(AVERAGE(Tabel1[[#This Row],[In - A3a]:[In - A3a]]),"")</f>
        <v>5</v>
      </c>
      <c r="DU406" s="14" t="s">
        <v>189</v>
      </c>
      <c r="DV406" s="14">
        <f>IFERROR(AVERAGE(Tabel1[[#This Row],[In - A1]],Tabel1[[#This Row],[In - A2]],Tabel1[[#This Row],[In - A3]],Tabel1[[#This Row],[In - A4]]),"")</f>
        <v>4.166666666666667</v>
      </c>
      <c r="DW406" s="14">
        <v>3</v>
      </c>
      <c r="DX406" s="14">
        <v>5</v>
      </c>
      <c r="DY406" s="14" t="s">
        <v>189</v>
      </c>
      <c r="DZ406" s="14">
        <f>IFERROR(AVERAGE(Tabel1[[#This Row],[Do - R1a]:[Do - R1c]]),"")</f>
        <v>4</v>
      </c>
      <c r="EA406" s="14">
        <v>2</v>
      </c>
      <c r="EB406" s="14">
        <v>4</v>
      </c>
      <c r="EC406" s="14" t="s">
        <v>189</v>
      </c>
      <c r="ED406" s="14" t="s">
        <v>189</v>
      </c>
      <c r="EE406" s="14">
        <f>IFERROR(AVERAGE(Tabel1[[#This Row],[Do - R1]:[Do - R5]]),"")</f>
        <v>3.3333333333333335</v>
      </c>
      <c r="EF406" s="14" t="s">
        <v>189</v>
      </c>
      <c r="EG406" s="14">
        <v>3</v>
      </c>
      <c r="EH406" s="14">
        <v>3</v>
      </c>
      <c r="EI406" s="14">
        <f>IFERROR(AVERAGE(Tabel1[[#This Row],[Do - C1a]:[Do - C1c]]),"")</f>
        <v>3</v>
      </c>
      <c r="EJ406" s="14">
        <v>3</v>
      </c>
      <c r="EK406" s="14" t="s">
        <v>189</v>
      </c>
      <c r="EL406" s="14" t="s">
        <v>189</v>
      </c>
      <c r="EM406" s="14">
        <f>IFERROR(AVERAGE(Tabel1[[#This Row],[Do - C1]:[Do - C4]]),"")</f>
        <v>3</v>
      </c>
      <c r="EN406" s="14" t="s">
        <v>189</v>
      </c>
      <c r="EO406" s="14">
        <v>3</v>
      </c>
      <c r="EP406" s="14" t="s">
        <v>189</v>
      </c>
      <c r="EQ406" s="14">
        <f>IFERROR(AVERAGE(Tabel1[[#This Row],[Do - F1a]:[Do - F1c]]),"")</f>
        <v>3</v>
      </c>
      <c r="ER406" s="14">
        <v>2</v>
      </c>
      <c r="ES406" s="14">
        <f>IFERROR(AVERAGE(Tabel1[[#This Row],[Do - F2a]:[Do - F2a]]),"")</f>
        <v>2</v>
      </c>
      <c r="ET406" s="14" t="s">
        <v>189</v>
      </c>
      <c r="EU406" s="14" t="s">
        <v>189</v>
      </c>
      <c r="EV406" s="14" t="str">
        <f>IFERROR(AVERAGE(Tabel1[[#This Row],[Do - F3a]:[Do - F3b]]),"")</f>
        <v/>
      </c>
      <c r="EW406" s="14" t="s">
        <v>189</v>
      </c>
      <c r="EX406" s="14">
        <f>IFERROR(AVERAGE(Tabel1[[#This Row],[Do - F1]],Tabel1[[#This Row],[Do - F2]],Tabel1[[#This Row],[Do - F3]],Tabel1[[#This Row],[Do - F4]]),"")</f>
        <v>2.5</v>
      </c>
      <c r="EY406" s="14">
        <v>2</v>
      </c>
      <c r="EZ406" s="14">
        <v>3</v>
      </c>
      <c r="FA406" s="14">
        <v>1</v>
      </c>
      <c r="FB406" s="14">
        <f>IFERROR(AVERAGE(Tabel1[[#This Row],[Do - V1a]:[Do - V1c]]),"")</f>
        <v>2</v>
      </c>
      <c r="FC406" s="14" t="s">
        <v>189</v>
      </c>
      <c r="FD406" s="14" t="s">
        <v>189</v>
      </c>
      <c r="FE406" s="14" t="str">
        <f>IFERROR(AVERAGE(Tabel1[[#This Row],[Do - V2a]:[Do - V2b]]),"")</f>
        <v/>
      </c>
      <c r="FF406" s="14">
        <v>1</v>
      </c>
      <c r="FG406" s="14">
        <f>IFERROR(AVERAGE(Tabel1[[#This Row],[Do - V3a]:[Do - V3a]]),"")</f>
        <v>1</v>
      </c>
      <c r="FH406" s="14" t="s">
        <v>189</v>
      </c>
      <c r="FI406" s="14">
        <f>IFERROR(AVERAGE(Tabel1[[#This Row],[Do - V1]],Tabel1[[#This Row],[Do - V2]],Tabel1[[#This Row],[Do - V3]],Tabel1[[#This Row],[Do - V4]]),"")</f>
        <v>1.5</v>
      </c>
      <c r="FJ406" s="14">
        <v>5</v>
      </c>
      <c r="FK406" s="14">
        <v>4</v>
      </c>
      <c r="FL406" s="14">
        <v>1</v>
      </c>
      <c r="FM406" s="14">
        <f>IFERROR(AVERAGE(Tabel1[[#This Row],[Do - A1a]:[Do - A1c]]),"")</f>
        <v>3.3333333333333335</v>
      </c>
      <c r="FN406" s="14">
        <v>4</v>
      </c>
      <c r="FO406" s="14">
        <v>5</v>
      </c>
      <c r="FP406" s="14">
        <f>IFERROR(AVERAGE(Tabel1[[#This Row],[Do - A2a]:[Do - A2b]]),"")</f>
        <v>4.5</v>
      </c>
      <c r="FQ406" s="14">
        <v>5</v>
      </c>
      <c r="FR406" s="14">
        <f>IFERROR(AVERAGE(Tabel1[[#This Row],[Do - A3a]:[Do - A3a]]),"")</f>
        <v>5</v>
      </c>
      <c r="FS406" s="14" t="s">
        <v>189</v>
      </c>
      <c r="FT406" s="14">
        <f>IFERROR(AVERAGE(Tabel1[[#This Row],[Do - A1]],Tabel1[[#This Row],[Do - A2]],Tabel1[[#This Row],[Do - A3]],Tabel1[[#This Row],[Do - A4]]),"")</f>
        <v>4.2777777777777777</v>
      </c>
      <c r="FU406" s="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3.1324074074074075</v>
      </c>
      <c r="FV406" s="16" t="s">
        <v>2031</v>
      </c>
      <c r="FW406" t="b">
        <v>1</v>
      </c>
    </row>
    <row r="407" spans="1:179" x14ac:dyDescent="0.3">
      <c r="A407" s="13">
        <v>45632.452754629601</v>
      </c>
      <c r="B407" t="b">
        <v>0</v>
      </c>
      <c r="C407" t="s">
        <v>2032</v>
      </c>
      <c r="D407" t="s">
        <v>487</v>
      </c>
      <c r="E407" s="14" t="s">
        <v>2029</v>
      </c>
      <c r="F407" s="14" t="s">
        <v>184</v>
      </c>
      <c r="G407" t="s">
        <v>488</v>
      </c>
      <c r="H407" t="s">
        <v>222</v>
      </c>
      <c r="I407" t="s">
        <v>195</v>
      </c>
      <c r="J407" t="s">
        <v>406</v>
      </c>
      <c r="K407" t="s">
        <v>235</v>
      </c>
      <c r="L407" t="s">
        <v>385</v>
      </c>
      <c r="M407" t="s">
        <v>281</v>
      </c>
      <c r="N407" t="s">
        <v>262</v>
      </c>
      <c r="O407" t="s">
        <v>200</v>
      </c>
      <c r="P407" t="s">
        <v>255</v>
      </c>
      <c r="Q407" t="s">
        <v>203</v>
      </c>
      <c r="R407" t="s">
        <v>304</v>
      </c>
      <c r="S407" t="s">
        <v>202</v>
      </c>
      <c r="T407" t="s">
        <v>204</v>
      </c>
      <c r="U407" t="s">
        <v>349</v>
      </c>
      <c r="V407" t="s">
        <v>484</v>
      </c>
      <c r="W407" t="s">
        <v>207</v>
      </c>
      <c r="X407" t="s">
        <v>207</v>
      </c>
      <c r="Y407">
        <v>3</v>
      </c>
      <c r="Z407">
        <v>3</v>
      </c>
      <c r="AA407" t="s">
        <v>189</v>
      </c>
      <c r="AB407">
        <f>IFERROR(AVERAGE(Tabel1[[#This Row],[Up - R1a]:[Up - R1c]]),"")</f>
        <v>3</v>
      </c>
      <c r="AC407">
        <v>2</v>
      </c>
      <c r="AD407">
        <v>3</v>
      </c>
      <c r="AE407">
        <v>2</v>
      </c>
      <c r="AF407">
        <v>3</v>
      </c>
      <c r="AG407">
        <f>IFERROR(AVERAGE(Tabel1[[#This Row],[Up - R1]:[Up - R5]]),"")</f>
        <v>2.6</v>
      </c>
      <c r="AH407">
        <v>3</v>
      </c>
      <c r="AI407">
        <v>3</v>
      </c>
      <c r="AJ407">
        <v>3</v>
      </c>
      <c r="AK407">
        <f>IFERROR(AVERAGE(Tabel1[[#This Row],[Up - C1a]:[Up - C1c]]),"")</f>
        <v>3</v>
      </c>
      <c r="AL407">
        <v>4</v>
      </c>
      <c r="AM407">
        <v>2</v>
      </c>
      <c r="AN407">
        <v>3</v>
      </c>
      <c r="AO407">
        <f>IFERROR(AVERAGE(Tabel1[[#This Row],[Up - C1]:[Up - C4]]),"")</f>
        <v>3</v>
      </c>
      <c r="AP407">
        <v>4</v>
      </c>
      <c r="AQ407">
        <f>IFERROR(AVERAGE(Tabel1[[#This Row],[Up - F1a]:[Up - F1a]]),"")</f>
        <v>4</v>
      </c>
      <c r="AR407">
        <v>2</v>
      </c>
      <c r="AS407">
        <v>2</v>
      </c>
      <c r="AT407">
        <f>IFERROR(AVERAGE(Tabel1[[#This Row],[Up - F2a]:[Up - F2b]]),"")</f>
        <v>2</v>
      </c>
      <c r="AU407">
        <v>2</v>
      </c>
      <c r="AV407">
        <v>3</v>
      </c>
      <c r="AW407">
        <f>IFERROR(AVERAGE(Tabel1[[#This Row],[Up - F3a]:[Up - F3b]]),"")</f>
        <v>2.5</v>
      </c>
      <c r="AX407">
        <v>3</v>
      </c>
      <c r="AY407">
        <f>IFERROR(AVERAGE(Tabel1[[#This Row],[Up - F1]],Tabel1[[#This Row],[Up - F2]],Tabel1[[#This Row],[Up - F3]],Tabel1[[#This Row],[Up - F4]]),"")</f>
        <v>2.875</v>
      </c>
      <c r="AZ407">
        <v>3</v>
      </c>
      <c r="BA407">
        <v>4</v>
      </c>
      <c r="BB407">
        <f>IFERROR(AVERAGE(Tabel1[[#This Row],[Up - V1a]:[Up - V1b]]),"")</f>
        <v>3.5</v>
      </c>
      <c r="BC407">
        <v>4</v>
      </c>
      <c r="BD407" t="s">
        <v>189</v>
      </c>
      <c r="BE407">
        <v>3</v>
      </c>
      <c r="BF407">
        <f>IFERROR(AVERAGE(Tabel1[[#This Row],[Up - V2a]:[Up - V2c]]),"")</f>
        <v>3.5</v>
      </c>
      <c r="BG407">
        <v>4</v>
      </c>
      <c r="BH407">
        <v>4</v>
      </c>
      <c r="BI407">
        <f>IFERROR(AVERAGE(Tabel1[[#This Row],[Up - V3a]:[Up - V3b]]),"")</f>
        <v>4</v>
      </c>
      <c r="BJ407">
        <v>3</v>
      </c>
      <c r="BK407">
        <f>IFERROR(AVERAGE(Tabel1[[#This Row],[Up - V1]],Tabel1[[#This Row],[Up - V2]],Tabel1[[#This Row],[Up - V3]],Tabel1[[#This Row],[Up - V4]]),"")</f>
        <v>3.5</v>
      </c>
      <c r="BL407">
        <v>3</v>
      </c>
      <c r="BM407">
        <v>3</v>
      </c>
      <c r="BN407">
        <v>4</v>
      </c>
      <c r="BO407">
        <v>4</v>
      </c>
      <c r="BP407">
        <f>IFERROR(AVERAGE(Tabel1[[#This Row],[Up - A1a]:[Up - A1d]]),"")</f>
        <v>3.5</v>
      </c>
      <c r="BQ407">
        <v>4</v>
      </c>
      <c r="BR407">
        <v>4</v>
      </c>
      <c r="BS407">
        <f>IFERROR(AVERAGE(Tabel1[[#This Row],[Up - A2a]:[Up - A2b]]),"")</f>
        <v>4</v>
      </c>
      <c r="BT407">
        <v>3</v>
      </c>
      <c r="BU407">
        <f>IFERROR(AVERAGE(Tabel1[[#This Row],[Up - A3a]:[Up - A3a]]),"")</f>
        <v>3</v>
      </c>
      <c r="BV407">
        <v>2</v>
      </c>
      <c r="BW407">
        <f>IFERROR(AVERAGE(Tabel1[[#This Row],[Up - A1]],Tabel1[[#This Row],[Up - A2]],Tabel1[[#This Row],[Up - A3]]),"")</f>
        <v>3.5</v>
      </c>
      <c r="BX407">
        <v>3</v>
      </c>
      <c r="BY407">
        <v>5</v>
      </c>
      <c r="BZ407">
        <f>IFERROR(AVERAGE(Tabel1[[#This Row],[In - R1a]:[In - R1b]]),"")</f>
        <v>4</v>
      </c>
      <c r="CA407">
        <v>5</v>
      </c>
      <c r="CB407">
        <v>5</v>
      </c>
      <c r="CC407">
        <v>4</v>
      </c>
      <c r="CD407">
        <v>5</v>
      </c>
      <c r="CE407">
        <f>IFERROR(AVERAGE(Tabel1[[#This Row],[In - R1]:[In - R5]]),"")</f>
        <v>4.5999999999999996</v>
      </c>
      <c r="CF407">
        <v>5</v>
      </c>
      <c r="CG407">
        <v>3</v>
      </c>
      <c r="CH407">
        <v>3</v>
      </c>
      <c r="CI407">
        <f>IFERROR(AVERAGE(Tabel1[[#This Row],[In - C1a]:[In - C1c]]),"")</f>
        <v>3.6666666666666665</v>
      </c>
      <c r="CJ407">
        <v>4</v>
      </c>
      <c r="CK407">
        <v>5</v>
      </c>
      <c r="CL407">
        <v>3</v>
      </c>
      <c r="CM407">
        <f>IFERROR(AVERAGE(Tabel1[[#This Row],[In - C1]:[In - C4]]),"")</f>
        <v>3.9166666666666665</v>
      </c>
      <c r="CN407">
        <v>3</v>
      </c>
      <c r="CO407">
        <v>3</v>
      </c>
      <c r="CP407">
        <v>1</v>
      </c>
      <c r="CQ407">
        <f>IFERROR(AVERAGE(Tabel1[[#This Row],[In - F1a]:[In - F1c]]),"")</f>
        <v>2.3333333333333335</v>
      </c>
      <c r="CR407">
        <v>4</v>
      </c>
      <c r="CS407">
        <v>1</v>
      </c>
      <c r="CT407">
        <f>IFERROR(AVERAGE(Tabel1[[#This Row],[In - F2a]:[In - F2b]]),"")</f>
        <v>2.5</v>
      </c>
      <c r="CU407">
        <v>2</v>
      </c>
      <c r="CV407">
        <f>IFERROR(AVERAGE(Tabel1[[#This Row],[In - F3a]:[In - F3a]]),"")</f>
        <v>2</v>
      </c>
      <c r="CW407">
        <v>3</v>
      </c>
      <c r="CX407">
        <f>IFERROR(AVERAGE(Tabel1[[#This Row],[In - F1]],Tabel1[[#This Row],[In - F2]],Tabel1[[#This Row],[In - F3]],Tabel1[[#This Row],[In - F4]]),"")</f>
        <v>2.4583333333333335</v>
      </c>
      <c r="CY407">
        <v>5</v>
      </c>
      <c r="CZ407">
        <v>4</v>
      </c>
      <c r="DA407">
        <v>2</v>
      </c>
      <c r="DB407">
        <f>IFERROR(AVERAGE(Tabel1[[#This Row],[In - V1a]:[In - V1c]]),"")</f>
        <v>3.6666666666666665</v>
      </c>
      <c r="DC407">
        <v>5</v>
      </c>
      <c r="DD407">
        <v>4</v>
      </c>
      <c r="DE407">
        <v>4</v>
      </c>
      <c r="DF407">
        <f>IFERROR(AVERAGE(Tabel1[[#This Row],[In - V2a]:[In - V2c]]),"")</f>
        <v>4.333333333333333</v>
      </c>
      <c r="DG407">
        <v>4</v>
      </c>
      <c r="DH407">
        <v>3</v>
      </c>
      <c r="DI407">
        <f>IFERROR(AVERAGE(Tabel1[[#This Row],[In - V3a]:[In - V3b]]),"")</f>
        <v>3.5</v>
      </c>
      <c r="DJ407">
        <v>4</v>
      </c>
      <c r="DK407">
        <f>IFERROR(AVERAGE(Tabel1[[#This Row],[In - V1]],Tabel1[[#This Row],[In - V2]],Tabel1[[#This Row],[In - V3]],Tabel1[[#This Row],[In - V4]]),"")</f>
        <v>3.875</v>
      </c>
      <c r="DL407">
        <v>3</v>
      </c>
      <c r="DM407">
        <v>3</v>
      </c>
      <c r="DN407">
        <f>IFERROR(AVERAGE(Tabel1[[#This Row],[In - A1a]:[In - A1b]]),"")</f>
        <v>3</v>
      </c>
      <c r="DO407">
        <v>5</v>
      </c>
      <c r="DP407">
        <v>3</v>
      </c>
      <c r="DQ407">
        <f>IFERROR(AVERAGE(Tabel1[[#This Row],[In - A2a]:[In - A2b]]),"")</f>
        <v>4</v>
      </c>
      <c r="DR407">
        <v>3</v>
      </c>
      <c r="DS407">
        <v>3</v>
      </c>
      <c r="DT407">
        <f>IFERROR(AVERAGE(Tabel1[[#This Row],[In - A3a]:[In - A3a]]),"")</f>
        <v>3</v>
      </c>
      <c r="DU407">
        <v>2</v>
      </c>
      <c r="DV407">
        <f>IFERROR(AVERAGE(Tabel1[[#This Row],[In - A1]],Tabel1[[#This Row],[In - A2]],Tabel1[[#This Row],[In - A3]],Tabel1[[#This Row],[In - A4]]),"")</f>
        <v>3</v>
      </c>
      <c r="DW407">
        <v>3</v>
      </c>
      <c r="DX407">
        <v>5</v>
      </c>
      <c r="DY407">
        <v>2</v>
      </c>
      <c r="DZ407">
        <f>IFERROR(AVERAGE(Tabel1[[#This Row],[Do - R1a]:[Do - R1c]]),"")</f>
        <v>3.3333333333333335</v>
      </c>
      <c r="EA407">
        <v>2</v>
      </c>
      <c r="EB407">
        <v>3</v>
      </c>
      <c r="EC407" t="s">
        <v>189</v>
      </c>
      <c r="ED407">
        <v>3</v>
      </c>
      <c r="EE407">
        <f>IFERROR(AVERAGE(Tabel1[[#This Row],[Do - R1]:[Do - R5]]),"")</f>
        <v>2.8333333333333335</v>
      </c>
      <c r="EF407">
        <v>4</v>
      </c>
      <c r="EG407">
        <v>3</v>
      </c>
      <c r="EH407">
        <v>2</v>
      </c>
      <c r="EI407">
        <f>IFERROR(AVERAGE(Tabel1[[#This Row],[Do - C1a]:[Do - C1c]]),"")</f>
        <v>3</v>
      </c>
      <c r="EJ407">
        <v>3</v>
      </c>
      <c r="EK407">
        <v>2</v>
      </c>
      <c r="EL407">
        <v>3</v>
      </c>
      <c r="EM407">
        <f>IFERROR(AVERAGE(Tabel1[[#This Row],[Do - C1]:[Do - C4]]),"")</f>
        <v>2.75</v>
      </c>
      <c r="EN407">
        <v>2</v>
      </c>
      <c r="EO407">
        <v>2</v>
      </c>
      <c r="EP407">
        <v>2</v>
      </c>
      <c r="EQ407">
        <f>IFERROR(AVERAGE(Tabel1[[#This Row],[Do - F1a]:[Do - F1c]]),"")</f>
        <v>2</v>
      </c>
      <c r="ER407">
        <v>3</v>
      </c>
      <c r="ES407">
        <f>IFERROR(AVERAGE(Tabel1[[#This Row],[Do - F2a]:[Do - F2a]]),"")</f>
        <v>3</v>
      </c>
      <c r="ET407">
        <v>3</v>
      </c>
      <c r="EU407">
        <v>3</v>
      </c>
      <c r="EV407">
        <f>IFERROR(AVERAGE(Tabel1[[#This Row],[Do - F3a]:[Do - F3b]]),"")</f>
        <v>3</v>
      </c>
      <c r="EW407">
        <v>3</v>
      </c>
      <c r="EX407">
        <f>IFERROR(AVERAGE(Tabel1[[#This Row],[Do - F1]],Tabel1[[#This Row],[Do - F2]],Tabel1[[#This Row],[Do - F3]],Tabel1[[#This Row],[Do - F4]]),"")</f>
        <v>2.75</v>
      </c>
      <c r="EY407">
        <v>3</v>
      </c>
      <c r="EZ407">
        <v>1</v>
      </c>
      <c r="FA407">
        <v>3</v>
      </c>
      <c r="FB407">
        <f>IFERROR(AVERAGE(Tabel1[[#This Row],[Do - V1a]:[Do - V1c]]),"")</f>
        <v>2.3333333333333335</v>
      </c>
      <c r="FC407">
        <v>4</v>
      </c>
      <c r="FD407">
        <v>2</v>
      </c>
      <c r="FE407">
        <f>IFERROR(AVERAGE(Tabel1[[#This Row],[Do - V2a]:[Do - V2b]]),"")</f>
        <v>3</v>
      </c>
      <c r="FF407">
        <v>3</v>
      </c>
      <c r="FG407">
        <f>IFERROR(AVERAGE(Tabel1[[#This Row],[Do - V3a]:[Do - V3a]]),"")</f>
        <v>3</v>
      </c>
      <c r="FH407">
        <v>4</v>
      </c>
      <c r="FI407">
        <f>IFERROR(AVERAGE(Tabel1[[#This Row],[Do - V1]],Tabel1[[#This Row],[Do - V2]],Tabel1[[#This Row],[Do - V3]],Tabel1[[#This Row],[Do - V4]]),"")</f>
        <v>3.0833333333333335</v>
      </c>
      <c r="FJ407">
        <v>4</v>
      </c>
      <c r="FK407">
        <v>1</v>
      </c>
      <c r="FL407">
        <v>4</v>
      </c>
      <c r="FM407">
        <f>IFERROR(AVERAGE(Tabel1[[#This Row],[Do - A1a]:[Do - A1c]]),"")</f>
        <v>3</v>
      </c>
      <c r="FN407">
        <v>5</v>
      </c>
      <c r="FO407">
        <v>4</v>
      </c>
      <c r="FP407">
        <f>IFERROR(AVERAGE(Tabel1[[#This Row],[Do - A2a]:[Do - A2b]]),"")</f>
        <v>4.5</v>
      </c>
      <c r="FQ407">
        <v>4</v>
      </c>
      <c r="FR407">
        <f>IFERROR(AVERAGE(Tabel1[[#This Row],[Do - A3a]:[Do - A3a]]),"")</f>
        <v>4</v>
      </c>
      <c r="FS407">
        <v>2</v>
      </c>
      <c r="FT407">
        <f>IFERROR(AVERAGE(Tabel1[[#This Row],[Do - A1]],Tabel1[[#This Row],[Do - A2]],Tabel1[[#This Row],[Do - A3]],Tabel1[[#This Row],[Do - A4]]),"")</f>
        <v>3.375</v>
      </c>
      <c r="FU40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3.2077777777777783</v>
      </c>
      <c r="FV407" t="s">
        <v>2033</v>
      </c>
      <c r="FW407" t="b">
        <v>1</v>
      </c>
    </row>
    <row r="408" spans="1:179" x14ac:dyDescent="0.3">
      <c r="A408" s="13">
        <v>45635.886226851799</v>
      </c>
      <c r="B408" t="b">
        <v>0</v>
      </c>
      <c r="C408" t="s">
        <v>2034</v>
      </c>
      <c r="D408" t="s">
        <v>864</v>
      </c>
      <c r="E408" s="14" t="s">
        <v>2029</v>
      </c>
      <c r="F408" s="14" t="s">
        <v>184</v>
      </c>
      <c r="G408" t="s">
        <v>2035</v>
      </c>
      <c r="H408" t="s">
        <v>194</v>
      </c>
      <c r="I408" t="s">
        <v>195</v>
      </c>
      <c r="J408" t="s">
        <v>261</v>
      </c>
      <c r="K408" t="s">
        <v>235</v>
      </c>
      <c r="L408" t="s">
        <v>218</v>
      </c>
      <c r="S408" t="s">
        <v>235</v>
      </c>
      <c r="Y408">
        <v>2</v>
      </c>
      <c r="Z408">
        <v>3</v>
      </c>
      <c r="AA408" t="s">
        <v>189</v>
      </c>
      <c r="AB408">
        <f>IFERROR(AVERAGE(Tabel1[[#This Row],[Up - R1a]:[Up - R1c]]),"")</f>
        <v>2.5</v>
      </c>
      <c r="AC408">
        <v>3</v>
      </c>
      <c r="AD408">
        <v>5</v>
      </c>
      <c r="AE408" t="s">
        <v>189</v>
      </c>
      <c r="AF408" t="s">
        <v>189</v>
      </c>
      <c r="AG408">
        <f>IFERROR(AVERAGE(Tabel1[[#This Row],[Up - R1]:[Up - R5]]),"")</f>
        <v>3.5</v>
      </c>
      <c r="AH408" t="s">
        <v>189</v>
      </c>
      <c r="AI408">
        <v>2</v>
      </c>
      <c r="AJ408" t="s">
        <v>189</v>
      </c>
      <c r="AK408">
        <f>IFERROR(AVERAGE(Tabel1[[#This Row],[Up - C1a]:[Up - C1c]]),"")</f>
        <v>2</v>
      </c>
      <c r="AL408">
        <v>3</v>
      </c>
      <c r="AM408" t="s">
        <v>189</v>
      </c>
      <c r="AN408" t="s">
        <v>189</v>
      </c>
      <c r="AO408">
        <f>IFERROR(AVERAGE(Tabel1[[#This Row],[Up - C1]:[Up - C4]]),"")</f>
        <v>2.5</v>
      </c>
      <c r="AP408">
        <v>4</v>
      </c>
      <c r="AQ408">
        <f>IFERROR(AVERAGE(Tabel1[[#This Row],[Up - F1a]:[Up - F1a]]),"")</f>
        <v>4</v>
      </c>
      <c r="AR408" t="s">
        <v>189</v>
      </c>
      <c r="AS408" t="s">
        <v>189</v>
      </c>
      <c r="AT408" t="str">
        <f>IFERROR(AVERAGE(Tabel1[[#This Row],[Up - F2a]:[Up - F2b]]),"")</f>
        <v/>
      </c>
      <c r="AU408">
        <v>4</v>
      </c>
      <c r="AV408" t="s">
        <v>189</v>
      </c>
      <c r="AW408">
        <f>IFERROR(AVERAGE(Tabel1[[#This Row],[Up - F3a]:[Up - F3b]]),"")</f>
        <v>4</v>
      </c>
      <c r="AX408" t="s">
        <v>189</v>
      </c>
      <c r="AY408">
        <f>IFERROR(AVERAGE(Tabel1[[#This Row],[Up - F1]],Tabel1[[#This Row],[Up - F2]],Tabel1[[#This Row],[Up - F3]],Tabel1[[#This Row],[Up - F4]]),"")</f>
        <v>4</v>
      </c>
      <c r="AZ408" t="s">
        <v>189</v>
      </c>
      <c r="BA408" t="s">
        <v>189</v>
      </c>
      <c r="BB408" t="str">
        <f>IFERROR(AVERAGE(Tabel1[[#This Row],[Up - V1a]:[Up - V1b]]),"")</f>
        <v/>
      </c>
      <c r="BC408" t="s">
        <v>189</v>
      </c>
      <c r="BD408">
        <v>3</v>
      </c>
      <c r="BE408" t="s">
        <v>189</v>
      </c>
      <c r="BF408">
        <f>IFERROR(AVERAGE(Tabel1[[#This Row],[Up - V2a]:[Up - V2c]]),"")</f>
        <v>3</v>
      </c>
      <c r="BG408" t="s">
        <v>189</v>
      </c>
      <c r="BH408" t="s">
        <v>189</v>
      </c>
      <c r="BI408" t="str">
        <f>IFERROR(AVERAGE(Tabel1[[#This Row],[Up - V3a]:[Up - V3b]]),"")</f>
        <v/>
      </c>
      <c r="BJ408" t="s">
        <v>189</v>
      </c>
      <c r="BK408">
        <f>IFERROR(AVERAGE(Tabel1[[#This Row],[Up - V1]],Tabel1[[#This Row],[Up - V2]],Tabel1[[#This Row],[Up - V3]],Tabel1[[#This Row],[Up - V4]]),"")</f>
        <v>3</v>
      </c>
      <c r="BL408">
        <v>3</v>
      </c>
      <c r="BM408">
        <v>3</v>
      </c>
      <c r="BN408" t="s">
        <v>189</v>
      </c>
      <c r="BO408" t="s">
        <v>189</v>
      </c>
      <c r="BP408">
        <f>IFERROR(AVERAGE(Tabel1[[#This Row],[Up - A1a]:[Up - A1d]]),"")</f>
        <v>3</v>
      </c>
      <c r="BQ408" t="s">
        <v>189</v>
      </c>
      <c r="BR408">
        <v>4</v>
      </c>
      <c r="BS408">
        <f>IFERROR(AVERAGE(Tabel1[[#This Row],[Up - A2a]:[Up - A2b]]),"")</f>
        <v>4</v>
      </c>
      <c r="BT408" t="s">
        <v>189</v>
      </c>
      <c r="BU408" t="str">
        <f>IFERROR(AVERAGE(Tabel1[[#This Row],[Up - A3a]:[Up - A3a]]),"")</f>
        <v/>
      </c>
      <c r="BV408" t="s">
        <v>189</v>
      </c>
      <c r="BW408">
        <f>IFERROR(AVERAGE(Tabel1[[#This Row],[Up - A1]],Tabel1[[#This Row],[Up - A2]],Tabel1[[#This Row],[Up - A3]]),"")</f>
        <v>3.5</v>
      </c>
      <c r="BX408">
        <v>4</v>
      </c>
      <c r="BY408">
        <v>2</v>
      </c>
      <c r="BZ408">
        <f>IFERROR(AVERAGE(Tabel1[[#This Row],[In - R1a]:[In - R1b]]),"")</f>
        <v>3</v>
      </c>
      <c r="CA408">
        <v>5</v>
      </c>
      <c r="CB408">
        <v>4</v>
      </c>
      <c r="CC408">
        <v>2</v>
      </c>
      <c r="CD408" t="s">
        <v>189</v>
      </c>
      <c r="CE408">
        <f>IFERROR(AVERAGE(Tabel1[[#This Row],[In - R1]:[In - R5]]),"")</f>
        <v>3.5</v>
      </c>
      <c r="CF408">
        <v>2</v>
      </c>
      <c r="CG408">
        <v>2</v>
      </c>
      <c r="CH408">
        <v>3</v>
      </c>
      <c r="CI408">
        <f>IFERROR(AVERAGE(Tabel1[[#This Row],[In - C1a]:[In - C1c]]),"")</f>
        <v>2.3333333333333335</v>
      </c>
      <c r="CJ408">
        <v>1</v>
      </c>
      <c r="CK408">
        <v>1</v>
      </c>
      <c r="CL408">
        <v>1</v>
      </c>
      <c r="CM408">
        <f>IFERROR(AVERAGE(Tabel1[[#This Row],[In - C1]:[In - C4]]),"")</f>
        <v>1.3333333333333335</v>
      </c>
      <c r="CN408">
        <v>3</v>
      </c>
      <c r="CO408">
        <v>4</v>
      </c>
      <c r="CP408">
        <v>2</v>
      </c>
      <c r="CQ408">
        <f>IFERROR(AVERAGE(Tabel1[[#This Row],[In - F1a]:[In - F1c]]),"")</f>
        <v>3</v>
      </c>
      <c r="CR408">
        <v>4</v>
      </c>
      <c r="CS408">
        <v>4</v>
      </c>
      <c r="CT408">
        <f>IFERROR(AVERAGE(Tabel1[[#This Row],[In - F2a]:[In - F2b]]),"")</f>
        <v>4</v>
      </c>
      <c r="CU408">
        <v>2</v>
      </c>
      <c r="CV408">
        <f>IFERROR(AVERAGE(Tabel1[[#This Row],[In - F3a]:[In - F3a]]),"")</f>
        <v>2</v>
      </c>
      <c r="CW408" t="s">
        <v>189</v>
      </c>
      <c r="CX408">
        <f>IFERROR(AVERAGE(Tabel1[[#This Row],[In - F1]],Tabel1[[#This Row],[In - F2]],Tabel1[[#This Row],[In - F3]],Tabel1[[#This Row],[In - F4]]),"")</f>
        <v>3</v>
      </c>
      <c r="CY408">
        <v>1</v>
      </c>
      <c r="CZ408">
        <v>1</v>
      </c>
      <c r="DA408">
        <v>1</v>
      </c>
      <c r="DB408">
        <f>IFERROR(AVERAGE(Tabel1[[#This Row],[In - V1a]:[In - V1c]]),"")</f>
        <v>1</v>
      </c>
      <c r="DC408">
        <v>1</v>
      </c>
      <c r="DD408">
        <v>2</v>
      </c>
      <c r="DE408">
        <v>3</v>
      </c>
      <c r="DF408">
        <f>IFERROR(AVERAGE(Tabel1[[#This Row],[In - V2a]:[In - V2c]]),"")</f>
        <v>2</v>
      </c>
      <c r="DG408">
        <v>2</v>
      </c>
      <c r="DH408">
        <v>4</v>
      </c>
      <c r="DI408">
        <f>IFERROR(AVERAGE(Tabel1[[#This Row],[In - V3a]:[In - V3b]]),"")</f>
        <v>3</v>
      </c>
      <c r="DJ408">
        <v>1</v>
      </c>
      <c r="DK408">
        <f>IFERROR(AVERAGE(Tabel1[[#This Row],[In - V1]],Tabel1[[#This Row],[In - V2]],Tabel1[[#This Row],[In - V3]],Tabel1[[#This Row],[In - V4]]),"")</f>
        <v>1.75</v>
      </c>
      <c r="DL408">
        <v>4</v>
      </c>
      <c r="DM408">
        <v>2</v>
      </c>
      <c r="DN408">
        <f>IFERROR(AVERAGE(Tabel1[[#This Row],[In - A1a]:[In - A1b]]),"")</f>
        <v>3</v>
      </c>
      <c r="DO408">
        <v>4</v>
      </c>
      <c r="DP408">
        <v>2</v>
      </c>
      <c r="DQ408">
        <f>IFERROR(AVERAGE(Tabel1[[#This Row],[In - A2a]:[In - A2b]]),"")</f>
        <v>3</v>
      </c>
      <c r="DR408">
        <v>4</v>
      </c>
      <c r="DS408">
        <v>4</v>
      </c>
      <c r="DT408">
        <f>IFERROR(AVERAGE(Tabel1[[#This Row],[In - A3a]:[In - A3a]]),"")</f>
        <v>4</v>
      </c>
      <c r="DU408">
        <v>2</v>
      </c>
      <c r="DV408">
        <f>IFERROR(AVERAGE(Tabel1[[#This Row],[In - A1]],Tabel1[[#This Row],[In - A2]],Tabel1[[#This Row],[In - A3]],Tabel1[[#This Row],[In - A4]]),"")</f>
        <v>3</v>
      </c>
      <c r="DW408" t="s">
        <v>189</v>
      </c>
      <c r="DX408">
        <v>5</v>
      </c>
      <c r="DY408" t="s">
        <v>189</v>
      </c>
      <c r="DZ408">
        <f>IFERROR(AVERAGE(Tabel1[[#This Row],[Do - R1a]:[Do - R1c]]),"")</f>
        <v>5</v>
      </c>
      <c r="EA408" t="s">
        <v>189</v>
      </c>
      <c r="EB408">
        <v>5</v>
      </c>
      <c r="EC408" t="s">
        <v>189</v>
      </c>
      <c r="ED408" t="s">
        <v>189</v>
      </c>
      <c r="EE408">
        <f>IFERROR(AVERAGE(Tabel1[[#This Row],[Do - R1]:[Do - R5]]),"")</f>
        <v>5</v>
      </c>
      <c r="EF408" t="s">
        <v>189</v>
      </c>
      <c r="EG408">
        <v>4</v>
      </c>
      <c r="EH408">
        <v>4</v>
      </c>
      <c r="EI408">
        <f>IFERROR(AVERAGE(Tabel1[[#This Row],[Do - C1a]:[Do - C1c]]),"")</f>
        <v>4</v>
      </c>
      <c r="EJ408">
        <v>2</v>
      </c>
      <c r="EK408" t="s">
        <v>189</v>
      </c>
      <c r="EL408" t="s">
        <v>189</v>
      </c>
      <c r="EM408">
        <f>IFERROR(AVERAGE(Tabel1[[#This Row],[Do - C1]:[Do - C4]]),"")</f>
        <v>3</v>
      </c>
      <c r="EN408">
        <v>4</v>
      </c>
      <c r="EO408">
        <v>4</v>
      </c>
      <c r="EP408">
        <v>3</v>
      </c>
      <c r="EQ408">
        <f>IFERROR(AVERAGE(Tabel1[[#This Row],[Do - F1a]:[Do - F1c]]),"")</f>
        <v>3.6666666666666665</v>
      </c>
      <c r="ER408" t="s">
        <v>189</v>
      </c>
      <c r="ES408" t="str">
        <f>IFERROR(AVERAGE(Tabel1[[#This Row],[Do - F2a]:[Do - F2a]]),"")</f>
        <v/>
      </c>
      <c r="ET408">
        <v>4</v>
      </c>
      <c r="EU408" t="s">
        <v>189</v>
      </c>
      <c r="EV408">
        <f>IFERROR(AVERAGE(Tabel1[[#This Row],[Do - F3a]:[Do - F3b]]),"")</f>
        <v>4</v>
      </c>
      <c r="EW408" t="s">
        <v>189</v>
      </c>
      <c r="EX408">
        <f>IFERROR(AVERAGE(Tabel1[[#This Row],[Do - F1]],Tabel1[[#This Row],[Do - F2]],Tabel1[[#This Row],[Do - F3]],Tabel1[[#This Row],[Do - F4]]),"")</f>
        <v>3.833333333333333</v>
      </c>
      <c r="EY408">
        <v>2</v>
      </c>
      <c r="EZ408">
        <v>1</v>
      </c>
      <c r="FA408" t="s">
        <v>189</v>
      </c>
      <c r="FB408">
        <f>IFERROR(AVERAGE(Tabel1[[#This Row],[Do - V1a]:[Do - V1c]]),"")</f>
        <v>1.5</v>
      </c>
      <c r="FC408" t="s">
        <v>189</v>
      </c>
      <c r="FD408" t="s">
        <v>189</v>
      </c>
      <c r="FE408" t="str">
        <f>IFERROR(AVERAGE(Tabel1[[#This Row],[Do - V2a]:[Do - V2b]]),"")</f>
        <v/>
      </c>
      <c r="FF408">
        <v>4</v>
      </c>
      <c r="FG408">
        <f>IFERROR(AVERAGE(Tabel1[[#This Row],[Do - V3a]:[Do - V3a]]),"")</f>
        <v>4</v>
      </c>
      <c r="FH408" t="s">
        <v>189</v>
      </c>
      <c r="FI408">
        <f>IFERROR(AVERAGE(Tabel1[[#This Row],[Do - V1]],Tabel1[[#This Row],[Do - V2]],Tabel1[[#This Row],[Do - V3]],Tabel1[[#This Row],[Do - V4]]),"")</f>
        <v>2.75</v>
      </c>
      <c r="FJ408">
        <v>4</v>
      </c>
      <c r="FK408">
        <v>4</v>
      </c>
      <c r="FL408" t="s">
        <v>189</v>
      </c>
      <c r="FM408">
        <f>IFERROR(AVERAGE(Tabel1[[#This Row],[Do - A1a]:[Do - A1c]]),"")</f>
        <v>4</v>
      </c>
      <c r="FN408">
        <v>3</v>
      </c>
      <c r="FO408">
        <v>5</v>
      </c>
      <c r="FP408">
        <f>IFERROR(AVERAGE(Tabel1[[#This Row],[Do - A2a]:[Do - A2b]]),"")</f>
        <v>4</v>
      </c>
      <c r="FQ408">
        <v>2</v>
      </c>
      <c r="FR408">
        <f>IFERROR(AVERAGE(Tabel1[[#This Row],[Do - A3a]:[Do - A3a]]),"")</f>
        <v>2</v>
      </c>
      <c r="FS408" t="s">
        <v>189</v>
      </c>
      <c r="FT408">
        <f>IFERROR(AVERAGE(Tabel1[[#This Row],[Do - A1]],Tabel1[[#This Row],[Do - A2]],Tabel1[[#This Row],[Do - A3]],Tabel1[[#This Row],[Do - A4]]),"")</f>
        <v>3.3333333333333335</v>
      </c>
      <c r="FU40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3.1333333333333333</v>
      </c>
      <c r="FV408" t="s">
        <v>2036</v>
      </c>
      <c r="FW408" t="b">
        <v>1</v>
      </c>
    </row>
    <row r="409" spans="1:179" x14ac:dyDescent="0.3">
      <c r="A409" s="13">
        <v>45639.516412037003</v>
      </c>
      <c r="B409" t="b">
        <v>0</v>
      </c>
      <c r="C409" t="s">
        <v>2037</v>
      </c>
      <c r="D409" t="s">
        <v>2038</v>
      </c>
      <c r="E409" s="14" t="s">
        <v>2029</v>
      </c>
      <c r="F409" s="14" t="s">
        <v>184</v>
      </c>
      <c r="G409" s="8" t="s">
        <v>2039</v>
      </c>
      <c r="H409" t="s">
        <v>194</v>
      </c>
      <c r="I409" t="s">
        <v>385</v>
      </c>
      <c r="K409" t="s">
        <v>235</v>
      </c>
      <c r="L409" t="s">
        <v>197</v>
      </c>
      <c r="M409" t="s">
        <v>233</v>
      </c>
      <c r="N409" t="s">
        <v>262</v>
      </c>
      <c r="O409" t="s">
        <v>200</v>
      </c>
      <c r="P409" t="s">
        <v>304</v>
      </c>
      <c r="Q409" t="s">
        <v>201</v>
      </c>
      <c r="R409" t="s">
        <v>202</v>
      </c>
      <c r="S409" t="s">
        <v>235</v>
      </c>
      <c r="T409" t="s">
        <v>204</v>
      </c>
      <c r="U409" t="s">
        <v>285</v>
      </c>
      <c r="V409" t="s">
        <v>206</v>
      </c>
      <c r="W409" t="s">
        <v>207</v>
      </c>
      <c r="X409" t="s">
        <v>207</v>
      </c>
      <c r="Y409">
        <v>4</v>
      </c>
      <c r="Z409">
        <v>4</v>
      </c>
      <c r="AA409">
        <v>4</v>
      </c>
      <c r="AB409">
        <f>IFERROR(AVERAGE(Tabel1[[#This Row],[Up - R1a]:[Up - R1c]]),"")</f>
        <v>4</v>
      </c>
      <c r="AC409" t="s">
        <v>189</v>
      </c>
      <c r="AD409">
        <v>2</v>
      </c>
      <c r="AE409">
        <v>2</v>
      </c>
      <c r="AF409" t="s">
        <v>189</v>
      </c>
      <c r="AG409">
        <f>IFERROR(AVERAGE(Tabel1[[#This Row],[Up - R1]:[Up - R5]]),"")</f>
        <v>2.6666666666666665</v>
      </c>
      <c r="AH409">
        <v>4</v>
      </c>
      <c r="AI409">
        <v>3</v>
      </c>
      <c r="AJ409">
        <v>3</v>
      </c>
      <c r="AK409">
        <f>IFERROR(AVERAGE(Tabel1[[#This Row],[Up - C1a]:[Up - C1c]]),"")</f>
        <v>3.3333333333333335</v>
      </c>
      <c r="AL409">
        <v>3</v>
      </c>
      <c r="AM409">
        <v>2</v>
      </c>
      <c r="AN409" t="s">
        <v>189</v>
      </c>
      <c r="AO409">
        <f>IFERROR(AVERAGE(Tabel1[[#This Row],[Up - C1]:[Up - C4]]),"")</f>
        <v>2.7777777777777781</v>
      </c>
      <c r="AP409">
        <v>3</v>
      </c>
      <c r="AQ409">
        <f>IFERROR(AVERAGE(Tabel1[[#This Row],[Up - F1a]:[Up - F1a]]),"")</f>
        <v>3</v>
      </c>
      <c r="AR409">
        <v>2</v>
      </c>
      <c r="AS409">
        <v>3</v>
      </c>
      <c r="AT409">
        <f>IFERROR(AVERAGE(Tabel1[[#This Row],[Up - F2a]:[Up - F2b]]),"")</f>
        <v>2.5</v>
      </c>
      <c r="AU409">
        <v>3</v>
      </c>
      <c r="AV409">
        <v>2</v>
      </c>
      <c r="AW409">
        <f>IFERROR(AVERAGE(Tabel1[[#This Row],[Up - F3a]:[Up - F3b]]),"")</f>
        <v>2.5</v>
      </c>
      <c r="AX409" t="s">
        <v>189</v>
      </c>
      <c r="AY409">
        <f>IFERROR(AVERAGE(Tabel1[[#This Row],[Up - F1]],Tabel1[[#This Row],[Up - F2]],Tabel1[[#This Row],[Up - F3]],Tabel1[[#This Row],[Up - F4]]),"")</f>
        <v>2.6666666666666665</v>
      </c>
      <c r="AZ409">
        <v>2</v>
      </c>
      <c r="BA409">
        <v>4</v>
      </c>
      <c r="BB409">
        <f>IFERROR(AVERAGE(Tabel1[[#This Row],[Up - V1a]:[Up - V1b]]),"")</f>
        <v>3</v>
      </c>
      <c r="BC409" t="s">
        <v>189</v>
      </c>
      <c r="BD409" t="s">
        <v>189</v>
      </c>
      <c r="BE409">
        <v>2</v>
      </c>
      <c r="BF409">
        <f>IFERROR(AVERAGE(Tabel1[[#This Row],[Up - V2a]:[Up - V2c]]),"")</f>
        <v>2</v>
      </c>
      <c r="BG409">
        <v>3</v>
      </c>
      <c r="BH409" t="s">
        <v>189</v>
      </c>
      <c r="BI409">
        <f>IFERROR(AVERAGE(Tabel1[[#This Row],[Up - V3a]:[Up - V3b]]),"")</f>
        <v>3</v>
      </c>
      <c r="BJ409" t="s">
        <v>189</v>
      </c>
      <c r="BK409">
        <f>IFERROR(AVERAGE(Tabel1[[#This Row],[Up - V1]],Tabel1[[#This Row],[Up - V2]],Tabel1[[#This Row],[Up - V3]],Tabel1[[#This Row],[Up - V4]]),"")</f>
        <v>2.6666666666666665</v>
      </c>
      <c r="BL409">
        <v>4</v>
      </c>
      <c r="BM409">
        <v>3</v>
      </c>
      <c r="BN409">
        <v>3</v>
      </c>
      <c r="BO409">
        <v>3</v>
      </c>
      <c r="BP409">
        <f>IFERROR(AVERAGE(Tabel1[[#This Row],[Up - A1a]:[Up - A1d]]),"")</f>
        <v>3.25</v>
      </c>
      <c r="BQ409">
        <v>3</v>
      </c>
      <c r="BR409">
        <v>2</v>
      </c>
      <c r="BS409">
        <f>IFERROR(AVERAGE(Tabel1[[#This Row],[Up - A2a]:[Up - A2b]]),"")</f>
        <v>2.5</v>
      </c>
      <c r="BT409">
        <v>3</v>
      </c>
      <c r="BU409">
        <f>IFERROR(AVERAGE(Tabel1[[#This Row],[Up - A3a]:[Up - A3a]]),"")</f>
        <v>3</v>
      </c>
      <c r="BV409" t="s">
        <v>189</v>
      </c>
      <c r="BW409">
        <f>IFERROR(AVERAGE(Tabel1[[#This Row],[Up - A1]],Tabel1[[#This Row],[Up - A2]],Tabel1[[#This Row],[Up - A3]]),"")</f>
        <v>2.9166666666666665</v>
      </c>
      <c r="BX409">
        <v>2</v>
      </c>
      <c r="BY409">
        <v>5</v>
      </c>
      <c r="BZ409">
        <f>IFERROR(AVERAGE(Tabel1[[#This Row],[In - R1a]:[In - R1b]]),"")</f>
        <v>3.5</v>
      </c>
      <c r="CA409">
        <v>4</v>
      </c>
      <c r="CB409">
        <v>4</v>
      </c>
      <c r="CC409">
        <v>2</v>
      </c>
      <c r="CD409">
        <v>4</v>
      </c>
      <c r="CE409">
        <f>IFERROR(AVERAGE(Tabel1[[#This Row],[In - R1]:[In - R5]]),"")</f>
        <v>3.5</v>
      </c>
      <c r="CF409">
        <v>4</v>
      </c>
      <c r="CG409">
        <v>3</v>
      </c>
      <c r="CH409">
        <v>3</v>
      </c>
      <c r="CI409">
        <f>IFERROR(AVERAGE(Tabel1[[#This Row],[In - C1a]:[In - C1c]]),"")</f>
        <v>3.3333333333333335</v>
      </c>
      <c r="CJ409">
        <v>3</v>
      </c>
      <c r="CK409">
        <v>2</v>
      </c>
      <c r="CL409">
        <v>2</v>
      </c>
      <c r="CM409">
        <f>IFERROR(AVERAGE(Tabel1[[#This Row],[In - C1]:[In - C4]]),"")</f>
        <v>2.5833333333333335</v>
      </c>
      <c r="CN409">
        <v>3</v>
      </c>
      <c r="CO409">
        <v>3</v>
      </c>
      <c r="CP409">
        <v>2</v>
      </c>
      <c r="CQ409">
        <f>IFERROR(AVERAGE(Tabel1[[#This Row],[In - F1a]:[In - F1c]]),"")</f>
        <v>2.6666666666666665</v>
      </c>
      <c r="CR409">
        <v>5</v>
      </c>
      <c r="CS409">
        <v>4</v>
      </c>
      <c r="CT409">
        <f>IFERROR(AVERAGE(Tabel1[[#This Row],[In - F2a]:[In - F2b]]),"")</f>
        <v>4.5</v>
      </c>
      <c r="CU409">
        <v>3</v>
      </c>
      <c r="CV409">
        <f>IFERROR(AVERAGE(Tabel1[[#This Row],[In - F3a]:[In - F3a]]),"")</f>
        <v>3</v>
      </c>
      <c r="CW409" t="s">
        <v>189</v>
      </c>
      <c r="CX409">
        <f>IFERROR(AVERAGE(Tabel1[[#This Row],[In - F1]],Tabel1[[#This Row],[In - F2]],Tabel1[[#This Row],[In - F3]],Tabel1[[#This Row],[In - F4]]),"")</f>
        <v>3.3888888888888888</v>
      </c>
      <c r="CY409">
        <v>5</v>
      </c>
      <c r="CZ409">
        <v>3</v>
      </c>
      <c r="DA409">
        <v>3</v>
      </c>
      <c r="DB409">
        <f>IFERROR(AVERAGE(Tabel1[[#This Row],[In - V1a]:[In - V1c]]),"")</f>
        <v>3.6666666666666665</v>
      </c>
      <c r="DC409">
        <v>4</v>
      </c>
      <c r="DD409">
        <v>3</v>
      </c>
      <c r="DE409">
        <v>3</v>
      </c>
      <c r="DF409">
        <f>IFERROR(AVERAGE(Tabel1[[#This Row],[In - V2a]:[In - V2c]]),"")</f>
        <v>3.3333333333333335</v>
      </c>
      <c r="DG409">
        <v>2</v>
      </c>
      <c r="DH409">
        <v>2</v>
      </c>
      <c r="DI409">
        <f>IFERROR(AVERAGE(Tabel1[[#This Row],[In - V3a]:[In - V3b]]),"")</f>
        <v>2</v>
      </c>
      <c r="DJ409">
        <v>2</v>
      </c>
      <c r="DK409">
        <f>IFERROR(AVERAGE(Tabel1[[#This Row],[In - V1]],Tabel1[[#This Row],[In - V2]],Tabel1[[#This Row],[In - V3]],Tabel1[[#This Row],[In - V4]]),"")</f>
        <v>2.75</v>
      </c>
      <c r="DL409">
        <v>3</v>
      </c>
      <c r="DM409">
        <v>2</v>
      </c>
      <c r="DN409">
        <f>IFERROR(AVERAGE(Tabel1[[#This Row],[In - A1a]:[In - A1b]]),"")</f>
        <v>2.5</v>
      </c>
      <c r="DO409">
        <v>4</v>
      </c>
      <c r="DP409">
        <v>3</v>
      </c>
      <c r="DQ409">
        <f>IFERROR(AVERAGE(Tabel1[[#This Row],[In - A2a]:[In - A2b]]),"")</f>
        <v>3.5</v>
      </c>
      <c r="DR409">
        <v>3</v>
      </c>
      <c r="DS409">
        <v>2</v>
      </c>
      <c r="DT409">
        <f>IFERROR(AVERAGE(Tabel1[[#This Row],[In - A3a]:[In - A3a]]),"")</f>
        <v>3</v>
      </c>
      <c r="DU409">
        <v>3</v>
      </c>
      <c r="DV409">
        <f>IFERROR(AVERAGE(Tabel1[[#This Row],[In - A1]],Tabel1[[#This Row],[In - A2]],Tabel1[[#This Row],[In - A3]],Tabel1[[#This Row],[In - A4]]),"")</f>
        <v>3</v>
      </c>
      <c r="DW409">
        <v>2</v>
      </c>
      <c r="DX409">
        <v>4</v>
      </c>
      <c r="DY409">
        <v>2</v>
      </c>
      <c r="DZ409">
        <f>IFERROR(AVERAGE(Tabel1[[#This Row],[Do - R1a]:[Do - R1c]]),"")</f>
        <v>2.6666666666666665</v>
      </c>
      <c r="EA409">
        <v>2</v>
      </c>
      <c r="EB409">
        <v>2</v>
      </c>
      <c r="EC409">
        <v>3</v>
      </c>
      <c r="ED409" t="s">
        <v>189</v>
      </c>
      <c r="EE409">
        <f>IFERROR(AVERAGE(Tabel1[[#This Row],[Do - R1]:[Do - R5]]),"")</f>
        <v>2.4166666666666665</v>
      </c>
      <c r="EF409">
        <v>2</v>
      </c>
      <c r="EG409">
        <v>3</v>
      </c>
      <c r="EH409">
        <v>3</v>
      </c>
      <c r="EI409">
        <f>IFERROR(AVERAGE(Tabel1[[#This Row],[Do - C1a]:[Do - C1c]]),"")</f>
        <v>2.6666666666666665</v>
      </c>
      <c r="EJ409">
        <v>3</v>
      </c>
      <c r="EK409">
        <v>2</v>
      </c>
      <c r="EL409" t="s">
        <v>189</v>
      </c>
      <c r="EM409">
        <f>IFERROR(AVERAGE(Tabel1[[#This Row],[Do - C1]:[Do - C4]]),"")</f>
        <v>2.5555555555555554</v>
      </c>
      <c r="EN409">
        <v>3</v>
      </c>
      <c r="EO409">
        <v>3</v>
      </c>
      <c r="EP409">
        <v>3</v>
      </c>
      <c r="EQ409">
        <f>IFERROR(AVERAGE(Tabel1[[#This Row],[Do - F1a]:[Do - F1c]]),"")</f>
        <v>3</v>
      </c>
      <c r="ER409">
        <v>3</v>
      </c>
      <c r="ES409">
        <f>IFERROR(AVERAGE(Tabel1[[#This Row],[Do - F2a]:[Do - F2a]]),"")</f>
        <v>3</v>
      </c>
      <c r="ET409">
        <v>2</v>
      </c>
      <c r="EU409">
        <v>3</v>
      </c>
      <c r="EV409">
        <f>IFERROR(AVERAGE(Tabel1[[#This Row],[Do - F3a]:[Do - F3b]]),"")</f>
        <v>2.5</v>
      </c>
      <c r="EW409" t="s">
        <v>189</v>
      </c>
      <c r="EX409">
        <f>IFERROR(AVERAGE(Tabel1[[#This Row],[Do - F1]],Tabel1[[#This Row],[Do - F2]],Tabel1[[#This Row],[Do - F3]],Tabel1[[#This Row],[Do - F4]]),"")</f>
        <v>2.8333333333333335</v>
      </c>
      <c r="EY409">
        <v>2</v>
      </c>
      <c r="EZ409">
        <v>2</v>
      </c>
      <c r="FA409">
        <v>2</v>
      </c>
      <c r="FB409">
        <f>IFERROR(AVERAGE(Tabel1[[#This Row],[Do - V1a]:[Do - V1c]]),"")</f>
        <v>2</v>
      </c>
      <c r="FC409" t="s">
        <v>189</v>
      </c>
      <c r="FD409">
        <v>2</v>
      </c>
      <c r="FE409">
        <f>IFERROR(AVERAGE(Tabel1[[#This Row],[Do - V2a]:[Do - V2b]]),"")</f>
        <v>2</v>
      </c>
      <c r="FF409">
        <v>2</v>
      </c>
      <c r="FG409">
        <f>IFERROR(AVERAGE(Tabel1[[#This Row],[Do - V3a]:[Do - V3a]]),"")</f>
        <v>2</v>
      </c>
      <c r="FH409" t="s">
        <v>189</v>
      </c>
      <c r="FI409">
        <f>IFERROR(AVERAGE(Tabel1[[#This Row],[Do - V1]],Tabel1[[#This Row],[Do - V2]],Tabel1[[#This Row],[Do - V3]],Tabel1[[#This Row],[Do - V4]]),"")</f>
        <v>2</v>
      </c>
      <c r="FJ409">
        <v>4</v>
      </c>
      <c r="FK409">
        <v>3</v>
      </c>
      <c r="FL409">
        <v>3</v>
      </c>
      <c r="FM409">
        <f>IFERROR(AVERAGE(Tabel1[[#This Row],[Do - A1a]:[Do - A1c]]),"")</f>
        <v>3.3333333333333335</v>
      </c>
      <c r="FN409">
        <v>4</v>
      </c>
      <c r="FO409">
        <v>2</v>
      </c>
      <c r="FP409">
        <f>IFERROR(AVERAGE(Tabel1[[#This Row],[Do - A2a]:[Do - A2b]]),"")</f>
        <v>3</v>
      </c>
      <c r="FQ409">
        <v>2</v>
      </c>
      <c r="FR409">
        <f>IFERROR(AVERAGE(Tabel1[[#This Row],[Do - A3a]:[Do - A3a]]),"")</f>
        <v>2</v>
      </c>
      <c r="FS409">
        <v>3</v>
      </c>
      <c r="FT409">
        <f>IFERROR(AVERAGE(Tabel1[[#This Row],[Do - A1]],Tabel1[[#This Row],[Do - A2]],Tabel1[[#This Row],[Do - A3]],Tabel1[[#This Row],[Do - A4]]),"")</f>
        <v>2.8333333333333335</v>
      </c>
      <c r="FU40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2.7703703703703706</v>
      </c>
      <c r="FV409" t="s">
        <v>2040</v>
      </c>
      <c r="FW409" t="b">
        <v>1</v>
      </c>
    </row>
    <row r="410" spans="1:179" x14ac:dyDescent="0.3">
      <c r="A410" s="13">
        <v>45639.614456018498</v>
      </c>
      <c r="B410" t="b">
        <v>0</v>
      </c>
      <c r="C410" t="s">
        <v>2041</v>
      </c>
      <c r="D410" t="s">
        <v>2042</v>
      </c>
      <c r="E410" t="s">
        <v>2043</v>
      </c>
      <c r="F410" s="14" t="s">
        <v>184</v>
      </c>
      <c r="G410" t="s">
        <v>2044</v>
      </c>
      <c r="H410" t="s">
        <v>222</v>
      </c>
      <c r="I410" t="s">
        <v>195</v>
      </c>
      <c r="J410" t="s">
        <v>406</v>
      </c>
      <c r="K410" t="s">
        <v>235</v>
      </c>
      <c r="L410" t="s">
        <v>218</v>
      </c>
      <c r="M410" t="s">
        <v>198</v>
      </c>
      <c r="N410" t="s">
        <v>262</v>
      </c>
      <c r="O410" t="s">
        <v>200</v>
      </c>
      <c r="P410" t="s">
        <v>255</v>
      </c>
      <c r="Q410" t="s">
        <v>202</v>
      </c>
      <c r="R410" t="s">
        <v>235</v>
      </c>
      <c r="T410" t="s">
        <v>204</v>
      </c>
      <c r="U410" t="s">
        <v>237</v>
      </c>
      <c r="V410" t="s">
        <v>224</v>
      </c>
      <c r="W410" t="s">
        <v>207</v>
      </c>
      <c r="X410" t="s">
        <v>207</v>
      </c>
      <c r="Y410">
        <v>2</v>
      </c>
      <c r="Z410">
        <v>3</v>
      </c>
      <c r="AA410" t="s">
        <v>189</v>
      </c>
      <c r="AB410">
        <f>IFERROR(AVERAGE(Tabel1[[#This Row],[Up - R1a]:[Up - R1c]]),"")</f>
        <v>2.5</v>
      </c>
      <c r="AC410">
        <v>2</v>
      </c>
      <c r="AD410">
        <v>1</v>
      </c>
      <c r="AE410">
        <v>3</v>
      </c>
      <c r="AF410">
        <v>2</v>
      </c>
      <c r="AG410">
        <f>IFERROR(AVERAGE(Tabel1[[#This Row],[Up - R1]:[Up - R5]]),"")</f>
        <v>2.1</v>
      </c>
      <c r="AH410">
        <v>3</v>
      </c>
      <c r="AI410">
        <v>3</v>
      </c>
      <c r="AJ410">
        <v>3</v>
      </c>
      <c r="AK410">
        <f>IFERROR(AVERAGE(Tabel1[[#This Row],[Up - C1a]:[Up - C1c]]),"")</f>
        <v>3</v>
      </c>
      <c r="AL410">
        <v>2</v>
      </c>
      <c r="AM410" t="s">
        <v>189</v>
      </c>
      <c r="AN410">
        <v>1</v>
      </c>
      <c r="AO410">
        <f>IFERROR(AVERAGE(Tabel1[[#This Row],[Up - C1]:[Up - C4]]),"")</f>
        <v>2</v>
      </c>
      <c r="AP410">
        <v>2</v>
      </c>
      <c r="AQ410">
        <f>IFERROR(AVERAGE(Tabel1[[#This Row],[Up - F1a]:[Up - F1a]]),"")</f>
        <v>2</v>
      </c>
      <c r="AR410">
        <v>1</v>
      </c>
      <c r="AS410">
        <v>2</v>
      </c>
      <c r="AT410">
        <f>IFERROR(AVERAGE(Tabel1[[#This Row],[Up - F2a]:[Up - F2b]]),"")</f>
        <v>1.5</v>
      </c>
      <c r="AU410">
        <v>2</v>
      </c>
      <c r="AV410">
        <v>2</v>
      </c>
      <c r="AW410">
        <f>IFERROR(AVERAGE(Tabel1[[#This Row],[Up - F3a]:[Up - F3b]]),"")</f>
        <v>2</v>
      </c>
      <c r="AX410" t="s">
        <v>189</v>
      </c>
      <c r="AY410">
        <f>IFERROR(AVERAGE(Tabel1[[#This Row],[Up - F1]],Tabel1[[#This Row],[Up - F2]],Tabel1[[#This Row],[Up - F3]],Tabel1[[#This Row],[Up - F4]]),"")</f>
        <v>1.8333333333333333</v>
      </c>
      <c r="AZ410">
        <v>2</v>
      </c>
      <c r="BA410">
        <v>3</v>
      </c>
      <c r="BB410">
        <f>IFERROR(AVERAGE(Tabel1[[#This Row],[Up - V1a]:[Up - V1b]]),"")</f>
        <v>2.5</v>
      </c>
      <c r="BC410">
        <v>2</v>
      </c>
      <c r="BD410">
        <v>2</v>
      </c>
      <c r="BE410">
        <v>2</v>
      </c>
      <c r="BF410">
        <f>IFERROR(AVERAGE(Tabel1[[#This Row],[Up - V2a]:[Up - V2c]]),"")</f>
        <v>2</v>
      </c>
      <c r="BG410" t="s">
        <v>189</v>
      </c>
      <c r="BH410">
        <v>3</v>
      </c>
      <c r="BI410">
        <f>IFERROR(AVERAGE(Tabel1[[#This Row],[Up - V3a]:[Up - V3b]]),"")</f>
        <v>3</v>
      </c>
      <c r="BJ410">
        <v>2</v>
      </c>
      <c r="BK410">
        <f>IFERROR(AVERAGE(Tabel1[[#This Row],[Up - V1]],Tabel1[[#This Row],[Up - V2]],Tabel1[[#This Row],[Up - V3]],Tabel1[[#This Row],[Up - V4]]),"")</f>
        <v>2.375</v>
      </c>
      <c r="BL410">
        <v>3</v>
      </c>
      <c r="BM410">
        <v>2</v>
      </c>
      <c r="BN410">
        <v>2</v>
      </c>
      <c r="BO410">
        <v>2</v>
      </c>
      <c r="BP410">
        <f>IFERROR(AVERAGE(Tabel1[[#This Row],[Up - A1a]:[Up - A1d]]),"")</f>
        <v>2.25</v>
      </c>
      <c r="BQ410">
        <v>3</v>
      </c>
      <c r="BR410">
        <v>2</v>
      </c>
      <c r="BS410">
        <f>IFERROR(AVERAGE(Tabel1[[#This Row],[Up - A2a]:[Up - A2b]]),"")</f>
        <v>2.5</v>
      </c>
      <c r="BT410">
        <v>3</v>
      </c>
      <c r="BU410">
        <f>IFERROR(AVERAGE(Tabel1[[#This Row],[Up - A3a]:[Up - A3a]]),"")</f>
        <v>3</v>
      </c>
      <c r="BV410">
        <v>2</v>
      </c>
      <c r="BW410">
        <f>IFERROR(AVERAGE(Tabel1[[#This Row],[Up - A1]],Tabel1[[#This Row],[Up - A2]],Tabel1[[#This Row],[Up - A3]]),"")</f>
        <v>2.5833333333333335</v>
      </c>
      <c r="BX410">
        <v>2</v>
      </c>
      <c r="BY410">
        <v>2</v>
      </c>
      <c r="BZ410">
        <f>IFERROR(AVERAGE(Tabel1[[#This Row],[In - R1a]:[In - R1b]]),"")</f>
        <v>2</v>
      </c>
      <c r="CA410">
        <v>4</v>
      </c>
      <c r="CB410">
        <v>3</v>
      </c>
      <c r="CC410">
        <v>2</v>
      </c>
      <c r="CD410">
        <v>3</v>
      </c>
      <c r="CE410">
        <f>IFERROR(AVERAGE(Tabel1[[#This Row],[In - R1]:[In - R5]]),"")</f>
        <v>2.8</v>
      </c>
      <c r="CF410">
        <v>3</v>
      </c>
      <c r="CG410">
        <v>3</v>
      </c>
      <c r="CH410">
        <v>4</v>
      </c>
      <c r="CI410">
        <f>IFERROR(AVERAGE(Tabel1[[#This Row],[In - C1a]:[In - C1c]]),"")</f>
        <v>3.3333333333333335</v>
      </c>
      <c r="CJ410">
        <v>3</v>
      </c>
      <c r="CK410">
        <v>2</v>
      </c>
      <c r="CL410">
        <v>2</v>
      </c>
      <c r="CM410">
        <f>IFERROR(AVERAGE(Tabel1[[#This Row],[In - C1]:[In - C4]]),"")</f>
        <v>2.5833333333333335</v>
      </c>
      <c r="CN410">
        <v>2</v>
      </c>
      <c r="CO410">
        <v>3</v>
      </c>
      <c r="CP410">
        <v>1</v>
      </c>
      <c r="CQ410">
        <f>IFERROR(AVERAGE(Tabel1[[#This Row],[In - F1a]:[In - F1c]]),"")</f>
        <v>2</v>
      </c>
      <c r="CR410">
        <v>3</v>
      </c>
      <c r="CS410">
        <v>1</v>
      </c>
      <c r="CT410">
        <f>IFERROR(AVERAGE(Tabel1[[#This Row],[In - F2a]:[In - F2b]]),"")</f>
        <v>2</v>
      </c>
      <c r="CU410">
        <v>2</v>
      </c>
      <c r="CV410">
        <f>IFERROR(AVERAGE(Tabel1[[#This Row],[In - F3a]:[In - F3a]]),"")</f>
        <v>2</v>
      </c>
      <c r="CW410">
        <v>2</v>
      </c>
      <c r="CX410">
        <f>IFERROR(AVERAGE(Tabel1[[#This Row],[In - F1]],Tabel1[[#This Row],[In - F2]],Tabel1[[#This Row],[In - F3]],Tabel1[[#This Row],[In - F4]]),"")</f>
        <v>2</v>
      </c>
      <c r="CY410">
        <v>3</v>
      </c>
      <c r="CZ410">
        <v>3</v>
      </c>
      <c r="DA410">
        <v>2</v>
      </c>
      <c r="DB410">
        <f>IFERROR(AVERAGE(Tabel1[[#This Row],[In - V1a]:[In - V1c]]),"")</f>
        <v>2.6666666666666665</v>
      </c>
      <c r="DC410">
        <v>3</v>
      </c>
      <c r="DD410">
        <v>2</v>
      </c>
      <c r="DE410">
        <v>3</v>
      </c>
      <c r="DF410">
        <f>IFERROR(AVERAGE(Tabel1[[#This Row],[In - V2a]:[In - V2c]]),"")</f>
        <v>2.6666666666666665</v>
      </c>
      <c r="DG410">
        <v>2</v>
      </c>
      <c r="DH410">
        <v>2</v>
      </c>
      <c r="DI410">
        <f>IFERROR(AVERAGE(Tabel1[[#This Row],[In - V3a]:[In - V3b]]),"")</f>
        <v>2</v>
      </c>
      <c r="DJ410">
        <v>2</v>
      </c>
      <c r="DK410">
        <f>IFERROR(AVERAGE(Tabel1[[#This Row],[In - V1]],Tabel1[[#This Row],[In - V2]],Tabel1[[#This Row],[In - V3]],Tabel1[[#This Row],[In - V4]]),"")</f>
        <v>2.333333333333333</v>
      </c>
      <c r="DL410">
        <v>2</v>
      </c>
      <c r="DM410">
        <v>3</v>
      </c>
      <c r="DN410">
        <f>IFERROR(AVERAGE(Tabel1[[#This Row],[In - A1a]:[In - A1b]]),"")</f>
        <v>2.5</v>
      </c>
      <c r="DO410">
        <v>2</v>
      </c>
      <c r="DP410">
        <v>3</v>
      </c>
      <c r="DQ410">
        <f>IFERROR(AVERAGE(Tabel1[[#This Row],[In - A2a]:[In - A2b]]),"")</f>
        <v>2.5</v>
      </c>
      <c r="DR410">
        <v>4</v>
      </c>
      <c r="DS410">
        <v>2</v>
      </c>
      <c r="DT410">
        <f>IFERROR(AVERAGE(Tabel1[[#This Row],[In - A3a]:[In - A3a]]),"")</f>
        <v>4</v>
      </c>
      <c r="DU410">
        <v>2</v>
      </c>
      <c r="DV410">
        <f>IFERROR(AVERAGE(Tabel1[[#This Row],[In - A1]],Tabel1[[#This Row],[In - A2]],Tabel1[[#This Row],[In - A3]],Tabel1[[#This Row],[In - A4]]),"")</f>
        <v>2.75</v>
      </c>
      <c r="DW410">
        <v>1</v>
      </c>
      <c r="DX410">
        <v>4</v>
      </c>
      <c r="DY410">
        <v>1</v>
      </c>
      <c r="DZ410">
        <f>IFERROR(AVERAGE(Tabel1[[#This Row],[Do - R1a]:[Do - R1c]]),"")</f>
        <v>2</v>
      </c>
      <c r="EA410">
        <v>3</v>
      </c>
      <c r="EB410">
        <v>3</v>
      </c>
      <c r="EC410">
        <v>1</v>
      </c>
      <c r="ED410" t="s">
        <v>189</v>
      </c>
      <c r="EE410">
        <f>IFERROR(AVERAGE(Tabel1[[#This Row],[Do - R1]:[Do - R5]]),"")</f>
        <v>2.25</v>
      </c>
      <c r="EF410">
        <v>3</v>
      </c>
      <c r="EG410">
        <v>2</v>
      </c>
      <c r="EH410">
        <v>1</v>
      </c>
      <c r="EI410">
        <f>IFERROR(AVERAGE(Tabel1[[#This Row],[Do - C1a]:[Do - C1c]]),"")</f>
        <v>2</v>
      </c>
      <c r="EJ410">
        <v>3</v>
      </c>
      <c r="EK410">
        <v>1</v>
      </c>
      <c r="EL410">
        <v>2</v>
      </c>
      <c r="EM410">
        <f>IFERROR(AVERAGE(Tabel1[[#This Row],[Do - C1]:[Do - C4]]),"")</f>
        <v>2</v>
      </c>
      <c r="EN410">
        <v>1</v>
      </c>
      <c r="EO410">
        <v>1</v>
      </c>
      <c r="EP410">
        <v>1</v>
      </c>
      <c r="EQ410">
        <f>IFERROR(AVERAGE(Tabel1[[#This Row],[Do - F1a]:[Do - F1c]]),"")</f>
        <v>1</v>
      </c>
      <c r="ER410">
        <v>2</v>
      </c>
      <c r="ES410">
        <f>IFERROR(AVERAGE(Tabel1[[#This Row],[Do - F2a]:[Do - F2a]]),"")</f>
        <v>2</v>
      </c>
      <c r="ET410">
        <v>3</v>
      </c>
      <c r="EU410">
        <v>1</v>
      </c>
      <c r="EV410">
        <f>IFERROR(AVERAGE(Tabel1[[#This Row],[Do - F3a]:[Do - F3b]]),"")</f>
        <v>2</v>
      </c>
      <c r="EW410">
        <v>1</v>
      </c>
      <c r="EX410">
        <f>IFERROR(AVERAGE(Tabel1[[#This Row],[Do - F1]],Tabel1[[#This Row],[Do - F2]],Tabel1[[#This Row],[Do - F3]],Tabel1[[#This Row],[Do - F4]]),"")</f>
        <v>1.5</v>
      </c>
      <c r="EY410">
        <v>2</v>
      </c>
      <c r="EZ410">
        <v>1</v>
      </c>
      <c r="FA410">
        <v>3</v>
      </c>
      <c r="FB410">
        <f>IFERROR(AVERAGE(Tabel1[[#This Row],[Do - V1a]:[Do - V1c]]),"")</f>
        <v>2</v>
      </c>
      <c r="FC410" t="s">
        <v>189</v>
      </c>
      <c r="FD410">
        <v>3</v>
      </c>
      <c r="FE410">
        <f>IFERROR(AVERAGE(Tabel1[[#This Row],[Do - V2a]:[Do - V2b]]),"")</f>
        <v>3</v>
      </c>
      <c r="FF410">
        <v>2</v>
      </c>
      <c r="FG410">
        <f>IFERROR(AVERAGE(Tabel1[[#This Row],[Do - V3a]:[Do - V3a]]),"")</f>
        <v>2</v>
      </c>
      <c r="FH410">
        <v>2</v>
      </c>
      <c r="FI410">
        <f>IFERROR(AVERAGE(Tabel1[[#This Row],[Do - V1]],Tabel1[[#This Row],[Do - V2]],Tabel1[[#This Row],[Do - V3]],Tabel1[[#This Row],[Do - V4]]),"")</f>
        <v>2.25</v>
      </c>
      <c r="FJ410">
        <v>3</v>
      </c>
      <c r="FK410">
        <v>2</v>
      </c>
      <c r="FL410">
        <v>2</v>
      </c>
      <c r="FM410">
        <f>IFERROR(AVERAGE(Tabel1[[#This Row],[Do - A1a]:[Do - A1c]]),"")</f>
        <v>2.3333333333333335</v>
      </c>
      <c r="FN410">
        <v>3</v>
      </c>
      <c r="FO410">
        <v>3</v>
      </c>
      <c r="FP410">
        <f>IFERROR(AVERAGE(Tabel1[[#This Row],[Do - A2a]:[Do - A2b]]),"")</f>
        <v>3</v>
      </c>
      <c r="FQ410">
        <v>4</v>
      </c>
      <c r="FR410">
        <f>IFERROR(AVERAGE(Tabel1[[#This Row],[Do - A3a]:[Do - A3a]]),"")</f>
        <v>4</v>
      </c>
      <c r="FS410">
        <v>2</v>
      </c>
      <c r="FT410">
        <f>IFERROR(AVERAGE(Tabel1[[#This Row],[Do - A1]],Tabel1[[#This Row],[Do - A2]],Tabel1[[#This Row],[Do - A3]],Tabel1[[#This Row],[Do - A4]]),"")</f>
        <v>2.8333333333333335</v>
      </c>
      <c r="FU41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2.2794444444444442</v>
      </c>
      <c r="FV410" t="s">
        <v>2045</v>
      </c>
      <c r="FW410" t="b">
        <v>1</v>
      </c>
    </row>
    <row r="411" spans="1:179" x14ac:dyDescent="0.3">
      <c r="A411" s="13">
        <v>45646.529074074097</v>
      </c>
      <c r="B411" t="b">
        <v>0</v>
      </c>
      <c r="C411" t="s">
        <v>2046</v>
      </c>
      <c r="D411" t="s">
        <v>2047</v>
      </c>
      <c r="E411" t="s">
        <v>2043</v>
      </c>
      <c r="F411" s="14" t="s">
        <v>184</v>
      </c>
      <c r="G411" t="s">
        <v>2048</v>
      </c>
      <c r="H411" t="s">
        <v>222</v>
      </c>
      <c r="I411" t="s">
        <v>195</v>
      </c>
      <c r="J411" t="s">
        <v>406</v>
      </c>
      <c r="K411" t="s">
        <v>202</v>
      </c>
      <c r="L411" t="s">
        <v>249</v>
      </c>
      <c r="M411" t="s">
        <v>198</v>
      </c>
      <c r="O411" t="s">
        <v>200</v>
      </c>
      <c r="P411" t="s">
        <v>255</v>
      </c>
      <c r="Q411" t="s">
        <v>203</v>
      </c>
      <c r="S411" t="s">
        <v>235</v>
      </c>
      <c r="T411" t="s">
        <v>204</v>
      </c>
      <c r="V411" t="s">
        <v>224</v>
      </c>
      <c r="W411" t="s">
        <v>207</v>
      </c>
      <c r="X411" t="s">
        <v>207</v>
      </c>
      <c r="Y411" t="s">
        <v>189</v>
      </c>
      <c r="AA411" t="s">
        <v>189</v>
      </c>
      <c r="AB411" t="str">
        <f>IFERROR(AVERAGE(Tabel1[[#This Row],[Up - R1a]:[Up - R1c]]),"")</f>
        <v/>
      </c>
      <c r="AC411" t="s">
        <v>189</v>
      </c>
      <c r="AD411">
        <v>5</v>
      </c>
      <c r="AE411" t="s">
        <v>189</v>
      </c>
      <c r="AF411" t="s">
        <v>189</v>
      </c>
      <c r="AG411">
        <f>IFERROR(AVERAGE(Tabel1[[#This Row],[Up - R1]:[Up - R5]]),"")</f>
        <v>5</v>
      </c>
      <c r="AH411">
        <v>3</v>
      </c>
      <c r="AI411">
        <v>4</v>
      </c>
      <c r="AJ411">
        <v>3</v>
      </c>
      <c r="AK411">
        <f>IFERROR(AVERAGE(Tabel1[[#This Row],[Up - C1a]:[Up - C1c]]),"")</f>
        <v>3.3333333333333335</v>
      </c>
      <c r="AL411">
        <v>4</v>
      </c>
      <c r="AM411" t="s">
        <v>189</v>
      </c>
      <c r="AN411" t="s">
        <v>189</v>
      </c>
      <c r="AO411">
        <f>IFERROR(AVERAGE(Tabel1[[#This Row],[Up - C1]:[Up - C4]]),"")</f>
        <v>3.666666666666667</v>
      </c>
      <c r="AP411" t="s">
        <v>189</v>
      </c>
      <c r="AQ411" t="str">
        <f>IFERROR(AVERAGE(Tabel1[[#This Row],[Up - F1a]:[Up - F1a]]),"")</f>
        <v/>
      </c>
      <c r="AR411">
        <v>1</v>
      </c>
      <c r="AS411">
        <v>1</v>
      </c>
      <c r="AT411">
        <f>IFERROR(AVERAGE(Tabel1[[#This Row],[Up - F2a]:[Up - F2b]]),"")</f>
        <v>1</v>
      </c>
      <c r="AU411">
        <v>3</v>
      </c>
      <c r="AV411">
        <v>2</v>
      </c>
      <c r="AW411">
        <f>IFERROR(AVERAGE(Tabel1[[#This Row],[Up - F3a]:[Up - F3b]]),"")</f>
        <v>2.5</v>
      </c>
      <c r="AX411">
        <v>2</v>
      </c>
      <c r="AY411">
        <f>IFERROR(AVERAGE(Tabel1[[#This Row],[Up - F1]],Tabel1[[#This Row],[Up - F2]],Tabel1[[#This Row],[Up - F3]],Tabel1[[#This Row],[Up - F4]]),"")</f>
        <v>1.8333333333333333</v>
      </c>
      <c r="AZ411" t="s">
        <v>189</v>
      </c>
      <c r="BA411" t="s">
        <v>189</v>
      </c>
      <c r="BB411" t="str">
        <f>IFERROR(AVERAGE(Tabel1[[#This Row],[Up - V1a]:[Up - V1b]]),"")</f>
        <v/>
      </c>
      <c r="BC411" t="s">
        <v>189</v>
      </c>
      <c r="BD411" t="s">
        <v>189</v>
      </c>
      <c r="BE411" t="s">
        <v>189</v>
      </c>
      <c r="BF411" t="str">
        <f>IFERROR(AVERAGE(Tabel1[[#This Row],[Up - V2a]:[Up - V2c]]),"")</f>
        <v/>
      </c>
      <c r="BG411">
        <v>2</v>
      </c>
      <c r="BH411" t="s">
        <v>189</v>
      </c>
      <c r="BI411">
        <f>IFERROR(AVERAGE(Tabel1[[#This Row],[Up - V3a]:[Up - V3b]]),"")</f>
        <v>2</v>
      </c>
      <c r="BJ411">
        <v>3</v>
      </c>
      <c r="BK411">
        <f>IFERROR(AVERAGE(Tabel1[[#This Row],[Up - V1]],Tabel1[[#This Row],[Up - V2]],Tabel1[[#This Row],[Up - V3]],Tabel1[[#This Row],[Up - V4]]),"")</f>
        <v>2.5</v>
      </c>
      <c r="BL411" t="s">
        <v>189</v>
      </c>
      <c r="BM411" t="s">
        <v>189</v>
      </c>
      <c r="BN411">
        <v>1</v>
      </c>
      <c r="BO411">
        <v>1</v>
      </c>
      <c r="BP411">
        <f>IFERROR(AVERAGE(Tabel1[[#This Row],[Up - A1a]:[Up - A1d]]),"")</f>
        <v>1</v>
      </c>
      <c r="BQ411">
        <v>1</v>
      </c>
      <c r="BS411">
        <f>IFERROR(AVERAGE(Tabel1[[#This Row],[Up - A2a]:[Up - A2b]]),"")</f>
        <v>1</v>
      </c>
      <c r="BT411" t="s">
        <v>189</v>
      </c>
      <c r="BU411" t="str">
        <f>IFERROR(AVERAGE(Tabel1[[#This Row],[Up - A3a]:[Up - A3a]]),"")</f>
        <v/>
      </c>
      <c r="BV411">
        <v>4</v>
      </c>
      <c r="BW411">
        <f>IFERROR(AVERAGE(Tabel1[[#This Row],[Up - A1]],Tabel1[[#This Row],[Up - A2]],Tabel1[[#This Row],[Up - A3]]),"")</f>
        <v>1</v>
      </c>
      <c r="BX411">
        <v>5</v>
      </c>
      <c r="BY411">
        <v>4</v>
      </c>
      <c r="BZ411">
        <f>IFERROR(AVERAGE(Tabel1[[#This Row],[In - R1a]:[In - R1b]]),"")</f>
        <v>4.5</v>
      </c>
      <c r="CA411" t="s">
        <v>189</v>
      </c>
      <c r="CB411">
        <v>5</v>
      </c>
      <c r="CC411" t="s">
        <v>189</v>
      </c>
      <c r="CD411" t="s">
        <v>189</v>
      </c>
      <c r="CE411">
        <f>IFERROR(AVERAGE(Tabel1[[#This Row],[In - R1]:[In - R5]]),"")</f>
        <v>4.75</v>
      </c>
      <c r="CF411">
        <v>4</v>
      </c>
      <c r="CG411">
        <v>3</v>
      </c>
      <c r="CH411">
        <v>4</v>
      </c>
      <c r="CI411">
        <f>IFERROR(AVERAGE(Tabel1[[#This Row],[In - C1a]:[In - C1c]]),"")</f>
        <v>3.6666666666666665</v>
      </c>
      <c r="CJ411">
        <v>4</v>
      </c>
      <c r="CK411">
        <v>3</v>
      </c>
      <c r="CL411" t="s">
        <v>189</v>
      </c>
      <c r="CM411">
        <f>IFERROR(AVERAGE(Tabel1[[#This Row],[In - C1]:[In - C4]]),"")</f>
        <v>3.5555555555555554</v>
      </c>
      <c r="CN411">
        <v>4</v>
      </c>
      <c r="CO411" t="s">
        <v>189</v>
      </c>
      <c r="CP411">
        <v>1</v>
      </c>
      <c r="CQ411">
        <f>IFERROR(AVERAGE(Tabel1[[#This Row],[In - F1a]:[In - F1c]]),"")</f>
        <v>2.5</v>
      </c>
      <c r="CR411">
        <v>5</v>
      </c>
      <c r="CS411" t="s">
        <v>189</v>
      </c>
      <c r="CT411">
        <f>IFERROR(AVERAGE(Tabel1[[#This Row],[In - F2a]:[In - F2b]]),"")</f>
        <v>5</v>
      </c>
      <c r="CU411" t="s">
        <v>189</v>
      </c>
      <c r="CV411" t="str">
        <f>IFERROR(AVERAGE(Tabel1[[#This Row],[In - F3a]:[In - F3a]]),"")</f>
        <v/>
      </c>
      <c r="CW411" t="s">
        <v>189</v>
      </c>
      <c r="CX411">
        <f>IFERROR(AVERAGE(Tabel1[[#This Row],[In - F1]],Tabel1[[#This Row],[In - F2]],Tabel1[[#This Row],[In - F3]],Tabel1[[#This Row],[In - F4]]),"")</f>
        <v>3.75</v>
      </c>
      <c r="CY411">
        <v>5</v>
      </c>
      <c r="CZ411">
        <v>4</v>
      </c>
      <c r="DA411">
        <v>4</v>
      </c>
      <c r="DB411">
        <f>IFERROR(AVERAGE(Tabel1[[#This Row],[In - V1a]:[In - V1c]]),"")</f>
        <v>4.333333333333333</v>
      </c>
      <c r="DC411">
        <v>4</v>
      </c>
      <c r="DD411">
        <v>4</v>
      </c>
      <c r="DE411">
        <v>2</v>
      </c>
      <c r="DF411">
        <f>IFERROR(AVERAGE(Tabel1[[#This Row],[In - V2a]:[In - V2c]]),"")</f>
        <v>3.3333333333333335</v>
      </c>
      <c r="DI411" t="str">
        <f>IFERROR(AVERAGE(Tabel1[[#This Row],[In - V3a]:[In - V3b]]),"")</f>
        <v/>
      </c>
      <c r="DK411">
        <f>IFERROR(AVERAGE(Tabel1[[#This Row],[In - V1]],Tabel1[[#This Row],[In - V2]],Tabel1[[#This Row],[In - V3]],Tabel1[[#This Row],[In - V4]]),"")</f>
        <v>3.833333333333333</v>
      </c>
      <c r="DL411">
        <v>3</v>
      </c>
      <c r="DM411" t="s">
        <v>189</v>
      </c>
      <c r="DN411">
        <f>IFERROR(AVERAGE(Tabel1[[#This Row],[In - A1a]:[In - A1b]]),"")</f>
        <v>3</v>
      </c>
      <c r="DO411">
        <v>1</v>
      </c>
      <c r="DP411">
        <v>1</v>
      </c>
      <c r="DQ411">
        <f>IFERROR(AVERAGE(Tabel1[[#This Row],[In - A2a]:[In - A2b]]),"")</f>
        <v>1</v>
      </c>
      <c r="DR411">
        <v>4</v>
      </c>
      <c r="DS411" t="s">
        <v>189</v>
      </c>
      <c r="DT411">
        <f>IFERROR(AVERAGE(Tabel1[[#This Row],[In - A3a]:[In - A3a]]),"")</f>
        <v>4</v>
      </c>
      <c r="DU411" t="s">
        <v>189</v>
      </c>
      <c r="DV411">
        <f>IFERROR(AVERAGE(Tabel1[[#This Row],[In - A1]],Tabel1[[#This Row],[In - A2]],Tabel1[[#This Row],[In - A3]],Tabel1[[#This Row],[In - A4]]),"")</f>
        <v>2.6666666666666665</v>
      </c>
      <c r="DW411" t="s">
        <v>189</v>
      </c>
      <c r="DX411">
        <v>5</v>
      </c>
      <c r="DY411">
        <v>2</v>
      </c>
      <c r="DZ411">
        <f>IFERROR(AVERAGE(Tabel1[[#This Row],[Do - R1a]:[Do - R1c]]),"")</f>
        <v>3.5</v>
      </c>
      <c r="EA411" t="s">
        <v>189</v>
      </c>
      <c r="EB411">
        <v>5</v>
      </c>
      <c r="EC411" t="s">
        <v>189</v>
      </c>
      <c r="ED411" t="s">
        <v>189</v>
      </c>
      <c r="EE411">
        <f>IFERROR(AVERAGE(Tabel1[[#This Row],[Do - R1]:[Do - R5]]),"")</f>
        <v>4.25</v>
      </c>
      <c r="EF411">
        <v>3</v>
      </c>
      <c r="EG411">
        <v>4</v>
      </c>
      <c r="EH411">
        <v>4</v>
      </c>
      <c r="EI411">
        <f>IFERROR(AVERAGE(Tabel1[[#This Row],[Do - C1a]:[Do - C1c]]),"")</f>
        <v>3.6666666666666665</v>
      </c>
      <c r="EJ411" t="s">
        <v>189</v>
      </c>
      <c r="EK411" t="s">
        <v>189</v>
      </c>
      <c r="EL411" t="s">
        <v>189</v>
      </c>
      <c r="EM411">
        <f>IFERROR(AVERAGE(Tabel1[[#This Row],[Do - C1]:[Do - C4]]),"")</f>
        <v>3.6666666666666665</v>
      </c>
      <c r="EN411" t="s">
        <v>189</v>
      </c>
      <c r="EO411">
        <v>1</v>
      </c>
      <c r="EP411" t="s">
        <v>189</v>
      </c>
      <c r="EQ411">
        <f>IFERROR(AVERAGE(Tabel1[[#This Row],[Do - F1a]:[Do - F1c]]),"")</f>
        <v>1</v>
      </c>
      <c r="ER411" t="s">
        <v>189</v>
      </c>
      <c r="ES411" t="str">
        <f>IFERROR(AVERAGE(Tabel1[[#This Row],[Do - F2a]:[Do - F2a]]),"")</f>
        <v/>
      </c>
      <c r="ET411">
        <v>2</v>
      </c>
      <c r="EU411" t="s">
        <v>189</v>
      </c>
      <c r="EV411">
        <f>IFERROR(AVERAGE(Tabel1[[#This Row],[Do - F3a]:[Do - F3b]]),"")</f>
        <v>2</v>
      </c>
      <c r="EW411" t="s">
        <v>189</v>
      </c>
      <c r="EX411">
        <f>IFERROR(AVERAGE(Tabel1[[#This Row],[Do - F1]],Tabel1[[#This Row],[Do - F2]],Tabel1[[#This Row],[Do - F3]],Tabel1[[#This Row],[Do - F4]]),"")</f>
        <v>1.5</v>
      </c>
      <c r="EY411">
        <v>2</v>
      </c>
      <c r="EZ411" t="s">
        <v>189</v>
      </c>
      <c r="FA411" t="s">
        <v>189</v>
      </c>
      <c r="FB411">
        <f>IFERROR(AVERAGE(Tabel1[[#This Row],[Do - V1a]:[Do - V1c]]),"")</f>
        <v>2</v>
      </c>
      <c r="FC411" t="s">
        <v>189</v>
      </c>
      <c r="FD411">
        <v>2</v>
      </c>
      <c r="FE411">
        <f>IFERROR(AVERAGE(Tabel1[[#This Row],[Do - V2a]:[Do - V2b]]),"")</f>
        <v>2</v>
      </c>
      <c r="FF411" t="s">
        <v>189</v>
      </c>
      <c r="FG411" t="str">
        <f>IFERROR(AVERAGE(Tabel1[[#This Row],[Do - V3a]:[Do - V3a]]),"")</f>
        <v/>
      </c>
      <c r="FH411" t="s">
        <v>189</v>
      </c>
      <c r="FI411">
        <f>IFERROR(AVERAGE(Tabel1[[#This Row],[Do - V1]],Tabel1[[#This Row],[Do - V2]],Tabel1[[#This Row],[Do - V3]],Tabel1[[#This Row],[Do - V4]]),"")</f>
        <v>2</v>
      </c>
      <c r="FJ411">
        <v>3</v>
      </c>
      <c r="FK411" t="s">
        <v>189</v>
      </c>
      <c r="FL411" t="s">
        <v>189</v>
      </c>
      <c r="FM411">
        <f>IFERROR(AVERAGE(Tabel1[[#This Row],[Do - A1a]:[Do - A1c]]),"")</f>
        <v>3</v>
      </c>
      <c r="FN411">
        <v>3</v>
      </c>
      <c r="FO411">
        <v>5</v>
      </c>
      <c r="FP411">
        <f>IFERROR(AVERAGE(Tabel1[[#This Row],[Do - A2a]:[Do - A2b]]),"")</f>
        <v>4</v>
      </c>
      <c r="FQ411" t="s">
        <v>189</v>
      </c>
      <c r="FR411" t="str">
        <f>IFERROR(AVERAGE(Tabel1[[#This Row],[Do - A3a]:[Do - A3a]]),"")</f>
        <v/>
      </c>
      <c r="FS411" t="s">
        <v>189</v>
      </c>
      <c r="FT411">
        <f>IFERROR(AVERAGE(Tabel1[[#This Row],[Do - A1]],Tabel1[[#This Row],[Do - A2]],Tabel1[[#This Row],[Do - A3]],Tabel1[[#This Row],[Do - A4]]),"")</f>
        <v>3.5</v>
      </c>
      <c r="FU41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3.164814814814815</v>
      </c>
      <c r="FV411" t="s">
        <v>2049</v>
      </c>
      <c r="FW411" t="b">
        <v>1</v>
      </c>
    </row>
    <row r="412" spans="1:179" x14ac:dyDescent="0.3">
      <c r="A412" s="13">
        <v>45649.445706018501</v>
      </c>
      <c r="B412" t="b">
        <v>0</v>
      </c>
      <c r="C412" t="s">
        <v>2050</v>
      </c>
      <c r="D412" t="s">
        <v>2051</v>
      </c>
      <c r="E412" s="14" t="s">
        <v>2029</v>
      </c>
      <c r="F412" s="14" t="s">
        <v>184</v>
      </c>
      <c r="G412" t="s">
        <v>478</v>
      </c>
      <c r="H412" t="s">
        <v>194</v>
      </c>
      <c r="I412" t="s">
        <v>195</v>
      </c>
      <c r="J412" t="s">
        <v>406</v>
      </c>
      <c r="K412" t="s">
        <v>235</v>
      </c>
      <c r="L412" t="s">
        <v>249</v>
      </c>
      <c r="M412" t="s">
        <v>233</v>
      </c>
      <c r="N412" t="s">
        <v>262</v>
      </c>
      <c r="O412" t="s">
        <v>200</v>
      </c>
      <c r="P412" t="s">
        <v>255</v>
      </c>
      <c r="Q412" t="s">
        <v>201</v>
      </c>
      <c r="R412" t="s">
        <v>235</v>
      </c>
      <c r="S412" t="s">
        <v>235</v>
      </c>
      <c r="T412" t="s">
        <v>204</v>
      </c>
      <c r="U412" t="s">
        <v>205</v>
      </c>
      <c r="V412" t="s">
        <v>206</v>
      </c>
      <c r="W412" t="s">
        <v>207</v>
      </c>
      <c r="X412" t="s">
        <v>207</v>
      </c>
      <c r="Y412">
        <v>5</v>
      </c>
      <c r="Z412">
        <v>3</v>
      </c>
      <c r="AA412">
        <v>4</v>
      </c>
      <c r="AB412">
        <f>IFERROR(AVERAGE(Tabel1[[#This Row],[Up - R1a]:[Up - R1c]]),"")</f>
        <v>4</v>
      </c>
      <c r="AC412" t="s">
        <v>189</v>
      </c>
      <c r="AD412">
        <v>4</v>
      </c>
      <c r="AE412">
        <v>2</v>
      </c>
      <c r="AF412">
        <v>5</v>
      </c>
      <c r="AG412">
        <f>IFERROR(AVERAGE(Tabel1[[#This Row],[Up - R1]:[Up - R5]]),"")</f>
        <v>3.75</v>
      </c>
      <c r="AH412">
        <v>4</v>
      </c>
      <c r="AI412">
        <v>4</v>
      </c>
      <c r="AJ412">
        <v>4</v>
      </c>
      <c r="AK412">
        <f>IFERROR(AVERAGE(Tabel1[[#This Row],[Up - C1a]:[Up - C1c]]),"")</f>
        <v>4</v>
      </c>
      <c r="AL412">
        <v>3</v>
      </c>
      <c r="AM412">
        <v>4</v>
      </c>
      <c r="AN412">
        <v>4</v>
      </c>
      <c r="AO412">
        <f>IFERROR(AVERAGE(Tabel1[[#This Row],[Up - C1]:[Up - C4]]),"")</f>
        <v>3.75</v>
      </c>
      <c r="AP412">
        <v>2</v>
      </c>
      <c r="AQ412">
        <f>IFERROR(AVERAGE(Tabel1[[#This Row],[Up - F1a]:[Up - F1a]]),"")</f>
        <v>2</v>
      </c>
      <c r="AR412">
        <v>2</v>
      </c>
      <c r="AS412">
        <v>1</v>
      </c>
      <c r="AT412">
        <f>IFERROR(AVERAGE(Tabel1[[#This Row],[Up - F2a]:[Up - F2b]]),"")</f>
        <v>1.5</v>
      </c>
      <c r="AU412">
        <v>4</v>
      </c>
      <c r="AV412">
        <v>4</v>
      </c>
      <c r="AW412">
        <f>IFERROR(AVERAGE(Tabel1[[#This Row],[Up - F3a]:[Up - F3b]]),"")</f>
        <v>4</v>
      </c>
      <c r="AX412">
        <v>3</v>
      </c>
      <c r="AY412">
        <f>IFERROR(AVERAGE(Tabel1[[#This Row],[Up - F1]],Tabel1[[#This Row],[Up - F2]],Tabel1[[#This Row],[Up - F3]],Tabel1[[#This Row],[Up - F4]]),"")</f>
        <v>2.625</v>
      </c>
      <c r="AZ412">
        <v>4</v>
      </c>
      <c r="BA412">
        <v>4</v>
      </c>
      <c r="BB412">
        <f>IFERROR(AVERAGE(Tabel1[[#This Row],[Up - V1a]:[Up - V1b]]),"")</f>
        <v>4</v>
      </c>
      <c r="BC412">
        <v>4</v>
      </c>
      <c r="BD412" t="s">
        <v>189</v>
      </c>
      <c r="BE412">
        <v>4</v>
      </c>
      <c r="BF412">
        <f>IFERROR(AVERAGE(Tabel1[[#This Row],[Up - V2a]:[Up - V2c]]),"")</f>
        <v>4</v>
      </c>
      <c r="BG412">
        <v>4</v>
      </c>
      <c r="BH412">
        <v>4</v>
      </c>
      <c r="BI412">
        <f>IFERROR(AVERAGE(Tabel1[[#This Row],[Up - V3a]:[Up - V3b]]),"")</f>
        <v>4</v>
      </c>
      <c r="BJ412">
        <v>4</v>
      </c>
      <c r="BK412">
        <f>IFERROR(AVERAGE(Tabel1[[#This Row],[Up - V1]],Tabel1[[#This Row],[Up - V2]],Tabel1[[#This Row],[Up - V3]],Tabel1[[#This Row],[Up - V4]]),"")</f>
        <v>4</v>
      </c>
      <c r="BL412">
        <v>4</v>
      </c>
      <c r="BM412">
        <v>4</v>
      </c>
      <c r="BN412">
        <v>2</v>
      </c>
      <c r="BO412">
        <v>2</v>
      </c>
      <c r="BP412">
        <f>IFERROR(AVERAGE(Tabel1[[#This Row],[Up - A1a]:[Up - A1d]]),"")</f>
        <v>3</v>
      </c>
      <c r="BQ412">
        <v>3</v>
      </c>
      <c r="BR412">
        <v>4</v>
      </c>
      <c r="BS412">
        <f>IFERROR(AVERAGE(Tabel1[[#This Row],[Up - A2a]:[Up - A2b]]),"")</f>
        <v>3.5</v>
      </c>
      <c r="BT412">
        <v>4</v>
      </c>
      <c r="BU412">
        <f>IFERROR(AVERAGE(Tabel1[[#This Row],[Up - A3a]:[Up - A3a]]),"")</f>
        <v>4</v>
      </c>
      <c r="BV412">
        <v>4</v>
      </c>
      <c r="BW412">
        <f>IFERROR(AVERAGE(Tabel1[[#This Row],[Up - A1]],Tabel1[[#This Row],[Up - A2]],Tabel1[[#This Row],[Up - A3]]),"")</f>
        <v>3.5</v>
      </c>
      <c r="BX412">
        <v>3</v>
      </c>
      <c r="BY412">
        <v>5</v>
      </c>
      <c r="BZ412">
        <f>IFERROR(AVERAGE(Tabel1[[#This Row],[In - R1a]:[In - R1b]]),"")</f>
        <v>4</v>
      </c>
      <c r="CA412">
        <v>5</v>
      </c>
      <c r="CB412">
        <v>5</v>
      </c>
      <c r="CC412">
        <v>2</v>
      </c>
      <c r="CD412">
        <v>5</v>
      </c>
      <c r="CE412">
        <f>IFERROR(AVERAGE(Tabel1[[#This Row],[In - R1]:[In - R5]]),"")</f>
        <v>4.2</v>
      </c>
      <c r="CF412">
        <v>4</v>
      </c>
      <c r="CG412">
        <v>3</v>
      </c>
      <c r="CH412">
        <v>4</v>
      </c>
      <c r="CI412">
        <f>IFERROR(AVERAGE(Tabel1[[#This Row],[In - C1a]:[In - C1c]]),"")</f>
        <v>3.6666666666666665</v>
      </c>
      <c r="CJ412">
        <v>4</v>
      </c>
      <c r="CK412">
        <v>4</v>
      </c>
      <c r="CL412">
        <v>3</v>
      </c>
      <c r="CM412">
        <f>IFERROR(AVERAGE(Tabel1[[#This Row],[In - C1]:[In - C4]]),"")</f>
        <v>3.6666666666666665</v>
      </c>
      <c r="CN412">
        <v>2</v>
      </c>
      <c r="CO412">
        <v>3</v>
      </c>
      <c r="CP412">
        <v>1</v>
      </c>
      <c r="CQ412">
        <f>IFERROR(AVERAGE(Tabel1[[#This Row],[In - F1a]:[In - F1c]]),"")</f>
        <v>2</v>
      </c>
      <c r="CR412">
        <v>4</v>
      </c>
      <c r="CS412">
        <v>2</v>
      </c>
      <c r="CT412">
        <f>IFERROR(AVERAGE(Tabel1[[#This Row],[In - F2a]:[In - F2b]]),"")</f>
        <v>3</v>
      </c>
      <c r="CU412">
        <v>2</v>
      </c>
      <c r="CV412">
        <f>IFERROR(AVERAGE(Tabel1[[#This Row],[In - F3a]:[In - F3a]]),"")</f>
        <v>2</v>
      </c>
      <c r="CW412">
        <v>4</v>
      </c>
      <c r="CX412">
        <f>IFERROR(AVERAGE(Tabel1[[#This Row],[In - F1]],Tabel1[[#This Row],[In - F2]],Tabel1[[#This Row],[In - F3]],Tabel1[[#This Row],[In - F4]]),"")</f>
        <v>2.75</v>
      </c>
      <c r="CY412">
        <v>5</v>
      </c>
      <c r="CZ412">
        <v>3</v>
      </c>
      <c r="DA412">
        <v>2</v>
      </c>
      <c r="DB412">
        <f>IFERROR(AVERAGE(Tabel1[[#This Row],[In - V1a]:[In - V1c]]),"")</f>
        <v>3.3333333333333335</v>
      </c>
      <c r="DC412">
        <v>4</v>
      </c>
      <c r="DD412">
        <v>3</v>
      </c>
      <c r="DE412">
        <v>3</v>
      </c>
      <c r="DF412">
        <f>IFERROR(AVERAGE(Tabel1[[#This Row],[In - V2a]:[In - V2c]]),"")</f>
        <v>3.3333333333333335</v>
      </c>
      <c r="DG412">
        <v>4</v>
      </c>
      <c r="DH412">
        <v>5</v>
      </c>
      <c r="DI412">
        <f>IFERROR(AVERAGE(Tabel1[[#This Row],[In - V3a]:[In - V3b]]),"")</f>
        <v>4.5</v>
      </c>
      <c r="DJ412">
        <v>5</v>
      </c>
      <c r="DK412">
        <f>IFERROR(AVERAGE(Tabel1[[#This Row],[In - V1]],Tabel1[[#This Row],[In - V2]],Tabel1[[#This Row],[In - V3]],Tabel1[[#This Row],[In - V4]]),"")</f>
        <v>4.041666666666667</v>
      </c>
      <c r="DL412">
        <v>2</v>
      </c>
      <c r="DM412">
        <v>4</v>
      </c>
      <c r="DN412">
        <f>IFERROR(AVERAGE(Tabel1[[#This Row],[In - A1a]:[In - A1b]]),"")</f>
        <v>3</v>
      </c>
      <c r="DO412">
        <v>4</v>
      </c>
      <c r="DP412">
        <v>3</v>
      </c>
      <c r="DQ412">
        <f>IFERROR(AVERAGE(Tabel1[[#This Row],[In - A2a]:[In - A2b]]),"")</f>
        <v>3.5</v>
      </c>
      <c r="DR412">
        <v>4</v>
      </c>
      <c r="DS412">
        <v>2</v>
      </c>
      <c r="DT412">
        <f>IFERROR(AVERAGE(Tabel1[[#This Row],[In - A3a]:[In - A3a]]),"")</f>
        <v>4</v>
      </c>
      <c r="DU412">
        <v>3</v>
      </c>
      <c r="DV412">
        <f>IFERROR(AVERAGE(Tabel1[[#This Row],[In - A1]],Tabel1[[#This Row],[In - A2]],Tabel1[[#This Row],[In - A3]],Tabel1[[#This Row],[In - A4]]),"")</f>
        <v>3.375</v>
      </c>
      <c r="DW412">
        <v>2</v>
      </c>
      <c r="DX412">
        <v>5</v>
      </c>
      <c r="DY412">
        <v>4</v>
      </c>
      <c r="DZ412">
        <f>IFERROR(AVERAGE(Tabel1[[#This Row],[Do - R1a]:[Do - R1c]]),"")</f>
        <v>3.6666666666666665</v>
      </c>
      <c r="EA412">
        <v>3</v>
      </c>
      <c r="EB412">
        <v>3</v>
      </c>
      <c r="EC412">
        <v>2</v>
      </c>
      <c r="ED412">
        <v>4</v>
      </c>
      <c r="EE412">
        <f>IFERROR(AVERAGE(Tabel1[[#This Row],[Do - R1]:[Do - R5]]),"")</f>
        <v>3.1333333333333333</v>
      </c>
      <c r="EF412">
        <v>4</v>
      </c>
      <c r="EG412">
        <v>4</v>
      </c>
      <c r="EH412">
        <v>3</v>
      </c>
      <c r="EI412">
        <f>IFERROR(AVERAGE(Tabel1[[#This Row],[Do - C1a]:[Do - C1c]]),"")</f>
        <v>3.6666666666666665</v>
      </c>
      <c r="EJ412">
        <v>3</v>
      </c>
      <c r="EK412">
        <v>3</v>
      </c>
      <c r="EL412">
        <v>3</v>
      </c>
      <c r="EM412">
        <f>IFERROR(AVERAGE(Tabel1[[#This Row],[Do - C1]:[Do - C4]]),"")</f>
        <v>3.1666666666666665</v>
      </c>
      <c r="EN412">
        <v>3</v>
      </c>
      <c r="EO412">
        <v>2</v>
      </c>
      <c r="EP412">
        <v>3</v>
      </c>
      <c r="EQ412">
        <f>IFERROR(AVERAGE(Tabel1[[#This Row],[Do - F1a]:[Do - F1c]]),"")</f>
        <v>2.6666666666666665</v>
      </c>
      <c r="ER412">
        <v>1</v>
      </c>
      <c r="ES412">
        <f>IFERROR(AVERAGE(Tabel1[[#This Row],[Do - F2a]:[Do - F2a]]),"")</f>
        <v>1</v>
      </c>
      <c r="ET412">
        <v>4</v>
      </c>
      <c r="EU412">
        <v>3</v>
      </c>
      <c r="EV412">
        <f>IFERROR(AVERAGE(Tabel1[[#This Row],[Do - F3a]:[Do - F3b]]),"")</f>
        <v>3.5</v>
      </c>
      <c r="EW412">
        <v>2</v>
      </c>
      <c r="EX412">
        <f>IFERROR(AVERAGE(Tabel1[[#This Row],[Do - F1]],Tabel1[[#This Row],[Do - F2]],Tabel1[[#This Row],[Do - F3]],Tabel1[[#This Row],[Do - F4]]),"")</f>
        <v>2.2916666666666665</v>
      </c>
      <c r="EY412">
        <v>2</v>
      </c>
      <c r="EZ412">
        <v>2</v>
      </c>
      <c r="FA412">
        <v>2</v>
      </c>
      <c r="FB412">
        <f>IFERROR(AVERAGE(Tabel1[[#This Row],[Do - V1a]:[Do - V1c]]),"")</f>
        <v>2</v>
      </c>
      <c r="FC412">
        <v>3</v>
      </c>
      <c r="FD412">
        <v>2</v>
      </c>
      <c r="FE412">
        <f>IFERROR(AVERAGE(Tabel1[[#This Row],[Do - V2a]:[Do - V2b]]),"")</f>
        <v>2.5</v>
      </c>
      <c r="FF412">
        <v>4</v>
      </c>
      <c r="FG412">
        <f>IFERROR(AVERAGE(Tabel1[[#This Row],[Do - V3a]:[Do - V3a]]),"")</f>
        <v>4</v>
      </c>
      <c r="FH412">
        <v>3</v>
      </c>
      <c r="FI412">
        <f>IFERROR(AVERAGE(Tabel1[[#This Row],[Do - V1]],Tabel1[[#This Row],[Do - V2]],Tabel1[[#This Row],[Do - V3]],Tabel1[[#This Row],[Do - V4]]),"")</f>
        <v>2.875</v>
      </c>
      <c r="FJ412">
        <v>4</v>
      </c>
      <c r="FK412">
        <v>2</v>
      </c>
      <c r="FL412">
        <v>4</v>
      </c>
      <c r="FM412">
        <f>IFERROR(AVERAGE(Tabel1[[#This Row],[Do - A1a]:[Do - A1c]]),"")</f>
        <v>3.3333333333333335</v>
      </c>
      <c r="FN412">
        <v>3</v>
      </c>
      <c r="FO412">
        <v>4</v>
      </c>
      <c r="FP412">
        <f>IFERROR(AVERAGE(Tabel1[[#This Row],[Do - A2a]:[Do - A2b]]),"")</f>
        <v>3.5</v>
      </c>
      <c r="FQ412">
        <v>2</v>
      </c>
      <c r="FR412">
        <f>IFERROR(AVERAGE(Tabel1[[#This Row],[Do - A3a]:[Do - A3a]]),"")</f>
        <v>2</v>
      </c>
      <c r="FS412">
        <v>3</v>
      </c>
      <c r="FT412">
        <f>IFERROR(AVERAGE(Tabel1[[#This Row],[Do - A1]],Tabel1[[#This Row],[Do - A2]],Tabel1[[#This Row],[Do - A3]],Tabel1[[#This Row],[Do - A4]]),"")</f>
        <v>2.9583333333333335</v>
      </c>
      <c r="FU41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3.3388888888888886</v>
      </c>
      <c r="FV412" t="s">
        <v>2052</v>
      </c>
      <c r="FW412" t="b">
        <v>1</v>
      </c>
    </row>
    <row r="413" spans="1:179" x14ac:dyDescent="0.3">
      <c r="A413" s="13">
        <v>45649.520717592597</v>
      </c>
      <c r="B413" t="b">
        <v>0</v>
      </c>
      <c r="C413" t="s">
        <v>2053</v>
      </c>
      <c r="D413" t="s">
        <v>2054</v>
      </c>
      <c r="E413" s="14" t="s">
        <v>2029</v>
      </c>
      <c r="F413" s="14" t="s">
        <v>184</v>
      </c>
      <c r="G413" t="s">
        <v>2055</v>
      </c>
      <c r="H413" t="s">
        <v>194</v>
      </c>
      <c r="I413" t="s">
        <v>195</v>
      </c>
      <c r="J413" t="s">
        <v>261</v>
      </c>
      <c r="K413" t="s">
        <v>235</v>
      </c>
      <c r="L413" t="s">
        <v>218</v>
      </c>
      <c r="M413" t="s">
        <v>233</v>
      </c>
      <c r="N413" t="s">
        <v>262</v>
      </c>
      <c r="O413" t="s">
        <v>200</v>
      </c>
      <c r="P413" t="s">
        <v>304</v>
      </c>
      <c r="Q413" t="s">
        <v>202</v>
      </c>
      <c r="R413" t="s">
        <v>202</v>
      </c>
      <c r="S413" t="s">
        <v>235</v>
      </c>
      <c r="T413" t="s">
        <v>204</v>
      </c>
      <c r="U413" t="s">
        <v>349</v>
      </c>
      <c r="V413" t="s">
        <v>206</v>
      </c>
      <c r="W413" t="s">
        <v>207</v>
      </c>
      <c r="X413" t="s">
        <v>207</v>
      </c>
      <c r="Y413">
        <v>2</v>
      </c>
      <c r="Z413">
        <v>3</v>
      </c>
      <c r="AA413" t="s">
        <v>189</v>
      </c>
      <c r="AB413">
        <f>IFERROR(AVERAGE(Tabel1[[#This Row],[Up - R1a]:[Up - R1c]]),"")</f>
        <v>2.5</v>
      </c>
      <c r="AC413">
        <v>1</v>
      </c>
      <c r="AD413">
        <v>2</v>
      </c>
      <c r="AE413">
        <v>2</v>
      </c>
      <c r="AF413" t="s">
        <v>189</v>
      </c>
      <c r="AG413">
        <f>IFERROR(AVERAGE(Tabel1[[#This Row],[Up - R1]:[Up - R5]]),"")</f>
        <v>1.875</v>
      </c>
      <c r="AH413">
        <v>1</v>
      </c>
      <c r="AI413">
        <v>2</v>
      </c>
      <c r="AJ413">
        <v>1</v>
      </c>
      <c r="AK413">
        <f>IFERROR(AVERAGE(Tabel1[[#This Row],[Up - C1a]:[Up - C1c]]),"")</f>
        <v>1.3333333333333333</v>
      </c>
      <c r="AL413">
        <v>2</v>
      </c>
      <c r="AM413" t="s">
        <v>189</v>
      </c>
      <c r="AN413" t="s">
        <v>189</v>
      </c>
      <c r="AO413">
        <f>IFERROR(AVERAGE(Tabel1[[#This Row],[Up - C1]:[Up - C4]]),"")</f>
        <v>1.6666666666666665</v>
      </c>
      <c r="AP413">
        <v>1</v>
      </c>
      <c r="AQ413">
        <f>IFERROR(AVERAGE(Tabel1[[#This Row],[Up - F1a]:[Up - F1a]]),"")</f>
        <v>1</v>
      </c>
      <c r="AR413">
        <v>2</v>
      </c>
      <c r="AS413">
        <v>3</v>
      </c>
      <c r="AT413">
        <f>IFERROR(AVERAGE(Tabel1[[#This Row],[Up - F2a]:[Up - F2b]]),"")</f>
        <v>2.5</v>
      </c>
      <c r="AU413">
        <v>1</v>
      </c>
      <c r="AV413" t="s">
        <v>189</v>
      </c>
      <c r="AW413">
        <f>IFERROR(AVERAGE(Tabel1[[#This Row],[Up - F3a]:[Up - F3b]]),"")</f>
        <v>1</v>
      </c>
      <c r="AX413">
        <v>2</v>
      </c>
      <c r="AY413">
        <f>IFERROR(AVERAGE(Tabel1[[#This Row],[Up - F1]],Tabel1[[#This Row],[Up - F2]],Tabel1[[#This Row],[Up - F3]],Tabel1[[#This Row],[Up - F4]]),"")</f>
        <v>1.625</v>
      </c>
      <c r="AZ413">
        <v>1</v>
      </c>
      <c r="BA413" t="s">
        <v>189</v>
      </c>
      <c r="BB413">
        <f>IFERROR(AVERAGE(Tabel1[[#This Row],[Up - V1a]:[Up - V1b]]),"")</f>
        <v>1</v>
      </c>
      <c r="BC413">
        <v>1</v>
      </c>
      <c r="BD413">
        <v>2</v>
      </c>
      <c r="BE413">
        <v>1</v>
      </c>
      <c r="BF413">
        <f>IFERROR(AVERAGE(Tabel1[[#This Row],[Up - V2a]:[Up - V2c]]),"")</f>
        <v>1.3333333333333333</v>
      </c>
      <c r="BH413" t="s">
        <v>189</v>
      </c>
      <c r="BI413" t="str">
        <f>IFERROR(AVERAGE(Tabel1[[#This Row],[Up - V3a]:[Up - V3b]]),"")</f>
        <v/>
      </c>
      <c r="BJ413" t="s">
        <v>189</v>
      </c>
      <c r="BK413">
        <f>IFERROR(AVERAGE(Tabel1[[#This Row],[Up - V1]],Tabel1[[#This Row],[Up - V2]],Tabel1[[#This Row],[Up - V3]],Tabel1[[#This Row],[Up - V4]]),"")</f>
        <v>1.1666666666666665</v>
      </c>
      <c r="BL413">
        <v>3</v>
      </c>
      <c r="BM413">
        <v>2</v>
      </c>
      <c r="BN413">
        <v>2</v>
      </c>
      <c r="BO413" t="s">
        <v>189</v>
      </c>
      <c r="BP413">
        <f>IFERROR(AVERAGE(Tabel1[[#This Row],[Up - A1a]:[Up - A1d]]),"")</f>
        <v>2.3333333333333335</v>
      </c>
      <c r="BQ413">
        <v>2</v>
      </c>
      <c r="BR413">
        <v>2</v>
      </c>
      <c r="BS413">
        <f>IFERROR(AVERAGE(Tabel1[[#This Row],[Up - A2a]:[Up - A2b]]),"")</f>
        <v>2</v>
      </c>
      <c r="BT413">
        <v>3</v>
      </c>
      <c r="BU413">
        <f>IFERROR(AVERAGE(Tabel1[[#This Row],[Up - A3a]:[Up - A3a]]),"")</f>
        <v>3</v>
      </c>
      <c r="BV413" t="s">
        <v>189</v>
      </c>
      <c r="BW413">
        <f>IFERROR(AVERAGE(Tabel1[[#This Row],[Up - A1]],Tabel1[[#This Row],[Up - A2]],Tabel1[[#This Row],[Up - A3]]),"")</f>
        <v>2.4444444444444446</v>
      </c>
      <c r="BX413">
        <v>1</v>
      </c>
      <c r="BY413">
        <v>3</v>
      </c>
      <c r="BZ413">
        <f>IFERROR(AVERAGE(Tabel1[[#This Row],[In - R1a]:[In - R1b]]),"")</f>
        <v>2</v>
      </c>
      <c r="CA413">
        <v>3</v>
      </c>
      <c r="CB413">
        <v>4</v>
      </c>
      <c r="CC413">
        <v>1</v>
      </c>
      <c r="CD413">
        <v>3</v>
      </c>
      <c r="CE413">
        <f>IFERROR(AVERAGE(Tabel1[[#This Row],[In - R1]:[In - R5]]),"")</f>
        <v>2.6</v>
      </c>
      <c r="CF413">
        <v>1</v>
      </c>
      <c r="CG413">
        <v>2</v>
      </c>
      <c r="CH413">
        <v>3</v>
      </c>
      <c r="CI413">
        <f>IFERROR(AVERAGE(Tabel1[[#This Row],[In - C1a]:[In - C1c]]),"")</f>
        <v>2</v>
      </c>
      <c r="CJ413">
        <v>1</v>
      </c>
      <c r="CK413">
        <v>1</v>
      </c>
      <c r="CL413">
        <v>2</v>
      </c>
      <c r="CM413">
        <f>IFERROR(AVERAGE(Tabel1[[#This Row],[In - C1]:[In - C4]]),"")</f>
        <v>1.5</v>
      </c>
      <c r="CN413">
        <v>2</v>
      </c>
      <c r="CO413">
        <v>1</v>
      </c>
      <c r="CP413">
        <v>2</v>
      </c>
      <c r="CQ413">
        <f>IFERROR(AVERAGE(Tabel1[[#This Row],[In - F1a]:[In - F1c]]),"")</f>
        <v>1.6666666666666667</v>
      </c>
      <c r="CR413">
        <v>3</v>
      </c>
      <c r="CS413">
        <v>4</v>
      </c>
      <c r="CT413">
        <f>IFERROR(AVERAGE(Tabel1[[#This Row],[In - F2a]:[In - F2b]]),"")</f>
        <v>3.5</v>
      </c>
      <c r="CU413">
        <v>1</v>
      </c>
      <c r="CV413">
        <f>IFERROR(AVERAGE(Tabel1[[#This Row],[In - F3a]:[In - F3a]]),"")</f>
        <v>1</v>
      </c>
      <c r="CW413" t="s">
        <v>189</v>
      </c>
      <c r="CX413">
        <f>IFERROR(AVERAGE(Tabel1[[#This Row],[In - F1]],Tabel1[[#This Row],[In - F2]],Tabel1[[#This Row],[In - F3]],Tabel1[[#This Row],[In - F4]]),"")</f>
        <v>2.0555555555555558</v>
      </c>
      <c r="CY413">
        <v>3</v>
      </c>
      <c r="CZ413">
        <v>2</v>
      </c>
      <c r="DA413">
        <v>1</v>
      </c>
      <c r="DB413">
        <f>IFERROR(AVERAGE(Tabel1[[#This Row],[In - V1a]:[In - V1c]]),"")</f>
        <v>2</v>
      </c>
      <c r="DC413">
        <v>3</v>
      </c>
      <c r="DD413">
        <v>2</v>
      </c>
      <c r="DE413">
        <v>2</v>
      </c>
      <c r="DF413">
        <f>IFERROR(AVERAGE(Tabel1[[#This Row],[In - V2a]:[In - V2c]]),"")</f>
        <v>2.3333333333333335</v>
      </c>
      <c r="DG413">
        <v>1</v>
      </c>
      <c r="DH413">
        <v>3</v>
      </c>
      <c r="DI413">
        <f>IFERROR(AVERAGE(Tabel1[[#This Row],[In - V3a]:[In - V3b]]),"")</f>
        <v>2</v>
      </c>
      <c r="DJ413" t="s">
        <v>189</v>
      </c>
      <c r="DK413">
        <f>IFERROR(AVERAGE(Tabel1[[#This Row],[In - V1]],Tabel1[[#This Row],[In - V2]],Tabel1[[#This Row],[In - V3]],Tabel1[[#This Row],[In - V4]]),"")</f>
        <v>2.1111111111111112</v>
      </c>
      <c r="DL413">
        <v>2</v>
      </c>
      <c r="DM413" t="s">
        <v>189</v>
      </c>
      <c r="DN413">
        <f>IFERROR(AVERAGE(Tabel1[[#This Row],[In - A1a]:[In - A1b]]),"")</f>
        <v>2</v>
      </c>
      <c r="DO413">
        <v>2</v>
      </c>
      <c r="DP413">
        <v>4</v>
      </c>
      <c r="DQ413">
        <f>IFERROR(AVERAGE(Tabel1[[#This Row],[In - A2a]:[In - A2b]]),"")</f>
        <v>3</v>
      </c>
      <c r="DR413">
        <v>4</v>
      </c>
      <c r="DS413">
        <v>2</v>
      </c>
      <c r="DT413">
        <f>IFERROR(AVERAGE(Tabel1[[#This Row],[In - A3a]:[In - A3a]]),"")</f>
        <v>4</v>
      </c>
      <c r="DU413" t="s">
        <v>189</v>
      </c>
      <c r="DV413">
        <f>IFERROR(AVERAGE(Tabel1[[#This Row],[In - A1]],Tabel1[[#This Row],[In - A2]],Tabel1[[#This Row],[In - A3]],Tabel1[[#This Row],[In - A4]]),"")</f>
        <v>3</v>
      </c>
      <c r="DW413" t="s">
        <v>189</v>
      </c>
      <c r="DX413">
        <v>5</v>
      </c>
      <c r="DY413" t="s">
        <v>189</v>
      </c>
      <c r="DZ413">
        <f>IFERROR(AVERAGE(Tabel1[[#This Row],[Do - R1a]:[Do - R1c]]),"")</f>
        <v>5</v>
      </c>
      <c r="EA413">
        <v>1</v>
      </c>
      <c r="EB413">
        <v>2</v>
      </c>
      <c r="EC413">
        <v>4</v>
      </c>
      <c r="ED413" t="s">
        <v>189</v>
      </c>
      <c r="EE413">
        <f>IFERROR(AVERAGE(Tabel1[[#This Row],[Do - R1]:[Do - R5]]),"")</f>
        <v>3</v>
      </c>
      <c r="EF413">
        <v>1</v>
      </c>
      <c r="EG413" t="s">
        <v>189</v>
      </c>
      <c r="EH413">
        <v>2</v>
      </c>
      <c r="EI413">
        <f>IFERROR(AVERAGE(Tabel1[[#This Row],[Do - C1a]:[Do - C1c]]),"")</f>
        <v>1.5</v>
      </c>
      <c r="EJ413">
        <v>1</v>
      </c>
      <c r="EK413" t="s">
        <v>189</v>
      </c>
      <c r="EL413">
        <v>1</v>
      </c>
      <c r="EM413">
        <f>IFERROR(AVERAGE(Tabel1[[#This Row],[Do - C1]:[Do - C4]]),"")</f>
        <v>1.1666666666666667</v>
      </c>
      <c r="EN413">
        <v>1</v>
      </c>
      <c r="EO413" t="s">
        <v>189</v>
      </c>
      <c r="EP413">
        <v>3</v>
      </c>
      <c r="EQ413">
        <f>IFERROR(AVERAGE(Tabel1[[#This Row],[Do - F1a]:[Do - F1c]]),"")</f>
        <v>2</v>
      </c>
      <c r="ER413">
        <v>1</v>
      </c>
      <c r="ES413">
        <f>IFERROR(AVERAGE(Tabel1[[#This Row],[Do - F2a]:[Do - F2a]]),"")</f>
        <v>1</v>
      </c>
      <c r="ET413">
        <v>1</v>
      </c>
      <c r="EU413">
        <v>2</v>
      </c>
      <c r="EV413">
        <f>IFERROR(AVERAGE(Tabel1[[#This Row],[Do - F3a]:[Do - F3b]]),"")</f>
        <v>1.5</v>
      </c>
      <c r="EW413">
        <v>1</v>
      </c>
      <c r="EX413">
        <f>IFERROR(AVERAGE(Tabel1[[#This Row],[Do - F1]],Tabel1[[#This Row],[Do - F2]],Tabel1[[#This Row],[Do - F3]],Tabel1[[#This Row],[Do - F4]]),"")</f>
        <v>1.375</v>
      </c>
      <c r="EY413">
        <v>1</v>
      </c>
      <c r="EZ413">
        <v>1</v>
      </c>
      <c r="FA413" t="s">
        <v>189</v>
      </c>
      <c r="FB413">
        <f>IFERROR(AVERAGE(Tabel1[[#This Row],[Do - V1a]:[Do - V1c]]),"")</f>
        <v>1</v>
      </c>
      <c r="FC413">
        <v>4</v>
      </c>
      <c r="FD413" t="s">
        <v>189</v>
      </c>
      <c r="FE413">
        <f>IFERROR(AVERAGE(Tabel1[[#This Row],[Do - V2a]:[Do - V2b]]),"")</f>
        <v>4</v>
      </c>
      <c r="FF413">
        <v>1</v>
      </c>
      <c r="FG413">
        <f>IFERROR(AVERAGE(Tabel1[[#This Row],[Do - V3a]:[Do - V3a]]),"")</f>
        <v>1</v>
      </c>
      <c r="FH413" t="s">
        <v>189</v>
      </c>
      <c r="FI413">
        <f>IFERROR(AVERAGE(Tabel1[[#This Row],[Do - V1]],Tabel1[[#This Row],[Do - V2]],Tabel1[[#This Row],[Do - V3]],Tabel1[[#This Row],[Do - V4]]),"")</f>
        <v>2</v>
      </c>
      <c r="FJ413">
        <v>2</v>
      </c>
      <c r="FK413">
        <v>2</v>
      </c>
      <c r="FL413">
        <v>3</v>
      </c>
      <c r="FM413">
        <f>IFERROR(AVERAGE(Tabel1[[#This Row],[Do - A1a]:[Do - A1c]]),"")</f>
        <v>2.3333333333333335</v>
      </c>
      <c r="FN413">
        <v>3</v>
      </c>
      <c r="FO413">
        <v>2</v>
      </c>
      <c r="FP413">
        <f>IFERROR(AVERAGE(Tabel1[[#This Row],[Do - A2a]:[Do - A2b]]),"")</f>
        <v>2.5</v>
      </c>
      <c r="FQ413">
        <v>3</v>
      </c>
      <c r="FR413">
        <f>IFERROR(AVERAGE(Tabel1[[#This Row],[Do - A3a]:[Do - A3a]]),"")</f>
        <v>3</v>
      </c>
      <c r="FS413" t="s">
        <v>189</v>
      </c>
      <c r="FT413">
        <f>IFERROR(AVERAGE(Tabel1[[#This Row],[Do - A1]],Tabel1[[#This Row],[Do - A2]],Tabel1[[#This Row],[Do - A3]],Tabel1[[#This Row],[Do - A4]]),"")</f>
        <v>2.6111111111111112</v>
      </c>
      <c r="FU41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2.0131481481481481</v>
      </c>
      <c r="FV413" s="31" t="s">
        <v>2056</v>
      </c>
      <c r="FW413" t="b">
        <v>1</v>
      </c>
    </row>
    <row r="414" spans="1:179" x14ac:dyDescent="0.3">
      <c r="A414" s="13">
        <v>45652.835706018501</v>
      </c>
      <c r="B414" t="b">
        <v>0</v>
      </c>
      <c r="C414" t="s">
        <v>2057</v>
      </c>
      <c r="D414" t="s">
        <v>2058</v>
      </c>
      <c r="E414" s="14" t="s">
        <v>2029</v>
      </c>
      <c r="F414" s="14" t="s">
        <v>184</v>
      </c>
      <c r="G414" t="s">
        <v>2059</v>
      </c>
      <c r="H414" t="s">
        <v>194</v>
      </c>
      <c r="I414" t="s">
        <v>195</v>
      </c>
      <c r="J414" t="s">
        <v>261</v>
      </c>
      <c r="K414" t="s">
        <v>235</v>
      </c>
      <c r="L414" t="s">
        <v>197</v>
      </c>
      <c r="M414" t="s">
        <v>233</v>
      </c>
      <c r="N414" t="s">
        <v>262</v>
      </c>
      <c r="O414" t="s">
        <v>200</v>
      </c>
      <c r="P414" t="s">
        <v>304</v>
      </c>
      <c r="Q414" t="s">
        <v>201</v>
      </c>
      <c r="R414" t="s">
        <v>235</v>
      </c>
      <c r="S414" t="s">
        <v>235</v>
      </c>
      <c r="T414" t="s">
        <v>204</v>
      </c>
      <c r="U414" t="s">
        <v>205</v>
      </c>
      <c r="V414" t="s">
        <v>206</v>
      </c>
      <c r="W414" t="s">
        <v>207</v>
      </c>
      <c r="X414" t="s">
        <v>207</v>
      </c>
      <c r="Y414">
        <v>3</v>
      </c>
      <c r="Z414">
        <v>3</v>
      </c>
      <c r="AA414">
        <v>3</v>
      </c>
      <c r="AB414">
        <f>IFERROR(AVERAGE(Tabel1[[#This Row],[Up - R1a]:[Up - R1c]]),"")</f>
        <v>3</v>
      </c>
      <c r="AC414">
        <v>2</v>
      </c>
      <c r="AD414">
        <v>3</v>
      </c>
      <c r="AE414">
        <v>3</v>
      </c>
      <c r="AF414" t="s">
        <v>189</v>
      </c>
      <c r="AG414">
        <f>IFERROR(AVERAGE(Tabel1[[#This Row],[Up - R1]:[Up - R5]]),"")</f>
        <v>2.75</v>
      </c>
      <c r="AH414">
        <v>4</v>
      </c>
      <c r="AI414">
        <v>2</v>
      </c>
      <c r="AJ414">
        <v>2</v>
      </c>
      <c r="AK414">
        <f>IFERROR(AVERAGE(Tabel1[[#This Row],[Up - C1a]:[Up - C1c]]),"")</f>
        <v>2.6666666666666665</v>
      </c>
      <c r="AL414">
        <v>3</v>
      </c>
      <c r="AM414">
        <v>1</v>
      </c>
      <c r="AN414" t="s">
        <v>189</v>
      </c>
      <c r="AO414">
        <f>IFERROR(AVERAGE(Tabel1[[#This Row],[Up - C1]:[Up - C4]]),"")</f>
        <v>2.2222222222222219</v>
      </c>
      <c r="AP414">
        <v>4</v>
      </c>
      <c r="AQ414">
        <f>IFERROR(AVERAGE(Tabel1[[#This Row],[Up - F1a]:[Up - F1a]]),"")</f>
        <v>4</v>
      </c>
      <c r="AR414">
        <v>2</v>
      </c>
      <c r="AS414">
        <v>2</v>
      </c>
      <c r="AT414">
        <f>IFERROR(AVERAGE(Tabel1[[#This Row],[Up - F2a]:[Up - F2b]]),"")</f>
        <v>2</v>
      </c>
      <c r="AU414">
        <v>3</v>
      </c>
      <c r="AV414">
        <v>2</v>
      </c>
      <c r="AW414">
        <f>IFERROR(AVERAGE(Tabel1[[#This Row],[Up - F3a]:[Up - F3b]]),"")</f>
        <v>2.5</v>
      </c>
      <c r="AX414">
        <v>1</v>
      </c>
      <c r="AY414">
        <f>IFERROR(AVERAGE(Tabel1[[#This Row],[Up - F1]],Tabel1[[#This Row],[Up - F2]],Tabel1[[#This Row],[Up - F3]],Tabel1[[#This Row],[Up - F4]]),"")</f>
        <v>2.375</v>
      </c>
      <c r="AZ414">
        <v>1</v>
      </c>
      <c r="BA414">
        <v>2</v>
      </c>
      <c r="BB414">
        <f>IFERROR(AVERAGE(Tabel1[[#This Row],[Up - V1a]:[Up - V1b]]),"")</f>
        <v>1.5</v>
      </c>
      <c r="BC414">
        <v>1</v>
      </c>
      <c r="BD414">
        <v>3</v>
      </c>
      <c r="BE414">
        <v>4</v>
      </c>
      <c r="BF414">
        <f>IFERROR(AVERAGE(Tabel1[[#This Row],[Up - V2a]:[Up - V2c]]),"")</f>
        <v>2.6666666666666665</v>
      </c>
      <c r="BG414">
        <v>2</v>
      </c>
      <c r="BH414">
        <v>2</v>
      </c>
      <c r="BI414">
        <f>IFERROR(AVERAGE(Tabel1[[#This Row],[Up - V3a]:[Up - V3b]]),"")</f>
        <v>2</v>
      </c>
      <c r="BJ414">
        <v>2</v>
      </c>
      <c r="BK414">
        <f>IFERROR(AVERAGE(Tabel1[[#This Row],[Up - V1]],Tabel1[[#This Row],[Up - V2]],Tabel1[[#This Row],[Up - V3]],Tabel1[[#This Row],[Up - V4]]),"")</f>
        <v>2.0416666666666665</v>
      </c>
      <c r="BL414">
        <v>3</v>
      </c>
      <c r="BM414">
        <v>3</v>
      </c>
      <c r="BN414">
        <v>3</v>
      </c>
      <c r="BO414">
        <v>2</v>
      </c>
      <c r="BP414">
        <f>IFERROR(AVERAGE(Tabel1[[#This Row],[Up - A1a]:[Up - A1d]]),"")</f>
        <v>2.75</v>
      </c>
      <c r="BQ414">
        <v>4</v>
      </c>
      <c r="BR414">
        <v>3</v>
      </c>
      <c r="BS414">
        <f>IFERROR(AVERAGE(Tabel1[[#This Row],[Up - A2a]:[Up - A2b]]),"")</f>
        <v>3.5</v>
      </c>
      <c r="BT414">
        <v>3</v>
      </c>
      <c r="BU414">
        <f>IFERROR(AVERAGE(Tabel1[[#This Row],[Up - A3a]:[Up - A3a]]),"")</f>
        <v>3</v>
      </c>
      <c r="BV414">
        <v>3</v>
      </c>
      <c r="BW414">
        <f>IFERROR(AVERAGE(Tabel1[[#This Row],[Up - A1]],Tabel1[[#This Row],[Up - A2]],Tabel1[[#This Row],[Up - A3]]),"")</f>
        <v>3.0833333333333335</v>
      </c>
      <c r="BX414">
        <v>3</v>
      </c>
      <c r="BY414">
        <v>4</v>
      </c>
      <c r="BZ414">
        <f>IFERROR(AVERAGE(Tabel1[[#This Row],[In - R1a]:[In - R1b]]),"")</f>
        <v>3.5</v>
      </c>
      <c r="CA414">
        <v>4</v>
      </c>
      <c r="CB414">
        <v>4</v>
      </c>
      <c r="CC414">
        <v>2</v>
      </c>
      <c r="CD414" t="s">
        <v>189</v>
      </c>
      <c r="CE414">
        <f>IFERROR(AVERAGE(Tabel1[[#This Row],[In - R1]:[In - R5]]),"")</f>
        <v>3.375</v>
      </c>
      <c r="CF414">
        <v>4</v>
      </c>
      <c r="CG414">
        <v>3</v>
      </c>
      <c r="CH414">
        <v>3</v>
      </c>
      <c r="CI414">
        <f>IFERROR(AVERAGE(Tabel1[[#This Row],[In - C1a]:[In - C1c]]),"")</f>
        <v>3.3333333333333335</v>
      </c>
      <c r="CJ414">
        <v>4</v>
      </c>
      <c r="CK414">
        <v>3</v>
      </c>
      <c r="CL414">
        <v>4</v>
      </c>
      <c r="CM414">
        <f>IFERROR(AVERAGE(Tabel1[[#This Row],[In - C1]:[In - C4]]),"")</f>
        <v>3.5833333333333335</v>
      </c>
      <c r="CN414">
        <v>4</v>
      </c>
      <c r="CO414">
        <v>3</v>
      </c>
      <c r="CP414">
        <v>2</v>
      </c>
      <c r="CQ414">
        <f>IFERROR(AVERAGE(Tabel1[[#This Row],[In - F1a]:[In - F1c]]),"")</f>
        <v>3</v>
      </c>
      <c r="CR414">
        <v>3</v>
      </c>
      <c r="CS414">
        <v>1</v>
      </c>
      <c r="CT414">
        <f>IFERROR(AVERAGE(Tabel1[[#This Row],[In - F2a]:[In - F2b]]),"")</f>
        <v>2</v>
      </c>
      <c r="CU414">
        <v>1</v>
      </c>
      <c r="CV414">
        <f>IFERROR(AVERAGE(Tabel1[[#This Row],[In - F3a]:[In - F3a]]),"")</f>
        <v>1</v>
      </c>
      <c r="CW414" t="s">
        <v>189</v>
      </c>
      <c r="CX414">
        <f>IFERROR(AVERAGE(Tabel1[[#This Row],[In - F1]],Tabel1[[#This Row],[In - F2]],Tabel1[[#This Row],[In - F3]],Tabel1[[#This Row],[In - F4]]),"")</f>
        <v>2</v>
      </c>
      <c r="CY414">
        <v>4</v>
      </c>
      <c r="CZ414">
        <v>2</v>
      </c>
      <c r="DA414">
        <v>2</v>
      </c>
      <c r="DB414">
        <f>IFERROR(AVERAGE(Tabel1[[#This Row],[In - V1a]:[In - V1c]]),"")</f>
        <v>2.6666666666666665</v>
      </c>
      <c r="DC414">
        <v>4</v>
      </c>
      <c r="DD414">
        <v>2</v>
      </c>
      <c r="DE414">
        <v>2</v>
      </c>
      <c r="DF414">
        <f>IFERROR(AVERAGE(Tabel1[[#This Row],[In - V2a]:[In - V2c]]),"")</f>
        <v>2.6666666666666665</v>
      </c>
      <c r="DG414">
        <v>3</v>
      </c>
      <c r="DH414">
        <v>4</v>
      </c>
      <c r="DI414">
        <f>IFERROR(AVERAGE(Tabel1[[#This Row],[In - V3a]:[In - V3b]]),"")</f>
        <v>3.5</v>
      </c>
      <c r="DJ414">
        <v>3</v>
      </c>
      <c r="DK414">
        <f>IFERROR(AVERAGE(Tabel1[[#This Row],[In - V1]],Tabel1[[#This Row],[In - V2]],Tabel1[[#This Row],[In - V3]],Tabel1[[#This Row],[In - V4]]),"")</f>
        <v>2.958333333333333</v>
      </c>
      <c r="DL414">
        <v>4</v>
      </c>
      <c r="DM414">
        <v>4</v>
      </c>
      <c r="DN414">
        <f>IFERROR(AVERAGE(Tabel1[[#This Row],[In - A1a]:[In - A1b]]),"")</f>
        <v>4</v>
      </c>
      <c r="DO414">
        <v>4</v>
      </c>
      <c r="DP414">
        <v>3</v>
      </c>
      <c r="DQ414">
        <f>IFERROR(AVERAGE(Tabel1[[#This Row],[In - A2a]:[In - A2b]]),"")</f>
        <v>3.5</v>
      </c>
      <c r="DR414">
        <v>4</v>
      </c>
      <c r="DS414">
        <v>3</v>
      </c>
      <c r="DT414">
        <f>IFERROR(AVERAGE(Tabel1[[#This Row],[In - A3a]:[In - A3a]]),"")</f>
        <v>4</v>
      </c>
      <c r="DU414">
        <v>3</v>
      </c>
      <c r="DV414">
        <f>IFERROR(AVERAGE(Tabel1[[#This Row],[In - A1]],Tabel1[[#This Row],[In - A2]],Tabel1[[#This Row],[In - A3]],Tabel1[[#This Row],[In - A4]]),"")</f>
        <v>3.625</v>
      </c>
      <c r="DW414">
        <v>2</v>
      </c>
      <c r="DX414">
        <v>4</v>
      </c>
      <c r="DY414">
        <v>2</v>
      </c>
      <c r="DZ414">
        <f>IFERROR(AVERAGE(Tabel1[[#This Row],[Do - R1a]:[Do - R1c]]),"")</f>
        <v>2.6666666666666665</v>
      </c>
      <c r="EA414">
        <v>2</v>
      </c>
      <c r="EB414">
        <v>2</v>
      </c>
      <c r="EC414" t="s">
        <v>189</v>
      </c>
      <c r="ED414" t="s">
        <v>189</v>
      </c>
      <c r="EE414">
        <f>IFERROR(AVERAGE(Tabel1[[#This Row],[Do - R1]:[Do - R5]]),"")</f>
        <v>2.2222222222222219</v>
      </c>
      <c r="EF414">
        <v>3</v>
      </c>
      <c r="EG414">
        <v>3</v>
      </c>
      <c r="EH414">
        <v>2</v>
      </c>
      <c r="EI414">
        <f>IFERROR(AVERAGE(Tabel1[[#This Row],[Do - C1a]:[Do - C1c]]),"")</f>
        <v>2.6666666666666665</v>
      </c>
      <c r="EJ414">
        <v>3</v>
      </c>
      <c r="EK414">
        <v>1</v>
      </c>
      <c r="EL414" t="s">
        <v>189</v>
      </c>
      <c r="EM414">
        <f>IFERROR(AVERAGE(Tabel1[[#This Row],[Do - C1]:[Do - C4]]),"")</f>
        <v>2.2222222222222219</v>
      </c>
      <c r="EN414">
        <v>1</v>
      </c>
      <c r="EO414">
        <v>1</v>
      </c>
      <c r="EP414">
        <v>2</v>
      </c>
      <c r="EQ414">
        <f>IFERROR(AVERAGE(Tabel1[[#This Row],[Do - F1a]:[Do - F1c]]),"")</f>
        <v>1.3333333333333333</v>
      </c>
      <c r="ER414">
        <v>1</v>
      </c>
      <c r="ES414">
        <f>IFERROR(AVERAGE(Tabel1[[#This Row],[Do - F2a]:[Do - F2a]]),"")</f>
        <v>1</v>
      </c>
      <c r="ET414">
        <v>2</v>
      </c>
      <c r="EU414">
        <v>1</v>
      </c>
      <c r="EV414">
        <f>IFERROR(AVERAGE(Tabel1[[#This Row],[Do - F3a]:[Do - F3b]]),"")</f>
        <v>1.5</v>
      </c>
      <c r="EW414">
        <v>1</v>
      </c>
      <c r="EX414">
        <f>IFERROR(AVERAGE(Tabel1[[#This Row],[Do - F1]],Tabel1[[#This Row],[Do - F2]],Tabel1[[#This Row],[Do - F3]],Tabel1[[#This Row],[Do - F4]]),"")</f>
        <v>1.2083333333333333</v>
      </c>
      <c r="EY414">
        <v>3</v>
      </c>
      <c r="EZ414">
        <v>2</v>
      </c>
      <c r="FA414">
        <v>2</v>
      </c>
      <c r="FB414">
        <f>IFERROR(AVERAGE(Tabel1[[#This Row],[Do - V1a]:[Do - V1c]]),"")</f>
        <v>2.3333333333333335</v>
      </c>
      <c r="FC414">
        <v>1</v>
      </c>
      <c r="FD414">
        <v>1</v>
      </c>
      <c r="FE414">
        <f>IFERROR(AVERAGE(Tabel1[[#This Row],[Do - V2a]:[Do - V2b]]),"")</f>
        <v>1</v>
      </c>
      <c r="FF414">
        <v>2</v>
      </c>
      <c r="FG414">
        <f>IFERROR(AVERAGE(Tabel1[[#This Row],[Do - V3a]:[Do - V3a]]),"")</f>
        <v>2</v>
      </c>
      <c r="FH414" t="s">
        <v>189</v>
      </c>
      <c r="FI414">
        <f>IFERROR(AVERAGE(Tabel1[[#This Row],[Do - V1]],Tabel1[[#This Row],[Do - V2]],Tabel1[[#This Row],[Do - V3]],Tabel1[[#This Row],[Do - V4]]),"")</f>
        <v>1.7777777777777779</v>
      </c>
      <c r="FJ414">
        <v>3</v>
      </c>
      <c r="FK414">
        <v>2</v>
      </c>
      <c r="FL414">
        <v>3</v>
      </c>
      <c r="FM414">
        <f>IFERROR(AVERAGE(Tabel1[[#This Row],[Do - A1a]:[Do - A1c]]),"")</f>
        <v>2.6666666666666665</v>
      </c>
      <c r="FN414">
        <v>4</v>
      </c>
      <c r="FO414">
        <v>3</v>
      </c>
      <c r="FP414">
        <f>IFERROR(AVERAGE(Tabel1[[#This Row],[Do - A2a]:[Do - A2b]]),"")</f>
        <v>3.5</v>
      </c>
      <c r="FQ414">
        <v>3</v>
      </c>
      <c r="FR414">
        <f>IFERROR(AVERAGE(Tabel1[[#This Row],[Do - A3a]:[Do - A3a]]),"")</f>
        <v>3</v>
      </c>
      <c r="FS414" t="s">
        <v>189</v>
      </c>
      <c r="FT414">
        <f>IFERROR(AVERAGE(Tabel1[[#This Row],[Do - A1]],Tabel1[[#This Row],[Do - A2]],Tabel1[[#This Row],[Do - A3]],Tabel1[[#This Row],[Do - A4]]),"")</f>
        <v>3.0555555555555554</v>
      </c>
      <c r="FU4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2.5666666666666669</v>
      </c>
      <c r="FV414" t="s">
        <v>2060</v>
      </c>
      <c r="FW414" t="b">
        <v>1</v>
      </c>
    </row>
    <row r="415" spans="1:179" x14ac:dyDescent="0.3">
      <c r="A415" s="13">
        <v>45660.566817129598</v>
      </c>
      <c r="B415" t="b">
        <v>0</v>
      </c>
      <c r="C415" t="s">
        <v>2061</v>
      </c>
      <c r="D415" t="s">
        <v>2062</v>
      </c>
      <c r="E415" t="s">
        <v>404</v>
      </c>
      <c r="F415" s="14" t="s">
        <v>184</v>
      </c>
      <c r="G415" t="s">
        <v>2063</v>
      </c>
      <c r="H415" t="s">
        <v>222</v>
      </c>
      <c r="I415" t="s">
        <v>195</v>
      </c>
      <c r="J415" t="s">
        <v>406</v>
      </c>
      <c r="K415" t="s">
        <v>235</v>
      </c>
      <c r="L415" t="s">
        <v>385</v>
      </c>
      <c r="M415" t="s">
        <v>188</v>
      </c>
      <c r="N415" t="s">
        <v>262</v>
      </c>
      <c r="O415" t="s">
        <v>200</v>
      </c>
      <c r="P415" t="s">
        <v>304</v>
      </c>
      <c r="Q415" t="s">
        <v>201</v>
      </c>
      <c r="R415" t="s">
        <v>202</v>
      </c>
      <c r="S415" t="s">
        <v>235</v>
      </c>
      <c r="T415" t="s">
        <v>204</v>
      </c>
      <c r="U415" t="s">
        <v>237</v>
      </c>
      <c r="V415" t="s">
        <v>484</v>
      </c>
      <c r="W415" t="s">
        <v>207</v>
      </c>
      <c r="X415" t="s">
        <v>207</v>
      </c>
      <c r="Y415">
        <v>4</v>
      </c>
      <c r="Z415">
        <v>4</v>
      </c>
      <c r="AA415">
        <v>3</v>
      </c>
      <c r="AB415">
        <f>IFERROR(AVERAGE(Tabel1[[#This Row],[Up - R1a]:[Up - R1c]]),"")</f>
        <v>3.6666666666666665</v>
      </c>
      <c r="AC415">
        <v>1</v>
      </c>
      <c r="AD415">
        <v>3</v>
      </c>
      <c r="AE415">
        <v>1</v>
      </c>
      <c r="AF415">
        <v>4</v>
      </c>
      <c r="AG415">
        <f>IFERROR(AVERAGE(Tabel1[[#This Row],[Up - R1]:[Up - R5]]),"")</f>
        <v>2.5333333333333332</v>
      </c>
      <c r="AH415">
        <v>3</v>
      </c>
      <c r="AI415">
        <v>2</v>
      </c>
      <c r="AJ415">
        <v>4</v>
      </c>
      <c r="AK415">
        <f>IFERROR(AVERAGE(Tabel1[[#This Row],[Up - C1a]:[Up - C1c]]),"")</f>
        <v>3</v>
      </c>
      <c r="AL415">
        <v>2</v>
      </c>
      <c r="AM415">
        <v>1</v>
      </c>
      <c r="AN415" t="s">
        <v>189</v>
      </c>
      <c r="AO415">
        <f>IFERROR(AVERAGE(Tabel1[[#This Row],[Up - C1]:[Up - C4]]),"")</f>
        <v>2</v>
      </c>
      <c r="AP415">
        <v>4</v>
      </c>
      <c r="AQ415">
        <f>IFERROR(AVERAGE(Tabel1[[#This Row],[Up - F1a]:[Up - F1a]]),"")</f>
        <v>4</v>
      </c>
      <c r="AR415">
        <v>1</v>
      </c>
      <c r="AS415">
        <v>1</v>
      </c>
      <c r="AT415">
        <f>IFERROR(AVERAGE(Tabel1[[#This Row],[Up - F2a]:[Up - F2b]]),"")</f>
        <v>1</v>
      </c>
      <c r="AU415">
        <v>2</v>
      </c>
      <c r="AV415">
        <v>2</v>
      </c>
      <c r="AW415">
        <f>IFERROR(AVERAGE(Tabel1[[#This Row],[Up - F3a]:[Up - F3b]]),"")</f>
        <v>2</v>
      </c>
      <c r="AX415">
        <v>2</v>
      </c>
      <c r="AY415">
        <f>IFERROR(AVERAGE(Tabel1[[#This Row],[Up - F1]],Tabel1[[#This Row],[Up - F2]],Tabel1[[#This Row],[Up - F3]],Tabel1[[#This Row],[Up - F4]]),"")</f>
        <v>2.25</v>
      </c>
      <c r="AZ415">
        <v>2</v>
      </c>
      <c r="BA415">
        <v>4</v>
      </c>
      <c r="BB415">
        <f>IFERROR(AVERAGE(Tabel1[[#This Row],[Up - V1a]:[Up - V1b]]),"")</f>
        <v>3</v>
      </c>
      <c r="BC415">
        <v>4</v>
      </c>
      <c r="BD415">
        <v>3</v>
      </c>
      <c r="BE415">
        <v>3</v>
      </c>
      <c r="BF415">
        <f>IFERROR(AVERAGE(Tabel1[[#This Row],[Up - V2a]:[Up - V2c]]),"")</f>
        <v>3.3333333333333335</v>
      </c>
      <c r="BG415">
        <v>1</v>
      </c>
      <c r="BH415">
        <v>2</v>
      </c>
      <c r="BI415">
        <f>IFERROR(AVERAGE(Tabel1[[#This Row],[Up - V3a]:[Up - V3b]]),"")</f>
        <v>1.5</v>
      </c>
      <c r="BJ415">
        <v>3</v>
      </c>
      <c r="BK415">
        <f>IFERROR(AVERAGE(Tabel1[[#This Row],[Up - V1]],Tabel1[[#This Row],[Up - V2]],Tabel1[[#This Row],[Up - V3]],Tabel1[[#This Row],[Up - V4]]),"")</f>
        <v>2.7083333333333335</v>
      </c>
      <c r="BL415">
        <v>4</v>
      </c>
      <c r="BM415">
        <v>3</v>
      </c>
      <c r="BN415">
        <v>2</v>
      </c>
      <c r="BO415">
        <v>3</v>
      </c>
      <c r="BP415">
        <f>IFERROR(AVERAGE(Tabel1[[#This Row],[Up - A1a]:[Up - A1d]]),"")</f>
        <v>3</v>
      </c>
      <c r="BQ415">
        <v>3</v>
      </c>
      <c r="BR415">
        <v>1</v>
      </c>
      <c r="BS415">
        <f>IFERROR(AVERAGE(Tabel1[[#This Row],[Up - A2a]:[Up - A2b]]),"")</f>
        <v>2</v>
      </c>
      <c r="BT415">
        <v>3</v>
      </c>
      <c r="BU415">
        <f>IFERROR(AVERAGE(Tabel1[[#This Row],[Up - A3a]:[Up - A3a]]),"")</f>
        <v>3</v>
      </c>
      <c r="BV415">
        <v>2</v>
      </c>
      <c r="BW415">
        <f>IFERROR(AVERAGE(Tabel1[[#This Row],[Up - A1]],Tabel1[[#This Row],[Up - A2]],Tabel1[[#This Row],[Up - A3]]),"")</f>
        <v>2.6666666666666665</v>
      </c>
      <c r="BX415">
        <v>3</v>
      </c>
      <c r="BY415">
        <v>3</v>
      </c>
      <c r="BZ415">
        <f>IFERROR(AVERAGE(Tabel1[[#This Row],[In - R1a]:[In - R1b]]),"")</f>
        <v>3</v>
      </c>
      <c r="CA415">
        <v>5</v>
      </c>
      <c r="CB415">
        <v>3</v>
      </c>
      <c r="CC415">
        <v>1</v>
      </c>
      <c r="CD415">
        <v>5</v>
      </c>
      <c r="CE415">
        <f>IFERROR(AVERAGE(Tabel1[[#This Row],[In - R1]:[In - R5]]),"")</f>
        <v>3.4</v>
      </c>
      <c r="CF415">
        <v>4</v>
      </c>
      <c r="CG415">
        <v>5</v>
      </c>
      <c r="CH415">
        <v>4</v>
      </c>
      <c r="CI415">
        <f>IFERROR(AVERAGE(Tabel1[[#This Row],[In - C1a]:[In - C1c]]),"")</f>
        <v>4.333333333333333</v>
      </c>
      <c r="CJ415">
        <v>4</v>
      </c>
      <c r="CK415">
        <v>3</v>
      </c>
      <c r="CL415">
        <v>3</v>
      </c>
      <c r="CM415">
        <f>IFERROR(AVERAGE(Tabel1[[#This Row],[In - C1]:[In - C4]]),"")</f>
        <v>3.583333333333333</v>
      </c>
      <c r="CN415">
        <v>3</v>
      </c>
      <c r="CO415">
        <v>3</v>
      </c>
      <c r="CP415">
        <v>1</v>
      </c>
      <c r="CQ415">
        <f>IFERROR(AVERAGE(Tabel1[[#This Row],[In - F1a]:[In - F1c]]),"")</f>
        <v>2.3333333333333335</v>
      </c>
      <c r="CR415">
        <v>5</v>
      </c>
      <c r="CS415">
        <v>3</v>
      </c>
      <c r="CT415">
        <f>IFERROR(AVERAGE(Tabel1[[#This Row],[In - F2a]:[In - F2b]]),"")</f>
        <v>4</v>
      </c>
      <c r="CU415">
        <v>1</v>
      </c>
      <c r="CV415">
        <f>IFERROR(AVERAGE(Tabel1[[#This Row],[In - F3a]:[In - F3a]]),"")</f>
        <v>1</v>
      </c>
      <c r="CW415">
        <v>1</v>
      </c>
      <c r="CX415">
        <f>IFERROR(AVERAGE(Tabel1[[#This Row],[In - F1]],Tabel1[[#This Row],[In - F2]],Tabel1[[#This Row],[In - F3]],Tabel1[[#This Row],[In - F4]]),"")</f>
        <v>2.0833333333333335</v>
      </c>
      <c r="CY415">
        <v>5</v>
      </c>
      <c r="CZ415">
        <v>4</v>
      </c>
      <c r="DA415">
        <v>3</v>
      </c>
      <c r="DB415">
        <f>IFERROR(AVERAGE(Tabel1[[#This Row],[In - V1a]:[In - V1c]]),"")</f>
        <v>4</v>
      </c>
      <c r="DC415">
        <v>3</v>
      </c>
      <c r="DD415">
        <v>5</v>
      </c>
      <c r="DE415">
        <v>3</v>
      </c>
      <c r="DF415">
        <f>IFERROR(AVERAGE(Tabel1[[#This Row],[In - V2a]:[In - V2c]]),"")</f>
        <v>3.6666666666666665</v>
      </c>
      <c r="DG415">
        <v>4</v>
      </c>
      <c r="DH415">
        <v>2</v>
      </c>
      <c r="DI415">
        <f>IFERROR(AVERAGE(Tabel1[[#This Row],[In - V3a]:[In - V3b]]),"")</f>
        <v>3</v>
      </c>
      <c r="DJ415">
        <v>3</v>
      </c>
      <c r="DK415">
        <f>IFERROR(AVERAGE(Tabel1[[#This Row],[In - V1]],Tabel1[[#This Row],[In - V2]],Tabel1[[#This Row],[In - V3]],Tabel1[[#This Row],[In - V4]]),"")</f>
        <v>3.4166666666666665</v>
      </c>
      <c r="DL415">
        <v>2</v>
      </c>
      <c r="DM415">
        <v>4</v>
      </c>
      <c r="DN415">
        <f>IFERROR(AVERAGE(Tabel1[[#This Row],[In - A1a]:[In - A1b]]),"")</f>
        <v>3</v>
      </c>
      <c r="DO415">
        <v>2</v>
      </c>
      <c r="DP415">
        <v>3</v>
      </c>
      <c r="DQ415">
        <f>IFERROR(AVERAGE(Tabel1[[#This Row],[In - A2a]:[In - A2b]]),"")</f>
        <v>2.5</v>
      </c>
      <c r="DR415">
        <v>4</v>
      </c>
      <c r="DS415">
        <v>3</v>
      </c>
      <c r="DT415">
        <f>IFERROR(AVERAGE(Tabel1[[#This Row],[In - A3a]:[In - A3a]]),"")</f>
        <v>4</v>
      </c>
      <c r="DU415">
        <v>1</v>
      </c>
      <c r="DV415">
        <f>IFERROR(AVERAGE(Tabel1[[#This Row],[In - A1]],Tabel1[[#This Row],[In - A2]],Tabel1[[#This Row],[In - A3]],Tabel1[[#This Row],[In - A4]]),"")</f>
        <v>2.625</v>
      </c>
      <c r="DW415">
        <v>1</v>
      </c>
      <c r="DX415">
        <v>5</v>
      </c>
      <c r="DY415">
        <v>2</v>
      </c>
      <c r="DZ415">
        <f>IFERROR(AVERAGE(Tabel1[[#This Row],[Do - R1a]:[Do - R1c]]),"")</f>
        <v>2.6666666666666665</v>
      </c>
      <c r="EA415">
        <v>3</v>
      </c>
      <c r="EB415">
        <v>5</v>
      </c>
      <c r="EC415">
        <v>1</v>
      </c>
      <c r="ED415">
        <v>4</v>
      </c>
      <c r="EE415">
        <f>IFERROR(AVERAGE(Tabel1[[#This Row],[Do - R1]:[Do - R5]]),"")</f>
        <v>3.1333333333333333</v>
      </c>
      <c r="EF415">
        <v>4</v>
      </c>
      <c r="EG415">
        <v>3</v>
      </c>
      <c r="EH415">
        <v>4</v>
      </c>
      <c r="EI415">
        <f>IFERROR(AVERAGE(Tabel1[[#This Row],[Do - C1a]:[Do - C1c]]),"")</f>
        <v>3.6666666666666665</v>
      </c>
      <c r="EJ415">
        <v>3</v>
      </c>
      <c r="EK415">
        <v>1</v>
      </c>
      <c r="EL415" t="s">
        <v>189</v>
      </c>
      <c r="EM415">
        <f>IFERROR(AVERAGE(Tabel1[[#This Row],[Do - C1]:[Do - C4]]),"")</f>
        <v>2.5555555555555554</v>
      </c>
      <c r="EN415">
        <v>1</v>
      </c>
      <c r="EO415">
        <v>2</v>
      </c>
      <c r="EP415">
        <v>2</v>
      </c>
      <c r="EQ415">
        <f>IFERROR(AVERAGE(Tabel1[[#This Row],[Do - F1a]:[Do - F1c]]),"")</f>
        <v>1.6666666666666667</v>
      </c>
      <c r="ER415">
        <v>2</v>
      </c>
      <c r="ES415">
        <f>IFERROR(AVERAGE(Tabel1[[#This Row],[Do - F2a]:[Do - F2a]]),"")</f>
        <v>2</v>
      </c>
      <c r="ET415">
        <v>4</v>
      </c>
      <c r="EU415">
        <v>3</v>
      </c>
      <c r="EV415">
        <f>IFERROR(AVERAGE(Tabel1[[#This Row],[Do - F3a]:[Do - F3b]]),"")</f>
        <v>3.5</v>
      </c>
      <c r="EW415">
        <v>3</v>
      </c>
      <c r="EX415">
        <f>IFERROR(AVERAGE(Tabel1[[#This Row],[Do - F1]],Tabel1[[#This Row],[Do - F2]],Tabel1[[#This Row],[Do - F3]],Tabel1[[#This Row],[Do - F4]]),"")</f>
        <v>2.541666666666667</v>
      </c>
      <c r="EY415">
        <v>2</v>
      </c>
      <c r="EZ415">
        <v>4</v>
      </c>
      <c r="FA415">
        <v>4</v>
      </c>
      <c r="FB415">
        <f>IFERROR(AVERAGE(Tabel1[[#This Row],[Do - V1a]:[Do - V1c]]),"")</f>
        <v>3.3333333333333335</v>
      </c>
      <c r="FC415">
        <v>4</v>
      </c>
      <c r="FD415">
        <v>3</v>
      </c>
      <c r="FE415">
        <f>IFERROR(AVERAGE(Tabel1[[#This Row],[Do - V2a]:[Do - V2b]]),"")</f>
        <v>3.5</v>
      </c>
      <c r="FF415">
        <v>3</v>
      </c>
      <c r="FG415">
        <f>IFERROR(AVERAGE(Tabel1[[#This Row],[Do - V3a]:[Do - V3a]]),"")</f>
        <v>3</v>
      </c>
      <c r="FH415">
        <v>4</v>
      </c>
      <c r="FI415">
        <f>IFERROR(AVERAGE(Tabel1[[#This Row],[Do - V1]],Tabel1[[#This Row],[Do - V2]],Tabel1[[#This Row],[Do - V3]],Tabel1[[#This Row],[Do - V4]]),"")</f>
        <v>3.4583333333333335</v>
      </c>
      <c r="FJ415">
        <v>2</v>
      </c>
      <c r="FK415">
        <v>2</v>
      </c>
      <c r="FL415">
        <v>4</v>
      </c>
      <c r="FM415">
        <f>IFERROR(AVERAGE(Tabel1[[#This Row],[Do - A1a]:[Do - A1c]]),"")</f>
        <v>2.6666666666666665</v>
      </c>
      <c r="FN415">
        <v>1</v>
      </c>
      <c r="FO415">
        <v>4</v>
      </c>
      <c r="FP415">
        <f>IFERROR(AVERAGE(Tabel1[[#This Row],[Do - A2a]:[Do - A2b]]),"")</f>
        <v>2.5</v>
      </c>
      <c r="FQ415">
        <v>2</v>
      </c>
      <c r="FR415">
        <f>IFERROR(AVERAGE(Tabel1[[#This Row],[Do - A3a]:[Do - A3a]]),"")</f>
        <v>2</v>
      </c>
      <c r="FS415">
        <v>3</v>
      </c>
      <c r="FT415">
        <f>IFERROR(AVERAGE(Tabel1[[#This Row],[Do - A1]],Tabel1[[#This Row],[Do - A2]],Tabel1[[#This Row],[Do - A3]],Tabel1[[#This Row],[Do - A4]]),"")</f>
        <v>2.5416666666666665</v>
      </c>
      <c r="FU41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2.7664814814814815</v>
      </c>
      <c r="FV415" t="s">
        <v>2064</v>
      </c>
      <c r="FW415" t="b">
        <v>1</v>
      </c>
    </row>
    <row r="416" spans="1:179" x14ac:dyDescent="0.3">
      <c r="A416" s="13">
        <v>45660.774409722202</v>
      </c>
      <c r="B416" t="b">
        <v>0</v>
      </c>
      <c r="C416" t="s">
        <v>2065</v>
      </c>
      <c r="D416" t="s">
        <v>864</v>
      </c>
      <c r="E416" s="14" t="s">
        <v>2029</v>
      </c>
      <c r="F416" s="14" t="s">
        <v>184</v>
      </c>
      <c r="G416" t="s">
        <v>865</v>
      </c>
      <c r="H416" t="s">
        <v>194</v>
      </c>
      <c r="I416" t="s">
        <v>195</v>
      </c>
      <c r="J416" t="s">
        <v>261</v>
      </c>
      <c r="K416" t="s">
        <v>235</v>
      </c>
      <c r="L416" t="s">
        <v>249</v>
      </c>
      <c r="M416" t="s">
        <v>198</v>
      </c>
      <c r="N416" t="s">
        <v>262</v>
      </c>
      <c r="O416" t="s">
        <v>200</v>
      </c>
      <c r="P416" t="s">
        <v>304</v>
      </c>
      <c r="Q416" t="s">
        <v>201</v>
      </c>
      <c r="R416" t="s">
        <v>202</v>
      </c>
      <c r="S416" t="s">
        <v>235</v>
      </c>
      <c r="T416" t="s">
        <v>204</v>
      </c>
      <c r="U416" t="s">
        <v>285</v>
      </c>
      <c r="V416" t="s">
        <v>206</v>
      </c>
      <c r="W416" t="s">
        <v>207</v>
      </c>
      <c r="X416" t="s">
        <v>207</v>
      </c>
      <c r="Y416">
        <v>2</v>
      </c>
      <c r="Z416">
        <v>4</v>
      </c>
      <c r="AA416" t="s">
        <v>189</v>
      </c>
      <c r="AB416">
        <f>IFERROR(AVERAGE(Tabel1[[#This Row],[Up - R1a]:[Up - R1c]]),"")</f>
        <v>3</v>
      </c>
      <c r="AC416">
        <v>2</v>
      </c>
      <c r="AD416">
        <v>4</v>
      </c>
      <c r="AE416">
        <v>3</v>
      </c>
      <c r="AF416" t="s">
        <v>189</v>
      </c>
      <c r="AG416">
        <f>IFERROR(AVERAGE(Tabel1[[#This Row],[Up - R1]:[Up - R5]]),"")</f>
        <v>3</v>
      </c>
      <c r="AH416">
        <v>3</v>
      </c>
      <c r="AI416">
        <v>4</v>
      </c>
      <c r="AK416">
        <f>IFERROR(AVERAGE(Tabel1[[#This Row],[Up - C1a]:[Up - C1c]]),"")</f>
        <v>3.5</v>
      </c>
      <c r="AL416">
        <v>4</v>
      </c>
      <c r="AM416">
        <v>2</v>
      </c>
      <c r="AN416">
        <v>2</v>
      </c>
      <c r="AO416">
        <f>IFERROR(AVERAGE(Tabel1[[#This Row],[Up - C1]:[Up - C4]]),"")</f>
        <v>2.875</v>
      </c>
      <c r="AP416">
        <v>2</v>
      </c>
      <c r="AQ416">
        <f>IFERROR(AVERAGE(Tabel1[[#This Row],[Up - F1a]:[Up - F1a]]),"")</f>
        <v>2</v>
      </c>
      <c r="AR416">
        <v>2</v>
      </c>
      <c r="AS416">
        <v>3</v>
      </c>
      <c r="AT416">
        <f>IFERROR(AVERAGE(Tabel1[[#This Row],[Up - F2a]:[Up - F2b]]),"")</f>
        <v>2.5</v>
      </c>
      <c r="AU416">
        <v>3</v>
      </c>
      <c r="AV416" t="s">
        <v>189</v>
      </c>
      <c r="AW416">
        <f>IFERROR(AVERAGE(Tabel1[[#This Row],[Up - F3a]:[Up - F3b]]),"")</f>
        <v>3</v>
      </c>
      <c r="AX416">
        <v>4</v>
      </c>
      <c r="AY416">
        <f>IFERROR(AVERAGE(Tabel1[[#This Row],[Up - F1]],Tabel1[[#This Row],[Up - F2]],Tabel1[[#This Row],[Up - F3]],Tabel1[[#This Row],[Up - F4]]),"")</f>
        <v>2.875</v>
      </c>
      <c r="AZ416">
        <v>4</v>
      </c>
      <c r="BA416">
        <v>3</v>
      </c>
      <c r="BB416">
        <f>IFERROR(AVERAGE(Tabel1[[#This Row],[Up - V1a]:[Up - V1b]]),"")</f>
        <v>3.5</v>
      </c>
      <c r="BC416">
        <v>4</v>
      </c>
      <c r="BD416">
        <v>2</v>
      </c>
      <c r="BE416">
        <v>3</v>
      </c>
      <c r="BF416">
        <f>IFERROR(AVERAGE(Tabel1[[#This Row],[Up - V2a]:[Up - V2c]]),"")</f>
        <v>3</v>
      </c>
      <c r="BG416">
        <v>2</v>
      </c>
      <c r="BH416" t="s">
        <v>189</v>
      </c>
      <c r="BI416">
        <f>IFERROR(AVERAGE(Tabel1[[#This Row],[Up - V3a]:[Up - V3b]]),"")</f>
        <v>2</v>
      </c>
      <c r="BJ416" t="s">
        <v>189</v>
      </c>
      <c r="BK416">
        <f>IFERROR(AVERAGE(Tabel1[[#This Row],[Up - V1]],Tabel1[[#This Row],[Up - V2]],Tabel1[[#This Row],[Up - V3]],Tabel1[[#This Row],[Up - V4]]),"")</f>
        <v>2.8333333333333335</v>
      </c>
      <c r="BL416">
        <v>3</v>
      </c>
      <c r="BM416">
        <v>3</v>
      </c>
      <c r="BN416">
        <v>3</v>
      </c>
      <c r="BO416">
        <v>4</v>
      </c>
      <c r="BP416">
        <f>IFERROR(AVERAGE(Tabel1[[#This Row],[Up - A1a]:[Up - A1d]]),"")</f>
        <v>3.25</v>
      </c>
      <c r="BQ416">
        <v>3</v>
      </c>
      <c r="BR416">
        <v>4</v>
      </c>
      <c r="BS416">
        <f>IFERROR(AVERAGE(Tabel1[[#This Row],[Up - A2a]:[Up - A2b]]),"")</f>
        <v>3.5</v>
      </c>
      <c r="BT416">
        <v>4</v>
      </c>
      <c r="BU416">
        <f>IFERROR(AVERAGE(Tabel1[[#This Row],[Up - A3a]:[Up - A3a]]),"")</f>
        <v>4</v>
      </c>
      <c r="BV416" t="s">
        <v>189</v>
      </c>
      <c r="BW416">
        <f>IFERROR(AVERAGE(Tabel1[[#This Row],[Up - A1]],Tabel1[[#This Row],[Up - A2]],Tabel1[[#This Row],[Up - A3]]),"")</f>
        <v>3.5833333333333335</v>
      </c>
      <c r="BX416">
        <v>3</v>
      </c>
      <c r="BY416">
        <v>5</v>
      </c>
      <c r="BZ416">
        <f>IFERROR(AVERAGE(Tabel1[[#This Row],[In - R1a]:[In - R1b]]),"")</f>
        <v>4</v>
      </c>
      <c r="CA416">
        <v>5</v>
      </c>
      <c r="CB416">
        <v>4</v>
      </c>
      <c r="CC416">
        <v>3</v>
      </c>
      <c r="CD416">
        <v>5</v>
      </c>
      <c r="CE416">
        <f>IFERROR(AVERAGE(Tabel1[[#This Row],[In - R1]:[In - R5]]),"")</f>
        <v>4.2</v>
      </c>
      <c r="CF416">
        <v>4</v>
      </c>
      <c r="CG416">
        <v>2</v>
      </c>
      <c r="CH416">
        <v>3</v>
      </c>
      <c r="CI416">
        <f>IFERROR(AVERAGE(Tabel1[[#This Row],[In - C1a]:[In - C1c]]),"")</f>
        <v>3</v>
      </c>
      <c r="CJ416">
        <v>3</v>
      </c>
      <c r="CK416">
        <v>2</v>
      </c>
      <c r="CL416">
        <v>3</v>
      </c>
      <c r="CM416">
        <f>IFERROR(AVERAGE(Tabel1[[#This Row],[In - C1]:[In - C4]]),"")</f>
        <v>2.75</v>
      </c>
      <c r="CN416">
        <v>2</v>
      </c>
      <c r="CO416">
        <v>3</v>
      </c>
      <c r="CP416">
        <v>1</v>
      </c>
      <c r="CQ416">
        <f>IFERROR(AVERAGE(Tabel1[[#This Row],[In - F1a]:[In - F1c]]),"")</f>
        <v>2</v>
      </c>
      <c r="CR416">
        <v>2</v>
      </c>
      <c r="CS416">
        <v>2</v>
      </c>
      <c r="CT416">
        <f>IFERROR(AVERAGE(Tabel1[[#This Row],[In - F2a]:[In - F2b]]),"")</f>
        <v>2</v>
      </c>
      <c r="CU416">
        <v>1</v>
      </c>
      <c r="CV416">
        <f>IFERROR(AVERAGE(Tabel1[[#This Row],[In - F3a]:[In - F3a]]),"")</f>
        <v>1</v>
      </c>
      <c r="CW416" t="s">
        <v>189</v>
      </c>
      <c r="CX416">
        <f>IFERROR(AVERAGE(Tabel1[[#This Row],[In - F1]],Tabel1[[#This Row],[In - F2]],Tabel1[[#This Row],[In - F3]],Tabel1[[#This Row],[In - F4]]),"")</f>
        <v>1.6666666666666667</v>
      </c>
      <c r="CY416">
        <v>4</v>
      </c>
      <c r="CZ416">
        <v>4</v>
      </c>
      <c r="DA416">
        <v>3</v>
      </c>
      <c r="DB416">
        <f>IFERROR(AVERAGE(Tabel1[[#This Row],[In - V1a]:[In - V1c]]),"")</f>
        <v>3.6666666666666665</v>
      </c>
      <c r="DC416">
        <v>2</v>
      </c>
      <c r="DD416">
        <v>3</v>
      </c>
      <c r="DE416">
        <v>1</v>
      </c>
      <c r="DF416">
        <f>IFERROR(AVERAGE(Tabel1[[#This Row],[In - V2a]:[In - V2c]]),"")</f>
        <v>2</v>
      </c>
      <c r="DG416">
        <v>2</v>
      </c>
      <c r="DH416">
        <v>2</v>
      </c>
      <c r="DI416">
        <f>IFERROR(AVERAGE(Tabel1[[#This Row],[In - V3a]:[In - V3b]]),"")</f>
        <v>2</v>
      </c>
      <c r="DJ416" t="s">
        <v>189</v>
      </c>
      <c r="DK416">
        <f>IFERROR(AVERAGE(Tabel1[[#This Row],[In - V1]],Tabel1[[#This Row],[In - V2]],Tabel1[[#This Row],[In - V3]],Tabel1[[#This Row],[In - V4]]),"")</f>
        <v>2.5555555555555554</v>
      </c>
      <c r="DL416">
        <v>3</v>
      </c>
      <c r="DM416">
        <v>2</v>
      </c>
      <c r="DN416">
        <f>IFERROR(AVERAGE(Tabel1[[#This Row],[In - A1a]:[In - A1b]]),"")</f>
        <v>2.5</v>
      </c>
      <c r="DO416">
        <v>2</v>
      </c>
      <c r="DP416">
        <v>1</v>
      </c>
      <c r="DQ416">
        <f>IFERROR(AVERAGE(Tabel1[[#This Row],[In - A2a]:[In - A2b]]),"")</f>
        <v>1.5</v>
      </c>
      <c r="DR416">
        <v>4</v>
      </c>
      <c r="DS416">
        <v>2</v>
      </c>
      <c r="DT416">
        <f>IFERROR(AVERAGE(Tabel1[[#This Row],[In - A3a]:[In - A3a]]),"")</f>
        <v>4</v>
      </c>
      <c r="DU416">
        <v>3</v>
      </c>
      <c r="DV416">
        <f>IFERROR(AVERAGE(Tabel1[[#This Row],[In - A1]],Tabel1[[#This Row],[In - A2]],Tabel1[[#This Row],[In - A3]],Tabel1[[#This Row],[In - A4]]),"")</f>
        <v>2.75</v>
      </c>
      <c r="DW416" t="s">
        <v>189</v>
      </c>
      <c r="DX416">
        <v>5</v>
      </c>
      <c r="DY416">
        <v>3</v>
      </c>
      <c r="DZ416">
        <f>IFERROR(AVERAGE(Tabel1[[#This Row],[Do - R1a]:[Do - R1c]]),"")</f>
        <v>4</v>
      </c>
      <c r="EA416">
        <v>1</v>
      </c>
      <c r="EB416">
        <v>3</v>
      </c>
      <c r="EC416">
        <v>2</v>
      </c>
      <c r="ED416" t="s">
        <v>189</v>
      </c>
      <c r="EE416">
        <f>IFERROR(AVERAGE(Tabel1[[#This Row],[Do - R1]:[Do - R5]]),"")</f>
        <v>2.5</v>
      </c>
      <c r="EF416">
        <v>2</v>
      </c>
      <c r="EG416">
        <v>2</v>
      </c>
      <c r="EH416">
        <v>3</v>
      </c>
      <c r="EI416">
        <f>IFERROR(AVERAGE(Tabel1[[#This Row],[Do - C1a]:[Do - C1c]]),"")</f>
        <v>2.3333333333333335</v>
      </c>
      <c r="EJ416">
        <v>1</v>
      </c>
      <c r="EK416">
        <v>2</v>
      </c>
      <c r="EL416" t="s">
        <v>189</v>
      </c>
      <c r="EM416">
        <f>IFERROR(AVERAGE(Tabel1[[#This Row],[Do - C1]:[Do - C4]]),"")</f>
        <v>1.7777777777777779</v>
      </c>
      <c r="EN416">
        <v>2</v>
      </c>
      <c r="EO416">
        <v>2</v>
      </c>
      <c r="EP416">
        <v>2</v>
      </c>
      <c r="EQ416">
        <f>IFERROR(AVERAGE(Tabel1[[#This Row],[Do - F1a]:[Do - F1c]]),"")</f>
        <v>2</v>
      </c>
      <c r="ER416">
        <v>3</v>
      </c>
      <c r="ES416">
        <f>IFERROR(AVERAGE(Tabel1[[#This Row],[Do - F2a]:[Do - F2a]]),"")</f>
        <v>3</v>
      </c>
      <c r="ET416">
        <v>4</v>
      </c>
      <c r="EU416">
        <v>1</v>
      </c>
      <c r="EV416">
        <f>IFERROR(AVERAGE(Tabel1[[#This Row],[Do - F3a]:[Do - F3b]]),"")</f>
        <v>2.5</v>
      </c>
      <c r="EW416">
        <v>2</v>
      </c>
      <c r="EX416">
        <f>IFERROR(AVERAGE(Tabel1[[#This Row],[Do - F1]],Tabel1[[#This Row],[Do - F2]],Tabel1[[#This Row],[Do - F3]],Tabel1[[#This Row],[Do - F4]]),"")</f>
        <v>2.375</v>
      </c>
      <c r="EY416">
        <v>2</v>
      </c>
      <c r="EZ416">
        <v>2</v>
      </c>
      <c r="FA416">
        <v>1</v>
      </c>
      <c r="FB416">
        <f>IFERROR(AVERAGE(Tabel1[[#This Row],[Do - V1a]:[Do - V1c]]),"")</f>
        <v>1.6666666666666667</v>
      </c>
      <c r="FC416">
        <v>3</v>
      </c>
      <c r="FD416">
        <v>3</v>
      </c>
      <c r="FE416">
        <f>IFERROR(AVERAGE(Tabel1[[#This Row],[Do - V2a]:[Do - V2b]]),"")</f>
        <v>3</v>
      </c>
      <c r="FF416">
        <v>3</v>
      </c>
      <c r="FG416">
        <f>IFERROR(AVERAGE(Tabel1[[#This Row],[Do - V3a]:[Do - V3a]]),"")</f>
        <v>3</v>
      </c>
      <c r="FH416" t="s">
        <v>189</v>
      </c>
      <c r="FI416">
        <f>IFERROR(AVERAGE(Tabel1[[#This Row],[Do - V1]],Tabel1[[#This Row],[Do - V2]],Tabel1[[#This Row],[Do - V3]],Tabel1[[#This Row],[Do - V4]]),"")</f>
        <v>2.5555555555555558</v>
      </c>
      <c r="FJ416">
        <v>3</v>
      </c>
      <c r="FK416">
        <v>2</v>
      </c>
      <c r="FL416">
        <v>3</v>
      </c>
      <c r="FM416">
        <f>IFERROR(AVERAGE(Tabel1[[#This Row],[Do - A1a]:[Do - A1c]]),"")</f>
        <v>2.6666666666666665</v>
      </c>
      <c r="FN416">
        <v>3</v>
      </c>
      <c r="FO416">
        <v>3</v>
      </c>
      <c r="FP416">
        <f>IFERROR(AVERAGE(Tabel1[[#This Row],[Do - A2a]:[Do - A2b]]),"")</f>
        <v>3</v>
      </c>
      <c r="FQ416">
        <v>1</v>
      </c>
      <c r="FR416">
        <f>IFERROR(AVERAGE(Tabel1[[#This Row],[Do - A3a]:[Do - A3a]]),"")</f>
        <v>1</v>
      </c>
      <c r="FS416">
        <v>3</v>
      </c>
      <c r="FT416">
        <f>IFERROR(AVERAGE(Tabel1[[#This Row],[Do - A1]],Tabel1[[#This Row],[Do - A2]],Tabel1[[#This Row],[Do - A3]],Tabel1[[#This Row],[Do - A4]]),"")</f>
        <v>2.4166666666666665</v>
      </c>
      <c r="FU41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2.7142592592592591</v>
      </c>
      <c r="FV416" t="s">
        <v>2066</v>
      </c>
      <c r="FW416" t="b">
        <v>1</v>
      </c>
    </row>
    <row r="417" spans="1:179" x14ac:dyDescent="0.3">
      <c r="A417" s="13">
        <v>45664.514444444401</v>
      </c>
      <c r="B417" t="b">
        <v>0</v>
      </c>
      <c r="C417" t="s">
        <v>2067</v>
      </c>
      <c r="D417" t="s">
        <v>2068</v>
      </c>
      <c r="E417" t="s">
        <v>404</v>
      </c>
      <c r="F417" s="14" t="s">
        <v>184</v>
      </c>
      <c r="G417" t="s">
        <v>2069</v>
      </c>
      <c r="H417" t="s">
        <v>222</v>
      </c>
      <c r="I417" t="s">
        <v>195</v>
      </c>
      <c r="J417" t="s">
        <v>406</v>
      </c>
      <c r="K417" t="s">
        <v>235</v>
      </c>
      <c r="L417" t="s">
        <v>197</v>
      </c>
      <c r="M417" t="s">
        <v>233</v>
      </c>
      <c r="N417" t="s">
        <v>262</v>
      </c>
      <c r="O417" t="s">
        <v>200</v>
      </c>
      <c r="P417" t="s">
        <v>255</v>
      </c>
      <c r="Q417" t="s">
        <v>304</v>
      </c>
      <c r="R417" t="s">
        <v>201</v>
      </c>
      <c r="S417" t="s">
        <v>201</v>
      </c>
      <c r="T417" t="s">
        <v>204</v>
      </c>
      <c r="U417" t="s">
        <v>349</v>
      </c>
      <c r="V417" t="s">
        <v>224</v>
      </c>
      <c r="W417" t="s">
        <v>207</v>
      </c>
      <c r="X417" t="s">
        <v>207</v>
      </c>
      <c r="Y417">
        <v>2</v>
      </c>
      <c r="Z417">
        <v>2</v>
      </c>
      <c r="AA417" t="s">
        <v>189</v>
      </c>
      <c r="AB417">
        <f>IFERROR(AVERAGE(Tabel1[[#This Row],[Up - R1a]:[Up - R1c]]),"")</f>
        <v>2</v>
      </c>
      <c r="AC417">
        <v>3</v>
      </c>
      <c r="AD417">
        <v>3</v>
      </c>
      <c r="AE417">
        <v>1</v>
      </c>
      <c r="AF417">
        <v>3</v>
      </c>
      <c r="AG417">
        <f>IFERROR(AVERAGE(Tabel1[[#This Row],[Up - R1]:[Up - R5]]),"")</f>
        <v>2.4</v>
      </c>
      <c r="AH417">
        <v>3</v>
      </c>
      <c r="AI417">
        <v>2</v>
      </c>
      <c r="AJ417">
        <v>3</v>
      </c>
      <c r="AK417">
        <f>IFERROR(AVERAGE(Tabel1[[#This Row],[Up - C1a]:[Up - C1c]]),"")</f>
        <v>2.6666666666666665</v>
      </c>
      <c r="AL417">
        <v>1</v>
      </c>
      <c r="AM417">
        <v>1</v>
      </c>
      <c r="AN417">
        <v>3</v>
      </c>
      <c r="AO417">
        <f>IFERROR(AVERAGE(Tabel1[[#This Row],[Up - C1]:[Up - C4]]),"")</f>
        <v>1.9166666666666665</v>
      </c>
      <c r="AP417">
        <v>2</v>
      </c>
      <c r="AQ417">
        <f>IFERROR(AVERAGE(Tabel1[[#This Row],[Up - F1a]:[Up - F1a]]),"")</f>
        <v>2</v>
      </c>
      <c r="AR417">
        <v>1</v>
      </c>
      <c r="AS417">
        <v>3</v>
      </c>
      <c r="AT417">
        <f>IFERROR(AVERAGE(Tabel1[[#This Row],[Up - F2a]:[Up - F2b]]),"")</f>
        <v>2</v>
      </c>
      <c r="AU417">
        <v>4</v>
      </c>
      <c r="AV417">
        <v>4</v>
      </c>
      <c r="AW417">
        <f>IFERROR(AVERAGE(Tabel1[[#This Row],[Up - F3a]:[Up - F3b]]),"")</f>
        <v>4</v>
      </c>
      <c r="AX417">
        <v>2</v>
      </c>
      <c r="AY417">
        <f>IFERROR(AVERAGE(Tabel1[[#This Row],[Up - F1]],Tabel1[[#This Row],[Up - F2]],Tabel1[[#This Row],[Up - F3]],Tabel1[[#This Row],[Up - F4]]),"")</f>
        <v>2.5</v>
      </c>
      <c r="AZ417">
        <v>1</v>
      </c>
      <c r="BA417">
        <v>3</v>
      </c>
      <c r="BB417">
        <f>IFERROR(AVERAGE(Tabel1[[#This Row],[Up - V1a]:[Up - V1b]]),"")</f>
        <v>2</v>
      </c>
      <c r="BC417">
        <v>2</v>
      </c>
      <c r="BD417">
        <v>2</v>
      </c>
      <c r="BE417">
        <v>4</v>
      </c>
      <c r="BF417">
        <f>IFERROR(AVERAGE(Tabel1[[#This Row],[Up - V2a]:[Up - V2c]]),"")</f>
        <v>2.6666666666666665</v>
      </c>
      <c r="BG417">
        <v>2</v>
      </c>
      <c r="BH417">
        <v>2</v>
      </c>
      <c r="BI417">
        <f>IFERROR(AVERAGE(Tabel1[[#This Row],[Up - V3a]:[Up - V3b]]),"")</f>
        <v>2</v>
      </c>
      <c r="BJ417">
        <v>3</v>
      </c>
      <c r="BK417">
        <f>IFERROR(AVERAGE(Tabel1[[#This Row],[Up - V1]],Tabel1[[#This Row],[Up - V2]],Tabel1[[#This Row],[Up - V3]],Tabel1[[#This Row],[Up - V4]]),"")</f>
        <v>2.4166666666666665</v>
      </c>
      <c r="BL417">
        <v>3</v>
      </c>
      <c r="BM417">
        <v>3</v>
      </c>
      <c r="BN417">
        <v>1</v>
      </c>
      <c r="BO417">
        <v>2</v>
      </c>
      <c r="BP417">
        <f>IFERROR(AVERAGE(Tabel1[[#This Row],[Up - A1a]:[Up - A1d]]),"")</f>
        <v>2.25</v>
      </c>
      <c r="BQ417">
        <v>3</v>
      </c>
      <c r="BR417">
        <v>2</v>
      </c>
      <c r="BS417">
        <f>IFERROR(AVERAGE(Tabel1[[#This Row],[Up - A2a]:[Up - A2b]]),"")</f>
        <v>2.5</v>
      </c>
      <c r="BT417">
        <v>3</v>
      </c>
      <c r="BU417">
        <f>IFERROR(AVERAGE(Tabel1[[#This Row],[Up - A3a]:[Up - A3a]]),"")</f>
        <v>3</v>
      </c>
      <c r="BV417">
        <v>2</v>
      </c>
      <c r="BW417">
        <f>IFERROR(AVERAGE(Tabel1[[#This Row],[Up - A1]],Tabel1[[#This Row],[Up - A2]],Tabel1[[#This Row],[Up - A3]]),"")</f>
        <v>2.5833333333333335</v>
      </c>
      <c r="BX417">
        <v>1</v>
      </c>
      <c r="BY417">
        <v>2</v>
      </c>
      <c r="BZ417">
        <f>IFERROR(AVERAGE(Tabel1[[#This Row],[In - R1a]:[In - R1b]]),"")</f>
        <v>1.5</v>
      </c>
      <c r="CA417">
        <v>5</v>
      </c>
      <c r="CB417">
        <v>4</v>
      </c>
      <c r="CC417">
        <v>4</v>
      </c>
      <c r="CD417">
        <v>2</v>
      </c>
      <c r="CE417">
        <f>IFERROR(AVERAGE(Tabel1[[#This Row],[In - R1]:[In - R5]]),"")</f>
        <v>3.3</v>
      </c>
      <c r="CF417">
        <v>3</v>
      </c>
      <c r="CG417">
        <v>3</v>
      </c>
      <c r="CH417">
        <v>2</v>
      </c>
      <c r="CI417">
        <f>IFERROR(AVERAGE(Tabel1[[#This Row],[In - C1a]:[In - C1c]]),"")</f>
        <v>2.6666666666666665</v>
      </c>
      <c r="CJ417">
        <v>4</v>
      </c>
      <c r="CK417">
        <v>2</v>
      </c>
      <c r="CL417">
        <v>1</v>
      </c>
      <c r="CM417">
        <f>IFERROR(AVERAGE(Tabel1[[#This Row],[In - C1]:[In - C4]]),"")</f>
        <v>2.4166666666666665</v>
      </c>
      <c r="CN417">
        <v>2</v>
      </c>
      <c r="CO417">
        <v>2</v>
      </c>
      <c r="CP417">
        <v>1</v>
      </c>
      <c r="CQ417">
        <f>IFERROR(AVERAGE(Tabel1[[#This Row],[In - F1a]:[In - F1c]]),"")</f>
        <v>1.6666666666666667</v>
      </c>
      <c r="CR417">
        <v>3</v>
      </c>
      <c r="CS417">
        <v>1</v>
      </c>
      <c r="CT417">
        <f>IFERROR(AVERAGE(Tabel1[[#This Row],[In - F2a]:[In - F2b]]),"")</f>
        <v>2</v>
      </c>
      <c r="CU417">
        <v>2</v>
      </c>
      <c r="CV417">
        <f>IFERROR(AVERAGE(Tabel1[[#This Row],[In - F3a]:[In - F3a]]),"")</f>
        <v>2</v>
      </c>
      <c r="CW417">
        <v>2</v>
      </c>
      <c r="CX417">
        <f>IFERROR(AVERAGE(Tabel1[[#This Row],[In - F1]],Tabel1[[#This Row],[In - F2]],Tabel1[[#This Row],[In - F3]],Tabel1[[#This Row],[In - F4]]),"")</f>
        <v>1.9166666666666667</v>
      </c>
      <c r="CY417">
        <v>5</v>
      </c>
      <c r="CZ417">
        <v>2</v>
      </c>
      <c r="DA417">
        <v>2</v>
      </c>
      <c r="DB417">
        <f>IFERROR(AVERAGE(Tabel1[[#This Row],[In - V1a]:[In - V1c]]),"")</f>
        <v>3</v>
      </c>
      <c r="DC417">
        <v>2</v>
      </c>
      <c r="DD417">
        <v>2</v>
      </c>
      <c r="DE417">
        <v>2</v>
      </c>
      <c r="DF417">
        <f>IFERROR(AVERAGE(Tabel1[[#This Row],[In - V2a]:[In - V2c]]),"")</f>
        <v>2</v>
      </c>
      <c r="DG417">
        <v>1</v>
      </c>
      <c r="DH417">
        <v>3</v>
      </c>
      <c r="DI417">
        <f>IFERROR(AVERAGE(Tabel1[[#This Row],[In - V3a]:[In - V3b]]),"")</f>
        <v>2</v>
      </c>
      <c r="DJ417">
        <v>3</v>
      </c>
      <c r="DK417">
        <f>IFERROR(AVERAGE(Tabel1[[#This Row],[In - V1]],Tabel1[[#This Row],[In - V2]],Tabel1[[#This Row],[In - V3]],Tabel1[[#This Row],[In - V4]]),"")</f>
        <v>2.5</v>
      </c>
      <c r="DL417">
        <v>2</v>
      </c>
      <c r="DM417">
        <v>2</v>
      </c>
      <c r="DN417">
        <f>IFERROR(AVERAGE(Tabel1[[#This Row],[In - A1a]:[In - A1b]]),"")</f>
        <v>2</v>
      </c>
      <c r="DO417">
        <v>2</v>
      </c>
      <c r="DP417">
        <v>2</v>
      </c>
      <c r="DQ417">
        <f>IFERROR(AVERAGE(Tabel1[[#This Row],[In - A2a]:[In - A2b]]),"")</f>
        <v>2</v>
      </c>
      <c r="DR417">
        <v>3</v>
      </c>
      <c r="DS417">
        <v>1</v>
      </c>
      <c r="DT417">
        <f>IFERROR(AVERAGE(Tabel1[[#This Row],[In - A3a]:[In - A3a]]),"")</f>
        <v>3</v>
      </c>
      <c r="DU417">
        <v>2</v>
      </c>
      <c r="DV417">
        <f>IFERROR(AVERAGE(Tabel1[[#This Row],[In - A1]],Tabel1[[#This Row],[In - A2]],Tabel1[[#This Row],[In - A3]],Tabel1[[#This Row],[In - A4]]),"")</f>
        <v>2.25</v>
      </c>
      <c r="DW417">
        <v>2</v>
      </c>
      <c r="DX417">
        <v>5</v>
      </c>
      <c r="DY417">
        <v>2</v>
      </c>
      <c r="DZ417">
        <f>IFERROR(AVERAGE(Tabel1[[#This Row],[Do - R1a]:[Do - R1c]]),"")</f>
        <v>3</v>
      </c>
      <c r="EA417">
        <v>2</v>
      </c>
      <c r="EB417">
        <v>2</v>
      </c>
      <c r="EC417">
        <v>1</v>
      </c>
      <c r="ED417">
        <v>3</v>
      </c>
      <c r="EE417">
        <f>IFERROR(AVERAGE(Tabel1[[#This Row],[Do - R1]:[Do - R5]]),"")</f>
        <v>2.2000000000000002</v>
      </c>
      <c r="EF417">
        <v>4</v>
      </c>
      <c r="EG417">
        <v>4</v>
      </c>
      <c r="EH417">
        <v>3</v>
      </c>
      <c r="EI417">
        <f>IFERROR(AVERAGE(Tabel1[[#This Row],[Do - C1a]:[Do - C1c]]),"")</f>
        <v>3.6666666666666665</v>
      </c>
      <c r="EJ417">
        <v>2</v>
      </c>
      <c r="EK417">
        <v>2</v>
      </c>
      <c r="EL417">
        <v>2</v>
      </c>
      <c r="EM417">
        <f>IFERROR(AVERAGE(Tabel1[[#This Row],[Do - C1]:[Do - C4]]),"")</f>
        <v>2.4166666666666665</v>
      </c>
      <c r="EN417">
        <v>2</v>
      </c>
      <c r="EO417">
        <v>1</v>
      </c>
      <c r="EP417">
        <v>2</v>
      </c>
      <c r="EQ417">
        <f>IFERROR(AVERAGE(Tabel1[[#This Row],[Do - F1a]:[Do - F1c]]),"")</f>
        <v>1.6666666666666667</v>
      </c>
      <c r="ER417">
        <v>1</v>
      </c>
      <c r="ES417">
        <f>IFERROR(AVERAGE(Tabel1[[#This Row],[Do - F2a]:[Do - F2a]]),"")</f>
        <v>1</v>
      </c>
      <c r="ET417">
        <v>2</v>
      </c>
      <c r="EU417">
        <v>2</v>
      </c>
      <c r="EV417">
        <f>IFERROR(AVERAGE(Tabel1[[#This Row],[Do - F3a]:[Do - F3b]]),"")</f>
        <v>2</v>
      </c>
      <c r="EW417">
        <v>2</v>
      </c>
      <c r="EX417">
        <f>IFERROR(AVERAGE(Tabel1[[#This Row],[Do - F1]],Tabel1[[#This Row],[Do - F2]],Tabel1[[#This Row],[Do - F3]],Tabel1[[#This Row],[Do - F4]]),"")</f>
        <v>1.6666666666666667</v>
      </c>
      <c r="EY417">
        <v>1</v>
      </c>
      <c r="EZ417">
        <v>1</v>
      </c>
      <c r="FA417">
        <v>4</v>
      </c>
      <c r="FB417">
        <f>IFERROR(AVERAGE(Tabel1[[#This Row],[Do - V1a]:[Do - V1c]]),"")</f>
        <v>2</v>
      </c>
      <c r="FC417">
        <v>2</v>
      </c>
      <c r="FD417">
        <v>3</v>
      </c>
      <c r="FE417">
        <f>IFERROR(AVERAGE(Tabel1[[#This Row],[Do - V2a]:[Do - V2b]]),"")</f>
        <v>2.5</v>
      </c>
      <c r="FF417">
        <v>2</v>
      </c>
      <c r="FG417">
        <f>IFERROR(AVERAGE(Tabel1[[#This Row],[Do - V3a]:[Do - V3a]]),"")</f>
        <v>2</v>
      </c>
      <c r="FH417">
        <v>2</v>
      </c>
      <c r="FI417">
        <f>IFERROR(AVERAGE(Tabel1[[#This Row],[Do - V1]],Tabel1[[#This Row],[Do - V2]],Tabel1[[#This Row],[Do - V3]],Tabel1[[#This Row],[Do - V4]]),"")</f>
        <v>2.125</v>
      </c>
      <c r="FJ417">
        <v>2</v>
      </c>
      <c r="FK417">
        <v>1</v>
      </c>
      <c r="FL417">
        <v>2</v>
      </c>
      <c r="FM417">
        <f>IFERROR(AVERAGE(Tabel1[[#This Row],[Do - A1a]:[Do - A1c]]),"")</f>
        <v>1.6666666666666667</v>
      </c>
      <c r="FN417">
        <v>2</v>
      </c>
      <c r="FO417">
        <v>4</v>
      </c>
      <c r="FP417">
        <f>IFERROR(AVERAGE(Tabel1[[#This Row],[Do - A2a]:[Do - A2b]]),"")</f>
        <v>3</v>
      </c>
      <c r="FQ417">
        <v>3</v>
      </c>
      <c r="FR417">
        <f>IFERROR(AVERAGE(Tabel1[[#This Row],[Do - A3a]:[Do - A3a]]),"")</f>
        <v>3</v>
      </c>
      <c r="FS417">
        <v>2</v>
      </c>
      <c r="FT417">
        <f>IFERROR(AVERAGE(Tabel1[[#This Row],[Do - A1]],Tabel1[[#This Row],[Do - A2]],Tabel1[[#This Row],[Do - A3]],Tabel1[[#This Row],[Do - A4]]),"")</f>
        <v>2.416666666666667</v>
      </c>
      <c r="FU41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2.335</v>
      </c>
      <c r="FV417" t="s">
        <v>2070</v>
      </c>
      <c r="FW417" t="b">
        <v>1</v>
      </c>
    </row>
    <row r="418" spans="1:179" x14ac:dyDescent="0.3">
      <c r="A418" s="13">
        <v>45665.479872685202</v>
      </c>
      <c r="B418" t="b">
        <v>0</v>
      </c>
      <c r="C418" t="s">
        <v>2071</v>
      </c>
      <c r="D418" t="s">
        <v>2072</v>
      </c>
      <c r="E418" s="14" t="s">
        <v>2029</v>
      </c>
      <c r="F418" s="14" t="s">
        <v>184</v>
      </c>
      <c r="G418" t="s">
        <v>2073</v>
      </c>
      <c r="H418" t="s">
        <v>194</v>
      </c>
      <c r="I418" t="s">
        <v>195</v>
      </c>
      <c r="J418" t="s">
        <v>406</v>
      </c>
      <c r="K418" t="s">
        <v>235</v>
      </c>
      <c r="L418" t="s">
        <v>249</v>
      </c>
      <c r="M418" t="s">
        <v>198</v>
      </c>
      <c r="N418" t="s">
        <v>262</v>
      </c>
      <c r="O418" t="s">
        <v>200</v>
      </c>
      <c r="P418" t="s">
        <v>255</v>
      </c>
      <c r="Q418" t="s">
        <v>203</v>
      </c>
      <c r="R418" t="s">
        <v>235</v>
      </c>
      <c r="S418" t="s">
        <v>235</v>
      </c>
      <c r="T418" t="s">
        <v>204</v>
      </c>
      <c r="U418" t="s">
        <v>285</v>
      </c>
      <c r="V418" t="s">
        <v>206</v>
      </c>
      <c r="W418" t="s">
        <v>207</v>
      </c>
      <c r="X418" t="s">
        <v>207</v>
      </c>
      <c r="Y418">
        <v>4</v>
      </c>
      <c r="Z418">
        <v>4</v>
      </c>
      <c r="AA418" t="s">
        <v>189</v>
      </c>
      <c r="AB418">
        <f>IFERROR(AVERAGE(Tabel1[[#This Row],[Up - R1a]:[Up - R1c]]),"")</f>
        <v>4</v>
      </c>
      <c r="AC418">
        <v>2</v>
      </c>
      <c r="AD418">
        <v>2</v>
      </c>
      <c r="AE418" t="s">
        <v>189</v>
      </c>
      <c r="AF418" t="s">
        <v>189</v>
      </c>
      <c r="AG418">
        <f>IFERROR(AVERAGE(Tabel1[[#This Row],[Up - R1]:[Up - R5]]),"")</f>
        <v>2.6666666666666665</v>
      </c>
      <c r="AH418" t="s">
        <v>189</v>
      </c>
      <c r="AI418">
        <v>3</v>
      </c>
      <c r="AJ418">
        <v>4</v>
      </c>
      <c r="AK418">
        <f>IFERROR(AVERAGE(Tabel1[[#This Row],[Up - C1a]:[Up - C1c]]),"")</f>
        <v>3.5</v>
      </c>
      <c r="AL418">
        <v>4</v>
      </c>
      <c r="AM418" t="s">
        <v>189</v>
      </c>
      <c r="AN418">
        <v>2</v>
      </c>
      <c r="AO418">
        <f>IFERROR(AVERAGE(Tabel1[[#This Row],[Up - C1]:[Up - C4]]),"")</f>
        <v>3.1666666666666665</v>
      </c>
      <c r="AP418">
        <v>2</v>
      </c>
      <c r="AQ418">
        <f>IFERROR(AVERAGE(Tabel1[[#This Row],[Up - F1a]:[Up - F1a]]),"")</f>
        <v>2</v>
      </c>
      <c r="AR418">
        <v>2</v>
      </c>
      <c r="AS418">
        <v>3</v>
      </c>
      <c r="AT418">
        <f>IFERROR(AVERAGE(Tabel1[[#This Row],[Up - F2a]:[Up - F2b]]),"")</f>
        <v>2.5</v>
      </c>
      <c r="AU418">
        <v>3</v>
      </c>
      <c r="AV418">
        <v>1</v>
      </c>
      <c r="AW418">
        <f>IFERROR(AVERAGE(Tabel1[[#This Row],[Up - F3a]:[Up - F3b]]),"")</f>
        <v>2</v>
      </c>
      <c r="AX418">
        <v>3</v>
      </c>
      <c r="AY418">
        <f>IFERROR(AVERAGE(Tabel1[[#This Row],[Up - F1]],Tabel1[[#This Row],[Up - F2]],Tabel1[[#This Row],[Up - F3]],Tabel1[[#This Row],[Up - F4]]),"")</f>
        <v>2.375</v>
      </c>
      <c r="AZ418" t="s">
        <v>189</v>
      </c>
      <c r="BA418">
        <v>4</v>
      </c>
      <c r="BB418">
        <f>IFERROR(AVERAGE(Tabel1[[#This Row],[Up - V1a]:[Up - V1b]]),"")</f>
        <v>4</v>
      </c>
      <c r="BC418">
        <v>5</v>
      </c>
      <c r="BD418">
        <v>1</v>
      </c>
      <c r="BE418">
        <v>4</v>
      </c>
      <c r="BF418">
        <f>IFERROR(AVERAGE(Tabel1[[#This Row],[Up - V2a]:[Up - V2c]]),"")</f>
        <v>3.3333333333333335</v>
      </c>
      <c r="BG418" t="s">
        <v>189</v>
      </c>
      <c r="BH418">
        <v>5</v>
      </c>
      <c r="BI418">
        <f>IFERROR(AVERAGE(Tabel1[[#This Row],[Up - V3a]:[Up - V3b]]),"")</f>
        <v>5</v>
      </c>
      <c r="BJ418" t="s">
        <v>189</v>
      </c>
      <c r="BK418">
        <f>IFERROR(AVERAGE(Tabel1[[#This Row],[Up - V1]],Tabel1[[#This Row],[Up - V2]],Tabel1[[#This Row],[Up - V3]],Tabel1[[#This Row],[Up - V4]]),"")</f>
        <v>4.1111111111111116</v>
      </c>
      <c r="BL418">
        <v>3</v>
      </c>
      <c r="BM418">
        <v>4</v>
      </c>
      <c r="BN418">
        <v>3</v>
      </c>
      <c r="BO418">
        <v>2</v>
      </c>
      <c r="BP418">
        <f>IFERROR(AVERAGE(Tabel1[[#This Row],[Up - A1a]:[Up - A1d]]),"")</f>
        <v>3</v>
      </c>
      <c r="BQ418">
        <v>3</v>
      </c>
      <c r="BR418">
        <v>2</v>
      </c>
      <c r="BS418">
        <f>IFERROR(AVERAGE(Tabel1[[#This Row],[Up - A2a]:[Up - A2b]]),"")</f>
        <v>2.5</v>
      </c>
      <c r="BT418">
        <v>4</v>
      </c>
      <c r="BU418">
        <f>IFERROR(AVERAGE(Tabel1[[#This Row],[Up - A3a]:[Up - A3a]]),"")</f>
        <v>4</v>
      </c>
      <c r="BV418">
        <v>5</v>
      </c>
      <c r="BW418">
        <f>IFERROR(AVERAGE(Tabel1[[#This Row],[Up - A1]],Tabel1[[#This Row],[Up - A2]],Tabel1[[#This Row],[Up - A3]]),"")</f>
        <v>3.1666666666666665</v>
      </c>
      <c r="BX418">
        <v>2</v>
      </c>
      <c r="BY418">
        <v>4</v>
      </c>
      <c r="BZ418">
        <f>IFERROR(AVERAGE(Tabel1[[#This Row],[In - R1a]:[In - R1b]]),"")</f>
        <v>3</v>
      </c>
      <c r="CA418">
        <v>3</v>
      </c>
      <c r="CB418">
        <v>4</v>
      </c>
      <c r="CC418">
        <v>1</v>
      </c>
      <c r="CD418" t="s">
        <v>189</v>
      </c>
      <c r="CE418">
        <f>IFERROR(AVERAGE(Tabel1[[#This Row],[In - R1]:[In - R5]]),"")</f>
        <v>2.75</v>
      </c>
      <c r="CF418">
        <v>4</v>
      </c>
      <c r="CG418">
        <v>3</v>
      </c>
      <c r="CH418">
        <v>3</v>
      </c>
      <c r="CI418">
        <f>IFERROR(AVERAGE(Tabel1[[#This Row],[In - C1a]:[In - C1c]]),"")</f>
        <v>3.3333333333333335</v>
      </c>
      <c r="CJ418">
        <v>3</v>
      </c>
      <c r="CK418">
        <v>4</v>
      </c>
      <c r="CL418">
        <v>4</v>
      </c>
      <c r="CM418">
        <f>IFERROR(AVERAGE(Tabel1[[#This Row],[In - C1]:[In - C4]]),"")</f>
        <v>3.5833333333333335</v>
      </c>
      <c r="CN418">
        <v>4</v>
      </c>
      <c r="CO418">
        <v>2</v>
      </c>
      <c r="CP418">
        <v>3</v>
      </c>
      <c r="CQ418">
        <f>IFERROR(AVERAGE(Tabel1[[#This Row],[In - F1a]:[In - F1c]]),"")</f>
        <v>3</v>
      </c>
      <c r="CR418">
        <v>4</v>
      </c>
      <c r="CS418">
        <v>1</v>
      </c>
      <c r="CT418">
        <f>IFERROR(AVERAGE(Tabel1[[#This Row],[In - F2a]:[In - F2b]]),"")</f>
        <v>2.5</v>
      </c>
      <c r="CU418">
        <v>1</v>
      </c>
      <c r="CV418">
        <f>IFERROR(AVERAGE(Tabel1[[#This Row],[In - F3a]:[In - F3a]]),"")</f>
        <v>1</v>
      </c>
      <c r="CW418" t="s">
        <v>189</v>
      </c>
      <c r="CX418">
        <f>IFERROR(AVERAGE(Tabel1[[#This Row],[In - F1]],Tabel1[[#This Row],[In - F2]],Tabel1[[#This Row],[In - F3]],Tabel1[[#This Row],[In - F4]]),"")</f>
        <v>2.1666666666666665</v>
      </c>
      <c r="CY418">
        <v>4</v>
      </c>
      <c r="CZ418">
        <v>4</v>
      </c>
      <c r="DA418">
        <v>3</v>
      </c>
      <c r="DB418">
        <f>IFERROR(AVERAGE(Tabel1[[#This Row],[In - V1a]:[In - V1c]]),"")</f>
        <v>3.6666666666666665</v>
      </c>
      <c r="DC418">
        <v>1</v>
      </c>
      <c r="DD418">
        <v>3</v>
      </c>
      <c r="DE418">
        <v>4</v>
      </c>
      <c r="DF418">
        <f>IFERROR(AVERAGE(Tabel1[[#This Row],[In - V2a]:[In - V2c]]),"")</f>
        <v>2.6666666666666665</v>
      </c>
      <c r="DG418">
        <v>4</v>
      </c>
      <c r="DH418">
        <v>5</v>
      </c>
      <c r="DI418">
        <f>IFERROR(AVERAGE(Tabel1[[#This Row],[In - V3a]:[In - V3b]]),"")</f>
        <v>4.5</v>
      </c>
      <c r="DJ418">
        <v>3</v>
      </c>
      <c r="DK418">
        <f>IFERROR(AVERAGE(Tabel1[[#This Row],[In - V1]],Tabel1[[#This Row],[In - V2]],Tabel1[[#This Row],[In - V3]],Tabel1[[#This Row],[In - V4]]),"")</f>
        <v>3.458333333333333</v>
      </c>
      <c r="DL418">
        <v>2</v>
      </c>
      <c r="DM418">
        <v>4</v>
      </c>
      <c r="DN418">
        <f>IFERROR(AVERAGE(Tabel1[[#This Row],[In - A1a]:[In - A1b]]),"")</f>
        <v>3</v>
      </c>
      <c r="DO418">
        <v>3</v>
      </c>
      <c r="DP418">
        <v>3</v>
      </c>
      <c r="DQ418">
        <f>IFERROR(AVERAGE(Tabel1[[#This Row],[In - A2a]:[In - A2b]]),"")</f>
        <v>3</v>
      </c>
      <c r="DR418">
        <v>4</v>
      </c>
      <c r="DS418">
        <v>2</v>
      </c>
      <c r="DT418">
        <f>IFERROR(AVERAGE(Tabel1[[#This Row],[In - A3a]:[In - A3a]]),"")</f>
        <v>4</v>
      </c>
      <c r="DU418">
        <v>3</v>
      </c>
      <c r="DV418">
        <f>IFERROR(AVERAGE(Tabel1[[#This Row],[In - A1]],Tabel1[[#This Row],[In - A2]],Tabel1[[#This Row],[In - A3]],Tabel1[[#This Row],[In - A4]]),"")</f>
        <v>3.25</v>
      </c>
      <c r="DW418">
        <v>4</v>
      </c>
      <c r="DX418">
        <v>5</v>
      </c>
      <c r="DY418">
        <v>3</v>
      </c>
      <c r="DZ418">
        <f>IFERROR(AVERAGE(Tabel1[[#This Row],[Do - R1a]:[Do - R1c]]),"")</f>
        <v>4</v>
      </c>
      <c r="EA418">
        <v>3</v>
      </c>
      <c r="EB418">
        <v>4</v>
      </c>
      <c r="EC418">
        <v>1</v>
      </c>
      <c r="ED418" t="s">
        <v>189</v>
      </c>
      <c r="EE418">
        <f>IFERROR(AVERAGE(Tabel1[[#This Row],[Do - R1]:[Do - R5]]),"")</f>
        <v>3</v>
      </c>
      <c r="EF418" t="s">
        <v>189</v>
      </c>
      <c r="EG418">
        <v>4</v>
      </c>
      <c r="EH418">
        <v>3</v>
      </c>
      <c r="EI418">
        <f>IFERROR(AVERAGE(Tabel1[[#This Row],[Do - C1a]:[Do - C1c]]),"")</f>
        <v>3.5</v>
      </c>
      <c r="EJ418">
        <v>3</v>
      </c>
      <c r="EK418" t="s">
        <v>189</v>
      </c>
      <c r="EL418">
        <v>2</v>
      </c>
      <c r="EM418">
        <f>IFERROR(AVERAGE(Tabel1[[#This Row],[Do - C1]:[Do - C4]]),"")</f>
        <v>2.8333333333333335</v>
      </c>
      <c r="EN418">
        <v>2</v>
      </c>
      <c r="EO418">
        <v>2</v>
      </c>
      <c r="EP418">
        <v>3</v>
      </c>
      <c r="EQ418">
        <f>IFERROR(AVERAGE(Tabel1[[#This Row],[Do - F1a]:[Do - F1c]]),"")</f>
        <v>2.3333333333333335</v>
      </c>
      <c r="ER418">
        <v>1</v>
      </c>
      <c r="ES418">
        <f>IFERROR(AVERAGE(Tabel1[[#This Row],[Do - F2a]:[Do - F2a]]),"")</f>
        <v>1</v>
      </c>
      <c r="ET418">
        <v>3</v>
      </c>
      <c r="EU418">
        <v>2</v>
      </c>
      <c r="EV418">
        <f>IFERROR(AVERAGE(Tabel1[[#This Row],[Do - F3a]:[Do - F3b]]),"")</f>
        <v>2.5</v>
      </c>
      <c r="EW418">
        <v>3</v>
      </c>
      <c r="EX418">
        <f>IFERROR(AVERAGE(Tabel1[[#This Row],[Do - F1]],Tabel1[[#This Row],[Do - F2]],Tabel1[[#This Row],[Do - F3]],Tabel1[[#This Row],[Do - F4]]),"")</f>
        <v>2.2083333333333335</v>
      </c>
      <c r="EY418">
        <v>4</v>
      </c>
      <c r="EZ418">
        <v>4</v>
      </c>
      <c r="FA418">
        <v>3</v>
      </c>
      <c r="FB418">
        <f>IFERROR(AVERAGE(Tabel1[[#This Row],[Do - V1a]:[Do - V1c]]),"")</f>
        <v>3.6666666666666665</v>
      </c>
      <c r="FC418">
        <v>5</v>
      </c>
      <c r="FD418">
        <v>2</v>
      </c>
      <c r="FE418">
        <f>IFERROR(AVERAGE(Tabel1[[#This Row],[Do - V2a]:[Do - V2b]]),"")</f>
        <v>3.5</v>
      </c>
      <c r="FF418">
        <v>4</v>
      </c>
      <c r="FG418">
        <f>IFERROR(AVERAGE(Tabel1[[#This Row],[Do - V3a]:[Do - V3a]]),"")</f>
        <v>4</v>
      </c>
      <c r="FH418">
        <v>4</v>
      </c>
      <c r="FI418">
        <f>IFERROR(AVERAGE(Tabel1[[#This Row],[Do - V1]],Tabel1[[#This Row],[Do - V2]],Tabel1[[#This Row],[Do - V3]],Tabel1[[#This Row],[Do - V4]]),"")</f>
        <v>3.7916666666666665</v>
      </c>
      <c r="FJ418">
        <v>3</v>
      </c>
      <c r="FK418">
        <v>1</v>
      </c>
      <c r="FL418">
        <v>4</v>
      </c>
      <c r="FM418">
        <f>IFERROR(AVERAGE(Tabel1[[#This Row],[Do - A1a]:[Do - A1c]]),"")</f>
        <v>2.6666666666666665</v>
      </c>
      <c r="FN418">
        <v>2</v>
      </c>
      <c r="FO418">
        <v>3</v>
      </c>
      <c r="FP418">
        <f>IFERROR(AVERAGE(Tabel1[[#This Row],[Do - A2a]:[Do - A2b]]),"")</f>
        <v>2.5</v>
      </c>
      <c r="FQ418">
        <v>4</v>
      </c>
      <c r="FR418">
        <f>IFERROR(AVERAGE(Tabel1[[#This Row],[Do - A3a]:[Do - A3a]]),"")</f>
        <v>4</v>
      </c>
      <c r="FS418">
        <v>5</v>
      </c>
      <c r="FT418">
        <f>IFERROR(AVERAGE(Tabel1[[#This Row],[Do - A1]],Tabel1[[#This Row],[Do - A2]],Tabel1[[#This Row],[Do - A3]],Tabel1[[#This Row],[Do - A4]]),"")</f>
        <v>3.5416666666666665</v>
      </c>
      <c r="FU41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3.0712962962962962</v>
      </c>
      <c r="FV418" s="31" t="s">
        <v>2074</v>
      </c>
      <c r="FW418" t="b">
        <v>1</v>
      </c>
    </row>
    <row r="419" spans="1:179" x14ac:dyDescent="0.3">
      <c r="A419" s="13">
        <v>45665.479930555601</v>
      </c>
      <c r="B419" t="b">
        <v>0</v>
      </c>
      <c r="C419" t="s">
        <v>2075</v>
      </c>
      <c r="D419" t="s">
        <v>2076</v>
      </c>
      <c r="E419" s="14" t="s">
        <v>2029</v>
      </c>
      <c r="F419" s="14" t="s">
        <v>184</v>
      </c>
      <c r="G419" t="s">
        <v>2077</v>
      </c>
      <c r="H419" t="s">
        <v>194</v>
      </c>
      <c r="I419" t="s">
        <v>195</v>
      </c>
      <c r="J419" t="s">
        <v>406</v>
      </c>
      <c r="K419" t="s">
        <v>235</v>
      </c>
      <c r="L419" t="s">
        <v>385</v>
      </c>
      <c r="M419" t="s">
        <v>198</v>
      </c>
      <c r="N419" t="s">
        <v>262</v>
      </c>
      <c r="O419" t="s">
        <v>200</v>
      </c>
      <c r="P419" t="s">
        <v>255</v>
      </c>
      <c r="Q419" t="s">
        <v>201</v>
      </c>
      <c r="R419" t="s">
        <v>235</v>
      </c>
      <c r="S419" t="s">
        <v>235</v>
      </c>
      <c r="T419" t="s">
        <v>204</v>
      </c>
      <c r="U419" t="s">
        <v>285</v>
      </c>
      <c r="V419" t="s">
        <v>206</v>
      </c>
      <c r="W419" t="s">
        <v>207</v>
      </c>
      <c r="X419" t="s">
        <v>207</v>
      </c>
      <c r="Y419">
        <v>4</v>
      </c>
      <c r="Z419">
        <v>4</v>
      </c>
      <c r="AA419" t="s">
        <v>189</v>
      </c>
      <c r="AB419">
        <f>IFERROR(AVERAGE(Tabel1[[#This Row],[Up - R1a]:[Up - R1c]]),"")</f>
        <v>4</v>
      </c>
      <c r="AC419">
        <v>2</v>
      </c>
      <c r="AD419">
        <v>3</v>
      </c>
      <c r="AE419">
        <v>1</v>
      </c>
      <c r="AF419" t="s">
        <v>189</v>
      </c>
      <c r="AG419">
        <f>IFERROR(AVERAGE(Tabel1[[#This Row],[Up - R1]:[Up - R5]]),"")</f>
        <v>2.5</v>
      </c>
      <c r="AH419" t="s">
        <v>189</v>
      </c>
      <c r="AI419">
        <v>3</v>
      </c>
      <c r="AJ419">
        <v>4</v>
      </c>
      <c r="AK419">
        <f>IFERROR(AVERAGE(Tabel1[[#This Row],[Up - C1a]:[Up - C1c]]),"")</f>
        <v>3.5</v>
      </c>
      <c r="AL419">
        <v>4</v>
      </c>
      <c r="AM419" t="s">
        <v>189</v>
      </c>
      <c r="AN419">
        <v>2</v>
      </c>
      <c r="AO419">
        <f>IFERROR(AVERAGE(Tabel1[[#This Row],[Up - C1]:[Up - C4]]),"")</f>
        <v>3.1666666666666665</v>
      </c>
      <c r="AP419">
        <v>2</v>
      </c>
      <c r="AQ419">
        <f>IFERROR(AVERAGE(Tabel1[[#This Row],[Up - F1a]:[Up - F1a]]),"")</f>
        <v>2</v>
      </c>
      <c r="AR419">
        <v>2</v>
      </c>
      <c r="AS419">
        <v>3</v>
      </c>
      <c r="AT419">
        <f>IFERROR(AVERAGE(Tabel1[[#This Row],[Up - F2a]:[Up - F2b]]),"")</f>
        <v>2.5</v>
      </c>
      <c r="AU419">
        <v>3</v>
      </c>
      <c r="AV419">
        <v>1</v>
      </c>
      <c r="AW419">
        <f>IFERROR(AVERAGE(Tabel1[[#This Row],[Up - F3a]:[Up - F3b]]),"")</f>
        <v>2</v>
      </c>
      <c r="AX419">
        <v>3</v>
      </c>
      <c r="AY419">
        <f>IFERROR(AVERAGE(Tabel1[[#This Row],[Up - F1]],Tabel1[[#This Row],[Up - F2]],Tabel1[[#This Row],[Up - F3]],Tabel1[[#This Row],[Up - F4]]),"")</f>
        <v>2.375</v>
      </c>
      <c r="AZ419" t="s">
        <v>189</v>
      </c>
      <c r="BA419">
        <v>4</v>
      </c>
      <c r="BB419">
        <f>IFERROR(AVERAGE(Tabel1[[#This Row],[Up - V1a]:[Up - V1b]]),"")</f>
        <v>4</v>
      </c>
      <c r="BC419">
        <v>5</v>
      </c>
      <c r="BD419">
        <v>1</v>
      </c>
      <c r="BE419">
        <v>4</v>
      </c>
      <c r="BF419">
        <f>IFERROR(AVERAGE(Tabel1[[#This Row],[Up - V2a]:[Up - V2c]]),"")</f>
        <v>3.3333333333333335</v>
      </c>
      <c r="BG419" t="s">
        <v>189</v>
      </c>
      <c r="BH419">
        <v>5</v>
      </c>
      <c r="BI419">
        <f>IFERROR(AVERAGE(Tabel1[[#This Row],[Up - V3a]:[Up - V3b]]),"")</f>
        <v>5</v>
      </c>
      <c r="BJ419" t="s">
        <v>189</v>
      </c>
      <c r="BK419">
        <f>IFERROR(AVERAGE(Tabel1[[#This Row],[Up - V1]],Tabel1[[#This Row],[Up - V2]],Tabel1[[#This Row],[Up - V3]],Tabel1[[#This Row],[Up - V4]]),"")</f>
        <v>4.1111111111111116</v>
      </c>
      <c r="BL419">
        <v>3</v>
      </c>
      <c r="BM419">
        <v>4</v>
      </c>
      <c r="BN419" t="s">
        <v>189</v>
      </c>
      <c r="BO419">
        <v>1</v>
      </c>
      <c r="BP419">
        <f>IFERROR(AVERAGE(Tabel1[[#This Row],[Up - A1a]:[Up - A1d]]),"")</f>
        <v>2.6666666666666665</v>
      </c>
      <c r="BQ419">
        <v>3</v>
      </c>
      <c r="BR419">
        <v>2</v>
      </c>
      <c r="BS419">
        <f>IFERROR(AVERAGE(Tabel1[[#This Row],[Up - A2a]:[Up - A2b]]),"")</f>
        <v>2.5</v>
      </c>
      <c r="BT419">
        <v>3</v>
      </c>
      <c r="BU419">
        <f>IFERROR(AVERAGE(Tabel1[[#This Row],[Up - A3a]:[Up - A3a]]),"")</f>
        <v>3</v>
      </c>
      <c r="BV419">
        <v>5</v>
      </c>
      <c r="BW419">
        <f>IFERROR(AVERAGE(Tabel1[[#This Row],[Up - A1]],Tabel1[[#This Row],[Up - A2]],Tabel1[[#This Row],[Up - A3]]),"")</f>
        <v>2.7222222222222219</v>
      </c>
      <c r="BX419">
        <v>2</v>
      </c>
      <c r="BY419">
        <v>3</v>
      </c>
      <c r="BZ419">
        <f>IFERROR(AVERAGE(Tabel1[[#This Row],[In - R1a]:[In - R1b]]),"")</f>
        <v>2.5</v>
      </c>
      <c r="CA419">
        <v>3</v>
      </c>
      <c r="CB419">
        <v>4</v>
      </c>
      <c r="CC419">
        <v>1</v>
      </c>
      <c r="CD419">
        <v>2</v>
      </c>
      <c r="CE419">
        <f>IFERROR(AVERAGE(Tabel1[[#This Row],[In - R1]:[In - R5]]),"")</f>
        <v>2.5</v>
      </c>
      <c r="CF419">
        <v>4</v>
      </c>
      <c r="CG419">
        <v>3</v>
      </c>
      <c r="CH419">
        <v>3</v>
      </c>
      <c r="CI419">
        <f>IFERROR(AVERAGE(Tabel1[[#This Row],[In - C1a]:[In - C1c]]),"")</f>
        <v>3.3333333333333335</v>
      </c>
      <c r="CJ419">
        <v>4</v>
      </c>
      <c r="CK419">
        <v>4</v>
      </c>
      <c r="CL419">
        <v>4</v>
      </c>
      <c r="CM419">
        <f>IFERROR(AVERAGE(Tabel1[[#This Row],[In - C1]:[In - C4]]),"")</f>
        <v>3.8333333333333335</v>
      </c>
      <c r="CN419">
        <v>4</v>
      </c>
      <c r="CO419">
        <v>2</v>
      </c>
      <c r="CP419">
        <v>3</v>
      </c>
      <c r="CQ419">
        <f>IFERROR(AVERAGE(Tabel1[[#This Row],[In - F1a]:[In - F1c]]),"")</f>
        <v>3</v>
      </c>
      <c r="CR419">
        <v>4</v>
      </c>
      <c r="CS419">
        <v>1</v>
      </c>
      <c r="CT419">
        <f>IFERROR(AVERAGE(Tabel1[[#This Row],[In - F2a]:[In - F2b]]),"")</f>
        <v>2.5</v>
      </c>
      <c r="CU419">
        <v>1</v>
      </c>
      <c r="CV419">
        <f>IFERROR(AVERAGE(Tabel1[[#This Row],[In - F3a]:[In - F3a]]),"")</f>
        <v>1</v>
      </c>
      <c r="CW419">
        <v>3</v>
      </c>
      <c r="CX419">
        <f>IFERROR(AVERAGE(Tabel1[[#This Row],[In - F1]],Tabel1[[#This Row],[In - F2]],Tabel1[[#This Row],[In - F3]],Tabel1[[#This Row],[In - F4]]),"")</f>
        <v>2.375</v>
      </c>
      <c r="CY419">
        <v>4</v>
      </c>
      <c r="CZ419">
        <v>4</v>
      </c>
      <c r="DA419">
        <v>3</v>
      </c>
      <c r="DB419">
        <f>IFERROR(AVERAGE(Tabel1[[#This Row],[In - V1a]:[In - V1c]]),"")</f>
        <v>3.6666666666666665</v>
      </c>
      <c r="DC419">
        <v>1</v>
      </c>
      <c r="DD419">
        <v>3</v>
      </c>
      <c r="DE419">
        <v>4</v>
      </c>
      <c r="DF419">
        <f>IFERROR(AVERAGE(Tabel1[[#This Row],[In - V2a]:[In - V2c]]),"")</f>
        <v>2.6666666666666665</v>
      </c>
      <c r="DG419">
        <v>4</v>
      </c>
      <c r="DH419">
        <v>5</v>
      </c>
      <c r="DI419">
        <f>IFERROR(AVERAGE(Tabel1[[#This Row],[In - V3a]:[In - V3b]]),"")</f>
        <v>4.5</v>
      </c>
      <c r="DJ419">
        <v>4</v>
      </c>
      <c r="DK419">
        <f>IFERROR(AVERAGE(Tabel1[[#This Row],[In - V1]],Tabel1[[#This Row],[In - V2]],Tabel1[[#This Row],[In - V3]],Tabel1[[#This Row],[In - V4]]),"")</f>
        <v>3.708333333333333</v>
      </c>
      <c r="DL419">
        <v>3</v>
      </c>
      <c r="DM419">
        <v>3</v>
      </c>
      <c r="DN419">
        <f>IFERROR(AVERAGE(Tabel1[[#This Row],[In - A1a]:[In - A1b]]),"")</f>
        <v>3</v>
      </c>
      <c r="DO419">
        <v>2</v>
      </c>
      <c r="DP419">
        <v>3</v>
      </c>
      <c r="DQ419">
        <f>IFERROR(AVERAGE(Tabel1[[#This Row],[In - A2a]:[In - A2b]]),"")</f>
        <v>2.5</v>
      </c>
      <c r="DR419">
        <v>4</v>
      </c>
      <c r="DS419">
        <v>2</v>
      </c>
      <c r="DT419">
        <f>IFERROR(AVERAGE(Tabel1[[#This Row],[In - A3a]:[In - A3a]]),"")</f>
        <v>4</v>
      </c>
      <c r="DU419">
        <v>3</v>
      </c>
      <c r="DV419">
        <f>IFERROR(AVERAGE(Tabel1[[#This Row],[In - A1]],Tabel1[[#This Row],[In - A2]],Tabel1[[#This Row],[In - A3]],Tabel1[[#This Row],[In - A4]]),"")</f>
        <v>3.125</v>
      </c>
      <c r="DW419">
        <v>4</v>
      </c>
      <c r="DX419">
        <v>5</v>
      </c>
      <c r="DY419">
        <v>3</v>
      </c>
      <c r="DZ419">
        <f>IFERROR(AVERAGE(Tabel1[[#This Row],[Do - R1a]:[Do - R1c]]),"")</f>
        <v>4</v>
      </c>
      <c r="EA419">
        <v>3</v>
      </c>
      <c r="EB419">
        <v>4</v>
      </c>
      <c r="EC419">
        <v>1</v>
      </c>
      <c r="ED419" t="s">
        <v>189</v>
      </c>
      <c r="EE419">
        <f>IFERROR(AVERAGE(Tabel1[[#This Row],[Do - R1]:[Do - R5]]),"")</f>
        <v>3</v>
      </c>
      <c r="EF419">
        <v>3</v>
      </c>
      <c r="EG419">
        <v>4</v>
      </c>
      <c r="EH419">
        <v>2</v>
      </c>
      <c r="EI419">
        <f>IFERROR(AVERAGE(Tabel1[[#This Row],[Do - C1a]:[Do - C1c]]),"")</f>
        <v>3</v>
      </c>
      <c r="EJ419">
        <v>3</v>
      </c>
      <c r="EK419" t="s">
        <v>189</v>
      </c>
      <c r="EL419">
        <v>2</v>
      </c>
      <c r="EM419">
        <f>IFERROR(AVERAGE(Tabel1[[#This Row],[Do - C1]:[Do - C4]]),"")</f>
        <v>2.6666666666666665</v>
      </c>
      <c r="EN419">
        <v>2</v>
      </c>
      <c r="EO419">
        <v>2</v>
      </c>
      <c r="EP419">
        <v>3</v>
      </c>
      <c r="EQ419">
        <f>IFERROR(AVERAGE(Tabel1[[#This Row],[Do - F1a]:[Do - F1c]]),"")</f>
        <v>2.3333333333333335</v>
      </c>
      <c r="ER419">
        <v>1</v>
      </c>
      <c r="ES419">
        <f>IFERROR(AVERAGE(Tabel1[[#This Row],[Do - F2a]:[Do - F2a]]),"")</f>
        <v>1</v>
      </c>
      <c r="ET419">
        <v>3</v>
      </c>
      <c r="EU419">
        <v>2</v>
      </c>
      <c r="EV419">
        <f>IFERROR(AVERAGE(Tabel1[[#This Row],[Do - F3a]:[Do - F3b]]),"")</f>
        <v>2.5</v>
      </c>
      <c r="EW419">
        <v>2</v>
      </c>
      <c r="EX419">
        <f>IFERROR(AVERAGE(Tabel1[[#This Row],[Do - F1]],Tabel1[[#This Row],[Do - F2]],Tabel1[[#This Row],[Do - F3]],Tabel1[[#This Row],[Do - F4]]),"")</f>
        <v>1.9583333333333335</v>
      </c>
      <c r="EY419">
        <v>4</v>
      </c>
      <c r="EZ419">
        <v>4</v>
      </c>
      <c r="FA419">
        <v>3</v>
      </c>
      <c r="FB419">
        <f>IFERROR(AVERAGE(Tabel1[[#This Row],[Do - V1a]:[Do - V1c]]),"")</f>
        <v>3.6666666666666665</v>
      </c>
      <c r="FC419">
        <v>5</v>
      </c>
      <c r="FD419">
        <v>1</v>
      </c>
      <c r="FE419">
        <f>IFERROR(AVERAGE(Tabel1[[#This Row],[Do - V2a]:[Do - V2b]]),"")</f>
        <v>3</v>
      </c>
      <c r="FF419">
        <v>4</v>
      </c>
      <c r="FG419">
        <f>IFERROR(AVERAGE(Tabel1[[#This Row],[Do - V3a]:[Do - V3a]]),"")</f>
        <v>4</v>
      </c>
      <c r="FH419">
        <v>5</v>
      </c>
      <c r="FI419">
        <f>IFERROR(AVERAGE(Tabel1[[#This Row],[Do - V1]],Tabel1[[#This Row],[Do - V2]],Tabel1[[#This Row],[Do - V3]],Tabel1[[#This Row],[Do - V4]]),"")</f>
        <v>3.9166666666666665</v>
      </c>
      <c r="FJ419">
        <v>3</v>
      </c>
      <c r="FK419">
        <v>2</v>
      </c>
      <c r="FL419">
        <v>4</v>
      </c>
      <c r="FM419">
        <f>IFERROR(AVERAGE(Tabel1[[#This Row],[Do - A1a]:[Do - A1c]]),"")</f>
        <v>3</v>
      </c>
      <c r="FN419">
        <v>2</v>
      </c>
      <c r="FO419">
        <v>2</v>
      </c>
      <c r="FP419">
        <f>IFERROR(AVERAGE(Tabel1[[#This Row],[Do - A2a]:[Do - A2b]]),"")</f>
        <v>2</v>
      </c>
      <c r="FQ419">
        <v>4</v>
      </c>
      <c r="FR419">
        <f>IFERROR(AVERAGE(Tabel1[[#This Row],[Do - A3a]:[Do - A3a]]),"")</f>
        <v>4</v>
      </c>
      <c r="FS419">
        <v>5</v>
      </c>
      <c r="FT419">
        <f>IFERROR(AVERAGE(Tabel1[[#This Row],[Do - A1]],Tabel1[[#This Row],[Do - A2]],Tabel1[[#This Row],[Do - A3]],Tabel1[[#This Row],[Do - A4]]),"")</f>
        <v>3.5</v>
      </c>
      <c r="FU41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3.0305555555555554</v>
      </c>
      <c r="FV419" s="31" t="s">
        <v>2078</v>
      </c>
      <c r="FW419" t="b">
        <v>1</v>
      </c>
    </row>
    <row r="420" spans="1:179" x14ac:dyDescent="0.3">
      <c r="A420" s="13">
        <v>45666.552349537</v>
      </c>
      <c r="B420" t="b">
        <v>0</v>
      </c>
      <c r="C420" t="s">
        <v>2079</v>
      </c>
      <c r="D420" t="s">
        <v>2080</v>
      </c>
      <c r="E420" t="s">
        <v>2081</v>
      </c>
      <c r="F420" s="14" t="s">
        <v>184</v>
      </c>
      <c r="G420" t="s">
        <v>2082</v>
      </c>
      <c r="H420" t="s">
        <v>194</v>
      </c>
      <c r="I420" t="s">
        <v>195</v>
      </c>
      <c r="J420" t="s">
        <v>461</v>
      </c>
      <c r="K420" t="s">
        <v>235</v>
      </c>
      <c r="L420" t="s">
        <v>249</v>
      </c>
      <c r="M420" t="s">
        <v>233</v>
      </c>
      <c r="N420" t="s">
        <v>262</v>
      </c>
      <c r="O420" t="s">
        <v>200</v>
      </c>
      <c r="P420" t="s">
        <v>255</v>
      </c>
      <c r="Q420" t="s">
        <v>235</v>
      </c>
      <c r="R420" t="s">
        <v>201</v>
      </c>
      <c r="S420" t="s">
        <v>201</v>
      </c>
      <c r="T420" t="s">
        <v>204</v>
      </c>
      <c r="U420" t="s">
        <v>285</v>
      </c>
      <c r="V420" t="s">
        <v>224</v>
      </c>
      <c r="W420" t="s">
        <v>207</v>
      </c>
      <c r="X420" t="s">
        <v>207</v>
      </c>
      <c r="Y420">
        <v>1</v>
      </c>
      <c r="Z420">
        <v>2</v>
      </c>
      <c r="AA420">
        <v>1</v>
      </c>
      <c r="AB420">
        <f>IFERROR(AVERAGE(Tabel1[[#This Row],[Up - R1a]:[Up - R1c]]),"")</f>
        <v>1.3333333333333333</v>
      </c>
      <c r="AC420">
        <v>3</v>
      </c>
      <c r="AD420">
        <v>1</v>
      </c>
      <c r="AE420">
        <v>1</v>
      </c>
      <c r="AF420">
        <v>2</v>
      </c>
      <c r="AG420">
        <f>IFERROR(AVERAGE(Tabel1[[#This Row],[Up - R1]:[Up - R5]]),"")</f>
        <v>1.6666666666666665</v>
      </c>
      <c r="AH420">
        <v>2</v>
      </c>
      <c r="AI420">
        <v>3</v>
      </c>
      <c r="AJ420">
        <v>5</v>
      </c>
      <c r="AK420">
        <f>IFERROR(AVERAGE(Tabel1[[#This Row],[Up - C1a]:[Up - C1c]]),"")</f>
        <v>3.3333333333333335</v>
      </c>
      <c r="AL420">
        <v>5</v>
      </c>
      <c r="AM420">
        <v>4</v>
      </c>
      <c r="AN420">
        <v>5</v>
      </c>
      <c r="AO420">
        <f>IFERROR(AVERAGE(Tabel1[[#This Row],[Up - C1]:[Up - C4]]),"")</f>
        <v>4.3333333333333339</v>
      </c>
      <c r="AP420">
        <v>4</v>
      </c>
      <c r="AQ420">
        <f>IFERROR(AVERAGE(Tabel1[[#This Row],[Up - F1a]:[Up - F1a]]),"")</f>
        <v>4</v>
      </c>
      <c r="AR420">
        <v>1</v>
      </c>
      <c r="AS420">
        <v>1</v>
      </c>
      <c r="AT420">
        <f>IFERROR(AVERAGE(Tabel1[[#This Row],[Up - F2a]:[Up - F2b]]),"")</f>
        <v>1</v>
      </c>
      <c r="AU420">
        <v>3</v>
      </c>
      <c r="AV420">
        <v>1</v>
      </c>
      <c r="AW420">
        <f>IFERROR(AVERAGE(Tabel1[[#This Row],[Up - F3a]:[Up - F3b]]),"")</f>
        <v>2</v>
      </c>
      <c r="AX420">
        <v>5</v>
      </c>
      <c r="AY420">
        <f>IFERROR(AVERAGE(Tabel1[[#This Row],[Up - F1]],Tabel1[[#This Row],[Up - F2]],Tabel1[[#This Row],[Up - F3]],Tabel1[[#This Row],[Up - F4]]),"")</f>
        <v>3</v>
      </c>
      <c r="AZ420">
        <v>5</v>
      </c>
      <c r="BA420">
        <v>5</v>
      </c>
      <c r="BB420">
        <f>IFERROR(AVERAGE(Tabel1[[#This Row],[Up - V1a]:[Up - V1b]]),"")</f>
        <v>5</v>
      </c>
      <c r="BC420">
        <v>2</v>
      </c>
      <c r="BD420">
        <v>4</v>
      </c>
      <c r="BE420">
        <v>5</v>
      </c>
      <c r="BF420">
        <f>IFERROR(AVERAGE(Tabel1[[#This Row],[Up - V2a]:[Up - V2c]]),"")</f>
        <v>3.6666666666666665</v>
      </c>
      <c r="BG420">
        <v>2</v>
      </c>
      <c r="BH420">
        <v>1</v>
      </c>
      <c r="BI420">
        <f>IFERROR(AVERAGE(Tabel1[[#This Row],[Up - V3a]:[Up - V3b]]),"")</f>
        <v>1.5</v>
      </c>
      <c r="BJ420">
        <v>2</v>
      </c>
      <c r="BK420">
        <f>IFERROR(AVERAGE(Tabel1[[#This Row],[Up - V1]],Tabel1[[#This Row],[Up - V2]],Tabel1[[#This Row],[Up - V3]],Tabel1[[#This Row],[Up - V4]]),"")</f>
        <v>3.0416666666666665</v>
      </c>
      <c r="BL420">
        <v>2</v>
      </c>
      <c r="BM420">
        <v>2</v>
      </c>
      <c r="BN420">
        <v>1</v>
      </c>
      <c r="BO420">
        <v>2</v>
      </c>
      <c r="BP420">
        <f>IFERROR(AVERAGE(Tabel1[[#This Row],[Up - A1a]:[Up - A1d]]),"")</f>
        <v>1.75</v>
      </c>
      <c r="BQ420">
        <v>5</v>
      </c>
      <c r="BR420">
        <v>2</v>
      </c>
      <c r="BS420">
        <f>IFERROR(AVERAGE(Tabel1[[#This Row],[Up - A2a]:[Up - A2b]]),"")</f>
        <v>3.5</v>
      </c>
      <c r="BT420">
        <v>2</v>
      </c>
      <c r="BU420">
        <f>IFERROR(AVERAGE(Tabel1[[#This Row],[Up - A3a]:[Up - A3a]]),"")</f>
        <v>2</v>
      </c>
      <c r="BV420">
        <v>2</v>
      </c>
      <c r="BW420">
        <f>IFERROR(AVERAGE(Tabel1[[#This Row],[Up - A1]],Tabel1[[#This Row],[Up - A2]],Tabel1[[#This Row],[Up - A3]]),"")</f>
        <v>2.4166666666666665</v>
      </c>
      <c r="BX420">
        <v>2</v>
      </c>
      <c r="BY420">
        <v>1</v>
      </c>
      <c r="BZ420">
        <f>IFERROR(AVERAGE(Tabel1[[#This Row],[In - R1a]:[In - R1b]]),"")</f>
        <v>1.5</v>
      </c>
      <c r="CA420">
        <v>4</v>
      </c>
      <c r="CB420">
        <v>3</v>
      </c>
      <c r="CC420">
        <v>3</v>
      </c>
      <c r="CD420">
        <v>3</v>
      </c>
      <c r="CE420">
        <f>IFERROR(AVERAGE(Tabel1[[#This Row],[In - R1]:[In - R5]]),"")</f>
        <v>2.9</v>
      </c>
      <c r="CF420">
        <v>5</v>
      </c>
      <c r="CG420">
        <v>2</v>
      </c>
      <c r="CH420">
        <v>2</v>
      </c>
      <c r="CI420">
        <f>IFERROR(AVERAGE(Tabel1[[#This Row],[In - C1a]:[In - C1c]]),"")</f>
        <v>3</v>
      </c>
      <c r="CJ420">
        <v>2</v>
      </c>
      <c r="CK420">
        <v>4</v>
      </c>
      <c r="CL420" t="s">
        <v>189</v>
      </c>
      <c r="CM420">
        <f>IFERROR(AVERAGE(Tabel1[[#This Row],[In - C1]:[In - C4]]),"")</f>
        <v>3</v>
      </c>
      <c r="CN420">
        <v>4</v>
      </c>
      <c r="CO420">
        <v>3</v>
      </c>
      <c r="CP420">
        <v>1</v>
      </c>
      <c r="CQ420">
        <f>IFERROR(AVERAGE(Tabel1[[#This Row],[In - F1a]:[In - F1c]]),"")</f>
        <v>2.6666666666666665</v>
      </c>
      <c r="CR420">
        <v>1</v>
      </c>
      <c r="CS420">
        <v>1</v>
      </c>
      <c r="CT420">
        <f>IFERROR(AVERAGE(Tabel1[[#This Row],[In - F2a]:[In - F2b]]),"")</f>
        <v>1</v>
      </c>
      <c r="CU420">
        <v>1</v>
      </c>
      <c r="CV420">
        <f>IFERROR(AVERAGE(Tabel1[[#This Row],[In - F3a]:[In - F3a]]),"")</f>
        <v>1</v>
      </c>
      <c r="CW420">
        <v>3</v>
      </c>
      <c r="CX420">
        <f>IFERROR(AVERAGE(Tabel1[[#This Row],[In - F1]],Tabel1[[#This Row],[In - F2]],Tabel1[[#This Row],[In - F3]],Tabel1[[#This Row],[In - F4]]),"")</f>
        <v>1.9166666666666665</v>
      </c>
      <c r="CY420">
        <v>2</v>
      </c>
      <c r="CZ420">
        <v>2</v>
      </c>
      <c r="DA420">
        <v>3</v>
      </c>
      <c r="DB420">
        <f>IFERROR(AVERAGE(Tabel1[[#This Row],[In - V1a]:[In - V1c]]),"")</f>
        <v>2.3333333333333335</v>
      </c>
      <c r="DC420">
        <v>1</v>
      </c>
      <c r="DD420">
        <v>1</v>
      </c>
      <c r="DE420">
        <v>3</v>
      </c>
      <c r="DF420">
        <f>IFERROR(AVERAGE(Tabel1[[#This Row],[In - V2a]:[In - V2c]]),"")</f>
        <v>1.6666666666666667</v>
      </c>
      <c r="DG420">
        <v>3</v>
      </c>
      <c r="DH420">
        <v>4</v>
      </c>
      <c r="DI420">
        <f>IFERROR(AVERAGE(Tabel1[[#This Row],[In - V3a]:[In - V3b]]),"")</f>
        <v>3.5</v>
      </c>
      <c r="DJ420" t="s">
        <v>189</v>
      </c>
      <c r="DK420">
        <f>IFERROR(AVERAGE(Tabel1[[#This Row],[In - V1]],Tabel1[[#This Row],[In - V2]],Tabel1[[#This Row],[In - V3]],Tabel1[[#This Row],[In - V4]]),"")</f>
        <v>2.5</v>
      </c>
      <c r="DL420">
        <v>2</v>
      </c>
      <c r="DM420">
        <v>2</v>
      </c>
      <c r="DN420">
        <f>IFERROR(AVERAGE(Tabel1[[#This Row],[In - A1a]:[In - A1b]]),"")</f>
        <v>2</v>
      </c>
      <c r="DO420">
        <v>1</v>
      </c>
      <c r="DP420">
        <v>3</v>
      </c>
      <c r="DQ420">
        <f>IFERROR(AVERAGE(Tabel1[[#This Row],[In - A2a]:[In - A2b]]),"")</f>
        <v>2</v>
      </c>
      <c r="DR420">
        <v>4</v>
      </c>
      <c r="DS420">
        <v>2</v>
      </c>
      <c r="DT420">
        <f>IFERROR(AVERAGE(Tabel1[[#This Row],[In - A3a]:[In - A3a]]),"")</f>
        <v>4</v>
      </c>
      <c r="DU420">
        <v>2</v>
      </c>
      <c r="DV420">
        <f>IFERROR(AVERAGE(Tabel1[[#This Row],[In - A1]],Tabel1[[#This Row],[In - A2]],Tabel1[[#This Row],[In - A3]],Tabel1[[#This Row],[In - A4]]),"")</f>
        <v>2.5</v>
      </c>
      <c r="DW420">
        <v>1</v>
      </c>
      <c r="DX420">
        <v>3</v>
      </c>
      <c r="DY420">
        <v>2</v>
      </c>
      <c r="DZ420">
        <f>IFERROR(AVERAGE(Tabel1[[#This Row],[Do - R1a]:[Do - R1c]]),"")</f>
        <v>2</v>
      </c>
      <c r="EA420" t="s">
        <v>189</v>
      </c>
      <c r="EB420">
        <v>5</v>
      </c>
      <c r="EC420" t="s">
        <v>189</v>
      </c>
      <c r="ED420" t="s">
        <v>189</v>
      </c>
      <c r="EE420">
        <f>IFERROR(AVERAGE(Tabel1[[#This Row],[Do - R1]:[Do - R5]]),"")</f>
        <v>3.5</v>
      </c>
      <c r="EF420" t="s">
        <v>189</v>
      </c>
      <c r="EG420" t="s">
        <v>189</v>
      </c>
      <c r="EH420">
        <v>1</v>
      </c>
      <c r="EI420">
        <f>IFERROR(AVERAGE(Tabel1[[#This Row],[Do - C1a]:[Do - C1c]]),"")</f>
        <v>1</v>
      </c>
      <c r="EJ420" t="s">
        <v>189</v>
      </c>
      <c r="EK420" t="s">
        <v>189</v>
      </c>
      <c r="EL420" t="s">
        <v>189</v>
      </c>
      <c r="EM420">
        <f>IFERROR(AVERAGE(Tabel1[[#This Row],[Do - C1]:[Do - C4]]),"")</f>
        <v>1</v>
      </c>
      <c r="EN420" t="s">
        <v>189</v>
      </c>
      <c r="EO420" t="s">
        <v>189</v>
      </c>
      <c r="EP420">
        <v>3</v>
      </c>
      <c r="EQ420">
        <f>IFERROR(AVERAGE(Tabel1[[#This Row],[Do - F1a]:[Do - F1c]]),"")</f>
        <v>3</v>
      </c>
      <c r="ER420">
        <v>2</v>
      </c>
      <c r="ES420">
        <f>IFERROR(AVERAGE(Tabel1[[#This Row],[Do - F2a]:[Do - F2a]]),"")</f>
        <v>2</v>
      </c>
      <c r="ET420">
        <v>3</v>
      </c>
      <c r="EU420" t="s">
        <v>189</v>
      </c>
      <c r="EV420">
        <f>IFERROR(AVERAGE(Tabel1[[#This Row],[Do - F3a]:[Do - F3b]]),"")</f>
        <v>3</v>
      </c>
      <c r="EW420" t="s">
        <v>189</v>
      </c>
      <c r="EX420">
        <f>IFERROR(AVERAGE(Tabel1[[#This Row],[Do - F1]],Tabel1[[#This Row],[Do - F2]],Tabel1[[#This Row],[Do - F3]],Tabel1[[#This Row],[Do - F4]]),"")</f>
        <v>2.6666666666666665</v>
      </c>
      <c r="EY420" t="s">
        <v>189</v>
      </c>
      <c r="EZ420" t="s">
        <v>189</v>
      </c>
      <c r="FA420">
        <v>1</v>
      </c>
      <c r="FB420">
        <f>IFERROR(AVERAGE(Tabel1[[#This Row],[Do - V1a]:[Do - V1c]]),"")</f>
        <v>1</v>
      </c>
      <c r="FC420" t="s">
        <v>189</v>
      </c>
      <c r="FD420" t="s">
        <v>189</v>
      </c>
      <c r="FE420" t="str">
        <f>IFERROR(AVERAGE(Tabel1[[#This Row],[Do - V2a]:[Do - V2b]]),"")</f>
        <v/>
      </c>
      <c r="FF420" t="s">
        <v>189</v>
      </c>
      <c r="FG420" t="str">
        <f>IFERROR(AVERAGE(Tabel1[[#This Row],[Do - V3a]:[Do - V3a]]),"")</f>
        <v/>
      </c>
      <c r="FH420" t="s">
        <v>189</v>
      </c>
      <c r="FI420">
        <f>IFERROR(AVERAGE(Tabel1[[#This Row],[Do - V1]],Tabel1[[#This Row],[Do - V2]],Tabel1[[#This Row],[Do - V3]],Tabel1[[#This Row],[Do - V4]]),"")</f>
        <v>1</v>
      </c>
      <c r="FJ420" t="s">
        <v>189</v>
      </c>
      <c r="FK420">
        <v>1</v>
      </c>
      <c r="FL420">
        <v>2</v>
      </c>
      <c r="FM420">
        <f>IFERROR(AVERAGE(Tabel1[[#This Row],[Do - A1a]:[Do - A1c]]),"")</f>
        <v>1.5</v>
      </c>
      <c r="FN420">
        <v>2</v>
      </c>
      <c r="FO420">
        <v>4</v>
      </c>
      <c r="FP420">
        <f>IFERROR(AVERAGE(Tabel1[[#This Row],[Do - A2a]:[Do - A2b]]),"")</f>
        <v>3</v>
      </c>
      <c r="FQ420" t="s">
        <v>189</v>
      </c>
      <c r="FR420" t="str">
        <f>IFERROR(AVERAGE(Tabel1[[#This Row],[Do - A3a]:[Do - A3a]]),"")</f>
        <v/>
      </c>
      <c r="FS420" t="s">
        <v>189</v>
      </c>
      <c r="FT420">
        <f>IFERROR(AVERAGE(Tabel1[[#This Row],[Do - A1]],Tabel1[[#This Row],[Do - A2]],Tabel1[[#This Row],[Do - A3]],Tabel1[[#This Row],[Do - A4]]),"")</f>
        <v>2.25</v>
      </c>
      <c r="FU42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2.5127777777777776</v>
      </c>
      <c r="FV420" s="31" t="s">
        <v>2083</v>
      </c>
      <c r="FW420" t="b">
        <v>1</v>
      </c>
    </row>
    <row r="421" spans="1:179" x14ac:dyDescent="0.3">
      <c r="A421" s="13">
        <v>45667.478067129603</v>
      </c>
      <c r="B421" t="b">
        <v>0</v>
      </c>
      <c r="C421" t="s">
        <v>2084</v>
      </c>
      <c r="D421" t="s">
        <v>2085</v>
      </c>
      <c r="E421" t="s">
        <v>404</v>
      </c>
      <c r="F421" s="14" t="s">
        <v>184</v>
      </c>
      <c r="G421" t="s">
        <v>2086</v>
      </c>
      <c r="H421" t="s">
        <v>222</v>
      </c>
      <c r="I421" t="s">
        <v>195</v>
      </c>
      <c r="J421" t="s">
        <v>461</v>
      </c>
      <c r="K421" t="s">
        <v>235</v>
      </c>
      <c r="L421" t="s">
        <v>249</v>
      </c>
      <c r="M421" t="s">
        <v>233</v>
      </c>
      <c r="N421" t="s">
        <v>262</v>
      </c>
      <c r="O421" t="s">
        <v>200</v>
      </c>
      <c r="P421" t="s">
        <v>255</v>
      </c>
      <c r="Q421" t="s">
        <v>202</v>
      </c>
      <c r="R421" t="s">
        <v>202</v>
      </c>
      <c r="S421" t="s">
        <v>201</v>
      </c>
      <c r="T421" t="s">
        <v>204</v>
      </c>
      <c r="U421" t="s">
        <v>285</v>
      </c>
      <c r="V421" t="s">
        <v>224</v>
      </c>
      <c r="W421" t="s">
        <v>395</v>
      </c>
      <c r="X421" t="s">
        <v>207</v>
      </c>
      <c r="Y421">
        <v>3</v>
      </c>
      <c r="Z421">
        <v>3</v>
      </c>
      <c r="AA421">
        <v>3</v>
      </c>
      <c r="AB421">
        <f>IFERROR(AVERAGE(Tabel1[[#This Row],[Up - R1a]:[Up - R1c]]),"")</f>
        <v>3</v>
      </c>
      <c r="AC421">
        <v>2</v>
      </c>
      <c r="AD421">
        <v>2</v>
      </c>
      <c r="AE421">
        <v>2</v>
      </c>
      <c r="AF421">
        <v>2</v>
      </c>
      <c r="AG421">
        <f>IFERROR(AVERAGE(Tabel1[[#This Row],[Up - R1]:[Up - R5]]),"")</f>
        <v>2.2000000000000002</v>
      </c>
      <c r="AH421">
        <v>3</v>
      </c>
      <c r="AI421">
        <v>1</v>
      </c>
      <c r="AJ421">
        <v>2</v>
      </c>
      <c r="AK421">
        <f>IFERROR(AVERAGE(Tabel1[[#This Row],[Up - C1a]:[Up - C1c]]),"")</f>
        <v>2</v>
      </c>
      <c r="AL421">
        <v>3</v>
      </c>
      <c r="AM421">
        <v>2</v>
      </c>
      <c r="AN421">
        <v>2</v>
      </c>
      <c r="AO421">
        <f>IFERROR(AVERAGE(Tabel1[[#This Row],[Up - C1]:[Up - C4]]),"")</f>
        <v>2.25</v>
      </c>
      <c r="AP421">
        <v>1</v>
      </c>
      <c r="AQ421">
        <f>IFERROR(AVERAGE(Tabel1[[#This Row],[Up - F1a]:[Up - F1a]]),"")</f>
        <v>1</v>
      </c>
      <c r="AR421">
        <v>1</v>
      </c>
      <c r="AS421">
        <v>1</v>
      </c>
      <c r="AT421">
        <f>IFERROR(AVERAGE(Tabel1[[#This Row],[Up - F2a]:[Up - F2b]]),"")</f>
        <v>1</v>
      </c>
      <c r="AU421">
        <v>2</v>
      </c>
      <c r="AV421">
        <v>3</v>
      </c>
      <c r="AW421">
        <f>IFERROR(AVERAGE(Tabel1[[#This Row],[Up - F3a]:[Up - F3b]]),"")</f>
        <v>2.5</v>
      </c>
      <c r="AX421">
        <v>2</v>
      </c>
      <c r="AY421">
        <f>IFERROR(AVERAGE(Tabel1[[#This Row],[Up - F1]],Tabel1[[#This Row],[Up - F2]],Tabel1[[#This Row],[Up - F3]],Tabel1[[#This Row],[Up - F4]]),"")</f>
        <v>1.625</v>
      </c>
      <c r="AZ421">
        <v>1</v>
      </c>
      <c r="BA421">
        <v>3</v>
      </c>
      <c r="BB421">
        <f>IFERROR(AVERAGE(Tabel1[[#This Row],[Up - V1a]:[Up - V1b]]),"")</f>
        <v>2</v>
      </c>
      <c r="BC421">
        <v>3</v>
      </c>
      <c r="BD421">
        <v>1</v>
      </c>
      <c r="BE421">
        <v>1</v>
      </c>
      <c r="BF421">
        <f>IFERROR(AVERAGE(Tabel1[[#This Row],[Up - V2a]:[Up - V2c]]),"")</f>
        <v>1.6666666666666667</v>
      </c>
      <c r="BG421">
        <v>1</v>
      </c>
      <c r="BH421">
        <v>1</v>
      </c>
      <c r="BI421">
        <f>IFERROR(AVERAGE(Tabel1[[#This Row],[Up - V3a]:[Up - V3b]]),"")</f>
        <v>1</v>
      </c>
      <c r="BJ421">
        <v>2</v>
      </c>
      <c r="BK421">
        <f>IFERROR(AVERAGE(Tabel1[[#This Row],[Up - V1]],Tabel1[[#This Row],[Up - V2]],Tabel1[[#This Row],[Up - V3]],Tabel1[[#This Row],[Up - V4]]),"")</f>
        <v>1.6666666666666667</v>
      </c>
      <c r="BL421">
        <v>3</v>
      </c>
      <c r="BM421">
        <v>3</v>
      </c>
      <c r="BN421">
        <v>2</v>
      </c>
      <c r="BO421">
        <v>2</v>
      </c>
      <c r="BP421">
        <f>IFERROR(AVERAGE(Tabel1[[#This Row],[Up - A1a]:[Up - A1d]]),"")</f>
        <v>2.5</v>
      </c>
      <c r="BQ421">
        <v>4</v>
      </c>
      <c r="BR421">
        <v>1</v>
      </c>
      <c r="BS421">
        <f>IFERROR(AVERAGE(Tabel1[[#This Row],[Up - A2a]:[Up - A2b]]),"")</f>
        <v>2.5</v>
      </c>
      <c r="BT421">
        <v>3</v>
      </c>
      <c r="BU421">
        <f>IFERROR(AVERAGE(Tabel1[[#This Row],[Up - A3a]:[Up - A3a]]),"")</f>
        <v>3</v>
      </c>
      <c r="BV421">
        <v>3</v>
      </c>
      <c r="BW421">
        <f>IFERROR(AVERAGE(Tabel1[[#This Row],[Up - A1]],Tabel1[[#This Row],[Up - A2]],Tabel1[[#This Row],[Up - A3]]),"")</f>
        <v>2.6666666666666665</v>
      </c>
      <c r="BX421">
        <v>2</v>
      </c>
      <c r="BY421">
        <v>2</v>
      </c>
      <c r="BZ421">
        <f>IFERROR(AVERAGE(Tabel1[[#This Row],[In - R1a]:[In - R1b]]),"")</f>
        <v>2</v>
      </c>
      <c r="CA421">
        <v>3</v>
      </c>
      <c r="CB421">
        <v>1</v>
      </c>
      <c r="CC421">
        <v>1</v>
      </c>
      <c r="CD421">
        <v>3</v>
      </c>
      <c r="CE421">
        <f>IFERROR(AVERAGE(Tabel1[[#This Row],[In - R1]:[In - R5]]),"")</f>
        <v>2</v>
      </c>
      <c r="CF421">
        <v>3</v>
      </c>
      <c r="CG421">
        <v>2</v>
      </c>
      <c r="CH421">
        <v>3</v>
      </c>
      <c r="CI421">
        <f>IFERROR(AVERAGE(Tabel1[[#This Row],[In - C1a]:[In - C1c]]),"")</f>
        <v>2.6666666666666665</v>
      </c>
      <c r="CJ421">
        <v>5</v>
      </c>
      <c r="CK421">
        <v>4</v>
      </c>
      <c r="CL421">
        <v>1</v>
      </c>
      <c r="CM421">
        <f>IFERROR(AVERAGE(Tabel1[[#This Row],[In - C1]:[In - C4]]),"")</f>
        <v>3.1666666666666665</v>
      </c>
      <c r="CN421">
        <v>1</v>
      </c>
      <c r="CO421">
        <v>3</v>
      </c>
      <c r="CP421">
        <v>1</v>
      </c>
      <c r="CQ421">
        <f>IFERROR(AVERAGE(Tabel1[[#This Row],[In - F1a]:[In - F1c]]),"")</f>
        <v>1.6666666666666667</v>
      </c>
      <c r="CR421">
        <v>2</v>
      </c>
      <c r="CS421">
        <v>1</v>
      </c>
      <c r="CT421">
        <f>IFERROR(AVERAGE(Tabel1[[#This Row],[In - F2a]:[In - F2b]]),"")</f>
        <v>1.5</v>
      </c>
      <c r="CU421">
        <v>2</v>
      </c>
      <c r="CV421">
        <f>IFERROR(AVERAGE(Tabel1[[#This Row],[In - F3a]:[In - F3a]]),"")</f>
        <v>2</v>
      </c>
      <c r="CW421">
        <v>2</v>
      </c>
      <c r="CX421">
        <f>IFERROR(AVERAGE(Tabel1[[#This Row],[In - F1]],Tabel1[[#This Row],[In - F2]],Tabel1[[#This Row],[In - F3]],Tabel1[[#This Row],[In - F4]]),"")</f>
        <v>1.7916666666666667</v>
      </c>
      <c r="CY421">
        <v>2</v>
      </c>
      <c r="CZ421">
        <v>2</v>
      </c>
      <c r="DA421">
        <v>3</v>
      </c>
      <c r="DB421">
        <f>IFERROR(AVERAGE(Tabel1[[#This Row],[In - V1a]:[In - V1c]]),"")</f>
        <v>2.3333333333333335</v>
      </c>
      <c r="DC421">
        <v>2</v>
      </c>
      <c r="DD421">
        <v>2</v>
      </c>
      <c r="DE421">
        <v>2</v>
      </c>
      <c r="DF421">
        <f>IFERROR(AVERAGE(Tabel1[[#This Row],[In - V2a]:[In - V2c]]),"")</f>
        <v>2</v>
      </c>
      <c r="DG421">
        <v>3</v>
      </c>
      <c r="DH421">
        <v>2</v>
      </c>
      <c r="DI421">
        <f>IFERROR(AVERAGE(Tabel1[[#This Row],[In - V3a]:[In - V3b]]),"")</f>
        <v>2.5</v>
      </c>
      <c r="DJ421">
        <v>1</v>
      </c>
      <c r="DK421">
        <f>IFERROR(AVERAGE(Tabel1[[#This Row],[In - V1]],Tabel1[[#This Row],[In - V2]],Tabel1[[#This Row],[In - V3]],Tabel1[[#This Row],[In - V4]]),"")</f>
        <v>1.9583333333333335</v>
      </c>
      <c r="DL421">
        <v>2</v>
      </c>
      <c r="DM421">
        <v>2</v>
      </c>
      <c r="DN421">
        <f>IFERROR(AVERAGE(Tabel1[[#This Row],[In - A1a]:[In - A1b]]),"")</f>
        <v>2</v>
      </c>
      <c r="DO421">
        <v>3</v>
      </c>
      <c r="DP421">
        <v>2</v>
      </c>
      <c r="DQ421">
        <f>IFERROR(AVERAGE(Tabel1[[#This Row],[In - A2a]:[In - A2b]]),"")</f>
        <v>2.5</v>
      </c>
      <c r="DR421">
        <v>2</v>
      </c>
      <c r="DS421">
        <v>2</v>
      </c>
      <c r="DT421">
        <f>IFERROR(AVERAGE(Tabel1[[#This Row],[In - A3a]:[In - A3a]]),"")</f>
        <v>2</v>
      </c>
      <c r="DU421">
        <v>2</v>
      </c>
      <c r="DV421">
        <f>IFERROR(AVERAGE(Tabel1[[#This Row],[In - A1]],Tabel1[[#This Row],[In - A2]],Tabel1[[#This Row],[In - A3]],Tabel1[[#This Row],[In - A4]]),"")</f>
        <v>2.125</v>
      </c>
      <c r="DW421">
        <v>2</v>
      </c>
      <c r="DX421">
        <v>5</v>
      </c>
      <c r="DY421">
        <v>2</v>
      </c>
      <c r="DZ421">
        <f>IFERROR(AVERAGE(Tabel1[[#This Row],[Do - R1a]:[Do - R1c]]),"")</f>
        <v>3</v>
      </c>
      <c r="EA421" t="s">
        <v>189</v>
      </c>
      <c r="EB421">
        <v>2</v>
      </c>
      <c r="EC421" t="s">
        <v>189</v>
      </c>
      <c r="ED421">
        <v>2</v>
      </c>
      <c r="EE421">
        <f>IFERROR(AVERAGE(Tabel1[[#This Row],[Do - R1]:[Do - R5]]),"")</f>
        <v>2.3333333333333335</v>
      </c>
      <c r="EF421">
        <v>3</v>
      </c>
      <c r="EG421" t="s">
        <v>189</v>
      </c>
      <c r="EH421">
        <v>2</v>
      </c>
      <c r="EI421">
        <f>IFERROR(AVERAGE(Tabel1[[#This Row],[Do - C1a]:[Do - C1c]]),"")</f>
        <v>2.5</v>
      </c>
      <c r="EJ421">
        <v>3</v>
      </c>
      <c r="EK421">
        <v>3</v>
      </c>
      <c r="EL421" t="s">
        <v>189</v>
      </c>
      <c r="EM421">
        <f>IFERROR(AVERAGE(Tabel1[[#This Row],[Do - C1]:[Do - C4]]),"")</f>
        <v>2.8333333333333335</v>
      </c>
      <c r="EN421" t="s">
        <v>189</v>
      </c>
      <c r="EO421">
        <v>1</v>
      </c>
      <c r="EP421">
        <v>1</v>
      </c>
      <c r="EQ421">
        <f>IFERROR(AVERAGE(Tabel1[[#This Row],[Do - F1a]:[Do - F1c]]),"")</f>
        <v>1</v>
      </c>
      <c r="ER421">
        <v>2</v>
      </c>
      <c r="ES421">
        <f>IFERROR(AVERAGE(Tabel1[[#This Row],[Do - F2a]:[Do - F2a]]),"")</f>
        <v>2</v>
      </c>
      <c r="ET421">
        <v>1</v>
      </c>
      <c r="EU421">
        <v>2</v>
      </c>
      <c r="EV421">
        <f>IFERROR(AVERAGE(Tabel1[[#This Row],[Do - F3a]:[Do - F3b]]),"")</f>
        <v>1.5</v>
      </c>
      <c r="EW421">
        <v>2</v>
      </c>
      <c r="EX421">
        <f>IFERROR(AVERAGE(Tabel1[[#This Row],[Do - F1]],Tabel1[[#This Row],[Do - F2]],Tabel1[[#This Row],[Do - F3]],Tabel1[[#This Row],[Do - F4]]),"")</f>
        <v>1.625</v>
      </c>
      <c r="EY421">
        <v>2</v>
      </c>
      <c r="EZ421">
        <v>3</v>
      </c>
      <c r="FA421">
        <v>3</v>
      </c>
      <c r="FB421">
        <f>IFERROR(AVERAGE(Tabel1[[#This Row],[Do - V1a]:[Do - V1c]]),"")</f>
        <v>2.6666666666666665</v>
      </c>
      <c r="FC421">
        <v>3</v>
      </c>
      <c r="FD421" t="s">
        <v>189</v>
      </c>
      <c r="FE421">
        <f>IFERROR(AVERAGE(Tabel1[[#This Row],[Do - V2a]:[Do - V2b]]),"")</f>
        <v>3</v>
      </c>
      <c r="FF421">
        <v>2</v>
      </c>
      <c r="FG421">
        <f>IFERROR(AVERAGE(Tabel1[[#This Row],[Do - V3a]:[Do - V3a]]),"")</f>
        <v>2</v>
      </c>
      <c r="FH421" t="s">
        <v>189</v>
      </c>
      <c r="FI421">
        <f>IFERROR(AVERAGE(Tabel1[[#This Row],[Do - V1]],Tabel1[[#This Row],[Do - V2]],Tabel1[[#This Row],[Do - V3]],Tabel1[[#This Row],[Do - V4]]),"")</f>
        <v>2.5555555555555554</v>
      </c>
      <c r="FJ421">
        <v>2</v>
      </c>
      <c r="FK421" t="s">
        <v>189</v>
      </c>
      <c r="FL421" t="s">
        <v>189</v>
      </c>
      <c r="FM421">
        <f>IFERROR(AVERAGE(Tabel1[[#This Row],[Do - A1a]:[Do - A1c]]),"")</f>
        <v>2</v>
      </c>
      <c r="FN421" t="s">
        <v>189</v>
      </c>
      <c r="FO421" t="s">
        <v>189</v>
      </c>
      <c r="FP421" t="str">
        <f>IFERROR(AVERAGE(Tabel1[[#This Row],[Do - A2a]:[Do - A2b]]),"")</f>
        <v/>
      </c>
      <c r="FQ421" t="s">
        <v>189</v>
      </c>
      <c r="FR421" t="str">
        <f>IFERROR(AVERAGE(Tabel1[[#This Row],[Do - A3a]:[Do - A3a]]),"")</f>
        <v/>
      </c>
      <c r="FS421" t="s">
        <v>189</v>
      </c>
      <c r="FT421">
        <f>IFERROR(AVERAGE(Tabel1[[#This Row],[Do - A1]],Tabel1[[#This Row],[Do - A2]],Tabel1[[#This Row],[Do - A3]],Tabel1[[#This Row],[Do - A4]]),"")</f>
        <v>2</v>
      </c>
      <c r="FU42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2.186481481481481</v>
      </c>
      <c r="FV421" s="31" t="s">
        <v>2087</v>
      </c>
      <c r="FW421" t="b">
        <v>1</v>
      </c>
    </row>
    <row r="422" spans="1:179" x14ac:dyDescent="0.3">
      <c r="A422" s="13">
        <v>45671.598854166703</v>
      </c>
      <c r="B422" t="b">
        <v>0</v>
      </c>
      <c r="C422" t="s">
        <v>2088</v>
      </c>
      <c r="D422" t="s">
        <v>2089</v>
      </c>
      <c r="E422" t="s">
        <v>2090</v>
      </c>
      <c r="F422" s="14" t="s">
        <v>2091</v>
      </c>
      <c r="G422" t="s">
        <v>2092</v>
      </c>
      <c r="H422" t="s">
        <v>194</v>
      </c>
      <c r="I422" t="s">
        <v>195</v>
      </c>
      <c r="J422" t="s">
        <v>461</v>
      </c>
      <c r="K422" t="s">
        <v>201</v>
      </c>
      <c r="L422" t="s">
        <v>249</v>
      </c>
      <c r="M422" t="s">
        <v>198</v>
      </c>
      <c r="N422" t="s">
        <v>199</v>
      </c>
      <c r="O422" t="s">
        <v>256</v>
      </c>
      <c r="P422" t="s">
        <v>187</v>
      </c>
      <c r="Q422" t="s">
        <v>304</v>
      </c>
      <c r="R422" t="s">
        <v>187</v>
      </c>
      <c r="S422" t="s">
        <v>304</v>
      </c>
      <c r="T422" t="s">
        <v>236</v>
      </c>
      <c r="U422" t="s">
        <v>205</v>
      </c>
      <c r="V422" t="s">
        <v>359</v>
      </c>
      <c r="W422" t="s">
        <v>395</v>
      </c>
      <c r="X422" t="s">
        <v>395</v>
      </c>
      <c r="Y422">
        <v>3</v>
      </c>
      <c r="Z422">
        <v>3</v>
      </c>
      <c r="AA422">
        <v>3</v>
      </c>
      <c r="AB422">
        <f>IFERROR(AVERAGE(Tabel1[[#This Row],[Up - R1a]:[Up - R1c]]),"")</f>
        <v>3</v>
      </c>
      <c r="AC422">
        <v>1</v>
      </c>
      <c r="AD422">
        <v>4</v>
      </c>
      <c r="AE422">
        <v>2</v>
      </c>
      <c r="AF422">
        <v>1</v>
      </c>
      <c r="AG422">
        <f>IFERROR(AVERAGE(Tabel1[[#This Row],[Up - R1]:[Up - R5]]),"")</f>
        <v>2.2000000000000002</v>
      </c>
      <c r="AH422">
        <v>3</v>
      </c>
      <c r="AI422">
        <v>3</v>
      </c>
      <c r="AJ422">
        <v>2</v>
      </c>
      <c r="AK422">
        <f>IFERROR(AVERAGE(Tabel1[[#This Row],[Up - C1a]:[Up - C1c]]),"")</f>
        <v>2.6666666666666665</v>
      </c>
      <c r="AL422">
        <v>2</v>
      </c>
      <c r="AM422">
        <v>2</v>
      </c>
      <c r="AN422">
        <v>2</v>
      </c>
      <c r="AO422">
        <f>IFERROR(AVERAGE(Tabel1[[#This Row],[Up - C1]:[Up - C4]]),"")</f>
        <v>2.1666666666666665</v>
      </c>
      <c r="AP422">
        <v>3</v>
      </c>
      <c r="AQ422">
        <f>IFERROR(AVERAGE(Tabel1[[#This Row],[Up - F1a]:[Up - F1a]]),"")</f>
        <v>3</v>
      </c>
      <c r="AR422">
        <v>2</v>
      </c>
      <c r="AS422">
        <v>2</v>
      </c>
      <c r="AT422">
        <f>IFERROR(AVERAGE(Tabel1[[#This Row],[Up - F2a]:[Up - F2b]]),"")</f>
        <v>2</v>
      </c>
      <c r="AU422">
        <v>2</v>
      </c>
      <c r="AV422">
        <v>4</v>
      </c>
      <c r="AW422">
        <f>IFERROR(AVERAGE(Tabel1[[#This Row],[Up - F3a]:[Up - F3b]]),"")</f>
        <v>3</v>
      </c>
      <c r="AX422">
        <v>2</v>
      </c>
      <c r="AY422">
        <f>IFERROR(AVERAGE(Tabel1[[#This Row],[Up - F1]],Tabel1[[#This Row],[Up - F2]],Tabel1[[#This Row],[Up - F3]],Tabel1[[#This Row],[Up - F4]]),"")</f>
        <v>2.5</v>
      </c>
      <c r="AZ422">
        <v>2</v>
      </c>
      <c r="BA422">
        <v>2</v>
      </c>
      <c r="BB422">
        <f>IFERROR(AVERAGE(Tabel1[[#This Row],[Up - V1a]:[Up - V1b]]),"")</f>
        <v>2</v>
      </c>
      <c r="BC422">
        <v>4</v>
      </c>
      <c r="BD422">
        <v>4</v>
      </c>
      <c r="BE422">
        <v>5</v>
      </c>
      <c r="BF422">
        <f>IFERROR(AVERAGE(Tabel1[[#This Row],[Up - V2a]:[Up - V2c]]),"")</f>
        <v>4.333333333333333</v>
      </c>
      <c r="BG422">
        <v>1</v>
      </c>
      <c r="BH422">
        <v>3</v>
      </c>
      <c r="BI422">
        <f>IFERROR(AVERAGE(Tabel1[[#This Row],[Up - V3a]:[Up - V3b]]),"")</f>
        <v>2</v>
      </c>
      <c r="BJ422">
        <v>1</v>
      </c>
      <c r="BK422">
        <f>IFERROR(AVERAGE(Tabel1[[#This Row],[Up - V1]],Tabel1[[#This Row],[Up - V2]],Tabel1[[#This Row],[Up - V3]],Tabel1[[#This Row],[Up - V4]]),"")</f>
        <v>2.333333333333333</v>
      </c>
      <c r="BL422">
        <v>3</v>
      </c>
      <c r="BM422">
        <v>4</v>
      </c>
      <c r="BN422">
        <v>4</v>
      </c>
      <c r="BO422">
        <v>4</v>
      </c>
      <c r="BP422">
        <f>IFERROR(AVERAGE(Tabel1[[#This Row],[Up - A1a]:[Up - A1d]]),"")</f>
        <v>3.75</v>
      </c>
      <c r="BQ422">
        <v>4</v>
      </c>
      <c r="BR422">
        <v>2</v>
      </c>
      <c r="BS422">
        <f>IFERROR(AVERAGE(Tabel1[[#This Row],[Up - A2a]:[Up - A2b]]),"")</f>
        <v>3</v>
      </c>
      <c r="BT422">
        <v>4</v>
      </c>
      <c r="BU422">
        <f>IFERROR(AVERAGE(Tabel1[[#This Row],[Up - A3a]:[Up - A3a]]),"")</f>
        <v>4</v>
      </c>
      <c r="BV422">
        <v>4</v>
      </c>
      <c r="BW422">
        <f>IFERROR(AVERAGE(Tabel1[[#This Row],[Up - A1]],Tabel1[[#This Row],[Up - A2]],Tabel1[[#This Row],[Up - A3]]),"")</f>
        <v>3.5833333333333335</v>
      </c>
      <c r="BX422">
        <v>3</v>
      </c>
      <c r="BY422">
        <v>3</v>
      </c>
      <c r="BZ422">
        <f>IFERROR(AVERAGE(Tabel1[[#This Row],[In - R1a]:[In - R1b]]),"")</f>
        <v>3</v>
      </c>
      <c r="CA422">
        <v>1</v>
      </c>
      <c r="CB422">
        <v>4</v>
      </c>
      <c r="CC422">
        <v>2</v>
      </c>
      <c r="CD422">
        <v>1</v>
      </c>
      <c r="CE422">
        <f>IFERROR(AVERAGE(Tabel1[[#This Row],[In - R1]:[In - R5]]),"")</f>
        <v>2.2000000000000002</v>
      </c>
      <c r="CF422">
        <v>4</v>
      </c>
      <c r="CG422">
        <v>2</v>
      </c>
      <c r="CH422">
        <v>4</v>
      </c>
      <c r="CI422">
        <f>IFERROR(AVERAGE(Tabel1[[#This Row],[In - C1a]:[In - C1c]]),"")</f>
        <v>3.3333333333333335</v>
      </c>
      <c r="CJ422">
        <v>2</v>
      </c>
      <c r="CK422">
        <v>2</v>
      </c>
      <c r="CL422">
        <v>2</v>
      </c>
      <c r="CM422">
        <f>IFERROR(AVERAGE(Tabel1[[#This Row],[In - C1]:[In - C4]]),"")</f>
        <v>2.3333333333333335</v>
      </c>
      <c r="CN422">
        <v>3</v>
      </c>
      <c r="CO422">
        <v>4</v>
      </c>
      <c r="CP422">
        <v>4</v>
      </c>
      <c r="CQ422">
        <f>IFERROR(AVERAGE(Tabel1[[#This Row],[In - F1a]:[In - F1c]]),"")</f>
        <v>3.6666666666666665</v>
      </c>
      <c r="CR422">
        <v>2</v>
      </c>
      <c r="CS422">
        <v>2</v>
      </c>
      <c r="CT422">
        <f>IFERROR(AVERAGE(Tabel1[[#This Row],[In - F2a]:[In - F2b]]),"")</f>
        <v>2</v>
      </c>
      <c r="CU422">
        <v>2</v>
      </c>
      <c r="CV422">
        <f>IFERROR(AVERAGE(Tabel1[[#This Row],[In - F3a]:[In - F3a]]),"")</f>
        <v>2</v>
      </c>
      <c r="CW422">
        <v>2</v>
      </c>
      <c r="CX422">
        <f>IFERROR(AVERAGE(Tabel1[[#This Row],[In - F1]],Tabel1[[#This Row],[In - F2]],Tabel1[[#This Row],[In - F3]],Tabel1[[#This Row],[In - F4]]),"")</f>
        <v>2.4166666666666665</v>
      </c>
      <c r="CY422">
        <v>2</v>
      </c>
      <c r="CZ422">
        <v>2</v>
      </c>
      <c r="DA422">
        <v>2</v>
      </c>
      <c r="DB422">
        <f>IFERROR(AVERAGE(Tabel1[[#This Row],[In - V1a]:[In - V1c]]),"")</f>
        <v>2</v>
      </c>
      <c r="DC422">
        <v>4</v>
      </c>
      <c r="DD422">
        <v>3</v>
      </c>
      <c r="DE422">
        <v>5</v>
      </c>
      <c r="DF422">
        <f>IFERROR(AVERAGE(Tabel1[[#This Row],[In - V2a]:[In - V2c]]),"")</f>
        <v>4</v>
      </c>
      <c r="DG422">
        <v>3</v>
      </c>
      <c r="DH422">
        <v>1</v>
      </c>
      <c r="DI422">
        <f>IFERROR(AVERAGE(Tabel1[[#This Row],[In - V3a]:[In - V3b]]),"")</f>
        <v>2</v>
      </c>
      <c r="DJ422">
        <v>5</v>
      </c>
      <c r="DK422">
        <f>IFERROR(AVERAGE(Tabel1[[#This Row],[In - V1]],Tabel1[[#This Row],[In - V2]],Tabel1[[#This Row],[In - V3]],Tabel1[[#This Row],[In - V4]]),"")</f>
        <v>3.25</v>
      </c>
      <c r="DL422">
        <v>4</v>
      </c>
      <c r="DM422">
        <v>4</v>
      </c>
      <c r="DN422">
        <f>IFERROR(AVERAGE(Tabel1[[#This Row],[In - A1a]:[In - A1b]]),"")</f>
        <v>4</v>
      </c>
      <c r="DO422">
        <v>4</v>
      </c>
      <c r="DP422">
        <v>4</v>
      </c>
      <c r="DQ422">
        <f>IFERROR(AVERAGE(Tabel1[[#This Row],[In - A2a]:[In - A2b]]),"")</f>
        <v>4</v>
      </c>
      <c r="DR422">
        <v>4</v>
      </c>
      <c r="DT422">
        <f>IFERROR(AVERAGE(Tabel1[[#This Row],[In - A3a]:[In - A3a]]),"")</f>
        <v>4</v>
      </c>
      <c r="DU422">
        <v>3</v>
      </c>
      <c r="DV422">
        <f>IFERROR(AVERAGE(Tabel1[[#This Row],[In - A1]],Tabel1[[#This Row],[In - A2]],Tabel1[[#This Row],[In - A3]],Tabel1[[#This Row],[In - A4]]),"")</f>
        <v>3.75</v>
      </c>
      <c r="DW422">
        <v>3</v>
      </c>
      <c r="DX422">
        <v>3</v>
      </c>
      <c r="DY422">
        <v>3</v>
      </c>
      <c r="DZ422">
        <f>IFERROR(AVERAGE(Tabel1[[#This Row],[Do - R1a]:[Do - R1c]]),"")</f>
        <v>3</v>
      </c>
      <c r="EA422">
        <v>1</v>
      </c>
      <c r="EB422">
        <v>4</v>
      </c>
      <c r="EC422">
        <v>1</v>
      </c>
      <c r="ED422">
        <v>1</v>
      </c>
      <c r="EE422">
        <f>IFERROR(AVERAGE(Tabel1[[#This Row],[Do - R1]:[Do - R5]]),"")</f>
        <v>2</v>
      </c>
      <c r="EF422">
        <v>4</v>
      </c>
      <c r="EG422">
        <v>3</v>
      </c>
      <c r="EH422">
        <v>4</v>
      </c>
      <c r="EI422">
        <f>IFERROR(AVERAGE(Tabel1[[#This Row],[Do - C1a]:[Do - C1c]]),"")</f>
        <v>3.6666666666666665</v>
      </c>
      <c r="EJ422">
        <v>3</v>
      </c>
      <c r="EK422">
        <v>2</v>
      </c>
      <c r="EL422">
        <v>2</v>
      </c>
      <c r="EM422">
        <f>IFERROR(AVERAGE(Tabel1[[#This Row],[Do - C1]:[Do - C4]]),"")</f>
        <v>2.6666666666666665</v>
      </c>
      <c r="EN422">
        <v>3</v>
      </c>
      <c r="EO422">
        <v>4</v>
      </c>
      <c r="EP422">
        <v>4</v>
      </c>
      <c r="EQ422">
        <f>IFERROR(AVERAGE(Tabel1[[#This Row],[Do - F1a]:[Do - F1c]]),"")</f>
        <v>3.6666666666666665</v>
      </c>
      <c r="ER422">
        <v>2</v>
      </c>
      <c r="ES422">
        <f>IFERROR(AVERAGE(Tabel1[[#This Row],[Do - F2a]:[Do - F2a]]),"")</f>
        <v>2</v>
      </c>
      <c r="ET422">
        <v>2</v>
      </c>
      <c r="EV422">
        <f>IFERROR(AVERAGE(Tabel1[[#This Row],[Do - F3a]:[Do - F3b]]),"")</f>
        <v>2</v>
      </c>
      <c r="EW422">
        <v>4</v>
      </c>
      <c r="EX422">
        <f>IFERROR(AVERAGE(Tabel1[[#This Row],[Do - F1]],Tabel1[[#This Row],[Do - F2]],Tabel1[[#This Row],[Do - F3]],Tabel1[[#This Row],[Do - F4]]),"")</f>
        <v>2.9166666666666665</v>
      </c>
      <c r="EY422">
        <v>4</v>
      </c>
      <c r="EZ422">
        <v>2</v>
      </c>
      <c r="FA422">
        <v>2</v>
      </c>
      <c r="FB422">
        <f>IFERROR(AVERAGE(Tabel1[[#This Row],[Do - V1a]:[Do - V1c]]),"")</f>
        <v>2.6666666666666665</v>
      </c>
      <c r="FC422">
        <v>3</v>
      </c>
      <c r="FD422">
        <v>3</v>
      </c>
      <c r="FE422">
        <f>IFERROR(AVERAGE(Tabel1[[#This Row],[Do - V2a]:[Do - V2b]]),"")</f>
        <v>3</v>
      </c>
      <c r="FF422">
        <v>3</v>
      </c>
      <c r="FG422">
        <f>IFERROR(AVERAGE(Tabel1[[#This Row],[Do - V3a]:[Do - V3a]]),"")</f>
        <v>3</v>
      </c>
      <c r="FH422">
        <v>5</v>
      </c>
      <c r="FI422">
        <f>IFERROR(AVERAGE(Tabel1[[#This Row],[Do - V1]],Tabel1[[#This Row],[Do - V2]],Tabel1[[#This Row],[Do - V3]],Tabel1[[#This Row],[Do - V4]]),"")</f>
        <v>3.4166666666666665</v>
      </c>
      <c r="FJ422">
        <v>4</v>
      </c>
      <c r="FK422">
        <v>4</v>
      </c>
      <c r="FM422">
        <f>IFERROR(AVERAGE(Tabel1[[#This Row],[Do - A1a]:[Do - A1c]]),"")</f>
        <v>4</v>
      </c>
      <c r="FN422">
        <v>4</v>
      </c>
      <c r="FO422">
        <v>4</v>
      </c>
      <c r="FP422">
        <f>IFERROR(AVERAGE(Tabel1[[#This Row],[Do - A2a]:[Do - A2b]]),"")</f>
        <v>4</v>
      </c>
      <c r="FQ422">
        <v>4</v>
      </c>
      <c r="FR422">
        <f>IFERROR(AVERAGE(Tabel1[[#This Row],[Do - A3a]:[Do - A3a]]),"")</f>
        <v>4</v>
      </c>
      <c r="FS422">
        <v>4</v>
      </c>
      <c r="FT422">
        <f>IFERROR(AVERAGE(Tabel1[[#This Row],[Do - A1]],Tabel1[[#This Row],[Do - A2]],Tabel1[[#This Row],[Do - A3]],Tabel1[[#This Row],[Do - A4]]),"")</f>
        <v>4</v>
      </c>
      <c r="FU42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2.7822222222222224</v>
      </c>
      <c r="FV422" s="31" t="s">
        <v>2093</v>
      </c>
      <c r="FW422" t="b">
        <v>1</v>
      </c>
    </row>
    <row r="423" spans="1:179" x14ac:dyDescent="0.3">
      <c r="A423" s="13">
        <v>45677.978831018503</v>
      </c>
      <c r="B423" t="b">
        <v>0</v>
      </c>
      <c r="C423" t="s">
        <v>2094</v>
      </c>
      <c r="D423" t="s">
        <v>2095</v>
      </c>
      <c r="E423" s="14" t="s">
        <v>2029</v>
      </c>
      <c r="F423" s="14" t="s">
        <v>184</v>
      </c>
      <c r="G423" t="s">
        <v>2096</v>
      </c>
      <c r="H423" t="s">
        <v>222</v>
      </c>
      <c r="I423" t="s">
        <v>195</v>
      </c>
      <c r="J423" t="s">
        <v>533</v>
      </c>
      <c r="K423" t="s">
        <v>235</v>
      </c>
      <c r="L423" t="s">
        <v>218</v>
      </c>
      <c r="M423" t="s">
        <v>188</v>
      </c>
      <c r="N423" t="s">
        <v>479</v>
      </c>
      <c r="O423" t="s">
        <v>200</v>
      </c>
      <c r="P423" t="s">
        <v>255</v>
      </c>
      <c r="Q423" t="s">
        <v>201</v>
      </c>
      <c r="R423" t="s">
        <v>235</v>
      </c>
      <c r="S423" t="s">
        <v>202</v>
      </c>
      <c r="T423" t="s">
        <v>204</v>
      </c>
      <c r="U423" t="s">
        <v>237</v>
      </c>
      <c r="V423" t="s">
        <v>224</v>
      </c>
      <c r="W423" t="s">
        <v>207</v>
      </c>
      <c r="X423" t="s">
        <v>207</v>
      </c>
      <c r="Y423">
        <v>4</v>
      </c>
      <c r="Z423">
        <v>3</v>
      </c>
      <c r="AA423" t="s">
        <v>189</v>
      </c>
      <c r="AB423">
        <f>IFERROR(AVERAGE(Tabel1[[#This Row],[Up - R1a]:[Up - R1c]]),"")</f>
        <v>3.5</v>
      </c>
      <c r="AC423">
        <v>2</v>
      </c>
      <c r="AD423">
        <v>3</v>
      </c>
      <c r="AE423">
        <v>2</v>
      </c>
      <c r="AF423">
        <v>4</v>
      </c>
      <c r="AG423">
        <f>IFERROR(AVERAGE(Tabel1[[#This Row],[Up - R1]:[Up - R5]]),"")</f>
        <v>2.9</v>
      </c>
      <c r="AH423">
        <v>4</v>
      </c>
      <c r="AI423">
        <v>3</v>
      </c>
      <c r="AJ423">
        <v>3</v>
      </c>
      <c r="AK423">
        <f>IFERROR(AVERAGE(Tabel1[[#This Row],[Up - C1a]:[Up - C1c]]),"")</f>
        <v>3.3333333333333335</v>
      </c>
      <c r="AL423">
        <v>4</v>
      </c>
      <c r="AM423">
        <v>4</v>
      </c>
      <c r="AN423">
        <v>3</v>
      </c>
      <c r="AO423">
        <f>IFERROR(AVERAGE(Tabel1[[#This Row],[Up - C1]:[Up - C4]]),"")</f>
        <v>3.5833333333333335</v>
      </c>
      <c r="AP423">
        <v>3</v>
      </c>
      <c r="AQ423">
        <f>IFERROR(AVERAGE(Tabel1[[#This Row],[Up - F1a]:[Up - F1a]]),"")</f>
        <v>3</v>
      </c>
      <c r="AR423">
        <v>1</v>
      </c>
      <c r="AS423">
        <v>2</v>
      </c>
      <c r="AT423">
        <f>IFERROR(AVERAGE(Tabel1[[#This Row],[Up - F2a]:[Up - F2b]]),"")</f>
        <v>1.5</v>
      </c>
      <c r="AU423">
        <v>3</v>
      </c>
      <c r="AV423">
        <v>4</v>
      </c>
      <c r="AW423">
        <f>IFERROR(AVERAGE(Tabel1[[#This Row],[Up - F3a]:[Up - F3b]]),"")</f>
        <v>3.5</v>
      </c>
      <c r="AX423" t="s">
        <v>189</v>
      </c>
      <c r="AY423">
        <f>IFERROR(AVERAGE(Tabel1[[#This Row],[Up - F1]],Tabel1[[#This Row],[Up - F2]],Tabel1[[#This Row],[Up - F3]],Tabel1[[#This Row],[Up - F4]]),"")</f>
        <v>2.6666666666666665</v>
      </c>
      <c r="AZ423">
        <v>3</v>
      </c>
      <c r="BA423">
        <v>4</v>
      </c>
      <c r="BB423">
        <f>IFERROR(AVERAGE(Tabel1[[#This Row],[Up - V1a]:[Up - V1b]]),"")</f>
        <v>3.5</v>
      </c>
      <c r="BC423">
        <v>2</v>
      </c>
      <c r="BD423" t="s">
        <v>189</v>
      </c>
      <c r="BE423">
        <v>4</v>
      </c>
      <c r="BF423">
        <f>IFERROR(AVERAGE(Tabel1[[#This Row],[Up - V2a]:[Up - V2c]]),"")</f>
        <v>3</v>
      </c>
      <c r="BG423" t="s">
        <v>189</v>
      </c>
      <c r="BH423">
        <v>5</v>
      </c>
      <c r="BI423">
        <f>IFERROR(AVERAGE(Tabel1[[#This Row],[Up - V3a]:[Up - V3b]]),"")</f>
        <v>5</v>
      </c>
      <c r="BJ423">
        <v>5</v>
      </c>
      <c r="BK423">
        <f>IFERROR(AVERAGE(Tabel1[[#This Row],[Up - V1]],Tabel1[[#This Row],[Up - V2]],Tabel1[[#This Row],[Up - V3]],Tabel1[[#This Row],[Up - V4]]),"")</f>
        <v>4.125</v>
      </c>
      <c r="BL423">
        <v>2</v>
      </c>
      <c r="BM423" t="s">
        <v>189</v>
      </c>
      <c r="BN423">
        <v>2</v>
      </c>
      <c r="BO423" t="s">
        <v>189</v>
      </c>
      <c r="BP423">
        <f>IFERROR(AVERAGE(Tabel1[[#This Row],[Up - A1a]:[Up - A1d]]),"")</f>
        <v>2</v>
      </c>
      <c r="BQ423">
        <v>4</v>
      </c>
      <c r="BR423">
        <v>2</v>
      </c>
      <c r="BS423">
        <f>IFERROR(AVERAGE(Tabel1[[#This Row],[Up - A2a]:[Up - A2b]]),"")</f>
        <v>3</v>
      </c>
      <c r="BT423">
        <v>3</v>
      </c>
      <c r="BU423">
        <f>IFERROR(AVERAGE(Tabel1[[#This Row],[Up - A3a]:[Up - A3a]]),"")</f>
        <v>3</v>
      </c>
      <c r="BV423">
        <v>2</v>
      </c>
      <c r="BW423">
        <f>IFERROR(AVERAGE(Tabel1[[#This Row],[Up - A1]],Tabel1[[#This Row],[Up - A2]],Tabel1[[#This Row],[Up - A3]]),"")</f>
        <v>2.6666666666666665</v>
      </c>
      <c r="BX423">
        <v>4</v>
      </c>
      <c r="BY423">
        <v>3</v>
      </c>
      <c r="BZ423">
        <f>IFERROR(AVERAGE(Tabel1[[#This Row],[In - R1a]:[In - R1b]]),"")</f>
        <v>3.5</v>
      </c>
      <c r="CA423">
        <v>3</v>
      </c>
      <c r="CB423">
        <v>3</v>
      </c>
      <c r="CC423">
        <v>2</v>
      </c>
      <c r="CD423">
        <v>4</v>
      </c>
      <c r="CE423">
        <f>IFERROR(AVERAGE(Tabel1[[#This Row],[In - R1]:[In - R5]]),"")</f>
        <v>3.1</v>
      </c>
      <c r="CF423">
        <v>4</v>
      </c>
      <c r="CG423">
        <v>2</v>
      </c>
      <c r="CH423">
        <v>3</v>
      </c>
      <c r="CI423">
        <f>IFERROR(AVERAGE(Tabel1[[#This Row],[In - C1a]:[In - C1c]]),"")</f>
        <v>3</v>
      </c>
      <c r="CJ423">
        <v>3</v>
      </c>
      <c r="CK423">
        <v>3</v>
      </c>
      <c r="CL423">
        <v>3</v>
      </c>
      <c r="CM423">
        <f>IFERROR(AVERAGE(Tabel1[[#This Row],[In - C1]:[In - C4]]),"")</f>
        <v>3</v>
      </c>
      <c r="CN423">
        <v>3</v>
      </c>
      <c r="CO423">
        <v>3</v>
      </c>
      <c r="CP423">
        <v>3</v>
      </c>
      <c r="CQ423">
        <f>IFERROR(AVERAGE(Tabel1[[#This Row],[In - F1a]:[In - F1c]]),"")</f>
        <v>3</v>
      </c>
      <c r="CR423">
        <v>2</v>
      </c>
      <c r="CS423">
        <v>1</v>
      </c>
      <c r="CT423">
        <f>IFERROR(AVERAGE(Tabel1[[#This Row],[In - F2a]:[In - F2b]]),"")</f>
        <v>1.5</v>
      </c>
      <c r="CU423">
        <v>1</v>
      </c>
      <c r="CV423">
        <f>IFERROR(AVERAGE(Tabel1[[#This Row],[In - F3a]:[In - F3a]]),"")</f>
        <v>1</v>
      </c>
      <c r="CW423">
        <v>3</v>
      </c>
      <c r="CX423">
        <f>IFERROR(AVERAGE(Tabel1[[#This Row],[In - F1]],Tabel1[[#This Row],[In - F2]],Tabel1[[#This Row],[In - F3]],Tabel1[[#This Row],[In - F4]]),"")</f>
        <v>2.125</v>
      </c>
      <c r="CY423">
        <v>4</v>
      </c>
      <c r="CZ423">
        <v>1</v>
      </c>
      <c r="DA423">
        <v>1</v>
      </c>
      <c r="DB423">
        <f>IFERROR(AVERAGE(Tabel1[[#This Row],[In - V1a]:[In - V1c]]),"")</f>
        <v>2</v>
      </c>
      <c r="DC423">
        <v>3</v>
      </c>
      <c r="DD423">
        <v>4</v>
      </c>
      <c r="DE423">
        <v>5</v>
      </c>
      <c r="DF423">
        <f>IFERROR(AVERAGE(Tabel1[[#This Row],[In - V2a]:[In - V2c]]),"")</f>
        <v>4</v>
      </c>
      <c r="DG423">
        <v>4</v>
      </c>
      <c r="DH423">
        <v>5</v>
      </c>
      <c r="DI423">
        <f>IFERROR(AVERAGE(Tabel1[[#This Row],[In - V3a]:[In - V3b]]),"")</f>
        <v>4.5</v>
      </c>
      <c r="DJ423">
        <v>4</v>
      </c>
      <c r="DK423">
        <f>IFERROR(AVERAGE(Tabel1[[#This Row],[In - V1]],Tabel1[[#This Row],[In - V2]],Tabel1[[#This Row],[In - V3]],Tabel1[[#This Row],[In - V4]]),"")</f>
        <v>3.625</v>
      </c>
      <c r="DL423">
        <v>4</v>
      </c>
      <c r="DM423">
        <v>2</v>
      </c>
      <c r="DN423">
        <f>IFERROR(AVERAGE(Tabel1[[#This Row],[In - A1a]:[In - A1b]]),"")</f>
        <v>3</v>
      </c>
      <c r="DO423">
        <v>1</v>
      </c>
      <c r="DP423">
        <v>3</v>
      </c>
      <c r="DQ423">
        <f>IFERROR(AVERAGE(Tabel1[[#This Row],[In - A2a]:[In - A2b]]),"")</f>
        <v>2</v>
      </c>
      <c r="DR423">
        <v>1</v>
      </c>
      <c r="DS423">
        <v>1</v>
      </c>
      <c r="DT423">
        <f>IFERROR(AVERAGE(Tabel1[[#This Row],[In - A3a]:[In - A3a]]),"")</f>
        <v>1</v>
      </c>
      <c r="DU423">
        <v>3</v>
      </c>
      <c r="DV423">
        <f>IFERROR(AVERAGE(Tabel1[[#This Row],[In - A1]],Tabel1[[#This Row],[In - A2]],Tabel1[[#This Row],[In - A3]],Tabel1[[#This Row],[In - A4]]),"")</f>
        <v>2.25</v>
      </c>
      <c r="DW423">
        <v>2</v>
      </c>
      <c r="DX423">
        <v>5</v>
      </c>
      <c r="DY423">
        <v>3</v>
      </c>
      <c r="DZ423">
        <f>IFERROR(AVERAGE(Tabel1[[#This Row],[Do - R1a]:[Do - R1c]]),"")</f>
        <v>3.3333333333333335</v>
      </c>
      <c r="EA423">
        <v>3</v>
      </c>
      <c r="EB423">
        <v>4</v>
      </c>
      <c r="EC423">
        <v>2</v>
      </c>
      <c r="ED423">
        <v>3</v>
      </c>
      <c r="EE423">
        <f>IFERROR(AVERAGE(Tabel1[[#This Row],[Do - R1]:[Do - R5]]),"")</f>
        <v>3.0666666666666669</v>
      </c>
      <c r="EF423">
        <v>4</v>
      </c>
      <c r="EG423">
        <v>4</v>
      </c>
      <c r="EH423">
        <v>3</v>
      </c>
      <c r="EI423">
        <f>IFERROR(AVERAGE(Tabel1[[#This Row],[Do - C1a]:[Do - C1c]]),"")</f>
        <v>3.6666666666666665</v>
      </c>
      <c r="EJ423">
        <v>3</v>
      </c>
      <c r="EK423">
        <v>3</v>
      </c>
      <c r="EL423">
        <v>3</v>
      </c>
      <c r="EM423">
        <f>IFERROR(AVERAGE(Tabel1[[#This Row],[Do - C1]:[Do - C4]]),"")</f>
        <v>3.1666666666666665</v>
      </c>
      <c r="EN423">
        <v>4</v>
      </c>
      <c r="EO423">
        <v>2</v>
      </c>
      <c r="EP423">
        <v>2</v>
      </c>
      <c r="EQ423">
        <f>IFERROR(AVERAGE(Tabel1[[#This Row],[Do - F1a]:[Do - F1c]]),"")</f>
        <v>2.6666666666666665</v>
      </c>
      <c r="ER423">
        <v>1</v>
      </c>
      <c r="ES423">
        <f>IFERROR(AVERAGE(Tabel1[[#This Row],[Do - F2a]:[Do - F2a]]),"")</f>
        <v>1</v>
      </c>
      <c r="ET423">
        <v>2</v>
      </c>
      <c r="EU423">
        <v>4</v>
      </c>
      <c r="EV423">
        <f>IFERROR(AVERAGE(Tabel1[[#This Row],[Do - F3a]:[Do - F3b]]),"")</f>
        <v>3</v>
      </c>
      <c r="EW423">
        <v>3</v>
      </c>
      <c r="EX423">
        <f>IFERROR(AVERAGE(Tabel1[[#This Row],[Do - F1]],Tabel1[[#This Row],[Do - F2]],Tabel1[[#This Row],[Do - F3]],Tabel1[[#This Row],[Do - F4]]),"")</f>
        <v>2.4166666666666665</v>
      </c>
      <c r="EY423">
        <v>2</v>
      </c>
      <c r="EZ423">
        <v>2</v>
      </c>
      <c r="FA423">
        <v>5</v>
      </c>
      <c r="FB423">
        <f>IFERROR(AVERAGE(Tabel1[[#This Row],[Do - V1a]:[Do - V1c]]),"")</f>
        <v>3</v>
      </c>
      <c r="FC423">
        <v>2</v>
      </c>
      <c r="FD423">
        <v>1</v>
      </c>
      <c r="FE423">
        <f>IFERROR(AVERAGE(Tabel1[[#This Row],[Do - V2a]:[Do - V2b]]),"")</f>
        <v>1.5</v>
      </c>
      <c r="FF423">
        <v>2</v>
      </c>
      <c r="FG423">
        <f>IFERROR(AVERAGE(Tabel1[[#This Row],[Do - V3a]:[Do - V3a]]),"")</f>
        <v>2</v>
      </c>
      <c r="FH423">
        <v>5</v>
      </c>
      <c r="FI423">
        <f>IFERROR(AVERAGE(Tabel1[[#This Row],[Do - V1]],Tabel1[[#This Row],[Do - V2]],Tabel1[[#This Row],[Do - V3]],Tabel1[[#This Row],[Do - V4]]),"")</f>
        <v>2.875</v>
      </c>
      <c r="FJ423">
        <v>5</v>
      </c>
      <c r="FK423">
        <v>1</v>
      </c>
      <c r="FL423">
        <v>5</v>
      </c>
      <c r="FM423">
        <f>IFERROR(AVERAGE(Tabel1[[#This Row],[Do - A1a]:[Do - A1c]]),"")</f>
        <v>3.6666666666666665</v>
      </c>
      <c r="FN423">
        <v>5</v>
      </c>
      <c r="FO423">
        <v>2</v>
      </c>
      <c r="FP423">
        <f>IFERROR(AVERAGE(Tabel1[[#This Row],[Do - A2a]:[Do - A2b]]),"")</f>
        <v>3.5</v>
      </c>
      <c r="FQ423">
        <v>5</v>
      </c>
      <c r="FR423">
        <f>IFERROR(AVERAGE(Tabel1[[#This Row],[Do - A3a]:[Do - A3a]]),"")</f>
        <v>5</v>
      </c>
      <c r="FS423">
        <v>4</v>
      </c>
      <c r="FT423">
        <f>IFERROR(AVERAGE(Tabel1[[#This Row],[Do - A1]],Tabel1[[#This Row],[Do - A2]],Tabel1[[#This Row],[Do - A3]],Tabel1[[#This Row],[Do - A4]]),"")</f>
        <v>4.0416666666666661</v>
      </c>
      <c r="FU42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3.0405555555555552</v>
      </c>
      <c r="FV423" s="31" t="s">
        <v>2097</v>
      </c>
      <c r="FW423" t="b">
        <v>1</v>
      </c>
    </row>
    <row r="424" spans="1:179" x14ac:dyDescent="0.3">
      <c r="A424" s="13">
        <v>45678.7029861111</v>
      </c>
      <c r="B424" t="b">
        <v>0</v>
      </c>
      <c r="C424" t="s">
        <v>2098</v>
      </c>
      <c r="D424" t="s">
        <v>2099</v>
      </c>
      <c r="E424" s="14" t="s">
        <v>2029</v>
      </c>
      <c r="F424" s="14" t="s">
        <v>184</v>
      </c>
      <c r="G424" t="s">
        <v>2100</v>
      </c>
      <c r="H424" t="s">
        <v>194</v>
      </c>
      <c r="I424" t="s">
        <v>195</v>
      </c>
      <c r="J424" t="s">
        <v>261</v>
      </c>
      <c r="K424" t="s">
        <v>235</v>
      </c>
      <c r="L424" t="s">
        <v>218</v>
      </c>
      <c r="M424" t="s">
        <v>233</v>
      </c>
      <c r="N424" t="s">
        <v>262</v>
      </c>
      <c r="O424" t="s">
        <v>200</v>
      </c>
      <c r="P424" t="s">
        <v>203</v>
      </c>
      <c r="Q424" t="s">
        <v>201</v>
      </c>
      <c r="R424" t="s">
        <v>235</v>
      </c>
      <c r="S424" t="s">
        <v>235</v>
      </c>
      <c r="T424" t="s">
        <v>236</v>
      </c>
      <c r="U424" t="s">
        <v>285</v>
      </c>
      <c r="V424" t="s">
        <v>206</v>
      </c>
      <c r="W424" t="s">
        <v>207</v>
      </c>
      <c r="X424" t="s">
        <v>207</v>
      </c>
      <c r="Y424">
        <v>3</v>
      </c>
      <c r="Z424">
        <v>4</v>
      </c>
      <c r="AA424" t="s">
        <v>189</v>
      </c>
      <c r="AB424">
        <f>IFERROR(AVERAGE(Tabel1[[#This Row],[Up - R1a]:[Up - R1c]]),"")</f>
        <v>3.5</v>
      </c>
      <c r="AC424">
        <v>3</v>
      </c>
      <c r="AD424">
        <v>5</v>
      </c>
      <c r="AE424">
        <v>2</v>
      </c>
      <c r="AF424">
        <v>4</v>
      </c>
      <c r="AG424">
        <f>IFERROR(AVERAGE(Tabel1[[#This Row],[Up - R1]:[Up - R5]]),"")</f>
        <v>3.5</v>
      </c>
      <c r="AH424">
        <v>3</v>
      </c>
      <c r="AI424">
        <v>3</v>
      </c>
      <c r="AJ424">
        <v>3</v>
      </c>
      <c r="AK424">
        <f>IFERROR(AVERAGE(Tabel1[[#This Row],[Up - C1a]:[Up - C1c]]),"")</f>
        <v>3</v>
      </c>
      <c r="AL424">
        <v>3</v>
      </c>
      <c r="AM424">
        <v>1</v>
      </c>
      <c r="AN424">
        <v>4</v>
      </c>
      <c r="AO424">
        <f>IFERROR(AVERAGE(Tabel1[[#This Row],[Up - C1]:[Up - C4]]),"")</f>
        <v>2.75</v>
      </c>
      <c r="AP424">
        <v>3</v>
      </c>
      <c r="AQ424">
        <f>IFERROR(AVERAGE(Tabel1[[#This Row],[Up - F1a]:[Up - F1a]]),"")</f>
        <v>3</v>
      </c>
      <c r="AR424">
        <v>3</v>
      </c>
      <c r="AS424">
        <v>3</v>
      </c>
      <c r="AT424">
        <f>IFERROR(AVERAGE(Tabel1[[#This Row],[Up - F2a]:[Up - F2b]]),"")</f>
        <v>3</v>
      </c>
      <c r="AU424">
        <v>4</v>
      </c>
      <c r="AV424">
        <v>3</v>
      </c>
      <c r="AW424">
        <f>IFERROR(AVERAGE(Tabel1[[#This Row],[Up - F3a]:[Up - F3b]]),"")</f>
        <v>3.5</v>
      </c>
      <c r="AX424">
        <v>4</v>
      </c>
      <c r="AY424">
        <f>IFERROR(AVERAGE(Tabel1[[#This Row],[Up - F1]],Tabel1[[#This Row],[Up - F2]],Tabel1[[#This Row],[Up - F3]],Tabel1[[#This Row],[Up - F4]]),"")</f>
        <v>3.375</v>
      </c>
      <c r="AZ424">
        <v>4</v>
      </c>
      <c r="BA424">
        <v>3</v>
      </c>
      <c r="BB424">
        <f>IFERROR(AVERAGE(Tabel1[[#This Row],[Up - V1a]:[Up - V1b]]),"")</f>
        <v>3.5</v>
      </c>
      <c r="BC424">
        <v>5</v>
      </c>
      <c r="BD424">
        <v>3</v>
      </c>
      <c r="BE424">
        <v>4</v>
      </c>
      <c r="BF424">
        <f>IFERROR(AVERAGE(Tabel1[[#This Row],[Up - V2a]:[Up - V2c]]),"")</f>
        <v>4</v>
      </c>
      <c r="BG424">
        <v>3</v>
      </c>
      <c r="BH424">
        <v>5</v>
      </c>
      <c r="BI424">
        <f>IFERROR(AVERAGE(Tabel1[[#This Row],[Up - V3a]:[Up - V3b]]),"")</f>
        <v>4</v>
      </c>
      <c r="BJ424">
        <v>3</v>
      </c>
      <c r="BK424">
        <f>IFERROR(AVERAGE(Tabel1[[#This Row],[Up - V1]],Tabel1[[#This Row],[Up - V2]],Tabel1[[#This Row],[Up - V3]],Tabel1[[#This Row],[Up - V4]]),"")</f>
        <v>3.625</v>
      </c>
      <c r="BL424">
        <v>4</v>
      </c>
      <c r="BM424">
        <v>4</v>
      </c>
      <c r="BN424">
        <v>2</v>
      </c>
      <c r="BO424">
        <v>3</v>
      </c>
      <c r="BP424">
        <f>IFERROR(AVERAGE(Tabel1[[#This Row],[Up - A1a]:[Up - A1d]]),"")</f>
        <v>3.25</v>
      </c>
      <c r="BQ424">
        <v>4</v>
      </c>
      <c r="BS424">
        <f>IFERROR(AVERAGE(Tabel1[[#This Row],[Up - A2a]:[Up - A2b]]),"")</f>
        <v>4</v>
      </c>
      <c r="BT424">
        <v>3</v>
      </c>
      <c r="BU424">
        <f>IFERROR(AVERAGE(Tabel1[[#This Row],[Up - A3a]:[Up - A3a]]),"")</f>
        <v>3</v>
      </c>
      <c r="BV424">
        <v>3</v>
      </c>
      <c r="BW424">
        <f>IFERROR(AVERAGE(Tabel1[[#This Row],[Up - A1]],Tabel1[[#This Row],[Up - A2]],Tabel1[[#This Row],[Up - A3]]),"")</f>
        <v>3.4166666666666665</v>
      </c>
      <c r="BX424">
        <v>3</v>
      </c>
      <c r="BY424">
        <v>1</v>
      </c>
      <c r="BZ424">
        <f>IFERROR(AVERAGE(Tabel1[[#This Row],[In - R1a]:[In - R1b]]),"")</f>
        <v>2</v>
      </c>
      <c r="CA424">
        <v>3</v>
      </c>
      <c r="CB424">
        <v>4</v>
      </c>
      <c r="CC424">
        <v>3</v>
      </c>
      <c r="CD424">
        <v>4</v>
      </c>
      <c r="CE424">
        <f>IFERROR(AVERAGE(Tabel1[[#This Row],[In - R1]:[In - R5]]),"")</f>
        <v>3.2</v>
      </c>
      <c r="CF424">
        <v>4</v>
      </c>
      <c r="CG424">
        <v>3</v>
      </c>
      <c r="CH424">
        <v>2</v>
      </c>
      <c r="CI424">
        <f>IFERROR(AVERAGE(Tabel1[[#This Row],[In - C1a]:[In - C1c]]),"")</f>
        <v>3</v>
      </c>
      <c r="CJ424">
        <v>4</v>
      </c>
      <c r="CK424">
        <v>2</v>
      </c>
      <c r="CL424">
        <v>5</v>
      </c>
      <c r="CM424">
        <f>IFERROR(AVERAGE(Tabel1[[#This Row],[In - C1]:[In - C4]]),"")</f>
        <v>3.5</v>
      </c>
      <c r="CN424">
        <v>4</v>
      </c>
      <c r="CO424">
        <v>3</v>
      </c>
      <c r="CP424">
        <v>5</v>
      </c>
      <c r="CQ424">
        <f>IFERROR(AVERAGE(Tabel1[[#This Row],[In - F1a]:[In - F1c]]),"")</f>
        <v>4</v>
      </c>
      <c r="CR424">
        <v>4</v>
      </c>
      <c r="CS424">
        <v>2</v>
      </c>
      <c r="CT424">
        <f>IFERROR(AVERAGE(Tabel1[[#This Row],[In - F2a]:[In - F2b]]),"")</f>
        <v>3</v>
      </c>
      <c r="CU424">
        <v>3</v>
      </c>
      <c r="CV424">
        <f>IFERROR(AVERAGE(Tabel1[[#This Row],[In - F3a]:[In - F3a]]),"")</f>
        <v>3</v>
      </c>
      <c r="CW424">
        <v>2</v>
      </c>
      <c r="CX424">
        <f>IFERROR(AVERAGE(Tabel1[[#This Row],[In - F1]],Tabel1[[#This Row],[In - F2]],Tabel1[[#This Row],[In - F3]],Tabel1[[#This Row],[In - F4]]),"")</f>
        <v>3</v>
      </c>
      <c r="CY424">
        <v>4</v>
      </c>
      <c r="CZ424">
        <v>5</v>
      </c>
      <c r="DA424">
        <v>2</v>
      </c>
      <c r="DB424">
        <f>IFERROR(AVERAGE(Tabel1[[#This Row],[In - V1a]:[In - V1c]]),"")</f>
        <v>3.6666666666666665</v>
      </c>
      <c r="DC424">
        <v>5</v>
      </c>
      <c r="DD424">
        <v>4</v>
      </c>
      <c r="DE424">
        <v>4</v>
      </c>
      <c r="DF424">
        <f>IFERROR(AVERAGE(Tabel1[[#This Row],[In - V2a]:[In - V2c]]),"")</f>
        <v>4.333333333333333</v>
      </c>
      <c r="DG424">
        <v>3</v>
      </c>
      <c r="DH424">
        <v>5</v>
      </c>
      <c r="DI424">
        <f>IFERROR(AVERAGE(Tabel1[[#This Row],[In - V3a]:[In - V3b]]),"")</f>
        <v>4</v>
      </c>
      <c r="DJ424">
        <v>4</v>
      </c>
      <c r="DK424">
        <f>IFERROR(AVERAGE(Tabel1[[#This Row],[In - V1]],Tabel1[[#This Row],[In - V2]],Tabel1[[#This Row],[In - V3]],Tabel1[[#This Row],[In - V4]]),"")</f>
        <v>4</v>
      </c>
      <c r="DL424">
        <v>2</v>
      </c>
      <c r="DM424">
        <v>4</v>
      </c>
      <c r="DN424">
        <f>IFERROR(AVERAGE(Tabel1[[#This Row],[In - A1a]:[In - A1b]]),"")</f>
        <v>3</v>
      </c>
      <c r="DO424">
        <v>3</v>
      </c>
      <c r="DQ424">
        <f>IFERROR(AVERAGE(Tabel1[[#This Row],[In - A2a]:[In - A2b]]),"")</f>
        <v>3</v>
      </c>
      <c r="DR424">
        <v>4</v>
      </c>
      <c r="DS424">
        <v>2</v>
      </c>
      <c r="DT424">
        <f>IFERROR(AVERAGE(Tabel1[[#This Row],[In - A3a]:[In - A3a]]),"")</f>
        <v>4</v>
      </c>
      <c r="DU424">
        <v>3</v>
      </c>
      <c r="DV424">
        <f>IFERROR(AVERAGE(Tabel1[[#This Row],[In - A1]],Tabel1[[#This Row],[In - A2]],Tabel1[[#This Row],[In - A3]],Tabel1[[#This Row],[In - A4]]),"")</f>
        <v>3.25</v>
      </c>
      <c r="DW424">
        <v>4</v>
      </c>
      <c r="DX424">
        <v>5</v>
      </c>
      <c r="DY424">
        <v>3</v>
      </c>
      <c r="DZ424">
        <f>IFERROR(AVERAGE(Tabel1[[#This Row],[Do - R1a]:[Do - R1c]]),"")</f>
        <v>4</v>
      </c>
      <c r="EA424">
        <v>2</v>
      </c>
      <c r="EB424">
        <v>5</v>
      </c>
      <c r="EC424">
        <v>3</v>
      </c>
      <c r="ED424">
        <v>3</v>
      </c>
      <c r="EE424">
        <f>IFERROR(AVERAGE(Tabel1[[#This Row],[Do - R1]:[Do - R5]]),"")</f>
        <v>3.4</v>
      </c>
      <c r="EF424">
        <v>3</v>
      </c>
      <c r="EG424">
        <v>3</v>
      </c>
      <c r="EH424">
        <v>3</v>
      </c>
      <c r="EI424">
        <f>IFERROR(AVERAGE(Tabel1[[#This Row],[Do - C1a]:[Do - C1c]]),"")</f>
        <v>3</v>
      </c>
      <c r="EJ424">
        <v>3</v>
      </c>
      <c r="EK424">
        <v>2</v>
      </c>
      <c r="EL424">
        <v>4</v>
      </c>
      <c r="EM424">
        <f>IFERROR(AVERAGE(Tabel1[[#This Row],[Do - C1]:[Do - C4]]),"")</f>
        <v>3</v>
      </c>
      <c r="EN424">
        <v>5</v>
      </c>
      <c r="EO424">
        <v>4</v>
      </c>
      <c r="EP424">
        <v>5</v>
      </c>
      <c r="EQ424">
        <f>IFERROR(AVERAGE(Tabel1[[#This Row],[Do - F1a]:[Do - F1c]]),"")</f>
        <v>4.666666666666667</v>
      </c>
      <c r="ER424">
        <v>3</v>
      </c>
      <c r="ES424">
        <f>IFERROR(AVERAGE(Tabel1[[#This Row],[Do - F2a]:[Do - F2a]]),"")</f>
        <v>3</v>
      </c>
      <c r="ET424">
        <v>4</v>
      </c>
      <c r="EU424">
        <v>4</v>
      </c>
      <c r="EV424">
        <f>IFERROR(AVERAGE(Tabel1[[#This Row],[Do - F3a]:[Do - F3b]]),"")</f>
        <v>4</v>
      </c>
      <c r="EW424">
        <v>3</v>
      </c>
      <c r="EX424">
        <f>IFERROR(AVERAGE(Tabel1[[#This Row],[Do - F1]],Tabel1[[#This Row],[Do - F2]],Tabel1[[#This Row],[Do - F3]],Tabel1[[#This Row],[Do - F4]]),"")</f>
        <v>3.666666666666667</v>
      </c>
      <c r="EY424">
        <v>3</v>
      </c>
      <c r="EZ424">
        <v>4</v>
      </c>
      <c r="FA424">
        <v>3</v>
      </c>
      <c r="FB424">
        <f>IFERROR(AVERAGE(Tabel1[[#This Row],[Do - V1a]:[Do - V1c]]),"")</f>
        <v>3.3333333333333335</v>
      </c>
      <c r="FC424">
        <v>5</v>
      </c>
      <c r="FD424">
        <v>4</v>
      </c>
      <c r="FE424">
        <f>IFERROR(AVERAGE(Tabel1[[#This Row],[Do - V2a]:[Do - V2b]]),"")</f>
        <v>4.5</v>
      </c>
      <c r="FF424">
        <v>4</v>
      </c>
      <c r="FG424">
        <f>IFERROR(AVERAGE(Tabel1[[#This Row],[Do - V3a]:[Do - V3a]]),"")</f>
        <v>4</v>
      </c>
      <c r="FH424">
        <v>3</v>
      </c>
      <c r="FI424">
        <f>IFERROR(AVERAGE(Tabel1[[#This Row],[Do - V1]],Tabel1[[#This Row],[Do - V2]],Tabel1[[#This Row],[Do - V3]],Tabel1[[#This Row],[Do - V4]]),"")</f>
        <v>3.7083333333333335</v>
      </c>
      <c r="FJ424">
        <v>4</v>
      </c>
      <c r="FK424">
        <v>2</v>
      </c>
      <c r="FL424">
        <v>4</v>
      </c>
      <c r="FM424">
        <f>IFERROR(AVERAGE(Tabel1[[#This Row],[Do - A1a]:[Do - A1c]]),"")</f>
        <v>3.3333333333333335</v>
      </c>
      <c r="FN424">
        <v>4</v>
      </c>
      <c r="FP424">
        <f>IFERROR(AVERAGE(Tabel1[[#This Row],[Do - A2a]:[Do - A2b]]),"")</f>
        <v>4</v>
      </c>
      <c r="FQ424">
        <v>4</v>
      </c>
      <c r="FR424">
        <f>IFERROR(AVERAGE(Tabel1[[#This Row],[Do - A3a]:[Do - A3a]]),"")</f>
        <v>4</v>
      </c>
      <c r="FS424">
        <v>3</v>
      </c>
      <c r="FT424">
        <f>IFERROR(AVERAGE(Tabel1[[#This Row],[Do - A1]],Tabel1[[#This Row],[Do - A2]],Tabel1[[#This Row],[Do - A3]],Tabel1[[#This Row],[Do - A4]]),"")</f>
        <v>3.5833333333333335</v>
      </c>
      <c r="FU42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3.3983333333333334</v>
      </c>
      <c r="FV424" s="31" t="s">
        <v>2101</v>
      </c>
      <c r="FW424" t="b">
        <v>1</v>
      </c>
    </row>
    <row r="425" spans="1:179" x14ac:dyDescent="0.3">
      <c r="A425" s="13">
        <v>45685.657488425903</v>
      </c>
      <c r="B425" t="b">
        <v>0</v>
      </c>
      <c r="C425" t="s">
        <v>2102</v>
      </c>
      <c r="D425" t="s">
        <v>1235</v>
      </c>
      <c r="E425" t="s">
        <v>2103</v>
      </c>
      <c r="F425" s="14" t="s">
        <v>184</v>
      </c>
      <c r="G425" t="s">
        <v>2104</v>
      </c>
      <c r="H425" t="s">
        <v>222</v>
      </c>
      <c r="AB425" t="str">
        <f>IFERROR(AVERAGE(Tabel1[[#This Row],[Up - R1a]:[Up - R1c]]),"")</f>
        <v/>
      </c>
      <c r="AG425" t="str">
        <f>IFERROR(AVERAGE(Tabel1[[#This Row],[Up - R1]:[Up - R5]]),"")</f>
        <v/>
      </c>
      <c r="AK425" t="str">
        <f>IFERROR(AVERAGE(Tabel1[[#This Row],[Up - C1a]:[Up - C1c]]),"")</f>
        <v/>
      </c>
      <c r="AO425" t="str">
        <f>IFERROR(AVERAGE(Tabel1[[#This Row],[Up - C1]:[Up - C4]]),"")</f>
        <v/>
      </c>
      <c r="AQ425" t="str">
        <f>IFERROR(AVERAGE(Tabel1[[#This Row],[Up - F1a]:[Up - F1a]]),"")</f>
        <v/>
      </c>
      <c r="AT425" t="str">
        <f>IFERROR(AVERAGE(Tabel1[[#This Row],[Up - F2a]:[Up - F2b]]),"")</f>
        <v/>
      </c>
      <c r="AW425" t="str">
        <f>IFERROR(AVERAGE(Tabel1[[#This Row],[Up - F3a]:[Up - F3b]]),"")</f>
        <v/>
      </c>
      <c r="AY425" t="str">
        <f>IFERROR(AVERAGE(Tabel1[[#This Row],[Up - F1]],Tabel1[[#This Row],[Up - F2]],Tabel1[[#This Row],[Up - F3]],Tabel1[[#This Row],[Up - F4]]),"")</f>
        <v/>
      </c>
      <c r="BB425" t="str">
        <f>IFERROR(AVERAGE(Tabel1[[#This Row],[Up - V1a]:[Up - V1b]]),"")</f>
        <v/>
      </c>
      <c r="BF425" t="str">
        <f>IFERROR(AVERAGE(Tabel1[[#This Row],[Up - V2a]:[Up - V2c]]),"")</f>
        <v/>
      </c>
      <c r="BI425" t="str">
        <f>IFERROR(AVERAGE(Tabel1[[#This Row],[Up - V3a]:[Up - V3b]]),"")</f>
        <v/>
      </c>
      <c r="BK425" t="str">
        <f>IFERROR(AVERAGE(Tabel1[[#This Row],[Up - V1]],Tabel1[[#This Row],[Up - V2]],Tabel1[[#This Row],[Up - V3]],Tabel1[[#This Row],[Up - V4]]),"")</f>
        <v/>
      </c>
      <c r="BP425" t="str">
        <f>IFERROR(AVERAGE(Tabel1[[#This Row],[Up - A1a]:[Up - A1d]]),"")</f>
        <v/>
      </c>
      <c r="BS425" t="str">
        <f>IFERROR(AVERAGE(Tabel1[[#This Row],[Up - A2a]:[Up - A2b]]),"")</f>
        <v/>
      </c>
      <c r="BU425" t="str">
        <f>IFERROR(AVERAGE(Tabel1[[#This Row],[Up - A3a]:[Up - A3a]]),"")</f>
        <v/>
      </c>
      <c r="BW425" t="str">
        <f>IFERROR(AVERAGE(Tabel1[[#This Row],[Up - A1]],Tabel1[[#This Row],[Up - A2]],Tabel1[[#This Row],[Up - A3]]),"")</f>
        <v/>
      </c>
      <c r="BZ425" t="str">
        <f>IFERROR(AVERAGE(Tabel1[[#This Row],[In - R1a]:[In - R1b]]),"")</f>
        <v/>
      </c>
      <c r="CE425" t="str">
        <f>IFERROR(AVERAGE(Tabel1[[#This Row],[In - R1]:[In - R5]]),"")</f>
        <v/>
      </c>
      <c r="CI425" t="str">
        <f>IFERROR(AVERAGE(Tabel1[[#This Row],[In - C1a]:[In - C1c]]),"")</f>
        <v/>
      </c>
      <c r="CM425" t="str">
        <f>IFERROR(AVERAGE(Tabel1[[#This Row],[In - C1]:[In - C4]]),"")</f>
        <v/>
      </c>
      <c r="CQ425" t="str">
        <f>IFERROR(AVERAGE(Tabel1[[#This Row],[In - F1a]:[In - F1c]]),"")</f>
        <v/>
      </c>
      <c r="CT425" t="str">
        <f>IFERROR(AVERAGE(Tabel1[[#This Row],[In - F2a]:[In - F2b]]),"")</f>
        <v/>
      </c>
      <c r="CV425" t="str">
        <f>IFERROR(AVERAGE(Tabel1[[#This Row],[In - F3a]:[In - F3a]]),"")</f>
        <v/>
      </c>
      <c r="CX425" t="str">
        <f>IFERROR(AVERAGE(Tabel1[[#This Row],[In - F1]],Tabel1[[#This Row],[In - F2]],Tabel1[[#This Row],[In - F3]],Tabel1[[#This Row],[In - F4]]),"")</f>
        <v/>
      </c>
      <c r="DB425" t="str">
        <f>IFERROR(AVERAGE(Tabel1[[#This Row],[In - V1a]:[In - V1c]]),"")</f>
        <v/>
      </c>
      <c r="DF425" t="str">
        <f>IFERROR(AVERAGE(Tabel1[[#This Row],[In - V2a]:[In - V2c]]),"")</f>
        <v/>
      </c>
      <c r="DI425" t="str">
        <f>IFERROR(AVERAGE(Tabel1[[#This Row],[In - V3a]:[In - V3b]]),"")</f>
        <v/>
      </c>
      <c r="DK425" t="str">
        <f>IFERROR(AVERAGE(Tabel1[[#This Row],[In - V1]],Tabel1[[#This Row],[In - V2]],Tabel1[[#This Row],[In - V3]],Tabel1[[#This Row],[In - V4]]),"")</f>
        <v/>
      </c>
      <c r="DN425" t="str">
        <f>IFERROR(AVERAGE(Tabel1[[#This Row],[In - A1a]:[In - A1b]]),"")</f>
        <v/>
      </c>
      <c r="DQ425" t="str">
        <f>IFERROR(AVERAGE(Tabel1[[#This Row],[In - A2a]:[In - A2b]]),"")</f>
        <v/>
      </c>
      <c r="DT425" t="str">
        <f>IFERROR(AVERAGE(Tabel1[[#This Row],[In - A3a]:[In - A3a]]),"")</f>
        <v/>
      </c>
      <c r="DV425" t="str">
        <f>IFERROR(AVERAGE(Tabel1[[#This Row],[In - A1]],Tabel1[[#This Row],[In - A2]],Tabel1[[#This Row],[In - A3]],Tabel1[[#This Row],[In - A4]]),"")</f>
        <v/>
      </c>
      <c r="DZ425" t="str">
        <f>IFERROR(AVERAGE(Tabel1[[#This Row],[Do - R1a]:[Do - R1c]]),"")</f>
        <v/>
      </c>
      <c r="EE425" t="str">
        <f>IFERROR(AVERAGE(Tabel1[[#This Row],[Do - R1]:[Do - R5]]),"")</f>
        <v/>
      </c>
      <c r="EI425" t="str">
        <f>IFERROR(AVERAGE(Tabel1[[#This Row],[Do - C1a]:[Do - C1c]]),"")</f>
        <v/>
      </c>
      <c r="EM425" t="str">
        <f>IFERROR(AVERAGE(Tabel1[[#This Row],[Do - C1]:[Do - C4]]),"")</f>
        <v/>
      </c>
      <c r="EQ425" t="str">
        <f>IFERROR(AVERAGE(Tabel1[[#This Row],[Do - F1a]:[Do - F1c]]),"")</f>
        <v/>
      </c>
      <c r="ES425" t="str">
        <f>IFERROR(AVERAGE(Tabel1[[#This Row],[Do - F2a]:[Do - F2a]]),"")</f>
        <v/>
      </c>
      <c r="EV425" t="str">
        <f>IFERROR(AVERAGE(Tabel1[[#This Row],[Do - F3a]:[Do - F3b]]),"")</f>
        <v/>
      </c>
      <c r="EX425" t="str">
        <f>IFERROR(AVERAGE(Tabel1[[#This Row],[Do - F1]],Tabel1[[#This Row],[Do - F2]],Tabel1[[#This Row],[Do - F3]],Tabel1[[#This Row],[Do - F4]]),"")</f>
        <v/>
      </c>
      <c r="FB425" t="str">
        <f>IFERROR(AVERAGE(Tabel1[[#This Row],[Do - V1a]:[Do - V1c]]),"")</f>
        <v/>
      </c>
      <c r="FE425" t="str">
        <f>IFERROR(AVERAGE(Tabel1[[#This Row],[Do - V2a]:[Do - V2b]]),"")</f>
        <v/>
      </c>
      <c r="FG425" t="str">
        <f>IFERROR(AVERAGE(Tabel1[[#This Row],[Do - V3a]:[Do - V3a]]),"")</f>
        <v/>
      </c>
      <c r="FI425" t="str">
        <f>IFERROR(AVERAGE(Tabel1[[#This Row],[Do - V1]],Tabel1[[#This Row],[Do - V2]],Tabel1[[#This Row],[Do - V3]],Tabel1[[#This Row],[Do - V4]]),"")</f>
        <v/>
      </c>
      <c r="FM425" t="str">
        <f>IFERROR(AVERAGE(Tabel1[[#This Row],[Do - A1a]:[Do - A1c]]),"")</f>
        <v/>
      </c>
      <c r="FP425" t="str">
        <f>IFERROR(AVERAGE(Tabel1[[#This Row],[Do - A2a]:[Do - A2b]]),"")</f>
        <v/>
      </c>
      <c r="FR425" t="str">
        <f>IFERROR(AVERAGE(Tabel1[[#This Row],[Do - A3a]:[Do - A3a]]),"")</f>
        <v/>
      </c>
      <c r="FT425" t="str">
        <f>IFERROR(AVERAGE(Tabel1[[#This Row],[Do - A1]],Tabel1[[#This Row],[Do - A2]],Tabel1[[#This Row],[Do - A3]],Tabel1[[#This Row],[Do - A4]]),"")</f>
        <v/>
      </c>
      <c r="FU425" t="str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/>
      </c>
      <c r="FV425" s="31" t="s">
        <v>2105</v>
      </c>
      <c r="FW425" t="b">
        <v>1</v>
      </c>
    </row>
    <row r="426" spans="1:179" x14ac:dyDescent="0.3">
      <c r="A426" s="13">
        <v>45698.429571759298</v>
      </c>
      <c r="B426" t="b">
        <v>0</v>
      </c>
      <c r="C426" t="s">
        <v>2106</v>
      </c>
      <c r="D426" t="s">
        <v>2107</v>
      </c>
      <c r="E426" t="s">
        <v>2108</v>
      </c>
      <c r="F426" s="14" t="s">
        <v>184</v>
      </c>
      <c r="G426" t="s">
        <v>2109</v>
      </c>
      <c r="H426" t="s">
        <v>222</v>
      </c>
      <c r="I426" t="s">
        <v>243</v>
      </c>
      <c r="J426" t="s">
        <v>244</v>
      </c>
      <c r="K426" t="s">
        <v>201</v>
      </c>
      <c r="L426" t="s">
        <v>197</v>
      </c>
      <c r="M426" t="s">
        <v>198</v>
      </c>
      <c r="N426" t="s">
        <v>331</v>
      </c>
      <c r="O426" t="s">
        <v>256</v>
      </c>
      <c r="P426" t="s">
        <v>304</v>
      </c>
      <c r="Q426" t="s">
        <v>201</v>
      </c>
      <c r="R426" t="s">
        <v>187</v>
      </c>
      <c r="S426" t="s">
        <v>187</v>
      </c>
      <c r="T426" t="s">
        <v>284</v>
      </c>
      <c r="U426" t="s">
        <v>285</v>
      </c>
      <c r="V426" t="s">
        <v>224</v>
      </c>
      <c r="W426" t="s">
        <v>207</v>
      </c>
      <c r="X426" t="s">
        <v>306</v>
      </c>
      <c r="Y426">
        <v>1</v>
      </c>
      <c r="Z426">
        <v>2</v>
      </c>
      <c r="AA426">
        <v>3</v>
      </c>
      <c r="AB426">
        <f>IFERROR(AVERAGE(Tabel1[[#This Row],[Up - R1a]:[Up - R1c]]),"")</f>
        <v>2</v>
      </c>
      <c r="AC426">
        <v>2</v>
      </c>
      <c r="AD426">
        <v>3</v>
      </c>
      <c r="AE426">
        <v>2</v>
      </c>
      <c r="AF426">
        <v>2</v>
      </c>
      <c r="AG426">
        <f>IFERROR(AVERAGE(Tabel1[[#This Row],[Up - R1]:[Up - R5]]),"")</f>
        <v>2.2000000000000002</v>
      </c>
      <c r="AH426">
        <v>2</v>
      </c>
      <c r="AI426">
        <v>2</v>
      </c>
      <c r="AJ426">
        <v>1</v>
      </c>
      <c r="AK426">
        <f>IFERROR(AVERAGE(Tabel1[[#This Row],[Up - C1a]:[Up - C1c]]),"")</f>
        <v>1.6666666666666667</v>
      </c>
      <c r="AL426">
        <v>2</v>
      </c>
      <c r="AM426">
        <v>1</v>
      </c>
      <c r="AN426">
        <v>3</v>
      </c>
      <c r="AO426">
        <f>IFERROR(AVERAGE(Tabel1[[#This Row],[Up - C1]:[Up - C4]]),"")</f>
        <v>1.9166666666666667</v>
      </c>
      <c r="AP426">
        <v>1</v>
      </c>
      <c r="AQ426">
        <f>IFERROR(AVERAGE(Tabel1[[#This Row],[Up - F1a]:[Up - F1a]]),"")</f>
        <v>1</v>
      </c>
      <c r="AR426">
        <v>3</v>
      </c>
      <c r="AS426">
        <v>4</v>
      </c>
      <c r="AT426">
        <f>IFERROR(AVERAGE(Tabel1[[#This Row],[Up - F2a]:[Up - F2b]]),"")</f>
        <v>3.5</v>
      </c>
      <c r="AU426">
        <v>3</v>
      </c>
      <c r="AV426">
        <v>3</v>
      </c>
      <c r="AW426">
        <f>IFERROR(AVERAGE(Tabel1[[#This Row],[Up - F3a]:[Up - F3b]]),"")</f>
        <v>3</v>
      </c>
      <c r="AX426">
        <v>1</v>
      </c>
      <c r="AY426">
        <f>IFERROR(AVERAGE(Tabel1[[#This Row],[Up - F1]],Tabel1[[#This Row],[Up - F2]],Tabel1[[#This Row],[Up - F3]],Tabel1[[#This Row],[Up - F4]]),"")</f>
        <v>2.125</v>
      </c>
      <c r="AZ426">
        <v>2</v>
      </c>
      <c r="BA426">
        <v>1</v>
      </c>
      <c r="BB426">
        <f>IFERROR(AVERAGE(Tabel1[[#This Row],[Up - V1a]:[Up - V1b]]),"")</f>
        <v>1.5</v>
      </c>
      <c r="BC426">
        <v>1</v>
      </c>
      <c r="BD426">
        <v>2</v>
      </c>
      <c r="BE426">
        <v>2</v>
      </c>
      <c r="BF426">
        <f>IFERROR(AVERAGE(Tabel1[[#This Row],[Up - V2a]:[Up - V2c]]),"")</f>
        <v>1.6666666666666667</v>
      </c>
      <c r="BG426">
        <v>1</v>
      </c>
      <c r="BH426">
        <v>1</v>
      </c>
      <c r="BI426">
        <f>IFERROR(AVERAGE(Tabel1[[#This Row],[Up - V3a]:[Up - V3b]]),"")</f>
        <v>1</v>
      </c>
      <c r="BJ426">
        <v>1</v>
      </c>
      <c r="BK426">
        <f>IFERROR(AVERAGE(Tabel1[[#This Row],[Up - V1]],Tabel1[[#This Row],[Up - V2]],Tabel1[[#This Row],[Up - V3]],Tabel1[[#This Row],[Up - V4]]),"")</f>
        <v>1.2916666666666667</v>
      </c>
      <c r="BL426">
        <v>2</v>
      </c>
      <c r="BM426">
        <v>4</v>
      </c>
      <c r="BN426">
        <v>2</v>
      </c>
      <c r="BO426">
        <v>2</v>
      </c>
      <c r="BP426">
        <f>IFERROR(AVERAGE(Tabel1[[#This Row],[Up - A1a]:[Up - A1d]]),"")</f>
        <v>2.5</v>
      </c>
      <c r="BQ426">
        <v>4</v>
      </c>
      <c r="BR426">
        <v>2</v>
      </c>
      <c r="BS426">
        <f>IFERROR(AVERAGE(Tabel1[[#This Row],[Up - A2a]:[Up - A2b]]),"")</f>
        <v>3</v>
      </c>
      <c r="BT426">
        <v>3</v>
      </c>
      <c r="BU426">
        <f>IFERROR(AVERAGE(Tabel1[[#This Row],[Up - A3a]:[Up - A3a]]),"")</f>
        <v>3</v>
      </c>
      <c r="BV426">
        <v>2</v>
      </c>
      <c r="BW426">
        <f>IFERROR(AVERAGE(Tabel1[[#This Row],[Up - A1]],Tabel1[[#This Row],[Up - A2]],Tabel1[[#This Row],[Up - A3]]),"")</f>
        <v>2.8333333333333335</v>
      </c>
      <c r="BX426" t="s">
        <v>189</v>
      </c>
      <c r="BY426" t="s">
        <v>189</v>
      </c>
      <c r="BZ426" t="str">
        <f>IFERROR(AVERAGE(Tabel1[[#This Row],[In - R1a]:[In - R1b]]),"")</f>
        <v/>
      </c>
      <c r="CA426">
        <v>3</v>
      </c>
      <c r="CB426">
        <v>1</v>
      </c>
      <c r="CC426" t="s">
        <v>189</v>
      </c>
      <c r="CD426">
        <v>5</v>
      </c>
      <c r="CE426">
        <f>IFERROR(AVERAGE(Tabel1[[#This Row],[In - R1]:[In - R5]]),"")</f>
        <v>3</v>
      </c>
      <c r="CF426">
        <v>3</v>
      </c>
      <c r="CG426">
        <v>2</v>
      </c>
      <c r="CH426">
        <v>4</v>
      </c>
      <c r="CI426">
        <f>IFERROR(AVERAGE(Tabel1[[#This Row],[In - C1a]:[In - C1c]]),"")</f>
        <v>3</v>
      </c>
      <c r="CJ426">
        <v>2</v>
      </c>
      <c r="CK426">
        <v>3</v>
      </c>
      <c r="CL426" t="s">
        <v>189</v>
      </c>
      <c r="CM426">
        <f>IFERROR(AVERAGE(Tabel1[[#This Row],[In - C1]:[In - C4]]),"")</f>
        <v>2.6666666666666665</v>
      </c>
      <c r="CN426">
        <v>5</v>
      </c>
      <c r="CO426">
        <v>3</v>
      </c>
      <c r="CP426" t="s">
        <v>189</v>
      </c>
      <c r="CQ426">
        <f>IFERROR(AVERAGE(Tabel1[[#This Row],[In - F1a]:[In - F1c]]),"")</f>
        <v>4</v>
      </c>
      <c r="CR426" t="s">
        <v>189</v>
      </c>
      <c r="CS426">
        <v>1</v>
      </c>
      <c r="CT426">
        <f>IFERROR(AVERAGE(Tabel1[[#This Row],[In - F2a]:[In - F2b]]),"")</f>
        <v>1</v>
      </c>
      <c r="CU426">
        <v>1</v>
      </c>
      <c r="CV426">
        <f>IFERROR(AVERAGE(Tabel1[[#This Row],[In - F3a]:[In - F3a]]),"")</f>
        <v>1</v>
      </c>
      <c r="CW426">
        <v>3</v>
      </c>
      <c r="CX426">
        <f>IFERROR(AVERAGE(Tabel1[[#This Row],[In - F1]],Tabel1[[#This Row],[In - F2]],Tabel1[[#This Row],[In - F3]],Tabel1[[#This Row],[In - F4]]),"")</f>
        <v>2.25</v>
      </c>
      <c r="CY426">
        <v>4</v>
      </c>
      <c r="CZ426">
        <v>3</v>
      </c>
      <c r="DA426">
        <v>2</v>
      </c>
      <c r="DB426">
        <f>IFERROR(AVERAGE(Tabel1[[#This Row],[In - V1a]:[In - V1c]]),"")</f>
        <v>3</v>
      </c>
      <c r="DC426">
        <v>2</v>
      </c>
      <c r="DD426">
        <v>3</v>
      </c>
      <c r="DE426">
        <v>3</v>
      </c>
      <c r="DF426">
        <f>IFERROR(AVERAGE(Tabel1[[#This Row],[In - V2a]:[In - V2c]]),"")</f>
        <v>2.6666666666666665</v>
      </c>
      <c r="DG426">
        <v>1</v>
      </c>
      <c r="DH426">
        <v>2</v>
      </c>
      <c r="DI426">
        <f>IFERROR(AVERAGE(Tabel1[[#This Row],[In - V3a]:[In - V3b]]),"")</f>
        <v>1.5</v>
      </c>
      <c r="DJ426">
        <v>2</v>
      </c>
      <c r="DK426">
        <f>IFERROR(AVERAGE(Tabel1[[#This Row],[In - V1]],Tabel1[[#This Row],[In - V2]],Tabel1[[#This Row],[In - V3]],Tabel1[[#This Row],[In - V4]]),"")</f>
        <v>2.2916666666666665</v>
      </c>
      <c r="DL426">
        <v>3</v>
      </c>
      <c r="DM426" t="s">
        <v>189</v>
      </c>
      <c r="DN426">
        <f>IFERROR(AVERAGE(Tabel1[[#This Row],[In - A1a]:[In - A1b]]),"")</f>
        <v>3</v>
      </c>
      <c r="DO426" t="s">
        <v>189</v>
      </c>
      <c r="DP426">
        <v>3</v>
      </c>
      <c r="DQ426">
        <f>IFERROR(AVERAGE(Tabel1[[#This Row],[In - A2a]:[In - A2b]]),"")</f>
        <v>3</v>
      </c>
      <c r="DR426">
        <v>4</v>
      </c>
      <c r="DS426">
        <v>3</v>
      </c>
      <c r="DT426">
        <f>IFERROR(AVERAGE(Tabel1[[#This Row],[In - A3a]:[In - A3a]]),"")</f>
        <v>4</v>
      </c>
      <c r="DU426">
        <v>2</v>
      </c>
      <c r="DV426">
        <f>IFERROR(AVERAGE(Tabel1[[#This Row],[In - A1]],Tabel1[[#This Row],[In - A2]],Tabel1[[#This Row],[In - A3]],Tabel1[[#This Row],[In - A4]]),"")</f>
        <v>3</v>
      </c>
      <c r="DW426">
        <v>2</v>
      </c>
      <c r="DX426">
        <v>3</v>
      </c>
      <c r="DY426">
        <v>4</v>
      </c>
      <c r="DZ426">
        <f>IFERROR(AVERAGE(Tabel1[[#This Row],[Do - R1a]:[Do - R1c]]),"")</f>
        <v>3</v>
      </c>
      <c r="EA426">
        <v>1</v>
      </c>
      <c r="EB426" t="s">
        <v>189</v>
      </c>
      <c r="EC426">
        <v>3</v>
      </c>
      <c r="ED426" t="s">
        <v>189</v>
      </c>
      <c r="EE426">
        <f>IFERROR(AVERAGE(Tabel1[[#This Row],[Do - R1]:[Do - R5]]),"")</f>
        <v>2.3333333333333335</v>
      </c>
      <c r="EF426">
        <v>5</v>
      </c>
      <c r="EG426">
        <v>3</v>
      </c>
      <c r="EH426">
        <v>3</v>
      </c>
      <c r="EI426">
        <f>IFERROR(AVERAGE(Tabel1[[#This Row],[Do - C1a]:[Do - C1c]]),"")</f>
        <v>3.6666666666666665</v>
      </c>
      <c r="EJ426">
        <v>3</v>
      </c>
      <c r="EK426">
        <v>3</v>
      </c>
      <c r="EL426" t="s">
        <v>189</v>
      </c>
      <c r="EM426">
        <f>IFERROR(AVERAGE(Tabel1[[#This Row],[Do - C1]:[Do - C4]]),"")</f>
        <v>3.2222222222222219</v>
      </c>
      <c r="EN426">
        <v>4</v>
      </c>
      <c r="EO426">
        <v>4</v>
      </c>
      <c r="EP426">
        <v>5</v>
      </c>
      <c r="EQ426">
        <f>IFERROR(AVERAGE(Tabel1[[#This Row],[Do - F1a]:[Do - F1c]]),"")</f>
        <v>4.333333333333333</v>
      </c>
      <c r="ER426">
        <v>3</v>
      </c>
      <c r="ES426">
        <f>IFERROR(AVERAGE(Tabel1[[#This Row],[Do - F2a]:[Do - F2a]]),"")</f>
        <v>3</v>
      </c>
      <c r="ET426">
        <v>2</v>
      </c>
      <c r="EU426">
        <v>2</v>
      </c>
      <c r="EV426">
        <f>IFERROR(AVERAGE(Tabel1[[#This Row],[Do - F3a]:[Do - F3b]]),"")</f>
        <v>2</v>
      </c>
      <c r="EW426" t="s">
        <v>189</v>
      </c>
      <c r="EX426">
        <f>IFERROR(AVERAGE(Tabel1[[#This Row],[Do - F1]],Tabel1[[#This Row],[Do - F2]],Tabel1[[#This Row],[Do - F3]],Tabel1[[#This Row],[Do - F4]]),"")</f>
        <v>3.1111111111111107</v>
      </c>
      <c r="EY426">
        <v>5</v>
      </c>
      <c r="EZ426">
        <v>3</v>
      </c>
      <c r="FA426">
        <v>4</v>
      </c>
      <c r="FB426">
        <f>IFERROR(AVERAGE(Tabel1[[#This Row],[Do - V1a]:[Do - V1c]]),"")</f>
        <v>4</v>
      </c>
      <c r="FC426" t="s">
        <v>189</v>
      </c>
      <c r="FD426">
        <v>4</v>
      </c>
      <c r="FE426">
        <f>IFERROR(AVERAGE(Tabel1[[#This Row],[Do - V2a]:[Do - V2b]]),"")</f>
        <v>4</v>
      </c>
      <c r="FF426">
        <v>3</v>
      </c>
      <c r="FG426">
        <f>IFERROR(AVERAGE(Tabel1[[#This Row],[Do - V3a]:[Do - V3a]]),"")</f>
        <v>3</v>
      </c>
      <c r="FH426" t="s">
        <v>189</v>
      </c>
      <c r="FI426">
        <f>IFERROR(AVERAGE(Tabel1[[#This Row],[Do - V1]],Tabel1[[#This Row],[Do - V2]],Tabel1[[#This Row],[Do - V3]],Tabel1[[#This Row],[Do - V4]]),"")</f>
        <v>3.6666666666666665</v>
      </c>
      <c r="FJ426">
        <v>4</v>
      </c>
      <c r="FK426">
        <v>4</v>
      </c>
      <c r="FL426">
        <v>5</v>
      </c>
      <c r="FM426">
        <f>IFERROR(AVERAGE(Tabel1[[#This Row],[Do - A1a]:[Do - A1c]]),"")</f>
        <v>4.333333333333333</v>
      </c>
      <c r="FN426">
        <v>3</v>
      </c>
      <c r="FO426" t="s">
        <v>189</v>
      </c>
      <c r="FP426">
        <f>IFERROR(AVERAGE(Tabel1[[#This Row],[Do - A2a]:[Do - A2b]]),"")</f>
        <v>3</v>
      </c>
      <c r="FQ426">
        <v>3</v>
      </c>
      <c r="FR426">
        <f>IFERROR(AVERAGE(Tabel1[[#This Row],[Do - A3a]:[Do - A3a]]),"")</f>
        <v>3</v>
      </c>
      <c r="FS426" t="s">
        <v>189</v>
      </c>
      <c r="FT426">
        <f>IFERROR(AVERAGE(Tabel1[[#This Row],[Do - A1]],Tabel1[[#This Row],[Do - A2]],Tabel1[[#This Row],[Do - A3]],Tabel1[[#This Row],[Do - A4]]),"")</f>
        <v>3.4444444444444442</v>
      </c>
      <c r="FU42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2.6235185185185181</v>
      </c>
      <c r="FV426" s="31" t="s">
        <v>2110</v>
      </c>
      <c r="FW426" t="b">
        <v>1</v>
      </c>
    </row>
    <row r="427" spans="1:179" x14ac:dyDescent="0.3">
      <c r="A427" s="13">
        <v>45699.895682870403</v>
      </c>
      <c r="B427" t="b">
        <v>0</v>
      </c>
      <c r="C427" t="s">
        <v>2111</v>
      </c>
      <c r="D427" t="s">
        <v>1844</v>
      </c>
      <c r="E427" t="s">
        <v>2112</v>
      </c>
      <c r="F427" s="14" t="s">
        <v>184</v>
      </c>
      <c r="G427" t="s">
        <v>2113</v>
      </c>
      <c r="H427" t="s">
        <v>194</v>
      </c>
      <c r="I427" t="s">
        <v>2114</v>
      </c>
      <c r="J427" t="s">
        <v>1972</v>
      </c>
      <c r="Y427">
        <v>1</v>
      </c>
      <c r="AB427">
        <f>IFERROR(AVERAGE(Tabel1[[#This Row],[Up - R1a]:[Up - R1c]]),"")</f>
        <v>1</v>
      </c>
      <c r="AG427">
        <f>IFERROR(AVERAGE(Tabel1[[#This Row],[Up - R1]:[Up - R5]]),"")</f>
        <v>1</v>
      </c>
      <c r="AI427">
        <v>3</v>
      </c>
      <c r="AK427">
        <f>IFERROR(AVERAGE(Tabel1[[#This Row],[Up - C1a]:[Up - C1c]]),"")</f>
        <v>3</v>
      </c>
      <c r="AO427">
        <f>IFERROR(AVERAGE(Tabel1[[#This Row],[Up - C1]:[Up - C4]]),"")</f>
        <v>3</v>
      </c>
      <c r="AP427">
        <v>4</v>
      </c>
      <c r="AQ427">
        <f>IFERROR(AVERAGE(Tabel1[[#This Row],[Up - F1a]:[Up - F1a]]),"")</f>
        <v>4</v>
      </c>
      <c r="AT427" t="str">
        <f>IFERROR(AVERAGE(Tabel1[[#This Row],[Up - F2a]:[Up - F2b]]),"")</f>
        <v/>
      </c>
      <c r="AW427" t="str">
        <f>IFERROR(AVERAGE(Tabel1[[#This Row],[Up - F3a]:[Up - F3b]]),"")</f>
        <v/>
      </c>
      <c r="AY427">
        <f>IFERROR(AVERAGE(Tabel1[[#This Row],[Up - F1]],Tabel1[[#This Row],[Up - F2]],Tabel1[[#This Row],[Up - F3]],Tabel1[[#This Row],[Up - F4]]),"")</f>
        <v>4</v>
      </c>
      <c r="AZ427">
        <v>4</v>
      </c>
      <c r="BB427">
        <f>IFERROR(AVERAGE(Tabel1[[#This Row],[Up - V1a]:[Up - V1b]]),"")</f>
        <v>4</v>
      </c>
      <c r="BF427" t="str">
        <f>IFERROR(AVERAGE(Tabel1[[#This Row],[Up - V2a]:[Up - V2c]]),"")</f>
        <v/>
      </c>
      <c r="BI427" t="str">
        <f>IFERROR(AVERAGE(Tabel1[[#This Row],[Up - V3a]:[Up - V3b]]),"")</f>
        <v/>
      </c>
      <c r="BK427">
        <f>IFERROR(AVERAGE(Tabel1[[#This Row],[Up - V1]],Tabel1[[#This Row],[Up - V2]],Tabel1[[#This Row],[Up - V3]],Tabel1[[#This Row],[Up - V4]]),"")</f>
        <v>4</v>
      </c>
      <c r="BP427" t="str">
        <f>IFERROR(AVERAGE(Tabel1[[#This Row],[Up - A1a]:[Up - A1d]]),"")</f>
        <v/>
      </c>
      <c r="BS427" t="str">
        <f>IFERROR(AVERAGE(Tabel1[[#This Row],[Up - A2a]:[Up - A2b]]),"")</f>
        <v/>
      </c>
      <c r="BU427" t="str">
        <f>IFERROR(AVERAGE(Tabel1[[#This Row],[Up - A3a]:[Up - A3a]]),"")</f>
        <v/>
      </c>
      <c r="BW427" t="str">
        <f>IFERROR(AVERAGE(Tabel1[[#This Row],[Up - A1]],Tabel1[[#This Row],[Up - A2]],Tabel1[[#This Row],[Up - A3]]),"")</f>
        <v/>
      </c>
      <c r="BX427">
        <v>4</v>
      </c>
      <c r="BZ427">
        <f>IFERROR(AVERAGE(Tabel1[[#This Row],[In - R1a]:[In - R1b]]),"")</f>
        <v>4</v>
      </c>
      <c r="CE427">
        <f>IFERROR(AVERAGE(Tabel1[[#This Row],[In - R1]:[In - R5]]),"")</f>
        <v>4</v>
      </c>
      <c r="CG427">
        <v>4</v>
      </c>
      <c r="CI427">
        <f>IFERROR(AVERAGE(Tabel1[[#This Row],[In - C1a]:[In - C1c]]),"")</f>
        <v>4</v>
      </c>
      <c r="CM427">
        <f>IFERROR(AVERAGE(Tabel1[[#This Row],[In - C1]:[In - C4]]),"")</f>
        <v>4</v>
      </c>
      <c r="CO427">
        <v>3</v>
      </c>
      <c r="CQ427">
        <f>IFERROR(AVERAGE(Tabel1[[#This Row],[In - F1a]:[In - F1c]]),"")</f>
        <v>3</v>
      </c>
      <c r="CT427" t="str">
        <f>IFERROR(AVERAGE(Tabel1[[#This Row],[In - F2a]:[In - F2b]]),"")</f>
        <v/>
      </c>
      <c r="CV427" t="str">
        <f>IFERROR(AVERAGE(Tabel1[[#This Row],[In - F3a]:[In - F3a]]),"")</f>
        <v/>
      </c>
      <c r="CX427">
        <f>IFERROR(AVERAGE(Tabel1[[#This Row],[In - F1]],Tabel1[[#This Row],[In - F2]],Tabel1[[#This Row],[In - F3]],Tabel1[[#This Row],[In - F4]]),"")</f>
        <v>3</v>
      </c>
      <c r="CY427">
        <v>5</v>
      </c>
      <c r="DB427">
        <f>IFERROR(AVERAGE(Tabel1[[#This Row],[In - V1a]:[In - V1c]]),"")</f>
        <v>5</v>
      </c>
      <c r="DF427" t="str">
        <f>IFERROR(AVERAGE(Tabel1[[#This Row],[In - V2a]:[In - V2c]]),"")</f>
        <v/>
      </c>
      <c r="DI427" t="str">
        <f>IFERROR(AVERAGE(Tabel1[[#This Row],[In - V3a]:[In - V3b]]),"")</f>
        <v/>
      </c>
      <c r="DK427">
        <f>IFERROR(AVERAGE(Tabel1[[#This Row],[In - V1]],Tabel1[[#This Row],[In - V2]],Tabel1[[#This Row],[In - V3]],Tabel1[[#This Row],[In - V4]]),"")</f>
        <v>5</v>
      </c>
      <c r="DN427" t="str">
        <f>IFERROR(AVERAGE(Tabel1[[#This Row],[In - A1a]:[In - A1b]]),"")</f>
        <v/>
      </c>
      <c r="DQ427" t="str">
        <f>IFERROR(AVERAGE(Tabel1[[#This Row],[In - A2a]:[In - A2b]]),"")</f>
        <v/>
      </c>
      <c r="DT427" t="str">
        <f>IFERROR(AVERAGE(Tabel1[[#This Row],[In - A3a]:[In - A3a]]),"")</f>
        <v/>
      </c>
      <c r="DV427" t="str">
        <f>IFERROR(AVERAGE(Tabel1[[#This Row],[In - A1]],Tabel1[[#This Row],[In - A2]],Tabel1[[#This Row],[In - A3]],Tabel1[[#This Row],[In - A4]]),"")</f>
        <v/>
      </c>
      <c r="DW427">
        <v>4</v>
      </c>
      <c r="DZ427">
        <f>IFERROR(AVERAGE(Tabel1[[#This Row],[Do - R1a]:[Do - R1c]]),"")</f>
        <v>4</v>
      </c>
      <c r="EE427">
        <f>IFERROR(AVERAGE(Tabel1[[#This Row],[Do - R1]:[Do - R5]]),"")</f>
        <v>4</v>
      </c>
      <c r="EG427">
        <v>5</v>
      </c>
      <c r="EI427">
        <f>IFERROR(AVERAGE(Tabel1[[#This Row],[Do - C1a]:[Do - C1c]]),"")</f>
        <v>5</v>
      </c>
      <c r="EM427">
        <f>IFERROR(AVERAGE(Tabel1[[#This Row],[Do - C1]:[Do - C4]]),"")</f>
        <v>5</v>
      </c>
      <c r="EP427">
        <v>3</v>
      </c>
      <c r="EQ427">
        <f>IFERROR(AVERAGE(Tabel1[[#This Row],[Do - F1a]:[Do - F1c]]),"")</f>
        <v>3</v>
      </c>
      <c r="ES427" t="str">
        <f>IFERROR(AVERAGE(Tabel1[[#This Row],[Do - F2a]:[Do - F2a]]),"")</f>
        <v/>
      </c>
      <c r="EV427" t="str">
        <f>IFERROR(AVERAGE(Tabel1[[#This Row],[Do - F3a]:[Do - F3b]]),"")</f>
        <v/>
      </c>
      <c r="EX427">
        <f>IFERROR(AVERAGE(Tabel1[[#This Row],[Do - F1]],Tabel1[[#This Row],[Do - F2]],Tabel1[[#This Row],[Do - F3]],Tabel1[[#This Row],[Do - F4]]),"")</f>
        <v>3</v>
      </c>
      <c r="EY427">
        <v>4</v>
      </c>
      <c r="FB427">
        <f>IFERROR(AVERAGE(Tabel1[[#This Row],[Do - V1a]:[Do - V1c]]),"")</f>
        <v>4</v>
      </c>
      <c r="FE427" t="str">
        <f>IFERROR(AVERAGE(Tabel1[[#This Row],[Do - V2a]:[Do - V2b]]),"")</f>
        <v/>
      </c>
      <c r="FG427" t="str">
        <f>IFERROR(AVERAGE(Tabel1[[#This Row],[Do - V3a]:[Do - V3a]]),"")</f>
        <v/>
      </c>
      <c r="FI427">
        <f>IFERROR(AVERAGE(Tabel1[[#This Row],[Do - V1]],Tabel1[[#This Row],[Do - V2]],Tabel1[[#This Row],[Do - V3]],Tabel1[[#This Row],[Do - V4]]),"")</f>
        <v>4</v>
      </c>
      <c r="FM427" t="str">
        <f>IFERROR(AVERAGE(Tabel1[[#This Row],[Do - A1a]:[Do - A1c]]),"")</f>
        <v/>
      </c>
      <c r="FP427" t="str">
        <f>IFERROR(AVERAGE(Tabel1[[#This Row],[Do - A2a]:[Do - A2b]]),"")</f>
        <v/>
      </c>
      <c r="FR427" t="str">
        <f>IFERROR(AVERAGE(Tabel1[[#This Row],[Do - A3a]:[Do - A3a]]),"")</f>
        <v/>
      </c>
      <c r="FS427">
        <v>2</v>
      </c>
      <c r="FT427">
        <f>IFERROR(AVERAGE(Tabel1[[#This Row],[Do - A1]],Tabel1[[#This Row],[Do - A2]],Tabel1[[#This Row],[Do - A3]],Tabel1[[#This Row],[Do - A4]]),"")</f>
        <v>2</v>
      </c>
      <c r="FU42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3.5384615384615383</v>
      </c>
      <c r="FV427" s="31" t="s">
        <v>2115</v>
      </c>
      <c r="FW427" t="b">
        <v>1</v>
      </c>
    </row>
    <row r="428" spans="1:179" x14ac:dyDescent="0.3">
      <c r="A428" s="13">
        <v>45701.409097222197</v>
      </c>
      <c r="B428" t="b">
        <v>0</v>
      </c>
      <c r="C428" t="s">
        <v>2116</v>
      </c>
      <c r="D428" t="s">
        <v>2117</v>
      </c>
      <c r="E428" t="s">
        <v>2118</v>
      </c>
      <c r="F428" s="14" t="s">
        <v>184</v>
      </c>
      <c r="G428" t="s">
        <v>2119</v>
      </c>
      <c r="H428" t="s">
        <v>222</v>
      </c>
      <c r="I428" t="s">
        <v>195</v>
      </c>
      <c r="J428" t="s">
        <v>589</v>
      </c>
      <c r="K428" t="s">
        <v>235</v>
      </c>
      <c r="L428" t="s">
        <v>249</v>
      </c>
      <c r="M428" t="s">
        <v>233</v>
      </c>
      <c r="N428" t="s">
        <v>479</v>
      </c>
      <c r="O428" t="s">
        <v>200</v>
      </c>
      <c r="P428" t="s">
        <v>255</v>
      </c>
      <c r="Q428" t="s">
        <v>235</v>
      </c>
      <c r="R428" t="s">
        <v>235</v>
      </c>
      <c r="S428" t="s">
        <v>187</v>
      </c>
      <c r="T428" t="s">
        <v>236</v>
      </c>
      <c r="U428" t="s">
        <v>237</v>
      </c>
      <c r="V428" t="s">
        <v>224</v>
      </c>
      <c r="W428" t="s">
        <v>207</v>
      </c>
      <c r="X428" t="s">
        <v>207</v>
      </c>
      <c r="Y428">
        <v>4</v>
      </c>
      <c r="Z428">
        <v>3</v>
      </c>
      <c r="AA428" t="s">
        <v>189</v>
      </c>
      <c r="AB428">
        <f>IFERROR(AVERAGE(Tabel1[[#This Row],[Up - R1a]:[Up - R1c]]),"")</f>
        <v>3.5</v>
      </c>
      <c r="AC428">
        <v>3</v>
      </c>
      <c r="AD428">
        <v>3</v>
      </c>
      <c r="AE428" t="s">
        <v>189</v>
      </c>
      <c r="AF428" t="s">
        <v>189</v>
      </c>
      <c r="AG428">
        <f>IFERROR(AVERAGE(Tabel1[[#This Row],[Up - R1]:[Up - R5]]),"")</f>
        <v>3.1666666666666665</v>
      </c>
      <c r="AH428">
        <v>3</v>
      </c>
      <c r="AI428">
        <v>3</v>
      </c>
      <c r="AJ428">
        <v>3</v>
      </c>
      <c r="AK428">
        <f>IFERROR(AVERAGE(Tabel1[[#This Row],[Up - C1a]:[Up - C1c]]),"")</f>
        <v>3</v>
      </c>
      <c r="AL428">
        <v>3</v>
      </c>
      <c r="AM428">
        <v>2</v>
      </c>
      <c r="AN428">
        <v>2</v>
      </c>
      <c r="AO428">
        <f>IFERROR(AVERAGE(Tabel1[[#This Row],[Up - C1]:[Up - C4]]),"")</f>
        <v>2.5</v>
      </c>
      <c r="AP428">
        <v>3</v>
      </c>
      <c r="AQ428">
        <f>IFERROR(AVERAGE(Tabel1[[#This Row],[Up - F1a]:[Up - F1a]]),"")</f>
        <v>3</v>
      </c>
      <c r="AR428">
        <v>2</v>
      </c>
      <c r="AS428">
        <v>1</v>
      </c>
      <c r="AT428">
        <f>IFERROR(AVERAGE(Tabel1[[#This Row],[Up - F2a]:[Up - F2b]]),"")</f>
        <v>1.5</v>
      </c>
      <c r="AU428">
        <v>3</v>
      </c>
      <c r="AV428">
        <v>1</v>
      </c>
      <c r="AW428">
        <f>IFERROR(AVERAGE(Tabel1[[#This Row],[Up - F3a]:[Up - F3b]]),"")</f>
        <v>2</v>
      </c>
      <c r="AX428">
        <v>2</v>
      </c>
      <c r="AY428">
        <f>IFERROR(AVERAGE(Tabel1[[#This Row],[Up - F1]],Tabel1[[#This Row],[Up - F2]],Tabel1[[#This Row],[Up - F3]],Tabel1[[#This Row],[Up - F4]]),"")</f>
        <v>2.125</v>
      </c>
      <c r="AZ428">
        <v>3</v>
      </c>
      <c r="BA428">
        <v>3</v>
      </c>
      <c r="BB428">
        <f>IFERROR(AVERAGE(Tabel1[[#This Row],[Up - V1a]:[Up - V1b]]),"")</f>
        <v>3</v>
      </c>
      <c r="BC428">
        <v>4</v>
      </c>
      <c r="BD428" t="s">
        <v>189</v>
      </c>
      <c r="BE428">
        <v>3</v>
      </c>
      <c r="BF428">
        <f>IFERROR(AVERAGE(Tabel1[[#This Row],[Up - V2a]:[Up - V2c]]),"")</f>
        <v>3.5</v>
      </c>
      <c r="BG428">
        <v>2</v>
      </c>
      <c r="BH428">
        <v>3</v>
      </c>
      <c r="BI428">
        <f>IFERROR(AVERAGE(Tabel1[[#This Row],[Up - V3a]:[Up - V3b]]),"")</f>
        <v>2.5</v>
      </c>
      <c r="BJ428">
        <v>4</v>
      </c>
      <c r="BK428">
        <f>IFERROR(AVERAGE(Tabel1[[#This Row],[Up - V1]],Tabel1[[#This Row],[Up - V2]],Tabel1[[#This Row],[Up - V3]],Tabel1[[#This Row],[Up - V4]]),"")</f>
        <v>3.25</v>
      </c>
      <c r="BL428">
        <v>3</v>
      </c>
      <c r="BM428">
        <v>4</v>
      </c>
      <c r="BN428">
        <v>2</v>
      </c>
      <c r="BO428">
        <v>3</v>
      </c>
      <c r="BP428">
        <f>IFERROR(AVERAGE(Tabel1[[#This Row],[Up - A1a]:[Up - A1d]]),"")</f>
        <v>3</v>
      </c>
      <c r="BQ428">
        <v>3</v>
      </c>
      <c r="BR428">
        <v>3</v>
      </c>
      <c r="BS428">
        <f>IFERROR(AVERAGE(Tabel1[[#This Row],[Up - A2a]:[Up - A2b]]),"")</f>
        <v>3</v>
      </c>
      <c r="BT428">
        <v>2</v>
      </c>
      <c r="BU428">
        <f>IFERROR(AVERAGE(Tabel1[[#This Row],[Up - A3a]:[Up - A3a]]),"")</f>
        <v>2</v>
      </c>
      <c r="BV428">
        <v>4</v>
      </c>
      <c r="BW428">
        <f>IFERROR(AVERAGE(Tabel1[[#This Row],[Up - A1]],Tabel1[[#This Row],[Up - A2]],Tabel1[[#This Row],[Up - A3]]),"")</f>
        <v>2.6666666666666665</v>
      </c>
      <c r="BX428">
        <v>3</v>
      </c>
      <c r="BY428">
        <v>3</v>
      </c>
      <c r="BZ428">
        <f>IFERROR(AVERAGE(Tabel1[[#This Row],[In - R1a]:[In - R1b]]),"")</f>
        <v>3</v>
      </c>
      <c r="CA428">
        <v>4</v>
      </c>
      <c r="CB428">
        <v>1</v>
      </c>
      <c r="CC428">
        <v>3</v>
      </c>
      <c r="CD428">
        <v>5</v>
      </c>
      <c r="CE428">
        <f>IFERROR(AVERAGE(Tabel1[[#This Row],[In - R1]:[In - R5]]),"")</f>
        <v>3.2</v>
      </c>
      <c r="CF428">
        <v>4</v>
      </c>
      <c r="CG428">
        <v>4</v>
      </c>
      <c r="CH428">
        <v>4</v>
      </c>
      <c r="CI428">
        <f>IFERROR(AVERAGE(Tabel1[[#This Row],[In - C1a]:[In - C1c]]),"")</f>
        <v>4</v>
      </c>
      <c r="CJ428">
        <v>4</v>
      </c>
      <c r="CK428">
        <v>5</v>
      </c>
      <c r="CL428">
        <v>5</v>
      </c>
      <c r="CM428">
        <f>IFERROR(AVERAGE(Tabel1[[#This Row],[In - C1]:[In - C4]]),"")</f>
        <v>4.5</v>
      </c>
      <c r="CN428">
        <v>3</v>
      </c>
      <c r="CO428">
        <v>2</v>
      </c>
      <c r="CP428">
        <v>1</v>
      </c>
      <c r="CQ428">
        <f>IFERROR(AVERAGE(Tabel1[[#This Row],[In - F1a]:[In - F1c]]),"")</f>
        <v>2</v>
      </c>
      <c r="CR428">
        <v>4</v>
      </c>
      <c r="CS428">
        <v>2</v>
      </c>
      <c r="CT428">
        <f>IFERROR(AVERAGE(Tabel1[[#This Row],[In - F2a]:[In - F2b]]),"")</f>
        <v>3</v>
      </c>
      <c r="CU428">
        <v>1</v>
      </c>
      <c r="CV428">
        <f>IFERROR(AVERAGE(Tabel1[[#This Row],[In - F3a]:[In - F3a]]),"")</f>
        <v>1</v>
      </c>
      <c r="CW428">
        <v>5</v>
      </c>
      <c r="CX428">
        <f>IFERROR(AVERAGE(Tabel1[[#This Row],[In - F1]],Tabel1[[#This Row],[In - F2]],Tabel1[[#This Row],[In - F3]],Tabel1[[#This Row],[In - F4]]),"")</f>
        <v>2.75</v>
      </c>
      <c r="CY428">
        <v>4</v>
      </c>
      <c r="CZ428">
        <v>4</v>
      </c>
      <c r="DA428">
        <v>3</v>
      </c>
      <c r="DB428">
        <f>IFERROR(AVERAGE(Tabel1[[#This Row],[In - V1a]:[In - V1c]]),"")</f>
        <v>3.6666666666666665</v>
      </c>
      <c r="DC428">
        <v>5</v>
      </c>
      <c r="DD428">
        <v>3</v>
      </c>
      <c r="DE428">
        <v>4</v>
      </c>
      <c r="DF428">
        <f>IFERROR(AVERAGE(Tabel1[[#This Row],[In - V2a]:[In - V2c]]),"")</f>
        <v>4</v>
      </c>
      <c r="DG428">
        <v>4</v>
      </c>
      <c r="DH428">
        <v>5</v>
      </c>
      <c r="DI428">
        <f>IFERROR(AVERAGE(Tabel1[[#This Row],[In - V3a]:[In - V3b]]),"")</f>
        <v>4.5</v>
      </c>
      <c r="DJ428">
        <v>4</v>
      </c>
      <c r="DK428">
        <f>IFERROR(AVERAGE(Tabel1[[#This Row],[In - V1]],Tabel1[[#This Row],[In - V2]],Tabel1[[#This Row],[In - V3]],Tabel1[[#This Row],[In - V4]]),"")</f>
        <v>4.0416666666666661</v>
      </c>
      <c r="DL428">
        <v>2</v>
      </c>
      <c r="DM428">
        <v>3</v>
      </c>
      <c r="DN428">
        <f>IFERROR(AVERAGE(Tabel1[[#This Row],[In - A1a]:[In - A1b]]),"")</f>
        <v>2.5</v>
      </c>
      <c r="DO428">
        <v>3</v>
      </c>
      <c r="DP428">
        <v>3</v>
      </c>
      <c r="DQ428">
        <f>IFERROR(AVERAGE(Tabel1[[#This Row],[In - A2a]:[In - A2b]]),"")</f>
        <v>3</v>
      </c>
      <c r="DR428">
        <v>3</v>
      </c>
      <c r="DS428">
        <v>1</v>
      </c>
      <c r="DT428">
        <f>IFERROR(AVERAGE(Tabel1[[#This Row],[In - A3a]:[In - A3a]]),"")</f>
        <v>3</v>
      </c>
      <c r="DU428">
        <v>3</v>
      </c>
      <c r="DV428">
        <f>IFERROR(AVERAGE(Tabel1[[#This Row],[In - A1]],Tabel1[[#This Row],[In - A2]],Tabel1[[#This Row],[In - A3]],Tabel1[[#This Row],[In - A4]]),"")</f>
        <v>2.875</v>
      </c>
      <c r="DW428">
        <v>2</v>
      </c>
      <c r="DX428">
        <v>3</v>
      </c>
      <c r="DY428">
        <v>1</v>
      </c>
      <c r="DZ428">
        <f>IFERROR(AVERAGE(Tabel1[[#This Row],[Do - R1a]:[Do - R1c]]),"")</f>
        <v>2</v>
      </c>
      <c r="EA428">
        <v>4</v>
      </c>
      <c r="EB428">
        <v>4</v>
      </c>
      <c r="EC428">
        <v>2</v>
      </c>
      <c r="ED428">
        <v>4</v>
      </c>
      <c r="EE428">
        <f>IFERROR(AVERAGE(Tabel1[[#This Row],[Do - R1]:[Do - R5]]),"")</f>
        <v>3.2</v>
      </c>
      <c r="EF428">
        <v>3</v>
      </c>
      <c r="EG428">
        <v>4</v>
      </c>
      <c r="EH428">
        <v>3</v>
      </c>
      <c r="EI428">
        <f>IFERROR(AVERAGE(Tabel1[[#This Row],[Do - C1a]:[Do - C1c]]),"")</f>
        <v>3.3333333333333335</v>
      </c>
      <c r="EJ428">
        <v>4</v>
      </c>
      <c r="EK428">
        <v>3</v>
      </c>
      <c r="EL428">
        <v>2</v>
      </c>
      <c r="EM428">
        <f>IFERROR(AVERAGE(Tabel1[[#This Row],[Do - C1]:[Do - C4]]),"")</f>
        <v>3.0833333333333335</v>
      </c>
      <c r="EN428">
        <v>3</v>
      </c>
      <c r="EO428">
        <v>2</v>
      </c>
      <c r="EP428">
        <v>2</v>
      </c>
      <c r="EQ428">
        <f>IFERROR(AVERAGE(Tabel1[[#This Row],[Do - F1a]:[Do - F1c]]),"")</f>
        <v>2.3333333333333335</v>
      </c>
      <c r="ER428">
        <v>1</v>
      </c>
      <c r="ES428">
        <f>IFERROR(AVERAGE(Tabel1[[#This Row],[Do - F2a]:[Do - F2a]]),"")</f>
        <v>1</v>
      </c>
      <c r="ET428">
        <v>3</v>
      </c>
      <c r="EU428">
        <v>2</v>
      </c>
      <c r="EV428">
        <f>IFERROR(AVERAGE(Tabel1[[#This Row],[Do - F3a]:[Do - F3b]]),"")</f>
        <v>2.5</v>
      </c>
      <c r="EW428">
        <v>3</v>
      </c>
      <c r="EX428">
        <f>IFERROR(AVERAGE(Tabel1[[#This Row],[Do - F1]],Tabel1[[#This Row],[Do - F2]],Tabel1[[#This Row],[Do - F3]],Tabel1[[#This Row],[Do - F4]]),"")</f>
        <v>2.2083333333333335</v>
      </c>
      <c r="EY428">
        <v>4</v>
      </c>
      <c r="EZ428">
        <v>2</v>
      </c>
      <c r="FA428">
        <v>4</v>
      </c>
      <c r="FB428">
        <f>IFERROR(AVERAGE(Tabel1[[#This Row],[Do - V1a]:[Do - V1c]]),"")</f>
        <v>3.3333333333333335</v>
      </c>
      <c r="FC428">
        <v>4</v>
      </c>
      <c r="FD428">
        <v>2</v>
      </c>
      <c r="FE428">
        <f>IFERROR(AVERAGE(Tabel1[[#This Row],[Do - V2a]:[Do - V2b]]),"")</f>
        <v>3</v>
      </c>
      <c r="FF428">
        <v>3</v>
      </c>
      <c r="FG428">
        <f>IFERROR(AVERAGE(Tabel1[[#This Row],[Do - V3a]:[Do - V3a]]),"")</f>
        <v>3</v>
      </c>
      <c r="FH428">
        <v>4</v>
      </c>
      <c r="FI428">
        <f>IFERROR(AVERAGE(Tabel1[[#This Row],[Do - V1]],Tabel1[[#This Row],[Do - V2]],Tabel1[[#This Row],[Do - V3]],Tabel1[[#This Row],[Do - V4]]),"")</f>
        <v>3.3333333333333335</v>
      </c>
      <c r="FJ428">
        <v>3</v>
      </c>
      <c r="FK428">
        <v>2</v>
      </c>
      <c r="FL428">
        <v>2</v>
      </c>
      <c r="FM428">
        <f>IFERROR(AVERAGE(Tabel1[[#This Row],[Do - A1a]:[Do - A1c]]),"")</f>
        <v>2.3333333333333335</v>
      </c>
      <c r="FN428">
        <v>2</v>
      </c>
      <c r="FO428">
        <v>4</v>
      </c>
      <c r="FP428">
        <f>IFERROR(AVERAGE(Tabel1[[#This Row],[Do - A2a]:[Do - A2b]]),"")</f>
        <v>3</v>
      </c>
      <c r="FQ428">
        <v>3</v>
      </c>
      <c r="FR428">
        <f>IFERROR(AVERAGE(Tabel1[[#This Row],[Do - A3a]:[Do - A3a]]),"")</f>
        <v>3</v>
      </c>
      <c r="FS428">
        <v>4</v>
      </c>
      <c r="FT428">
        <f>IFERROR(AVERAGE(Tabel1[[#This Row],[Do - A1]],Tabel1[[#This Row],[Do - A2]],Tabel1[[#This Row],[Do - A3]],Tabel1[[#This Row],[Do - A4]]),"")</f>
        <v>3.0833333333333335</v>
      </c>
      <c r="FU42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3.065555555555556</v>
      </c>
      <c r="FV428" s="31" t="s">
        <v>2120</v>
      </c>
      <c r="FW428" t="b">
        <v>1</v>
      </c>
    </row>
    <row r="429" spans="1:179" x14ac:dyDescent="0.3">
      <c r="A429" s="13">
        <v>45702.356724537</v>
      </c>
      <c r="B429" t="b">
        <v>0</v>
      </c>
      <c r="C429" t="s">
        <v>2121</v>
      </c>
      <c r="D429" t="s">
        <v>2122</v>
      </c>
      <c r="E429" s="32" t="s">
        <v>1709</v>
      </c>
      <c r="F429" s="14" t="s">
        <v>184</v>
      </c>
      <c r="G429" t="s">
        <v>2123</v>
      </c>
      <c r="H429" t="s">
        <v>222</v>
      </c>
      <c r="AB429" t="str">
        <f>IFERROR(AVERAGE(Tabel1[[#This Row],[Up - R1a]:[Up - R1c]]),"")</f>
        <v/>
      </c>
      <c r="AG429" t="str">
        <f>IFERROR(AVERAGE(Tabel1[[#This Row],[Up - R1]:[Up - R5]]),"")</f>
        <v/>
      </c>
      <c r="AK429" t="str">
        <f>IFERROR(AVERAGE(Tabel1[[#This Row],[Up - C1a]:[Up - C1c]]),"")</f>
        <v/>
      </c>
      <c r="AO429" t="str">
        <f>IFERROR(AVERAGE(Tabel1[[#This Row],[Up - C1]:[Up - C4]]),"")</f>
        <v/>
      </c>
      <c r="AQ429" t="str">
        <f>IFERROR(AVERAGE(Tabel1[[#This Row],[Up - F1a]:[Up - F1a]]),"")</f>
        <v/>
      </c>
      <c r="AT429" t="str">
        <f>IFERROR(AVERAGE(Tabel1[[#This Row],[Up - F2a]:[Up - F2b]]),"")</f>
        <v/>
      </c>
      <c r="AW429" t="str">
        <f>IFERROR(AVERAGE(Tabel1[[#This Row],[Up - F3a]:[Up - F3b]]),"")</f>
        <v/>
      </c>
      <c r="AY429" t="str">
        <f>IFERROR(AVERAGE(Tabel1[[#This Row],[Up - F1]],Tabel1[[#This Row],[Up - F2]],Tabel1[[#This Row],[Up - F3]],Tabel1[[#This Row],[Up - F4]]),"")</f>
        <v/>
      </c>
      <c r="BB429" t="str">
        <f>IFERROR(AVERAGE(Tabel1[[#This Row],[Up - V1a]:[Up - V1b]]),"")</f>
        <v/>
      </c>
      <c r="BF429" t="str">
        <f>IFERROR(AVERAGE(Tabel1[[#This Row],[Up - V2a]:[Up - V2c]]),"")</f>
        <v/>
      </c>
      <c r="BI429" t="str">
        <f>IFERROR(AVERAGE(Tabel1[[#This Row],[Up - V3a]:[Up - V3b]]),"")</f>
        <v/>
      </c>
      <c r="BK429" t="str">
        <f>IFERROR(AVERAGE(Tabel1[[#This Row],[Up - V1]],Tabel1[[#This Row],[Up - V2]],Tabel1[[#This Row],[Up - V3]],Tabel1[[#This Row],[Up - V4]]),"")</f>
        <v/>
      </c>
      <c r="BP429" t="str">
        <f>IFERROR(AVERAGE(Tabel1[[#This Row],[Up - A1a]:[Up - A1d]]),"")</f>
        <v/>
      </c>
      <c r="BS429" t="str">
        <f>IFERROR(AVERAGE(Tabel1[[#This Row],[Up - A2a]:[Up - A2b]]),"")</f>
        <v/>
      </c>
      <c r="BU429" t="str">
        <f>IFERROR(AVERAGE(Tabel1[[#This Row],[Up - A3a]:[Up - A3a]]),"")</f>
        <v/>
      </c>
      <c r="BW429" t="str">
        <f>IFERROR(AVERAGE(Tabel1[[#This Row],[Up - A1]],Tabel1[[#This Row],[Up - A2]],Tabel1[[#This Row],[Up - A3]]),"")</f>
        <v/>
      </c>
      <c r="BZ429" t="str">
        <f>IFERROR(AVERAGE(Tabel1[[#This Row],[In - R1a]:[In - R1b]]),"")</f>
        <v/>
      </c>
      <c r="CE429" t="str">
        <f>IFERROR(AVERAGE(Tabel1[[#This Row],[In - R1]:[In - R5]]),"")</f>
        <v/>
      </c>
      <c r="CI429" t="str">
        <f>IFERROR(AVERAGE(Tabel1[[#This Row],[In - C1a]:[In - C1c]]),"")</f>
        <v/>
      </c>
      <c r="CM429" t="str">
        <f>IFERROR(AVERAGE(Tabel1[[#This Row],[In - C1]:[In - C4]]),"")</f>
        <v/>
      </c>
      <c r="CQ429" t="str">
        <f>IFERROR(AVERAGE(Tabel1[[#This Row],[In - F1a]:[In - F1c]]),"")</f>
        <v/>
      </c>
      <c r="CT429" t="str">
        <f>IFERROR(AVERAGE(Tabel1[[#This Row],[In - F2a]:[In - F2b]]),"")</f>
        <v/>
      </c>
      <c r="CV429" t="str">
        <f>IFERROR(AVERAGE(Tabel1[[#This Row],[In - F3a]:[In - F3a]]),"")</f>
        <v/>
      </c>
      <c r="CX429" t="str">
        <f>IFERROR(AVERAGE(Tabel1[[#This Row],[In - F1]],Tabel1[[#This Row],[In - F2]],Tabel1[[#This Row],[In - F3]],Tabel1[[#This Row],[In - F4]]),"")</f>
        <v/>
      </c>
      <c r="DB429" t="str">
        <f>IFERROR(AVERAGE(Tabel1[[#This Row],[In - V1a]:[In - V1c]]),"")</f>
        <v/>
      </c>
      <c r="DF429" t="str">
        <f>IFERROR(AVERAGE(Tabel1[[#This Row],[In - V2a]:[In - V2c]]),"")</f>
        <v/>
      </c>
      <c r="DI429" t="str">
        <f>IFERROR(AVERAGE(Tabel1[[#This Row],[In - V3a]:[In - V3b]]),"")</f>
        <v/>
      </c>
      <c r="DK429" t="str">
        <f>IFERROR(AVERAGE(Tabel1[[#This Row],[In - V1]],Tabel1[[#This Row],[In - V2]],Tabel1[[#This Row],[In - V3]],Tabel1[[#This Row],[In - V4]]),"")</f>
        <v/>
      </c>
      <c r="DN429" t="str">
        <f>IFERROR(AVERAGE(Tabel1[[#This Row],[In - A1a]:[In - A1b]]),"")</f>
        <v/>
      </c>
      <c r="DQ429" t="str">
        <f>IFERROR(AVERAGE(Tabel1[[#This Row],[In - A2a]:[In - A2b]]),"")</f>
        <v/>
      </c>
      <c r="DT429" t="str">
        <f>IFERROR(AVERAGE(Tabel1[[#This Row],[In - A3a]:[In - A3a]]),"")</f>
        <v/>
      </c>
      <c r="DV429" t="str">
        <f>IFERROR(AVERAGE(Tabel1[[#This Row],[In - A1]],Tabel1[[#This Row],[In - A2]],Tabel1[[#This Row],[In - A3]],Tabel1[[#This Row],[In - A4]]),"")</f>
        <v/>
      </c>
      <c r="DZ429" t="str">
        <f>IFERROR(AVERAGE(Tabel1[[#This Row],[Do - R1a]:[Do - R1c]]),"")</f>
        <v/>
      </c>
      <c r="EE429" t="str">
        <f>IFERROR(AVERAGE(Tabel1[[#This Row],[Do - R1]:[Do - R5]]),"")</f>
        <v/>
      </c>
      <c r="EI429" t="str">
        <f>IFERROR(AVERAGE(Tabel1[[#This Row],[Do - C1a]:[Do - C1c]]),"")</f>
        <v/>
      </c>
      <c r="EM429" t="str">
        <f>IFERROR(AVERAGE(Tabel1[[#This Row],[Do - C1]:[Do - C4]]),"")</f>
        <v/>
      </c>
      <c r="EQ429" t="str">
        <f>IFERROR(AVERAGE(Tabel1[[#This Row],[Do - F1a]:[Do - F1c]]),"")</f>
        <v/>
      </c>
      <c r="ES429" t="str">
        <f>IFERROR(AVERAGE(Tabel1[[#This Row],[Do - F2a]:[Do - F2a]]),"")</f>
        <v/>
      </c>
      <c r="EV429" t="str">
        <f>IFERROR(AVERAGE(Tabel1[[#This Row],[Do - F3a]:[Do - F3b]]),"")</f>
        <v/>
      </c>
      <c r="EX429" t="str">
        <f>IFERROR(AVERAGE(Tabel1[[#This Row],[Do - F1]],Tabel1[[#This Row],[Do - F2]],Tabel1[[#This Row],[Do - F3]],Tabel1[[#This Row],[Do - F4]]),"")</f>
        <v/>
      </c>
      <c r="FB429" t="str">
        <f>IFERROR(AVERAGE(Tabel1[[#This Row],[Do - V1a]:[Do - V1c]]),"")</f>
        <v/>
      </c>
      <c r="FE429" t="str">
        <f>IFERROR(AVERAGE(Tabel1[[#This Row],[Do - V2a]:[Do - V2b]]),"")</f>
        <v/>
      </c>
      <c r="FG429" t="str">
        <f>IFERROR(AVERAGE(Tabel1[[#This Row],[Do - V3a]:[Do - V3a]]),"")</f>
        <v/>
      </c>
      <c r="FI429" t="str">
        <f>IFERROR(AVERAGE(Tabel1[[#This Row],[Do - V1]],Tabel1[[#This Row],[Do - V2]],Tabel1[[#This Row],[Do - V3]],Tabel1[[#This Row],[Do - V4]]),"")</f>
        <v/>
      </c>
      <c r="FM429" t="str">
        <f>IFERROR(AVERAGE(Tabel1[[#This Row],[Do - A1a]:[Do - A1c]]),"")</f>
        <v/>
      </c>
      <c r="FP429" t="str">
        <f>IFERROR(AVERAGE(Tabel1[[#This Row],[Do - A2a]:[Do - A2b]]),"")</f>
        <v/>
      </c>
      <c r="FR429" t="str">
        <f>IFERROR(AVERAGE(Tabel1[[#This Row],[Do - A3a]:[Do - A3a]]),"")</f>
        <v/>
      </c>
      <c r="FT429" t="str">
        <f>IFERROR(AVERAGE(Tabel1[[#This Row],[Do - A1]],Tabel1[[#This Row],[Do - A2]],Tabel1[[#This Row],[Do - A3]],Tabel1[[#This Row],[Do - A4]]),"")</f>
        <v/>
      </c>
      <c r="FU429" t="str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/>
      </c>
      <c r="FV429" s="31" t="s">
        <v>2124</v>
      </c>
      <c r="FW429" t="b">
        <v>1</v>
      </c>
    </row>
    <row r="430" spans="1:179" x14ac:dyDescent="0.3">
      <c r="A430" s="13">
        <v>45705.533125000002</v>
      </c>
      <c r="B430" t="b">
        <v>0</v>
      </c>
      <c r="C430" t="s">
        <v>2125</v>
      </c>
      <c r="D430" t="s">
        <v>2126</v>
      </c>
      <c r="E430" t="s">
        <v>2127</v>
      </c>
      <c r="F430" s="14" t="s">
        <v>184</v>
      </c>
      <c r="G430" t="s">
        <v>2128</v>
      </c>
      <c r="H430" t="s">
        <v>194</v>
      </c>
      <c r="I430" t="s">
        <v>195</v>
      </c>
      <c r="J430" t="s">
        <v>1305</v>
      </c>
      <c r="K430" t="s">
        <v>187</v>
      </c>
      <c r="L430" t="s">
        <v>249</v>
      </c>
      <c r="M430" t="s">
        <v>198</v>
      </c>
      <c r="N430" t="s">
        <v>199</v>
      </c>
      <c r="O430" t="s">
        <v>256</v>
      </c>
      <c r="P430" t="s">
        <v>304</v>
      </c>
      <c r="Q430" t="s">
        <v>187</v>
      </c>
      <c r="R430" t="s">
        <v>187</v>
      </c>
      <c r="S430" t="s">
        <v>187</v>
      </c>
      <c r="T430" t="s">
        <v>380</v>
      </c>
      <c r="U430" t="s">
        <v>237</v>
      </c>
      <c r="V430" t="s">
        <v>206</v>
      </c>
      <c r="W430" t="s">
        <v>207</v>
      </c>
      <c r="X430" t="s">
        <v>207</v>
      </c>
      <c r="Y430">
        <v>2</v>
      </c>
      <c r="Z430">
        <v>4</v>
      </c>
      <c r="AA430" t="s">
        <v>189</v>
      </c>
      <c r="AB430">
        <f>IFERROR(AVERAGE(Tabel1[[#This Row],[Up - R1a]:[Up - R1c]]),"")</f>
        <v>3</v>
      </c>
      <c r="AC430">
        <v>3</v>
      </c>
      <c r="AD430">
        <v>4</v>
      </c>
      <c r="AE430">
        <v>2</v>
      </c>
      <c r="AF430" t="s">
        <v>189</v>
      </c>
      <c r="AG430">
        <f>IFERROR(AVERAGE(Tabel1[[#This Row],[Up - R1]:[Up - R5]]),"")</f>
        <v>3</v>
      </c>
      <c r="AH430">
        <v>3</v>
      </c>
      <c r="AI430">
        <v>4</v>
      </c>
      <c r="AJ430">
        <v>2</v>
      </c>
      <c r="AK430">
        <f>IFERROR(AVERAGE(Tabel1[[#This Row],[Up - C1a]:[Up - C1c]]),"")</f>
        <v>3</v>
      </c>
      <c r="AL430">
        <v>3</v>
      </c>
      <c r="AM430">
        <v>2</v>
      </c>
      <c r="AN430" t="s">
        <v>189</v>
      </c>
      <c r="AO430">
        <f>IFERROR(AVERAGE(Tabel1[[#This Row],[Up - C1]:[Up - C4]]),"")</f>
        <v>2.6666666666666665</v>
      </c>
      <c r="AP430">
        <v>5</v>
      </c>
      <c r="AQ430">
        <f>IFERROR(AVERAGE(Tabel1[[#This Row],[Up - F1a]:[Up - F1a]]),"")</f>
        <v>5</v>
      </c>
      <c r="AR430">
        <v>1</v>
      </c>
      <c r="AS430">
        <v>1</v>
      </c>
      <c r="AT430">
        <f>IFERROR(AVERAGE(Tabel1[[#This Row],[Up - F2a]:[Up - F2b]]),"")</f>
        <v>1</v>
      </c>
      <c r="AU430">
        <v>1</v>
      </c>
      <c r="AV430">
        <v>1</v>
      </c>
      <c r="AW430">
        <f>IFERROR(AVERAGE(Tabel1[[#This Row],[Up - F3a]:[Up - F3b]]),"")</f>
        <v>1</v>
      </c>
      <c r="AX430" t="s">
        <v>189</v>
      </c>
      <c r="AY430">
        <f>IFERROR(AVERAGE(Tabel1[[#This Row],[Up - F1]],Tabel1[[#This Row],[Up - F2]],Tabel1[[#This Row],[Up - F3]],Tabel1[[#This Row],[Up - F4]]),"")</f>
        <v>2.3333333333333335</v>
      </c>
      <c r="AZ430">
        <v>3</v>
      </c>
      <c r="BA430">
        <v>2</v>
      </c>
      <c r="BB430">
        <f>IFERROR(AVERAGE(Tabel1[[#This Row],[Up - V1a]:[Up - V1b]]),"")</f>
        <v>2.5</v>
      </c>
      <c r="BC430">
        <v>4</v>
      </c>
      <c r="BD430">
        <v>4</v>
      </c>
      <c r="BE430">
        <v>4</v>
      </c>
      <c r="BF430">
        <f>IFERROR(AVERAGE(Tabel1[[#This Row],[Up - V2a]:[Up - V2c]]),"")</f>
        <v>4</v>
      </c>
      <c r="BG430">
        <v>1</v>
      </c>
      <c r="BH430">
        <v>4</v>
      </c>
      <c r="BI430">
        <f>IFERROR(AVERAGE(Tabel1[[#This Row],[Up - V3a]:[Up - V3b]]),"")</f>
        <v>2.5</v>
      </c>
      <c r="BJ430" t="s">
        <v>189</v>
      </c>
      <c r="BK430">
        <f>IFERROR(AVERAGE(Tabel1[[#This Row],[Up - V1]],Tabel1[[#This Row],[Up - V2]],Tabel1[[#This Row],[Up - V3]],Tabel1[[#This Row],[Up - V4]]),"")</f>
        <v>3</v>
      </c>
      <c r="BL430">
        <v>1</v>
      </c>
      <c r="BM430">
        <v>4</v>
      </c>
      <c r="BN430">
        <v>2</v>
      </c>
      <c r="BO430" t="s">
        <v>189</v>
      </c>
      <c r="BP430">
        <f>IFERROR(AVERAGE(Tabel1[[#This Row],[Up - A1a]:[Up - A1d]]),"")</f>
        <v>2.3333333333333335</v>
      </c>
      <c r="BQ430">
        <v>4</v>
      </c>
      <c r="BR430">
        <v>3</v>
      </c>
      <c r="BS430">
        <f>IFERROR(AVERAGE(Tabel1[[#This Row],[Up - A2a]:[Up - A2b]]),"")</f>
        <v>3.5</v>
      </c>
      <c r="BT430">
        <v>2</v>
      </c>
      <c r="BU430">
        <f>IFERROR(AVERAGE(Tabel1[[#This Row],[Up - A3a]:[Up - A3a]]),"")</f>
        <v>2</v>
      </c>
      <c r="BV430">
        <v>2</v>
      </c>
      <c r="BW430">
        <f>IFERROR(AVERAGE(Tabel1[[#This Row],[Up - A1]],Tabel1[[#This Row],[Up - A2]],Tabel1[[#This Row],[Up - A3]]),"")</f>
        <v>2.6111111111111112</v>
      </c>
      <c r="BX430">
        <v>1</v>
      </c>
      <c r="BY430">
        <v>4</v>
      </c>
      <c r="BZ430">
        <f>IFERROR(AVERAGE(Tabel1[[#This Row],[In - R1a]:[In - R1b]]),"")</f>
        <v>2.5</v>
      </c>
      <c r="CA430">
        <v>4</v>
      </c>
      <c r="CB430">
        <v>1</v>
      </c>
      <c r="CC430">
        <v>3</v>
      </c>
      <c r="CD430">
        <v>5</v>
      </c>
      <c r="CE430">
        <f>IFERROR(AVERAGE(Tabel1[[#This Row],[In - R1]:[In - R5]]),"")</f>
        <v>3.1</v>
      </c>
      <c r="CF430">
        <v>4</v>
      </c>
      <c r="CG430">
        <v>2</v>
      </c>
      <c r="CH430">
        <v>4</v>
      </c>
      <c r="CI430">
        <f>IFERROR(AVERAGE(Tabel1[[#This Row],[In - C1a]:[In - C1c]]),"")</f>
        <v>3.3333333333333335</v>
      </c>
      <c r="CJ430">
        <v>2</v>
      </c>
      <c r="CK430">
        <v>1</v>
      </c>
      <c r="CL430">
        <v>2</v>
      </c>
      <c r="CM430">
        <f>IFERROR(AVERAGE(Tabel1[[#This Row],[In - C1]:[In - C4]]),"")</f>
        <v>2.0833333333333335</v>
      </c>
      <c r="CN430">
        <v>3</v>
      </c>
      <c r="CO430">
        <v>2</v>
      </c>
      <c r="CP430">
        <v>1</v>
      </c>
      <c r="CQ430">
        <f>IFERROR(AVERAGE(Tabel1[[#This Row],[In - F1a]:[In - F1c]]),"")</f>
        <v>2</v>
      </c>
      <c r="CR430">
        <v>3</v>
      </c>
      <c r="CS430">
        <v>1</v>
      </c>
      <c r="CT430">
        <f>IFERROR(AVERAGE(Tabel1[[#This Row],[In - F2a]:[In - F2b]]),"")</f>
        <v>2</v>
      </c>
      <c r="CU430">
        <v>1</v>
      </c>
      <c r="CV430">
        <f>IFERROR(AVERAGE(Tabel1[[#This Row],[In - F3a]:[In - F3a]]),"")</f>
        <v>1</v>
      </c>
      <c r="CW430">
        <v>4</v>
      </c>
      <c r="CX430">
        <f>IFERROR(AVERAGE(Tabel1[[#This Row],[In - F1]],Tabel1[[#This Row],[In - F2]],Tabel1[[#This Row],[In - F3]],Tabel1[[#This Row],[In - F4]]),"")</f>
        <v>2.25</v>
      </c>
      <c r="CY430">
        <v>5</v>
      </c>
      <c r="CZ430">
        <v>3</v>
      </c>
      <c r="DA430">
        <v>2</v>
      </c>
      <c r="DB430">
        <f>IFERROR(AVERAGE(Tabel1[[#This Row],[In - V1a]:[In - V1c]]),"")</f>
        <v>3.3333333333333335</v>
      </c>
      <c r="DC430">
        <v>2</v>
      </c>
      <c r="DD430">
        <v>2</v>
      </c>
      <c r="DE430">
        <v>2</v>
      </c>
      <c r="DF430">
        <f>IFERROR(AVERAGE(Tabel1[[#This Row],[In - V2a]:[In - V2c]]),"")</f>
        <v>2</v>
      </c>
      <c r="DG430">
        <v>1</v>
      </c>
      <c r="DH430">
        <v>5</v>
      </c>
      <c r="DI430">
        <f>IFERROR(AVERAGE(Tabel1[[#This Row],[In - V3a]:[In - V3b]]),"")</f>
        <v>3</v>
      </c>
      <c r="DJ430" t="s">
        <v>189</v>
      </c>
      <c r="DK430">
        <f>IFERROR(AVERAGE(Tabel1[[#This Row],[In - V1]],Tabel1[[#This Row],[In - V2]],Tabel1[[#This Row],[In - V3]],Tabel1[[#This Row],[In - V4]]),"")</f>
        <v>2.7777777777777781</v>
      </c>
      <c r="DL430">
        <v>2</v>
      </c>
      <c r="DM430">
        <v>3</v>
      </c>
      <c r="DN430">
        <f>IFERROR(AVERAGE(Tabel1[[#This Row],[In - A1a]:[In - A1b]]),"")</f>
        <v>2.5</v>
      </c>
      <c r="DO430">
        <v>3</v>
      </c>
      <c r="DP430">
        <v>3</v>
      </c>
      <c r="DQ430">
        <f>IFERROR(AVERAGE(Tabel1[[#This Row],[In - A2a]:[In - A2b]]),"")</f>
        <v>3</v>
      </c>
      <c r="DR430">
        <v>4</v>
      </c>
      <c r="DS430">
        <v>1</v>
      </c>
      <c r="DT430">
        <f>IFERROR(AVERAGE(Tabel1[[#This Row],[In - A3a]:[In - A3a]]),"")</f>
        <v>4</v>
      </c>
      <c r="DU430">
        <v>1</v>
      </c>
      <c r="DV430">
        <f>IFERROR(AVERAGE(Tabel1[[#This Row],[In - A1]],Tabel1[[#This Row],[In - A2]],Tabel1[[#This Row],[In - A3]],Tabel1[[#This Row],[In - A4]]),"")</f>
        <v>2.625</v>
      </c>
      <c r="DW430">
        <v>3</v>
      </c>
      <c r="DX430">
        <v>5</v>
      </c>
      <c r="DY430">
        <v>2</v>
      </c>
      <c r="DZ430">
        <f>IFERROR(AVERAGE(Tabel1[[#This Row],[Do - R1a]:[Do - R1c]]),"")</f>
        <v>3.3333333333333335</v>
      </c>
      <c r="EA430">
        <v>4</v>
      </c>
      <c r="EB430">
        <v>4</v>
      </c>
      <c r="EC430">
        <v>2</v>
      </c>
      <c r="ED430">
        <v>4</v>
      </c>
      <c r="EE430">
        <f>IFERROR(AVERAGE(Tabel1[[#This Row],[Do - R1]:[Do - R5]]),"")</f>
        <v>3.4666666666666672</v>
      </c>
      <c r="EF430">
        <v>3</v>
      </c>
      <c r="EG430" t="s">
        <v>189</v>
      </c>
      <c r="EH430">
        <v>4</v>
      </c>
      <c r="EI430">
        <f>IFERROR(AVERAGE(Tabel1[[#This Row],[Do - C1a]:[Do - C1c]]),"")</f>
        <v>3.5</v>
      </c>
      <c r="EJ430">
        <v>2</v>
      </c>
      <c r="EK430">
        <v>1</v>
      </c>
      <c r="EL430" t="s">
        <v>189</v>
      </c>
      <c r="EM430">
        <f>IFERROR(AVERAGE(Tabel1[[#This Row],[Do - C1]:[Do - C4]]),"")</f>
        <v>2.1666666666666665</v>
      </c>
      <c r="EN430">
        <v>4</v>
      </c>
      <c r="EO430">
        <v>4</v>
      </c>
      <c r="EP430">
        <v>2</v>
      </c>
      <c r="EQ430">
        <f>IFERROR(AVERAGE(Tabel1[[#This Row],[Do - F1a]:[Do - F1c]]),"")</f>
        <v>3.3333333333333335</v>
      </c>
      <c r="ER430">
        <v>4</v>
      </c>
      <c r="ES430">
        <f>IFERROR(AVERAGE(Tabel1[[#This Row],[Do - F2a]:[Do - F2a]]),"")</f>
        <v>4</v>
      </c>
      <c r="ET430">
        <v>3</v>
      </c>
      <c r="EU430">
        <v>4</v>
      </c>
      <c r="EV430">
        <f>IFERROR(AVERAGE(Tabel1[[#This Row],[Do - F3a]:[Do - F3b]]),"")</f>
        <v>3.5</v>
      </c>
      <c r="EW430">
        <v>1</v>
      </c>
      <c r="EX430">
        <f>IFERROR(AVERAGE(Tabel1[[#This Row],[Do - F1]],Tabel1[[#This Row],[Do - F2]],Tabel1[[#This Row],[Do - F3]],Tabel1[[#This Row],[Do - F4]]),"")</f>
        <v>2.9583333333333335</v>
      </c>
      <c r="EY430">
        <v>3</v>
      </c>
      <c r="EZ430">
        <v>2</v>
      </c>
      <c r="FA430">
        <v>3</v>
      </c>
      <c r="FB430">
        <f>IFERROR(AVERAGE(Tabel1[[#This Row],[Do - V1a]:[Do - V1c]]),"")</f>
        <v>2.6666666666666665</v>
      </c>
      <c r="FC430">
        <v>4</v>
      </c>
      <c r="FD430">
        <v>4</v>
      </c>
      <c r="FE430">
        <f>IFERROR(AVERAGE(Tabel1[[#This Row],[Do - V2a]:[Do - V2b]]),"")</f>
        <v>4</v>
      </c>
      <c r="FF430">
        <v>2</v>
      </c>
      <c r="FG430">
        <f>IFERROR(AVERAGE(Tabel1[[#This Row],[Do - V3a]:[Do - V3a]]),"")</f>
        <v>2</v>
      </c>
      <c r="FH430" t="s">
        <v>189</v>
      </c>
      <c r="FI430">
        <f>IFERROR(AVERAGE(Tabel1[[#This Row],[Do - V1]],Tabel1[[#This Row],[Do - V2]],Tabel1[[#This Row],[Do - V3]],Tabel1[[#This Row],[Do - V4]]),"")</f>
        <v>2.8888888888888888</v>
      </c>
      <c r="FJ430">
        <v>4</v>
      </c>
      <c r="FK430">
        <v>2</v>
      </c>
      <c r="FL430">
        <v>4</v>
      </c>
      <c r="FM430">
        <f>IFERROR(AVERAGE(Tabel1[[#This Row],[Do - A1a]:[Do - A1c]]),"")</f>
        <v>3.3333333333333335</v>
      </c>
      <c r="FN430">
        <v>1</v>
      </c>
      <c r="FO430">
        <v>4</v>
      </c>
      <c r="FP430">
        <f>IFERROR(AVERAGE(Tabel1[[#This Row],[Do - A2a]:[Do - A2b]]),"")</f>
        <v>2.5</v>
      </c>
      <c r="FQ430">
        <v>3</v>
      </c>
      <c r="FR430">
        <f>IFERROR(AVERAGE(Tabel1[[#This Row],[Do - A3a]:[Do - A3a]]),"")</f>
        <v>3</v>
      </c>
      <c r="FS430">
        <v>2</v>
      </c>
      <c r="FT430">
        <f>IFERROR(AVERAGE(Tabel1[[#This Row],[Do - A1]],Tabel1[[#This Row],[Do - A2]],Tabel1[[#This Row],[Do - A3]],Tabel1[[#This Row],[Do - A4]]),"")</f>
        <v>2.7083333333333335</v>
      </c>
      <c r="FU43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2.7090740740740742</v>
      </c>
      <c r="FV430" s="31" t="s">
        <v>2129</v>
      </c>
      <c r="FW430" t="b">
        <v>1</v>
      </c>
    </row>
    <row r="431" spans="1:179" x14ac:dyDescent="0.3">
      <c r="A431" s="13">
        <v>45705.619155092601</v>
      </c>
      <c r="B431" t="b">
        <v>0</v>
      </c>
      <c r="C431" t="s">
        <v>2130</v>
      </c>
      <c r="D431" t="s">
        <v>2131</v>
      </c>
      <c r="E431" t="s">
        <v>2132</v>
      </c>
      <c r="F431" s="14" t="s">
        <v>184</v>
      </c>
      <c r="G431" t="s">
        <v>2133</v>
      </c>
      <c r="H431" t="s">
        <v>194</v>
      </c>
      <c r="I431" t="s">
        <v>195</v>
      </c>
      <c r="J431" t="s">
        <v>1305</v>
      </c>
      <c r="K431" t="s">
        <v>187</v>
      </c>
      <c r="L431" t="s">
        <v>197</v>
      </c>
      <c r="M431" t="s">
        <v>233</v>
      </c>
      <c r="N431" t="s">
        <v>199</v>
      </c>
      <c r="O431" t="s">
        <v>200</v>
      </c>
      <c r="P431" t="s">
        <v>201</v>
      </c>
      <c r="Q431" t="s">
        <v>235</v>
      </c>
      <c r="R431" t="s">
        <v>187</v>
      </c>
      <c r="S431" t="s">
        <v>187</v>
      </c>
      <c r="T431" t="s">
        <v>204</v>
      </c>
      <c r="U431" t="s">
        <v>237</v>
      </c>
      <c r="V431" t="s">
        <v>206</v>
      </c>
      <c r="W431" t="s">
        <v>207</v>
      </c>
      <c r="X431" t="s">
        <v>207</v>
      </c>
      <c r="Y431">
        <v>2</v>
      </c>
      <c r="Z431">
        <v>2</v>
      </c>
      <c r="AA431">
        <v>2</v>
      </c>
      <c r="AB431">
        <f>IFERROR(AVERAGE(Tabel1[[#This Row],[Up - R1a]:[Up - R1c]]),"")</f>
        <v>2</v>
      </c>
      <c r="AC431">
        <v>1</v>
      </c>
      <c r="AD431">
        <v>5</v>
      </c>
      <c r="AE431">
        <v>1</v>
      </c>
      <c r="AF431">
        <v>1</v>
      </c>
      <c r="AG431">
        <f>IFERROR(AVERAGE(Tabel1[[#This Row],[Up - R1]:[Up - R5]]),"")</f>
        <v>2</v>
      </c>
      <c r="AH431">
        <v>2</v>
      </c>
      <c r="AI431">
        <v>3</v>
      </c>
      <c r="AJ431">
        <v>2</v>
      </c>
      <c r="AK431">
        <f>IFERROR(AVERAGE(Tabel1[[#This Row],[Up - C1a]:[Up - C1c]]),"")</f>
        <v>2.3333333333333335</v>
      </c>
      <c r="AL431">
        <v>1</v>
      </c>
      <c r="AM431" t="s">
        <v>189</v>
      </c>
      <c r="AN431" t="s">
        <v>189</v>
      </c>
      <c r="AO431">
        <f>IFERROR(AVERAGE(Tabel1[[#This Row],[Up - C1]:[Up - C4]]),"")</f>
        <v>1.6666666666666667</v>
      </c>
      <c r="AP431" t="s">
        <v>189</v>
      </c>
      <c r="AQ431" t="str">
        <f>IFERROR(AVERAGE(Tabel1[[#This Row],[Up - F1a]:[Up - F1a]]),"")</f>
        <v/>
      </c>
      <c r="AR431">
        <v>1</v>
      </c>
      <c r="AS431">
        <v>1</v>
      </c>
      <c r="AT431">
        <f>IFERROR(AVERAGE(Tabel1[[#This Row],[Up - F2a]:[Up - F2b]]),"")</f>
        <v>1</v>
      </c>
      <c r="AU431">
        <v>1</v>
      </c>
      <c r="AV431">
        <v>2</v>
      </c>
      <c r="AW431">
        <f>IFERROR(AVERAGE(Tabel1[[#This Row],[Up - F3a]:[Up - F3b]]),"")</f>
        <v>1.5</v>
      </c>
      <c r="AX431" t="s">
        <v>189</v>
      </c>
      <c r="AY431">
        <f>IFERROR(AVERAGE(Tabel1[[#This Row],[Up - F1]],Tabel1[[#This Row],[Up - F2]],Tabel1[[#This Row],[Up - F3]],Tabel1[[#This Row],[Up - F4]]),"")</f>
        <v>1.25</v>
      </c>
      <c r="AZ431">
        <v>1</v>
      </c>
      <c r="BA431" t="s">
        <v>189</v>
      </c>
      <c r="BB431">
        <f>IFERROR(AVERAGE(Tabel1[[#This Row],[Up - V1a]:[Up - V1b]]),"")</f>
        <v>1</v>
      </c>
      <c r="BC431" t="s">
        <v>189</v>
      </c>
      <c r="BD431">
        <v>3</v>
      </c>
      <c r="BE431" t="s">
        <v>189</v>
      </c>
      <c r="BF431">
        <f>IFERROR(AVERAGE(Tabel1[[#This Row],[Up - V2a]:[Up - V2c]]),"")</f>
        <v>3</v>
      </c>
      <c r="BG431" t="s">
        <v>189</v>
      </c>
      <c r="BH431" t="s">
        <v>189</v>
      </c>
      <c r="BI431" t="str">
        <f>IFERROR(AVERAGE(Tabel1[[#This Row],[Up - V3a]:[Up - V3b]]),"")</f>
        <v/>
      </c>
      <c r="BJ431" t="s">
        <v>189</v>
      </c>
      <c r="BK431">
        <f>IFERROR(AVERAGE(Tabel1[[#This Row],[Up - V1]],Tabel1[[#This Row],[Up - V2]],Tabel1[[#This Row],[Up - V3]],Tabel1[[#This Row],[Up - V4]]),"")</f>
        <v>2</v>
      </c>
      <c r="BL431">
        <v>2</v>
      </c>
      <c r="BM431">
        <v>2</v>
      </c>
      <c r="BN431">
        <v>1</v>
      </c>
      <c r="BO431">
        <v>1</v>
      </c>
      <c r="BP431">
        <f>IFERROR(AVERAGE(Tabel1[[#This Row],[Up - A1a]:[Up - A1d]]),"")</f>
        <v>1.5</v>
      </c>
      <c r="BQ431" t="s">
        <v>189</v>
      </c>
      <c r="BR431" t="s">
        <v>189</v>
      </c>
      <c r="BS431" t="str">
        <f>IFERROR(AVERAGE(Tabel1[[#This Row],[Up - A2a]:[Up - A2b]]),"")</f>
        <v/>
      </c>
      <c r="BT431">
        <v>3</v>
      </c>
      <c r="BU431">
        <f>IFERROR(AVERAGE(Tabel1[[#This Row],[Up - A3a]:[Up - A3a]]),"")</f>
        <v>3</v>
      </c>
      <c r="BV431" t="s">
        <v>189</v>
      </c>
      <c r="BW431">
        <f>IFERROR(AVERAGE(Tabel1[[#This Row],[Up - A1]],Tabel1[[#This Row],[Up - A2]],Tabel1[[#This Row],[Up - A3]]),"")</f>
        <v>2.25</v>
      </c>
      <c r="BX431">
        <v>1</v>
      </c>
      <c r="BY431">
        <v>4</v>
      </c>
      <c r="BZ431">
        <f>IFERROR(AVERAGE(Tabel1[[#This Row],[In - R1a]:[In - R1b]]),"")</f>
        <v>2.5</v>
      </c>
      <c r="CA431">
        <v>5</v>
      </c>
      <c r="CB431">
        <v>3</v>
      </c>
      <c r="CC431">
        <v>2</v>
      </c>
      <c r="CD431">
        <v>2</v>
      </c>
      <c r="CE431">
        <f>IFERROR(AVERAGE(Tabel1[[#This Row],[In - R1]:[In - R5]]),"")</f>
        <v>2.9</v>
      </c>
      <c r="CF431">
        <v>5</v>
      </c>
      <c r="CG431">
        <v>4</v>
      </c>
      <c r="CH431">
        <v>4</v>
      </c>
      <c r="CI431">
        <f>IFERROR(AVERAGE(Tabel1[[#This Row],[In - C1a]:[In - C1c]]),"")</f>
        <v>4.333333333333333</v>
      </c>
      <c r="CJ431">
        <v>3</v>
      </c>
      <c r="CK431">
        <v>5</v>
      </c>
      <c r="CL431">
        <v>5</v>
      </c>
      <c r="CM431">
        <f>IFERROR(AVERAGE(Tabel1[[#This Row],[In - C1]:[In - C4]]),"")</f>
        <v>4.333333333333333</v>
      </c>
      <c r="CN431">
        <v>1</v>
      </c>
      <c r="CO431">
        <v>1</v>
      </c>
      <c r="CP431">
        <v>1</v>
      </c>
      <c r="CQ431">
        <f>IFERROR(AVERAGE(Tabel1[[#This Row],[In - F1a]:[In - F1c]]),"")</f>
        <v>1</v>
      </c>
      <c r="CR431">
        <v>2</v>
      </c>
      <c r="CS431">
        <v>1</v>
      </c>
      <c r="CT431">
        <f>IFERROR(AVERAGE(Tabel1[[#This Row],[In - F2a]:[In - F2b]]),"")</f>
        <v>1.5</v>
      </c>
      <c r="CU431">
        <v>1</v>
      </c>
      <c r="CV431">
        <f>IFERROR(AVERAGE(Tabel1[[#This Row],[In - F3a]:[In - F3a]]),"")</f>
        <v>1</v>
      </c>
      <c r="CW431" t="s">
        <v>189</v>
      </c>
      <c r="CX431">
        <f>IFERROR(AVERAGE(Tabel1[[#This Row],[In - F1]],Tabel1[[#This Row],[In - F2]],Tabel1[[#This Row],[In - F3]],Tabel1[[#This Row],[In - F4]]),"")</f>
        <v>1.1666666666666667</v>
      </c>
      <c r="CY431">
        <v>4</v>
      </c>
      <c r="CZ431">
        <v>5</v>
      </c>
      <c r="DA431">
        <v>4</v>
      </c>
      <c r="DB431">
        <f>IFERROR(AVERAGE(Tabel1[[#This Row],[In - V1a]:[In - V1c]]),"")</f>
        <v>4.333333333333333</v>
      </c>
      <c r="DC431" t="s">
        <v>189</v>
      </c>
      <c r="DD431">
        <v>4</v>
      </c>
      <c r="DE431">
        <v>4</v>
      </c>
      <c r="DF431">
        <f>IFERROR(AVERAGE(Tabel1[[#This Row],[In - V2a]:[In - V2c]]),"")</f>
        <v>4</v>
      </c>
      <c r="DG431">
        <v>3</v>
      </c>
      <c r="DH431" t="s">
        <v>189</v>
      </c>
      <c r="DI431">
        <f>IFERROR(AVERAGE(Tabel1[[#This Row],[In - V3a]:[In - V3b]]),"")</f>
        <v>3</v>
      </c>
      <c r="DJ431" t="s">
        <v>189</v>
      </c>
      <c r="DK431">
        <f>IFERROR(AVERAGE(Tabel1[[#This Row],[In - V1]],Tabel1[[#This Row],[In - V2]],Tabel1[[#This Row],[In - V3]],Tabel1[[#This Row],[In - V4]]),"")</f>
        <v>3.7777777777777772</v>
      </c>
      <c r="DL431">
        <v>1</v>
      </c>
      <c r="DM431">
        <v>4</v>
      </c>
      <c r="DN431">
        <f>IFERROR(AVERAGE(Tabel1[[#This Row],[In - A1a]:[In - A1b]]),"")</f>
        <v>2.5</v>
      </c>
      <c r="DO431">
        <v>2</v>
      </c>
      <c r="DP431">
        <v>2</v>
      </c>
      <c r="DQ431">
        <f>IFERROR(AVERAGE(Tabel1[[#This Row],[In - A2a]:[In - A2b]]),"")</f>
        <v>2</v>
      </c>
      <c r="DR431">
        <v>2</v>
      </c>
      <c r="DS431">
        <v>3</v>
      </c>
      <c r="DT431">
        <f>IFERROR(AVERAGE(Tabel1[[#This Row],[In - A3a]:[In - A3a]]),"")</f>
        <v>2</v>
      </c>
      <c r="DU431" t="s">
        <v>189</v>
      </c>
      <c r="DV431">
        <f>IFERROR(AVERAGE(Tabel1[[#This Row],[In - A1]],Tabel1[[#This Row],[In - A2]],Tabel1[[#This Row],[In - A3]],Tabel1[[#This Row],[In - A4]]),"")</f>
        <v>2.1666666666666665</v>
      </c>
      <c r="DW431">
        <v>2</v>
      </c>
      <c r="DX431">
        <v>5</v>
      </c>
      <c r="DY431">
        <v>2</v>
      </c>
      <c r="DZ431">
        <f>IFERROR(AVERAGE(Tabel1[[#This Row],[Do - R1a]:[Do - R1c]]),"")</f>
        <v>3</v>
      </c>
      <c r="EA431">
        <v>4</v>
      </c>
      <c r="EB431">
        <v>5</v>
      </c>
      <c r="EC431" t="s">
        <v>189</v>
      </c>
      <c r="ED431" t="s">
        <v>189</v>
      </c>
      <c r="EE431">
        <f>IFERROR(AVERAGE(Tabel1[[#This Row],[Do - R1]:[Do - R5]]),"")</f>
        <v>4</v>
      </c>
      <c r="EF431" t="s">
        <v>189</v>
      </c>
      <c r="EG431">
        <v>3</v>
      </c>
      <c r="EH431">
        <v>5</v>
      </c>
      <c r="EI431">
        <f>IFERROR(AVERAGE(Tabel1[[#This Row],[Do - C1a]:[Do - C1c]]),"")</f>
        <v>4</v>
      </c>
      <c r="EJ431">
        <v>2</v>
      </c>
      <c r="EK431">
        <v>2</v>
      </c>
      <c r="EL431" t="s">
        <v>189</v>
      </c>
      <c r="EM431">
        <f>IFERROR(AVERAGE(Tabel1[[#This Row],[Do - C1]:[Do - C4]]),"")</f>
        <v>2.6666666666666665</v>
      </c>
      <c r="EN431">
        <v>3</v>
      </c>
      <c r="EO431">
        <v>3</v>
      </c>
      <c r="EP431">
        <v>3</v>
      </c>
      <c r="EQ431">
        <f>IFERROR(AVERAGE(Tabel1[[#This Row],[Do - F1a]:[Do - F1c]]),"")</f>
        <v>3</v>
      </c>
      <c r="ER431">
        <v>2</v>
      </c>
      <c r="ES431">
        <f>IFERROR(AVERAGE(Tabel1[[#This Row],[Do - F2a]:[Do - F2a]]),"")</f>
        <v>2</v>
      </c>
      <c r="ET431">
        <v>5</v>
      </c>
      <c r="EU431">
        <v>1</v>
      </c>
      <c r="EV431">
        <f>IFERROR(AVERAGE(Tabel1[[#This Row],[Do - F3a]:[Do - F3b]]),"")</f>
        <v>3</v>
      </c>
      <c r="EW431" t="s">
        <v>189</v>
      </c>
      <c r="EX431">
        <f>IFERROR(AVERAGE(Tabel1[[#This Row],[Do - F1]],Tabel1[[#This Row],[Do - F2]],Tabel1[[#This Row],[Do - F3]],Tabel1[[#This Row],[Do - F4]]),"")</f>
        <v>2.6666666666666665</v>
      </c>
      <c r="EY431">
        <v>2</v>
      </c>
      <c r="EZ431">
        <v>1</v>
      </c>
      <c r="FA431">
        <v>1</v>
      </c>
      <c r="FB431">
        <f>IFERROR(AVERAGE(Tabel1[[#This Row],[Do - V1a]:[Do - V1c]]),"")</f>
        <v>1.3333333333333333</v>
      </c>
      <c r="FC431" t="s">
        <v>189</v>
      </c>
      <c r="FD431">
        <v>4</v>
      </c>
      <c r="FE431">
        <f>IFERROR(AVERAGE(Tabel1[[#This Row],[Do - V2a]:[Do - V2b]]),"")</f>
        <v>4</v>
      </c>
      <c r="FF431">
        <v>2</v>
      </c>
      <c r="FG431">
        <f>IFERROR(AVERAGE(Tabel1[[#This Row],[Do - V3a]:[Do - V3a]]),"")</f>
        <v>2</v>
      </c>
      <c r="FH431" t="s">
        <v>189</v>
      </c>
      <c r="FI431">
        <f>IFERROR(AVERAGE(Tabel1[[#This Row],[Do - V1]],Tabel1[[#This Row],[Do - V2]],Tabel1[[#This Row],[Do - V3]],Tabel1[[#This Row],[Do - V4]]),"")</f>
        <v>2.4444444444444442</v>
      </c>
      <c r="FJ431">
        <v>4</v>
      </c>
      <c r="FK431">
        <v>1</v>
      </c>
      <c r="FL431">
        <v>2</v>
      </c>
      <c r="FM431">
        <f>IFERROR(AVERAGE(Tabel1[[#This Row],[Do - A1a]:[Do - A1c]]),"")</f>
        <v>2.3333333333333335</v>
      </c>
      <c r="FN431">
        <v>2</v>
      </c>
      <c r="FO431">
        <v>4</v>
      </c>
      <c r="FP431">
        <f>IFERROR(AVERAGE(Tabel1[[#This Row],[Do - A2a]:[Do - A2b]]),"")</f>
        <v>3</v>
      </c>
      <c r="FQ431">
        <v>4</v>
      </c>
      <c r="FR431">
        <f>IFERROR(AVERAGE(Tabel1[[#This Row],[Do - A3a]:[Do - A3a]]),"")</f>
        <v>4</v>
      </c>
      <c r="FS431" t="s">
        <v>189</v>
      </c>
      <c r="FT431">
        <f>IFERROR(AVERAGE(Tabel1[[#This Row],[Do - A1]],Tabel1[[#This Row],[Do - A2]],Tabel1[[#This Row],[Do - A3]],Tabel1[[#This Row],[Do - A4]]),"")</f>
        <v>3.1111111111111112</v>
      </c>
      <c r="FU43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2.5600000000000005</v>
      </c>
      <c r="FV431" s="31" t="s">
        <v>2134</v>
      </c>
      <c r="FW431" t="b">
        <v>1</v>
      </c>
    </row>
    <row r="432" spans="1:179" x14ac:dyDescent="0.3">
      <c r="A432" s="13">
        <v>45706.601863425902</v>
      </c>
      <c r="B432" t="b">
        <v>0</v>
      </c>
      <c r="C432" t="s">
        <v>2135</v>
      </c>
      <c r="D432" t="s">
        <v>2136</v>
      </c>
      <c r="E432" t="s">
        <v>2137</v>
      </c>
      <c r="F432" s="14" t="s">
        <v>184</v>
      </c>
      <c r="G432" t="s">
        <v>2138</v>
      </c>
      <c r="H432" t="s">
        <v>222</v>
      </c>
      <c r="I432" t="s">
        <v>542</v>
      </c>
      <c r="J432" t="s">
        <v>543</v>
      </c>
      <c r="K432" t="s">
        <v>304</v>
      </c>
      <c r="L432" t="s">
        <v>197</v>
      </c>
      <c r="M432" t="s">
        <v>233</v>
      </c>
      <c r="O432" t="s">
        <v>200</v>
      </c>
      <c r="P432" t="s">
        <v>304</v>
      </c>
      <c r="Q432" t="s">
        <v>203</v>
      </c>
      <c r="R432" t="s">
        <v>203</v>
      </c>
      <c r="S432" t="s">
        <v>201</v>
      </c>
      <c r="T432" t="s">
        <v>284</v>
      </c>
      <c r="V432" t="s">
        <v>224</v>
      </c>
      <c r="W432" t="s">
        <v>306</v>
      </c>
      <c r="X432" t="s">
        <v>207</v>
      </c>
      <c r="Y432">
        <v>3</v>
      </c>
      <c r="Z432">
        <v>3</v>
      </c>
      <c r="AA432">
        <v>4</v>
      </c>
      <c r="AB432">
        <f>IFERROR(AVERAGE(Tabel1[[#This Row],[Up - R1a]:[Up - R1c]]),"")</f>
        <v>3.3333333333333335</v>
      </c>
      <c r="AC432" t="s">
        <v>189</v>
      </c>
      <c r="AD432">
        <v>5</v>
      </c>
      <c r="AE432">
        <v>3</v>
      </c>
      <c r="AF432" t="s">
        <v>189</v>
      </c>
      <c r="AG432">
        <f>IFERROR(AVERAGE(Tabel1[[#This Row],[Up - R1]:[Up - R5]]),"")</f>
        <v>3.7777777777777781</v>
      </c>
      <c r="AH432">
        <v>4</v>
      </c>
      <c r="AI432">
        <v>4</v>
      </c>
      <c r="AJ432" t="s">
        <v>189</v>
      </c>
      <c r="AK432">
        <f>IFERROR(AVERAGE(Tabel1[[#This Row],[Up - C1a]:[Up - C1c]]),"")</f>
        <v>4</v>
      </c>
      <c r="AL432">
        <v>3</v>
      </c>
      <c r="AM432">
        <v>3</v>
      </c>
      <c r="AN432" t="s">
        <v>189</v>
      </c>
      <c r="AO432">
        <f>IFERROR(AVERAGE(Tabel1[[#This Row],[Up - C1]:[Up - C4]]),"")</f>
        <v>3.3333333333333335</v>
      </c>
      <c r="AP432">
        <v>2</v>
      </c>
      <c r="AQ432">
        <f>IFERROR(AVERAGE(Tabel1[[#This Row],[Up - F1a]:[Up - F1a]]),"")</f>
        <v>2</v>
      </c>
      <c r="AR432">
        <v>1</v>
      </c>
      <c r="AS432">
        <v>1</v>
      </c>
      <c r="AT432">
        <f>IFERROR(AVERAGE(Tabel1[[#This Row],[Up - F2a]:[Up - F2b]]),"")</f>
        <v>1</v>
      </c>
      <c r="AU432">
        <v>2</v>
      </c>
      <c r="AV432" t="s">
        <v>189</v>
      </c>
      <c r="AW432">
        <f>IFERROR(AVERAGE(Tabel1[[#This Row],[Up - F3a]:[Up - F3b]]),"")</f>
        <v>2</v>
      </c>
      <c r="AX432">
        <v>3</v>
      </c>
      <c r="AY432">
        <f>IFERROR(AVERAGE(Tabel1[[#This Row],[Up - F1]],Tabel1[[#This Row],[Up - F2]],Tabel1[[#This Row],[Up - F3]],Tabel1[[#This Row],[Up - F4]]),"")</f>
        <v>2</v>
      </c>
      <c r="AZ432">
        <v>1</v>
      </c>
      <c r="BA432">
        <v>3</v>
      </c>
      <c r="BB432">
        <f>IFERROR(AVERAGE(Tabel1[[#This Row],[Up - V1a]:[Up - V1b]]),"")</f>
        <v>2</v>
      </c>
      <c r="BC432">
        <v>3</v>
      </c>
      <c r="BD432">
        <v>3</v>
      </c>
      <c r="BE432">
        <v>2</v>
      </c>
      <c r="BF432">
        <f>IFERROR(AVERAGE(Tabel1[[#This Row],[Up - V2a]:[Up - V2c]]),"")</f>
        <v>2.6666666666666665</v>
      </c>
      <c r="BG432">
        <v>3</v>
      </c>
      <c r="BH432" t="s">
        <v>189</v>
      </c>
      <c r="BI432">
        <f>IFERROR(AVERAGE(Tabel1[[#This Row],[Up - V3a]:[Up - V3b]]),"")</f>
        <v>3</v>
      </c>
      <c r="BJ432">
        <v>1</v>
      </c>
      <c r="BK432">
        <f>IFERROR(AVERAGE(Tabel1[[#This Row],[Up - V1]],Tabel1[[#This Row],[Up - V2]],Tabel1[[#This Row],[Up - V3]],Tabel1[[#This Row],[Up - V4]]),"")</f>
        <v>2.1666666666666665</v>
      </c>
      <c r="BL432">
        <v>3</v>
      </c>
      <c r="BM432">
        <v>4</v>
      </c>
      <c r="BN432">
        <v>1</v>
      </c>
      <c r="BO432">
        <v>4</v>
      </c>
      <c r="BP432">
        <f>IFERROR(AVERAGE(Tabel1[[#This Row],[Up - A1a]:[Up - A1d]]),"")</f>
        <v>3</v>
      </c>
      <c r="BQ432">
        <v>1</v>
      </c>
      <c r="BR432">
        <v>3</v>
      </c>
      <c r="BS432">
        <f>IFERROR(AVERAGE(Tabel1[[#This Row],[Up - A2a]:[Up - A2b]]),"")</f>
        <v>2</v>
      </c>
      <c r="BT432">
        <v>4</v>
      </c>
      <c r="BU432">
        <f>IFERROR(AVERAGE(Tabel1[[#This Row],[Up - A3a]:[Up - A3a]]),"")</f>
        <v>4</v>
      </c>
      <c r="BV432">
        <v>3</v>
      </c>
      <c r="BW432">
        <f>IFERROR(AVERAGE(Tabel1[[#This Row],[Up - A1]],Tabel1[[#This Row],[Up - A2]],Tabel1[[#This Row],[Up - A3]]),"")</f>
        <v>3</v>
      </c>
      <c r="BX432">
        <v>3</v>
      </c>
      <c r="BY432">
        <v>1</v>
      </c>
      <c r="BZ432">
        <f>IFERROR(AVERAGE(Tabel1[[#This Row],[In - R1a]:[In - R1b]]),"")</f>
        <v>2</v>
      </c>
      <c r="CA432">
        <v>4</v>
      </c>
      <c r="CB432" t="s">
        <v>189</v>
      </c>
      <c r="CC432">
        <v>5</v>
      </c>
      <c r="CD432">
        <v>4</v>
      </c>
      <c r="CE432">
        <f>IFERROR(AVERAGE(Tabel1[[#This Row],[In - R1]:[In - R5]]),"")</f>
        <v>3.75</v>
      </c>
      <c r="CF432">
        <v>4</v>
      </c>
      <c r="CG432" t="s">
        <v>189</v>
      </c>
      <c r="CH432">
        <v>3</v>
      </c>
      <c r="CI432">
        <f>IFERROR(AVERAGE(Tabel1[[#This Row],[In - C1a]:[In - C1c]]),"")</f>
        <v>3.5</v>
      </c>
      <c r="CJ432">
        <v>3</v>
      </c>
      <c r="CK432" t="s">
        <v>189</v>
      </c>
      <c r="CL432" t="s">
        <v>189</v>
      </c>
      <c r="CM432">
        <f>IFERROR(AVERAGE(Tabel1[[#This Row],[In - C1]:[In - C4]]),"")</f>
        <v>3.25</v>
      </c>
      <c r="CN432">
        <v>1</v>
      </c>
      <c r="CO432">
        <v>3</v>
      </c>
      <c r="CP432">
        <v>4</v>
      </c>
      <c r="CQ432">
        <f>IFERROR(AVERAGE(Tabel1[[#This Row],[In - F1a]:[In - F1c]]),"")</f>
        <v>2.6666666666666665</v>
      </c>
      <c r="CR432">
        <v>1</v>
      </c>
      <c r="CS432">
        <v>1</v>
      </c>
      <c r="CT432">
        <f>IFERROR(AVERAGE(Tabel1[[#This Row],[In - F2a]:[In - F2b]]),"")</f>
        <v>1</v>
      </c>
      <c r="CU432">
        <v>1</v>
      </c>
      <c r="CV432">
        <f>IFERROR(AVERAGE(Tabel1[[#This Row],[In - F3a]:[In - F3a]]),"")</f>
        <v>1</v>
      </c>
      <c r="CW432">
        <v>1</v>
      </c>
      <c r="CX432">
        <f>IFERROR(AVERAGE(Tabel1[[#This Row],[In - F1]],Tabel1[[#This Row],[In - F2]],Tabel1[[#This Row],[In - F3]],Tabel1[[#This Row],[In - F4]]),"")</f>
        <v>1.4166666666666665</v>
      </c>
      <c r="CY432">
        <v>4</v>
      </c>
      <c r="CZ432">
        <v>3</v>
      </c>
      <c r="DB432">
        <f>IFERROR(AVERAGE(Tabel1[[#This Row],[In - V1a]:[In - V1c]]),"")</f>
        <v>3.5</v>
      </c>
      <c r="DC432" t="s">
        <v>189</v>
      </c>
      <c r="DD432">
        <v>3</v>
      </c>
      <c r="DE432">
        <v>3</v>
      </c>
      <c r="DF432">
        <f>IFERROR(AVERAGE(Tabel1[[#This Row],[In - V2a]:[In - V2c]]),"")</f>
        <v>3</v>
      </c>
      <c r="DG432">
        <v>3</v>
      </c>
      <c r="DH432" t="s">
        <v>189</v>
      </c>
      <c r="DI432">
        <f>IFERROR(AVERAGE(Tabel1[[#This Row],[In - V3a]:[In - V3b]]),"")</f>
        <v>3</v>
      </c>
      <c r="DJ432">
        <v>4</v>
      </c>
      <c r="DK432">
        <f>IFERROR(AVERAGE(Tabel1[[#This Row],[In - V1]],Tabel1[[#This Row],[In - V2]],Tabel1[[#This Row],[In - V3]],Tabel1[[#This Row],[In - V4]]),"")</f>
        <v>3.375</v>
      </c>
      <c r="DL432">
        <v>2</v>
      </c>
      <c r="DM432">
        <v>3</v>
      </c>
      <c r="DN432">
        <f>IFERROR(AVERAGE(Tabel1[[#This Row],[In - A1a]:[In - A1b]]),"")</f>
        <v>2.5</v>
      </c>
      <c r="DO432">
        <v>2</v>
      </c>
      <c r="DP432">
        <v>4</v>
      </c>
      <c r="DQ432">
        <f>IFERROR(AVERAGE(Tabel1[[#This Row],[In - A2a]:[In - A2b]]),"")</f>
        <v>3</v>
      </c>
      <c r="DR432">
        <v>4</v>
      </c>
      <c r="DS432">
        <v>2</v>
      </c>
      <c r="DT432">
        <f>IFERROR(AVERAGE(Tabel1[[#This Row],[In - A3a]:[In - A3a]]),"")</f>
        <v>4</v>
      </c>
      <c r="DU432">
        <v>2</v>
      </c>
      <c r="DV432">
        <f>IFERROR(AVERAGE(Tabel1[[#This Row],[In - A1]],Tabel1[[#This Row],[In - A2]],Tabel1[[#This Row],[In - A3]],Tabel1[[#This Row],[In - A4]]),"")</f>
        <v>2.875</v>
      </c>
      <c r="DW432">
        <v>4</v>
      </c>
      <c r="DX432">
        <v>5</v>
      </c>
      <c r="DY432">
        <v>2</v>
      </c>
      <c r="DZ432">
        <f>IFERROR(AVERAGE(Tabel1[[#This Row],[Do - R1a]:[Do - R1c]]),"")</f>
        <v>3.6666666666666665</v>
      </c>
      <c r="EA432">
        <v>4</v>
      </c>
      <c r="EB432">
        <v>5</v>
      </c>
      <c r="EC432">
        <v>2</v>
      </c>
      <c r="ED432">
        <v>4</v>
      </c>
      <c r="EE432">
        <f>IFERROR(AVERAGE(Tabel1[[#This Row],[Do - R1]:[Do - R5]]),"")</f>
        <v>3.7333333333333329</v>
      </c>
      <c r="EF432">
        <v>4</v>
      </c>
      <c r="EG432">
        <v>4</v>
      </c>
      <c r="EH432">
        <v>4</v>
      </c>
      <c r="EI432">
        <f>IFERROR(AVERAGE(Tabel1[[#This Row],[Do - C1a]:[Do - C1c]]),"")</f>
        <v>4</v>
      </c>
      <c r="EJ432" t="s">
        <v>189</v>
      </c>
      <c r="EK432">
        <v>3</v>
      </c>
      <c r="EL432">
        <v>4</v>
      </c>
      <c r="EM432">
        <f>IFERROR(AVERAGE(Tabel1[[#This Row],[Do - C1]:[Do - C4]]),"")</f>
        <v>3.6666666666666665</v>
      </c>
      <c r="EN432">
        <v>3</v>
      </c>
      <c r="EO432">
        <v>1</v>
      </c>
      <c r="EP432">
        <v>4</v>
      </c>
      <c r="EQ432">
        <f>IFERROR(AVERAGE(Tabel1[[#This Row],[Do - F1a]:[Do - F1c]]),"")</f>
        <v>2.6666666666666665</v>
      </c>
      <c r="ER432">
        <v>3</v>
      </c>
      <c r="ES432">
        <f>IFERROR(AVERAGE(Tabel1[[#This Row],[Do - F2a]:[Do - F2a]]),"")</f>
        <v>3</v>
      </c>
      <c r="ET432">
        <v>3</v>
      </c>
      <c r="EU432">
        <v>2</v>
      </c>
      <c r="EV432">
        <f>IFERROR(AVERAGE(Tabel1[[#This Row],[Do - F3a]:[Do - F3b]]),"")</f>
        <v>2.5</v>
      </c>
      <c r="EW432">
        <v>2</v>
      </c>
      <c r="EX432">
        <f>IFERROR(AVERAGE(Tabel1[[#This Row],[Do - F1]],Tabel1[[#This Row],[Do - F2]],Tabel1[[#This Row],[Do - F3]],Tabel1[[#This Row],[Do - F4]]),"")</f>
        <v>2.5416666666666665</v>
      </c>
      <c r="EY432">
        <v>3</v>
      </c>
      <c r="EZ432" t="s">
        <v>189</v>
      </c>
      <c r="FB432">
        <f>IFERROR(AVERAGE(Tabel1[[#This Row],[Do - V1a]:[Do - V1c]]),"")</f>
        <v>3</v>
      </c>
      <c r="FC432">
        <v>4</v>
      </c>
      <c r="FD432">
        <v>3</v>
      </c>
      <c r="FE432">
        <f>IFERROR(AVERAGE(Tabel1[[#This Row],[Do - V2a]:[Do - V2b]]),"")</f>
        <v>3.5</v>
      </c>
      <c r="FF432">
        <v>3</v>
      </c>
      <c r="FG432">
        <f>IFERROR(AVERAGE(Tabel1[[#This Row],[Do - V3a]:[Do - V3a]]),"")</f>
        <v>3</v>
      </c>
      <c r="FH432">
        <v>4</v>
      </c>
      <c r="FI432">
        <f>IFERROR(AVERAGE(Tabel1[[#This Row],[Do - V1]],Tabel1[[#This Row],[Do - V2]],Tabel1[[#This Row],[Do - V3]],Tabel1[[#This Row],[Do - V4]]),"")</f>
        <v>3.375</v>
      </c>
      <c r="FJ432">
        <v>2</v>
      </c>
      <c r="FK432">
        <v>1</v>
      </c>
      <c r="FL432">
        <v>3</v>
      </c>
      <c r="FM432">
        <f>IFERROR(AVERAGE(Tabel1[[#This Row],[Do - A1a]:[Do - A1c]]),"")</f>
        <v>2</v>
      </c>
      <c r="FN432" t="s">
        <v>189</v>
      </c>
      <c r="FO432">
        <v>3</v>
      </c>
      <c r="FP432">
        <f>IFERROR(AVERAGE(Tabel1[[#This Row],[Do - A2a]:[Do - A2b]]),"")</f>
        <v>3</v>
      </c>
      <c r="FQ432">
        <v>4</v>
      </c>
      <c r="FR432">
        <f>IFERROR(AVERAGE(Tabel1[[#This Row],[Do - A3a]:[Do - A3a]]),"")</f>
        <v>4</v>
      </c>
      <c r="FS432">
        <v>3</v>
      </c>
      <c r="FT432">
        <f>IFERROR(AVERAGE(Tabel1[[#This Row],[Do - A1]],Tabel1[[#This Row],[Do - A2]],Tabel1[[#This Row],[Do - A3]],Tabel1[[#This Row],[Do - A4]]),"")</f>
        <v>3</v>
      </c>
      <c r="FU43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3.0174074074074069</v>
      </c>
      <c r="FV432" s="31" t="s">
        <v>2139</v>
      </c>
      <c r="FW432" t="b">
        <v>1</v>
      </c>
    </row>
    <row r="433" spans="1:179" x14ac:dyDescent="0.3">
      <c r="A433" s="13">
        <v>45707.465416666702</v>
      </c>
      <c r="B433" t="b">
        <v>0</v>
      </c>
      <c r="C433" t="s">
        <v>2140</v>
      </c>
      <c r="D433" t="s">
        <v>2141</v>
      </c>
      <c r="E433" t="s">
        <v>2142</v>
      </c>
      <c r="F433" s="14" t="s">
        <v>184</v>
      </c>
      <c r="G433" t="s">
        <v>2143</v>
      </c>
      <c r="H433" t="s">
        <v>222</v>
      </c>
      <c r="I433" t="s">
        <v>572</v>
      </c>
      <c r="J433" t="s">
        <v>573</v>
      </c>
      <c r="K433" t="s">
        <v>187</v>
      </c>
      <c r="L433" t="s">
        <v>249</v>
      </c>
      <c r="M433" t="s">
        <v>198</v>
      </c>
      <c r="N433" t="s">
        <v>199</v>
      </c>
      <c r="O433" t="s">
        <v>200</v>
      </c>
      <c r="P433" t="s">
        <v>202</v>
      </c>
      <c r="Q433" t="s">
        <v>201</v>
      </c>
      <c r="R433" t="s">
        <v>187</v>
      </c>
      <c r="S433" t="s">
        <v>187</v>
      </c>
      <c r="T433" t="s">
        <v>204</v>
      </c>
      <c r="U433" t="s">
        <v>237</v>
      </c>
      <c r="V433" t="s">
        <v>484</v>
      </c>
      <c r="W433" t="s">
        <v>207</v>
      </c>
      <c r="X433" t="s">
        <v>207</v>
      </c>
      <c r="Y433" t="s">
        <v>189</v>
      </c>
      <c r="Z433">
        <v>5</v>
      </c>
      <c r="AA433" t="s">
        <v>189</v>
      </c>
      <c r="AB433">
        <f>IFERROR(AVERAGE(Tabel1[[#This Row],[Up - R1a]:[Up - R1c]]),"")</f>
        <v>5</v>
      </c>
      <c r="AC433" t="s">
        <v>189</v>
      </c>
      <c r="AD433" t="s">
        <v>189</v>
      </c>
      <c r="AE433" t="s">
        <v>189</v>
      </c>
      <c r="AF433" t="s">
        <v>189</v>
      </c>
      <c r="AG433">
        <f>IFERROR(AVERAGE(Tabel1[[#This Row],[Up - R1]:[Up - R5]]),"")</f>
        <v>5</v>
      </c>
      <c r="AH433" t="s">
        <v>189</v>
      </c>
      <c r="AI433" t="s">
        <v>189</v>
      </c>
      <c r="AJ433" t="s">
        <v>189</v>
      </c>
      <c r="AK433" t="str">
        <f>IFERROR(AVERAGE(Tabel1[[#This Row],[Up - C1a]:[Up - C1c]]),"")</f>
        <v/>
      </c>
      <c r="AL433" t="s">
        <v>189</v>
      </c>
      <c r="AM433" t="s">
        <v>189</v>
      </c>
      <c r="AN433" t="s">
        <v>189</v>
      </c>
      <c r="AO433" t="str">
        <f>IFERROR(AVERAGE(Tabel1[[#This Row],[Up - C1]:[Up - C4]]),"")</f>
        <v/>
      </c>
      <c r="AP433" t="s">
        <v>189</v>
      </c>
      <c r="AQ433" t="str">
        <f>IFERROR(AVERAGE(Tabel1[[#This Row],[Up - F1a]:[Up - F1a]]),"")</f>
        <v/>
      </c>
      <c r="AR433">
        <v>1</v>
      </c>
      <c r="AS433" t="s">
        <v>189</v>
      </c>
      <c r="AT433">
        <f>IFERROR(AVERAGE(Tabel1[[#This Row],[Up - F2a]:[Up - F2b]]),"")</f>
        <v>1</v>
      </c>
      <c r="AU433">
        <v>3</v>
      </c>
      <c r="AV433">
        <v>1</v>
      </c>
      <c r="AW433">
        <f>IFERROR(AVERAGE(Tabel1[[#This Row],[Up - F3a]:[Up - F3b]]),"")</f>
        <v>2</v>
      </c>
      <c r="AX433" t="s">
        <v>189</v>
      </c>
      <c r="AY433">
        <f>IFERROR(AVERAGE(Tabel1[[#This Row],[Up - F1]],Tabel1[[#This Row],[Up - F2]],Tabel1[[#This Row],[Up - F3]],Tabel1[[#This Row],[Up - F4]]),"")</f>
        <v>1.5</v>
      </c>
      <c r="AZ433" t="s">
        <v>189</v>
      </c>
      <c r="BA433" t="s">
        <v>189</v>
      </c>
      <c r="BB433" t="str">
        <f>IFERROR(AVERAGE(Tabel1[[#This Row],[Up - V1a]:[Up - V1b]]),"")</f>
        <v/>
      </c>
      <c r="BC433" t="s">
        <v>189</v>
      </c>
      <c r="BD433" t="s">
        <v>189</v>
      </c>
      <c r="BE433" t="s">
        <v>189</v>
      </c>
      <c r="BF433" t="str">
        <f>IFERROR(AVERAGE(Tabel1[[#This Row],[Up - V2a]:[Up - V2c]]),"")</f>
        <v/>
      </c>
      <c r="BG433" t="s">
        <v>189</v>
      </c>
      <c r="BH433" t="s">
        <v>189</v>
      </c>
      <c r="BI433" t="str">
        <f>IFERROR(AVERAGE(Tabel1[[#This Row],[Up - V3a]:[Up - V3b]]),"")</f>
        <v/>
      </c>
      <c r="BJ433" t="s">
        <v>189</v>
      </c>
      <c r="BK433" t="str">
        <f>IFERROR(AVERAGE(Tabel1[[#This Row],[Up - V1]],Tabel1[[#This Row],[Up - V2]],Tabel1[[#This Row],[Up - V3]],Tabel1[[#This Row],[Up - V4]]),"")</f>
        <v/>
      </c>
      <c r="BL433" t="s">
        <v>189</v>
      </c>
      <c r="BM433" t="s">
        <v>189</v>
      </c>
      <c r="BN433" t="s">
        <v>189</v>
      </c>
      <c r="BO433" t="s">
        <v>189</v>
      </c>
      <c r="BP433" t="str">
        <f>IFERROR(AVERAGE(Tabel1[[#This Row],[Up - A1a]:[Up - A1d]]),"")</f>
        <v/>
      </c>
      <c r="BQ433" t="s">
        <v>189</v>
      </c>
      <c r="BR433">
        <v>2</v>
      </c>
      <c r="BS433">
        <f>IFERROR(AVERAGE(Tabel1[[#This Row],[Up - A2a]:[Up - A2b]]),"")</f>
        <v>2</v>
      </c>
      <c r="BT433" t="s">
        <v>189</v>
      </c>
      <c r="BU433" t="str">
        <f>IFERROR(AVERAGE(Tabel1[[#This Row],[Up - A3a]:[Up - A3a]]),"")</f>
        <v/>
      </c>
      <c r="BV433" t="s">
        <v>189</v>
      </c>
      <c r="BW433">
        <f>IFERROR(AVERAGE(Tabel1[[#This Row],[Up - A1]],Tabel1[[#This Row],[Up - A2]],Tabel1[[#This Row],[Up - A3]]),"")</f>
        <v>2</v>
      </c>
      <c r="BX433" t="s">
        <v>189</v>
      </c>
      <c r="BY433">
        <v>5</v>
      </c>
      <c r="BZ433">
        <f>IFERROR(AVERAGE(Tabel1[[#This Row],[In - R1a]:[In - R1b]]),"")</f>
        <v>5</v>
      </c>
      <c r="CA433">
        <v>4</v>
      </c>
      <c r="CB433">
        <v>5</v>
      </c>
      <c r="CC433" t="s">
        <v>189</v>
      </c>
      <c r="CD433" t="s">
        <v>189</v>
      </c>
      <c r="CE433">
        <f>IFERROR(AVERAGE(Tabel1[[#This Row],[In - R1]:[In - R5]]),"")</f>
        <v>4.666666666666667</v>
      </c>
      <c r="CF433">
        <v>4</v>
      </c>
      <c r="CG433">
        <v>4</v>
      </c>
      <c r="CH433">
        <v>5</v>
      </c>
      <c r="CI433">
        <f>IFERROR(AVERAGE(Tabel1[[#This Row],[In - C1a]:[In - C1c]]),"")</f>
        <v>4.333333333333333</v>
      </c>
      <c r="CJ433" t="s">
        <v>189</v>
      </c>
      <c r="CK433">
        <v>2</v>
      </c>
      <c r="CL433" t="s">
        <v>189</v>
      </c>
      <c r="CM433">
        <f>IFERROR(AVERAGE(Tabel1[[#This Row],[In - C1]:[In - C4]]),"")</f>
        <v>3.1666666666666665</v>
      </c>
      <c r="CN433" t="s">
        <v>189</v>
      </c>
      <c r="CO433" t="s">
        <v>189</v>
      </c>
      <c r="CP433" t="s">
        <v>189</v>
      </c>
      <c r="CQ433" t="str">
        <f>IFERROR(AVERAGE(Tabel1[[#This Row],[In - F1a]:[In - F1c]]),"")</f>
        <v/>
      </c>
      <c r="CR433" t="s">
        <v>189</v>
      </c>
      <c r="CS433">
        <v>1</v>
      </c>
      <c r="CT433">
        <f>IFERROR(AVERAGE(Tabel1[[#This Row],[In - F2a]:[In - F2b]]),"")</f>
        <v>1</v>
      </c>
      <c r="CU433">
        <v>1</v>
      </c>
      <c r="CV433">
        <f>IFERROR(AVERAGE(Tabel1[[#This Row],[In - F3a]:[In - F3a]]),"")</f>
        <v>1</v>
      </c>
      <c r="CW433" t="s">
        <v>189</v>
      </c>
      <c r="CX433">
        <f>IFERROR(AVERAGE(Tabel1[[#This Row],[In - F1]],Tabel1[[#This Row],[In - F2]],Tabel1[[#This Row],[In - F3]],Tabel1[[#This Row],[In - F4]]),"")</f>
        <v>1</v>
      </c>
      <c r="CY433">
        <v>5</v>
      </c>
      <c r="CZ433">
        <v>4</v>
      </c>
      <c r="DA433">
        <v>4</v>
      </c>
      <c r="DB433">
        <f>IFERROR(AVERAGE(Tabel1[[#This Row],[In - V1a]:[In - V1c]]),"")</f>
        <v>4.333333333333333</v>
      </c>
      <c r="DC433">
        <v>4</v>
      </c>
      <c r="DD433">
        <v>5</v>
      </c>
      <c r="DE433">
        <v>5</v>
      </c>
      <c r="DF433">
        <f>IFERROR(AVERAGE(Tabel1[[#This Row],[In - V2a]:[In - V2c]]),"")</f>
        <v>4.666666666666667</v>
      </c>
      <c r="DG433">
        <v>4</v>
      </c>
      <c r="DH433">
        <v>5</v>
      </c>
      <c r="DI433">
        <f>IFERROR(AVERAGE(Tabel1[[#This Row],[In - V3a]:[In - V3b]]),"")</f>
        <v>4.5</v>
      </c>
      <c r="DJ433">
        <v>5</v>
      </c>
      <c r="DK433">
        <f>IFERROR(AVERAGE(Tabel1[[#This Row],[In - V1]],Tabel1[[#This Row],[In - V2]],Tabel1[[#This Row],[In - V3]],Tabel1[[#This Row],[In - V4]]),"")</f>
        <v>4.625</v>
      </c>
      <c r="DL433">
        <v>2</v>
      </c>
      <c r="DM433" t="s">
        <v>189</v>
      </c>
      <c r="DN433">
        <f>IFERROR(AVERAGE(Tabel1[[#This Row],[In - A1a]:[In - A1b]]),"")</f>
        <v>2</v>
      </c>
      <c r="DO433" t="s">
        <v>189</v>
      </c>
      <c r="DP433">
        <v>2</v>
      </c>
      <c r="DQ433">
        <f>IFERROR(AVERAGE(Tabel1[[#This Row],[In - A2a]:[In - A2b]]),"")</f>
        <v>2</v>
      </c>
      <c r="DR433">
        <v>3</v>
      </c>
      <c r="DS433">
        <v>2</v>
      </c>
      <c r="DT433">
        <f>IFERROR(AVERAGE(Tabel1[[#This Row],[In - A3a]:[In - A3a]]),"")</f>
        <v>3</v>
      </c>
      <c r="DU433" t="s">
        <v>189</v>
      </c>
      <c r="DV433">
        <f>IFERROR(AVERAGE(Tabel1[[#This Row],[In - A1]],Tabel1[[#This Row],[In - A2]],Tabel1[[#This Row],[In - A3]],Tabel1[[#This Row],[In - A4]]),"")</f>
        <v>2.3333333333333335</v>
      </c>
      <c r="DW433" t="s">
        <v>189</v>
      </c>
      <c r="DX433">
        <v>5</v>
      </c>
      <c r="DY433">
        <v>1</v>
      </c>
      <c r="DZ433">
        <f>IFERROR(AVERAGE(Tabel1[[#This Row],[Do - R1a]:[Do - R1c]]),"")</f>
        <v>3</v>
      </c>
      <c r="EA433">
        <v>2</v>
      </c>
      <c r="EB433" t="s">
        <v>189</v>
      </c>
      <c r="EC433" t="s">
        <v>189</v>
      </c>
      <c r="ED433" t="s">
        <v>189</v>
      </c>
      <c r="EE433">
        <f>IFERROR(AVERAGE(Tabel1[[#This Row],[Do - R1]:[Do - R5]]),"")</f>
        <v>2.5</v>
      </c>
      <c r="EF433">
        <v>4</v>
      </c>
      <c r="EG433">
        <v>3</v>
      </c>
      <c r="EH433">
        <v>4</v>
      </c>
      <c r="EI433">
        <f>IFERROR(AVERAGE(Tabel1[[#This Row],[Do - C1a]:[Do - C1c]]),"")</f>
        <v>3.6666666666666665</v>
      </c>
      <c r="EJ433" t="s">
        <v>189</v>
      </c>
      <c r="EK433">
        <v>2</v>
      </c>
      <c r="EL433" t="s">
        <v>189</v>
      </c>
      <c r="EM433">
        <f>IFERROR(AVERAGE(Tabel1[[#This Row],[Do - C1]:[Do - C4]]),"")</f>
        <v>2.833333333333333</v>
      </c>
      <c r="EN433" t="s">
        <v>189</v>
      </c>
      <c r="EO433" t="s">
        <v>189</v>
      </c>
      <c r="EP433">
        <v>2</v>
      </c>
      <c r="EQ433">
        <f>IFERROR(AVERAGE(Tabel1[[#This Row],[Do - F1a]:[Do - F1c]]),"")</f>
        <v>2</v>
      </c>
      <c r="ER433">
        <v>1</v>
      </c>
      <c r="ES433">
        <f>IFERROR(AVERAGE(Tabel1[[#This Row],[Do - F2a]:[Do - F2a]]),"")</f>
        <v>1</v>
      </c>
      <c r="ET433">
        <v>2</v>
      </c>
      <c r="EU433">
        <v>1</v>
      </c>
      <c r="EV433">
        <f>IFERROR(AVERAGE(Tabel1[[#This Row],[Do - F3a]:[Do - F3b]]),"")</f>
        <v>1.5</v>
      </c>
      <c r="EW433" t="s">
        <v>189</v>
      </c>
      <c r="EX433">
        <f>IFERROR(AVERAGE(Tabel1[[#This Row],[Do - F1]],Tabel1[[#This Row],[Do - F2]],Tabel1[[#This Row],[Do - F3]],Tabel1[[#This Row],[Do - F4]]),"")</f>
        <v>1.5</v>
      </c>
      <c r="EY433" t="s">
        <v>189</v>
      </c>
      <c r="EZ433" t="s">
        <v>189</v>
      </c>
      <c r="FA433" t="s">
        <v>189</v>
      </c>
      <c r="FB433" t="str">
        <f>IFERROR(AVERAGE(Tabel1[[#This Row],[Do - V1a]:[Do - V1c]]),"")</f>
        <v/>
      </c>
      <c r="FC433">
        <v>3</v>
      </c>
      <c r="FD433">
        <v>4</v>
      </c>
      <c r="FE433">
        <f>IFERROR(AVERAGE(Tabel1[[#This Row],[Do - V2a]:[Do - V2b]]),"")</f>
        <v>3.5</v>
      </c>
      <c r="FF433">
        <v>4</v>
      </c>
      <c r="FG433">
        <f>IFERROR(AVERAGE(Tabel1[[#This Row],[Do - V3a]:[Do - V3a]]),"")</f>
        <v>4</v>
      </c>
      <c r="FH433" t="s">
        <v>189</v>
      </c>
      <c r="FI433">
        <f>IFERROR(AVERAGE(Tabel1[[#This Row],[Do - V1]],Tabel1[[#This Row],[Do - V2]],Tabel1[[#This Row],[Do - V3]],Tabel1[[#This Row],[Do - V4]]),"")</f>
        <v>3.75</v>
      </c>
      <c r="FJ433">
        <v>3</v>
      </c>
      <c r="FK433">
        <v>2</v>
      </c>
      <c r="FL433" t="s">
        <v>189</v>
      </c>
      <c r="FM433">
        <f>IFERROR(AVERAGE(Tabel1[[#This Row],[Do - A1a]:[Do - A1c]]),"")</f>
        <v>2.5</v>
      </c>
      <c r="FN433">
        <v>3</v>
      </c>
      <c r="FO433">
        <v>3</v>
      </c>
      <c r="FP433">
        <f>IFERROR(AVERAGE(Tabel1[[#This Row],[Do - A2a]:[Do - A2b]]),"")</f>
        <v>3</v>
      </c>
      <c r="FQ433" t="s">
        <v>189</v>
      </c>
      <c r="FR433" t="str">
        <f>IFERROR(AVERAGE(Tabel1[[#This Row],[Do - A3a]:[Do - A3a]]),"")</f>
        <v/>
      </c>
      <c r="FS433" t="s">
        <v>189</v>
      </c>
      <c r="FT433">
        <f>IFERROR(AVERAGE(Tabel1[[#This Row],[Do - A1]],Tabel1[[#This Row],[Do - A2]],Tabel1[[#This Row],[Do - A3]],Tabel1[[#This Row],[Do - A4]]),"")</f>
        <v>2.75</v>
      </c>
      <c r="FU43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2.8942307692307692</v>
      </c>
      <c r="FV433" s="31" t="s">
        <v>2144</v>
      </c>
      <c r="FW433" t="b">
        <v>1</v>
      </c>
    </row>
    <row r="434" spans="1:179" x14ac:dyDescent="0.3">
      <c r="A434" s="13">
        <v>45707.465416666702</v>
      </c>
      <c r="B434" t="b">
        <v>0</v>
      </c>
      <c r="C434" t="s">
        <v>2140</v>
      </c>
      <c r="D434" t="s">
        <v>2141</v>
      </c>
      <c r="E434" t="s">
        <v>2142</v>
      </c>
      <c r="F434" s="14" t="s">
        <v>184</v>
      </c>
      <c r="G434" t="s">
        <v>2143</v>
      </c>
      <c r="H434" t="s">
        <v>222</v>
      </c>
      <c r="I434" t="s">
        <v>572</v>
      </c>
      <c r="J434" t="s">
        <v>573</v>
      </c>
      <c r="K434" t="s">
        <v>187</v>
      </c>
      <c r="L434" t="s">
        <v>249</v>
      </c>
      <c r="M434" t="s">
        <v>198</v>
      </c>
      <c r="N434" t="s">
        <v>199</v>
      </c>
      <c r="O434" t="s">
        <v>200</v>
      </c>
      <c r="P434" t="s">
        <v>202</v>
      </c>
      <c r="Q434" t="s">
        <v>201</v>
      </c>
      <c r="R434" t="s">
        <v>187</v>
      </c>
      <c r="S434" t="s">
        <v>187</v>
      </c>
      <c r="T434" t="s">
        <v>204</v>
      </c>
      <c r="U434" t="s">
        <v>237</v>
      </c>
      <c r="V434" t="s">
        <v>484</v>
      </c>
      <c r="W434" t="s">
        <v>207</v>
      </c>
      <c r="X434" t="s">
        <v>207</v>
      </c>
      <c r="Y434" t="s">
        <v>189</v>
      </c>
      <c r="Z434">
        <v>5</v>
      </c>
      <c r="AA434" t="s">
        <v>189</v>
      </c>
      <c r="AB434">
        <f>IFERROR(AVERAGE(Tabel1[[#This Row],[Up - R1a]:[Up - R1c]]),"")</f>
        <v>5</v>
      </c>
      <c r="AC434" t="s">
        <v>189</v>
      </c>
      <c r="AD434" t="s">
        <v>189</v>
      </c>
      <c r="AE434" t="s">
        <v>189</v>
      </c>
      <c r="AF434" t="s">
        <v>189</v>
      </c>
      <c r="AG434">
        <f>IFERROR(AVERAGE(Tabel1[[#This Row],[Up - R1]:[Up - R5]]),"")</f>
        <v>5</v>
      </c>
      <c r="AH434" t="s">
        <v>189</v>
      </c>
      <c r="AI434" t="s">
        <v>189</v>
      </c>
      <c r="AJ434" t="s">
        <v>189</v>
      </c>
      <c r="AK434" t="str">
        <f>IFERROR(AVERAGE(Tabel1[[#This Row],[Up - C1a]:[Up - C1c]]),"")</f>
        <v/>
      </c>
      <c r="AL434" t="s">
        <v>189</v>
      </c>
      <c r="AM434" t="s">
        <v>189</v>
      </c>
      <c r="AN434" t="s">
        <v>189</v>
      </c>
      <c r="AO434" t="str">
        <f>IFERROR(AVERAGE(Tabel1[[#This Row],[Up - C1]:[Up - C4]]),"")</f>
        <v/>
      </c>
      <c r="AP434" t="s">
        <v>189</v>
      </c>
      <c r="AQ434" t="str">
        <f>IFERROR(AVERAGE(Tabel1[[#This Row],[Up - F1a]:[Up - F1a]]),"")</f>
        <v/>
      </c>
      <c r="AR434">
        <v>1</v>
      </c>
      <c r="AS434" t="s">
        <v>189</v>
      </c>
      <c r="AT434">
        <f>IFERROR(AVERAGE(Tabel1[[#This Row],[Up - F2a]:[Up - F2b]]),"")</f>
        <v>1</v>
      </c>
      <c r="AU434">
        <v>3</v>
      </c>
      <c r="AV434">
        <v>1</v>
      </c>
      <c r="AW434">
        <f>IFERROR(AVERAGE(Tabel1[[#This Row],[Up - F3a]:[Up - F3b]]),"")</f>
        <v>2</v>
      </c>
      <c r="AX434" t="s">
        <v>189</v>
      </c>
      <c r="AY434">
        <f>IFERROR(AVERAGE(Tabel1[[#This Row],[Up - F1]],Tabel1[[#This Row],[Up - F2]],Tabel1[[#This Row],[Up - F3]],Tabel1[[#This Row],[Up - F4]]),"")</f>
        <v>1.5</v>
      </c>
      <c r="AZ434" t="s">
        <v>189</v>
      </c>
      <c r="BA434" t="s">
        <v>189</v>
      </c>
      <c r="BB434" t="str">
        <f>IFERROR(AVERAGE(Tabel1[[#This Row],[Up - V1a]:[Up - V1b]]),"")</f>
        <v/>
      </c>
      <c r="BC434" t="s">
        <v>189</v>
      </c>
      <c r="BD434" t="s">
        <v>189</v>
      </c>
      <c r="BE434" t="s">
        <v>189</v>
      </c>
      <c r="BF434" t="str">
        <f>IFERROR(AVERAGE(Tabel1[[#This Row],[Up - V2a]:[Up - V2c]]),"")</f>
        <v/>
      </c>
      <c r="BG434" t="s">
        <v>189</v>
      </c>
      <c r="BH434" t="s">
        <v>189</v>
      </c>
      <c r="BI434" t="str">
        <f>IFERROR(AVERAGE(Tabel1[[#This Row],[Up - V3a]:[Up - V3b]]),"")</f>
        <v/>
      </c>
      <c r="BJ434" t="s">
        <v>189</v>
      </c>
      <c r="BK434" t="str">
        <f>IFERROR(AVERAGE(Tabel1[[#This Row],[Up - V1]],Tabel1[[#This Row],[Up - V2]],Tabel1[[#This Row],[Up - V3]],Tabel1[[#This Row],[Up - V4]]),"")</f>
        <v/>
      </c>
      <c r="BL434" t="s">
        <v>189</v>
      </c>
      <c r="BM434" t="s">
        <v>189</v>
      </c>
      <c r="BN434" t="s">
        <v>189</v>
      </c>
      <c r="BO434" t="s">
        <v>189</v>
      </c>
      <c r="BP434" t="str">
        <f>IFERROR(AVERAGE(Tabel1[[#This Row],[Up - A1a]:[Up - A1d]]),"")</f>
        <v/>
      </c>
      <c r="BQ434" t="s">
        <v>189</v>
      </c>
      <c r="BR434">
        <v>2</v>
      </c>
      <c r="BS434">
        <f>IFERROR(AVERAGE(Tabel1[[#This Row],[Up - A2a]:[Up - A2b]]),"")</f>
        <v>2</v>
      </c>
      <c r="BT434" t="s">
        <v>189</v>
      </c>
      <c r="BU434" t="str">
        <f>IFERROR(AVERAGE(Tabel1[[#This Row],[Up - A3a]:[Up - A3a]]),"")</f>
        <v/>
      </c>
      <c r="BV434" t="s">
        <v>189</v>
      </c>
      <c r="BW434">
        <f>IFERROR(AVERAGE(Tabel1[[#This Row],[Up - A1]],Tabel1[[#This Row],[Up - A2]],Tabel1[[#This Row],[Up - A3]]),"")</f>
        <v>2</v>
      </c>
      <c r="BX434" t="s">
        <v>189</v>
      </c>
      <c r="BY434">
        <v>5</v>
      </c>
      <c r="BZ434">
        <f>IFERROR(AVERAGE(Tabel1[[#This Row],[In - R1a]:[In - R1b]]),"")</f>
        <v>5</v>
      </c>
      <c r="CA434">
        <v>4</v>
      </c>
      <c r="CB434">
        <v>5</v>
      </c>
      <c r="CC434" t="s">
        <v>189</v>
      </c>
      <c r="CD434" t="s">
        <v>189</v>
      </c>
      <c r="CE434">
        <f>IFERROR(AVERAGE(Tabel1[[#This Row],[In - R1]:[In - R5]]),"")</f>
        <v>4.666666666666667</v>
      </c>
      <c r="CF434">
        <v>4</v>
      </c>
      <c r="CG434">
        <v>4</v>
      </c>
      <c r="CH434">
        <v>5</v>
      </c>
      <c r="CI434">
        <f>IFERROR(AVERAGE(Tabel1[[#This Row],[In - C1a]:[In - C1c]]),"")</f>
        <v>4.333333333333333</v>
      </c>
      <c r="CJ434" t="s">
        <v>189</v>
      </c>
      <c r="CK434">
        <v>2</v>
      </c>
      <c r="CL434" t="s">
        <v>189</v>
      </c>
      <c r="CM434">
        <f>IFERROR(AVERAGE(Tabel1[[#This Row],[In - C1]:[In - C4]]),"")</f>
        <v>3.1666666666666665</v>
      </c>
      <c r="CN434" t="s">
        <v>189</v>
      </c>
      <c r="CO434" t="s">
        <v>189</v>
      </c>
      <c r="CP434" t="s">
        <v>189</v>
      </c>
      <c r="CQ434" t="str">
        <f>IFERROR(AVERAGE(Tabel1[[#This Row],[In - F1a]:[In - F1c]]),"")</f>
        <v/>
      </c>
      <c r="CR434" t="s">
        <v>189</v>
      </c>
      <c r="CS434">
        <v>1</v>
      </c>
      <c r="CT434">
        <f>IFERROR(AVERAGE(Tabel1[[#This Row],[In - F2a]:[In - F2b]]),"")</f>
        <v>1</v>
      </c>
      <c r="CU434">
        <v>1</v>
      </c>
      <c r="CV434">
        <f>IFERROR(AVERAGE(Tabel1[[#This Row],[In - F3a]:[In - F3a]]),"")</f>
        <v>1</v>
      </c>
      <c r="CW434" t="s">
        <v>189</v>
      </c>
      <c r="CX434">
        <f>IFERROR(AVERAGE(Tabel1[[#This Row],[In - F1]],Tabel1[[#This Row],[In - F2]],Tabel1[[#This Row],[In - F3]],Tabel1[[#This Row],[In - F4]]),"")</f>
        <v>1</v>
      </c>
      <c r="CY434">
        <v>5</v>
      </c>
      <c r="CZ434">
        <v>4</v>
      </c>
      <c r="DA434">
        <v>4</v>
      </c>
      <c r="DB434">
        <f>IFERROR(AVERAGE(Tabel1[[#This Row],[In - V1a]:[In - V1c]]),"")</f>
        <v>4.333333333333333</v>
      </c>
      <c r="DC434">
        <v>4</v>
      </c>
      <c r="DD434">
        <v>5</v>
      </c>
      <c r="DE434">
        <v>5</v>
      </c>
      <c r="DF434">
        <f>IFERROR(AVERAGE(Tabel1[[#This Row],[In - V2a]:[In - V2c]]),"")</f>
        <v>4.666666666666667</v>
      </c>
      <c r="DG434">
        <v>4</v>
      </c>
      <c r="DH434">
        <v>5</v>
      </c>
      <c r="DI434">
        <f>IFERROR(AVERAGE(Tabel1[[#This Row],[In - V3a]:[In - V3b]]),"")</f>
        <v>4.5</v>
      </c>
      <c r="DJ434">
        <v>5</v>
      </c>
      <c r="DK434">
        <f>IFERROR(AVERAGE(Tabel1[[#This Row],[In - V1]],Tabel1[[#This Row],[In - V2]],Tabel1[[#This Row],[In - V3]],Tabel1[[#This Row],[In - V4]]),"")</f>
        <v>4.625</v>
      </c>
      <c r="DL434">
        <v>2</v>
      </c>
      <c r="DM434" t="s">
        <v>189</v>
      </c>
      <c r="DN434">
        <f>IFERROR(AVERAGE(Tabel1[[#This Row],[In - A1a]:[In - A1b]]),"")</f>
        <v>2</v>
      </c>
      <c r="DO434" t="s">
        <v>189</v>
      </c>
      <c r="DP434">
        <v>2</v>
      </c>
      <c r="DQ434">
        <f>IFERROR(AVERAGE(Tabel1[[#This Row],[In - A2a]:[In - A2b]]),"")</f>
        <v>2</v>
      </c>
      <c r="DR434">
        <v>3</v>
      </c>
      <c r="DS434">
        <v>2</v>
      </c>
      <c r="DT434">
        <f>IFERROR(AVERAGE(Tabel1[[#This Row],[In - A3a]:[In - A3a]]),"")</f>
        <v>3</v>
      </c>
      <c r="DU434" t="s">
        <v>189</v>
      </c>
      <c r="DV434">
        <f>IFERROR(AVERAGE(Tabel1[[#This Row],[In - A1]],Tabel1[[#This Row],[In - A2]],Tabel1[[#This Row],[In - A3]],Tabel1[[#This Row],[In - A4]]),"")</f>
        <v>2.3333333333333335</v>
      </c>
      <c r="DW434" t="s">
        <v>189</v>
      </c>
      <c r="DX434">
        <v>5</v>
      </c>
      <c r="DY434">
        <v>1</v>
      </c>
      <c r="DZ434">
        <f>IFERROR(AVERAGE(Tabel1[[#This Row],[Do - R1a]:[Do - R1c]]),"")</f>
        <v>3</v>
      </c>
      <c r="EA434">
        <v>2</v>
      </c>
      <c r="EB434" t="s">
        <v>189</v>
      </c>
      <c r="EC434" t="s">
        <v>189</v>
      </c>
      <c r="ED434" t="s">
        <v>189</v>
      </c>
      <c r="EE434">
        <f>IFERROR(AVERAGE(Tabel1[[#This Row],[Do - R1]:[Do - R5]]),"")</f>
        <v>2.5</v>
      </c>
      <c r="EF434">
        <v>4</v>
      </c>
      <c r="EG434">
        <v>3</v>
      </c>
      <c r="EH434">
        <v>4</v>
      </c>
      <c r="EI434">
        <f>IFERROR(AVERAGE(Tabel1[[#This Row],[Do - C1a]:[Do - C1c]]),"")</f>
        <v>3.6666666666666665</v>
      </c>
      <c r="EJ434" t="s">
        <v>189</v>
      </c>
      <c r="EK434">
        <v>2</v>
      </c>
      <c r="EL434" t="s">
        <v>189</v>
      </c>
      <c r="EM434">
        <f>IFERROR(AVERAGE(Tabel1[[#This Row],[Do - C1]:[Do - C4]]),"")</f>
        <v>2.833333333333333</v>
      </c>
      <c r="EN434" t="s">
        <v>189</v>
      </c>
      <c r="EO434" t="s">
        <v>189</v>
      </c>
      <c r="EP434">
        <v>2</v>
      </c>
      <c r="EQ434">
        <f>IFERROR(AVERAGE(Tabel1[[#This Row],[Do - F1a]:[Do - F1c]]),"")</f>
        <v>2</v>
      </c>
      <c r="ER434">
        <v>1</v>
      </c>
      <c r="ES434">
        <f>IFERROR(AVERAGE(Tabel1[[#This Row],[Do - F2a]:[Do - F2a]]),"")</f>
        <v>1</v>
      </c>
      <c r="ET434">
        <v>2</v>
      </c>
      <c r="EU434">
        <v>1</v>
      </c>
      <c r="EV434">
        <f>IFERROR(AVERAGE(Tabel1[[#This Row],[Do - F3a]:[Do - F3b]]),"")</f>
        <v>1.5</v>
      </c>
      <c r="EW434" t="s">
        <v>189</v>
      </c>
      <c r="EX434">
        <f>IFERROR(AVERAGE(Tabel1[[#This Row],[Do - F1]],Tabel1[[#This Row],[Do - F2]],Tabel1[[#This Row],[Do - F3]],Tabel1[[#This Row],[Do - F4]]),"")</f>
        <v>1.5</v>
      </c>
      <c r="EY434" t="s">
        <v>189</v>
      </c>
      <c r="EZ434" t="s">
        <v>189</v>
      </c>
      <c r="FA434" t="s">
        <v>189</v>
      </c>
      <c r="FB434" t="str">
        <f>IFERROR(AVERAGE(Tabel1[[#This Row],[Do - V1a]:[Do - V1c]]),"")</f>
        <v/>
      </c>
      <c r="FC434">
        <v>3</v>
      </c>
      <c r="FD434">
        <v>4</v>
      </c>
      <c r="FE434">
        <f>IFERROR(AVERAGE(Tabel1[[#This Row],[Do - V2a]:[Do - V2b]]),"")</f>
        <v>3.5</v>
      </c>
      <c r="FF434">
        <v>4</v>
      </c>
      <c r="FG434">
        <f>IFERROR(AVERAGE(Tabel1[[#This Row],[Do - V3a]:[Do - V3a]]),"")</f>
        <v>4</v>
      </c>
      <c r="FH434" t="s">
        <v>189</v>
      </c>
      <c r="FI434">
        <f>IFERROR(AVERAGE(Tabel1[[#This Row],[Do - V1]],Tabel1[[#This Row],[Do - V2]],Tabel1[[#This Row],[Do - V3]],Tabel1[[#This Row],[Do - V4]]),"")</f>
        <v>3.75</v>
      </c>
      <c r="FJ434">
        <v>3</v>
      </c>
      <c r="FK434">
        <v>2</v>
      </c>
      <c r="FL434" t="s">
        <v>189</v>
      </c>
      <c r="FM434">
        <f>IFERROR(AVERAGE(Tabel1[[#This Row],[Do - A1a]:[Do - A1c]]),"")</f>
        <v>2.5</v>
      </c>
      <c r="FN434">
        <v>3</v>
      </c>
      <c r="FO434">
        <v>3</v>
      </c>
      <c r="FP434">
        <f>IFERROR(AVERAGE(Tabel1[[#This Row],[Do - A2a]:[Do - A2b]]),"")</f>
        <v>3</v>
      </c>
      <c r="FQ434" t="s">
        <v>189</v>
      </c>
      <c r="FR434" t="str">
        <f>IFERROR(AVERAGE(Tabel1[[#This Row],[Do - A3a]:[Do - A3a]]),"")</f>
        <v/>
      </c>
      <c r="FS434" t="s">
        <v>189</v>
      </c>
      <c r="FT434">
        <f>IFERROR(AVERAGE(Tabel1[[#This Row],[Do - A1]],Tabel1[[#This Row],[Do - A2]],Tabel1[[#This Row],[Do - A3]],Tabel1[[#This Row],[Do - A4]]),"")</f>
        <v>2.75</v>
      </c>
      <c r="FU43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2.8942307692307692</v>
      </c>
      <c r="FV434" s="31" t="s">
        <v>2144</v>
      </c>
      <c r="FW434" t="b">
        <v>1</v>
      </c>
    </row>
    <row r="435" spans="1:179" x14ac:dyDescent="0.3">
      <c r="A435" s="13">
        <v>45708.393634259301</v>
      </c>
      <c r="B435" t="b">
        <v>0</v>
      </c>
      <c r="C435" t="s">
        <v>2145</v>
      </c>
      <c r="D435" t="s">
        <v>2146</v>
      </c>
      <c r="E435" s="29" t="s">
        <v>2147</v>
      </c>
      <c r="F435" s="14" t="s">
        <v>184</v>
      </c>
      <c r="G435" t="s">
        <v>2148</v>
      </c>
      <c r="H435" t="s">
        <v>222</v>
      </c>
      <c r="I435" t="s">
        <v>322</v>
      </c>
      <c r="J435" t="s">
        <v>323</v>
      </c>
      <c r="K435" t="s">
        <v>201</v>
      </c>
      <c r="L435" t="s">
        <v>197</v>
      </c>
      <c r="M435" t="s">
        <v>198</v>
      </c>
      <c r="N435" t="s">
        <v>199</v>
      </c>
      <c r="O435" t="s">
        <v>200</v>
      </c>
      <c r="P435" t="s">
        <v>304</v>
      </c>
      <c r="Q435" t="s">
        <v>202</v>
      </c>
      <c r="R435" t="s">
        <v>187</v>
      </c>
      <c r="S435" t="s">
        <v>235</v>
      </c>
      <c r="T435" t="s">
        <v>204</v>
      </c>
      <c r="U435" t="s">
        <v>205</v>
      </c>
      <c r="V435" t="s">
        <v>484</v>
      </c>
      <c r="W435" t="s">
        <v>207</v>
      </c>
      <c r="X435" t="s">
        <v>207</v>
      </c>
      <c r="Y435">
        <v>5</v>
      </c>
      <c r="Z435">
        <v>5</v>
      </c>
      <c r="AA435">
        <v>3</v>
      </c>
      <c r="AB435">
        <f>IFERROR(AVERAGE(Tabel1[[#This Row],[Up - R1a]:[Up - R1c]]),"")</f>
        <v>4.333333333333333</v>
      </c>
      <c r="AC435" t="s">
        <v>189</v>
      </c>
      <c r="AD435">
        <v>5</v>
      </c>
      <c r="AE435">
        <v>2</v>
      </c>
      <c r="AF435">
        <v>4</v>
      </c>
      <c r="AG435">
        <f>IFERROR(AVERAGE(Tabel1[[#This Row],[Up - R1]:[Up - R5]]),"")</f>
        <v>3.833333333333333</v>
      </c>
      <c r="AH435">
        <v>4</v>
      </c>
      <c r="AI435">
        <v>4</v>
      </c>
      <c r="AJ435">
        <v>3</v>
      </c>
      <c r="AK435">
        <f>IFERROR(AVERAGE(Tabel1[[#This Row],[Up - C1a]:[Up - C1c]]),"")</f>
        <v>3.6666666666666665</v>
      </c>
      <c r="AL435">
        <v>5</v>
      </c>
      <c r="AM435">
        <v>4</v>
      </c>
      <c r="AN435" t="s">
        <v>189</v>
      </c>
      <c r="AO435">
        <f>IFERROR(AVERAGE(Tabel1[[#This Row],[Up - C1]:[Up - C4]]),"")</f>
        <v>4.2222222222222223</v>
      </c>
      <c r="AP435">
        <v>4</v>
      </c>
      <c r="AQ435">
        <f>IFERROR(AVERAGE(Tabel1[[#This Row],[Up - F1a]:[Up - F1a]]),"")</f>
        <v>4</v>
      </c>
      <c r="AR435">
        <v>2</v>
      </c>
      <c r="AS435">
        <v>2</v>
      </c>
      <c r="AT435">
        <f>IFERROR(AVERAGE(Tabel1[[#This Row],[Up - F2a]:[Up - F2b]]),"")</f>
        <v>2</v>
      </c>
      <c r="AU435">
        <v>4</v>
      </c>
      <c r="AV435">
        <v>3</v>
      </c>
      <c r="AW435">
        <f>IFERROR(AVERAGE(Tabel1[[#This Row],[Up - F3a]:[Up - F3b]]),"")</f>
        <v>3.5</v>
      </c>
      <c r="AX435">
        <v>2</v>
      </c>
      <c r="AY435">
        <f>IFERROR(AVERAGE(Tabel1[[#This Row],[Up - F1]],Tabel1[[#This Row],[Up - F2]],Tabel1[[#This Row],[Up - F3]],Tabel1[[#This Row],[Up - F4]]),"")</f>
        <v>2.875</v>
      </c>
      <c r="AZ435">
        <v>5</v>
      </c>
      <c r="BA435">
        <v>3</v>
      </c>
      <c r="BB435">
        <f>IFERROR(AVERAGE(Tabel1[[#This Row],[Up - V1a]:[Up - V1b]]),"")</f>
        <v>4</v>
      </c>
      <c r="BC435" t="s">
        <v>189</v>
      </c>
      <c r="BD435">
        <v>4</v>
      </c>
      <c r="BE435">
        <v>3</v>
      </c>
      <c r="BF435">
        <f>IFERROR(AVERAGE(Tabel1[[#This Row],[Up - V2a]:[Up - V2c]]),"")</f>
        <v>3.5</v>
      </c>
      <c r="BG435">
        <v>4</v>
      </c>
      <c r="BH435">
        <v>5</v>
      </c>
      <c r="BI435">
        <f>IFERROR(AVERAGE(Tabel1[[#This Row],[Up - V3a]:[Up - V3b]]),"")</f>
        <v>4.5</v>
      </c>
      <c r="BJ435" t="s">
        <v>189</v>
      </c>
      <c r="BK435">
        <f>IFERROR(AVERAGE(Tabel1[[#This Row],[Up - V1]],Tabel1[[#This Row],[Up - V2]],Tabel1[[#This Row],[Up - V3]],Tabel1[[#This Row],[Up - V4]]),"")</f>
        <v>4</v>
      </c>
      <c r="BL435">
        <v>4</v>
      </c>
      <c r="BM435">
        <v>4</v>
      </c>
      <c r="BN435">
        <v>1</v>
      </c>
      <c r="BO435">
        <v>4</v>
      </c>
      <c r="BP435">
        <f>IFERROR(AVERAGE(Tabel1[[#This Row],[Up - A1a]:[Up - A1d]]),"")</f>
        <v>3.25</v>
      </c>
      <c r="BQ435">
        <v>4</v>
      </c>
      <c r="BR435">
        <v>4</v>
      </c>
      <c r="BS435">
        <f>IFERROR(AVERAGE(Tabel1[[#This Row],[Up - A2a]:[Up - A2b]]),"")</f>
        <v>4</v>
      </c>
      <c r="BT435">
        <v>4</v>
      </c>
      <c r="BU435">
        <f>IFERROR(AVERAGE(Tabel1[[#This Row],[Up - A3a]:[Up - A3a]]),"")</f>
        <v>4</v>
      </c>
      <c r="BV435" t="s">
        <v>189</v>
      </c>
      <c r="BW435">
        <f>IFERROR(AVERAGE(Tabel1[[#This Row],[Up - A1]],Tabel1[[#This Row],[Up - A2]],Tabel1[[#This Row],[Up - A3]]),"")</f>
        <v>3.75</v>
      </c>
      <c r="BX435">
        <v>5</v>
      </c>
      <c r="BY435">
        <v>4</v>
      </c>
      <c r="BZ435">
        <f>IFERROR(AVERAGE(Tabel1[[#This Row],[In - R1a]:[In - R1b]]),"")</f>
        <v>4.5</v>
      </c>
      <c r="CA435">
        <v>4</v>
      </c>
      <c r="CB435">
        <v>5</v>
      </c>
      <c r="CC435" t="s">
        <v>189</v>
      </c>
      <c r="CD435">
        <v>5</v>
      </c>
      <c r="CE435">
        <f>IFERROR(AVERAGE(Tabel1[[#This Row],[In - R1]:[In - R5]]),"")</f>
        <v>4.625</v>
      </c>
      <c r="CF435">
        <v>5</v>
      </c>
      <c r="CG435">
        <v>4</v>
      </c>
      <c r="CH435">
        <v>5</v>
      </c>
      <c r="CI435">
        <f>IFERROR(AVERAGE(Tabel1[[#This Row],[In - C1a]:[In - C1c]]),"")</f>
        <v>4.666666666666667</v>
      </c>
      <c r="CJ435">
        <v>3</v>
      </c>
      <c r="CK435">
        <v>4</v>
      </c>
      <c r="CL435">
        <v>5</v>
      </c>
      <c r="CM435">
        <f>IFERROR(AVERAGE(Tabel1[[#This Row],[In - C1]:[In - C4]]),"")</f>
        <v>4.166666666666667</v>
      </c>
      <c r="CN435">
        <v>4</v>
      </c>
      <c r="CO435">
        <v>3</v>
      </c>
      <c r="CP435">
        <v>1</v>
      </c>
      <c r="CQ435">
        <f>IFERROR(AVERAGE(Tabel1[[#This Row],[In - F1a]:[In - F1c]]),"")</f>
        <v>2.6666666666666665</v>
      </c>
      <c r="CR435">
        <v>4</v>
      </c>
      <c r="CS435">
        <v>2</v>
      </c>
      <c r="CT435">
        <f>IFERROR(AVERAGE(Tabel1[[#This Row],[In - F2a]:[In - F2b]]),"")</f>
        <v>3</v>
      </c>
      <c r="CU435">
        <v>2</v>
      </c>
      <c r="CV435">
        <f>IFERROR(AVERAGE(Tabel1[[#This Row],[In - F3a]:[In - F3a]]),"")</f>
        <v>2</v>
      </c>
      <c r="CW435" t="s">
        <v>189</v>
      </c>
      <c r="CX435">
        <f>IFERROR(AVERAGE(Tabel1[[#This Row],[In - F1]],Tabel1[[#This Row],[In - F2]],Tabel1[[#This Row],[In - F3]],Tabel1[[#This Row],[In - F4]]),"")</f>
        <v>2.5555555555555554</v>
      </c>
      <c r="CY435">
        <v>4</v>
      </c>
      <c r="CZ435">
        <v>3</v>
      </c>
      <c r="DA435">
        <v>2</v>
      </c>
      <c r="DB435">
        <f>IFERROR(AVERAGE(Tabel1[[#This Row],[In - V1a]:[In - V1c]]),"")</f>
        <v>3</v>
      </c>
      <c r="DC435">
        <v>3</v>
      </c>
      <c r="DD435">
        <v>4</v>
      </c>
      <c r="DE435">
        <v>4</v>
      </c>
      <c r="DF435">
        <f>IFERROR(AVERAGE(Tabel1[[#This Row],[In - V2a]:[In - V2c]]),"")</f>
        <v>3.6666666666666665</v>
      </c>
      <c r="DG435">
        <v>4</v>
      </c>
      <c r="DH435">
        <v>4</v>
      </c>
      <c r="DI435">
        <f>IFERROR(AVERAGE(Tabel1[[#This Row],[In - V3a]:[In - V3b]]),"")</f>
        <v>4</v>
      </c>
      <c r="DJ435" t="s">
        <v>189</v>
      </c>
      <c r="DK435">
        <f>IFERROR(AVERAGE(Tabel1[[#This Row],[In - V1]],Tabel1[[#This Row],[In - V2]],Tabel1[[#This Row],[In - V3]],Tabel1[[#This Row],[In - V4]]),"")</f>
        <v>3.5555555555555554</v>
      </c>
      <c r="DL435">
        <v>3</v>
      </c>
      <c r="DM435">
        <v>4</v>
      </c>
      <c r="DN435">
        <f>IFERROR(AVERAGE(Tabel1[[#This Row],[In - A1a]:[In - A1b]]),"")</f>
        <v>3.5</v>
      </c>
      <c r="DO435" t="s">
        <v>189</v>
      </c>
      <c r="DQ435" t="str">
        <f>IFERROR(AVERAGE(Tabel1[[#This Row],[In - A2a]:[In - A2b]]),"")</f>
        <v/>
      </c>
      <c r="DT435" t="str">
        <f>IFERROR(AVERAGE(Tabel1[[#This Row],[In - A3a]:[In - A3a]]),"")</f>
        <v/>
      </c>
      <c r="DV435">
        <f>IFERROR(AVERAGE(Tabel1[[#This Row],[In - A1]],Tabel1[[#This Row],[In - A2]],Tabel1[[#This Row],[In - A3]],Tabel1[[#This Row],[In - A4]]),"")</f>
        <v>3.5</v>
      </c>
      <c r="DW435">
        <v>3</v>
      </c>
      <c r="DX435">
        <v>5</v>
      </c>
      <c r="DY435">
        <v>4</v>
      </c>
      <c r="DZ435">
        <f>IFERROR(AVERAGE(Tabel1[[#This Row],[Do - R1a]:[Do - R1c]]),"")</f>
        <v>4</v>
      </c>
      <c r="EA435">
        <v>4</v>
      </c>
      <c r="EB435">
        <v>4</v>
      </c>
      <c r="EC435" t="s">
        <v>189</v>
      </c>
      <c r="ED435">
        <v>3</v>
      </c>
      <c r="EE435">
        <f>IFERROR(AVERAGE(Tabel1[[#This Row],[Do - R1]:[Do - R5]]),"")</f>
        <v>3.75</v>
      </c>
      <c r="EF435">
        <v>3</v>
      </c>
      <c r="EG435">
        <v>3</v>
      </c>
      <c r="EH435">
        <v>2</v>
      </c>
      <c r="EI435">
        <f>IFERROR(AVERAGE(Tabel1[[#This Row],[Do - C1a]:[Do - C1c]]),"")</f>
        <v>2.6666666666666665</v>
      </c>
      <c r="EJ435">
        <v>2</v>
      </c>
      <c r="EK435">
        <v>1</v>
      </c>
      <c r="EL435" t="s">
        <v>189</v>
      </c>
      <c r="EM435">
        <f>IFERROR(AVERAGE(Tabel1[[#This Row],[Do - C1]:[Do - C4]]),"")</f>
        <v>1.8888888888888886</v>
      </c>
      <c r="EN435" t="s">
        <v>189</v>
      </c>
      <c r="EO435" t="s">
        <v>189</v>
      </c>
      <c r="EP435">
        <v>4</v>
      </c>
      <c r="EQ435">
        <f>IFERROR(AVERAGE(Tabel1[[#This Row],[Do - F1a]:[Do - F1c]]),"")</f>
        <v>4</v>
      </c>
      <c r="ER435">
        <v>3</v>
      </c>
      <c r="ES435">
        <f>IFERROR(AVERAGE(Tabel1[[#This Row],[Do - F2a]:[Do - F2a]]),"")</f>
        <v>3</v>
      </c>
      <c r="ET435">
        <v>4</v>
      </c>
      <c r="EU435">
        <v>4</v>
      </c>
      <c r="EV435">
        <f>IFERROR(AVERAGE(Tabel1[[#This Row],[Do - F3a]:[Do - F3b]]),"")</f>
        <v>4</v>
      </c>
      <c r="EW435" t="s">
        <v>189</v>
      </c>
      <c r="EX435">
        <f>IFERROR(AVERAGE(Tabel1[[#This Row],[Do - F1]],Tabel1[[#This Row],[Do - F2]],Tabel1[[#This Row],[Do - F3]],Tabel1[[#This Row],[Do - F4]]),"")</f>
        <v>3.6666666666666665</v>
      </c>
      <c r="EY435">
        <v>4</v>
      </c>
      <c r="EZ435" t="s">
        <v>189</v>
      </c>
      <c r="FA435" t="s">
        <v>189</v>
      </c>
      <c r="FB435">
        <f>IFERROR(AVERAGE(Tabel1[[#This Row],[Do - V1a]:[Do - V1c]]),"")</f>
        <v>4</v>
      </c>
      <c r="FC435" t="s">
        <v>189</v>
      </c>
      <c r="FD435" t="s">
        <v>189</v>
      </c>
      <c r="FE435" t="str">
        <f>IFERROR(AVERAGE(Tabel1[[#This Row],[Do - V2a]:[Do - V2b]]),"")</f>
        <v/>
      </c>
      <c r="FF435">
        <v>3</v>
      </c>
      <c r="FG435">
        <f>IFERROR(AVERAGE(Tabel1[[#This Row],[Do - V3a]:[Do - V3a]]),"")</f>
        <v>3</v>
      </c>
      <c r="FH435" t="s">
        <v>189</v>
      </c>
      <c r="FI435">
        <f>IFERROR(AVERAGE(Tabel1[[#This Row],[Do - V1]],Tabel1[[#This Row],[Do - V2]],Tabel1[[#This Row],[Do - V3]],Tabel1[[#This Row],[Do - V4]]),"")</f>
        <v>3.5</v>
      </c>
      <c r="FM435" t="str">
        <f>IFERROR(AVERAGE(Tabel1[[#This Row],[Do - A1a]:[Do - A1c]]),"")</f>
        <v/>
      </c>
      <c r="FN435">
        <v>4</v>
      </c>
      <c r="FO435">
        <v>4</v>
      </c>
      <c r="FP435">
        <f>IFERROR(AVERAGE(Tabel1[[#This Row],[Do - A2a]:[Do - A2b]]),"")</f>
        <v>4</v>
      </c>
      <c r="FQ435" t="s">
        <v>189</v>
      </c>
      <c r="FR435" t="str">
        <f>IFERROR(AVERAGE(Tabel1[[#This Row],[Do - A3a]:[Do - A3a]]),"")</f>
        <v/>
      </c>
      <c r="FS435" t="s">
        <v>189</v>
      </c>
      <c r="FT435">
        <f>IFERROR(AVERAGE(Tabel1[[#This Row],[Do - A1]],Tabel1[[#This Row],[Do - A2]],Tabel1[[#This Row],[Do - A3]],Tabel1[[#This Row],[Do - A4]]),"")</f>
        <v>4</v>
      </c>
      <c r="FU43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3.5925925925925926</v>
      </c>
      <c r="FV435" s="31" t="s">
        <v>2149</v>
      </c>
      <c r="FW435" t="b">
        <v>1</v>
      </c>
    </row>
    <row r="436" spans="1:179" x14ac:dyDescent="0.3">
      <c r="A436" s="13">
        <v>45708.450451388897</v>
      </c>
      <c r="B436" t="b">
        <v>0</v>
      </c>
      <c r="C436" t="s">
        <v>2150</v>
      </c>
      <c r="D436" t="s">
        <v>2151</v>
      </c>
      <c r="E436" s="29" t="s">
        <v>2147</v>
      </c>
      <c r="F436" s="14" t="s">
        <v>184</v>
      </c>
      <c r="G436" t="s">
        <v>2152</v>
      </c>
      <c r="H436" t="s">
        <v>222</v>
      </c>
      <c r="I436" t="s">
        <v>195</v>
      </c>
      <c r="J436" t="s">
        <v>1305</v>
      </c>
      <c r="K436" t="s">
        <v>201</v>
      </c>
      <c r="L436" t="s">
        <v>197</v>
      </c>
      <c r="M436" t="s">
        <v>198</v>
      </c>
      <c r="N436" t="s">
        <v>199</v>
      </c>
      <c r="O436" t="s">
        <v>200</v>
      </c>
      <c r="P436" t="s">
        <v>304</v>
      </c>
      <c r="Q436" t="s">
        <v>304</v>
      </c>
      <c r="R436" t="s">
        <v>235</v>
      </c>
      <c r="S436" t="s">
        <v>235</v>
      </c>
      <c r="T436" t="s">
        <v>204</v>
      </c>
      <c r="U436" t="s">
        <v>205</v>
      </c>
      <c r="V436" t="s">
        <v>224</v>
      </c>
      <c r="W436" t="s">
        <v>207</v>
      </c>
      <c r="X436" t="s">
        <v>207</v>
      </c>
      <c r="Y436">
        <v>4</v>
      </c>
      <c r="Z436">
        <v>5</v>
      </c>
      <c r="AA436" t="s">
        <v>189</v>
      </c>
      <c r="AB436">
        <f>IFERROR(AVERAGE(Tabel1[[#This Row],[Up - R1a]:[Up - R1c]]),"")</f>
        <v>4.5</v>
      </c>
      <c r="AC436">
        <v>4</v>
      </c>
      <c r="AD436">
        <v>4</v>
      </c>
      <c r="AE436">
        <v>2</v>
      </c>
      <c r="AF436" t="s">
        <v>189</v>
      </c>
      <c r="AG436">
        <f>IFERROR(AVERAGE(Tabel1[[#This Row],[Up - R1]:[Up - R5]]),"")</f>
        <v>3.625</v>
      </c>
      <c r="AH436">
        <v>5</v>
      </c>
      <c r="AI436">
        <v>5</v>
      </c>
      <c r="AJ436">
        <v>5</v>
      </c>
      <c r="AK436">
        <f>IFERROR(AVERAGE(Tabel1[[#This Row],[Up - C1a]:[Up - C1c]]),"")</f>
        <v>5</v>
      </c>
      <c r="AL436">
        <v>5</v>
      </c>
      <c r="AM436">
        <v>4</v>
      </c>
      <c r="AN436" t="s">
        <v>189</v>
      </c>
      <c r="AO436">
        <f>IFERROR(AVERAGE(Tabel1[[#This Row],[Up - C1]:[Up - C4]]),"")</f>
        <v>4.666666666666667</v>
      </c>
      <c r="AP436" t="s">
        <v>189</v>
      </c>
      <c r="AQ436" t="str">
        <f>IFERROR(AVERAGE(Tabel1[[#This Row],[Up - F1a]:[Up - F1a]]),"")</f>
        <v/>
      </c>
      <c r="AR436">
        <v>2</v>
      </c>
      <c r="AS436">
        <v>2</v>
      </c>
      <c r="AT436">
        <f>IFERROR(AVERAGE(Tabel1[[#This Row],[Up - F2a]:[Up - F2b]]),"")</f>
        <v>2</v>
      </c>
      <c r="AU436">
        <v>4</v>
      </c>
      <c r="AV436" t="s">
        <v>189</v>
      </c>
      <c r="AW436">
        <f>IFERROR(AVERAGE(Tabel1[[#This Row],[Up - F3a]:[Up - F3b]]),"")</f>
        <v>4</v>
      </c>
      <c r="AX436" t="s">
        <v>189</v>
      </c>
      <c r="AY436">
        <f>IFERROR(AVERAGE(Tabel1[[#This Row],[Up - F1]],Tabel1[[#This Row],[Up - F2]],Tabel1[[#This Row],[Up - F3]],Tabel1[[#This Row],[Up - F4]]),"")</f>
        <v>3</v>
      </c>
      <c r="AZ436">
        <v>4</v>
      </c>
      <c r="BA436">
        <v>4</v>
      </c>
      <c r="BB436">
        <f>IFERROR(AVERAGE(Tabel1[[#This Row],[Up - V1a]:[Up - V1b]]),"")</f>
        <v>4</v>
      </c>
      <c r="BC436" t="s">
        <v>189</v>
      </c>
      <c r="BD436" t="s">
        <v>189</v>
      </c>
      <c r="BE436">
        <v>3</v>
      </c>
      <c r="BF436">
        <f>IFERROR(AVERAGE(Tabel1[[#This Row],[Up - V2a]:[Up - V2c]]),"")</f>
        <v>3</v>
      </c>
      <c r="BG436">
        <v>3</v>
      </c>
      <c r="BH436">
        <v>5</v>
      </c>
      <c r="BI436">
        <f>IFERROR(AVERAGE(Tabel1[[#This Row],[Up - V3a]:[Up - V3b]]),"")</f>
        <v>4</v>
      </c>
      <c r="BJ436">
        <v>5</v>
      </c>
      <c r="BK436">
        <f>IFERROR(AVERAGE(Tabel1[[#This Row],[Up - V1]],Tabel1[[#This Row],[Up - V2]],Tabel1[[#This Row],[Up - V3]],Tabel1[[#This Row],[Up - V4]]),"")</f>
        <v>4</v>
      </c>
      <c r="BL436">
        <v>3</v>
      </c>
      <c r="BM436">
        <v>4</v>
      </c>
      <c r="BN436" t="s">
        <v>189</v>
      </c>
      <c r="BO436">
        <v>2</v>
      </c>
      <c r="BP436">
        <f>IFERROR(AVERAGE(Tabel1[[#This Row],[Up - A1a]:[Up - A1d]]),"")</f>
        <v>3</v>
      </c>
      <c r="BQ436" t="s">
        <v>189</v>
      </c>
      <c r="BR436">
        <v>3</v>
      </c>
      <c r="BS436">
        <f>IFERROR(AVERAGE(Tabel1[[#This Row],[Up - A2a]:[Up - A2b]]),"")</f>
        <v>3</v>
      </c>
      <c r="BT436">
        <v>4</v>
      </c>
      <c r="BU436">
        <f>IFERROR(AVERAGE(Tabel1[[#This Row],[Up - A3a]:[Up - A3a]]),"")</f>
        <v>4</v>
      </c>
      <c r="BV436" t="s">
        <v>189</v>
      </c>
      <c r="BW436">
        <f>IFERROR(AVERAGE(Tabel1[[#This Row],[Up - A1]],Tabel1[[#This Row],[Up - A2]],Tabel1[[#This Row],[Up - A3]]),"")</f>
        <v>3.3333333333333335</v>
      </c>
      <c r="BX436">
        <v>3</v>
      </c>
      <c r="BY436">
        <v>4</v>
      </c>
      <c r="BZ436">
        <f>IFERROR(AVERAGE(Tabel1[[#This Row],[In - R1a]:[In - R1b]]),"")</f>
        <v>3.5</v>
      </c>
      <c r="CA436">
        <v>3</v>
      </c>
      <c r="CB436">
        <v>5</v>
      </c>
      <c r="CC436">
        <v>2</v>
      </c>
      <c r="CD436">
        <v>5</v>
      </c>
      <c r="CE436">
        <f>IFERROR(AVERAGE(Tabel1[[#This Row],[In - R1]:[In - R5]]),"")</f>
        <v>3.7</v>
      </c>
      <c r="CF436">
        <v>5</v>
      </c>
      <c r="CG436">
        <v>4</v>
      </c>
      <c r="CH436">
        <v>4</v>
      </c>
      <c r="CI436">
        <f>IFERROR(AVERAGE(Tabel1[[#This Row],[In - C1a]:[In - C1c]]),"")</f>
        <v>4.333333333333333</v>
      </c>
      <c r="CJ436">
        <v>4</v>
      </c>
      <c r="CK436">
        <v>5</v>
      </c>
      <c r="CL436">
        <v>5</v>
      </c>
      <c r="CM436">
        <f>IFERROR(AVERAGE(Tabel1[[#This Row],[In - C1]:[In - C4]]),"")</f>
        <v>4.583333333333333</v>
      </c>
      <c r="CN436" t="s">
        <v>189</v>
      </c>
      <c r="CO436">
        <v>2</v>
      </c>
      <c r="CP436">
        <v>2</v>
      </c>
      <c r="CQ436">
        <f>IFERROR(AVERAGE(Tabel1[[#This Row],[In - F1a]:[In - F1c]]),"")</f>
        <v>2</v>
      </c>
      <c r="CR436">
        <v>1</v>
      </c>
      <c r="CT436">
        <f>IFERROR(AVERAGE(Tabel1[[#This Row],[In - F2a]:[In - F2b]]),"")</f>
        <v>1</v>
      </c>
      <c r="CU436" t="s">
        <v>189</v>
      </c>
      <c r="CV436" t="str">
        <f>IFERROR(AVERAGE(Tabel1[[#This Row],[In - F3a]:[In - F3a]]),"")</f>
        <v/>
      </c>
      <c r="CW436" t="s">
        <v>189</v>
      </c>
      <c r="CX436">
        <f>IFERROR(AVERAGE(Tabel1[[#This Row],[In - F1]],Tabel1[[#This Row],[In - F2]],Tabel1[[#This Row],[In - F3]],Tabel1[[#This Row],[In - F4]]),"")</f>
        <v>1.5</v>
      </c>
      <c r="CY436">
        <v>4</v>
      </c>
      <c r="CZ436">
        <v>4</v>
      </c>
      <c r="DA436" t="s">
        <v>189</v>
      </c>
      <c r="DB436">
        <f>IFERROR(AVERAGE(Tabel1[[#This Row],[In - V1a]:[In - V1c]]),"")</f>
        <v>4</v>
      </c>
      <c r="DC436">
        <v>4</v>
      </c>
      <c r="DD436" t="s">
        <v>189</v>
      </c>
      <c r="DE436">
        <v>4</v>
      </c>
      <c r="DF436">
        <f>IFERROR(AVERAGE(Tabel1[[#This Row],[In - V2a]:[In - V2c]]),"")</f>
        <v>4</v>
      </c>
      <c r="DG436">
        <v>4</v>
      </c>
      <c r="DH436">
        <v>4</v>
      </c>
      <c r="DI436">
        <f>IFERROR(AVERAGE(Tabel1[[#This Row],[In - V3a]:[In - V3b]]),"")</f>
        <v>4</v>
      </c>
      <c r="DJ436" t="s">
        <v>189</v>
      </c>
      <c r="DK436">
        <f>IFERROR(AVERAGE(Tabel1[[#This Row],[In - V1]],Tabel1[[#This Row],[In - V2]],Tabel1[[#This Row],[In - V3]],Tabel1[[#This Row],[In - V4]]),"")</f>
        <v>4</v>
      </c>
      <c r="DL436">
        <v>3</v>
      </c>
      <c r="DM436" t="s">
        <v>189</v>
      </c>
      <c r="DN436">
        <f>IFERROR(AVERAGE(Tabel1[[#This Row],[In - A1a]:[In - A1b]]),"")</f>
        <v>3</v>
      </c>
      <c r="DO436">
        <v>2</v>
      </c>
      <c r="DP436" t="s">
        <v>189</v>
      </c>
      <c r="DQ436">
        <f>IFERROR(AVERAGE(Tabel1[[#This Row],[In - A2a]:[In - A2b]]),"")</f>
        <v>2</v>
      </c>
      <c r="DR436">
        <v>3</v>
      </c>
      <c r="DS436">
        <v>3</v>
      </c>
      <c r="DT436">
        <f>IFERROR(AVERAGE(Tabel1[[#This Row],[In - A3a]:[In - A3a]]),"")</f>
        <v>3</v>
      </c>
      <c r="DU436" t="s">
        <v>189</v>
      </c>
      <c r="DV436">
        <f>IFERROR(AVERAGE(Tabel1[[#This Row],[In - A1]],Tabel1[[#This Row],[In - A2]],Tabel1[[#This Row],[In - A3]],Tabel1[[#This Row],[In - A4]]),"")</f>
        <v>2.6666666666666665</v>
      </c>
      <c r="DW436" t="s">
        <v>189</v>
      </c>
      <c r="DX436">
        <v>5</v>
      </c>
      <c r="DY436" t="s">
        <v>189</v>
      </c>
      <c r="DZ436">
        <f>IFERROR(AVERAGE(Tabel1[[#This Row],[Do - R1a]:[Do - R1c]]),"")</f>
        <v>5</v>
      </c>
      <c r="EA436">
        <v>3</v>
      </c>
      <c r="EB436">
        <v>4</v>
      </c>
      <c r="EC436" t="s">
        <v>189</v>
      </c>
      <c r="ED436" t="s">
        <v>189</v>
      </c>
      <c r="EE436">
        <f>IFERROR(AVERAGE(Tabel1[[#This Row],[Do - R1]:[Do - R5]]),"")</f>
        <v>4</v>
      </c>
      <c r="EF436" t="s">
        <v>189</v>
      </c>
      <c r="EG436">
        <v>4</v>
      </c>
      <c r="EH436">
        <v>4</v>
      </c>
      <c r="EI436">
        <f>IFERROR(AVERAGE(Tabel1[[#This Row],[Do - C1a]:[Do - C1c]]),"")</f>
        <v>4</v>
      </c>
      <c r="EJ436">
        <v>4</v>
      </c>
      <c r="EK436">
        <v>2</v>
      </c>
      <c r="EL436" t="s">
        <v>189</v>
      </c>
      <c r="EM436">
        <f>IFERROR(AVERAGE(Tabel1[[#This Row],[Do - C1]:[Do - C4]]),"")</f>
        <v>3.3333333333333335</v>
      </c>
      <c r="EN436" t="s">
        <v>189</v>
      </c>
      <c r="EO436">
        <v>2</v>
      </c>
      <c r="EP436" t="s">
        <v>189</v>
      </c>
      <c r="EQ436">
        <f>IFERROR(AVERAGE(Tabel1[[#This Row],[Do - F1a]:[Do - F1c]]),"")</f>
        <v>2</v>
      </c>
      <c r="ER436">
        <v>1</v>
      </c>
      <c r="ES436">
        <f>IFERROR(AVERAGE(Tabel1[[#This Row],[Do - F2a]:[Do - F2a]]),"")</f>
        <v>1</v>
      </c>
      <c r="ET436" t="s">
        <v>189</v>
      </c>
      <c r="EU436" t="s">
        <v>189</v>
      </c>
      <c r="EV436" t="str">
        <f>IFERROR(AVERAGE(Tabel1[[#This Row],[Do - F3a]:[Do - F3b]]),"")</f>
        <v/>
      </c>
      <c r="EW436">
        <v>3</v>
      </c>
      <c r="EX436">
        <f>IFERROR(AVERAGE(Tabel1[[#This Row],[Do - F1]],Tabel1[[#This Row],[Do - F2]],Tabel1[[#This Row],[Do - F3]],Tabel1[[#This Row],[Do - F4]]),"")</f>
        <v>2</v>
      </c>
      <c r="EY436">
        <v>4</v>
      </c>
      <c r="EZ436">
        <v>2</v>
      </c>
      <c r="FA436" t="s">
        <v>189</v>
      </c>
      <c r="FB436">
        <f>IFERROR(AVERAGE(Tabel1[[#This Row],[Do - V1a]:[Do - V1c]]),"")</f>
        <v>3</v>
      </c>
      <c r="FC436">
        <v>4</v>
      </c>
      <c r="FD436" t="s">
        <v>189</v>
      </c>
      <c r="FE436">
        <f>IFERROR(AVERAGE(Tabel1[[#This Row],[Do - V2a]:[Do - V2b]]),"")</f>
        <v>4</v>
      </c>
      <c r="FF436">
        <v>3</v>
      </c>
      <c r="FG436">
        <f>IFERROR(AVERAGE(Tabel1[[#This Row],[Do - V3a]:[Do - V3a]]),"")</f>
        <v>3</v>
      </c>
      <c r="FH436">
        <v>4</v>
      </c>
      <c r="FI436">
        <f>IFERROR(AVERAGE(Tabel1[[#This Row],[Do - V1]],Tabel1[[#This Row],[Do - V2]],Tabel1[[#This Row],[Do - V3]],Tabel1[[#This Row],[Do - V4]]),"")</f>
        <v>3.5</v>
      </c>
      <c r="FJ436">
        <v>4</v>
      </c>
      <c r="FK436">
        <v>4</v>
      </c>
      <c r="FL436" t="s">
        <v>189</v>
      </c>
      <c r="FM436">
        <f>IFERROR(AVERAGE(Tabel1[[#This Row],[Do - A1a]:[Do - A1c]]),"")</f>
        <v>4</v>
      </c>
      <c r="FN436">
        <v>3</v>
      </c>
      <c r="FO436">
        <v>3</v>
      </c>
      <c r="FP436">
        <f>IFERROR(AVERAGE(Tabel1[[#This Row],[Do - A2a]:[Do - A2b]]),"")</f>
        <v>3</v>
      </c>
      <c r="FQ436">
        <v>3</v>
      </c>
      <c r="FR436">
        <f>IFERROR(AVERAGE(Tabel1[[#This Row],[Do - A3a]:[Do - A3a]]),"")</f>
        <v>3</v>
      </c>
      <c r="FS436" t="s">
        <v>189</v>
      </c>
      <c r="FT436">
        <f>IFERROR(AVERAGE(Tabel1[[#This Row],[Do - A1]],Tabel1[[#This Row],[Do - A2]],Tabel1[[#This Row],[Do - A3]],Tabel1[[#This Row],[Do - A4]]),"")</f>
        <v>3.3333333333333335</v>
      </c>
      <c r="FU43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3.4161111111111113</v>
      </c>
      <c r="FV436" s="31" t="s">
        <v>2153</v>
      </c>
      <c r="FW436" t="b">
        <v>1</v>
      </c>
    </row>
    <row r="437" spans="1:179" x14ac:dyDescent="0.3">
      <c r="A437" s="13">
        <v>45708.942361111098</v>
      </c>
      <c r="B437" t="b">
        <v>0</v>
      </c>
      <c r="C437" t="s">
        <v>2154</v>
      </c>
      <c r="D437" t="s">
        <v>2155</v>
      </c>
      <c r="E437" s="29" t="s">
        <v>2147</v>
      </c>
      <c r="F437" s="14" t="s">
        <v>184</v>
      </c>
      <c r="G437" t="s">
        <v>2156</v>
      </c>
      <c r="H437" t="s">
        <v>194</v>
      </c>
      <c r="I437" t="s">
        <v>572</v>
      </c>
      <c r="J437" t="s">
        <v>573</v>
      </c>
      <c r="K437" t="s">
        <v>201</v>
      </c>
      <c r="L437" t="s">
        <v>197</v>
      </c>
      <c r="O437" t="s">
        <v>200</v>
      </c>
      <c r="S437" t="s">
        <v>235</v>
      </c>
      <c r="T437" t="s">
        <v>204</v>
      </c>
      <c r="U437" t="s">
        <v>285</v>
      </c>
      <c r="V437" t="s">
        <v>206</v>
      </c>
      <c r="W437" t="s">
        <v>207</v>
      </c>
      <c r="X437" t="s">
        <v>305</v>
      </c>
      <c r="Y437" t="s">
        <v>189</v>
      </c>
      <c r="Z437">
        <v>3</v>
      </c>
      <c r="AA437" t="s">
        <v>189</v>
      </c>
      <c r="AB437">
        <f>IFERROR(AVERAGE(Tabel1[[#This Row],[Up - R1a]:[Up - R1c]]),"")</f>
        <v>3</v>
      </c>
      <c r="AC437" t="s">
        <v>189</v>
      </c>
      <c r="AD437">
        <v>4</v>
      </c>
      <c r="AE437" t="s">
        <v>189</v>
      </c>
      <c r="AF437" t="s">
        <v>189</v>
      </c>
      <c r="AG437">
        <f>IFERROR(AVERAGE(Tabel1[[#This Row],[Up - R1]:[Up - R5]]),"")</f>
        <v>3.5</v>
      </c>
      <c r="AH437">
        <v>4</v>
      </c>
      <c r="AI437">
        <v>5</v>
      </c>
      <c r="AJ437">
        <v>5</v>
      </c>
      <c r="AK437">
        <f>IFERROR(AVERAGE(Tabel1[[#This Row],[Up - C1a]:[Up - C1c]]),"")</f>
        <v>4.666666666666667</v>
      </c>
      <c r="AL437">
        <v>4</v>
      </c>
      <c r="AM437">
        <v>4</v>
      </c>
      <c r="AN437">
        <v>4</v>
      </c>
      <c r="AO437">
        <f>IFERROR(AVERAGE(Tabel1[[#This Row],[Up - C1]:[Up - C4]]),"")</f>
        <v>4.166666666666667</v>
      </c>
      <c r="AP437">
        <v>3</v>
      </c>
      <c r="AQ437">
        <f>IFERROR(AVERAGE(Tabel1[[#This Row],[Up - F1a]:[Up - F1a]]),"")</f>
        <v>3</v>
      </c>
      <c r="AR437" t="s">
        <v>189</v>
      </c>
      <c r="AS437" t="s">
        <v>189</v>
      </c>
      <c r="AT437" t="str">
        <f>IFERROR(AVERAGE(Tabel1[[#This Row],[Up - F2a]:[Up - F2b]]),"")</f>
        <v/>
      </c>
      <c r="AU437" t="s">
        <v>189</v>
      </c>
      <c r="AV437">
        <v>4</v>
      </c>
      <c r="AW437">
        <f>IFERROR(AVERAGE(Tabel1[[#This Row],[Up - F3a]:[Up - F3b]]),"")</f>
        <v>4</v>
      </c>
      <c r="AX437">
        <v>3</v>
      </c>
      <c r="AY437">
        <f>IFERROR(AVERAGE(Tabel1[[#This Row],[Up - F1]],Tabel1[[#This Row],[Up - F2]],Tabel1[[#This Row],[Up - F3]],Tabel1[[#This Row],[Up - F4]]),"")</f>
        <v>3.3333333333333335</v>
      </c>
      <c r="AZ437" t="s">
        <v>189</v>
      </c>
      <c r="BA437" t="s">
        <v>189</v>
      </c>
      <c r="BB437" t="str">
        <f>IFERROR(AVERAGE(Tabel1[[#This Row],[Up - V1a]:[Up - V1b]]),"")</f>
        <v/>
      </c>
      <c r="BC437" t="s">
        <v>189</v>
      </c>
      <c r="BD437" t="s">
        <v>189</v>
      </c>
      <c r="BE437" t="s">
        <v>189</v>
      </c>
      <c r="BF437" t="str">
        <f>IFERROR(AVERAGE(Tabel1[[#This Row],[Up - V2a]:[Up - V2c]]),"")</f>
        <v/>
      </c>
      <c r="BG437" t="s">
        <v>189</v>
      </c>
      <c r="BH437" t="s">
        <v>189</v>
      </c>
      <c r="BI437" t="str">
        <f>IFERROR(AVERAGE(Tabel1[[#This Row],[Up - V3a]:[Up - V3b]]),"")</f>
        <v/>
      </c>
      <c r="BJ437" t="s">
        <v>189</v>
      </c>
      <c r="BK437" t="str">
        <f>IFERROR(AVERAGE(Tabel1[[#This Row],[Up - V1]],Tabel1[[#This Row],[Up - V2]],Tabel1[[#This Row],[Up - V3]],Tabel1[[#This Row],[Up - V4]]),"")</f>
        <v/>
      </c>
      <c r="BL437">
        <v>4</v>
      </c>
      <c r="BM437">
        <v>4</v>
      </c>
      <c r="BN437" t="s">
        <v>189</v>
      </c>
      <c r="BO437" t="s">
        <v>189</v>
      </c>
      <c r="BP437">
        <f>IFERROR(AVERAGE(Tabel1[[#This Row],[Up - A1a]:[Up - A1d]]),"")</f>
        <v>4</v>
      </c>
      <c r="BQ437" t="s">
        <v>189</v>
      </c>
      <c r="BR437" t="s">
        <v>189</v>
      </c>
      <c r="BS437" t="str">
        <f>IFERROR(AVERAGE(Tabel1[[#This Row],[Up - A2a]:[Up - A2b]]),"")</f>
        <v/>
      </c>
      <c r="BT437" t="s">
        <v>189</v>
      </c>
      <c r="BU437" t="str">
        <f>IFERROR(AVERAGE(Tabel1[[#This Row],[Up - A3a]:[Up - A3a]]),"")</f>
        <v/>
      </c>
      <c r="BV437" t="s">
        <v>189</v>
      </c>
      <c r="BW437">
        <f>IFERROR(AVERAGE(Tabel1[[#This Row],[Up - A1]],Tabel1[[#This Row],[Up - A2]],Tabel1[[#This Row],[Up - A3]]),"")</f>
        <v>4</v>
      </c>
      <c r="BX437">
        <v>3</v>
      </c>
      <c r="BY437">
        <v>3</v>
      </c>
      <c r="BZ437">
        <f>IFERROR(AVERAGE(Tabel1[[#This Row],[In - R1a]:[In - R1b]]),"")</f>
        <v>3</v>
      </c>
      <c r="CA437" t="s">
        <v>189</v>
      </c>
      <c r="CB437">
        <v>3</v>
      </c>
      <c r="CC437">
        <v>3</v>
      </c>
      <c r="CD437">
        <v>3</v>
      </c>
      <c r="CE437">
        <f>IFERROR(AVERAGE(Tabel1[[#This Row],[In - R1]:[In - R5]]),"")</f>
        <v>3</v>
      </c>
      <c r="CF437">
        <v>5</v>
      </c>
      <c r="CG437">
        <v>3</v>
      </c>
      <c r="CH437">
        <v>5</v>
      </c>
      <c r="CI437">
        <f>IFERROR(AVERAGE(Tabel1[[#This Row],[In - C1a]:[In - C1c]]),"")</f>
        <v>4.333333333333333</v>
      </c>
      <c r="CJ437">
        <v>4</v>
      </c>
      <c r="CK437">
        <v>4</v>
      </c>
      <c r="CL437">
        <v>5</v>
      </c>
      <c r="CM437">
        <f>IFERROR(AVERAGE(Tabel1[[#This Row],[In - C1]:[In - C4]]),"")</f>
        <v>4.333333333333333</v>
      </c>
      <c r="CN437">
        <v>4</v>
      </c>
      <c r="CO437" t="s">
        <v>189</v>
      </c>
      <c r="CP437" t="s">
        <v>189</v>
      </c>
      <c r="CQ437">
        <f>IFERROR(AVERAGE(Tabel1[[#This Row],[In - F1a]:[In - F1c]]),"")</f>
        <v>4</v>
      </c>
      <c r="CR437" t="s">
        <v>189</v>
      </c>
      <c r="CS437" t="s">
        <v>189</v>
      </c>
      <c r="CT437" t="str">
        <f>IFERROR(AVERAGE(Tabel1[[#This Row],[In - F2a]:[In - F2b]]),"")</f>
        <v/>
      </c>
      <c r="CU437" t="s">
        <v>189</v>
      </c>
      <c r="CV437" t="str">
        <f>IFERROR(AVERAGE(Tabel1[[#This Row],[In - F3a]:[In - F3a]]),"")</f>
        <v/>
      </c>
      <c r="CW437">
        <v>3</v>
      </c>
      <c r="CX437">
        <f>IFERROR(AVERAGE(Tabel1[[#This Row],[In - F1]],Tabel1[[#This Row],[In - F2]],Tabel1[[#This Row],[In - F3]],Tabel1[[#This Row],[In - F4]]),"")</f>
        <v>3.5</v>
      </c>
      <c r="CY437">
        <v>5</v>
      </c>
      <c r="CZ437">
        <v>4</v>
      </c>
      <c r="DA437">
        <v>4</v>
      </c>
      <c r="DB437">
        <f>IFERROR(AVERAGE(Tabel1[[#This Row],[In - V1a]:[In - V1c]]),"")</f>
        <v>4.333333333333333</v>
      </c>
      <c r="DC437">
        <v>4</v>
      </c>
      <c r="DD437">
        <v>4</v>
      </c>
      <c r="DE437">
        <v>5</v>
      </c>
      <c r="DF437">
        <f>IFERROR(AVERAGE(Tabel1[[#This Row],[In - V2a]:[In - V2c]]),"")</f>
        <v>4.333333333333333</v>
      </c>
      <c r="DG437">
        <v>4</v>
      </c>
      <c r="DH437">
        <v>5</v>
      </c>
      <c r="DI437">
        <f>IFERROR(AVERAGE(Tabel1[[#This Row],[In - V3a]:[In - V3b]]),"")</f>
        <v>4.5</v>
      </c>
      <c r="DJ437">
        <v>4</v>
      </c>
      <c r="DK437">
        <f>IFERROR(AVERAGE(Tabel1[[#This Row],[In - V1]],Tabel1[[#This Row],[In - V2]],Tabel1[[#This Row],[In - V3]],Tabel1[[#This Row],[In - V4]]),"")</f>
        <v>4.2916666666666661</v>
      </c>
      <c r="DL437">
        <v>3</v>
      </c>
      <c r="DM437">
        <v>3</v>
      </c>
      <c r="DN437">
        <f>IFERROR(AVERAGE(Tabel1[[#This Row],[In - A1a]:[In - A1b]]),"")</f>
        <v>3</v>
      </c>
      <c r="DO437">
        <v>3</v>
      </c>
      <c r="DP437">
        <v>3</v>
      </c>
      <c r="DQ437">
        <f>IFERROR(AVERAGE(Tabel1[[#This Row],[In - A2a]:[In - A2b]]),"")</f>
        <v>3</v>
      </c>
      <c r="DR437">
        <v>4</v>
      </c>
      <c r="DS437">
        <v>3</v>
      </c>
      <c r="DT437">
        <f>IFERROR(AVERAGE(Tabel1[[#This Row],[In - A3a]:[In - A3a]]),"")</f>
        <v>4</v>
      </c>
      <c r="DU437" t="s">
        <v>189</v>
      </c>
      <c r="DV437">
        <f>IFERROR(AVERAGE(Tabel1[[#This Row],[In - A1]],Tabel1[[#This Row],[In - A2]],Tabel1[[#This Row],[In - A3]],Tabel1[[#This Row],[In - A4]]),"")</f>
        <v>3.3333333333333335</v>
      </c>
      <c r="DW437">
        <v>3</v>
      </c>
      <c r="DX437">
        <v>4</v>
      </c>
      <c r="DY437">
        <v>3</v>
      </c>
      <c r="DZ437">
        <f>IFERROR(AVERAGE(Tabel1[[#This Row],[Do - R1a]:[Do - R1c]]),"")</f>
        <v>3.3333333333333335</v>
      </c>
      <c r="EA437">
        <v>4</v>
      </c>
      <c r="EB437">
        <v>3</v>
      </c>
      <c r="EC437">
        <v>4</v>
      </c>
      <c r="ED437">
        <v>4</v>
      </c>
      <c r="EE437">
        <f>IFERROR(AVERAGE(Tabel1[[#This Row],[Do - R1]:[Do - R5]]),"")</f>
        <v>3.666666666666667</v>
      </c>
      <c r="EF437">
        <v>4</v>
      </c>
      <c r="EG437">
        <v>5</v>
      </c>
      <c r="EH437">
        <v>5</v>
      </c>
      <c r="EI437">
        <f>IFERROR(AVERAGE(Tabel1[[#This Row],[Do - C1a]:[Do - C1c]]),"")</f>
        <v>4.666666666666667</v>
      </c>
      <c r="EJ437">
        <v>4</v>
      </c>
      <c r="EK437">
        <v>4</v>
      </c>
      <c r="EL437">
        <v>4</v>
      </c>
      <c r="EM437">
        <f>IFERROR(AVERAGE(Tabel1[[#This Row],[Do - C1]:[Do - C4]]),"")</f>
        <v>4.166666666666667</v>
      </c>
      <c r="EN437">
        <v>4</v>
      </c>
      <c r="EO437">
        <v>3</v>
      </c>
      <c r="EP437">
        <v>4</v>
      </c>
      <c r="EQ437">
        <f>IFERROR(AVERAGE(Tabel1[[#This Row],[Do - F1a]:[Do - F1c]]),"")</f>
        <v>3.6666666666666665</v>
      </c>
      <c r="ER437">
        <v>3</v>
      </c>
      <c r="ES437">
        <f>IFERROR(AVERAGE(Tabel1[[#This Row],[Do - F2a]:[Do - F2a]]),"")</f>
        <v>3</v>
      </c>
      <c r="ET437" t="s">
        <v>189</v>
      </c>
      <c r="EU437">
        <v>3</v>
      </c>
      <c r="EV437">
        <f>IFERROR(AVERAGE(Tabel1[[#This Row],[Do - F3a]:[Do - F3b]]),"")</f>
        <v>3</v>
      </c>
      <c r="EW437">
        <v>3</v>
      </c>
      <c r="EX437">
        <f>IFERROR(AVERAGE(Tabel1[[#This Row],[Do - F1]],Tabel1[[#This Row],[Do - F2]],Tabel1[[#This Row],[Do - F3]],Tabel1[[#This Row],[Do - F4]]),"")</f>
        <v>3.1666666666666665</v>
      </c>
      <c r="EY437">
        <v>3</v>
      </c>
      <c r="EZ437">
        <v>4</v>
      </c>
      <c r="FA437">
        <v>4</v>
      </c>
      <c r="FB437">
        <f>IFERROR(AVERAGE(Tabel1[[#This Row],[Do - V1a]:[Do - V1c]]),"")</f>
        <v>3.6666666666666665</v>
      </c>
      <c r="FC437">
        <v>5</v>
      </c>
      <c r="FD437">
        <v>5</v>
      </c>
      <c r="FE437">
        <f>IFERROR(AVERAGE(Tabel1[[#This Row],[Do - V2a]:[Do - V2b]]),"")</f>
        <v>5</v>
      </c>
      <c r="FF437">
        <v>4</v>
      </c>
      <c r="FG437">
        <f>IFERROR(AVERAGE(Tabel1[[#This Row],[Do - V3a]:[Do - V3a]]),"")</f>
        <v>4</v>
      </c>
      <c r="FH437">
        <v>4</v>
      </c>
      <c r="FI437">
        <f>IFERROR(AVERAGE(Tabel1[[#This Row],[Do - V1]],Tabel1[[#This Row],[Do - V2]],Tabel1[[#This Row],[Do - V3]],Tabel1[[#This Row],[Do - V4]]),"")</f>
        <v>4.1666666666666661</v>
      </c>
      <c r="FJ437">
        <v>4</v>
      </c>
      <c r="FK437">
        <v>4</v>
      </c>
      <c r="FL437">
        <v>4</v>
      </c>
      <c r="FM437">
        <f>IFERROR(AVERAGE(Tabel1[[#This Row],[Do - A1a]:[Do - A1c]]),"")</f>
        <v>4</v>
      </c>
      <c r="FN437">
        <v>3</v>
      </c>
      <c r="FO437">
        <v>4</v>
      </c>
      <c r="FP437">
        <f>IFERROR(AVERAGE(Tabel1[[#This Row],[Do - A2a]:[Do - A2b]]),"")</f>
        <v>3.5</v>
      </c>
      <c r="FQ437">
        <v>4</v>
      </c>
      <c r="FR437">
        <f>IFERROR(AVERAGE(Tabel1[[#This Row],[Do - A3a]:[Do - A3a]]),"")</f>
        <v>4</v>
      </c>
      <c r="FS437">
        <v>5</v>
      </c>
      <c r="FT437">
        <f>IFERROR(AVERAGE(Tabel1[[#This Row],[Do - A1]],Tabel1[[#This Row],[Do - A2]],Tabel1[[#This Row],[Do - A3]],Tabel1[[#This Row],[Do - A4]]),"")</f>
        <v>4.125</v>
      </c>
      <c r="FU43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3.7678571428571423</v>
      </c>
      <c r="FV437" s="31" t="s">
        <v>2157</v>
      </c>
      <c r="FW437" t="b">
        <v>1</v>
      </c>
    </row>
    <row r="438" spans="1:179" x14ac:dyDescent="0.3">
      <c r="A438" s="13">
        <v>45709.3848842593</v>
      </c>
      <c r="B438" t="b">
        <v>0</v>
      </c>
      <c r="C438" t="s">
        <v>2158</v>
      </c>
      <c r="D438" t="s">
        <v>2159</v>
      </c>
      <c r="E438" t="s">
        <v>2160</v>
      </c>
      <c r="F438" s="14" t="s">
        <v>184</v>
      </c>
      <c r="G438" t="s">
        <v>2161</v>
      </c>
      <c r="H438" t="s">
        <v>222</v>
      </c>
      <c r="I438" t="s">
        <v>195</v>
      </c>
      <c r="J438" t="s">
        <v>1305</v>
      </c>
      <c r="K438" t="s">
        <v>187</v>
      </c>
      <c r="L438" t="s">
        <v>249</v>
      </c>
      <c r="M438" t="s">
        <v>233</v>
      </c>
      <c r="N438" t="s">
        <v>199</v>
      </c>
      <c r="O438" t="s">
        <v>200</v>
      </c>
      <c r="P438" t="s">
        <v>304</v>
      </c>
      <c r="Q438" t="s">
        <v>235</v>
      </c>
      <c r="R438" t="s">
        <v>187</v>
      </c>
      <c r="S438" t="s">
        <v>187</v>
      </c>
      <c r="T438" t="s">
        <v>204</v>
      </c>
      <c r="U438" t="s">
        <v>237</v>
      </c>
      <c r="V438" t="s">
        <v>484</v>
      </c>
      <c r="W438" t="s">
        <v>207</v>
      </c>
      <c r="X438" t="s">
        <v>207</v>
      </c>
      <c r="Y438">
        <v>4</v>
      </c>
      <c r="Z438">
        <v>3</v>
      </c>
      <c r="AA438" t="s">
        <v>189</v>
      </c>
      <c r="AB438">
        <f>IFERROR(AVERAGE(Tabel1[[#This Row],[Up - R1a]:[Up - R1c]]),"")</f>
        <v>3.5</v>
      </c>
      <c r="AC438">
        <v>2</v>
      </c>
      <c r="AD438">
        <v>3</v>
      </c>
      <c r="AE438">
        <v>2</v>
      </c>
      <c r="AF438">
        <v>3</v>
      </c>
      <c r="AG438">
        <f>IFERROR(AVERAGE(Tabel1[[#This Row],[Up - R1]:[Up - R5]]),"")</f>
        <v>2.7</v>
      </c>
      <c r="AH438">
        <v>4</v>
      </c>
      <c r="AI438">
        <v>4</v>
      </c>
      <c r="AJ438">
        <v>2</v>
      </c>
      <c r="AK438">
        <f>IFERROR(AVERAGE(Tabel1[[#This Row],[Up - C1a]:[Up - C1c]]),"")</f>
        <v>3.3333333333333335</v>
      </c>
      <c r="AL438">
        <v>3</v>
      </c>
      <c r="AM438">
        <v>3</v>
      </c>
      <c r="AN438" t="s">
        <v>189</v>
      </c>
      <c r="AO438">
        <f>IFERROR(AVERAGE(Tabel1[[#This Row],[Up - C1]:[Up - C4]]),"")</f>
        <v>3.1111111111111112</v>
      </c>
      <c r="AP438">
        <v>4</v>
      </c>
      <c r="AQ438">
        <f>IFERROR(AVERAGE(Tabel1[[#This Row],[Up - F1a]:[Up - F1a]]),"")</f>
        <v>4</v>
      </c>
      <c r="AR438">
        <v>2</v>
      </c>
      <c r="AS438">
        <v>2</v>
      </c>
      <c r="AT438">
        <f>IFERROR(AVERAGE(Tabel1[[#This Row],[Up - F2a]:[Up - F2b]]),"")</f>
        <v>2</v>
      </c>
      <c r="AU438">
        <v>4</v>
      </c>
      <c r="AV438" t="s">
        <v>189</v>
      </c>
      <c r="AW438">
        <f>IFERROR(AVERAGE(Tabel1[[#This Row],[Up - F3a]:[Up - F3b]]),"")</f>
        <v>4</v>
      </c>
      <c r="AX438" t="s">
        <v>189</v>
      </c>
      <c r="AY438">
        <f>IFERROR(AVERAGE(Tabel1[[#This Row],[Up - F1]],Tabel1[[#This Row],[Up - F2]],Tabel1[[#This Row],[Up - F3]],Tabel1[[#This Row],[Up - F4]]),"")</f>
        <v>3.3333333333333335</v>
      </c>
      <c r="AZ438">
        <v>2</v>
      </c>
      <c r="BA438">
        <v>3</v>
      </c>
      <c r="BB438">
        <f>IFERROR(AVERAGE(Tabel1[[#This Row],[Up - V1a]:[Up - V1b]]),"")</f>
        <v>2.5</v>
      </c>
      <c r="BC438" t="s">
        <v>189</v>
      </c>
      <c r="BD438" t="s">
        <v>189</v>
      </c>
      <c r="BE438" t="s">
        <v>189</v>
      </c>
      <c r="BF438" t="str">
        <f>IFERROR(AVERAGE(Tabel1[[#This Row],[Up - V2a]:[Up - V2c]]),"")</f>
        <v/>
      </c>
      <c r="BG438">
        <v>2</v>
      </c>
      <c r="BH438">
        <v>5</v>
      </c>
      <c r="BI438">
        <f>IFERROR(AVERAGE(Tabel1[[#This Row],[Up - V3a]:[Up - V3b]]),"")</f>
        <v>3.5</v>
      </c>
      <c r="BJ438" t="s">
        <v>189</v>
      </c>
      <c r="BK438">
        <f>IFERROR(AVERAGE(Tabel1[[#This Row],[Up - V1]],Tabel1[[#This Row],[Up - V2]],Tabel1[[#This Row],[Up - V3]],Tabel1[[#This Row],[Up - V4]]),"")</f>
        <v>3</v>
      </c>
      <c r="BL438" t="s">
        <v>189</v>
      </c>
      <c r="BM438">
        <v>2</v>
      </c>
      <c r="BN438">
        <v>2</v>
      </c>
      <c r="BO438" t="s">
        <v>189</v>
      </c>
      <c r="BP438">
        <f>IFERROR(AVERAGE(Tabel1[[#This Row],[Up - A1a]:[Up - A1d]]),"")</f>
        <v>2</v>
      </c>
      <c r="BQ438" t="s">
        <v>189</v>
      </c>
      <c r="BR438">
        <v>3</v>
      </c>
      <c r="BS438">
        <f>IFERROR(AVERAGE(Tabel1[[#This Row],[Up - A2a]:[Up - A2b]]),"")</f>
        <v>3</v>
      </c>
      <c r="BT438">
        <v>4</v>
      </c>
      <c r="BU438">
        <f>IFERROR(AVERAGE(Tabel1[[#This Row],[Up - A3a]:[Up - A3a]]),"")</f>
        <v>4</v>
      </c>
      <c r="BV438">
        <v>2</v>
      </c>
      <c r="BW438">
        <f>IFERROR(AVERAGE(Tabel1[[#This Row],[Up - A1]],Tabel1[[#This Row],[Up - A2]],Tabel1[[#This Row],[Up - A3]]),"")</f>
        <v>3</v>
      </c>
      <c r="BX438">
        <v>4</v>
      </c>
      <c r="BY438">
        <v>4</v>
      </c>
      <c r="BZ438">
        <f>IFERROR(AVERAGE(Tabel1[[#This Row],[In - R1a]:[In - R1b]]),"")</f>
        <v>4</v>
      </c>
      <c r="CA438">
        <v>4</v>
      </c>
      <c r="CB438">
        <v>4</v>
      </c>
      <c r="CC438">
        <v>2</v>
      </c>
      <c r="CD438">
        <v>5</v>
      </c>
      <c r="CE438">
        <f>IFERROR(AVERAGE(Tabel1[[#This Row],[In - R1]:[In - R5]]),"")</f>
        <v>3.8</v>
      </c>
      <c r="CF438">
        <v>4</v>
      </c>
      <c r="CG438">
        <v>2</v>
      </c>
      <c r="CH438">
        <v>4</v>
      </c>
      <c r="CI438">
        <f>IFERROR(AVERAGE(Tabel1[[#This Row],[In - C1a]:[In - C1c]]),"")</f>
        <v>3.3333333333333335</v>
      </c>
      <c r="CJ438">
        <v>2</v>
      </c>
      <c r="CK438">
        <v>4</v>
      </c>
      <c r="CL438">
        <v>3</v>
      </c>
      <c r="CM438">
        <f>IFERROR(AVERAGE(Tabel1[[#This Row],[In - C1]:[In - C4]]),"")</f>
        <v>3.0833333333333335</v>
      </c>
      <c r="CN438">
        <v>3</v>
      </c>
      <c r="CO438">
        <v>4</v>
      </c>
      <c r="CP438">
        <v>2</v>
      </c>
      <c r="CQ438">
        <f>IFERROR(AVERAGE(Tabel1[[#This Row],[In - F1a]:[In - F1c]]),"")</f>
        <v>3</v>
      </c>
      <c r="CR438">
        <v>4</v>
      </c>
      <c r="CS438">
        <v>1</v>
      </c>
      <c r="CT438">
        <f>IFERROR(AVERAGE(Tabel1[[#This Row],[In - F2a]:[In - F2b]]),"")</f>
        <v>2.5</v>
      </c>
      <c r="CU438">
        <v>1</v>
      </c>
      <c r="CV438">
        <f>IFERROR(AVERAGE(Tabel1[[#This Row],[In - F3a]:[In - F3a]]),"")</f>
        <v>1</v>
      </c>
      <c r="CW438" t="s">
        <v>189</v>
      </c>
      <c r="CX438">
        <f>IFERROR(AVERAGE(Tabel1[[#This Row],[In - F1]],Tabel1[[#This Row],[In - F2]],Tabel1[[#This Row],[In - F3]],Tabel1[[#This Row],[In - F4]]),"")</f>
        <v>2.1666666666666665</v>
      </c>
      <c r="CY438">
        <v>4</v>
      </c>
      <c r="CZ438">
        <v>3</v>
      </c>
      <c r="DA438">
        <v>3</v>
      </c>
      <c r="DB438">
        <f>IFERROR(AVERAGE(Tabel1[[#This Row],[In - V1a]:[In - V1c]]),"")</f>
        <v>3.3333333333333335</v>
      </c>
      <c r="DC438">
        <v>3</v>
      </c>
      <c r="DD438">
        <v>2</v>
      </c>
      <c r="DE438">
        <v>3</v>
      </c>
      <c r="DF438">
        <f>IFERROR(AVERAGE(Tabel1[[#This Row],[In - V2a]:[In - V2c]]),"")</f>
        <v>2.6666666666666665</v>
      </c>
      <c r="DG438">
        <v>4</v>
      </c>
      <c r="DH438">
        <v>4</v>
      </c>
      <c r="DI438">
        <f>IFERROR(AVERAGE(Tabel1[[#This Row],[In - V3a]:[In - V3b]]),"")</f>
        <v>4</v>
      </c>
      <c r="DJ438" t="s">
        <v>189</v>
      </c>
      <c r="DK438">
        <f>IFERROR(AVERAGE(Tabel1[[#This Row],[In - V1]],Tabel1[[#This Row],[In - V2]],Tabel1[[#This Row],[In - V3]],Tabel1[[#This Row],[In - V4]]),"")</f>
        <v>3.3333333333333335</v>
      </c>
      <c r="DL438">
        <v>2</v>
      </c>
      <c r="DM438">
        <v>2</v>
      </c>
      <c r="DN438">
        <f>IFERROR(AVERAGE(Tabel1[[#This Row],[In - A1a]:[In - A1b]]),"")</f>
        <v>2</v>
      </c>
      <c r="DO438">
        <v>2</v>
      </c>
      <c r="DP438">
        <v>3</v>
      </c>
      <c r="DQ438">
        <f>IFERROR(AVERAGE(Tabel1[[#This Row],[In - A2a]:[In - A2b]]),"")</f>
        <v>2.5</v>
      </c>
      <c r="DR438">
        <v>4</v>
      </c>
      <c r="DS438">
        <v>2</v>
      </c>
      <c r="DT438">
        <f>IFERROR(AVERAGE(Tabel1[[#This Row],[In - A3a]:[In - A3a]]),"")</f>
        <v>4</v>
      </c>
      <c r="DU438">
        <v>2</v>
      </c>
      <c r="DV438">
        <f>IFERROR(AVERAGE(Tabel1[[#This Row],[In - A1]],Tabel1[[#This Row],[In - A2]],Tabel1[[#This Row],[In - A3]],Tabel1[[#This Row],[In - A4]]),"")</f>
        <v>2.625</v>
      </c>
      <c r="DW438">
        <v>1</v>
      </c>
      <c r="DX438">
        <v>5</v>
      </c>
      <c r="DY438">
        <v>1</v>
      </c>
      <c r="DZ438">
        <f>IFERROR(AVERAGE(Tabel1[[#This Row],[Do - R1a]:[Do - R1c]]),"")</f>
        <v>2.3333333333333335</v>
      </c>
      <c r="EA438">
        <v>4</v>
      </c>
      <c r="EB438">
        <v>5</v>
      </c>
      <c r="EC438">
        <v>1</v>
      </c>
      <c r="ED438" t="s">
        <v>189</v>
      </c>
      <c r="EE438">
        <f>IFERROR(AVERAGE(Tabel1[[#This Row],[Do - R1]:[Do - R5]]),"")</f>
        <v>3.0833333333333335</v>
      </c>
      <c r="EF438">
        <v>3</v>
      </c>
      <c r="EG438">
        <v>3</v>
      </c>
      <c r="EH438">
        <v>3</v>
      </c>
      <c r="EI438">
        <f>IFERROR(AVERAGE(Tabel1[[#This Row],[Do - C1a]:[Do - C1c]]),"")</f>
        <v>3</v>
      </c>
      <c r="EJ438">
        <v>3</v>
      </c>
      <c r="EK438">
        <v>3</v>
      </c>
      <c r="EL438" t="s">
        <v>189</v>
      </c>
      <c r="EM438">
        <f>IFERROR(AVERAGE(Tabel1[[#This Row],[Do - C1]:[Do - C4]]),"")</f>
        <v>3</v>
      </c>
      <c r="EN438" t="s">
        <v>189</v>
      </c>
      <c r="EO438" t="s">
        <v>189</v>
      </c>
      <c r="EP438" t="s">
        <v>189</v>
      </c>
      <c r="EQ438" t="str">
        <f>IFERROR(AVERAGE(Tabel1[[#This Row],[Do - F1a]:[Do - F1c]]),"")</f>
        <v/>
      </c>
      <c r="ER438">
        <v>2</v>
      </c>
      <c r="ES438">
        <f>IFERROR(AVERAGE(Tabel1[[#This Row],[Do - F2a]:[Do - F2a]]),"")</f>
        <v>2</v>
      </c>
      <c r="ET438">
        <v>5</v>
      </c>
      <c r="EU438">
        <v>2</v>
      </c>
      <c r="EV438">
        <f>IFERROR(AVERAGE(Tabel1[[#This Row],[Do - F3a]:[Do - F3b]]),"")</f>
        <v>3.5</v>
      </c>
      <c r="EW438" t="s">
        <v>189</v>
      </c>
      <c r="EX438">
        <f>IFERROR(AVERAGE(Tabel1[[#This Row],[Do - F1]],Tabel1[[#This Row],[Do - F2]],Tabel1[[#This Row],[Do - F3]],Tabel1[[#This Row],[Do - F4]]),"")</f>
        <v>2.75</v>
      </c>
      <c r="EY438" t="s">
        <v>189</v>
      </c>
      <c r="EZ438" t="s">
        <v>189</v>
      </c>
      <c r="FA438" t="s">
        <v>189</v>
      </c>
      <c r="FB438" t="str">
        <f>IFERROR(AVERAGE(Tabel1[[#This Row],[Do - V1a]:[Do - V1c]]),"")</f>
        <v/>
      </c>
      <c r="FC438" t="s">
        <v>189</v>
      </c>
      <c r="FD438">
        <v>4</v>
      </c>
      <c r="FE438">
        <f>IFERROR(AVERAGE(Tabel1[[#This Row],[Do - V2a]:[Do - V2b]]),"")</f>
        <v>4</v>
      </c>
      <c r="FF438">
        <v>3</v>
      </c>
      <c r="FG438">
        <f>IFERROR(AVERAGE(Tabel1[[#This Row],[Do - V3a]:[Do - V3a]]),"")</f>
        <v>3</v>
      </c>
      <c r="FH438" t="s">
        <v>189</v>
      </c>
      <c r="FI438">
        <f>IFERROR(AVERAGE(Tabel1[[#This Row],[Do - V1]],Tabel1[[#This Row],[Do - V2]],Tabel1[[#This Row],[Do - V3]],Tabel1[[#This Row],[Do - V4]]),"")</f>
        <v>3.5</v>
      </c>
      <c r="FJ438">
        <v>2</v>
      </c>
      <c r="FK438">
        <v>2</v>
      </c>
      <c r="FL438">
        <v>3</v>
      </c>
      <c r="FM438">
        <f>IFERROR(AVERAGE(Tabel1[[#This Row],[Do - A1a]:[Do - A1c]]),"")</f>
        <v>2.3333333333333335</v>
      </c>
      <c r="FN438">
        <v>2</v>
      </c>
      <c r="FO438">
        <v>4</v>
      </c>
      <c r="FP438">
        <f>IFERROR(AVERAGE(Tabel1[[#This Row],[Do - A2a]:[Do - A2b]]),"")</f>
        <v>3</v>
      </c>
      <c r="FQ438">
        <v>4</v>
      </c>
      <c r="FR438">
        <f>IFERROR(AVERAGE(Tabel1[[#This Row],[Do - A3a]:[Do - A3a]]),"")</f>
        <v>4</v>
      </c>
      <c r="FS438">
        <v>3</v>
      </c>
      <c r="FT438">
        <f>IFERROR(AVERAGE(Tabel1[[#This Row],[Do - A1]],Tabel1[[#This Row],[Do - A2]],Tabel1[[#This Row],[Do - A3]],Tabel1[[#This Row],[Do - A4]]),"")</f>
        <v>3.0833333333333335</v>
      </c>
      <c r="FU43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3.0379629629629634</v>
      </c>
      <c r="FV438" s="31" t="s">
        <v>2162</v>
      </c>
      <c r="FW438" t="b">
        <v>1</v>
      </c>
    </row>
    <row r="439" spans="1:179" x14ac:dyDescent="0.3">
      <c r="A439" s="13">
        <v>45709.541666666701</v>
      </c>
      <c r="B439" t="b">
        <v>0</v>
      </c>
      <c r="C439" t="s">
        <v>2163</v>
      </c>
      <c r="D439" t="s">
        <v>2164</v>
      </c>
      <c r="E439" t="s">
        <v>2132</v>
      </c>
      <c r="F439" s="14" t="s">
        <v>184</v>
      </c>
      <c r="G439" t="s">
        <v>2165</v>
      </c>
      <c r="H439" t="s">
        <v>194</v>
      </c>
      <c r="I439" t="s">
        <v>195</v>
      </c>
      <c r="J439" t="s">
        <v>1305</v>
      </c>
      <c r="K439" t="s">
        <v>235</v>
      </c>
      <c r="L439" t="s">
        <v>249</v>
      </c>
      <c r="M439" t="s">
        <v>198</v>
      </c>
      <c r="N439" t="s">
        <v>199</v>
      </c>
      <c r="O439" t="s">
        <v>256</v>
      </c>
      <c r="P439" t="s">
        <v>304</v>
      </c>
      <c r="Q439" t="s">
        <v>235</v>
      </c>
      <c r="R439" t="s">
        <v>187</v>
      </c>
      <c r="S439" t="s">
        <v>187</v>
      </c>
      <c r="T439" t="s">
        <v>204</v>
      </c>
      <c r="U439" t="s">
        <v>237</v>
      </c>
      <c r="V439" t="s">
        <v>206</v>
      </c>
      <c r="W439" t="s">
        <v>207</v>
      </c>
      <c r="X439" t="s">
        <v>207</v>
      </c>
      <c r="Y439">
        <v>2</v>
      </c>
      <c r="Z439">
        <v>3</v>
      </c>
      <c r="AA439" t="s">
        <v>189</v>
      </c>
      <c r="AB439">
        <f>IFERROR(AVERAGE(Tabel1[[#This Row],[Up - R1a]:[Up - R1c]]),"")</f>
        <v>2.5</v>
      </c>
      <c r="AC439">
        <v>3</v>
      </c>
      <c r="AD439">
        <v>3</v>
      </c>
      <c r="AE439" t="s">
        <v>189</v>
      </c>
      <c r="AF439">
        <v>3</v>
      </c>
      <c r="AG439">
        <f>IFERROR(AVERAGE(Tabel1[[#This Row],[Up - R1]:[Up - R5]]),"")</f>
        <v>2.875</v>
      </c>
      <c r="AH439">
        <v>3</v>
      </c>
      <c r="AI439">
        <v>4</v>
      </c>
      <c r="AJ439">
        <v>3</v>
      </c>
      <c r="AK439">
        <f>IFERROR(AVERAGE(Tabel1[[#This Row],[Up - C1a]:[Up - C1c]]),"")</f>
        <v>3.3333333333333335</v>
      </c>
      <c r="AL439">
        <v>2</v>
      </c>
      <c r="AM439">
        <v>3</v>
      </c>
      <c r="AN439" t="s">
        <v>189</v>
      </c>
      <c r="AO439">
        <f>IFERROR(AVERAGE(Tabel1[[#This Row],[Up - C1]:[Up - C4]]),"")</f>
        <v>2.7777777777777781</v>
      </c>
      <c r="AP439" t="s">
        <v>189</v>
      </c>
      <c r="AQ439" t="str">
        <f>IFERROR(AVERAGE(Tabel1[[#This Row],[Up - F1a]:[Up - F1a]]),"")</f>
        <v/>
      </c>
      <c r="AR439">
        <v>1</v>
      </c>
      <c r="AS439">
        <v>1</v>
      </c>
      <c r="AT439">
        <f>IFERROR(AVERAGE(Tabel1[[#This Row],[Up - F2a]:[Up - F2b]]),"")</f>
        <v>1</v>
      </c>
      <c r="AU439">
        <v>4</v>
      </c>
      <c r="AV439">
        <v>1</v>
      </c>
      <c r="AW439">
        <f>IFERROR(AVERAGE(Tabel1[[#This Row],[Up - F3a]:[Up - F3b]]),"")</f>
        <v>2.5</v>
      </c>
      <c r="AX439" t="s">
        <v>189</v>
      </c>
      <c r="AY439">
        <f>IFERROR(AVERAGE(Tabel1[[#This Row],[Up - F1]],Tabel1[[#This Row],[Up - F2]],Tabel1[[#This Row],[Up - F3]],Tabel1[[#This Row],[Up - F4]]),"")</f>
        <v>1.75</v>
      </c>
      <c r="AZ439" t="s">
        <v>189</v>
      </c>
      <c r="BA439">
        <v>4</v>
      </c>
      <c r="BB439">
        <f>IFERROR(AVERAGE(Tabel1[[#This Row],[Up - V1a]:[Up - V1b]]),"")</f>
        <v>4</v>
      </c>
      <c r="BC439">
        <v>1</v>
      </c>
      <c r="BD439" t="s">
        <v>189</v>
      </c>
      <c r="BE439" t="s">
        <v>189</v>
      </c>
      <c r="BF439">
        <f>IFERROR(AVERAGE(Tabel1[[#This Row],[Up - V2a]:[Up - V2c]]),"")</f>
        <v>1</v>
      </c>
      <c r="BG439">
        <v>2</v>
      </c>
      <c r="BH439">
        <v>4</v>
      </c>
      <c r="BI439">
        <f>IFERROR(AVERAGE(Tabel1[[#This Row],[Up - V3a]:[Up - V3b]]),"")</f>
        <v>3</v>
      </c>
      <c r="BJ439">
        <v>4</v>
      </c>
      <c r="BK439">
        <f>IFERROR(AVERAGE(Tabel1[[#This Row],[Up - V1]],Tabel1[[#This Row],[Up - V2]],Tabel1[[#This Row],[Up - V3]],Tabel1[[#This Row],[Up - V4]]),"")</f>
        <v>3</v>
      </c>
      <c r="BL439">
        <v>1</v>
      </c>
      <c r="BM439" t="s">
        <v>189</v>
      </c>
      <c r="BN439">
        <v>1</v>
      </c>
      <c r="BO439">
        <v>1</v>
      </c>
      <c r="BP439">
        <f>IFERROR(AVERAGE(Tabel1[[#This Row],[Up - A1a]:[Up - A1d]]),"")</f>
        <v>1</v>
      </c>
      <c r="BQ439">
        <v>2</v>
      </c>
      <c r="BR439">
        <v>3</v>
      </c>
      <c r="BS439">
        <f>IFERROR(AVERAGE(Tabel1[[#This Row],[Up - A2a]:[Up - A2b]]),"")</f>
        <v>2.5</v>
      </c>
      <c r="BT439">
        <v>2</v>
      </c>
      <c r="BU439">
        <f>IFERROR(AVERAGE(Tabel1[[#This Row],[Up - A3a]:[Up - A3a]]),"")</f>
        <v>2</v>
      </c>
      <c r="BW439">
        <f>IFERROR(AVERAGE(Tabel1[[#This Row],[Up - A1]],Tabel1[[#This Row],[Up - A2]],Tabel1[[#This Row],[Up - A3]]),"")</f>
        <v>1.8333333333333333</v>
      </c>
      <c r="BX439">
        <v>1</v>
      </c>
      <c r="BY439">
        <v>3</v>
      </c>
      <c r="BZ439">
        <f>IFERROR(AVERAGE(Tabel1[[#This Row],[In - R1a]:[In - R1b]]),"")</f>
        <v>2</v>
      </c>
      <c r="CA439">
        <v>5</v>
      </c>
      <c r="CB439">
        <v>2</v>
      </c>
      <c r="CC439">
        <v>2</v>
      </c>
      <c r="CD439">
        <v>5</v>
      </c>
      <c r="CE439">
        <f>IFERROR(AVERAGE(Tabel1[[#This Row],[In - R1]:[In - R5]]),"")</f>
        <v>3.2</v>
      </c>
      <c r="CF439">
        <v>4</v>
      </c>
      <c r="CG439">
        <v>2</v>
      </c>
      <c r="CH439">
        <v>3</v>
      </c>
      <c r="CI439">
        <f>IFERROR(AVERAGE(Tabel1[[#This Row],[In - C1a]:[In - C1c]]),"")</f>
        <v>3</v>
      </c>
      <c r="CJ439">
        <v>2</v>
      </c>
      <c r="CK439">
        <v>3</v>
      </c>
      <c r="CL439">
        <v>2</v>
      </c>
      <c r="CM439">
        <f>IFERROR(AVERAGE(Tabel1[[#This Row],[In - C1]:[In - C4]]),"")</f>
        <v>2.5</v>
      </c>
      <c r="CN439">
        <v>2</v>
      </c>
      <c r="CO439">
        <v>1</v>
      </c>
      <c r="CP439">
        <v>1</v>
      </c>
      <c r="CQ439">
        <f>IFERROR(AVERAGE(Tabel1[[#This Row],[In - F1a]:[In - F1c]]),"")</f>
        <v>1.3333333333333333</v>
      </c>
      <c r="CR439">
        <v>3</v>
      </c>
      <c r="CS439">
        <v>1</v>
      </c>
      <c r="CT439">
        <f>IFERROR(AVERAGE(Tabel1[[#This Row],[In - F2a]:[In - F2b]]),"")</f>
        <v>2</v>
      </c>
      <c r="CU439">
        <v>1</v>
      </c>
      <c r="CV439">
        <f>IFERROR(AVERAGE(Tabel1[[#This Row],[In - F3a]:[In - F3a]]),"")</f>
        <v>1</v>
      </c>
      <c r="CW439" t="s">
        <v>189</v>
      </c>
      <c r="CX439">
        <f>IFERROR(AVERAGE(Tabel1[[#This Row],[In - F1]],Tabel1[[#This Row],[In - F2]],Tabel1[[#This Row],[In - F3]],Tabel1[[#This Row],[In - F4]]),"")</f>
        <v>1.4444444444444444</v>
      </c>
      <c r="CY439">
        <v>4</v>
      </c>
      <c r="CZ439">
        <v>2</v>
      </c>
      <c r="DA439">
        <v>1</v>
      </c>
      <c r="DB439">
        <f>IFERROR(AVERAGE(Tabel1[[#This Row],[In - V1a]:[In - V1c]]),"")</f>
        <v>2.3333333333333335</v>
      </c>
      <c r="DC439" t="s">
        <v>189</v>
      </c>
      <c r="DD439">
        <v>3</v>
      </c>
      <c r="DE439">
        <v>4</v>
      </c>
      <c r="DF439">
        <f>IFERROR(AVERAGE(Tabel1[[#This Row],[In - V2a]:[In - V2c]]),"")</f>
        <v>3.5</v>
      </c>
      <c r="DG439">
        <v>2</v>
      </c>
      <c r="DH439">
        <v>4</v>
      </c>
      <c r="DI439">
        <f>IFERROR(AVERAGE(Tabel1[[#This Row],[In - V3a]:[In - V3b]]),"")</f>
        <v>3</v>
      </c>
      <c r="DJ439">
        <v>4</v>
      </c>
      <c r="DK439">
        <f>IFERROR(AVERAGE(Tabel1[[#This Row],[In - V1]],Tabel1[[#This Row],[In - V2]],Tabel1[[#This Row],[In - V3]],Tabel1[[#This Row],[In - V4]]),"")</f>
        <v>3.2083333333333335</v>
      </c>
      <c r="DL439">
        <v>1</v>
      </c>
      <c r="DM439">
        <v>1</v>
      </c>
      <c r="DN439">
        <f>IFERROR(AVERAGE(Tabel1[[#This Row],[In - A1a]:[In - A1b]]),"")</f>
        <v>1</v>
      </c>
      <c r="DO439">
        <v>1</v>
      </c>
      <c r="DP439">
        <v>2</v>
      </c>
      <c r="DQ439">
        <f>IFERROR(AVERAGE(Tabel1[[#This Row],[In - A2a]:[In - A2b]]),"")</f>
        <v>1.5</v>
      </c>
      <c r="DR439">
        <v>2</v>
      </c>
      <c r="DS439">
        <v>1</v>
      </c>
      <c r="DT439">
        <f>IFERROR(AVERAGE(Tabel1[[#This Row],[In - A3a]:[In - A3a]]),"")</f>
        <v>2</v>
      </c>
      <c r="DV439">
        <f>IFERROR(AVERAGE(Tabel1[[#This Row],[In - A1]],Tabel1[[#This Row],[In - A2]],Tabel1[[#This Row],[In - A3]],Tabel1[[#This Row],[In - A4]]),"")</f>
        <v>1.5</v>
      </c>
      <c r="DW439">
        <v>2</v>
      </c>
      <c r="DX439">
        <v>5</v>
      </c>
      <c r="DY439">
        <v>1</v>
      </c>
      <c r="DZ439">
        <f>IFERROR(AVERAGE(Tabel1[[#This Row],[Do - R1a]:[Do - R1c]]),"")</f>
        <v>2.6666666666666665</v>
      </c>
      <c r="EA439">
        <v>4</v>
      </c>
      <c r="EB439">
        <v>4</v>
      </c>
      <c r="EC439">
        <v>1</v>
      </c>
      <c r="ED439" t="s">
        <v>189</v>
      </c>
      <c r="EE439">
        <f>IFERROR(AVERAGE(Tabel1[[#This Row],[Do - R1]:[Do - R5]]),"")</f>
        <v>2.9166666666666665</v>
      </c>
      <c r="EF439" t="s">
        <v>189</v>
      </c>
      <c r="EG439">
        <v>3</v>
      </c>
      <c r="EH439">
        <v>3</v>
      </c>
      <c r="EI439">
        <f>IFERROR(AVERAGE(Tabel1[[#This Row],[Do - C1a]:[Do - C1c]]),"")</f>
        <v>3</v>
      </c>
      <c r="EJ439" t="s">
        <v>189</v>
      </c>
      <c r="EK439" t="s">
        <v>189</v>
      </c>
      <c r="EL439" t="s">
        <v>189</v>
      </c>
      <c r="EM439">
        <f>IFERROR(AVERAGE(Tabel1[[#This Row],[Do - C1]:[Do - C4]]),"")</f>
        <v>3</v>
      </c>
      <c r="EN439">
        <v>1</v>
      </c>
      <c r="EO439">
        <v>1</v>
      </c>
      <c r="EP439">
        <v>1</v>
      </c>
      <c r="EQ439">
        <f>IFERROR(AVERAGE(Tabel1[[#This Row],[Do - F1a]:[Do - F1c]]),"")</f>
        <v>1</v>
      </c>
      <c r="ER439">
        <v>2</v>
      </c>
      <c r="ES439">
        <f>IFERROR(AVERAGE(Tabel1[[#This Row],[Do - F2a]:[Do - F2a]]),"")</f>
        <v>2</v>
      </c>
      <c r="ET439">
        <v>2</v>
      </c>
      <c r="EU439" t="s">
        <v>189</v>
      </c>
      <c r="EV439">
        <f>IFERROR(AVERAGE(Tabel1[[#This Row],[Do - F3a]:[Do - F3b]]),"")</f>
        <v>2</v>
      </c>
      <c r="EW439">
        <v>1</v>
      </c>
      <c r="EX439">
        <f>IFERROR(AVERAGE(Tabel1[[#This Row],[Do - F1]],Tabel1[[#This Row],[Do - F2]],Tabel1[[#This Row],[Do - F3]],Tabel1[[#This Row],[Do - F4]]),"")</f>
        <v>1.5</v>
      </c>
      <c r="EY439">
        <v>2</v>
      </c>
      <c r="EZ439">
        <v>2</v>
      </c>
      <c r="FA439">
        <v>2</v>
      </c>
      <c r="FB439">
        <f>IFERROR(AVERAGE(Tabel1[[#This Row],[Do - V1a]:[Do - V1c]]),"")</f>
        <v>2</v>
      </c>
      <c r="FC439" t="s">
        <v>189</v>
      </c>
      <c r="FD439" t="s">
        <v>189</v>
      </c>
      <c r="FE439" t="str">
        <f>IFERROR(AVERAGE(Tabel1[[#This Row],[Do - V2a]:[Do - V2b]]),"")</f>
        <v/>
      </c>
      <c r="FF439" t="s">
        <v>189</v>
      </c>
      <c r="FG439" t="str">
        <f>IFERROR(AVERAGE(Tabel1[[#This Row],[Do - V3a]:[Do - V3a]]),"")</f>
        <v/>
      </c>
      <c r="FH439" t="s">
        <v>189</v>
      </c>
      <c r="FI439">
        <f>IFERROR(AVERAGE(Tabel1[[#This Row],[Do - V1]],Tabel1[[#This Row],[Do - V2]],Tabel1[[#This Row],[Do - V3]],Tabel1[[#This Row],[Do - V4]]),"")</f>
        <v>2</v>
      </c>
      <c r="FJ439">
        <v>4</v>
      </c>
      <c r="FK439">
        <v>1</v>
      </c>
      <c r="FL439">
        <v>3</v>
      </c>
      <c r="FM439">
        <f>IFERROR(AVERAGE(Tabel1[[#This Row],[Do - A1a]:[Do - A1c]]),"")</f>
        <v>2.6666666666666665</v>
      </c>
      <c r="FN439">
        <v>1</v>
      </c>
      <c r="FO439">
        <v>4</v>
      </c>
      <c r="FP439">
        <f>IFERROR(AVERAGE(Tabel1[[#This Row],[Do - A2a]:[Do - A2b]]),"")</f>
        <v>2.5</v>
      </c>
      <c r="FQ439">
        <v>4</v>
      </c>
      <c r="FR439">
        <f>IFERROR(AVERAGE(Tabel1[[#This Row],[Do - A3a]:[Do - A3a]]),"")</f>
        <v>4</v>
      </c>
      <c r="FT439">
        <f>IFERROR(AVERAGE(Tabel1[[#This Row],[Do - A1]],Tabel1[[#This Row],[Do - A2]],Tabel1[[#This Row],[Do - A3]],Tabel1[[#This Row],[Do - A4]]),"")</f>
        <v>3.0555555555555554</v>
      </c>
      <c r="FU43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2.4374074074074077</v>
      </c>
      <c r="FV439" s="31" t="s">
        <v>2166</v>
      </c>
      <c r="FW439" t="b">
        <v>1</v>
      </c>
    </row>
    <row r="440" spans="1:179" x14ac:dyDescent="0.3">
      <c r="A440" s="13">
        <v>45713.4749884259</v>
      </c>
      <c r="B440" t="b">
        <v>0</v>
      </c>
      <c r="C440" t="s">
        <v>2167</v>
      </c>
      <c r="D440" t="s">
        <v>2168</v>
      </c>
      <c r="E440" t="s">
        <v>2127</v>
      </c>
      <c r="F440" s="14" t="s">
        <v>184</v>
      </c>
      <c r="G440" t="s">
        <v>2169</v>
      </c>
      <c r="H440" t="s">
        <v>194</v>
      </c>
      <c r="I440" t="s">
        <v>195</v>
      </c>
      <c r="J440" t="s">
        <v>1305</v>
      </c>
      <c r="K440" t="s">
        <v>187</v>
      </c>
      <c r="L440" t="s">
        <v>197</v>
      </c>
      <c r="M440" t="s">
        <v>198</v>
      </c>
      <c r="N440" t="s">
        <v>199</v>
      </c>
      <c r="O440" t="s">
        <v>200</v>
      </c>
      <c r="P440" t="s">
        <v>255</v>
      </c>
      <c r="Q440" t="s">
        <v>201</v>
      </c>
      <c r="R440" t="s">
        <v>187</v>
      </c>
      <c r="S440" t="s">
        <v>235</v>
      </c>
      <c r="T440" t="s">
        <v>204</v>
      </c>
      <c r="U440" t="s">
        <v>237</v>
      </c>
      <c r="V440" t="s">
        <v>206</v>
      </c>
      <c r="W440" t="s">
        <v>207</v>
      </c>
      <c r="X440" t="s">
        <v>207</v>
      </c>
      <c r="Y440">
        <v>3</v>
      </c>
      <c r="Z440">
        <v>3</v>
      </c>
      <c r="AA440">
        <v>3</v>
      </c>
      <c r="AB440">
        <f>IFERROR(AVERAGE(Tabel1[[#This Row],[Up - R1a]:[Up - R1c]]),"")</f>
        <v>3</v>
      </c>
      <c r="AC440">
        <v>3</v>
      </c>
      <c r="AD440">
        <v>4</v>
      </c>
      <c r="AE440">
        <v>2</v>
      </c>
      <c r="AF440">
        <v>4</v>
      </c>
      <c r="AG440">
        <f>IFERROR(AVERAGE(Tabel1[[#This Row],[Up - R1]:[Up - R5]]),"")</f>
        <v>3.2</v>
      </c>
      <c r="AH440">
        <v>3</v>
      </c>
      <c r="AI440">
        <v>4</v>
      </c>
      <c r="AJ440">
        <v>4</v>
      </c>
      <c r="AK440">
        <f>IFERROR(AVERAGE(Tabel1[[#This Row],[Up - C1a]:[Up - C1c]]),"")</f>
        <v>3.6666666666666665</v>
      </c>
      <c r="AL440">
        <v>3</v>
      </c>
      <c r="AM440">
        <v>2</v>
      </c>
      <c r="AN440">
        <v>2</v>
      </c>
      <c r="AO440">
        <f>IFERROR(AVERAGE(Tabel1[[#This Row],[Up - C1]:[Up - C4]]),"")</f>
        <v>2.6666666666666665</v>
      </c>
      <c r="AP440">
        <v>2</v>
      </c>
      <c r="AQ440">
        <f>IFERROR(AVERAGE(Tabel1[[#This Row],[Up - F1a]:[Up - F1a]]),"")</f>
        <v>2</v>
      </c>
      <c r="AR440">
        <v>1</v>
      </c>
      <c r="AS440">
        <v>1</v>
      </c>
      <c r="AT440">
        <f>IFERROR(AVERAGE(Tabel1[[#This Row],[Up - F2a]:[Up - F2b]]),"")</f>
        <v>1</v>
      </c>
      <c r="AU440">
        <v>5</v>
      </c>
      <c r="AV440">
        <v>1</v>
      </c>
      <c r="AW440">
        <f>IFERROR(AVERAGE(Tabel1[[#This Row],[Up - F3a]:[Up - F3b]]),"")</f>
        <v>3</v>
      </c>
      <c r="AX440">
        <v>2</v>
      </c>
      <c r="AY440">
        <f>IFERROR(AVERAGE(Tabel1[[#This Row],[Up - F1]],Tabel1[[#This Row],[Up - F2]],Tabel1[[#This Row],[Up - F3]],Tabel1[[#This Row],[Up - F4]]),"")</f>
        <v>2</v>
      </c>
      <c r="AZ440">
        <v>5</v>
      </c>
      <c r="BA440">
        <v>4</v>
      </c>
      <c r="BB440">
        <f>IFERROR(AVERAGE(Tabel1[[#This Row],[Up - V1a]:[Up - V1b]]),"")</f>
        <v>4.5</v>
      </c>
      <c r="BC440">
        <v>2</v>
      </c>
      <c r="BD440">
        <v>4</v>
      </c>
      <c r="BE440">
        <v>3</v>
      </c>
      <c r="BF440">
        <f>IFERROR(AVERAGE(Tabel1[[#This Row],[Up - V2a]:[Up - V2c]]),"")</f>
        <v>3</v>
      </c>
      <c r="BG440">
        <v>2</v>
      </c>
      <c r="BI440">
        <f>IFERROR(AVERAGE(Tabel1[[#This Row],[Up - V3a]:[Up - V3b]]),"")</f>
        <v>2</v>
      </c>
      <c r="BJ440" t="s">
        <v>189</v>
      </c>
      <c r="BK440">
        <f>IFERROR(AVERAGE(Tabel1[[#This Row],[Up - V1]],Tabel1[[#This Row],[Up - V2]],Tabel1[[#This Row],[Up - V3]],Tabel1[[#This Row],[Up - V4]]),"")</f>
        <v>3.1666666666666665</v>
      </c>
      <c r="BL440">
        <v>4</v>
      </c>
      <c r="BM440" t="s">
        <v>189</v>
      </c>
      <c r="BN440">
        <v>1</v>
      </c>
      <c r="BO440">
        <v>2</v>
      </c>
      <c r="BP440">
        <f>IFERROR(AVERAGE(Tabel1[[#This Row],[Up - A1a]:[Up - A1d]]),"")</f>
        <v>2.3333333333333335</v>
      </c>
      <c r="BQ440">
        <v>1</v>
      </c>
      <c r="BR440">
        <v>4</v>
      </c>
      <c r="BS440">
        <f>IFERROR(AVERAGE(Tabel1[[#This Row],[Up - A2a]:[Up - A2b]]),"")</f>
        <v>2.5</v>
      </c>
      <c r="BT440">
        <v>1</v>
      </c>
      <c r="BU440">
        <f>IFERROR(AVERAGE(Tabel1[[#This Row],[Up - A3a]:[Up - A3a]]),"")</f>
        <v>1</v>
      </c>
      <c r="BV440" t="s">
        <v>189</v>
      </c>
      <c r="BW440">
        <f>IFERROR(AVERAGE(Tabel1[[#This Row],[Up - A1]],Tabel1[[#This Row],[Up - A2]],Tabel1[[#This Row],[Up - A3]]),"")</f>
        <v>1.9444444444444446</v>
      </c>
      <c r="BX440">
        <v>2</v>
      </c>
      <c r="BY440">
        <v>4</v>
      </c>
      <c r="BZ440">
        <f>IFERROR(AVERAGE(Tabel1[[#This Row],[In - R1a]:[In - R1b]]),"")</f>
        <v>3</v>
      </c>
      <c r="CA440">
        <v>4</v>
      </c>
      <c r="CB440">
        <v>4</v>
      </c>
      <c r="CC440">
        <v>1</v>
      </c>
      <c r="CD440">
        <v>4</v>
      </c>
      <c r="CE440">
        <f>IFERROR(AVERAGE(Tabel1[[#This Row],[In - R1]:[In - R5]]),"")</f>
        <v>3.2</v>
      </c>
      <c r="CF440">
        <v>4</v>
      </c>
      <c r="CG440">
        <v>2</v>
      </c>
      <c r="CH440">
        <v>4</v>
      </c>
      <c r="CI440">
        <f>IFERROR(AVERAGE(Tabel1[[#This Row],[In - C1a]:[In - C1c]]),"")</f>
        <v>3.3333333333333335</v>
      </c>
      <c r="CJ440">
        <v>3</v>
      </c>
      <c r="CK440">
        <v>2</v>
      </c>
      <c r="CL440">
        <v>4</v>
      </c>
      <c r="CM440">
        <f>IFERROR(AVERAGE(Tabel1[[#This Row],[In - C1]:[In - C4]]),"")</f>
        <v>3.0833333333333335</v>
      </c>
      <c r="CN440">
        <v>1</v>
      </c>
      <c r="CO440">
        <v>3</v>
      </c>
      <c r="CP440">
        <v>1</v>
      </c>
      <c r="CQ440">
        <f>IFERROR(AVERAGE(Tabel1[[#This Row],[In - F1a]:[In - F1c]]),"")</f>
        <v>1.6666666666666667</v>
      </c>
      <c r="CR440">
        <v>4</v>
      </c>
      <c r="CS440">
        <v>1</v>
      </c>
      <c r="CT440">
        <f>IFERROR(AVERAGE(Tabel1[[#This Row],[In - F2a]:[In - F2b]]),"")</f>
        <v>2.5</v>
      </c>
      <c r="CU440">
        <v>1</v>
      </c>
      <c r="CV440">
        <f>IFERROR(AVERAGE(Tabel1[[#This Row],[In - F3a]:[In - F3a]]),"")</f>
        <v>1</v>
      </c>
      <c r="CW440">
        <v>3</v>
      </c>
      <c r="CX440">
        <f>IFERROR(AVERAGE(Tabel1[[#This Row],[In - F1]],Tabel1[[#This Row],[In - F2]],Tabel1[[#This Row],[In - F3]],Tabel1[[#This Row],[In - F4]]),"")</f>
        <v>2.041666666666667</v>
      </c>
      <c r="CY440">
        <v>5</v>
      </c>
      <c r="CZ440">
        <v>3</v>
      </c>
      <c r="DA440">
        <v>2</v>
      </c>
      <c r="DB440">
        <f>IFERROR(AVERAGE(Tabel1[[#This Row],[In - V1a]:[In - V1c]]),"")</f>
        <v>3.3333333333333335</v>
      </c>
      <c r="DC440">
        <v>4</v>
      </c>
      <c r="DD440">
        <v>4</v>
      </c>
      <c r="DE440">
        <v>2</v>
      </c>
      <c r="DF440">
        <f>IFERROR(AVERAGE(Tabel1[[#This Row],[In - V2a]:[In - V2c]]),"")</f>
        <v>3.3333333333333335</v>
      </c>
      <c r="DI440" t="str">
        <f>IFERROR(AVERAGE(Tabel1[[#This Row],[In - V3a]:[In - V3b]]),"")</f>
        <v/>
      </c>
      <c r="DJ440" t="s">
        <v>189</v>
      </c>
      <c r="DK440">
        <f>IFERROR(AVERAGE(Tabel1[[#This Row],[In - V1]],Tabel1[[#This Row],[In - V2]],Tabel1[[#This Row],[In - V3]],Tabel1[[#This Row],[In - V4]]),"")</f>
        <v>3.3333333333333335</v>
      </c>
      <c r="DL440">
        <v>3</v>
      </c>
      <c r="DM440">
        <v>2</v>
      </c>
      <c r="DN440">
        <f>IFERROR(AVERAGE(Tabel1[[#This Row],[In - A1a]:[In - A1b]]),"")</f>
        <v>2.5</v>
      </c>
      <c r="DO440">
        <v>3</v>
      </c>
      <c r="DP440">
        <v>2</v>
      </c>
      <c r="DQ440">
        <f>IFERROR(AVERAGE(Tabel1[[#This Row],[In - A2a]:[In - A2b]]),"")</f>
        <v>2.5</v>
      </c>
      <c r="DR440">
        <v>3</v>
      </c>
      <c r="DS440">
        <v>2</v>
      </c>
      <c r="DT440">
        <f>IFERROR(AVERAGE(Tabel1[[#This Row],[In - A3a]:[In - A3a]]),"")</f>
        <v>3</v>
      </c>
      <c r="DU440" t="s">
        <v>189</v>
      </c>
      <c r="DV440">
        <f>IFERROR(AVERAGE(Tabel1[[#This Row],[In - A1]],Tabel1[[#This Row],[In - A2]],Tabel1[[#This Row],[In - A3]],Tabel1[[#This Row],[In - A4]]),"")</f>
        <v>2.6666666666666665</v>
      </c>
      <c r="DW440">
        <v>2</v>
      </c>
      <c r="DX440">
        <v>5</v>
      </c>
      <c r="DY440">
        <v>2</v>
      </c>
      <c r="DZ440">
        <f>IFERROR(AVERAGE(Tabel1[[#This Row],[Do - R1a]:[Do - R1c]]),"")</f>
        <v>3</v>
      </c>
      <c r="EA440">
        <v>4</v>
      </c>
      <c r="EB440">
        <v>4</v>
      </c>
      <c r="EC440">
        <v>2</v>
      </c>
      <c r="ED440">
        <v>4</v>
      </c>
      <c r="EE440">
        <f>IFERROR(AVERAGE(Tabel1[[#This Row],[Do - R1]:[Do - R5]]),"")</f>
        <v>3.4</v>
      </c>
      <c r="EF440">
        <v>3</v>
      </c>
      <c r="EG440">
        <v>2</v>
      </c>
      <c r="EH440">
        <v>3</v>
      </c>
      <c r="EI440">
        <f>IFERROR(AVERAGE(Tabel1[[#This Row],[Do - C1a]:[Do - C1c]]),"")</f>
        <v>2.6666666666666665</v>
      </c>
      <c r="EJ440">
        <v>3</v>
      </c>
      <c r="EK440">
        <v>2</v>
      </c>
      <c r="EL440">
        <v>3</v>
      </c>
      <c r="EM440">
        <f>IFERROR(AVERAGE(Tabel1[[#This Row],[Do - C1]:[Do - C4]]),"")</f>
        <v>2.6666666666666665</v>
      </c>
      <c r="EN440">
        <v>2</v>
      </c>
      <c r="EO440">
        <v>2</v>
      </c>
      <c r="EP440">
        <v>5</v>
      </c>
      <c r="EQ440">
        <f>IFERROR(AVERAGE(Tabel1[[#This Row],[Do - F1a]:[Do - F1c]]),"")</f>
        <v>3</v>
      </c>
      <c r="ER440">
        <v>1</v>
      </c>
      <c r="ES440">
        <f>IFERROR(AVERAGE(Tabel1[[#This Row],[Do - F2a]:[Do - F2a]]),"")</f>
        <v>1</v>
      </c>
      <c r="ET440">
        <v>4</v>
      </c>
      <c r="EU440">
        <v>2</v>
      </c>
      <c r="EV440">
        <f>IFERROR(AVERAGE(Tabel1[[#This Row],[Do - F3a]:[Do - F3b]]),"")</f>
        <v>3</v>
      </c>
      <c r="EW440" t="s">
        <v>189</v>
      </c>
      <c r="EX440">
        <f>IFERROR(AVERAGE(Tabel1[[#This Row],[Do - F1]],Tabel1[[#This Row],[Do - F2]],Tabel1[[#This Row],[Do - F3]],Tabel1[[#This Row],[Do - F4]]),"")</f>
        <v>2.3333333333333335</v>
      </c>
      <c r="EY440">
        <v>3</v>
      </c>
      <c r="EZ440">
        <v>3</v>
      </c>
      <c r="FA440">
        <v>2</v>
      </c>
      <c r="FB440">
        <f>IFERROR(AVERAGE(Tabel1[[#This Row],[Do - V1a]:[Do - V1c]]),"")</f>
        <v>2.6666666666666665</v>
      </c>
      <c r="FC440">
        <v>4</v>
      </c>
      <c r="FD440">
        <v>3</v>
      </c>
      <c r="FE440">
        <f>IFERROR(AVERAGE(Tabel1[[#This Row],[Do - V2a]:[Do - V2b]]),"")</f>
        <v>3.5</v>
      </c>
      <c r="FG440" t="str">
        <f>IFERROR(AVERAGE(Tabel1[[#This Row],[Do - V3a]:[Do - V3a]]),"")</f>
        <v/>
      </c>
      <c r="FH440" t="s">
        <v>189</v>
      </c>
      <c r="FI440">
        <f>IFERROR(AVERAGE(Tabel1[[#This Row],[Do - V1]],Tabel1[[#This Row],[Do - V2]],Tabel1[[#This Row],[Do - V3]],Tabel1[[#This Row],[Do - V4]]),"")</f>
        <v>3.083333333333333</v>
      </c>
      <c r="FJ440">
        <v>3</v>
      </c>
      <c r="FK440">
        <v>1</v>
      </c>
      <c r="FL440">
        <v>2</v>
      </c>
      <c r="FM440">
        <f>IFERROR(AVERAGE(Tabel1[[#This Row],[Do - A1a]:[Do - A1c]]),"")</f>
        <v>2</v>
      </c>
      <c r="FN440">
        <v>3</v>
      </c>
      <c r="FO440">
        <v>4</v>
      </c>
      <c r="FP440">
        <f>IFERROR(AVERAGE(Tabel1[[#This Row],[Do - A2a]:[Do - A2b]]),"")</f>
        <v>3.5</v>
      </c>
      <c r="FQ440">
        <v>3</v>
      </c>
      <c r="FR440">
        <f>IFERROR(AVERAGE(Tabel1[[#This Row],[Do - A3a]:[Do - A3a]]),"")</f>
        <v>3</v>
      </c>
      <c r="FS440" t="s">
        <v>189</v>
      </c>
      <c r="FT440">
        <f>IFERROR(AVERAGE(Tabel1[[#This Row],[Do - A1]],Tabel1[[#This Row],[Do - A2]],Tabel1[[#This Row],[Do - A3]],Tabel1[[#This Row],[Do - A4]]),"")</f>
        <v>2.8333333333333335</v>
      </c>
      <c r="FU44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2.7746296296296298</v>
      </c>
      <c r="FV440" s="31" t="s">
        <v>2170</v>
      </c>
      <c r="FW440" t="b">
        <v>1</v>
      </c>
    </row>
    <row r="441" spans="1:179" x14ac:dyDescent="0.3">
      <c r="A441" s="13">
        <v>45713.519826388903</v>
      </c>
      <c r="B441" t="b">
        <v>0</v>
      </c>
      <c r="C441" t="s">
        <v>2171</v>
      </c>
      <c r="D441" t="s">
        <v>2172</v>
      </c>
      <c r="E441" t="s">
        <v>2142</v>
      </c>
      <c r="F441" s="14" t="s">
        <v>184</v>
      </c>
      <c r="G441" t="s">
        <v>2173</v>
      </c>
      <c r="H441" t="s">
        <v>222</v>
      </c>
      <c r="I441" t="s">
        <v>195</v>
      </c>
      <c r="J441" t="s">
        <v>1305</v>
      </c>
      <c r="K441" t="s">
        <v>187</v>
      </c>
      <c r="L441" t="s">
        <v>249</v>
      </c>
      <c r="M441" t="s">
        <v>198</v>
      </c>
      <c r="N441" t="s">
        <v>199</v>
      </c>
      <c r="O441" t="s">
        <v>200</v>
      </c>
      <c r="P441" t="s">
        <v>304</v>
      </c>
      <c r="Q441" t="s">
        <v>187</v>
      </c>
      <c r="R441" t="s">
        <v>187</v>
      </c>
      <c r="S441" t="s">
        <v>235</v>
      </c>
      <c r="T441" t="s">
        <v>204</v>
      </c>
      <c r="U441" t="s">
        <v>237</v>
      </c>
      <c r="V441" t="s">
        <v>484</v>
      </c>
      <c r="W441" t="s">
        <v>207</v>
      </c>
      <c r="X441" t="s">
        <v>207</v>
      </c>
      <c r="Y441">
        <v>4</v>
      </c>
      <c r="Z441">
        <v>2</v>
      </c>
      <c r="AA441">
        <v>3</v>
      </c>
      <c r="AB441">
        <f>IFERROR(AVERAGE(Tabel1[[#This Row],[Up - R1a]:[Up - R1c]]),"")</f>
        <v>3</v>
      </c>
      <c r="AC441">
        <v>3</v>
      </c>
      <c r="AD441">
        <v>4</v>
      </c>
      <c r="AE441" t="s">
        <v>189</v>
      </c>
      <c r="AF441">
        <v>4</v>
      </c>
      <c r="AG441">
        <f>IFERROR(AVERAGE(Tabel1[[#This Row],[Up - R1]:[Up - R5]]),"")</f>
        <v>3.5</v>
      </c>
      <c r="AH441">
        <v>3</v>
      </c>
      <c r="AI441">
        <v>4</v>
      </c>
      <c r="AJ441">
        <v>3</v>
      </c>
      <c r="AK441">
        <f>IFERROR(AVERAGE(Tabel1[[#This Row],[Up - C1a]:[Up - C1c]]),"")</f>
        <v>3.3333333333333335</v>
      </c>
      <c r="AL441">
        <v>3</v>
      </c>
      <c r="AM441">
        <v>3</v>
      </c>
      <c r="AN441">
        <v>4</v>
      </c>
      <c r="AO441">
        <f>IFERROR(AVERAGE(Tabel1[[#This Row],[Up - C1]:[Up - C4]]),"")</f>
        <v>3.3333333333333335</v>
      </c>
      <c r="AP441">
        <v>3</v>
      </c>
      <c r="AQ441">
        <f>IFERROR(AVERAGE(Tabel1[[#This Row],[Up - F1a]:[Up - F1a]]),"")</f>
        <v>3</v>
      </c>
      <c r="AR441">
        <v>2</v>
      </c>
      <c r="AS441">
        <v>2</v>
      </c>
      <c r="AT441">
        <f>IFERROR(AVERAGE(Tabel1[[#This Row],[Up - F2a]:[Up - F2b]]),"")</f>
        <v>2</v>
      </c>
      <c r="AU441">
        <v>4</v>
      </c>
      <c r="AV441" t="s">
        <v>189</v>
      </c>
      <c r="AW441">
        <f>IFERROR(AVERAGE(Tabel1[[#This Row],[Up - F3a]:[Up - F3b]]),"")</f>
        <v>4</v>
      </c>
      <c r="AX441" t="s">
        <v>189</v>
      </c>
      <c r="AY441">
        <f>IFERROR(AVERAGE(Tabel1[[#This Row],[Up - F1]],Tabel1[[#This Row],[Up - F2]],Tabel1[[#This Row],[Up - F3]],Tabel1[[#This Row],[Up - F4]]),"")</f>
        <v>3</v>
      </c>
      <c r="AZ441">
        <v>4</v>
      </c>
      <c r="BA441">
        <v>3</v>
      </c>
      <c r="BB441">
        <f>IFERROR(AVERAGE(Tabel1[[#This Row],[Up - V1a]:[Up - V1b]]),"")</f>
        <v>3.5</v>
      </c>
      <c r="BC441">
        <v>4</v>
      </c>
      <c r="BD441">
        <v>3</v>
      </c>
      <c r="BE441">
        <v>4</v>
      </c>
      <c r="BF441">
        <f>IFERROR(AVERAGE(Tabel1[[#This Row],[Up - V2a]:[Up - V2c]]),"")</f>
        <v>3.6666666666666665</v>
      </c>
      <c r="BG441">
        <v>3</v>
      </c>
      <c r="BH441">
        <v>5</v>
      </c>
      <c r="BI441">
        <f>IFERROR(AVERAGE(Tabel1[[#This Row],[Up - V3a]:[Up - V3b]]),"")</f>
        <v>4</v>
      </c>
      <c r="BJ441">
        <v>4</v>
      </c>
      <c r="BK441">
        <f>IFERROR(AVERAGE(Tabel1[[#This Row],[Up - V1]],Tabel1[[#This Row],[Up - V2]],Tabel1[[#This Row],[Up - V3]],Tabel1[[#This Row],[Up - V4]]),"")</f>
        <v>3.7916666666666665</v>
      </c>
      <c r="BL441">
        <v>4</v>
      </c>
      <c r="BM441">
        <v>4</v>
      </c>
      <c r="BN441">
        <v>3</v>
      </c>
      <c r="BO441">
        <v>3</v>
      </c>
      <c r="BP441">
        <f>IFERROR(AVERAGE(Tabel1[[#This Row],[Up - A1a]:[Up - A1d]]),"")</f>
        <v>3.5</v>
      </c>
      <c r="BQ441">
        <v>4</v>
      </c>
      <c r="BR441">
        <v>4</v>
      </c>
      <c r="BS441">
        <f>IFERROR(AVERAGE(Tabel1[[#This Row],[Up - A2a]:[Up - A2b]]),"")</f>
        <v>4</v>
      </c>
      <c r="BT441">
        <v>4</v>
      </c>
      <c r="BU441">
        <f>IFERROR(AVERAGE(Tabel1[[#This Row],[Up - A3a]:[Up - A3a]]),"")</f>
        <v>4</v>
      </c>
      <c r="BV441" t="s">
        <v>189</v>
      </c>
      <c r="BW441">
        <f>IFERROR(AVERAGE(Tabel1[[#This Row],[Up - A1]],Tabel1[[#This Row],[Up - A2]],Tabel1[[#This Row],[Up - A3]]),"")</f>
        <v>3.8333333333333335</v>
      </c>
      <c r="BX441">
        <v>4</v>
      </c>
      <c r="BY441">
        <v>5</v>
      </c>
      <c r="BZ441">
        <f>IFERROR(AVERAGE(Tabel1[[#This Row],[In - R1a]:[In - R1b]]),"")</f>
        <v>4.5</v>
      </c>
      <c r="CA441">
        <v>4</v>
      </c>
      <c r="CB441">
        <v>4</v>
      </c>
      <c r="CC441">
        <v>1</v>
      </c>
      <c r="CD441">
        <v>5</v>
      </c>
      <c r="CE441">
        <f>IFERROR(AVERAGE(Tabel1[[#This Row],[In - R1]:[In - R5]]),"")</f>
        <v>3.7</v>
      </c>
      <c r="CF441">
        <v>4</v>
      </c>
      <c r="CG441">
        <v>3</v>
      </c>
      <c r="CH441">
        <v>4</v>
      </c>
      <c r="CI441">
        <f>IFERROR(AVERAGE(Tabel1[[#This Row],[In - C1a]:[In - C1c]]),"")</f>
        <v>3.6666666666666665</v>
      </c>
      <c r="CJ441">
        <v>3</v>
      </c>
      <c r="CK441">
        <v>5</v>
      </c>
      <c r="CL441">
        <v>5</v>
      </c>
      <c r="CM441">
        <f>IFERROR(AVERAGE(Tabel1[[#This Row],[In - C1]:[In - C4]]),"")</f>
        <v>4.1666666666666661</v>
      </c>
      <c r="CN441">
        <v>4</v>
      </c>
      <c r="CO441">
        <v>2</v>
      </c>
      <c r="CP441">
        <v>2</v>
      </c>
      <c r="CQ441">
        <f>IFERROR(AVERAGE(Tabel1[[#This Row],[In - F1a]:[In - F1c]]),"")</f>
        <v>2.6666666666666665</v>
      </c>
      <c r="CR441">
        <v>3</v>
      </c>
      <c r="CS441">
        <v>2</v>
      </c>
      <c r="CT441">
        <f>IFERROR(AVERAGE(Tabel1[[#This Row],[In - F2a]:[In - F2b]]),"")</f>
        <v>2.5</v>
      </c>
      <c r="CU441">
        <v>2</v>
      </c>
      <c r="CV441">
        <f>IFERROR(AVERAGE(Tabel1[[#This Row],[In - F3a]:[In - F3a]]),"")</f>
        <v>2</v>
      </c>
      <c r="CW441" t="s">
        <v>189</v>
      </c>
      <c r="CX441">
        <f>IFERROR(AVERAGE(Tabel1[[#This Row],[In - F1]],Tabel1[[#This Row],[In - F2]],Tabel1[[#This Row],[In - F3]],Tabel1[[#This Row],[In - F4]]),"")</f>
        <v>2.3888888888888888</v>
      </c>
      <c r="CY441">
        <v>3</v>
      </c>
      <c r="CZ441">
        <v>3</v>
      </c>
      <c r="DA441">
        <v>3</v>
      </c>
      <c r="DB441">
        <f>IFERROR(AVERAGE(Tabel1[[#This Row],[In - V1a]:[In - V1c]]),"")</f>
        <v>3</v>
      </c>
      <c r="DC441">
        <v>4</v>
      </c>
      <c r="DD441">
        <v>4</v>
      </c>
      <c r="DE441" t="s">
        <v>189</v>
      </c>
      <c r="DF441">
        <f>IFERROR(AVERAGE(Tabel1[[#This Row],[In - V2a]:[In - V2c]]),"")</f>
        <v>4</v>
      </c>
      <c r="DG441">
        <v>4</v>
      </c>
      <c r="DH441">
        <v>5</v>
      </c>
      <c r="DI441">
        <f>IFERROR(AVERAGE(Tabel1[[#This Row],[In - V3a]:[In - V3b]]),"")</f>
        <v>4.5</v>
      </c>
      <c r="DJ441">
        <v>5</v>
      </c>
      <c r="DK441">
        <f>IFERROR(AVERAGE(Tabel1[[#This Row],[In - V1]],Tabel1[[#This Row],[In - V2]],Tabel1[[#This Row],[In - V3]],Tabel1[[#This Row],[In - V4]]),"")</f>
        <v>4.125</v>
      </c>
      <c r="DL441">
        <v>3</v>
      </c>
      <c r="DM441">
        <v>3</v>
      </c>
      <c r="DN441">
        <f>IFERROR(AVERAGE(Tabel1[[#This Row],[In - A1a]:[In - A1b]]),"")</f>
        <v>3</v>
      </c>
      <c r="DO441">
        <v>3</v>
      </c>
      <c r="DP441">
        <v>4</v>
      </c>
      <c r="DQ441">
        <f>IFERROR(AVERAGE(Tabel1[[#This Row],[In - A2a]:[In - A2b]]),"")</f>
        <v>3.5</v>
      </c>
      <c r="DR441">
        <v>4</v>
      </c>
      <c r="DS441">
        <v>3</v>
      </c>
      <c r="DT441">
        <f>IFERROR(AVERAGE(Tabel1[[#This Row],[In - A3a]:[In - A3a]]),"")</f>
        <v>4</v>
      </c>
      <c r="DU441" t="s">
        <v>189</v>
      </c>
      <c r="DV441">
        <f>IFERROR(AVERAGE(Tabel1[[#This Row],[In - A1]],Tabel1[[#This Row],[In - A2]],Tabel1[[#This Row],[In - A3]],Tabel1[[#This Row],[In - A4]]),"")</f>
        <v>3.5</v>
      </c>
      <c r="DW441" t="s">
        <v>189</v>
      </c>
      <c r="DX441">
        <v>5</v>
      </c>
      <c r="DY441" t="s">
        <v>189</v>
      </c>
      <c r="DZ441">
        <f>IFERROR(AVERAGE(Tabel1[[#This Row],[Do - R1a]:[Do - R1c]]),"")</f>
        <v>5</v>
      </c>
      <c r="EA441">
        <v>3</v>
      </c>
      <c r="EB441">
        <v>4</v>
      </c>
      <c r="EC441">
        <v>1</v>
      </c>
      <c r="ED441">
        <v>3</v>
      </c>
      <c r="EE441">
        <f>IFERROR(AVERAGE(Tabel1[[#This Row],[Do - R1]:[Do - R5]]),"")</f>
        <v>3.2</v>
      </c>
      <c r="EF441">
        <v>4</v>
      </c>
      <c r="EG441">
        <v>3</v>
      </c>
      <c r="EH441">
        <v>3</v>
      </c>
      <c r="EI441">
        <f>IFERROR(AVERAGE(Tabel1[[#This Row],[Do - C1a]:[Do - C1c]]),"")</f>
        <v>3.3333333333333335</v>
      </c>
      <c r="EJ441">
        <v>3</v>
      </c>
      <c r="EK441" t="s">
        <v>189</v>
      </c>
      <c r="EL441">
        <v>4</v>
      </c>
      <c r="EM441">
        <f>IFERROR(AVERAGE(Tabel1[[#This Row],[Do - C1]:[Do - C4]]),"")</f>
        <v>3.4444444444444446</v>
      </c>
      <c r="EN441">
        <v>3</v>
      </c>
      <c r="EO441">
        <v>2</v>
      </c>
      <c r="EP441">
        <v>3</v>
      </c>
      <c r="EQ441">
        <f>IFERROR(AVERAGE(Tabel1[[#This Row],[Do - F1a]:[Do - F1c]]),"")</f>
        <v>2.6666666666666665</v>
      </c>
      <c r="ER441" t="s">
        <v>189</v>
      </c>
      <c r="ES441" t="str">
        <f>IFERROR(AVERAGE(Tabel1[[#This Row],[Do - F2a]:[Do - F2a]]),"")</f>
        <v/>
      </c>
      <c r="ET441">
        <v>4</v>
      </c>
      <c r="EU441" t="s">
        <v>189</v>
      </c>
      <c r="EV441">
        <f>IFERROR(AVERAGE(Tabel1[[#This Row],[Do - F3a]:[Do - F3b]]),"")</f>
        <v>4</v>
      </c>
      <c r="EW441">
        <v>4</v>
      </c>
      <c r="EX441">
        <f>IFERROR(AVERAGE(Tabel1[[#This Row],[Do - F1]],Tabel1[[#This Row],[Do - F2]],Tabel1[[#This Row],[Do - F3]],Tabel1[[#This Row],[Do - F4]]),"")</f>
        <v>3.5555555555555554</v>
      </c>
      <c r="EY441">
        <v>2</v>
      </c>
      <c r="EZ441">
        <v>2</v>
      </c>
      <c r="FA441">
        <v>2</v>
      </c>
      <c r="FB441">
        <f>IFERROR(AVERAGE(Tabel1[[#This Row],[Do - V1a]:[Do - V1c]]),"")</f>
        <v>2</v>
      </c>
      <c r="FC441">
        <v>4</v>
      </c>
      <c r="FD441">
        <v>3</v>
      </c>
      <c r="FE441">
        <f>IFERROR(AVERAGE(Tabel1[[#This Row],[Do - V2a]:[Do - V2b]]),"")</f>
        <v>3.5</v>
      </c>
      <c r="FF441">
        <v>4</v>
      </c>
      <c r="FG441">
        <f>IFERROR(AVERAGE(Tabel1[[#This Row],[Do - V3a]:[Do - V3a]]),"")</f>
        <v>4</v>
      </c>
      <c r="FH441">
        <v>5</v>
      </c>
      <c r="FI441">
        <f>IFERROR(AVERAGE(Tabel1[[#This Row],[Do - V1]],Tabel1[[#This Row],[Do - V2]],Tabel1[[#This Row],[Do - V3]],Tabel1[[#This Row],[Do - V4]]),"")</f>
        <v>3.625</v>
      </c>
      <c r="FJ441">
        <v>3</v>
      </c>
      <c r="FK441">
        <v>4</v>
      </c>
      <c r="FL441">
        <v>3</v>
      </c>
      <c r="FM441">
        <f>IFERROR(AVERAGE(Tabel1[[#This Row],[Do - A1a]:[Do - A1c]]),"")</f>
        <v>3.3333333333333335</v>
      </c>
      <c r="FN441">
        <v>4</v>
      </c>
      <c r="FO441">
        <v>4</v>
      </c>
      <c r="FP441">
        <f>IFERROR(AVERAGE(Tabel1[[#This Row],[Do - A2a]:[Do - A2b]]),"")</f>
        <v>4</v>
      </c>
      <c r="FQ441">
        <v>4</v>
      </c>
      <c r="FR441">
        <f>IFERROR(AVERAGE(Tabel1[[#This Row],[Do - A3a]:[Do - A3a]]),"")</f>
        <v>4</v>
      </c>
      <c r="FS441" t="s">
        <v>189</v>
      </c>
      <c r="FT441">
        <f>IFERROR(AVERAGE(Tabel1[[#This Row],[Do - A1]],Tabel1[[#This Row],[Do - A2]],Tabel1[[#This Row],[Do - A3]],Tabel1[[#This Row],[Do - A4]]),"")</f>
        <v>3.7777777777777781</v>
      </c>
      <c r="FU44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3.5294444444444446</v>
      </c>
      <c r="FV441" s="31" t="s">
        <v>2174</v>
      </c>
      <c r="FW441" t="b">
        <v>1</v>
      </c>
    </row>
    <row r="442" spans="1:179" x14ac:dyDescent="0.3">
      <c r="A442" s="13">
        <v>45713.771446759303</v>
      </c>
      <c r="B442" t="b">
        <v>0</v>
      </c>
      <c r="C442" t="s">
        <v>2175</v>
      </c>
      <c r="D442" t="s">
        <v>2176</v>
      </c>
      <c r="E442" t="s">
        <v>2147</v>
      </c>
      <c r="F442" s="14" t="s">
        <v>184</v>
      </c>
      <c r="G442" t="s">
        <v>2177</v>
      </c>
      <c r="H442" t="s">
        <v>222</v>
      </c>
      <c r="I442" t="s">
        <v>572</v>
      </c>
      <c r="J442" t="s">
        <v>573</v>
      </c>
      <c r="K442" t="s">
        <v>201</v>
      </c>
      <c r="L442" t="s">
        <v>197</v>
      </c>
      <c r="M442" t="s">
        <v>188</v>
      </c>
      <c r="N442" t="s">
        <v>316</v>
      </c>
      <c r="O442" t="s">
        <v>256</v>
      </c>
      <c r="P442" t="s">
        <v>203</v>
      </c>
      <c r="U442" t="s">
        <v>285</v>
      </c>
      <c r="V442" t="s">
        <v>224</v>
      </c>
      <c r="W442" t="s">
        <v>207</v>
      </c>
      <c r="X442" t="s">
        <v>207</v>
      </c>
      <c r="Y442" t="s">
        <v>189</v>
      </c>
      <c r="Z442">
        <v>5</v>
      </c>
      <c r="AA442" t="s">
        <v>189</v>
      </c>
      <c r="AB442">
        <f>IFERROR(AVERAGE(Tabel1[[#This Row],[Up - R1a]:[Up - R1c]]),"")</f>
        <v>5</v>
      </c>
      <c r="AC442" t="s">
        <v>189</v>
      </c>
      <c r="AD442" t="s">
        <v>189</v>
      </c>
      <c r="AE442" t="s">
        <v>189</v>
      </c>
      <c r="AF442" t="s">
        <v>189</v>
      </c>
      <c r="AG442">
        <f>IFERROR(AVERAGE(Tabel1[[#This Row],[Up - R1]:[Up - R5]]),"")</f>
        <v>5</v>
      </c>
      <c r="AH442">
        <v>5</v>
      </c>
      <c r="AI442">
        <v>5</v>
      </c>
      <c r="AJ442">
        <v>3</v>
      </c>
      <c r="AK442">
        <f>IFERROR(AVERAGE(Tabel1[[#This Row],[Up - C1a]:[Up - C1c]]),"")</f>
        <v>4.333333333333333</v>
      </c>
      <c r="AL442" t="s">
        <v>189</v>
      </c>
      <c r="AM442" t="s">
        <v>189</v>
      </c>
      <c r="AN442" t="s">
        <v>189</v>
      </c>
      <c r="AO442">
        <f>IFERROR(AVERAGE(Tabel1[[#This Row],[Up - C1]:[Up - C4]]),"")</f>
        <v>4.333333333333333</v>
      </c>
      <c r="AP442">
        <v>1</v>
      </c>
      <c r="AQ442">
        <f>IFERROR(AVERAGE(Tabel1[[#This Row],[Up - F1a]:[Up - F1a]]),"")</f>
        <v>1</v>
      </c>
      <c r="AR442" t="s">
        <v>189</v>
      </c>
      <c r="AS442" t="s">
        <v>189</v>
      </c>
      <c r="AT442" t="str">
        <f>IFERROR(AVERAGE(Tabel1[[#This Row],[Up - F2a]:[Up - F2b]]),"")</f>
        <v/>
      </c>
      <c r="AU442">
        <v>4</v>
      </c>
      <c r="AV442" t="s">
        <v>189</v>
      </c>
      <c r="AW442">
        <f>IFERROR(AVERAGE(Tabel1[[#This Row],[Up - F3a]:[Up - F3b]]),"")</f>
        <v>4</v>
      </c>
      <c r="AX442">
        <v>3</v>
      </c>
      <c r="AY442">
        <f>IFERROR(AVERAGE(Tabel1[[#This Row],[Up - F1]],Tabel1[[#This Row],[Up - F2]],Tabel1[[#This Row],[Up - F3]],Tabel1[[#This Row],[Up - F4]]),"")</f>
        <v>2.6666666666666665</v>
      </c>
      <c r="AZ442" t="s">
        <v>189</v>
      </c>
      <c r="BA442" t="s">
        <v>189</v>
      </c>
      <c r="BB442" t="str">
        <f>IFERROR(AVERAGE(Tabel1[[#This Row],[Up - V1a]:[Up - V1b]]),"")</f>
        <v/>
      </c>
      <c r="BC442" t="s">
        <v>189</v>
      </c>
      <c r="BD442">
        <v>3</v>
      </c>
      <c r="BE442">
        <v>3</v>
      </c>
      <c r="BF442">
        <f>IFERROR(AVERAGE(Tabel1[[#This Row],[Up - V2a]:[Up - V2c]]),"")</f>
        <v>3</v>
      </c>
      <c r="BG442" t="s">
        <v>189</v>
      </c>
      <c r="BH442" t="s">
        <v>189</v>
      </c>
      <c r="BI442" t="str">
        <f>IFERROR(AVERAGE(Tabel1[[#This Row],[Up - V3a]:[Up - V3b]]),"")</f>
        <v/>
      </c>
      <c r="BJ442" t="s">
        <v>189</v>
      </c>
      <c r="BK442">
        <f>IFERROR(AVERAGE(Tabel1[[#This Row],[Up - V1]],Tabel1[[#This Row],[Up - V2]],Tabel1[[#This Row],[Up - V3]],Tabel1[[#This Row],[Up - V4]]),"")</f>
        <v>3</v>
      </c>
      <c r="BL442" t="s">
        <v>189</v>
      </c>
      <c r="BM442" t="s">
        <v>189</v>
      </c>
      <c r="BN442" t="s">
        <v>189</v>
      </c>
      <c r="BO442">
        <v>4</v>
      </c>
      <c r="BP442">
        <f>IFERROR(AVERAGE(Tabel1[[#This Row],[Up - A1a]:[Up - A1d]]),"")</f>
        <v>4</v>
      </c>
      <c r="BQ442">
        <v>4</v>
      </c>
      <c r="BR442" t="s">
        <v>189</v>
      </c>
      <c r="BS442">
        <f>IFERROR(AVERAGE(Tabel1[[#This Row],[Up - A2a]:[Up - A2b]]),"")</f>
        <v>4</v>
      </c>
      <c r="BT442" t="s">
        <v>189</v>
      </c>
      <c r="BU442" t="str">
        <f>IFERROR(AVERAGE(Tabel1[[#This Row],[Up - A3a]:[Up - A3a]]),"")</f>
        <v/>
      </c>
      <c r="BV442" t="s">
        <v>189</v>
      </c>
      <c r="BW442">
        <f>IFERROR(AVERAGE(Tabel1[[#This Row],[Up - A1]],Tabel1[[#This Row],[Up - A2]],Tabel1[[#This Row],[Up - A3]]),"")</f>
        <v>4</v>
      </c>
      <c r="BX442" t="s">
        <v>189</v>
      </c>
      <c r="BY442">
        <v>5</v>
      </c>
      <c r="BZ442">
        <f>IFERROR(AVERAGE(Tabel1[[#This Row],[In - R1a]:[In - R1b]]),"")</f>
        <v>5</v>
      </c>
      <c r="CA442" t="s">
        <v>189</v>
      </c>
      <c r="CB442">
        <v>5</v>
      </c>
      <c r="CC442" t="s">
        <v>189</v>
      </c>
      <c r="CD442">
        <v>5</v>
      </c>
      <c r="CE442">
        <f>IFERROR(AVERAGE(Tabel1[[#This Row],[In - R1]:[In - R5]]),"")</f>
        <v>5</v>
      </c>
      <c r="CF442">
        <v>5</v>
      </c>
      <c r="CG442">
        <v>5</v>
      </c>
      <c r="CH442">
        <v>5</v>
      </c>
      <c r="CI442">
        <f>IFERROR(AVERAGE(Tabel1[[#This Row],[In - C1a]:[In - C1c]]),"")</f>
        <v>5</v>
      </c>
      <c r="CJ442">
        <v>5</v>
      </c>
      <c r="CK442">
        <v>5</v>
      </c>
      <c r="CL442" t="s">
        <v>189</v>
      </c>
      <c r="CM442">
        <f>IFERROR(AVERAGE(Tabel1[[#This Row],[In - C1]:[In - C4]]),"")</f>
        <v>5</v>
      </c>
      <c r="CN442">
        <v>5</v>
      </c>
      <c r="CO442">
        <v>3</v>
      </c>
      <c r="CP442">
        <v>3</v>
      </c>
      <c r="CQ442">
        <f>IFERROR(AVERAGE(Tabel1[[#This Row],[In - F1a]:[In - F1c]]),"")</f>
        <v>3.6666666666666665</v>
      </c>
      <c r="CR442" t="s">
        <v>189</v>
      </c>
      <c r="CS442" t="s">
        <v>189</v>
      </c>
      <c r="CT442" t="str">
        <f>IFERROR(AVERAGE(Tabel1[[#This Row],[In - F2a]:[In - F2b]]),"")</f>
        <v/>
      </c>
      <c r="CU442" t="s">
        <v>189</v>
      </c>
      <c r="CV442" t="str">
        <f>IFERROR(AVERAGE(Tabel1[[#This Row],[In - F3a]:[In - F3a]]),"")</f>
        <v/>
      </c>
      <c r="CW442">
        <v>3</v>
      </c>
      <c r="CX442">
        <f>IFERROR(AVERAGE(Tabel1[[#This Row],[In - F1]],Tabel1[[#This Row],[In - F2]],Tabel1[[#This Row],[In - F3]],Tabel1[[#This Row],[In - F4]]),"")</f>
        <v>3.333333333333333</v>
      </c>
      <c r="CY442">
        <v>5</v>
      </c>
      <c r="CZ442">
        <v>5</v>
      </c>
      <c r="DA442">
        <v>3</v>
      </c>
      <c r="DB442">
        <f>IFERROR(AVERAGE(Tabel1[[#This Row],[In - V1a]:[In - V1c]]),"")</f>
        <v>4.333333333333333</v>
      </c>
      <c r="DC442">
        <v>3</v>
      </c>
      <c r="DD442">
        <v>3</v>
      </c>
      <c r="DE442">
        <v>4</v>
      </c>
      <c r="DF442">
        <f>IFERROR(AVERAGE(Tabel1[[#This Row],[In - V2a]:[In - V2c]]),"")</f>
        <v>3.3333333333333335</v>
      </c>
      <c r="DG442">
        <v>5</v>
      </c>
      <c r="DH442">
        <v>5</v>
      </c>
      <c r="DI442">
        <f>IFERROR(AVERAGE(Tabel1[[#This Row],[In - V3a]:[In - V3b]]),"")</f>
        <v>5</v>
      </c>
      <c r="DJ442">
        <v>4</v>
      </c>
      <c r="DK442">
        <f>IFERROR(AVERAGE(Tabel1[[#This Row],[In - V1]],Tabel1[[#This Row],[In - V2]],Tabel1[[#This Row],[In - V3]],Tabel1[[#This Row],[In - V4]]),"")</f>
        <v>4.1666666666666661</v>
      </c>
      <c r="DL442">
        <v>3</v>
      </c>
      <c r="DM442">
        <v>3</v>
      </c>
      <c r="DN442">
        <f>IFERROR(AVERAGE(Tabel1[[#This Row],[In - A1a]:[In - A1b]]),"")</f>
        <v>3</v>
      </c>
      <c r="DO442">
        <v>3</v>
      </c>
      <c r="DP442">
        <v>3</v>
      </c>
      <c r="DQ442">
        <f>IFERROR(AVERAGE(Tabel1[[#This Row],[In - A2a]:[In - A2b]]),"")</f>
        <v>3</v>
      </c>
      <c r="DR442">
        <v>4</v>
      </c>
      <c r="DS442">
        <v>4</v>
      </c>
      <c r="DT442">
        <f>IFERROR(AVERAGE(Tabel1[[#This Row],[In - A3a]:[In - A3a]]),"")</f>
        <v>4</v>
      </c>
      <c r="DU442">
        <v>3</v>
      </c>
      <c r="DV442">
        <f>IFERROR(AVERAGE(Tabel1[[#This Row],[In - A1]],Tabel1[[#This Row],[In - A2]],Tabel1[[#This Row],[In - A3]],Tabel1[[#This Row],[In - A4]]),"")</f>
        <v>3.25</v>
      </c>
      <c r="DW442" t="s">
        <v>189</v>
      </c>
      <c r="DX442">
        <v>5</v>
      </c>
      <c r="DY442" t="s">
        <v>189</v>
      </c>
      <c r="DZ442">
        <f>IFERROR(AVERAGE(Tabel1[[#This Row],[Do - R1a]:[Do - R1c]]),"")</f>
        <v>5</v>
      </c>
      <c r="EA442">
        <v>3</v>
      </c>
      <c r="EB442">
        <v>5</v>
      </c>
      <c r="EC442">
        <v>3</v>
      </c>
      <c r="ED442" t="s">
        <v>189</v>
      </c>
      <c r="EE442">
        <f>IFERROR(AVERAGE(Tabel1[[#This Row],[Do - R1]:[Do - R5]]),"")</f>
        <v>4</v>
      </c>
      <c r="EF442">
        <v>5</v>
      </c>
      <c r="EG442">
        <v>5</v>
      </c>
      <c r="EH442">
        <v>4</v>
      </c>
      <c r="EI442">
        <f>IFERROR(AVERAGE(Tabel1[[#This Row],[Do - C1a]:[Do - C1c]]),"")</f>
        <v>4.666666666666667</v>
      </c>
      <c r="EJ442">
        <v>5</v>
      </c>
      <c r="EK442">
        <v>5</v>
      </c>
      <c r="EL442" t="s">
        <v>189</v>
      </c>
      <c r="EM442">
        <f>IFERROR(AVERAGE(Tabel1[[#This Row],[Do - C1]:[Do - C4]]),"")</f>
        <v>4.8888888888888893</v>
      </c>
      <c r="EN442">
        <v>3</v>
      </c>
      <c r="EO442">
        <v>3</v>
      </c>
      <c r="EP442">
        <v>5</v>
      </c>
      <c r="EQ442">
        <f>IFERROR(AVERAGE(Tabel1[[#This Row],[Do - F1a]:[Do - F1c]]),"")</f>
        <v>3.6666666666666665</v>
      </c>
      <c r="ER442">
        <v>2</v>
      </c>
      <c r="ES442">
        <f>IFERROR(AVERAGE(Tabel1[[#This Row],[Do - F2a]:[Do - F2a]]),"")</f>
        <v>2</v>
      </c>
      <c r="ET442">
        <v>5</v>
      </c>
      <c r="EU442">
        <v>3</v>
      </c>
      <c r="EV442">
        <f>IFERROR(AVERAGE(Tabel1[[#This Row],[Do - F3a]:[Do - F3b]]),"")</f>
        <v>4</v>
      </c>
      <c r="EW442">
        <v>3</v>
      </c>
      <c r="EX442">
        <f>IFERROR(AVERAGE(Tabel1[[#This Row],[Do - F1]],Tabel1[[#This Row],[Do - F2]],Tabel1[[#This Row],[Do - F3]],Tabel1[[#This Row],[Do - F4]]),"")</f>
        <v>3.1666666666666665</v>
      </c>
      <c r="EY442">
        <v>3</v>
      </c>
      <c r="EZ442">
        <v>4</v>
      </c>
      <c r="FA442">
        <v>4</v>
      </c>
      <c r="FB442">
        <f>IFERROR(AVERAGE(Tabel1[[#This Row],[Do - V1a]:[Do - V1c]]),"")</f>
        <v>3.6666666666666665</v>
      </c>
      <c r="FC442">
        <v>4</v>
      </c>
      <c r="FD442">
        <v>5</v>
      </c>
      <c r="FE442">
        <f>IFERROR(AVERAGE(Tabel1[[#This Row],[Do - V2a]:[Do - V2b]]),"")</f>
        <v>4.5</v>
      </c>
      <c r="FF442">
        <v>4</v>
      </c>
      <c r="FG442">
        <f>IFERROR(AVERAGE(Tabel1[[#This Row],[Do - V3a]:[Do - V3a]]),"")</f>
        <v>4</v>
      </c>
      <c r="FH442">
        <v>4</v>
      </c>
      <c r="FI442">
        <f>IFERROR(AVERAGE(Tabel1[[#This Row],[Do - V1]],Tabel1[[#This Row],[Do - V2]],Tabel1[[#This Row],[Do - V3]],Tabel1[[#This Row],[Do - V4]]),"")</f>
        <v>4.0416666666666661</v>
      </c>
      <c r="FJ442">
        <v>4</v>
      </c>
      <c r="FK442">
        <v>3</v>
      </c>
      <c r="FL442">
        <v>4</v>
      </c>
      <c r="FM442">
        <f>IFERROR(AVERAGE(Tabel1[[#This Row],[Do - A1a]:[Do - A1c]]),"")</f>
        <v>3.6666666666666665</v>
      </c>
      <c r="FN442">
        <v>2</v>
      </c>
      <c r="FO442">
        <v>4</v>
      </c>
      <c r="FP442">
        <f>IFERROR(AVERAGE(Tabel1[[#This Row],[Do - A2a]:[Do - A2b]]),"")</f>
        <v>3</v>
      </c>
      <c r="FQ442">
        <v>4</v>
      </c>
      <c r="FR442">
        <f>IFERROR(AVERAGE(Tabel1[[#This Row],[Do - A3a]:[Do - A3a]]),"")</f>
        <v>4</v>
      </c>
      <c r="FS442">
        <v>4</v>
      </c>
      <c r="FT442">
        <f>IFERROR(AVERAGE(Tabel1[[#This Row],[Do - A1]],Tabel1[[#This Row],[Do - A2]],Tabel1[[#This Row],[Do - A3]],Tabel1[[#This Row],[Do - A4]]),"")</f>
        <v>3.6666666666666665</v>
      </c>
      <c r="FU44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3.9675925925925921</v>
      </c>
      <c r="FV442" s="31" t="s">
        <v>2178</v>
      </c>
      <c r="FW442" t="b">
        <v>1</v>
      </c>
    </row>
    <row r="443" spans="1:179" x14ac:dyDescent="0.3">
      <c r="A443" s="13">
        <v>45716.642037037003</v>
      </c>
      <c r="B443" t="b">
        <v>0</v>
      </c>
      <c r="C443" t="s">
        <v>2179</v>
      </c>
      <c r="D443" t="s">
        <v>2180</v>
      </c>
      <c r="E443" s="29" t="s">
        <v>2147</v>
      </c>
      <c r="F443" s="14" t="s">
        <v>184</v>
      </c>
      <c r="G443" t="s">
        <v>2181</v>
      </c>
      <c r="H443" t="s">
        <v>222</v>
      </c>
      <c r="I443" t="s">
        <v>195</v>
      </c>
      <c r="J443" t="s">
        <v>1305</v>
      </c>
      <c r="K443" t="s">
        <v>201</v>
      </c>
      <c r="L443" t="s">
        <v>197</v>
      </c>
      <c r="M443" t="s">
        <v>198</v>
      </c>
      <c r="N443" t="s">
        <v>199</v>
      </c>
      <c r="O443" t="s">
        <v>200</v>
      </c>
      <c r="P443" t="s">
        <v>201</v>
      </c>
      <c r="Q443" t="s">
        <v>203</v>
      </c>
      <c r="R443" t="s">
        <v>187</v>
      </c>
      <c r="S443" t="s">
        <v>235</v>
      </c>
      <c r="T443" t="s">
        <v>204</v>
      </c>
      <c r="U443" t="s">
        <v>237</v>
      </c>
      <c r="V443" t="s">
        <v>484</v>
      </c>
      <c r="W443" t="s">
        <v>207</v>
      </c>
      <c r="X443" t="s">
        <v>207</v>
      </c>
      <c r="Y443">
        <v>2</v>
      </c>
      <c r="Z443">
        <v>3</v>
      </c>
      <c r="AA443" t="s">
        <v>189</v>
      </c>
      <c r="AB443">
        <f>IFERROR(AVERAGE(Tabel1[[#This Row],[Up - R1a]:[Up - R1c]]),"")</f>
        <v>2.5</v>
      </c>
      <c r="AD443">
        <v>3</v>
      </c>
      <c r="AE443">
        <v>3</v>
      </c>
      <c r="AF443" t="s">
        <v>189</v>
      </c>
      <c r="AG443">
        <f>IFERROR(AVERAGE(Tabel1[[#This Row],[Up - R1]:[Up - R5]]),"")</f>
        <v>2.8333333333333335</v>
      </c>
      <c r="AH443">
        <v>4</v>
      </c>
      <c r="AI443">
        <v>5</v>
      </c>
      <c r="AJ443">
        <v>5</v>
      </c>
      <c r="AK443">
        <f>IFERROR(AVERAGE(Tabel1[[#This Row],[Up - C1a]:[Up - C1c]]),"")</f>
        <v>4.666666666666667</v>
      </c>
      <c r="AL443" t="s">
        <v>189</v>
      </c>
      <c r="AM443" t="s">
        <v>189</v>
      </c>
      <c r="AN443">
        <v>3</v>
      </c>
      <c r="AO443">
        <f>IFERROR(AVERAGE(Tabel1[[#This Row],[Up - C1]:[Up - C4]]),"")</f>
        <v>3.8333333333333335</v>
      </c>
      <c r="AP443">
        <v>2</v>
      </c>
      <c r="AQ443">
        <f>IFERROR(AVERAGE(Tabel1[[#This Row],[Up - F1a]:[Up - F1a]]),"")</f>
        <v>2</v>
      </c>
      <c r="AR443">
        <v>2</v>
      </c>
      <c r="AS443">
        <v>2</v>
      </c>
      <c r="AT443">
        <f>IFERROR(AVERAGE(Tabel1[[#This Row],[Up - F2a]:[Up - F2b]]),"")</f>
        <v>2</v>
      </c>
      <c r="AU443">
        <v>3</v>
      </c>
      <c r="AV443">
        <v>2</v>
      </c>
      <c r="AW443">
        <f>IFERROR(AVERAGE(Tabel1[[#This Row],[Up - F3a]:[Up - F3b]]),"")</f>
        <v>2.5</v>
      </c>
      <c r="AX443">
        <v>2</v>
      </c>
      <c r="AY443">
        <f>IFERROR(AVERAGE(Tabel1[[#This Row],[Up - F1]],Tabel1[[#This Row],[Up - F2]],Tabel1[[#This Row],[Up - F3]],Tabel1[[#This Row],[Up - F4]]),"")</f>
        <v>2.125</v>
      </c>
      <c r="AZ443">
        <v>4</v>
      </c>
      <c r="BA443" t="s">
        <v>189</v>
      </c>
      <c r="BB443">
        <f>IFERROR(AVERAGE(Tabel1[[#This Row],[Up - V1a]:[Up - V1b]]),"")</f>
        <v>4</v>
      </c>
      <c r="BC443">
        <v>4</v>
      </c>
      <c r="BD443" t="s">
        <v>189</v>
      </c>
      <c r="BE443">
        <v>4</v>
      </c>
      <c r="BF443">
        <f>IFERROR(AVERAGE(Tabel1[[#This Row],[Up - V2a]:[Up - V2c]]),"")</f>
        <v>4</v>
      </c>
      <c r="BG443">
        <v>4</v>
      </c>
      <c r="BH443" t="s">
        <v>189</v>
      </c>
      <c r="BI443">
        <f>IFERROR(AVERAGE(Tabel1[[#This Row],[Up - V3a]:[Up - V3b]]),"")</f>
        <v>4</v>
      </c>
      <c r="BJ443">
        <v>4</v>
      </c>
      <c r="BK443">
        <f>IFERROR(AVERAGE(Tabel1[[#This Row],[Up - V1]],Tabel1[[#This Row],[Up - V2]],Tabel1[[#This Row],[Up - V3]],Tabel1[[#This Row],[Up - V4]]),"")</f>
        <v>4</v>
      </c>
      <c r="BL443">
        <v>2</v>
      </c>
      <c r="BM443">
        <v>4</v>
      </c>
      <c r="BN443">
        <v>2</v>
      </c>
      <c r="BO443">
        <v>2</v>
      </c>
      <c r="BP443">
        <f>IFERROR(AVERAGE(Tabel1[[#This Row],[Up - A1a]:[Up - A1d]]),"")</f>
        <v>2.5</v>
      </c>
      <c r="BQ443">
        <v>3</v>
      </c>
      <c r="BR443">
        <v>3</v>
      </c>
      <c r="BS443">
        <f>IFERROR(AVERAGE(Tabel1[[#This Row],[Up - A2a]:[Up - A2b]]),"")</f>
        <v>3</v>
      </c>
      <c r="BT443">
        <v>3</v>
      </c>
      <c r="BU443">
        <f>IFERROR(AVERAGE(Tabel1[[#This Row],[Up - A3a]:[Up - A3a]]),"")</f>
        <v>3</v>
      </c>
      <c r="BV443">
        <v>3</v>
      </c>
      <c r="BW443">
        <f>IFERROR(AVERAGE(Tabel1[[#This Row],[Up - A1]],Tabel1[[#This Row],[Up - A2]],Tabel1[[#This Row],[Up - A3]]),"")</f>
        <v>2.8333333333333335</v>
      </c>
      <c r="BX443">
        <v>2</v>
      </c>
      <c r="BY443">
        <v>3</v>
      </c>
      <c r="BZ443">
        <f>IFERROR(AVERAGE(Tabel1[[#This Row],[In - R1a]:[In - R1b]]),"")</f>
        <v>2.5</v>
      </c>
      <c r="CA443">
        <v>4</v>
      </c>
      <c r="CB443">
        <v>4</v>
      </c>
      <c r="CC443">
        <v>3</v>
      </c>
      <c r="CD443">
        <v>5</v>
      </c>
      <c r="CE443">
        <f>IFERROR(AVERAGE(Tabel1[[#This Row],[In - R1]:[In - R5]]),"")</f>
        <v>3.7</v>
      </c>
      <c r="CF443">
        <v>4</v>
      </c>
      <c r="CG443">
        <v>3</v>
      </c>
      <c r="CH443">
        <v>5</v>
      </c>
      <c r="CI443">
        <f>IFERROR(AVERAGE(Tabel1[[#This Row],[In - C1a]:[In - C1c]]),"")</f>
        <v>4</v>
      </c>
      <c r="CJ443">
        <v>3</v>
      </c>
      <c r="CK443">
        <v>5</v>
      </c>
      <c r="CL443">
        <v>5</v>
      </c>
      <c r="CM443">
        <f>IFERROR(AVERAGE(Tabel1[[#This Row],[In - C1]:[In - C4]]),"")</f>
        <v>4.25</v>
      </c>
      <c r="CN443">
        <v>2</v>
      </c>
      <c r="CO443">
        <v>2</v>
      </c>
      <c r="CP443">
        <v>2</v>
      </c>
      <c r="CQ443">
        <f>IFERROR(AVERAGE(Tabel1[[#This Row],[In - F1a]:[In - F1c]]),"")</f>
        <v>2</v>
      </c>
      <c r="CR443">
        <v>3</v>
      </c>
      <c r="CS443">
        <v>2</v>
      </c>
      <c r="CT443">
        <f>IFERROR(AVERAGE(Tabel1[[#This Row],[In - F2a]:[In - F2b]]),"")</f>
        <v>2.5</v>
      </c>
      <c r="CU443">
        <v>2</v>
      </c>
      <c r="CV443">
        <f>IFERROR(AVERAGE(Tabel1[[#This Row],[In - F3a]:[In - F3a]]),"")</f>
        <v>2</v>
      </c>
      <c r="CW443">
        <v>3</v>
      </c>
      <c r="CX443">
        <f>IFERROR(AVERAGE(Tabel1[[#This Row],[In - F1]],Tabel1[[#This Row],[In - F2]],Tabel1[[#This Row],[In - F3]],Tabel1[[#This Row],[In - F4]]),"")</f>
        <v>2.375</v>
      </c>
      <c r="CY443">
        <v>4</v>
      </c>
      <c r="CZ443">
        <v>2</v>
      </c>
      <c r="DA443">
        <v>2</v>
      </c>
      <c r="DB443">
        <f>IFERROR(AVERAGE(Tabel1[[#This Row],[In - V1a]:[In - V1c]]),"")</f>
        <v>2.6666666666666665</v>
      </c>
      <c r="DC443">
        <v>4</v>
      </c>
      <c r="DD443" t="s">
        <v>189</v>
      </c>
      <c r="DE443">
        <v>4</v>
      </c>
      <c r="DF443">
        <f>IFERROR(AVERAGE(Tabel1[[#This Row],[In - V2a]:[In - V2c]]),"")</f>
        <v>4</v>
      </c>
      <c r="DG443">
        <v>5</v>
      </c>
      <c r="DH443">
        <v>5</v>
      </c>
      <c r="DI443">
        <f>IFERROR(AVERAGE(Tabel1[[#This Row],[In - V3a]:[In - V3b]]),"")</f>
        <v>5</v>
      </c>
      <c r="DJ443">
        <v>5</v>
      </c>
      <c r="DK443">
        <f>IFERROR(AVERAGE(Tabel1[[#This Row],[In - V1]],Tabel1[[#This Row],[In - V2]],Tabel1[[#This Row],[In - V3]],Tabel1[[#This Row],[In - V4]]),"")</f>
        <v>4.1666666666666661</v>
      </c>
      <c r="DL443">
        <v>2</v>
      </c>
      <c r="DM443" t="s">
        <v>189</v>
      </c>
      <c r="DN443">
        <f>IFERROR(AVERAGE(Tabel1[[#This Row],[In - A1a]:[In - A1b]]),"")</f>
        <v>2</v>
      </c>
      <c r="DO443">
        <v>2</v>
      </c>
      <c r="DP443">
        <v>2</v>
      </c>
      <c r="DQ443">
        <f>IFERROR(AVERAGE(Tabel1[[#This Row],[In - A2a]:[In - A2b]]),"")</f>
        <v>2</v>
      </c>
      <c r="DR443">
        <v>4</v>
      </c>
      <c r="DS443">
        <v>2</v>
      </c>
      <c r="DT443">
        <f>IFERROR(AVERAGE(Tabel1[[#This Row],[In - A3a]:[In - A3a]]),"")</f>
        <v>4</v>
      </c>
      <c r="DU443">
        <v>2</v>
      </c>
      <c r="DV443">
        <f>IFERROR(AVERAGE(Tabel1[[#This Row],[In - A1]],Tabel1[[#This Row],[In - A2]],Tabel1[[#This Row],[In - A3]],Tabel1[[#This Row],[In - A4]]),"")</f>
        <v>2.5</v>
      </c>
      <c r="DW443">
        <v>4</v>
      </c>
      <c r="DX443">
        <v>4</v>
      </c>
      <c r="DY443">
        <v>4</v>
      </c>
      <c r="DZ443">
        <f>IFERROR(AVERAGE(Tabel1[[#This Row],[Do - R1a]:[Do - R1c]]),"")</f>
        <v>4</v>
      </c>
      <c r="EA443">
        <v>3</v>
      </c>
      <c r="EB443">
        <v>3</v>
      </c>
      <c r="EC443">
        <v>2</v>
      </c>
      <c r="ED443">
        <v>4</v>
      </c>
      <c r="EE443">
        <f>IFERROR(AVERAGE(Tabel1[[#This Row],[Do - R1]:[Do - R5]]),"")</f>
        <v>3.2</v>
      </c>
      <c r="EF443">
        <v>4</v>
      </c>
      <c r="EG443">
        <v>4</v>
      </c>
      <c r="EH443">
        <v>5</v>
      </c>
      <c r="EI443">
        <f>IFERROR(AVERAGE(Tabel1[[#This Row],[Do - C1a]:[Do - C1c]]),"")</f>
        <v>4.333333333333333</v>
      </c>
      <c r="EJ443">
        <v>4</v>
      </c>
      <c r="EK443">
        <v>2</v>
      </c>
      <c r="EL443">
        <v>3</v>
      </c>
      <c r="EM443">
        <f>IFERROR(AVERAGE(Tabel1[[#This Row],[Do - C1]:[Do - C4]]),"")</f>
        <v>3.333333333333333</v>
      </c>
      <c r="EN443">
        <v>2</v>
      </c>
      <c r="EO443">
        <v>2</v>
      </c>
      <c r="EP443">
        <v>3</v>
      </c>
      <c r="EQ443">
        <f>IFERROR(AVERAGE(Tabel1[[#This Row],[Do - F1a]:[Do - F1c]]),"")</f>
        <v>2.3333333333333335</v>
      </c>
      <c r="ER443">
        <v>2</v>
      </c>
      <c r="ES443">
        <f>IFERROR(AVERAGE(Tabel1[[#This Row],[Do - F2a]:[Do - F2a]]),"")</f>
        <v>2</v>
      </c>
      <c r="ET443">
        <v>2</v>
      </c>
      <c r="EU443" t="s">
        <v>189</v>
      </c>
      <c r="EV443">
        <f>IFERROR(AVERAGE(Tabel1[[#This Row],[Do - F3a]:[Do - F3b]]),"")</f>
        <v>2</v>
      </c>
      <c r="EW443">
        <v>3</v>
      </c>
      <c r="EX443">
        <f>IFERROR(AVERAGE(Tabel1[[#This Row],[Do - F1]],Tabel1[[#This Row],[Do - F2]],Tabel1[[#This Row],[Do - F3]],Tabel1[[#This Row],[Do - F4]]),"")</f>
        <v>2.3333333333333335</v>
      </c>
      <c r="EY443">
        <v>4</v>
      </c>
      <c r="EZ443" t="s">
        <v>189</v>
      </c>
      <c r="FA443">
        <v>2</v>
      </c>
      <c r="FB443">
        <f>IFERROR(AVERAGE(Tabel1[[#This Row],[Do - V1a]:[Do - V1c]]),"")</f>
        <v>3</v>
      </c>
      <c r="FC443">
        <v>4</v>
      </c>
      <c r="FD443">
        <v>4</v>
      </c>
      <c r="FE443">
        <f>IFERROR(AVERAGE(Tabel1[[#This Row],[Do - V2a]:[Do - V2b]]),"")</f>
        <v>4</v>
      </c>
      <c r="FF443">
        <v>4</v>
      </c>
      <c r="FG443">
        <f>IFERROR(AVERAGE(Tabel1[[#This Row],[Do - V3a]:[Do - V3a]]),"")</f>
        <v>4</v>
      </c>
      <c r="FH443">
        <v>4</v>
      </c>
      <c r="FI443">
        <f>IFERROR(AVERAGE(Tabel1[[#This Row],[Do - V1]],Tabel1[[#This Row],[Do - V2]],Tabel1[[#This Row],[Do - V3]],Tabel1[[#This Row],[Do - V4]]),"")</f>
        <v>3.75</v>
      </c>
      <c r="FJ443">
        <v>2</v>
      </c>
      <c r="FK443">
        <v>2</v>
      </c>
      <c r="FL443">
        <v>2</v>
      </c>
      <c r="FM443">
        <f>IFERROR(AVERAGE(Tabel1[[#This Row],[Do - A1a]:[Do - A1c]]),"")</f>
        <v>2</v>
      </c>
      <c r="FN443">
        <v>2</v>
      </c>
      <c r="FO443">
        <v>3</v>
      </c>
      <c r="FP443">
        <f>IFERROR(AVERAGE(Tabel1[[#This Row],[Do - A2a]:[Do - A2b]]),"")</f>
        <v>2.5</v>
      </c>
      <c r="FQ443">
        <v>4</v>
      </c>
      <c r="FR443">
        <f>IFERROR(AVERAGE(Tabel1[[#This Row],[Do - A3a]:[Do - A3a]]),"")</f>
        <v>4</v>
      </c>
      <c r="FS443">
        <v>3</v>
      </c>
      <c r="FT443">
        <f>IFERROR(AVERAGE(Tabel1[[#This Row],[Do - A1]],Tabel1[[#This Row],[Do - A2]],Tabel1[[#This Row],[Do - A3]],Tabel1[[#This Row],[Do - A4]]),"")</f>
        <v>2.875</v>
      </c>
      <c r="FU44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3.2072222222222226</v>
      </c>
      <c r="FV443" s="31" t="s">
        <v>2182</v>
      </c>
      <c r="FW443" t="b">
        <v>1</v>
      </c>
    </row>
    <row r="444" spans="1:179" x14ac:dyDescent="0.3">
      <c r="A444" s="13">
        <v>45716.683402777802</v>
      </c>
      <c r="B444" t="b">
        <v>0</v>
      </c>
      <c r="C444" t="s">
        <v>2183</v>
      </c>
      <c r="D444" t="s">
        <v>2184</v>
      </c>
      <c r="E444" s="29" t="s">
        <v>2147</v>
      </c>
      <c r="F444" s="14" t="s">
        <v>184</v>
      </c>
      <c r="G444" t="s">
        <v>2185</v>
      </c>
      <c r="H444" t="s">
        <v>222</v>
      </c>
      <c r="I444" t="s">
        <v>195</v>
      </c>
      <c r="J444" t="s">
        <v>1305</v>
      </c>
      <c r="K444" t="s">
        <v>187</v>
      </c>
      <c r="L444" t="s">
        <v>249</v>
      </c>
      <c r="M444" t="s">
        <v>198</v>
      </c>
      <c r="N444" t="s">
        <v>199</v>
      </c>
      <c r="O444" t="s">
        <v>200</v>
      </c>
      <c r="P444" t="s">
        <v>304</v>
      </c>
      <c r="Q444" t="s">
        <v>187</v>
      </c>
      <c r="R444" t="s">
        <v>187</v>
      </c>
      <c r="S444" t="s">
        <v>235</v>
      </c>
      <c r="T444" t="s">
        <v>204</v>
      </c>
      <c r="U444" t="s">
        <v>237</v>
      </c>
      <c r="V444" t="s">
        <v>224</v>
      </c>
      <c r="W444" t="s">
        <v>207</v>
      </c>
      <c r="X444" t="s">
        <v>207</v>
      </c>
      <c r="Y444">
        <v>3</v>
      </c>
      <c r="Z444">
        <v>4</v>
      </c>
      <c r="AA444">
        <v>3</v>
      </c>
      <c r="AB444">
        <f>IFERROR(AVERAGE(Tabel1[[#This Row],[Up - R1a]:[Up - R1c]]),"")</f>
        <v>3.3333333333333335</v>
      </c>
      <c r="AC444">
        <v>3</v>
      </c>
      <c r="AD444">
        <v>3</v>
      </c>
      <c r="AE444">
        <v>2</v>
      </c>
      <c r="AF444">
        <v>4</v>
      </c>
      <c r="AG444">
        <f>IFERROR(AVERAGE(Tabel1[[#This Row],[Up - R1]:[Up - R5]]),"")</f>
        <v>3.0666666666666669</v>
      </c>
      <c r="AH444">
        <v>4</v>
      </c>
      <c r="AI444">
        <v>4</v>
      </c>
      <c r="AJ444">
        <v>4</v>
      </c>
      <c r="AK444">
        <f>IFERROR(AVERAGE(Tabel1[[#This Row],[Up - C1a]:[Up - C1c]]),"")</f>
        <v>4</v>
      </c>
      <c r="AL444">
        <v>2</v>
      </c>
      <c r="AM444">
        <v>2</v>
      </c>
      <c r="AN444">
        <v>3</v>
      </c>
      <c r="AO444">
        <f>IFERROR(AVERAGE(Tabel1[[#This Row],[Up - C1]:[Up - C4]]),"")</f>
        <v>2.75</v>
      </c>
      <c r="AP444">
        <v>1</v>
      </c>
      <c r="AQ444">
        <f>IFERROR(AVERAGE(Tabel1[[#This Row],[Up - F1a]:[Up - F1a]]),"")</f>
        <v>1</v>
      </c>
      <c r="AR444">
        <v>1</v>
      </c>
      <c r="AS444">
        <v>1</v>
      </c>
      <c r="AT444">
        <f>IFERROR(AVERAGE(Tabel1[[#This Row],[Up - F2a]:[Up - F2b]]),"")</f>
        <v>1</v>
      </c>
      <c r="AU444">
        <v>4</v>
      </c>
      <c r="AV444">
        <v>1</v>
      </c>
      <c r="AW444">
        <f>IFERROR(AVERAGE(Tabel1[[#This Row],[Up - F3a]:[Up - F3b]]),"")</f>
        <v>2.5</v>
      </c>
      <c r="AX444">
        <v>1</v>
      </c>
      <c r="AY444">
        <f>IFERROR(AVERAGE(Tabel1[[#This Row],[Up - F1]],Tabel1[[#This Row],[Up - F2]],Tabel1[[#This Row],[Up - F3]],Tabel1[[#This Row],[Up - F4]]),"")</f>
        <v>1.375</v>
      </c>
      <c r="AZ444">
        <v>4</v>
      </c>
      <c r="BA444">
        <v>4</v>
      </c>
      <c r="BB444">
        <f>IFERROR(AVERAGE(Tabel1[[#This Row],[Up - V1a]:[Up - V1b]]),"")</f>
        <v>4</v>
      </c>
      <c r="BD444">
        <v>4</v>
      </c>
      <c r="BE444">
        <v>4</v>
      </c>
      <c r="BF444">
        <f>IFERROR(AVERAGE(Tabel1[[#This Row],[Up - V2a]:[Up - V2c]]),"")</f>
        <v>4</v>
      </c>
      <c r="BG444">
        <v>5</v>
      </c>
      <c r="BH444">
        <v>4</v>
      </c>
      <c r="BI444">
        <f>IFERROR(AVERAGE(Tabel1[[#This Row],[Up - V3a]:[Up - V3b]]),"")</f>
        <v>4.5</v>
      </c>
      <c r="BK444">
        <f>IFERROR(AVERAGE(Tabel1[[#This Row],[Up - V1]],Tabel1[[#This Row],[Up - V2]],Tabel1[[#This Row],[Up - V3]],Tabel1[[#This Row],[Up - V4]]),"")</f>
        <v>4.166666666666667</v>
      </c>
      <c r="BL444">
        <v>4</v>
      </c>
      <c r="BM444">
        <v>4</v>
      </c>
      <c r="BN444">
        <v>2</v>
      </c>
      <c r="BO444">
        <v>2</v>
      </c>
      <c r="BP444">
        <f>IFERROR(AVERAGE(Tabel1[[#This Row],[Up - A1a]:[Up - A1d]]),"")</f>
        <v>3</v>
      </c>
      <c r="BR444">
        <v>4</v>
      </c>
      <c r="BS444">
        <f>IFERROR(AVERAGE(Tabel1[[#This Row],[Up - A2a]:[Up - A2b]]),"")</f>
        <v>4</v>
      </c>
      <c r="BT444">
        <v>4</v>
      </c>
      <c r="BU444">
        <f>IFERROR(AVERAGE(Tabel1[[#This Row],[Up - A3a]:[Up - A3a]]),"")</f>
        <v>4</v>
      </c>
      <c r="BV444">
        <v>3</v>
      </c>
      <c r="BW444">
        <f>IFERROR(AVERAGE(Tabel1[[#This Row],[Up - A1]],Tabel1[[#This Row],[Up - A2]],Tabel1[[#This Row],[Up - A3]]),"")</f>
        <v>3.6666666666666665</v>
      </c>
      <c r="BX444">
        <v>3</v>
      </c>
      <c r="BY444">
        <v>4</v>
      </c>
      <c r="BZ444">
        <f>IFERROR(AVERAGE(Tabel1[[#This Row],[In - R1a]:[In - R1b]]),"")</f>
        <v>3.5</v>
      </c>
      <c r="CA444">
        <v>4</v>
      </c>
      <c r="CB444">
        <v>5</v>
      </c>
      <c r="CC444">
        <v>2</v>
      </c>
      <c r="CD444">
        <v>5</v>
      </c>
      <c r="CE444">
        <f>IFERROR(AVERAGE(Tabel1[[#This Row],[In - R1]:[In - R5]]),"")</f>
        <v>3.9</v>
      </c>
      <c r="CF444">
        <v>5</v>
      </c>
      <c r="CG444">
        <v>4</v>
      </c>
      <c r="CH444">
        <v>5</v>
      </c>
      <c r="CI444">
        <f>IFERROR(AVERAGE(Tabel1[[#This Row],[In - C1a]:[In - C1c]]),"")</f>
        <v>4.666666666666667</v>
      </c>
      <c r="CJ444">
        <v>3</v>
      </c>
      <c r="CK444">
        <v>5</v>
      </c>
      <c r="CL444">
        <v>5</v>
      </c>
      <c r="CM444">
        <f>IFERROR(AVERAGE(Tabel1[[#This Row],[In - C1]:[In - C4]]),"")</f>
        <v>4.416666666666667</v>
      </c>
      <c r="CN444">
        <v>4</v>
      </c>
      <c r="CO444">
        <v>2</v>
      </c>
      <c r="CP444">
        <v>1</v>
      </c>
      <c r="CQ444">
        <f>IFERROR(AVERAGE(Tabel1[[#This Row],[In - F1a]:[In - F1c]]),"")</f>
        <v>2.3333333333333335</v>
      </c>
      <c r="CR444">
        <v>3</v>
      </c>
      <c r="CS444">
        <v>1</v>
      </c>
      <c r="CT444">
        <f>IFERROR(AVERAGE(Tabel1[[#This Row],[In - F2a]:[In - F2b]]),"")</f>
        <v>2</v>
      </c>
      <c r="CU444">
        <v>1</v>
      </c>
      <c r="CV444">
        <f>IFERROR(AVERAGE(Tabel1[[#This Row],[In - F3a]:[In - F3a]]),"")</f>
        <v>1</v>
      </c>
      <c r="CX444">
        <f>IFERROR(AVERAGE(Tabel1[[#This Row],[In - F1]],Tabel1[[#This Row],[In - F2]],Tabel1[[#This Row],[In - F3]],Tabel1[[#This Row],[In - F4]]),"")</f>
        <v>1.7777777777777779</v>
      </c>
      <c r="CY444">
        <v>4</v>
      </c>
      <c r="CZ444">
        <v>3</v>
      </c>
      <c r="DA444">
        <v>2</v>
      </c>
      <c r="DB444">
        <f>IFERROR(AVERAGE(Tabel1[[#This Row],[In - V1a]:[In - V1c]]),"")</f>
        <v>3</v>
      </c>
      <c r="DC444">
        <v>4</v>
      </c>
      <c r="DD444">
        <v>4</v>
      </c>
      <c r="DE444">
        <v>4</v>
      </c>
      <c r="DF444">
        <f>IFERROR(AVERAGE(Tabel1[[#This Row],[In - V2a]:[In - V2c]]),"")</f>
        <v>4</v>
      </c>
      <c r="DG444">
        <v>4</v>
      </c>
      <c r="DH444">
        <v>4</v>
      </c>
      <c r="DI444">
        <f>IFERROR(AVERAGE(Tabel1[[#This Row],[In - V3a]:[In - V3b]]),"")</f>
        <v>4</v>
      </c>
      <c r="DJ444">
        <v>2</v>
      </c>
      <c r="DK444">
        <f>IFERROR(AVERAGE(Tabel1[[#This Row],[In - V1]],Tabel1[[#This Row],[In - V2]],Tabel1[[#This Row],[In - V3]],Tabel1[[#This Row],[In - V4]]),"")</f>
        <v>3.25</v>
      </c>
      <c r="DL444">
        <v>1</v>
      </c>
      <c r="DM444">
        <v>4</v>
      </c>
      <c r="DN444">
        <f>IFERROR(AVERAGE(Tabel1[[#This Row],[In - A1a]:[In - A1b]]),"")</f>
        <v>2.5</v>
      </c>
      <c r="DO444">
        <v>2</v>
      </c>
      <c r="DP444">
        <v>3</v>
      </c>
      <c r="DQ444">
        <f>IFERROR(AVERAGE(Tabel1[[#This Row],[In - A2a]:[In - A2b]]),"")</f>
        <v>2.5</v>
      </c>
      <c r="DR444">
        <v>4</v>
      </c>
      <c r="DS444">
        <v>3</v>
      </c>
      <c r="DT444">
        <f>IFERROR(AVERAGE(Tabel1[[#This Row],[In - A3a]:[In - A3a]]),"")</f>
        <v>4</v>
      </c>
      <c r="DU444">
        <v>2</v>
      </c>
      <c r="DV444">
        <f>IFERROR(AVERAGE(Tabel1[[#This Row],[In - A1]],Tabel1[[#This Row],[In - A2]],Tabel1[[#This Row],[In - A3]],Tabel1[[#This Row],[In - A4]]),"")</f>
        <v>2.75</v>
      </c>
      <c r="DW444">
        <v>1</v>
      </c>
      <c r="DX444">
        <v>5</v>
      </c>
      <c r="DY444">
        <v>1</v>
      </c>
      <c r="DZ444">
        <f>IFERROR(AVERAGE(Tabel1[[#This Row],[Do - R1a]:[Do - R1c]]),"")</f>
        <v>2.3333333333333335</v>
      </c>
      <c r="EA444">
        <v>4</v>
      </c>
      <c r="EB444">
        <v>4</v>
      </c>
      <c r="ED444">
        <v>3</v>
      </c>
      <c r="EE444">
        <f>IFERROR(AVERAGE(Tabel1[[#This Row],[Do - R1]:[Do - R5]]),"")</f>
        <v>3.3333333333333335</v>
      </c>
      <c r="EH444">
        <v>2</v>
      </c>
      <c r="EI444">
        <f>IFERROR(AVERAGE(Tabel1[[#This Row],[Do - C1a]:[Do - C1c]]),"")</f>
        <v>2</v>
      </c>
      <c r="EJ444">
        <v>3</v>
      </c>
      <c r="EM444">
        <f>IFERROR(AVERAGE(Tabel1[[#This Row],[Do - C1]:[Do - C4]]),"")</f>
        <v>2.5</v>
      </c>
      <c r="EO444">
        <v>2</v>
      </c>
      <c r="EP444">
        <v>2</v>
      </c>
      <c r="EQ444">
        <f>IFERROR(AVERAGE(Tabel1[[#This Row],[Do - F1a]:[Do - F1c]]),"")</f>
        <v>2</v>
      </c>
      <c r="ER444">
        <v>2</v>
      </c>
      <c r="ES444">
        <f>IFERROR(AVERAGE(Tabel1[[#This Row],[Do - F2a]:[Do - F2a]]),"")</f>
        <v>2</v>
      </c>
      <c r="ET444">
        <v>4</v>
      </c>
      <c r="EV444">
        <f>IFERROR(AVERAGE(Tabel1[[#This Row],[Do - F3a]:[Do - F3b]]),"")</f>
        <v>4</v>
      </c>
      <c r="EX444">
        <f>IFERROR(AVERAGE(Tabel1[[#This Row],[Do - F1]],Tabel1[[#This Row],[Do - F2]],Tabel1[[#This Row],[Do - F3]],Tabel1[[#This Row],[Do - F4]]),"")</f>
        <v>2.6666666666666665</v>
      </c>
      <c r="EY444">
        <v>3</v>
      </c>
      <c r="EZ444">
        <v>3</v>
      </c>
      <c r="FA444">
        <v>4</v>
      </c>
      <c r="FB444">
        <f>IFERROR(AVERAGE(Tabel1[[#This Row],[Do - V1a]:[Do - V1c]]),"")</f>
        <v>3.3333333333333335</v>
      </c>
      <c r="FE444" t="str">
        <f>IFERROR(AVERAGE(Tabel1[[#This Row],[Do - V2a]:[Do - V2b]]),"")</f>
        <v/>
      </c>
      <c r="FF444">
        <v>4</v>
      </c>
      <c r="FG444">
        <f>IFERROR(AVERAGE(Tabel1[[#This Row],[Do - V3a]:[Do - V3a]]),"")</f>
        <v>4</v>
      </c>
      <c r="FI444">
        <f>IFERROR(AVERAGE(Tabel1[[#This Row],[Do - V1]],Tabel1[[#This Row],[Do - V2]],Tabel1[[#This Row],[Do - V3]],Tabel1[[#This Row],[Do - V4]]),"")</f>
        <v>3.666666666666667</v>
      </c>
      <c r="FJ444">
        <v>3</v>
      </c>
      <c r="FK444">
        <v>2</v>
      </c>
      <c r="FL444">
        <v>2</v>
      </c>
      <c r="FM444">
        <f>IFERROR(AVERAGE(Tabel1[[#This Row],[Do - A1a]:[Do - A1c]]),"")</f>
        <v>2.3333333333333335</v>
      </c>
      <c r="FN444">
        <v>3</v>
      </c>
      <c r="FO444">
        <v>4</v>
      </c>
      <c r="FP444">
        <f>IFERROR(AVERAGE(Tabel1[[#This Row],[Do - A2a]:[Do - A2b]]),"")</f>
        <v>3.5</v>
      </c>
      <c r="FQ444">
        <v>4</v>
      </c>
      <c r="FR444">
        <f>IFERROR(AVERAGE(Tabel1[[#This Row],[Do - A3a]:[Do - A3a]]),"")</f>
        <v>4</v>
      </c>
      <c r="FT444">
        <f>IFERROR(AVERAGE(Tabel1[[#This Row],[Do - A1]],Tabel1[[#This Row],[Do - A2]],Tabel1[[#This Row],[Do - A3]],Tabel1[[#This Row],[Do - A4]]),"")</f>
        <v>3.2777777777777781</v>
      </c>
      <c r="FU44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3.1042592592592593</v>
      </c>
      <c r="FV444" s="31" t="s">
        <v>2186</v>
      </c>
      <c r="FW444" t="b">
        <v>1</v>
      </c>
    </row>
    <row r="445" spans="1:179" x14ac:dyDescent="0.3">
      <c r="A445" s="13">
        <v>45719.849085648202</v>
      </c>
      <c r="B445" t="b">
        <v>0</v>
      </c>
      <c r="C445" t="s">
        <v>2187</v>
      </c>
      <c r="D445" t="s">
        <v>2188</v>
      </c>
      <c r="E445" t="s">
        <v>2142</v>
      </c>
      <c r="F445" s="14" t="s">
        <v>184</v>
      </c>
      <c r="G445" t="s">
        <v>2189</v>
      </c>
      <c r="H445" t="s">
        <v>222</v>
      </c>
      <c r="I445" t="s">
        <v>385</v>
      </c>
      <c r="Y445">
        <v>4</v>
      </c>
      <c r="Z445">
        <v>4</v>
      </c>
      <c r="AA445" t="s">
        <v>189</v>
      </c>
      <c r="AB445">
        <f>IFERROR(AVERAGE(Tabel1[[#This Row],[Up - R1a]:[Up - R1c]]),"")</f>
        <v>4</v>
      </c>
      <c r="AC445">
        <v>3</v>
      </c>
      <c r="AD445">
        <v>4</v>
      </c>
      <c r="AE445" t="s">
        <v>189</v>
      </c>
      <c r="AF445" t="s">
        <v>189</v>
      </c>
      <c r="AG445">
        <f>IFERROR(AVERAGE(Tabel1[[#This Row],[Up - R1]:[Up - R5]]),"")</f>
        <v>3.6666666666666665</v>
      </c>
      <c r="AH445">
        <v>5</v>
      </c>
      <c r="AI445">
        <v>5</v>
      </c>
      <c r="AJ445">
        <v>4</v>
      </c>
      <c r="AK445">
        <f>IFERROR(AVERAGE(Tabel1[[#This Row],[Up - C1a]:[Up - C1c]]),"")</f>
        <v>4.666666666666667</v>
      </c>
      <c r="AL445">
        <v>3</v>
      </c>
      <c r="AM445" t="s">
        <v>189</v>
      </c>
      <c r="AN445">
        <v>4</v>
      </c>
      <c r="AO445">
        <f>IFERROR(AVERAGE(Tabel1[[#This Row],[Up - C1]:[Up - C4]]),"")</f>
        <v>3.8888888888888893</v>
      </c>
      <c r="AP445" t="s">
        <v>189</v>
      </c>
      <c r="AQ445" t="str">
        <f>IFERROR(AVERAGE(Tabel1[[#This Row],[Up - F1a]:[Up - F1a]]),"")</f>
        <v/>
      </c>
      <c r="AT445" t="str">
        <f>IFERROR(AVERAGE(Tabel1[[#This Row],[Up - F2a]:[Up - F2b]]),"")</f>
        <v/>
      </c>
      <c r="AW445" t="str">
        <f>IFERROR(AVERAGE(Tabel1[[#This Row],[Up - F3a]:[Up - F3b]]),"")</f>
        <v/>
      </c>
      <c r="AX445">
        <v>1</v>
      </c>
      <c r="AY445">
        <f>IFERROR(AVERAGE(Tabel1[[#This Row],[Up - F1]],Tabel1[[#This Row],[Up - F2]],Tabel1[[#This Row],[Up - F3]],Tabel1[[#This Row],[Up - F4]]),"")</f>
        <v>1</v>
      </c>
      <c r="BB445" t="str">
        <f>IFERROR(AVERAGE(Tabel1[[#This Row],[Up - V1a]:[Up - V1b]]),"")</f>
        <v/>
      </c>
      <c r="BC445">
        <v>3</v>
      </c>
      <c r="BF445">
        <f>IFERROR(AVERAGE(Tabel1[[#This Row],[Up - V2a]:[Up - V2c]]),"")</f>
        <v>3</v>
      </c>
      <c r="BH445">
        <v>4</v>
      </c>
      <c r="BI445">
        <f>IFERROR(AVERAGE(Tabel1[[#This Row],[Up - V3a]:[Up - V3b]]),"")</f>
        <v>4</v>
      </c>
      <c r="BK445">
        <f>IFERROR(AVERAGE(Tabel1[[#This Row],[Up - V1]],Tabel1[[#This Row],[Up - V2]],Tabel1[[#This Row],[Up - V3]],Tabel1[[#This Row],[Up - V4]]),"")</f>
        <v>3.5</v>
      </c>
      <c r="BL445">
        <v>5</v>
      </c>
      <c r="BM445">
        <v>3</v>
      </c>
      <c r="BN445">
        <v>4</v>
      </c>
      <c r="BO445">
        <v>3</v>
      </c>
      <c r="BP445">
        <f>IFERROR(AVERAGE(Tabel1[[#This Row],[Up - A1a]:[Up - A1d]]),"")</f>
        <v>3.75</v>
      </c>
      <c r="BQ445" t="s">
        <v>189</v>
      </c>
      <c r="BR445">
        <v>5</v>
      </c>
      <c r="BS445">
        <f>IFERROR(AVERAGE(Tabel1[[#This Row],[Up - A2a]:[Up - A2b]]),"")</f>
        <v>5</v>
      </c>
      <c r="BT445">
        <v>5</v>
      </c>
      <c r="BU445">
        <f>IFERROR(AVERAGE(Tabel1[[#This Row],[Up - A3a]:[Up - A3a]]),"")</f>
        <v>5</v>
      </c>
      <c r="BW445">
        <f>IFERROR(AVERAGE(Tabel1[[#This Row],[Up - A1]],Tabel1[[#This Row],[Up - A2]],Tabel1[[#This Row],[Up - A3]]),"")</f>
        <v>4.583333333333333</v>
      </c>
      <c r="BX445">
        <v>4</v>
      </c>
      <c r="BY445">
        <v>4</v>
      </c>
      <c r="BZ445">
        <f>IFERROR(AVERAGE(Tabel1[[#This Row],[In - R1a]:[In - R1b]]),"")</f>
        <v>4</v>
      </c>
      <c r="CA445">
        <v>3</v>
      </c>
      <c r="CB445">
        <v>5</v>
      </c>
      <c r="CC445" t="s">
        <v>189</v>
      </c>
      <c r="CD445">
        <v>4</v>
      </c>
      <c r="CE445">
        <f>IFERROR(AVERAGE(Tabel1[[#This Row],[In - R1]:[In - R5]]),"")</f>
        <v>4</v>
      </c>
      <c r="CF445">
        <v>5</v>
      </c>
      <c r="CG445">
        <v>3</v>
      </c>
      <c r="CH445">
        <v>5</v>
      </c>
      <c r="CI445">
        <f>IFERROR(AVERAGE(Tabel1[[#This Row],[In - C1a]:[In - C1c]]),"")</f>
        <v>4.333333333333333</v>
      </c>
      <c r="CJ445">
        <v>4</v>
      </c>
      <c r="CK445">
        <v>5</v>
      </c>
      <c r="CL445">
        <v>4</v>
      </c>
      <c r="CM445">
        <f>IFERROR(AVERAGE(Tabel1[[#This Row],[In - C1]:[In - C4]]),"")</f>
        <v>4.333333333333333</v>
      </c>
      <c r="CQ445" t="str">
        <f>IFERROR(AVERAGE(Tabel1[[#This Row],[In - F1a]:[In - F1c]]),"")</f>
        <v/>
      </c>
      <c r="CT445" t="str">
        <f>IFERROR(AVERAGE(Tabel1[[#This Row],[In - F2a]:[In - F2b]]),"")</f>
        <v/>
      </c>
      <c r="CV445" t="str">
        <f>IFERROR(AVERAGE(Tabel1[[#This Row],[In - F3a]:[In - F3a]]),"")</f>
        <v/>
      </c>
      <c r="CX445" t="str">
        <f>IFERROR(AVERAGE(Tabel1[[#This Row],[In - F1]],Tabel1[[#This Row],[In - F2]],Tabel1[[#This Row],[In - F3]],Tabel1[[#This Row],[In - F4]]),"")</f>
        <v/>
      </c>
      <c r="CZ445">
        <v>3</v>
      </c>
      <c r="DB445">
        <f>IFERROR(AVERAGE(Tabel1[[#This Row],[In - V1a]:[In - V1c]]),"")</f>
        <v>3</v>
      </c>
      <c r="DC445">
        <v>3</v>
      </c>
      <c r="DE445">
        <v>4</v>
      </c>
      <c r="DF445">
        <f>IFERROR(AVERAGE(Tabel1[[#This Row],[In - V2a]:[In - V2c]]),"")</f>
        <v>3.5</v>
      </c>
      <c r="DH445">
        <v>5</v>
      </c>
      <c r="DI445">
        <f>IFERROR(AVERAGE(Tabel1[[#This Row],[In - V3a]:[In - V3b]]),"")</f>
        <v>5</v>
      </c>
      <c r="DJ445">
        <v>5</v>
      </c>
      <c r="DK445">
        <f>IFERROR(AVERAGE(Tabel1[[#This Row],[In - V1]],Tabel1[[#This Row],[In - V2]],Tabel1[[#This Row],[In - V3]],Tabel1[[#This Row],[In - V4]]),"")</f>
        <v>4.125</v>
      </c>
      <c r="DN445" t="str">
        <f>IFERROR(AVERAGE(Tabel1[[#This Row],[In - A1a]:[In - A1b]]),"")</f>
        <v/>
      </c>
      <c r="DP445">
        <v>5</v>
      </c>
      <c r="DQ445">
        <f>IFERROR(AVERAGE(Tabel1[[#This Row],[In - A2a]:[In - A2b]]),"")</f>
        <v>5</v>
      </c>
      <c r="DS445">
        <v>3</v>
      </c>
      <c r="DT445" t="str">
        <f>IFERROR(AVERAGE(Tabel1[[#This Row],[In - A3a]:[In - A3a]]),"")</f>
        <v/>
      </c>
      <c r="DV445">
        <f>IFERROR(AVERAGE(Tabel1[[#This Row],[In - A1]],Tabel1[[#This Row],[In - A2]],Tabel1[[#This Row],[In - A3]],Tabel1[[#This Row],[In - A4]]),"")</f>
        <v>5</v>
      </c>
      <c r="DX445">
        <v>5</v>
      </c>
      <c r="DY445">
        <v>1</v>
      </c>
      <c r="DZ445">
        <f>IFERROR(AVERAGE(Tabel1[[#This Row],[Do - R1a]:[Do - R1c]]),"")</f>
        <v>3</v>
      </c>
      <c r="EA445">
        <v>4</v>
      </c>
      <c r="EB445">
        <v>4</v>
      </c>
      <c r="EC445">
        <v>1</v>
      </c>
      <c r="EE445">
        <f>IFERROR(AVERAGE(Tabel1[[#This Row],[Do - R1]:[Do - R5]]),"")</f>
        <v>3</v>
      </c>
      <c r="EF445">
        <v>5</v>
      </c>
      <c r="EG445">
        <v>5</v>
      </c>
      <c r="EH445">
        <v>4</v>
      </c>
      <c r="EI445">
        <f>IFERROR(AVERAGE(Tabel1[[#This Row],[Do - C1a]:[Do - C1c]]),"")</f>
        <v>4.666666666666667</v>
      </c>
      <c r="EJ445">
        <v>5</v>
      </c>
      <c r="EK445">
        <v>4</v>
      </c>
      <c r="EL445">
        <v>5</v>
      </c>
      <c r="EM445">
        <f>IFERROR(AVERAGE(Tabel1[[#This Row],[Do - C1]:[Do - C4]]),"")</f>
        <v>4.666666666666667</v>
      </c>
      <c r="EQ445" t="str">
        <f>IFERROR(AVERAGE(Tabel1[[#This Row],[Do - F1a]:[Do - F1c]]),"")</f>
        <v/>
      </c>
      <c r="ES445" t="str">
        <f>IFERROR(AVERAGE(Tabel1[[#This Row],[Do - F2a]:[Do - F2a]]),"")</f>
        <v/>
      </c>
      <c r="EV445" t="str">
        <f>IFERROR(AVERAGE(Tabel1[[#This Row],[Do - F3a]:[Do - F3b]]),"")</f>
        <v/>
      </c>
      <c r="EX445" t="str">
        <f>IFERROR(AVERAGE(Tabel1[[#This Row],[Do - F1]],Tabel1[[#This Row],[Do - F2]],Tabel1[[#This Row],[Do - F3]],Tabel1[[#This Row],[Do - F4]]),"")</f>
        <v/>
      </c>
      <c r="EY445">
        <v>4</v>
      </c>
      <c r="EZ445">
        <v>3</v>
      </c>
      <c r="FB445">
        <f>IFERROR(AVERAGE(Tabel1[[#This Row],[Do - V1a]:[Do - V1c]]),"")</f>
        <v>3.5</v>
      </c>
      <c r="FD445">
        <v>3</v>
      </c>
      <c r="FE445">
        <f>IFERROR(AVERAGE(Tabel1[[#This Row],[Do - V2a]:[Do - V2b]]),"")</f>
        <v>3</v>
      </c>
      <c r="FG445" t="str">
        <f>IFERROR(AVERAGE(Tabel1[[#This Row],[Do - V3a]:[Do - V3a]]),"")</f>
        <v/>
      </c>
      <c r="FI445">
        <f>IFERROR(AVERAGE(Tabel1[[#This Row],[Do - V1]],Tabel1[[#This Row],[Do - V2]],Tabel1[[#This Row],[Do - V3]],Tabel1[[#This Row],[Do - V4]]),"")</f>
        <v>3.25</v>
      </c>
      <c r="FL445">
        <v>3</v>
      </c>
      <c r="FM445">
        <f>IFERROR(AVERAGE(Tabel1[[#This Row],[Do - A1a]:[Do - A1c]]),"")</f>
        <v>3</v>
      </c>
      <c r="FN445">
        <v>5</v>
      </c>
      <c r="FP445">
        <f>IFERROR(AVERAGE(Tabel1[[#This Row],[Do - A2a]:[Do - A2b]]),"")</f>
        <v>5</v>
      </c>
      <c r="FR445" t="str">
        <f>IFERROR(AVERAGE(Tabel1[[#This Row],[Do - A3a]:[Do - A3a]]),"")</f>
        <v/>
      </c>
      <c r="FS445">
        <v>4</v>
      </c>
      <c r="FT445">
        <f>IFERROR(AVERAGE(Tabel1[[#This Row],[Do - A1]],Tabel1[[#This Row],[Do - A2]],Tabel1[[#This Row],[Do - A3]],Tabel1[[#This Row],[Do - A4]]),"")</f>
        <v>4</v>
      </c>
      <c r="FU44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3.7702991452991452</v>
      </c>
      <c r="FV445" s="31" t="s">
        <v>2190</v>
      </c>
      <c r="FW445" t="b">
        <v>1</v>
      </c>
    </row>
    <row r="446" spans="1:179" x14ac:dyDescent="0.3">
      <c r="A446" s="13">
        <v>45722.721331018503</v>
      </c>
      <c r="B446" t="b">
        <v>0</v>
      </c>
      <c r="C446" t="s">
        <v>2191</v>
      </c>
      <c r="D446" t="s">
        <v>403</v>
      </c>
      <c r="E446" t="s">
        <v>2192</v>
      </c>
      <c r="F446" s="14" t="s">
        <v>2193</v>
      </c>
      <c r="G446" t="s">
        <v>2194</v>
      </c>
      <c r="H446" t="s">
        <v>194</v>
      </c>
      <c r="I446" t="s">
        <v>195</v>
      </c>
      <c r="J446" t="s">
        <v>196</v>
      </c>
      <c r="K446" t="s">
        <v>201</v>
      </c>
      <c r="L446" t="s">
        <v>249</v>
      </c>
      <c r="M446" t="s">
        <v>281</v>
      </c>
      <c r="N446" t="s">
        <v>199</v>
      </c>
      <c r="O446" t="s">
        <v>256</v>
      </c>
      <c r="P446" t="s">
        <v>304</v>
      </c>
      <c r="Q446" t="s">
        <v>203</v>
      </c>
      <c r="R446" t="s">
        <v>201</v>
      </c>
      <c r="S446" t="s">
        <v>203</v>
      </c>
      <c r="T446" t="s">
        <v>204</v>
      </c>
      <c r="U446" t="s">
        <v>237</v>
      </c>
      <c r="V446" t="s">
        <v>224</v>
      </c>
      <c r="W446" t="s">
        <v>207</v>
      </c>
      <c r="X446" t="s">
        <v>306</v>
      </c>
      <c r="Y446">
        <v>3</v>
      </c>
      <c r="Z446">
        <v>4</v>
      </c>
      <c r="AA446" t="s">
        <v>189</v>
      </c>
      <c r="AB446">
        <f>IFERROR(AVERAGE(Tabel1[[#This Row],[Up - R1a]:[Up - R1c]]),"")</f>
        <v>3.5</v>
      </c>
      <c r="AC446">
        <v>3</v>
      </c>
      <c r="AD446">
        <v>3</v>
      </c>
      <c r="AE446">
        <v>1</v>
      </c>
      <c r="AF446">
        <v>2</v>
      </c>
      <c r="AG446">
        <f>IFERROR(AVERAGE(Tabel1[[#This Row],[Up - R1]:[Up - R5]]),"")</f>
        <v>2.5</v>
      </c>
      <c r="AH446">
        <v>2</v>
      </c>
      <c r="AI446">
        <v>2</v>
      </c>
      <c r="AJ446">
        <v>4</v>
      </c>
      <c r="AK446">
        <f>IFERROR(AVERAGE(Tabel1[[#This Row],[Up - C1a]:[Up - C1c]]),"")</f>
        <v>2.6666666666666665</v>
      </c>
      <c r="AL446">
        <v>2</v>
      </c>
      <c r="AM446">
        <v>1</v>
      </c>
      <c r="AN446">
        <v>2</v>
      </c>
      <c r="AO446">
        <f>IFERROR(AVERAGE(Tabel1[[#This Row],[Up - C1]:[Up - C4]]),"")</f>
        <v>1.9166666666666665</v>
      </c>
      <c r="AP446">
        <v>2</v>
      </c>
      <c r="AQ446">
        <f>IFERROR(AVERAGE(Tabel1[[#This Row],[Up - F1a]:[Up - F1a]]),"")</f>
        <v>2</v>
      </c>
      <c r="AR446">
        <v>1</v>
      </c>
      <c r="AS446">
        <v>1</v>
      </c>
      <c r="AT446">
        <f>IFERROR(AVERAGE(Tabel1[[#This Row],[Up - F2a]:[Up - F2b]]),"")</f>
        <v>1</v>
      </c>
      <c r="AU446">
        <v>2</v>
      </c>
      <c r="AV446">
        <v>1</v>
      </c>
      <c r="AW446">
        <f>IFERROR(AVERAGE(Tabel1[[#This Row],[Up - F3a]:[Up - F3b]]),"")</f>
        <v>1.5</v>
      </c>
      <c r="AX446">
        <v>2</v>
      </c>
      <c r="AY446">
        <f>IFERROR(AVERAGE(Tabel1[[#This Row],[Up - F1]],Tabel1[[#This Row],[Up - F2]],Tabel1[[#This Row],[Up - F3]],Tabel1[[#This Row],[Up - F4]]),"")</f>
        <v>1.625</v>
      </c>
      <c r="AZ446">
        <v>1</v>
      </c>
      <c r="BA446">
        <v>2</v>
      </c>
      <c r="BB446">
        <f>IFERROR(AVERAGE(Tabel1[[#This Row],[Up - V1a]:[Up - V1b]]),"")</f>
        <v>1.5</v>
      </c>
      <c r="BC446">
        <v>3</v>
      </c>
      <c r="BD446">
        <v>3</v>
      </c>
      <c r="BE446">
        <v>3</v>
      </c>
      <c r="BF446">
        <f>IFERROR(AVERAGE(Tabel1[[#This Row],[Up - V2a]:[Up - V2c]]),"")</f>
        <v>3</v>
      </c>
      <c r="BG446">
        <v>1</v>
      </c>
      <c r="BH446">
        <v>1</v>
      </c>
      <c r="BI446">
        <f>IFERROR(AVERAGE(Tabel1[[#This Row],[Up - V3a]:[Up - V3b]]),"")</f>
        <v>1</v>
      </c>
      <c r="BJ446">
        <v>1</v>
      </c>
      <c r="BK446">
        <f>IFERROR(AVERAGE(Tabel1[[#This Row],[Up - V1]],Tabel1[[#This Row],[Up - V2]],Tabel1[[#This Row],[Up - V3]],Tabel1[[#This Row],[Up - V4]]),"")</f>
        <v>1.625</v>
      </c>
      <c r="BL446">
        <v>2</v>
      </c>
      <c r="BM446">
        <v>4</v>
      </c>
      <c r="BN446">
        <v>1</v>
      </c>
      <c r="BP446">
        <f>IFERROR(AVERAGE(Tabel1[[#This Row],[Up - A1a]:[Up - A1d]]),"")</f>
        <v>2.3333333333333335</v>
      </c>
      <c r="BQ446">
        <v>1</v>
      </c>
      <c r="BR446">
        <v>2</v>
      </c>
      <c r="BS446">
        <f>IFERROR(AVERAGE(Tabel1[[#This Row],[Up - A2a]:[Up - A2b]]),"")</f>
        <v>1.5</v>
      </c>
      <c r="BT446">
        <v>2</v>
      </c>
      <c r="BU446">
        <f>IFERROR(AVERAGE(Tabel1[[#This Row],[Up - A3a]:[Up - A3a]]),"")</f>
        <v>2</v>
      </c>
      <c r="BV446">
        <v>3</v>
      </c>
      <c r="BW446">
        <f>IFERROR(AVERAGE(Tabel1[[#This Row],[Up - A1]],Tabel1[[#This Row],[Up - A2]],Tabel1[[#This Row],[Up - A3]]),"")</f>
        <v>1.9444444444444446</v>
      </c>
      <c r="BX446">
        <v>1</v>
      </c>
      <c r="BY446">
        <v>1</v>
      </c>
      <c r="BZ446">
        <f>IFERROR(AVERAGE(Tabel1[[#This Row],[In - R1a]:[In - R1b]]),"")</f>
        <v>1</v>
      </c>
      <c r="CA446">
        <v>4</v>
      </c>
      <c r="CB446">
        <v>2</v>
      </c>
      <c r="CC446">
        <v>2</v>
      </c>
      <c r="CD446">
        <v>2</v>
      </c>
      <c r="CE446">
        <f>IFERROR(AVERAGE(Tabel1[[#This Row],[In - R1]:[In - R5]]),"")</f>
        <v>2.2000000000000002</v>
      </c>
      <c r="CF446">
        <v>3</v>
      </c>
      <c r="CG446">
        <v>4</v>
      </c>
      <c r="CH446">
        <v>4</v>
      </c>
      <c r="CI446">
        <f>IFERROR(AVERAGE(Tabel1[[#This Row],[In - C1a]:[In - C1c]]),"")</f>
        <v>3.6666666666666665</v>
      </c>
      <c r="CJ446">
        <v>4</v>
      </c>
      <c r="CK446">
        <v>4</v>
      </c>
      <c r="CL446">
        <v>2</v>
      </c>
      <c r="CM446">
        <f>IFERROR(AVERAGE(Tabel1[[#This Row],[In - C1]:[In - C4]]),"")</f>
        <v>3.4166666666666665</v>
      </c>
      <c r="CN446">
        <v>2</v>
      </c>
      <c r="CO446">
        <v>2</v>
      </c>
      <c r="CP446">
        <v>1</v>
      </c>
      <c r="CQ446">
        <f>IFERROR(AVERAGE(Tabel1[[#This Row],[In - F1a]:[In - F1c]]),"")</f>
        <v>1.6666666666666667</v>
      </c>
      <c r="CR446">
        <v>2</v>
      </c>
      <c r="CS446">
        <v>2</v>
      </c>
      <c r="CT446">
        <f>IFERROR(AVERAGE(Tabel1[[#This Row],[In - F2a]:[In - F2b]]),"")</f>
        <v>2</v>
      </c>
      <c r="CU446">
        <v>2</v>
      </c>
      <c r="CV446">
        <f>IFERROR(AVERAGE(Tabel1[[#This Row],[In - F3a]:[In - F3a]]),"")</f>
        <v>2</v>
      </c>
      <c r="CW446">
        <v>2</v>
      </c>
      <c r="CX446">
        <f>IFERROR(AVERAGE(Tabel1[[#This Row],[In - F1]],Tabel1[[#This Row],[In - F2]],Tabel1[[#This Row],[In - F3]],Tabel1[[#This Row],[In - F4]]),"")</f>
        <v>1.9166666666666667</v>
      </c>
      <c r="CY446">
        <v>4</v>
      </c>
      <c r="CZ446">
        <v>3</v>
      </c>
      <c r="DA446">
        <v>3</v>
      </c>
      <c r="DB446">
        <f>IFERROR(AVERAGE(Tabel1[[#This Row],[In - V1a]:[In - V1c]]),"")</f>
        <v>3.3333333333333335</v>
      </c>
      <c r="DC446">
        <v>3</v>
      </c>
      <c r="DD446">
        <v>4</v>
      </c>
      <c r="DE446">
        <v>3</v>
      </c>
      <c r="DF446">
        <f>IFERROR(AVERAGE(Tabel1[[#This Row],[In - V2a]:[In - V2c]]),"")</f>
        <v>3.3333333333333335</v>
      </c>
      <c r="DG446">
        <v>1</v>
      </c>
      <c r="DH446">
        <v>3</v>
      </c>
      <c r="DI446">
        <f>IFERROR(AVERAGE(Tabel1[[#This Row],[In - V3a]:[In - V3b]]),"")</f>
        <v>2</v>
      </c>
      <c r="DJ446">
        <v>2</v>
      </c>
      <c r="DK446">
        <f>IFERROR(AVERAGE(Tabel1[[#This Row],[In - V1]],Tabel1[[#This Row],[In - V2]],Tabel1[[#This Row],[In - V3]],Tabel1[[#This Row],[In - V4]]),"")</f>
        <v>2.666666666666667</v>
      </c>
      <c r="DL446">
        <v>2</v>
      </c>
      <c r="DM446">
        <v>3</v>
      </c>
      <c r="DN446">
        <f>IFERROR(AVERAGE(Tabel1[[#This Row],[In - A1a]:[In - A1b]]),"")</f>
        <v>2.5</v>
      </c>
      <c r="DO446">
        <v>2</v>
      </c>
      <c r="DP446">
        <v>2</v>
      </c>
      <c r="DQ446">
        <f>IFERROR(AVERAGE(Tabel1[[#This Row],[In - A2a]:[In - A2b]]),"")</f>
        <v>2</v>
      </c>
      <c r="DR446">
        <v>3</v>
      </c>
      <c r="DS446">
        <v>2</v>
      </c>
      <c r="DT446">
        <f>IFERROR(AVERAGE(Tabel1[[#This Row],[In - A3a]:[In - A3a]]),"")</f>
        <v>3</v>
      </c>
      <c r="DU446">
        <v>2</v>
      </c>
      <c r="DV446">
        <f>IFERROR(AVERAGE(Tabel1[[#This Row],[In - A1]],Tabel1[[#This Row],[In - A2]],Tabel1[[#This Row],[In - A3]],Tabel1[[#This Row],[In - A4]]),"")</f>
        <v>2.375</v>
      </c>
      <c r="DW446">
        <v>3</v>
      </c>
      <c r="DX446">
        <v>2</v>
      </c>
      <c r="DY446" t="s">
        <v>189</v>
      </c>
      <c r="DZ446">
        <f>IFERROR(AVERAGE(Tabel1[[#This Row],[Do - R1a]:[Do - R1c]]),"")</f>
        <v>2.5</v>
      </c>
      <c r="EA446">
        <v>4</v>
      </c>
      <c r="EB446">
        <v>2</v>
      </c>
      <c r="EC446">
        <v>2</v>
      </c>
      <c r="ED446" t="s">
        <v>189</v>
      </c>
      <c r="EE446">
        <f>IFERROR(AVERAGE(Tabel1[[#This Row],[Do - R1]:[Do - R5]]),"")</f>
        <v>2.625</v>
      </c>
      <c r="EF446" t="s">
        <v>189</v>
      </c>
      <c r="EG446">
        <v>2</v>
      </c>
      <c r="EH446">
        <v>2</v>
      </c>
      <c r="EI446">
        <f>IFERROR(AVERAGE(Tabel1[[#This Row],[Do - C1a]:[Do - C1c]]),"")</f>
        <v>2</v>
      </c>
      <c r="EJ446">
        <v>1</v>
      </c>
      <c r="EK446">
        <v>1</v>
      </c>
      <c r="EL446">
        <v>2</v>
      </c>
      <c r="EM446">
        <f>IFERROR(AVERAGE(Tabel1[[#This Row],[Do - C1]:[Do - C4]]),"")</f>
        <v>1.5</v>
      </c>
      <c r="EN446">
        <v>2</v>
      </c>
      <c r="EO446">
        <v>2</v>
      </c>
      <c r="EP446">
        <v>4</v>
      </c>
      <c r="EQ446">
        <f>IFERROR(AVERAGE(Tabel1[[#This Row],[Do - F1a]:[Do - F1c]]),"")</f>
        <v>2.6666666666666665</v>
      </c>
      <c r="ER446">
        <v>3</v>
      </c>
      <c r="ES446">
        <f>IFERROR(AVERAGE(Tabel1[[#This Row],[Do - F2a]:[Do - F2a]]),"")</f>
        <v>3</v>
      </c>
      <c r="ET446">
        <v>1</v>
      </c>
      <c r="EU446">
        <v>2</v>
      </c>
      <c r="EV446">
        <f>IFERROR(AVERAGE(Tabel1[[#This Row],[Do - F3a]:[Do - F3b]]),"")</f>
        <v>1.5</v>
      </c>
      <c r="EW446">
        <v>1</v>
      </c>
      <c r="EX446">
        <f>IFERROR(AVERAGE(Tabel1[[#This Row],[Do - F1]],Tabel1[[#This Row],[Do - F2]],Tabel1[[#This Row],[Do - F3]],Tabel1[[#This Row],[Do - F4]]),"")</f>
        <v>2.0416666666666665</v>
      </c>
      <c r="EY446">
        <v>2</v>
      </c>
      <c r="EZ446">
        <v>1</v>
      </c>
      <c r="FA446">
        <v>3</v>
      </c>
      <c r="FB446">
        <f>IFERROR(AVERAGE(Tabel1[[#This Row],[Do - V1a]:[Do - V1c]]),"")</f>
        <v>2</v>
      </c>
      <c r="FC446">
        <v>3</v>
      </c>
      <c r="FD446">
        <v>2</v>
      </c>
      <c r="FE446">
        <f>IFERROR(AVERAGE(Tabel1[[#This Row],[Do - V2a]:[Do - V2b]]),"")</f>
        <v>2.5</v>
      </c>
      <c r="FF446">
        <v>2</v>
      </c>
      <c r="FG446">
        <f>IFERROR(AVERAGE(Tabel1[[#This Row],[Do - V3a]:[Do - V3a]]),"")</f>
        <v>2</v>
      </c>
      <c r="FH446">
        <v>1</v>
      </c>
      <c r="FI446">
        <f>IFERROR(AVERAGE(Tabel1[[#This Row],[Do - V1]],Tabel1[[#This Row],[Do - V2]],Tabel1[[#This Row],[Do - V3]],Tabel1[[#This Row],[Do - V4]]),"")</f>
        <v>1.875</v>
      </c>
      <c r="FJ446">
        <v>2</v>
      </c>
      <c r="FK446">
        <v>1</v>
      </c>
      <c r="FL446">
        <v>3</v>
      </c>
      <c r="FM446">
        <f>IFERROR(AVERAGE(Tabel1[[#This Row],[Do - A1a]:[Do - A1c]]),"")</f>
        <v>2</v>
      </c>
      <c r="FO446">
        <v>3</v>
      </c>
      <c r="FP446">
        <f>IFERROR(AVERAGE(Tabel1[[#This Row],[Do - A2a]:[Do - A2b]]),"")</f>
        <v>3</v>
      </c>
      <c r="FQ446">
        <v>2</v>
      </c>
      <c r="FR446">
        <f>IFERROR(AVERAGE(Tabel1[[#This Row],[Do - A3a]:[Do - A3a]]),"")</f>
        <v>2</v>
      </c>
      <c r="FS446">
        <v>3</v>
      </c>
      <c r="FT446">
        <f>IFERROR(AVERAGE(Tabel1[[#This Row],[Do - A1]],Tabel1[[#This Row],[Do - A2]],Tabel1[[#This Row],[Do - A3]],Tabel1[[#This Row],[Do - A4]]),"")</f>
        <v>2.5</v>
      </c>
      <c r="FU44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2.1818518518518517</v>
      </c>
      <c r="FV446" s="31" t="s">
        <v>2195</v>
      </c>
      <c r="FW446" t="b">
        <v>1</v>
      </c>
    </row>
    <row r="447" spans="1:179" x14ac:dyDescent="0.3">
      <c r="A447" s="13">
        <v>45727.509537037004</v>
      </c>
      <c r="B447" t="b">
        <v>0</v>
      </c>
      <c r="C447" t="s">
        <v>2196</v>
      </c>
      <c r="D447" t="s">
        <v>2197</v>
      </c>
      <c r="E447" t="s">
        <v>2198</v>
      </c>
      <c r="F447" s="14" t="s">
        <v>1133</v>
      </c>
      <c r="G447" t="s">
        <v>2199</v>
      </c>
      <c r="H447" t="s">
        <v>194</v>
      </c>
      <c r="I447" t="s">
        <v>195</v>
      </c>
      <c r="J447" t="s">
        <v>1305</v>
      </c>
      <c r="K447" t="s">
        <v>187</v>
      </c>
      <c r="L447" t="s">
        <v>249</v>
      </c>
      <c r="M447" t="s">
        <v>233</v>
      </c>
      <c r="N447" t="s">
        <v>199</v>
      </c>
      <c r="O447" t="s">
        <v>256</v>
      </c>
      <c r="P447" t="s">
        <v>255</v>
      </c>
      <c r="Q447" t="s">
        <v>235</v>
      </c>
      <c r="R447" t="s">
        <v>187</v>
      </c>
      <c r="S447" t="s">
        <v>235</v>
      </c>
      <c r="T447" t="s">
        <v>236</v>
      </c>
      <c r="U447" t="s">
        <v>205</v>
      </c>
      <c r="V447" t="s">
        <v>206</v>
      </c>
      <c r="W447" t="s">
        <v>207</v>
      </c>
      <c r="X447" t="s">
        <v>207</v>
      </c>
      <c r="Y447">
        <v>2</v>
      </c>
      <c r="Z447">
        <v>2</v>
      </c>
      <c r="AB447">
        <f>IFERROR(AVERAGE(Tabel1[[#This Row],[Up - R1a]:[Up - R1c]]),"")</f>
        <v>2</v>
      </c>
      <c r="AD447">
        <v>3</v>
      </c>
      <c r="AG447">
        <f>IFERROR(AVERAGE(Tabel1[[#This Row],[Up - R1]:[Up - R5]]),"")</f>
        <v>2.5</v>
      </c>
      <c r="AH447">
        <v>3</v>
      </c>
      <c r="AI447">
        <v>3</v>
      </c>
      <c r="AK447">
        <f>IFERROR(AVERAGE(Tabel1[[#This Row],[Up - C1a]:[Up - C1c]]),"")</f>
        <v>3</v>
      </c>
      <c r="AL447">
        <v>3</v>
      </c>
      <c r="AO447">
        <f>IFERROR(AVERAGE(Tabel1[[#This Row],[Up - C1]:[Up - C4]]),"")</f>
        <v>3</v>
      </c>
      <c r="AP447">
        <v>3</v>
      </c>
      <c r="AQ447">
        <f>IFERROR(AVERAGE(Tabel1[[#This Row],[Up - F1a]:[Up - F1a]]),"")</f>
        <v>3</v>
      </c>
      <c r="AR447">
        <v>1</v>
      </c>
      <c r="AS447">
        <v>1</v>
      </c>
      <c r="AT447">
        <f>IFERROR(AVERAGE(Tabel1[[#This Row],[Up - F2a]:[Up - F2b]]),"")</f>
        <v>1</v>
      </c>
      <c r="AV447">
        <v>1</v>
      </c>
      <c r="AW447">
        <f>IFERROR(AVERAGE(Tabel1[[#This Row],[Up - F3a]:[Up - F3b]]),"")</f>
        <v>1</v>
      </c>
      <c r="AY447">
        <f>IFERROR(AVERAGE(Tabel1[[#This Row],[Up - F1]],Tabel1[[#This Row],[Up - F2]],Tabel1[[#This Row],[Up - F3]],Tabel1[[#This Row],[Up - F4]]),"")</f>
        <v>1.6666666666666667</v>
      </c>
      <c r="BB447" t="str">
        <f>IFERROR(AVERAGE(Tabel1[[#This Row],[Up - V1a]:[Up - V1b]]),"")</f>
        <v/>
      </c>
      <c r="BC447">
        <v>3</v>
      </c>
      <c r="BD447">
        <v>4</v>
      </c>
      <c r="BE447">
        <v>4</v>
      </c>
      <c r="BF447">
        <f>IFERROR(AVERAGE(Tabel1[[#This Row],[Up - V2a]:[Up - V2c]]),"")</f>
        <v>3.6666666666666665</v>
      </c>
      <c r="BG447">
        <v>2</v>
      </c>
      <c r="BH447">
        <v>4</v>
      </c>
      <c r="BI447">
        <f>IFERROR(AVERAGE(Tabel1[[#This Row],[Up - V3a]:[Up - V3b]]),"")</f>
        <v>3</v>
      </c>
      <c r="BK447">
        <f>IFERROR(AVERAGE(Tabel1[[#This Row],[Up - V1]],Tabel1[[#This Row],[Up - V2]],Tabel1[[#This Row],[Up - V3]],Tabel1[[#This Row],[Up - V4]]),"")</f>
        <v>3.333333333333333</v>
      </c>
      <c r="BL447">
        <v>3</v>
      </c>
      <c r="BM447">
        <v>3</v>
      </c>
      <c r="BN447">
        <v>1</v>
      </c>
      <c r="BP447">
        <f>IFERROR(AVERAGE(Tabel1[[#This Row],[Up - A1a]:[Up - A1d]]),"")</f>
        <v>2.3333333333333335</v>
      </c>
      <c r="BS447" t="str">
        <f>IFERROR(AVERAGE(Tabel1[[#This Row],[Up - A2a]:[Up - A2b]]),"")</f>
        <v/>
      </c>
      <c r="BU447" t="str">
        <f>IFERROR(AVERAGE(Tabel1[[#This Row],[Up - A3a]:[Up - A3a]]),"")</f>
        <v/>
      </c>
      <c r="BW447">
        <f>IFERROR(AVERAGE(Tabel1[[#This Row],[Up - A1]],Tabel1[[#This Row],[Up - A2]],Tabel1[[#This Row],[Up - A3]]),"")</f>
        <v>2.3333333333333335</v>
      </c>
      <c r="BX447">
        <v>1</v>
      </c>
      <c r="BY447">
        <v>4</v>
      </c>
      <c r="BZ447">
        <f>IFERROR(AVERAGE(Tabel1[[#This Row],[In - R1a]:[In - R1b]]),"")</f>
        <v>2.5</v>
      </c>
      <c r="CA447">
        <v>3</v>
      </c>
      <c r="CB447">
        <v>2</v>
      </c>
      <c r="CC447">
        <v>2</v>
      </c>
      <c r="CE447">
        <f>IFERROR(AVERAGE(Tabel1[[#This Row],[In - R1]:[In - R5]]),"")</f>
        <v>2.375</v>
      </c>
      <c r="CF447">
        <v>4</v>
      </c>
      <c r="CG447">
        <v>3</v>
      </c>
      <c r="CH447">
        <v>3</v>
      </c>
      <c r="CI447">
        <f>IFERROR(AVERAGE(Tabel1[[#This Row],[In - C1a]:[In - C1c]]),"")</f>
        <v>3.3333333333333335</v>
      </c>
      <c r="CJ447">
        <v>2</v>
      </c>
      <c r="CK447">
        <v>2</v>
      </c>
      <c r="CL447">
        <v>4</v>
      </c>
      <c r="CM447">
        <f>IFERROR(AVERAGE(Tabel1[[#This Row],[In - C1]:[In - C4]]),"")</f>
        <v>2.8333333333333335</v>
      </c>
      <c r="CN447">
        <v>3</v>
      </c>
      <c r="CO447">
        <v>1</v>
      </c>
      <c r="CP447">
        <v>1</v>
      </c>
      <c r="CQ447">
        <f>IFERROR(AVERAGE(Tabel1[[#This Row],[In - F1a]:[In - F1c]]),"")</f>
        <v>1.6666666666666667</v>
      </c>
      <c r="CR447">
        <v>3</v>
      </c>
      <c r="CS447">
        <v>1</v>
      </c>
      <c r="CT447">
        <f>IFERROR(AVERAGE(Tabel1[[#This Row],[In - F2a]:[In - F2b]]),"")</f>
        <v>2</v>
      </c>
      <c r="CU447">
        <v>1</v>
      </c>
      <c r="CV447">
        <f>IFERROR(AVERAGE(Tabel1[[#This Row],[In - F3a]:[In - F3a]]),"")</f>
        <v>1</v>
      </c>
      <c r="CX447">
        <f>IFERROR(AVERAGE(Tabel1[[#This Row],[In - F1]],Tabel1[[#This Row],[In - F2]],Tabel1[[#This Row],[In - F3]],Tabel1[[#This Row],[In - F4]]),"")</f>
        <v>1.5555555555555556</v>
      </c>
      <c r="DB447" t="str">
        <f>IFERROR(AVERAGE(Tabel1[[#This Row],[In - V1a]:[In - V1c]]),"")</f>
        <v/>
      </c>
      <c r="DE447">
        <v>1</v>
      </c>
      <c r="DF447">
        <f>IFERROR(AVERAGE(Tabel1[[#This Row],[In - V2a]:[In - V2c]]),"")</f>
        <v>1</v>
      </c>
      <c r="DG447">
        <v>2</v>
      </c>
      <c r="DH447">
        <v>4</v>
      </c>
      <c r="DI447">
        <f>IFERROR(AVERAGE(Tabel1[[#This Row],[In - V3a]:[In - V3b]]),"")</f>
        <v>3</v>
      </c>
      <c r="DJ447">
        <v>4</v>
      </c>
      <c r="DK447">
        <f>IFERROR(AVERAGE(Tabel1[[#This Row],[In - V1]],Tabel1[[#This Row],[In - V2]],Tabel1[[#This Row],[In - V3]],Tabel1[[#This Row],[In - V4]]),"")</f>
        <v>2.6666666666666665</v>
      </c>
      <c r="DL447">
        <v>1</v>
      </c>
      <c r="DM447">
        <v>2</v>
      </c>
      <c r="DN447">
        <f>IFERROR(AVERAGE(Tabel1[[#This Row],[In - A1a]:[In - A1b]]),"")</f>
        <v>1.5</v>
      </c>
      <c r="DO447">
        <v>2</v>
      </c>
      <c r="DP447">
        <v>2</v>
      </c>
      <c r="DQ447">
        <f>IFERROR(AVERAGE(Tabel1[[#This Row],[In - A2a]:[In - A2b]]),"")</f>
        <v>2</v>
      </c>
      <c r="DR447">
        <v>2</v>
      </c>
      <c r="DS447">
        <v>2</v>
      </c>
      <c r="DT447">
        <f>IFERROR(AVERAGE(Tabel1[[#This Row],[In - A3a]:[In - A3a]]),"")</f>
        <v>2</v>
      </c>
      <c r="DU447">
        <v>1</v>
      </c>
      <c r="DV447">
        <f>IFERROR(AVERAGE(Tabel1[[#This Row],[In - A1]],Tabel1[[#This Row],[In - A2]],Tabel1[[#This Row],[In - A3]],Tabel1[[#This Row],[In - A4]]),"")</f>
        <v>1.625</v>
      </c>
      <c r="DW447">
        <v>2</v>
      </c>
      <c r="DX447">
        <v>4</v>
      </c>
      <c r="DY447">
        <v>1</v>
      </c>
      <c r="DZ447">
        <f>IFERROR(AVERAGE(Tabel1[[#This Row],[Do - R1a]:[Do - R1c]]),"")</f>
        <v>2.3333333333333335</v>
      </c>
      <c r="EB447">
        <v>4</v>
      </c>
      <c r="EE447">
        <f>IFERROR(AVERAGE(Tabel1[[#This Row],[Do - R1]:[Do - R5]]),"")</f>
        <v>3.166666666666667</v>
      </c>
      <c r="EI447" t="str">
        <f>IFERROR(AVERAGE(Tabel1[[#This Row],[Do - C1a]:[Do - C1c]]),"")</f>
        <v/>
      </c>
      <c r="EM447" t="str">
        <f>IFERROR(AVERAGE(Tabel1[[#This Row],[Do - C1]:[Do - C4]]),"")</f>
        <v/>
      </c>
      <c r="EP447">
        <v>3</v>
      </c>
      <c r="EQ447">
        <f>IFERROR(AVERAGE(Tabel1[[#This Row],[Do - F1a]:[Do - F1c]]),"")</f>
        <v>3</v>
      </c>
      <c r="ER447">
        <v>2</v>
      </c>
      <c r="ES447">
        <f>IFERROR(AVERAGE(Tabel1[[#This Row],[Do - F2a]:[Do - F2a]]),"")</f>
        <v>2</v>
      </c>
      <c r="ET447">
        <v>3</v>
      </c>
      <c r="EV447">
        <f>IFERROR(AVERAGE(Tabel1[[#This Row],[Do - F3a]:[Do - F3b]]),"")</f>
        <v>3</v>
      </c>
      <c r="EX447">
        <f>IFERROR(AVERAGE(Tabel1[[#This Row],[Do - F1]],Tabel1[[#This Row],[Do - F2]],Tabel1[[#This Row],[Do - F3]],Tabel1[[#This Row],[Do - F4]]),"")</f>
        <v>2.6666666666666665</v>
      </c>
      <c r="EY447">
        <v>2</v>
      </c>
      <c r="EZ447">
        <v>3</v>
      </c>
      <c r="FA447">
        <v>2</v>
      </c>
      <c r="FB447">
        <f>IFERROR(AVERAGE(Tabel1[[#This Row],[Do - V1a]:[Do - V1c]]),"")</f>
        <v>2.3333333333333335</v>
      </c>
      <c r="FD447">
        <v>4</v>
      </c>
      <c r="FE447">
        <f>IFERROR(AVERAGE(Tabel1[[#This Row],[Do - V2a]:[Do - V2b]]),"")</f>
        <v>4</v>
      </c>
      <c r="FG447" t="str">
        <f>IFERROR(AVERAGE(Tabel1[[#This Row],[Do - V3a]:[Do - V3a]]),"")</f>
        <v/>
      </c>
      <c r="FI447">
        <f>IFERROR(AVERAGE(Tabel1[[#This Row],[Do - V1]],Tabel1[[#This Row],[Do - V2]],Tabel1[[#This Row],[Do - V3]],Tabel1[[#This Row],[Do - V4]]),"")</f>
        <v>3.166666666666667</v>
      </c>
      <c r="FJ447">
        <v>2</v>
      </c>
      <c r="FK447">
        <v>1</v>
      </c>
      <c r="FM447">
        <f>IFERROR(AVERAGE(Tabel1[[#This Row],[Do - A1a]:[Do - A1c]]),"")</f>
        <v>1.5</v>
      </c>
      <c r="FN447">
        <v>1</v>
      </c>
      <c r="FO447">
        <v>4</v>
      </c>
      <c r="FP447">
        <f>IFERROR(AVERAGE(Tabel1[[#This Row],[Do - A2a]:[Do - A2b]]),"")</f>
        <v>2.5</v>
      </c>
      <c r="FR447" t="str">
        <f>IFERROR(AVERAGE(Tabel1[[#This Row],[Do - A3a]:[Do - A3a]]),"")</f>
        <v/>
      </c>
      <c r="FT447">
        <f>IFERROR(AVERAGE(Tabel1[[#This Row],[Do - A1]],Tabel1[[#This Row],[Do - A2]],Tabel1[[#This Row],[Do - A3]],Tabel1[[#This Row],[Do - A4]]),"")</f>
        <v>2</v>
      </c>
      <c r="FU44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2.4920634920634925</v>
      </c>
      <c r="FV447" s="31" t="s">
        <v>2200</v>
      </c>
      <c r="FW447" t="b">
        <v>1</v>
      </c>
    </row>
    <row r="448" spans="1:179" x14ac:dyDescent="0.3">
      <c r="A448" s="13">
        <v>45728.437118055597</v>
      </c>
      <c r="B448" t="b">
        <v>0</v>
      </c>
      <c r="C448" t="s">
        <v>2201</v>
      </c>
      <c r="D448" t="s">
        <v>2202</v>
      </c>
      <c r="E448" t="s">
        <v>2147</v>
      </c>
      <c r="F448" s="14" t="s">
        <v>184</v>
      </c>
      <c r="G448" t="s">
        <v>2203</v>
      </c>
      <c r="H448" t="s">
        <v>222</v>
      </c>
      <c r="I448" t="s">
        <v>572</v>
      </c>
      <c r="J448" t="s">
        <v>573</v>
      </c>
      <c r="K448" t="s">
        <v>187</v>
      </c>
      <c r="L448" t="s">
        <v>249</v>
      </c>
      <c r="M448" t="s">
        <v>198</v>
      </c>
      <c r="N448" t="s">
        <v>199</v>
      </c>
      <c r="O448" t="s">
        <v>200</v>
      </c>
      <c r="P448" t="s">
        <v>304</v>
      </c>
      <c r="Q448" t="s">
        <v>235</v>
      </c>
      <c r="R448" t="s">
        <v>187</v>
      </c>
      <c r="S448" t="s">
        <v>202</v>
      </c>
      <c r="T448" t="s">
        <v>204</v>
      </c>
      <c r="U448" t="s">
        <v>237</v>
      </c>
      <c r="V448" t="s">
        <v>206</v>
      </c>
      <c r="W448" t="s">
        <v>207</v>
      </c>
      <c r="X448" t="s">
        <v>207</v>
      </c>
      <c r="Y448" t="s">
        <v>189</v>
      </c>
      <c r="Z448" t="s">
        <v>189</v>
      </c>
      <c r="AA448" t="s">
        <v>189</v>
      </c>
      <c r="AB448" t="str">
        <f>IFERROR(AVERAGE(Tabel1[[#This Row],[Up - R1a]:[Up - R1c]]),"")</f>
        <v/>
      </c>
      <c r="AC448" t="s">
        <v>189</v>
      </c>
      <c r="AD448">
        <v>4</v>
      </c>
      <c r="AE448">
        <v>3</v>
      </c>
      <c r="AF448">
        <v>4</v>
      </c>
      <c r="AG448">
        <f>IFERROR(AVERAGE(Tabel1[[#This Row],[Up - R1]:[Up - R5]]),"")</f>
        <v>3.6666666666666665</v>
      </c>
      <c r="AH448">
        <v>4</v>
      </c>
      <c r="AI448">
        <v>5</v>
      </c>
      <c r="AJ448">
        <v>4</v>
      </c>
      <c r="AK448">
        <f>IFERROR(AVERAGE(Tabel1[[#This Row],[Up - C1a]:[Up - C1c]]),"")</f>
        <v>4.333333333333333</v>
      </c>
      <c r="AL448">
        <v>4</v>
      </c>
      <c r="AM448">
        <v>5</v>
      </c>
      <c r="AN448">
        <v>4</v>
      </c>
      <c r="AO448">
        <f>IFERROR(AVERAGE(Tabel1[[#This Row],[Up - C1]:[Up - C4]]),"")</f>
        <v>4.333333333333333</v>
      </c>
      <c r="AP448">
        <v>4</v>
      </c>
      <c r="AQ448">
        <f>IFERROR(AVERAGE(Tabel1[[#This Row],[Up - F1a]:[Up - F1a]]),"")</f>
        <v>4</v>
      </c>
      <c r="AR448">
        <v>2</v>
      </c>
      <c r="AS448">
        <v>3</v>
      </c>
      <c r="AT448">
        <f>IFERROR(AVERAGE(Tabel1[[#This Row],[Up - F2a]:[Up - F2b]]),"")</f>
        <v>2.5</v>
      </c>
      <c r="AU448">
        <v>4</v>
      </c>
      <c r="AV448">
        <v>4</v>
      </c>
      <c r="AW448">
        <f>IFERROR(AVERAGE(Tabel1[[#This Row],[Up - F3a]:[Up - F3b]]),"")</f>
        <v>4</v>
      </c>
      <c r="AX448">
        <v>2</v>
      </c>
      <c r="AY448">
        <f>IFERROR(AVERAGE(Tabel1[[#This Row],[Up - F1]],Tabel1[[#This Row],[Up - F2]],Tabel1[[#This Row],[Up - F3]],Tabel1[[#This Row],[Up - F4]]),"")</f>
        <v>3.125</v>
      </c>
      <c r="AZ448">
        <v>4</v>
      </c>
      <c r="BA448">
        <v>4</v>
      </c>
      <c r="BB448">
        <f>IFERROR(AVERAGE(Tabel1[[#This Row],[Up - V1a]:[Up - V1b]]),"")</f>
        <v>4</v>
      </c>
      <c r="BC448">
        <v>4</v>
      </c>
      <c r="BD448">
        <v>3</v>
      </c>
      <c r="BE448">
        <v>5</v>
      </c>
      <c r="BF448">
        <f>IFERROR(AVERAGE(Tabel1[[#This Row],[Up - V2a]:[Up - V2c]]),"")</f>
        <v>4</v>
      </c>
      <c r="BG448">
        <v>5</v>
      </c>
      <c r="BH448">
        <v>5</v>
      </c>
      <c r="BI448">
        <f>IFERROR(AVERAGE(Tabel1[[#This Row],[Up - V3a]:[Up - V3b]]),"")</f>
        <v>5</v>
      </c>
      <c r="BJ448">
        <v>5</v>
      </c>
      <c r="BK448">
        <f>IFERROR(AVERAGE(Tabel1[[#This Row],[Up - V1]],Tabel1[[#This Row],[Up - V2]],Tabel1[[#This Row],[Up - V3]],Tabel1[[#This Row],[Up - V4]]),"")</f>
        <v>4.5</v>
      </c>
      <c r="BL448">
        <v>4</v>
      </c>
      <c r="BM448">
        <v>4</v>
      </c>
      <c r="BN448">
        <v>4</v>
      </c>
      <c r="BO448">
        <v>3</v>
      </c>
      <c r="BP448">
        <f>IFERROR(AVERAGE(Tabel1[[#This Row],[Up - A1a]:[Up - A1d]]),"")</f>
        <v>3.75</v>
      </c>
      <c r="BQ448">
        <v>4</v>
      </c>
      <c r="BR448">
        <v>4</v>
      </c>
      <c r="BS448">
        <f>IFERROR(AVERAGE(Tabel1[[#This Row],[Up - A2a]:[Up - A2b]]),"")</f>
        <v>4</v>
      </c>
      <c r="BT448">
        <v>5</v>
      </c>
      <c r="BU448">
        <f>IFERROR(AVERAGE(Tabel1[[#This Row],[Up - A3a]:[Up - A3a]]),"")</f>
        <v>5</v>
      </c>
      <c r="BV448">
        <v>5</v>
      </c>
      <c r="BW448">
        <f>IFERROR(AVERAGE(Tabel1[[#This Row],[Up - A1]],Tabel1[[#This Row],[Up - A2]],Tabel1[[#This Row],[Up - A3]]),"")</f>
        <v>4.25</v>
      </c>
      <c r="BX448" t="s">
        <v>189</v>
      </c>
      <c r="BY448" t="s">
        <v>189</v>
      </c>
      <c r="BZ448" t="str">
        <f>IFERROR(AVERAGE(Tabel1[[#This Row],[In - R1a]:[In - R1b]]),"")</f>
        <v/>
      </c>
      <c r="CA448" t="s">
        <v>189</v>
      </c>
      <c r="CB448">
        <v>5</v>
      </c>
      <c r="CC448">
        <v>2</v>
      </c>
      <c r="CD448">
        <v>4</v>
      </c>
      <c r="CE448">
        <f>IFERROR(AVERAGE(Tabel1[[#This Row],[In - R1]:[In - R5]]),"")</f>
        <v>3.6666666666666665</v>
      </c>
      <c r="CF448">
        <v>5</v>
      </c>
      <c r="CG448">
        <v>5</v>
      </c>
      <c r="CH448">
        <v>5</v>
      </c>
      <c r="CI448">
        <f>IFERROR(AVERAGE(Tabel1[[#This Row],[In - C1a]:[In - C1c]]),"")</f>
        <v>5</v>
      </c>
      <c r="CJ448">
        <v>4</v>
      </c>
      <c r="CK448">
        <v>4</v>
      </c>
      <c r="CL448">
        <v>4</v>
      </c>
      <c r="CM448">
        <f>IFERROR(AVERAGE(Tabel1[[#This Row],[In - C1]:[In - C4]]),"")</f>
        <v>4.25</v>
      </c>
      <c r="CN448">
        <v>4</v>
      </c>
      <c r="CO448">
        <v>3</v>
      </c>
      <c r="CP448">
        <v>4</v>
      </c>
      <c r="CQ448">
        <f>IFERROR(AVERAGE(Tabel1[[#This Row],[In - F1a]:[In - F1c]]),"")</f>
        <v>3.6666666666666665</v>
      </c>
      <c r="CR448">
        <v>4</v>
      </c>
      <c r="CS448">
        <v>1</v>
      </c>
      <c r="CT448">
        <f>IFERROR(AVERAGE(Tabel1[[#This Row],[In - F2a]:[In - F2b]]),"")</f>
        <v>2.5</v>
      </c>
      <c r="CU448" t="s">
        <v>189</v>
      </c>
      <c r="CV448" t="str">
        <f>IFERROR(AVERAGE(Tabel1[[#This Row],[In - F3a]:[In - F3a]]),"")</f>
        <v/>
      </c>
      <c r="CW448" t="s">
        <v>189</v>
      </c>
      <c r="CX448">
        <f>IFERROR(AVERAGE(Tabel1[[#This Row],[In - F1]],Tabel1[[#This Row],[In - F2]],Tabel1[[#This Row],[In - F3]],Tabel1[[#This Row],[In - F4]]),"")</f>
        <v>3.083333333333333</v>
      </c>
      <c r="CY448">
        <v>4</v>
      </c>
      <c r="CZ448">
        <v>4</v>
      </c>
      <c r="DA448">
        <v>3</v>
      </c>
      <c r="DB448">
        <f>IFERROR(AVERAGE(Tabel1[[#This Row],[In - V1a]:[In - V1c]]),"")</f>
        <v>3.6666666666666665</v>
      </c>
      <c r="DC448">
        <v>4</v>
      </c>
      <c r="DD448">
        <v>4</v>
      </c>
      <c r="DE448">
        <v>4</v>
      </c>
      <c r="DF448">
        <f>IFERROR(AVERAGE(Tabel1[[#This Row],[In - V2a]:[In - V2c]]),"")</f>
        <v>4</v>
      </c>
      <c r="DG448">
        <v>5</v>
      </c>
      <c r="DH448">
        <v>5</v>
      </c>
      <c r="DI448">
        <f>IFERROR(AVERAGE(Tabel1[[#This Row],[In - V3a]:[In - V3b]]),"")</f>
        <v>5</v>
      </c>
      <c r="DJ448">
        <v>5</v>
      </c>
      <c r="DK448">
        <f>IFERROR(AVERAGE(Tabel1[[#This Row],[In - V1]],Tabel1[[#This Row],[In - V2]],Tabel1[[#This Row],[In - V3]],Tabel1[[#This Row],[In - V4]]),"")</f>
        <v>4.4166666666666661</v>
      </c>
      <c r="DL448">
        <v>4</v>
      </c>
      <c r="DM448">
        <v>4</v>
      </c>
      <c r="DN448">
        <f>IFERROR(AVERAGE(Tabel1[[#This Row],[In - A1a]:[In - A1b]]),"")</f>
        <v>4</v>
      </c>
      <c r="DO448">
        <v>3</v>
      </c>
      <c r="DP448">
        <v>4</v>
      </c>
      <c r="DQ448">
        <f>IFERROR(AVERAGE(Tabel1[[#This Row],[In - A2a]:[In - A2b]]),"")</f>
        <v>3.5</v>
      </c>
      <c r="DR448">
        <v>5</v>
      </c>
      <c r="DS448">
        <v>3</v>
      </c>
      <c r="DT448">
        <f>IFERROR(AVERAGE(Tabel1[[#This Row],[In - A3a]:[In - A3a]]),"")</f>
        <v>5</v>
      </c>
      <c r="DU448">
        <v>4</v>
      </c>
      <c r="DV448">
        <f>IFERROR(AVERAGE(Tabel1[[#This Row],[In - A1]],Tabel1[[#This Row],[In - A2]],Tabel1[[#This Row],[In - A3]],Tabel1[[#This Row],[In - A4]]),"")</f>
        <v>4.125</v>
      </c>
      <c r="DW448" t="s">
        <v>189</v>
      </c>
      <c r="DX448" t="s">
        <v>189</v>
      </c>
      <c r="DY448" t="s">
        <v>189</v>
      </c>
      <c r="DZ448" t="str">
        <f>IFERROR(AVERAGE(Tabel1[[#This Row],[Do - R1a]:[Do - R1c]]),"")</f>
        <v/>
      </c>
      <c r="EA448" t="s">
        <v>189</v>
      </c>
      <c r="EB448">
        <v>4</v>
      </c>
      <c r="EC448">
        <v>2</v>
      </c>
      <c r="ED448" t="s">
        <v>189</v>
      </c>
      <c r="EE448">
        <f>IFERROR(AVERAGE(Tabel1[[#This Row],[Do - R1]:[Do - R5]]),"")</f>
        <v>3</v>
      </c>
      <c r="EF448">
        <v>5</v>
      </c>
      <c r="EG448">
        <v>5</v>
      </c>
      <c r="EH448">
        <v>4</v>
      </c>
      <c r="EI448">
        <f>IFERROR(AVERAGE(Tabel1[[#This Row],[Do - C1a]:[Do - C1c]]),"")</f>
        <v>4.666666666666667</v>
      </c>
      <c r="EJ448">
        <v>4</v>
      </c>
      <c r="EK448">
        <v>5</v>
      </c>
      <c r="EL448">
        <v>2</v>
      </c>
      <c r="EM448">
        <f>IFERROR(AVERAGE(Tabel1[[#This Row],[Do - C1]:[Do - C4]]),"")</f>
        <v>3.916666666666667</v>
      </c>
      <c r="EN448">
        <v>4</v>
      </c>
      <c r="EO448">
        <v>3</v>
      </c>
      <c r="EP448">
        <v>4</v>
      </c>
      <c r="EQ448">
        <f>IFERROR(AVERAGE(Tabel1[[#This Row],[Do - F1a]:[Do - F1c]]),"")</f>
        <v>3.6666666666666665</v>
      </c>
      <c r="ER448">
        <v>2</v>
      </c>
      <c r="ES448">
        <f>IFERROR(AVERAGE(Tabel1[[#This Row],[Do - F2a]:[Do - F2a]]),"")</f>
        <v>2</v>
      </c>
      <c r="ET448">
        <v>4</v>
      </c>
      <c r="EU448">
        <v>4</v>
      </c>
      <c r="EV448">
        <f>IFERROR(AVERAGE(Tabel1[[#This Row],[Do - F3a]:[Do - F3b]]),"")</f>
        <v>4</v>
      </c>
      <c r="EW448">
        <v>2</v>
      </c>
      <c r="EX448">
        <f>IFERROR(AVERAGE(Tabel1[[#This Row],[Do - F1]],Tabel1[[#This Row],[Do - F2]],Tabel1[[#This Row],[Do - F3]],Tabel1[[#This Row],[Do - F4]]),"")</f>
        <v>2.9166666666666665</v>
      </c>
      <c r="EY448">
        <v>3</v>
      </c>
      <c r="EZ448">
        <v>3</v>
      </c>
      <c r="FA448">
        <v>4</v>
      </c>
      <c r="FB448">
        <f>IFERROR(AVERAGE(Tabel1[[#This Row],[Do - V1a]:[Do - V1c]]),"")</f>
        <v>3.3333333333333335</v>
      </c>
      <c r="FC448">
        <v>5</v>
      </c>
      <c r="FD448">
        <v>4</v>
      </c>
      <c r="FE448">
        <f>IFERROR(AVERAGE(Tabel1[[#This Row],[Do - V2a]:[Do - V2b]]),"")</f>
        <v>4.5</v>
      </c>
      <c r="FF448">
        <v>5</v>
      </c>
      <c r="FG448">
        <f>IFERROR(AVERAGE(Tabel1[[#This Row],[Do - V3a]:[Do - V3a]]),"")</f>
        <v>5</v>
      </c>
      <c r="FH448">
        <v>5</v>
      </c>
      <c r="FI448">
        <f>IFERROR(AVERAGE(Tabel1[[#This Row],[Do - V1]],Tabel1[[#This Row],[Do - V2]],Tabel1[[#This Row],[Do - V3]],Tabel1[[#This Row],[Do - V4]]),"")</f>
        <v>4.4583333333333339</v>
      </c>
      <c r="FJ448">
        <v>4</v>
      </c>
      <c r="FK448">
        <v>4</v>
      </c>
      <c r="FL448" t="s">
        <v>189</v>
      </c>
      <c r="FM448">
        <f>IFERROR(AVERAGE(Tabel1[[#This Row],[Do - A1a]:[Do - A1c]]),"")</f>
        <v>4</v>
      </c>
      <c r="FN448">
        <v>4</v>
      </c>
      <c r="FO448">
        <v>4</v>
      </c>
      <c r="FP448">
        <f>IFERROR(AVERAGE(Tabel1[[#This Row],[Do - A2a]:[Do - A2b]]),"")</f>
        <v>4</v>
      </c>
      <c r="FQ448">
        <v>4</v>
      </c>
      <c r="FR448">
        <f>IFERROR(AVERAGE(Tabel1[[#This Row],[Do - A3a]:[Do - A3a]]),"")</f>
        <v>4</v>
      </c>
      <c r="FS448">
        <v>4</v>
      </c>
      <c r="FT448">
        <f>IFERROR(AVERAGE(Tabel1[[#This Row],[Do - A1]],Tabel1[[#This Row],[Do - A2]],Tabel1[[#This Row],[Do - A3]],Tabel1[[#This Row],[Do - A4]]),"")</f>
        <v>4</v>
      </c>
      <c r="FU44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3.8472222222222219</v>
      </c>
      <c r="FV448" s="31" t="s">
        <v>2204</v>
      </c>
      <c r="FW448" t="b">
        <v>1</v>
      </c>
    </row>
    <row r="449" spans="1:179" x14ac:dyDescent="0.3">
      <c r="A449" s="13">
        <v>45730.5723842593</v>
      </c>
      <c r="B449" t="b">
        <v>0</v>
      </c>
      <c r="C449" t="s">
        <v>2205</v>
      </c>
      <c r="D449" t="s">
        <v>2206</v>
      </c>
      <c r="E449" t="s">
        <v>2207</v>
      </c>
      <c r="F449" s="14" t="s">
        <v>184</v>
      </c>
      <c r="G449" t="s">
        <v>2208</v>
      </c>
      <c r="H449" t="s">
        <v>222</v>
      </c>
      <c r="I449" t="s">
        <v>195</v>
      </c>
      <c r="J449" t="s">
        <v>406</v>
      </c>
      <c r="K449" t="s">
        <v>203</v>
      </c>
      <c r="L449" t="s">
        <v>197</v>
      </c>
      <c r="M449" t="s">
        <v>188</v>
      </c>
      <c r="N449" t="s">
        <v>316</v>
      </c>
      <c r="O449" t="s">
        <v>200</v>
      </c>
      <c r="P449" t="s">
        <v>304</v>
      </c>
      <c r="Q449" t="s">
        <v>203</v>
      </c>
      <c r="R449" t="s">
        <v>201</v>
      </c>
      <c r="S449" t="s">
        <v>201</v>
      </c>
      <c r="T449" t="s">
        <v>236</v>
      </c>
      <c r="U449" t="s">
        <v>205</v>
      </c>
      <c r="V449" t="s">
        <v>224</v>
      </c>
      <c r="W449" t="s">
        <v>207</v>
      </c>
      <c r="X449" t="s">
        <v>395</v>
      </c>
      <c r="Y449">
        <v>3</v>
      </c>
      <c r="Z449">
        <v>2</v>
      </c>
      <c r="AA449" t="s">
        <v>189</v>
      </c>
      <c r="AB449">
        <f>IFERROR(AVERAGE(Tabel1[[#This Row],[Up - R1a]:[Up - R1c]]),"")</f>
        <v>2.5</v>
      </c>
      <c r="AC449">
        <v>2</v>
      </c>
      <c r="AD449">
        <v>4</v>
      </c>
      <c r="AE449">
        <v>2</v>
      </c>
      <c r="AF449">
        <v>3</v>
      </c>
      <c r="AG449">
        <f>IFERROR(AVERAGE(Tabel1[[#This Row],[Up - R1]:[Up - R5]]),"")</f>
        <v>2.7</v>
      </c>
      <c r="AH449">
        <v>4</v>
      </c>
      <c r="AI449">
        <v>3</v>
      </c>
      <c r="AJ449">
        <v>2</v>
      </c>
      <c r="AK449">
        <f>IFERROR(AVERAGE(Tabel1[[#This Row],[Up - C1a]:[Up - C1c]]),"")</f>
        <v>3</v>
      </c>
      <c r="AL449">
        <v>3</v>
      </c>
      <c r="AM449">
        <v>3</v>
      </c>
      <c r="AN449">
        <v>3</v>
      </c>
      <c r="AO449">
        <f>IFERROR(AVERAGE(Tabel1[[#This Row],[Up - C1]:[Up - C4]]),"")</f>
        <v>3</v>
      </c>
      <c r="AP449">
        <v>2</v>
      </c>
      <c r="AQ449">
        <f>IFERROR(AVERAGE(Tabel1[[#This Row],[Up - F1a]:[Up - F1a]]),"")</f>
        <v>2</v>
      </c>
      <c r="AR449">
        <v>2</v>
      </c>
      <c r="AS449">
        <v>4</v>
      </c>
      <c r="AT449">
        <f>IFERROR(AVERAGE(Tabel1[[#This Row],[Up - F2a]:[Up - F2b]]),"")</f>
        <v>3</v>
      </c>
      <c r="AU449">
        <v>3</v>
      </c>
      <c r="AV449">
        <v>2</v>
      </c>
      <c r="AW449">
        <f>IFERROR(AVERAGE(Tabel1[[#This Row],[Up - F3a]:[Up - F3b]]),"")</f>
        <v>2.5</v>
      </c>
      <c r="AX449">
        <v>2</v>
      </c>
      <c r="AY449">
        <f>IFERROR(AVERAGE(Tabel1[[#This Row],[Up - F1]],Tabel1[[#This Row],[Up - F2]],Tabel1[[#This Row],[Up - F3]],Tabel1[[#This Row],[Up - F4]]),"")</f>
        <v>2.375</v>
      </c>
      <c r="AZ449">
        <v>2</v>
      </c>
      <c r="BA449">
        <v>4</v>
      </c>
      <c r="BB449">
        <f>IFERROR(AVERAGE(Tabel1[[#This Row],[Up - V1a]:[Up - V1b]]),"")</f>
        <v>3</v>
      </c>
      <c r="BC449">
        <v>1</v>
      </c>
      <c r="BD449">
        <v>3</v>
      </c>
      <c r="BE449">
        <v>3</v>
      </c>
      <c r="BF449">
        <f>IFERROR(AVERAGE(Tabel1[[#This Row],[Up - V2a]:[Up - V2c]]),"")</f>
        <v>2.3333333333333335</v>
      </c>
      <c r="BG449">
        <v>2</v>
      </c>
      <c r="BH449">
        <v>3</v>
      </c>
      <c r="BI449">
        <f>IFERROR(AVERAGE(Tabel1[[#This Row],[Up - V3a]:[Up - V3b]]),"")</f>
        <v>2.5</v>
      </c>
      <c r="BJ449">
        <v>2</v>
      </c>
      <c r="BK449">
        <f>IFERROR(AVERAGE(Tabel1[[#This Row],[Up - V1]],Tabel1[[#This Row],[Up - V2]],Tabel1[[#This Row],[Up - V3]],Tabel1[[#This Row],[Up - V4]]),"")</f>
        <v>2.4583333333333335</v>
      </c>
      <c r="BL449">
        <v>3</v>
      </c>
      <c r="BM449">
        <v>2</v>
      </c>
      <c r="BN449">
        <v>4</v>
      </c>
      <c r="BO449">
        <v>3</v>
      </c>
      <c r="BP449">
        <f>IFERROR(AVERAGE(Tabel1[[#This Row],[Up - A1a]:[Up - A1d]]),"")</f>
        <v>3</v>
      </c>
      <c r="BQ449">
        <v>2</v>
      </c>
      <c r="BR449">
        <v>4</v>
      </c>
      <c r="BS449">
        <f>IFERROR(AVERAGE(Tabel1[[#This Row],[Up - A2a]:[Up - A2b]]),"")</f>
        <v>3</v>
      </c>
      <c r="BT449">
        <v>3</v>
      </c>
      <c r="BU449">
        <f>IFERROR(AVERAGE(Tabel1[[#This Row],[Up - A3a]:[Up - A3a]]),"")</f>
        <v>3</v>
      </c>
      <c r="BV449">
        <v>3</v>
      </c>
      <c r="BW449">
        <f>IFERROR(AVERAGE(Tabel1[[#This Row],[Up - A1]],Tabel1[[#This Row],[Up - A2]],Tabel1[[#This Row],[Up - A3]]),"")</f>
        <v>3</v>
      </c>
      <c r="BZ449" t="str">
        <f>IFERROR(AVERAGE(Tabel1[[#This Row],[In - R1a]:[In - R1b]]),"")</f>
        <v/>
      </c>
      <c r="CA449">
        <v>3</v>
      </c>
      <c r="CB449">
        <v>1</v>
      </c>
      <c r="CD449">
        <v>2</v>
      </c>
      <c r="CE449">
        <f>IFERROR(AVERAGE(Tabel1[[#This Row],[In - R1]:[In - R5]]),"")</f>
        <v>2</v>
      </c>
      <c r="CF449">
        <v>3</v>
      </c>
      <c r="CG449">
        <v>2</v>
      </c>
      <c r="CH449">
        <v>1</v>
      </c>
      <c r="CI449">
        <f>IFERROR(AVERAGE(Tabel1[[#This Row],[In - C1a]:[In - C1c]]),"")</f>
        <v>2</v>
      </c>
      <c r="CJ449">
        <v>2</v>
      </c>
      <c r="CK449">
        <v>2</v>
      </c>
      <c r="CL449">
        <v>2</v>
      </c>
      <c r="CM449">
        <f>IFERROR(AVERAGE(Tabel1[[#This Row],[In - C1]:[In - C4]]),"")</f>
        <v>2</v>
      </c>
      <c r="CN449">
        <v>3</v>
      </c>
      <c r="CO449">
        <v>4</v>
      </c>
      <c r="CP449">
        <v>4</v>
      </c>
      <c r="CQ449">
        <f>IFERROR(AVERAGE(Tabel1[[#This Row],[In - F1a]:[In - F1c]]),"")</f>
        <v>3.6666666666666665</v>
      </c>
      <c r="CR449">
        <v>2</v>
      </c>
      <c r="CS449">
        <v>2</v>
      </c>
      <c r="CT449">
        <f>IFERROR(AVERAGE(Tabel1[[#This Row],[In - F2a]:[In - F2b]]),"")</f>
        <v>2</v>
      </c>
      <c r="CU449">
        <v>2</v>
      </c>
      <c r="CV449">
        <f>IFERROR(AVERAGE(Tabel1[[#This Row],[In - F3a]:[In - F3a]]),"")</f>
        <v>2</v>
      </c>
      <c r="CW449">
        <v>3</v>
      </c>
      <c r="CX449">
        <f>IFERROR(AVERAGE(Tabel1[[#This Row],[In - F1]],Tabel1[[#This Row],[In - F2]],Tabel1[[#This Row],[In - F3]],Tabel1[[#This Row],[In - F4]]),"")</f>
        <v>2.6666666666666665</v>
      </c>
      <c r="CY449">
        <v>2</v>
      </c>
      <c r="CZ449">
        <v>2</v>
      </c>
      <c r="DA449">
        <v>2</v>
      </c>
      <c r="DB449">
        <f>IFERROR(AVERAGE(Tabel1[[#This Row],[In - V1a]:[In - V1c]]),"")</f>
        <v>2</v>
      </c>
      <c r="DC449">
        <v>2</v>
      </c>
      <c r="DD449">
        <v>2</v>
      </c>
      <c r="DE449">
        <v>1</v>
      </c>
      <c r="DF449">
        <f>IFERROR(AVERAGE(Tabel1[[#This Row],[In - V2a]:[In - V2c]]),"")</f>
        <v>1.6666666666666667</v>
      </c>
      <c r="DG449">
        <v>1</v>
      </c>
      <c r="DH449">
        <v>1</v>
      </c>
      <c r="DI449">
        <f>IFERROR(AVERAGE(Tabel1[[#This Row],[In - V3a]:[In - V3b]]),"")</f>
        <v>1</v>
      </c>
      <c r="DJ449">
        <v>1</v>
      </c>
      <c r="DK449">
        <f>IFERROR(AVERAGE(Tabel1[[#This Row],[In - V1]],Tabel1[[#This Row],[In - V2]],Tabel1[[#This Row],[In - V3]],Tabel1[[#This Row],[In - V4]]),"")</f>
        <v>1.4166666666666667</v>
      </c>
      <c r="DL449">
        <v>4</v>
      </c>
      <c r="DM449">
        <v>2</v>
      </c>
      <c r="DN449">
        <f>IFERROR(AVERAGE(Tabel1[[#This Row],[In - A1a]:[In - A1b]]),"")</f>
        <v>3</v>
      </c>
      <c r="DP449">
        <v>2</v>
      </c>
      <c r="DQ449">
        <f>IFERROR(AVERAGE(Tabel1[[#This Row],[In - A2a]:[In - A2b]]),"")</f>
        <v>2</v>
      </c>
      <c r="DR449">
        <v>2</v>
      </c>
      <c r="DS449">
        <v>3</v>
      </c>
      <c r="DT449">
        <f>IFERROR(AVERAGE(Tabel1[[#This Row],[In - A3a]:[In - A3a]]),"")</f>
        <v>2</v>
      </c>
      <c r="DU449">
        <v>2</v>
      </c>
      <c r="DV449">
        <f>IFERROR(AVERAGE(Tabel1[[#This Row],[In - A1]],Tabel1[[#This Row],[In - A2]],Tabel1[[#This Row],[In - A3]],Tabel1[[#This Row],[In - A4]]),"")</f>
        <v>2.25</v>
      </c>
      <c r="DW449">
        <v>2</v>
      </c>
      <c r="DX449">
        <v>2</v>
      </c>
      <c r="DY449">
        <v>1</v>
      </c>
      <c r="DZ449">
        <f>IFERROR(AVERAGE(Tabel1[[#This Row],[Do - R1a]:[Do - R1c]]),"")</f>
        <v>1.6666666666666667</v>
      </c>
      <c r="EA449">
        <v>3</v>
      </c>
      <c r="EB449">
        <v>3</v>
      </c>
      <c r="EC449">
        <v>3</v>
      </c>
      <c r="ED449">
        <v>3</v>
      </c>
      <c r="EE449">
        <f>IFERROR(AVERAGE(Tabel1[[#This Row],[Do - R1]:[Do - R5]]),"")</f>
        <v>2.7333333333333334</v>
      </c>
      <c r="EF449">
        <v>4</v>
      </c>
      <c r="EG449">
        <v>3</v>
      </c>
      <c r="EH449">
        <v>4</v>
      </c>
      <c r="EI449">
        <f>IFERROR(AVERAGE(Tabel1[[#This Row],[Do - C1a]:[Do - C1c]]),"")</f>
        <v>3.6666666666666665</v>
      </c>
      <c r="EJ449">
        <v>3</v>
      </c>
      <c r="EK449">
        <v>3</v>
      </c>
      <c r="EL449">
        <v>2</v>
      </c>
      <c r="EM449">
        <f>IFERROR(AVERAGE(Tabel1[[#This Row],[Do - C1]:[Do - C4]]),"")</f>
        <v>2.9166666666666665</v>
      </c>
      <c r="EN449">
        <v>3</v>
      </c>
      <c r="EO449">
        <v>2</v>
      </c>
      <c r="EP449">
        <v>2</v>
      </c>
      <c r="EQ449">
        <f>IFERROR(AVERAGE(Tabel1[[#This Row],[Do - F1a]:[Do - F1c]]),"")</f>
        <v>2.3333333333333335</v>
      </c>
      <c r="ER449">
        <v>2</v>
      </c>
      <c r="ES449">
        <f>IFERROR(AVERAGE(Tabel1[[#This Row],[Do - F2a]:[Do - F2a]]),"")</f>
        <v>2</v>
      </c>
      <c r="ET449">
        <v>3</v>
      </c>
      <c r="EU449">
        <v>2</v>
      </c>
      <c r="EV449">
        <f>IFERROR(AVERAGE(Tabel1[[#This Row],[Do - F3a]:[Do - F3b]]),"")</f>
        <v>2.5</v>
      </c>
      <c r="EW449">
        <v>3</v>
      </c>
      <c r="EX449">
        <f>IFERROR(AVERAGE(Tabel1[[#This Row],[Do - F1]],Tabel1[[#This Row],[Do - F2]],Tabel1[[#This Row],[Do - F3]],Tabel1[[#This Row],[Do - F4]]),"")</f>
        <v>2.4583333333333335</v>
      </c>
      <c r="EY449">
        <v>2</v>
      </c>
      <c r="EZ449">
        <v>2</v>
      </c>
      <c r="FA449">
        <v>3</v>
      </c>
      <c r="FB449">
        <f>IFERROR(AVERAGE(Tabel1[[#This Row],[Do - V1a]:[Do - V1c]]),"")</f>
        <v>2.3333333333333335</v>
      </c>
      <c r="FC449">
        <v>1</v>
      </c>
      <c r="FD449">
        <v>4</v>
      </c>
      <c r="FE449">
        <f>IFERROR(AVERAGE(Tabel1[[#This Row],[Do - V2a]:[Do - V2b]]),"")</f>
        <v>2.5</v>
      </c>
      <c r="FF449">
        <v>4</v>
      </c>
      <c r="FG449">
        <f>IFERROR(AVERAGE(Tabel1[[#This Row],[Do - V3a]:[Do - V3a]]),"")</f>
        <v>4</v>
      </c>
      <c r="FH449">
        <v>2</v>
      </c>
      <c r="FI449">
        <f>IFERROR(AVERAGE(Tabel1[[#This Row],[Do - V1]],Tabel1[[#This Row],[Do - V2]],Tabel1[[#This Row],[Do - V3]],Tabel1[[#This Row],[Do - V4]]),"")</f>
        <v>2.7083333333333335</v>
      </c>
      <c r="FJ449">
        <v>4</v>
      </c>
      <c r="FK449">
        <v>3</v>
      </c>
      <c r="FL449">
        <v>4</v>
      </c>
      <c r="FM449">
        <f>IFERROR(AVERAGE(Tabel1[[#This Row],[Do - A1a]:[Do - A1c]]),"")</f>
        <v>3.6666666666666665</v>
      </c>
      <c r="FN449">
        <v>4</v>
      </c>
      <c r="FO449">
        <v>4</v>
      </c>
      <c r="FP449">
        <f>IFERROR(AVERAGE(Tabel1[[#This Row],[Do - A2a]:[Do - A2b]]),"")</f>
        <v>4</v>
      </c>
      <c r="FQ449">
        <v>3</v>
      </c>
      <c r="FR449">
        <f>IFERROR(AVERAGE(Tabel1[[#This Row],[Do - A3a]:[Do - A3a]]),"")</f>
        <v>3</v>
      </c>
      <c r="FS449">
        <v>3</v>
      </c>
      <c r="FT449">
        <f>IFERROR(AVERAGE(Tabel1[[#This Row],[Do - A1]],Tabel1[[#This Row],[Do - A2]],Tabel1[[#This Row],[Do - A3]],Tabel1[[#This Row],[Do - A4]]),"")</f>
        <v>3.4166666666666665</v>
      </c>
      <c r="FU44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</v>
      </c>
      <c r="FV449" s="31" t="s">
        <v>2209</v>
      </c>
      <c r="FW449" t="b">
        <v>1</v>
      </c>
    </row>
    <row r="450" spans="1:179" x14ac:dyDescent="0.3">
      <c r="A450" s="13">
        <v>45730.641365740703</v>
      </c>
      <c r="B450" t="b">
        <v>0</v>
      </c>
      <c r="C450" t="s">
        <v>2210</v>
      </c>
      <c r="D450" t="s">
        <v>2211</v>
      </c>
      <c r="E450" t="s">
        <v>2142</v>
      </c>
      <c r="F450" s="14" t="s">
        <v>184</v>
      </c>
      <c r="G450" t="s">
        <v>2212</v>
      </c>
      <c r="H450" t="s">
        <v>222</v>
      </c>
      <c r="I450" t="s">
        <v>195</v>
      </c>
      <c r="J450" t="s">
        <v>1305</v>
      </c>
      <c r="K450" t="s">
        <v>187</v>
      </c>
      <c r="L450" t="s">
        <v>249</v>
      </c>
      <c r="M450" t="s">
        <v>233</v>
      </c>
      <c r="N450" t="s">
        <v>199</v>
      </c>
      <c r="O450" t="s">
        <v>256</v>
      </c>
      <c r="P450" t="s">
        <v>304</v>
      </c>
      <c r="Q450" t="s">
        <v>202</v>
      </c>
      <c r="R450" t="s">
        <v>187</v>
      </c>
      <c r="S450" t="s">
        <v>235</v>
      </c>
      <c r="T450" t="s">
        <v>204</v>
      </c>
      <c r="U450" t="s">
        <v>205</v>
      </c>
      <c r="V450" t="s">
        <v>224</v>
      </c>
      <c r="W450" t="s">
        <v>207</v>
      </c>
      <c r="X450" t="s">
        <v>207</v>
      </c>
      <c r="Y450">
        <v>3</v>
      </c>
      <c r="Z450">
        <v>4</v>
      </c>
      <c r="AA450">
        <v>3</v>
      </c>
      <c r="AB450">
        <f>IFERROR(AVERAGE(Tabel1[[#This Row],[Up - R1a]:[Up - R1c]]),"")</f>
        <v>3.3333333333333335</v>
      </c>
      <c r="AC450">
        <v>4</v>
      </c>
      <c r="AD450">
        <v>3</v>
      </c>
      <c r="AE450">
        <v>3</v>
      </c>
      <c r="AF450">
        <v>4</v>
      </c>
      <c r="AG450">
        <f>IFERROR(AVERAGE(Tabel1[[#This Row],[Up - R1]:[Up - R5]]),"")</f>
        <v>3.4666666666666672</v>
      </c>
      <c r="AH450">
        <v>4</v>
      </c>
      <c r="AI450">
        <v>4</v>
      </c>
      <c r="AJ450">
        <v>3</v>
      </c>
      <c r="AK450">
        <f>IFERROR(AVERAGE(Tabel1[[#This Row],[Up - C1a]:[Up - C1c]]),"")</f>
        <v>3.6666666666666665</v>
      </c>
      <c r="AL450">
        <v>4</v>
      </c>
      <c r="AM450">
        <v>4</v>
      </c>
      <c r="AN450" t="s">
        <v>189</v>
      </c>
      <c r="AO450">
        <f>IFERROR(AVERAGE(Tabel1[[#This Row],[Up - C1]:[Up - C4]]),"")</f>
        <v>3.8888888888888888</v>
      </c>
      <c r="AP450">
        <v>4</v>
      </c>
      <c r="AQ450">
        <f>IFERROR(AVERAGE(Tabel1[[#This Row],[Up - F1a]:[Up - F1a]]),"")</f>
        <v>4</v>
      </c>
      <c r="AR450">
        <v>2</v>
      </c>
      <c r="AS450">
        <v>2</v>
      </c>
      <c r="AT450">
        <f>IFERROR(AVERAGE(Tabel1[[#This Row],[Up - F2a]:[Up - F2b]]),"")</f>
        <v>2</v>
      </c>
      <c r="AU450" t="s">
        <v>189</v>
      </c>
      <c r="AV450">
        <v>2</v>
      </c>
      <c r="AW450">
        <f>IFERROR(AVERAGE(Tabel1[[#This Row],[Up - F3a]:[Up - F3b]]),"")</f>
        <v>2</v>
      </c>
      <c r="AX450" t="s">
        <v>189</v>
      </c>
      <c r="AY450">
        <f>IFERROR(AVERAGE(Tabel1[[#This Row],[Up - F1]],Tabel1[[#This Row],[Up - F2]],Tabel1[[#This Row],[Up - F3]],Tabel1[[#This Row],[Up - F4]]),"")</f>
        <v>2.6666666666666665</v>
      </c>
      <c r="AZ450">
        <v>4</v>
      </c>
      <c r="BA450">
        <v>3</v>
      </c>
      <c r="BB450">
        <f>IFERROR(AVERAGE(Tabel1[[#This Row],[Up - V1a]:[Up - V1b]]),"")</f>
        <v>3.5</v>
      </c>
      <c r="BC450" t="s">
        <v>189</v>
      </c>
      <c r="BD450" t="s">
        <v>189</v>
      </c>
      <c r="BE450">
        <v>5</v>
      </c>
      <c r="BF450">
        <f>IFERROR(AVERAGE(Tabel1[[#This Row],[Up - V2a]:[Up - V2c]]),"")</f>
        <v>5</v>
      </c>
      <c r="BG450">
        <v>4</v>
      </c>
      <c r="BH450" t="s">
        <v>189</v>
      </c>
      <c r="BI450">
        <f>IFERROR(AVERAGE(Tabel1[[#This Row],[Up - V3a]:[Up - V3b]]),"")</f>
        <v>4</v>
      </c>
      <c r="BJ450" t="s">
        <v>189</v>
      </c>
      <c r="BK450">
        <f>IFERROR(AVERAGE(Tabel1[[#This Row],[Up - V1]],Tabel1[[#This Row],[Up - V2]],Tabel1[[#This Row],[Up - V3]],Tabel1[[#This Row],[Up - V4]]),"")</f>
        <v>4.166666666666667</v>
      </c>
      <c r="BL450">
        <v>3</v>
      </c>
      <c r="BM450">
        <v>4</v>
      </c>
      <c r="BN450">
        <v>3</v>
      </c>
      <c r="BO450">
        <v>2</v>
      </c>
      <c r="BP450">
        <f>IFERROR(AVERAGE(Tabel1[[#This Row],[Up - A1a]:[Up - A1d]]),"")</f>
        <v>3</v>
      </c>
      <c r="BQ450">
        <v>2</v>
      </c>
      <c r="BR450">
        <v>4</v>
      </c>
      <c r="BS450">
        <f>IFERROR(AVERAGE(Tabel1[[#This Row],[Up - A2a]:[Up - A2b]]),"")</f>
        <v>3</v>
      </c>
      <c r="BT450">
        <v>3</v>
      </c>
      <c r="BU450">
        <f>IFERROR(AVERAGE(Tabel1[[#This Row],[Up - A3a]:[Up - A3a]]),"")</f>
        <v>3</v>
      </c>
      <c r="BV450" t="s">
        <v>189</v>
      </c>
      <c r="BW450">
        <f>IFERROR(AVERAGE(Tabel1[[#This Row],[Up - A1]],Tabel1[[#This Row],[Up - A2]],Tabel1[[#This Row],[Up - A3]]),"")</f>
        <v>3</v>
      </c>
      <c r="BX450">
        <v>4</v>
      </c>
      <c r="BY450">
        <v>4</v>
      </c>
      <c r="BZ450">
        <f>IFERROR(AVERAGE(Tabel1[[#This Row],[In - R1a]:[In - R1b]]),"")</f>
        <v>4</v>
      </c>
      <c r="CA450">
        <v>5</v>
      </c>
      <c r="CB450">
        <v>4</v>
      </c>
      <c r="CC450">
        <v>3</v>
      </c>
      <c r="CD450">
        <v>5</v>
      </c>
      <c r="CE450">
        <f>IFERROR(AVERAGE(Tabel1[[#This Row],[In - R1]:[In - R5]]),"")</f>
        <v>4.2</v>
      </c>
      <c r="CF450">
        <v>5</v>
      </c>
      <c r="CG450">
        <v>3</v>
      </c>
      <c r="CH450">
        <v>4</v>
      </c>
      <c r="CI450">
        <f>IFERROR(AVERAGE(Tabel1[[#This Row],[In - C1a]:[In - C1c]]),"")</f>
        <v>4</v>
      </c>
      <c r="CJ450">
        <v>4</v>
      </c>
      <c r="CK450">
        <v>5</v>
      </c>
      <c r="CL450">
        <v>2</v>
      </c>
      <c r="CM450">
        <f>IFERROR(AVERAGE(Tabel1[[#This Row],[In - C1]:[In - C4]]),"")</f>
        <v>3.75</v>
      </c>
      <c r="CN450">
        <v>4</v>
      </c>
      <c r="CO450">
        <v>2</v>
      </c>
      <c r="CP450">
        <v>2</v>
      </c>
      <c r="CQ450">
        <f>IFERROR(AVERAGE(Tabel1[[#This Row],[In - F1a]:[In - F1c]]),"")</f>
        <v>2.6666666666666665</v>
      </c>
      <c r="CR450">
        <v>3</v>
      </c>
      <c r="CS450">
        <v>2</v>
      </c>
      <c r="CT450">
        <f>IFERROR(AVERAGE(Tabel1[[#This Row],[In - F2a]:[In - F2b]]),"")</f>
        <v>2.5</v>
      </c>
      <c r="CU450">
        <v>2</v>
      </c>
      <c r="CV450">
        <f>IFERROR(AVERAGE(Tabel1[[#This Row],[In - F3a]:[In - F3a]]),"")</f>
        <v>2</v>
      </c>
      <c r="CW450" t="s">
        <v>189</v>
      </c>
      <c r="CX450">
        <f>IFERROR(AVERAGE(Tabel1[[#This Row],[In - F1]],Tabel1[[#This Row],[In - F2]],Tabel1[[#This Row],[In - F3]],Tabel1[[#This Row],[In - F4]]),"")</f>
        <v>2.3888888888888888</v>
      </c>
      <c r="CY450">
        <v>4</v>
      </c>
      <c r="CZ450">
        <v>3</v>
      </c>
      <c r="DA450">
        <v>3</v>
      </c>
      <c r="DB450">
        <f>IFERROR(AVERAGE(Tabel1[[#This Row],[In - V1a]:[In - V1c]]),"")</f>
        <v>3.3333333333333335</v>
      </c>
      <c r="DC450" t="s">
        <v>189</v>
      </c>
      <c r="DD450" t="s">
        <v>189</v>
      </c>
      <c r="DE450">
        <v>5</v>
      </c>
      <c r="DF450">
        <f>IFERROR(AVERAGE(Tabel1[[#This Row],[In - V2a]:[In - V2c]]),"")</f>
        <v>5</v>
      </c>
      <c r="DG450">
        <v>4</v>
      </c>
      <c r="DH450" t="s">
        <v>189</v>
      </c>
      <c r="DI450">
        <f>IFERROR(AVERAGE(Tabel1[[#This Row],[In - V3a]:[In - V3b]]),"")</f>
        <v>4</v>
      </c>
      <c r="DJ450" t="s">
        <v>189</v>
      </c>
      <c r="DK450">
        <f>IFERROR(AVERAGE(Tabel1[[#This Row],[In - V1]],Tabel1[[#This Row],[In - V2]],Tabel1[[#This Row],[In - V3]],Tabel1[[#This Row],[In - V4]]),"")</f>
        <v>4.1111111111111116</v>
      </c>
      <c r="DL450">
        <v>3</v>
      </c>
      <c r="DM450">
        <v>4</v>
      </c>
      <c r="DN450">
        <f>IFERROR(AVERAGE(Tabel1[[#This Row],[In - A1a]:[In - A1b]]),"")</f>
        <v>3.5</v>
      </c>
      <c r="DO450">
        <v>2</v>
      </c>
      <c r="DP450">
        <v>4</v>
      </c>
      <c r="DQ450">
        <f>IFERROR(AVERAGE(Tabel1[[#This Row],[In - A2a]:[In - A2b]]),"")</f>
        <v>3</v>
      </c>
      <c r="DR450">
        <v>4</v>
      </c>
      <c r="DS450">
        <v>3</v>
      </c>
      <c r="DT450">
        <f>IFERROR(AVERAGE(Tabel1[[#This Row],[In - A3a]:[In - A3a]]),"")</f>
        <v>4</v>
      </c>
      <c r="DU450" t="s">
        <v>189</v>
      </c>
      <c r="DV450">
        <f>IFERROR(AVERAGE(Tabel1[[#This Row],[In - A1]],Tabel1[[#This Row],[In - A2]],Tabel1[[#This Row],[In - A3]],Tabel1[[#This Row],[In - A4]]),"")</f>
        <v>3.5</v>
      </c>
      <c r="DW450">
        <v>4</v>
      </c>
      <c r="DX450" t="s">
        <v>189</v>
      </c>
      <c r="DY450" t="s">
        <v>189</v>
      </c>
      <c r="DZ450">
        <f>IFERROR(AVERAGE(Tabel1[[#This Row],[Do - R1a]:[Do - R1c]]),"")</f>
        <v>4</v>
      </c>
      <c r="EA450">
        <v>4</v>
      </c>
      <c r="EB450">
        <v>3</v>
      </c>
      <c r="EC450">
        <v>3</v>
      </c>
      <c r="ED450" t="s">
        <v>189</v>
      </c>
      <c r="EE450">
        <f>IFERROR(AVERAGE(Tabel1[[#This Row],[Do - R1]:[Do - R5]]),"")</f>
        <v>3.5</v>
      </c>
      <c r="EF450">
        <v>4</v>
      </c>
      <c r="EG450">
        <v>4</v>
      </c>
      <c r="EH450">
        <v>4</v>
      </c>
      <c r="EI450">
        <f>IFERROR(AVERAGE(Tabel1[[#This Row],[Do - C1a]:[Do - C1c]]),"")</f>
        <v>4</v>
      </c>
      <c r="EJ450">
        <v>4</v>
      </c>
      <c r="EK450">
        <v>4</v>
      </c>
      <c r="EL450" t="s">
        <v>189</v>
      </c>
      <c r="EM450">
        <f>IFERROR(AVERAGE(Tabel1[[#This Row],[Do - C1]:[Do - C4]]),"")</f>
        <v>4</v>
      </c>
      <c r="EN450" t="s">
        <v>189</v>
      </c>
      <c r="EO450">
        <v>2</v>
      </c>
      <c r="EP450">
        <v>4</v>
      </c>
      <c r="EQ450">
        <f>IFERROR(AVERAGE(Tabel1[[#This Row],[Do - F1a]:[Do - F1c]]),"")</f>
        <v>3</v>
      </c>
      <c r="ER450">
        <v>2</v>
      </c>
      <c r="ES450">
        <f>IFERROR(AVERAGE(Tabel1[[#This Row],[Do - F2a]:[Do - F2a]]),"")</f>
        <v>2</v>
      </c>
      <c r="ET450" t="s">
        <v>189</v>
      </c>
      <c r="EU450" t="s">
        <v>189</v>
      </c>
      <c r="EV450" t="str">
        <f>IFERROR(AVERAGE(Tabel1[[#This Row],[Do - F3a]:[Do - F3b]]),"")</f>
        <v/>
      </c>
      <c r="EW450" t="s">
        <v>189</v>
      </c>
      <c r="EX450">
        <f>IFERROR(AVERAGE(Tabel1[[#This Row],[Do - F1]],Tabel1[[#This Row],[Do - F2]],Tabel1[[#This Row],[Do - F3]],Tabel1[[#This Row],[Do - F4]]),"")</f>
        <v>2.5</v>
      </c>
      <c r="EY450">
        <v>4</v>
      </c>
      <c r="EZ450">
        <v>4</v>
      </c>
      <c r="FA450">
        <v>3</v>
      </c>
      <c r="FB450">
        <f>IFERROR(AVERAGE(Tabel1[[#This Row],[Do - V1a]:[Do - V1c]]),"")</f>
        <v>3.6666666666666665</v>
      </c>
      <c r="FC450" t="s">
        <v>189</v>
      </c>
      <c r="FD450" t="s">
        <v>189</v>
      </c>
      <c r="FE450" t="str">
        <f>IFERROR(AVERAGE(Tabel1[[#This Row],[Do - V2a]:[Do - V2b]]),"")</f>
        <v/>
      </c>
      <c r="FF450">
        <v>4</v>
      </c>
      <c r="FG450">
        <f>IFERROR(AVERAGE(Tabel1[[#This Row],[Do - V3a]:[Do - V3a]]),"")</f>
        <v>4</v>
      </c>
      <c r="FH450" t="s">
        <v>189</v>
      </c>
      <c r="FI450">
        <f>IFERROR(AVERAGE(Tabel1[[#This Row],[Do - V1]],Tabel1[[#This Row],[Do - V2]],Tabel1[[#This Row],[Do - V3]],Tabel1[[#This Row],[Do - V4]]),"")</f>
        <v>3.833333333333333</v>
      </c>
      <c r="FJ450">
        <v>3</v>
      </c>
      <c r="FK450">
        <v>4</v>
      </c>
      <c r="FL450">
        <v>3</v>
      </c>
      <c r="FM450">
        <f>IFERROR(AVERAGE(Tabel1[[#This Row],[Do - A1a]:[Do - A1c]]),"")</f>
        <v>3.3333333333333335</v>
      </c>
      <c r="FN450">
        <v>4</v>
      </c>
      <c r="FO450">
        <v>4</v>
      </c>
      <c r="FP450">
        <f>IFERROR(AVERAGE(Tabel1[[#This Row],[Do - A2a]:[Do - A2b]]),"")</f>
        <v>4</v>
      </c>
      <c r="FQ450">
        <v>3</v>
      </c>
      <c r="FR450">
        <f>IFERROR(AVERAGE(Tabel1[[#This Row],[Do - A3a]:[Do - A3a]]),"")</f>
        <v>3</v>
      </c>
      <c r="FS450" t="s">
        <v>189</v>
      </c>
      <c r="FT450">
        <f>IFERROR(AVERAGE(Tabel1[[#This Row],[Do - A1]],Tabel1[[#This Row],[Do - A2]],Tabel1[[#This Row],[Do - A3]],Tabel1[[#This Row],[Do - A4]]),"")</f>
        <v>3.4444444444444446</v>
      </c>
      <c r="FU45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3.4944444444444445</v>
      </c>
      <c r="FV450" s="31" t="s">
        <v>2213</v>
      </c>
      <c r="FW450" t="b">
        <v>1</v>
      </c>
    </row>
    <row r="451" spans="1:179" x14ac:dyDescent="0.3">
      <c r="A451" s="13">
        <v>45736.4351157407</v>
      </c>
      <c r="B451" t="b">
        <v>0</v>
      </c>
      <c r="C451" t="s">
        <v>2214</v>
      </c>
      <c r="D451" t="s">
        <v>2215</v>
      </c>
      <c r="E451" t="s">
        <v>2216</v>
      </c>
      <c r="F451" s="14" t="s">
        <v>184</v>
      </c>
      <c r="G451" t="s">
        <v>2217</v>
      </c>
      <c r="H451" t="s">
        <v>222</v>
      </c>
      <c r="I451" t="s">
        <v>385</v>
      </c>
      <c r="K451" t="s">
        <v>235</v>
      </c>
      <c r="L451" t="s">
        <v>218</v>
      </c>
      <c r="M451" t="s">
        <v>233</v>
      </c>
      <c r="N451" t="s">
        <v>199</v>
      </c>
      <c r="O451" t="s">
        <v>200</v>
      </c>
      <c r="P451" t="s">
        <v>255</v>
      </c>
      <c r="Q451" t="s">
        <v>201</v>
      </c>
      <c r="R451" t="s">
        <v>235</v>
      </c>
      <c r="S451" t="s">
        <v>235</v>
      </c>
      <c r="T451" t="s">
        <v>204</v>
      </c>
      <c r="U451" t="s">
        <v>205</v>
      </c>
      <c r="V451" t="s">
        <v>359</v>
      </c>
      <c r="W451" t="s">
        <v>395</v>
      </c>
      <c r="X451" t="s">
        <v>306</v>
      </c>
      <c r="Y451">
        <v>3</v>
      </c>
      <c r="Z451">
        <v>3</v>
      </c>
      <c r="AA451">
        <v>3</v>
      </c>
      <c r="AB451">
        <f>IFERROR(AVERAGE(Tabel1[[#This Row],[Up - R1a]:[Up - R1c]]),"")</f>
        <v>3</v>
      </c>
      <c r="AC451">
        <v>3</v>
      </c>
      <c r="AD451">
        <v>4</v>
      </c>
      <c r="AE451">
        <v>4</v>
      </c>
      <c r="AF451">
        <v>4</v>
      </c>
      <c r="AG451">
        <f>IFERROR(AVERAGE(Tabel1[[#This Row],[Up - R1]:[Up - R5]]),"")</f>
        <v>3.6</v>
      </c>
      <c r="AH451">
        <v>5</v>
      </c>
      <c r="AI451">
        <v>4</v>
      </c>
      <c r="AJ451">
        <v>4</v>
      </c>
      <c r="AK451">
        <f>IFERROR(AVERAGE(Tabel1[[#This Row],[Up - C1a]:[Up - C1c]]),"")</f>
        <v>4.333333333333333</v>
      </c>
      <c r="AL451">
        <v>3</v>
      </c>
      <c r="AM451">
        <v>3</v>
      </c>
      <c r="AN451">
        <v>4</v>
      </c>
      <c r="AO451">
        <f>IFERROR(AVERAGE(Tabel1[[#This Row],[Up - C1]:[Up - C4]]),"")</f>
        <v>3.583333333333333</v>
      </c>
      <c r="AP451">
        <v>4</v>
      </c>
      <c r="AQ451">
        <f>IFERROR(AVERAGE(Tabel1[[#This Row],[Up - F1a]:[Up - F1a]]),"")</f>
        <v>4</v>
      </c>
      <c r="AR451">
        <v>2</v>
      </c>
      <c r="AS451">
        <v>3</v>
      </c>
      <c r="AT451">
        <f>IFERROR(AVERAGE(Tabel1[[#This Row],[Up - F2a]:[Up - F2b]]),"")</f>
        <v>2.5</v>
      </c>
      <c r="AU451">
        <v>4</v>
      </c>
      <c r="AV451">
        <v>2</v>
      </c>
      <c r="AW451">
        <f>IFERROR(AVERAGE(Tabel1[[#This Row],[Up - F3a]:[Up - F3b]]),"")</f>
        <v>3</v>
      </c>
      <c r="AX451">
        <v>4</v>
      </c>
      <c r="AY451">
        <f>IFERROR(AVERAGE(Tabel1[[#This Row],[Up - F1]],Tabel1[[#This Row],[Up - F2]],Tabel1[[#This Row],[Up - F3]],Tabel1[[#This Row],[Up - F4]]),"")</f>
        <v>3.375</v>
      </c>
      <c r="AZ451">
        <v>3</v>
      </c>
      <c r="BA451">
        <v>3</v>
      </c>
      <c r="BB451">
        <f>IFERROR(AVERAGE(Tabel1[[#This Row],[Up - V1a]:[Up - V1b]]),"")</f>
        <v>3</v>
      </c>
      <c r="BC451">
        <v>4</v>
      </c>
      <c r="BD451" t="s">
        <v>189</v>
      </c>
      <c r="BE451">
        <v>4</v>
      </c>
      <c r="BF451">
        <f>IFERROR(AVERAGE(Tabel1[[#This Row],[Up - V2a]:[Up - V2c]]),"")</f>
        <v>4</v>
      </c>
      <c r="BG451">
        <v>2</v>
      </c>
      <c r="BH451">
        <v>2</v>
      </c>
      <c r="BI451">
        <f>IFERROR(AVERAGE(Tabel1[[#This Row],[Up - V3a]:[Up - V3b]]),"")</f>
        <v>2</v>
      </c>
      <c r="BJ451">
        <v>4</v>
      </c>
      <c r="BK451">
        <f>IFERROR(AVERAGE(Tabel1[[#This Row],[Up - V1]],Tabel1[[#This Row],[Up - V2]],Tabel1[[#This Row],[Up - V3]],Tabel1[[#This Row],[Up - V4]]),"")</f>
        <v>3.25</v>
      </c>
      <c r="BL451">
        <v>3</v>
      </c>
      <c r="BM451">
        <v>4</v>
      </c>
      <c r="BN451">
        <v>3</v>
      </c>
      <c r="BO451">
        <v>3</v>
      </c>
      <c r="BP451">
        <f>IFERROR(AVERAGE(Tabel1[[#This Row],[Up - A1a]:[Up - A1d]]),"")</f>
        <v>3.25</v>
      </c>
      <c r="BQ451">
        <v>2</v>
      </c>
      <c r="BR451">
        <v>4</v>
      </c>
      <c r="BS451">
        <f>IFERROR(AVERAGE(Tabel1[[#This Row],[Up - A2a]:[Up - A2b]]),"")</f>
        <v>3</v>
      </c>
      <c r="BT451">
        <v>4</v>
      </c>
      <c r="BU451">
        <f>IFERROR(AVERAGE(Tabel1[[#This Row],[Up - A3a]:[Up - A3a]]),"")</f>
        <v>4</v>
      </c>
      <c r="BV451">
        <v>4</v>
      </c>
      <c r="BW451">
        <f>IFERROR(AVERAGE(Tabel1[[#This Row],[Up - A1]],Tabel1[[#This Row],[Up - A2]],Tabel1[[#This Row],[Up - A3]]),"")</f>
        <v>3.4166666666666665</v>
      </c>
      <c r="BX451">
        <v>3</v>
      </c>
      <c r="BY451">
        <v>4</v>
      </c>
      <c r="BZ451">
        <f>IFERROR(AVERAGE(Tabel1[[#This Row],[In - R1a]:[In - R1b]]),"")</f>
        <v>3.5</v>
      </c>
      <c r="CA451">
        <v>4</v>
      </c>
      <c r="CB451">
        <v>4</v>
      </c>
      <c r="CC451">
        <v>4</v>
      </c>
      <c r="CD451">
        <v>5</v>
      </c>
      <c r="CE451">
        <f>IFERROR(AVERAGE(Tabel1[[#This Row],[In - R1]:[In - R5]]),"")</f>
        <v>4.0999999999999996</v>
      </c>
      <c r="CF451">
        <v>5</v>
      </c>
      <c r="CG451">
        <v>4</v>
      </c>
      <c r="CH451">
        <v>4</v>
      </c>
      <c r="CI451">
        <f>IFERROR(AVERAGE(Tabel1[[#This Row],[In - C1a]:[In - C1c]]),"")</f>
        <v>4.333333333333333</v>
      </c>
      <c r="CJ451">
        <v>4</v>
      </c>
      <c r="CK451">
        <v>3</v>
      </c>
      <c r="CL451">
        <v>5</v>
      </c>
      <c r="CM451">
        <f>IFERROR(AVERAGE(Tabel1[[#This Row],[In - C1]:[In - C4]]),"")</f>
        <v>4.083333333333333</v>
      </c>
      <c r="CN451">
        <v>4</v>
      </c>
      <c r="CO451">
        <v>4</v>
      </c>
      <c r="CP451">
        <v>2</v>
      </c>
      <c r="CQ451">
        <f>IFERROR(AVERAGE(Tabel1[[#This Row],[In - F1a]:[In - F1c]]),"")</f>
        <v>3.3333333333333335</v>
      </c>
      <c r="CR451">
        <v>3</v>
      </c>
      <c r="CS451">
        <v>2</v>
      </c>
      <c r="CT451">
        <f>IFERROR(AVERAGE(Tabel1[[#This Row],[In - F2a]:[In - F2b]]),"")</f>
        <v>2.5</v>
      </c>
      <c r="CU451">
        <v>2</v>
      </c>
      <c r="CV451">
        <f>IFERROR(AVERAGE(Tabel1[[#This Row],[In - F3a]:[In - F3a]]),"")</f>
        <v>2</v>
      </c>
      <c r="CW451">
        <v>4</v>
      </c>
      <c r="CX451">
        <f>IFERROR(AVERAGE(Tabel1[[#This Row],[In - F1]],Tabel1[[#This Row],[In - F2]],Tabel1[[#This Row],[In - F3]],Tabel1[[#This Row],[In - F4]]),"")</f>
        <v>2.9583333333333335</v>
      </c>
      <c r="CY451">
        <v>5</v>
      </c>
      <c r="CZ451">
        <v>4</v>
      </c>
      <c r="DA451">
        <v>4</v>
      </c>
      <c r="DB451">
        <f>IFERROR(AVERAGE(Tabel1[[#This Row],[In - V1a]:[In - V1c]]),"")</f>
        <v>4.333333333333333</v>
      </c>
      <c r="DC451">
        <v>4</v>
      </c>
      <c r="DD451">
        <v>4</v>
      </c>
      <c r="DE451">
        <v>4</v>
      </c>
      <c r="DF451">
        <f>IFERROR(AVERAGE(Tabel1[[#This Row],[In - V2a]:[In - V2c]]),"")</f>
        <v>4</v>
      </c>
      <c r="DG451">
        <v>3</v>
      </c>
      <c r="DH451">
        <v>4</v>
      </c>
      <c r="DI451">
        <f>IFERROR(AVERAGE(Tabel1[[#This Row],[In - V3a]:[In - V3b]]),"")</f>
        <v>3.5</v>
      </c>
      <c r="DJ451">
        <v>5</v>
      </c>
      <c r="DK451">
        <f>IFERROR(AVERAGE(Tabel1[[#This Row],[In - V1]],Tabel1[[#This Row],[In - V2]],Tabel1[[#This Row],[In - V3]],Tabel1[[#This Row],[In - V4]]),"")</f>
        <v>4.208333333333333</v>
      </c>
      <c r="DL451">
        <v>3</v>
      </c>
      <c r="DM451">
        <v>3</v>
      </c>
      <c r="DN451">
        <f>IFERROR(AVERAGE(Tabel1[[#This Row],[In - A1a]:[In - A1b]]),"")</f>
        <v>3</v>
      </c>
      <c r="DO451">
        <v>4</v>
      </c>
      <c r="DP451">
        <v>3</v>
      </c>
      <c r="DQ451">
        <f>IFERROR(AVERAGE(Tabel1[[#This Row],[In - A2a]:[In - A2b]]),"")</f>
        <v>3.5</v>
      </c>
      <c r="DR451">
        <v>4</v>
      </c>
      <c r="DS451">
        <v>3</v>
      </c>
      <c r="DT451">
        <f>IFERROR(AVERAGE(Tabel1[[#This Row],[In - A3a]:[In - A3a]]),"")</f>
        <v>4</v>
      </c>
      <c r="DU451">
        <v>3</v>
      </c>
      <c r="DV451">
        <f>IFERROR(AVERAGE(Tabel1[[#This Row],[In - A1]],Tabel1[[#This Row],[In - A2]],Tabel1[[#This Row],[In - A3]],Tabel1[[#This Row],[In - A4]]),"")</f>
        <v>3.375</v>
      </c>
      <c r="DW451">
        <v>2</v>
      </c>
      <c r="DX451">
        <v>4</v>
      </c>
      <c r="DY451">
        <v>3</v>
      </c>
      <c r="DZ451">
        <f>IFERROR(AVERAGE(Tabel1[[#This Row],[Do - R1a]:[Do - R1c]]),"")</f>
        <v>3</v>
      </c>
      <c r="EA451">
        <v>4</v>
      </c>
      <c r="EB451">
        <v>2</v>
      </c>
      <c r="EC451">
        <v>4</v>
      </c>
      <c r="ED451">
        <v>5</v>
      </c>
      <c r="EE451">
        <f>IFERROR(AVERAGE(Tabel1[[#This Row],[Do - R1]:[Do - R5]]),"")</f>
        <v>3.6</v>
      </c>
      <c r="EF451">
        <v>3</v>
      </c>
      <c r="EG451">
        <v>3</v>
      </c>
      <c r="EH451">
        <v>4</v>
      </c>
      <c r="EI451">
        <f>IFERROR(AVERAGE(Tabel1[[#This Row],[Do - C1a]:[Do - C1c]]),"")</f>
        <v>3.3333333333333335</v>
      </c>
      <c r="EJ451">
        <v>2</v>
      </c>
      <c r="EK451">
        <v>2</v>
      </c>
      <c r="EL451">
        <v>3</v>
      </c>
      <c r="EM451">
        <f>IFERROR(AVERAGE(Tabel1[[#This Row],[Do - C1]:[Do - C4]]),"")</f>
        <v>2.5833333333333335</v>
      </c>
      <c r="EN451">
        <v>3</v>
      </c>
      <c r="EO451">
        <v>2</v>
      </c>
      <c r="EP451">
        <v>3</v>
      </c>
      <c r="EQ451">
        <f>IFERROR(AVERAGE(Tabel1[[#This Row],[Do - F1a]:[Do - F1c]]),"")</f>
        <v>2.6666666666666665</v>
      </c>
      <c r="ER451">
        <v>3</v>
      </c>
      <c r="ES451">
        <f>IFERROR(AVERAGE(Tabel1[[#This Row],[Do - F2a]:[Do - F2a]]),"")</f>
        <v>3</v>
      </c>
      <c r="ET451">
        <v>2</v>
      </c>
      <c r="EU451">
        <v>3</v>
      </c>
      <c r="EV451">
        <f>IFERROR(AVERAGE(Tabel1[[#This Row],[Do - F3a]:[Do - F3b]]),"")</f>
        <v>2.5</v>
      </c>
      <c r="EW451">
        <v>3</v>
      </c>
      <c r="EX451">
        <f>IFERROR(AVERAGE(Tabel1[[#This Row],[Do - F1]],Tabel1[[#This Row],[Do - F2]],Tabel1[[#This Row],[Do - F3]],Tabel1[[#This Row],[Do - F4]]),"")</f>
        <v>2.7916666666666665</v>
      </c>
      <c r="EY451">
        <v>3</v>
      </c>
      <c r="EZ451">
        <v>3</v>
      </c>
      <c r="FA451">
        <v>3</v>
      </c>
      <c r="FB451">
        <f>IFERROR(AVERAGE(Tabel1[[#This Row],[Do - V1a]:[Do - V1c]]),"")</f>
        <v>3</v>
      </c>
      <c r="FC451">
        <v>5</v>
      </c>
      <c r="FD451">
        <v>3</v>
      </c>
      <c r="FE451">
        <f>IFERROR(AVERAGE(Tabel1[[#This Row],[Do - V2a]:[Do - V2b]]),"")</f>
        <v>4</v>
      </c>
      <c r="FF451">
        <v>3</v>
      </c>
      <c r="FG451">
        <f>IFERROR(AVERAGE(Tabel1[[#This Row],[Do - V3a]:[Do - V3a]]),"")</f>
        <v>3</v>
      </c>
      <c r="FH451">
        <v>3</v>
      </c>
      <c r="FI451">
        <f>IFERROR(AVERAGE(Tabel1[[#This Row],[Do - V1]],Tabel1[[#This Row],[Do - V2]],Tabel1[[#This Row],[Do - V3]],Tabel1[[#This Row],[Do - V4]]),"")</f>
        <v>3.25</v>
      </c>
      <c r="FJ451">
        <v>3</v>
      </c>
      <c r="FK451">
        <v>2</v>
      </c>
      <c r="FL451">
        <v>3</v>
      </c>
      <c r="FM451">
        <f>IFERROR(AVERAGE(Tabel1[[#This Row],[Do - A1a]:[Do - A1c]]),"")</f>
        <v>2.6666666666666665</v>
      </c>
      <c r="FN451">
        <v>3</v>
      </c>
      <c r="FO451">
        <v>3</v>
      </c>
      <c r="FP451">
        <f>IFERROR(AVERAGE(Tabel1[[#This Row],[Do - A2a]:[Do - A2b]]),"")</f>
        <v>3</v>
      </c>
      <c r="FQ451">
        <v>3</v>
      </c>
      <c r="FR451">
        <f>IFERROR(AVERAGE(Tabel1[[#This Row],[Do - A3a]:[Do - A3a]]),"")</f>
        <v>3</v>
      </c>
      <c r="FS451">
        <v>4</v>
      </c>
      <c r="FT451">
        <f>IFERROR(AVERAGE(Tabel1[[#This Row],[Do - A1]],Tabel1[[#This Row],[Do - A2]],Tabel1[[#This Row],[Do - A3]],Tabel1[[#This Row],[Do - A4]]),"")</f>
        <v>3.1666666666666665</v>
      </c>
      <c r="FU45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3.4227777777777777</v>
      </c>
      <c r="FV451" s="31" t="s">
        <v>2218</v>
      </c>
      <c r="FW451" t="b">
        <v>1</v>
      </c>
    </row>
    <row r="452" spans="1:179" x14ac:dyDescent="0.3">
      <c r="A452" s="13">
        <v>45736.627731481502</v>
      </c>
      <c r="B452" t="b">
        <v>0</v>
      </c>
      <c r="C452" t="s">
        <v>1147</v>
      </c>
      <c r="D452" t="s">
        <v>215</v>
      </c>
      <c r="E452" s="29" t="s">
        <v>2216</v>
      </c>
      <c r="F452" s="14" t="s">
        <v>893</v>
      </c>
      <c r="G452" t="s">
        <v>2219</v>
      </c>
      <c r="H452" t="s">
        <v>194</v>
      </c>
      <c r="I452" t="s">
        <v>195</v>
      </c>
      <c r="J452" t="s">
        <v>533</v>
      </c>
      <c r="K452" t="s">
        <v>202</v>
      </c>
      <c r="L452" t="s">
        <v>249</v>
      </c>
      <c r="M452" t="s">
        <v>198</v>
      </c>
      <c r="N452" t="s">
        <v>199</v>
      </c>
      <c r="O452" t="s">
        <v>200</v>
      </c>
      <c r="P452" t="s">
        <v>203</v>
      </c>
      <c r="Q452" t="s">
        <v>201</v>
      </c>
      <c r="R452" t="s">
        <v>201</v>
      </c>
      <c r="S452" t="s">
        <v>202</v>
      </c>
      <c r="T452" t="s">
        <v>204</v>
      </c>
      <c r="U452" t="s">
        <v>205</v>
      </c>
      <c r="V452" t="s">
        <v>206</v>
      </c>
      <c r="W452" t="s">
        <v>207</v>
      </c>
      <c r="X452" t="s">
        <v>395</v>
      </c>
      <c r="Y452">
        <v>1</v>
      </c>
      <c r="Z452">
        <v>5</v>
      </c>
      <c r="AA452">
        <v>4</v>
      </c>
      <c r="AB452">
        <f>IFERROR(AVERAGE(Tabel1[[#This Row],[Up - R1a]:[Up - R1c]]),"")</f>
        <v>3.3333333333333335</v>
      </c>
      <c r="AC452">
        <v>1</v>
      </c>
      <c r="AD452">
        <v>2</v>
      </c>
      <c r="AE452">
        <v>1</v>
      </c>
      <c r="AF452">
        <v>2</v>
      </c>
      <c r="AG452">
        <f>IFERROR(AVERAGE(Tabel1[[#This Row],[Up - R1]:[Up - R5]]),"")</f>
        <v>1.8666666666666667</v>
      </c>
      <c r="AH452">
        <v>2</v>
      </c>
      <c r="AI452">
        <v>2</v>
      </c>
      <c r="AJ452">
        <v>2</v>
      </c>
      <c r="AK452">
        <f>IFERROR(AVERAGE(Tabel1[[#This Row],[Up - C1a]:[Up - C1c]]),"")</f>
        <v>2</v>
      </c>
      <c r="AL452">
        <v>2</v>
      </c>
      <c r="AM452">
        <v>1</v>
      </c>
      <c r="AN452">
        <v>2</v>
      </c>
      <c r="AO452">
        <f>IFERROR(AVERAGE(Tabel1[[#This Row],[Up - C1]:[Up - C4]]),"")</f>
        <v>1.75</v>
      </c>
      <c r="AP452">
        <v>1</v>
      </c>
      <c r="AQ452">
        <f>IFERROR(AVERAGE(Tabel1[[#This Row],[Up - F1a]:[Up - F1a]]),"")</f>
        <v>1</v>
      </c>
      <c r="AR452">
        <v>1</v>
      </c>
      <c r="AS452">
        <v>5</v>
      </c>
      <c r="AT452">
        <f>IFERROR(AVERAGE(Tabel1[[#This Row],[Up - F2a]:[Up - F2b]]),"")</f>
        <v>3</v>
      </c>
      <c r="AU452">
        <v>1</v>
      </c>
      <c r="AV452">
        <v>2</v>
      </c>
      <c r="AW452">
        <f>IFERROR(AVERAGE(Tabel1[[#This Row],[Up - F3a]:[Up - F3b]]),"")</f>
        <v>1.5</v>
      </c>
      <c r="AX452">
        <v>1</v>
      </c>
      <c r="AY452">
        <f>IFERROR(AVERAGE(Tabel1[[#This Row],[Up - F1]],Tabel1[[#This Row],[Up - F2]],Tabel1[[#This Row],[Up - F3]],Tabel1[[#This Row],[Up - F4]]),"")</f>
        <v>1.625</v>
      </c>
      <c r="AZ452">
        <v>2</v>
      </c>
      <c r="BA452">
        <v>2</v>
      </c>
      <c r="BB452">
        <f>IFERROR(AVERAGE(Tabel1[[#This Row],[Up - V1a]:[Up - V1b]]),"")</f>
        <v>2</v>
      </c>
      <c r="BC452">
        <v>1</v>
      </c>
      <c r="BD452">
        <v>2</v>
      </c>
      <c r="BE452">
        <v>1</v>
      </c>
      <c r="BF452">
        <f>IFERROR(AVERAGE(Tabel1[[#This Row],[Up - V2a]:[Up - V2c]]),"")</f>
        <v>1.3333333333333333</v>
      </c>
      <c r="BG452">
        <v>1</v>
      </c>
      <c r="BH452">
        <v>1</v>
      </c>
      <c r="BI452">
        <f>IFERROR(AVERAGE(Tabel1[[#This Row],[Up - V3a]:[Up - V3b]]),"")</f>
        <v>1</v>
      </c>
      <c r="BJ452">
        <v>2</v>
      </c>
      <c r="BK452">
        <f>IFERROR(AVERAGE(Tabel1[[#This Row],[Up - V1]],Tabel1[[#This Row],[Up - V2]],Tabel1[[#This Row],[Up - V3]],Tabel1[[#This Row],[Up - V4]]),"")</f>
        <v>1.5833333333333333</v>
      </c>
      <c r="BL452">
        <v>2</v>
      </c>
      <c r="BM452">
        <v>2</v>
      </c>
      <c r="BN452">
        <v>2</v>
      </c>
      <c r="BO452">
        <v>2</v>
      </c>
      <c r="BP452">
        <f>IFERROR(AVERAGE(Tabel1[[#This Row],[Up - A1a]:[Up - A1d]]),"")</f>
        <v>2</v>
      </c>
      <c r="BQ452">
        <v>2</v>
      </c>
      <c r="BR452">
        <v>2</v>
      </c>
      <c r="BS452">
        <f>IFERROR(AVERAGE(Tabel1[[#This Row],[Up - A2a]:[Up - A2b]]),"")</f>
        <v>2</v>
      </c>
      <c r="BT452">
        <v>2</v>
      </c>
      <c r="BU452">
        <f>IFERROR(AVERAGE(Tabel1[[#This Row],[Up - A3a]:[Up - A3a]]),"")</f>
        <v>2</v>
      </c>
      <c r="BV452">
        <v>3</v>
      </c>
      <c r="BW452">
        <f>IFERROR(AVERAGE(Tabel1[[#This Row],[Up - A1]],Tabel1[[#This Row],[Up - A2]],Tabel1[[#This Row],[Up - A3]]),"")</f>
        <v>2</v>
      </c>
      <c r="BX452">
        <v>3</v>
      </c>
      <c r="BY452">
        <v>3</v>
      </c>
      <c r="BZ452">
        <f>IFERROR(AVERAGE(Tabel1[[#This Row],[In - R1a]:[In - R1b]]),"")</f>
        <v>3</v>
      </c>
      <c r="CA452">
        <v>4</v>
      </c>
      <c r="CB452">
        <v>3</v>
      </c>
      <c r="CC452">
        <v>3</v>
      </c>
      <c r="CD452">
        <v>4</v>
      </c>
      <c r="CE452">
        <f>IFERROR(AVERAGE(Tabel1[[#This Row],[In - R1]:[In - R5]]),"")</f>
        <v>3.4</v>
      </c>
      <c r="CF452">
        <v>4</v>
      </c>
      <c r="CG452">
        <v>4</v>
      </c>
      <c r="CH452">
        <v>3</v>
      </c>
      <c r="CI452">
        <f>IFERROR(AVERAGE(Tabel1[[#This Row],[In - C1a]:[In - C1c]]),"")</f>
        <v>3.6666666666666665</v>
      </c>
      <c r="CJ452">
        <v>5</v>
      </c>
      <c r="CK452">
        <v>2</v>
      </c>
      <c r="CL452">
        <v>2</v>
      </c>
      <c r="CM452">
        <f>IFERROR(AVERAGE(Tabel1[[#This Row],[In - C1]:[In - C4]]),"")</f>
        <v>3.1666666666666665</v>
      </c>
      <c r="CN452">
        <v>4</v>
      </c>
      <c r="CO452">
        <v>4</v>
      </c>
      <c r="CP452">
        <v>3</v>
      </c>
      <c r="CQ452">
        <f>IFERROR(AVERAGE(Tabel1[[#This Row],[In - F1a]:[In - F1c]]),"")</f>
        <v>3.6666666666666665</v>
      </c>
      <c r="CR452">
        <v>4</v>
      </c>
      <c r="CS452">
        <v>2</v>
      </c>
      <c r="CT452">
        <f>IFERROR(AVERAGE(Tabel1[[#This Row],[In - F2a]:[In - F2b]]),"")</f>
        <v>3</v>
      </c>
      <c r="CU452">
        <v>2</v>
      </c>
      <c r="CV452">
        <f>IFERROR(AVERAGE(Tabel1[[#This Row],[In - F3a]:[In - F3a]]),"")</f>
        <v>2</v>
      </c>
      <c r="CW452">
        <v>3</v>
      </c>
      <c r="CX452">
        <f>IFERROR(AVERAGE(Tabel1[[#This Row],[In - F1]],Tabel1[[#This Row],[In - F2]],Tabel1[[#This Row],[In - F3]],Tabel1[[#This Row],[In - F4]]),"")</f>
        <v>2.9166666666666665</v>
      </c>
      <c r="CY452">
        <v>5</v>
      </c>
      <c r="CZ452">
        <v>4</v>
      </c>
      <c r="DA452">
        <v>4</v>
      </c>
      <c r="DB452">
        <f>IFERROR(AVERAGE(Tabel1[[#This Row],[In - V1a]:[In - V1c]]),"")</f>
        <v>4.333333333333333</v>
      </c>
      <c r="DC452">
        <v>3</v>
      </c>
      <c r="DD452">
        <v>3</v>
      </c>
      <c r="DE452">
        <v>4</v>
      </c>
      <c r="DF452">
        <f>IFERROR(AVERAGE(Tabel1[[#This Row],[In - V2a]:[In - V2c]]),"")</f>
        <v>3.3333333333333335</v>
      </c>
      <c r="DG452">
        <v>3</v>
      </c>
      <c r="DH452">
        <v>4</v>
      </c>
      <c r="DI452">
        <f>IFERROR(AVERAGE(Tabel1[[#This Row],[In - V3a]:[In - V3b]]),"")</f>
        <v>3.5</v>
      </c>
      <c r="DJ452">
        <v>4</v>
      </c>
      <c r="DK452">
        <f>IFERROR(AVERAGE(Tabel1[[#This Row],[In - V1]],Tabel1[[#This Row],[In - V2]],Tabel1[[#This Row],[In - V3]],Tabel1[[#This Row],[In - V4]]),"")</f>
        <v>3.7916666666666665</v>
      </c>
      <c r="DL452">
        <v>2</v>
      </c>
      <c r="DM452">
        <v>2</v>
      </c>
      <c r="DN452">
        <f>IFERROR(AVERAGE(Tabel1[[#This Row],[In - A1a]:[In - A1b]]),"")</f>
        <v>2</v>
      </c>
      <c r="DO452">
        <v>2</v>
      </c>
      <c r="DP452">
        <v>3</v>
      </c>
      <c r="DQ452">
        <f>IFERROR(AVERAGE(Tabel1[[#This Row],[In - A2a]:[In - A2b]]),"")</f>
        <v>2.5</v>
      </c>
      <c r="DR452">
        <v>4</v>
      </c>
      <c r="DS452">
        <v>3</v>
      </c>
      <c r="DT452">
        <f>IFERROR(AVERAGE(Tabel1[[#This Row],[In - A3a]:[In - A3a]]),"")</f>
        <v>4</v>
      </c>
      <c r="DU452">
        <v>3</v>
      </c>
      <c r="DV452">
        <f>IFERROR(AVERAGE(Tabel1[[#This Row],[In - A1]],Tabel1[[#This Row],[In - A2]],Tabel1[[#This Row],[In - A3]],Tabel1[[#This Row],[In - A4]]),"")</f>
        <v>2.875</v>
      </c>
      <c r="DW452">
        <v>3</v>
      </c>
      <c r="DX452">
        <v>2</v>
      </c>
      <c r="DY452">
        <v>3</v>
      </c>
      <c r="DZ452">
        <f>IFERROR(AVERAGE(Tabel1[[#This Row],[Do - R1a]:[Do - R1c]]),"")</f>
        <v>2.6666666666666665</v>
      </c>
      <c r="EA452">
        <v>3</v>
      </c>
      <c r="EB452">
        <v>2</v>
      </c>
      <c r="EC452">
        <v>1</v>
      </c>
      <c r="ED452">
        <v>3</v>
      </c>
      <c r="EE452">
        <f>IFERROR(AVERAGE(Tabel1[[#This Row],[Do - R1]:[Do - R5]]),"")</f>
        <v>2.333333333333333</v>
      </c>
      <c r="EF452">
        <v>3</v>
      </c>
      <c r="EG452">
        <v>3</v>
      </c>
      <c r="EH452">
        <v>2</v>
      </c>
      <c r="EI452">
        <f>IFERROR(AVERAGE(Tabel1[[#This Row],[Do - C1a]:[Do - C1c]]),"")</f>
        <v>2.6666666666666665</v>
      </c>
      <c r="EJ452">
        <v>3</v>
      </c>
      <c r="EK452">
        <v>2</v>
      </c>
      <c r="EL452">
        <v>4</v>
      </c>
      <c r="EM452">
        <f>IFERROR(AVERAGE(Tabel1[[#This Row],[Do - C1]:[Do - C4]]),"")</f>
        <v>2.9166666666666665</v>
      </c>
      <c r="EN452">
        <v>3</v>
      </c>
      <c r="EO452">
        <v>3</v>
      </c>
      <c r="EP452">
        <v>2</v>
      </c>
      <c r="EQ452">
        <f>IFERROR(AVERAGE(Tabel1[[#This Row],[Do - F1a]:[Do - F1c]]),"")</f>
        <v>2.6666666666666665</v>
      </c>
      <c r="ER452">
        <v>2</v>
      </c>
      <c r="ES452">
        <f>IFERROR(AVERAGE(Tabel1[[#This Row],[Do - F2a]:[Do - F2a]]),"")</f>
        <v>2</v>
      </c>
      <c r="ET452">
        <v>2</v>
      </c>
      <c r="EU452">
        <v>2</v>
      </c>
      <c r="EV452">
        <f>IFERROR(AVERAGE(Tabel1[[#This Row],[Do - F3a]:[Do - F3b]]),"")</f>
        <v>2</v>
      </c>
      <c r="EW452">
        <v>2</v>
      </c>
      <c r="EX452">
        <f>IFERROR(AVERAGE(Tabel1[[#This Row],[Do - F1]],Tabel1[[#This Row],[Do - F2]],Tabel1[[#This Row],[Do - F3]],Tabel1[[#This Row],[Do - F4]]),"")</f>
        <v>2.1666666666666665</v>
      </c>
      <c r="EY452">
        <v>3</v>
      </c>
      <c r="EZ452">
        <v>2</v>
      </c>
      <c r="FA452">
        <v>3</v>
      </c>
      <c r="FB452">
        <f>IFERROR(AVERAGE(Tabel1[[#This Row],[Do - V1a]:[Do - V1c]]),"")</f>
        <v>2.6666666666666665</v>
      </c>
      <c r="FC452">
        <v>3</v>
      </c>
      <c r="FD452">
        <v>2</v>
      </c>
      <c r="FE452">
        <f>IFERROR(AVERAGE(Tabel1[[#This Row],[Do - V2a]:[Do - V2b]]),"")</f>
        <v>2.5</v>
      </c>
      <c r="FF452">
        <v>2</v>
      </c>
      <c r="FG452">
        <f>IFERROR(AVERAGE(Tabel1[[#This Row],[Do - V3a]:[Do - V3a]]),"")</f>
        <v>2</v>
      </c>
      <c r="FH452">
        <v>3</v>
      </c>
      <c r="FI452">
        <f>IFERROR(AVERAGE(Tabel1[[#This Row],[Do - V1]],Tabel1[[#This Row],[Do - V2]],Tabel1[[#This Row],[Do - V3]],Tabel1[[#This Row],[Do - V4]]),"")</f>
        <v>2.5416666666666665</v>
      </c>
      <c r="FJ452">
        <v>2</v>
      </c>
      <c r="FK452">
        <v>2</v>
      </c>
      <c r="FL452">
        <v>4</v>
      </c>
      <c r="FM452">
        <f>IFERROR(AVERAGE(Tabel1[[#This Row],[Do - A1a]:[Do - A1c]]),"")</f>
        <v>2.6666666666666665</v>
      </c>
      <c r="FN452">
        <v>2</v>
      </c>
      <c r="FO452">
        <v>2</v>
      </c>
      <c r="FP452">
        <f>IFERROR(AVERAGE(Tabel1[[#This Row],[Do - A2a]:[Do - A2b]]),"")</f>
        <v>2</v>
      </c>
      <c r="FQ452">
        <v>3</v>
      </c>
      <c r="FR452">
        <f>IFERROR(AVERAGE(Tabel1[[#This Row],[Do - A3a]:[Do - A3a]]),"")</f>
        <v>3</v>
      </c>
      <c r="FS452">
        <v>3</v>
      </c>
      <c r="FT452">
        <f>IFERROR(AVERAGE(Tabel1[[#This Row],[Do - A1]],Tabel1[[#This Row],[Do - A2]],Tabel1[[#This Row],[Do - A3]],Tabel1[[#This Row],[Do - A4]]),"")</f>
        <v>2.6666666666666665</v>
      </c>
      <c r="FU45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2.5066666666666664</v>
      </c>
      <c r="FV452" s="31" t="s">
        <v>2220</v>
      </c>
      <c r="FW452" t="b">
        <v>1</v>
      </c>
    </row>
    <row r="453" spans="1:179" x14ac:dyDescent="0.3">
      <c r="A453" s="13">
        <v>45737.340891203698</v>
      </c>
      <c r="B453" t="b">
        <v>0</v>
      </c>
      <c r="C453" t="s">
        <v>2221</v>
      </c>
      <c r="D453" t="s">
        <v>714</v>
      </c>
      <c r="E453" t="s">
        <v>2222</v>
      </c>
      <c r="F453" s="14" t="s">
        <v>184</v>
      </c>
      <c r="G453" t="s">
        <v>2223</v>
      </c>
      <c r="H453" t="s">
        <v>222</v>
      </c>
      <c r="I453" t="s">
        <v>195</v>
      </c>
      <c r="J453" t="s">
        <v>273</v>
      </c>
      <c r="K453" t="s">
        <v>201</v>
      </c>
      <c r="L453" t="s">
        <v>249</v>
      </c>
      <c r="M453" t="s">
        <v>188</v>
      </c>
      <c r="N453" t="s">
        <v>199</v>
      </c>
      <c r="P453" t="s">
        <v>304</v>
      </c>
      <c r="Q453" t="s">
        <v>203</v>
      </c>
      <c r="R453" t="s">
        <v>235</v>
      </c>
      <c r="S453" t="s">
        <v>235</v>
      </c>
      <c r="T453" t="s">
        <v>204</v>
      </c>
      <c r="U453" t="s">
        <v>205</v>
      </c>
      <c r="V453" t="s">
        <v>224</v>
      </c>
      <c r="W453" t="s">
        <v>207</v>
      </c>
      <c r="X453" t="s">
        <v>306</v>
      </c>
      <c r="Y453">
        <v>3</v>
      </c>
      <c r="Z453">
        <v>3</v>
      </c>
      <c r="AA453">
        <v>2</v>
      </c>
      <c r="AB453">
        <f>IFERROR(AVERAGE(Tabel1[[#This Row],[Up - R1a]:[Up - R1c]]),"")</f>
        <v>2.6666666666666665</v>
      </c>
      <c r="AC453">
        <v>3</v>
      </c>
      <c r="AD453">
        <v>4</v>
      </c>
      <c r="AE453">
        <v>1</v>
      </c>
      <c r="AF453">
        <v>3</v>
      </c>
      <c r="AG453">
        <f>IFERROR(AVERAGE(Tabel1[[#This Row],[Up - R1]:[Up - R5]]),"")</f>
        <v>2.7333333333333334</v>
      </c>
      <c r="AH453">
        <v>3</v>
      </c>
      <c r="AI453">
        <v>4</v>
      </c>
      <c r="AJ453">
        <v>3</v>
      </c>
      <c r="AK453">
        <f>IFERROR(AVERAGE(Tabel1[[#This Row],[Up - C1a]:[Up - C1c]]),"")</f>
        <v>3.3333333333333335</v>
      </c>
      <c r="AL453">
        <v>4</v>
      </c>
      <c r="AN453">
        <v>3</v>
      </c>
      <c r="AO453">
        <f>IFERROR(AVERAGE(Tabel1[[#This Row],[Up - C1]:[Up - C4]]),"")</f>
        <v>3.4444444444444446</v>
      </c>
      <c r="AP453">
        <v>2</v>
      </c>
      <c r="AQ453">
        <f>IFERROR(AVERAGE(Tabel1[[#This Row],[Up - F1a]:[Up - F1a]]),"")</f>
        <v>2</v>
      </c>
      <c r="AR453">
        <v>2</v>
      </c>
      <c r="AS453">
        <v>1</v>
      </c>
      <c r="AT453">
        <f>IFERROR(AVERAGE(Tabel1[[#This Row],[Up - F2a]:[Up - F2b]]),"")</f>
        <v>1.5</v>
      </c>
      <c r="AU453">
        <v>2</v>
      </c>
      <c r="AV453">
        <v>3</v>
      </c>
      <c r="AW453">
        <f>IFERROR(AVERAGE(Tabel1[[#This Row],[Up - F3a]:[Up - F3b]]),"")</f>
        <v>2.5</v>
      </c>
      <c r="AX453">
        <v>2</v>
      </c>
      <c r="AY453">
        <f>IFERROR(AVERAGE(Tabel1[[#This Row],[Up - F1]],Tabel1[[#This Row],[Up - F2]],Tabel1[[#This Row],[Up - F3]],Tabel1[[#This Row],[Up - F4]]),"")</f>
        <v>2</v>
      </c>
      <c r="AZ453">
        <v>3</v>
      </c>
      <c r="BA453">
        <v>3</v>
      </c>
      <c r="BB453">
        <f>IFERROR(AVERAGE(Tabel1[[#This Row],[Up - V1a]:[Up - V1b]]),"")</f>
        <v>3</v>
      </c>
      <c r="BC453">
        <v>5</v>
      </c>
      <c r="BD453">
        <v>4</v>
      </c>
      <c r="BE453">
        <v>4</v>
      </c>
      <c r="BF453">
        <f>IFERROR(AVERAGE(Tabel1[[#This Row],[Up - V2a]:[Up - V2c]]),"")</f>
        <v>4.333333333333333</v>
      </c>
      <c r="BG453">
        <v>2</v>
      </c>
      <c r="BH453">
        <v>1</v>
      </c>
      <c r="BI453">
        <f>IFERROR(AVERAGE(Tabel1[[#This Row],[Up - V3a]:[Up - V3b]]),"")</f>
        <v>1.5</v>
      </c>
      <c r="BJ453">
        <v>3</v>
      </c>
      <c r="BK453">
        <f>IFERROR(AVERAGE(Tabel1[[#This Row],[Up - V1]],Tabel1[[#This Row],[Up - V2]],Tabel1[[#This Row],[Up - V3]],Tabel1[[#This Row],[Up - V4]]),"")</f>
        <v>2.958333333333333</v>
      </c>
      <c r="BL453">
        <v>3</v>
      </c>
      <c r="BM453">
        <v>5</v>
      </c>
      <c r="BN453">
        <v>3</v>
      </c>
      <c r="BO453">
        <v>2</v>
      </c>
      <c r="BP453">
        <f>IFERROR(AVERAGE(Tabel1[[#This Row],[Up - A1a]:[Up - A1d]]),"")</f>
        <v>3.25</v>
      </c>
      <c r="BQ453">
        <v>2</v>
      </c>
      <c r="BR453">
        <v>2</v>
      </c>
      <c r="BS453">
        <f>IFERROR(AVERAGE(Tabel1[[#This Row],[Up - A2a]:[Up - A2b]]),"")</f>
        <v>2</v>
      </c>
      <c r="BT453">
        <v>4</v>
      </c>
      <c r="BU453">
        <f>IFERROR(AVERAGE(Tabel1[[#This Row],[Up - A3a]:[Up - A3a]]),"")</f>
        <v>4</v>
      </c>
      <c r="BV453">
        <v>4</v>
      </c>
      <c r="BW453">
        <f>IFERROR(AVERAGE(Tabel1[[#This Row],[Up - A1]],Tabel1[[#This Row],[Up - A2]],Tabel1[[#This Row],[Up - A3]]),"")</f>
        <v>3.0833333333333335</v>
      </c>
      <c r="BX453">
        <v>3</v>
      </c>
      <c r="BY453">
        <v>4</v>
      </c>
      <c r="BZ453">
        <f>IFERROR(AVERAGE(Tabel1[[#This Row],[In - R1a]:[In - R1b]]),"")</f>
        <v>3.5</v>
      </c>
      <c r="CA453">
        <v>5</v>
      </c>
      <c r="CB453">
        <v>4</v>
      </c>
      <c r="CC453">
        <v>1</v>
      </c>
      <c r="CD453">
        <v>3</v>
      </c>
      <c r="CE453">
        <f>IFERROR(AVERAGE(Tabel1[[#This Row],[In - R1]:[In - R5]]),"")</f>
        <v>3.3</v>
      </c>
      <c r="CF453">
        <v>5</v>
      </c>
      <c r="CG453">
        <v>4</v>
      </c>
      <c r="CH453">
        <v>5</v>
      </c>
      <c r="CI453">
        <f>IFERROR(AVERAGE(Tabel1[[#This Row],[In - C1a]:[In - C1c]]),"")</f>
        <v>4.666666666666667</v>
      </c>
      <c r="CJ453">
        <v>5</v>
      </c>
      <c r="CL453">
        <v>5</v>
      </c>
      <c r="CM453">
        <f>IFERROR(AVERAGE(Tabel1[[#This Row],[In - C1]:[In - C4]]),"")</f>
        <v>4.8888888888888893</v>
      </c>
      <c r="CN453">
        <v>3</v>
      </c>
      <c r="CO453">
        <v>2</v>
      </c>
      <c r="CP453">
        <v>1</v>
      </c>
      <c r="CQ453">
        <f>IFERROR(AVERAGE(Tabel1[[#This Row],[In - F1a]:[In - F1c]]),"")</f>
        <v>2</v>
      </c>
      <c r="CR453">
        <v>4</v>
      </c>
      <c r="CS453">
        <v>1</v>
      </c>
      <c r="CT453">
        <f>IFERROR(AVERAGE(Tabel1[[#This Row],[In - F2a]:[In - F2b]]),"")</f>
        <v>2.5</v>
      </c>
      <c r="CU453">
        <v>2</v>
      </c>
      <c r="CV453">
        <f>IFERROR(AVERAGE(Tabel1[[#This Row],[In - F3a]:[In - F3a]]),"")</f>
        <v>2</v>
      </c>
      <c r="CW453">
        <v>2</v>
      </c>
      <c r="CX453">
        <f>IFERROR(AVERAGE(Tabel1[[#This Row],[In - F1]],Tabel1[[#This Row],[In - F2]],Tabel1[[#This Row],[In - F3]],Tabel1[[#This Row],[In - F4]]),"")</f>
        <v>2.125</v>
      </c>
      <c r="CY453">
        <v>3</v>
      </c>
      <c r="CZ453">
        <v>4</v>
      </c>
      <c r="DA453">
        <v>3</v>
      </c>
      <c r="DB453">
        <f>IFERROR(AVERAGE(Tabel1[[#This Row],[In - V1a]:[In - V1c]]),"")</f>
        <v>3.3333333333333335</v>
      </c>
      <c r="DC453">
        <v>4</v>
      </c>
      <c r="DD453">
        <v>4</v>
      </c>
      <c r="DE453">
        <v>4</v>
      </c>
      <c r="DF453">
        <f>IFERROR(AVERAGE(Tabel1[[#This Row],[In - V2a]:[In - V2c]]),"")</f>
        <v>4</v>
      </c>
      <c r="DG453">
        <v>3</v>
      </c>
      <c r="DH453">
        <v>4</v>
      </c>
      <c r="DI453">
        <f>IFERROR(AVERAGE(Tabel1[[#This Row],[In - V3a]:[In - V3b]]),"")</f>
        <v>3.5</v>
      </c>
      <c r="DJ453">
        <v>4</v>
      </c>
      <c r="DK453">
        <f>IFERROR(AVERAGE(Tabel1[[#This Row],[In - V1]],Tabel1[[#This Row],[In - V2]],Tabel1[[#This Row],[In - V3]],Tabel1[[#This Row],[In - V4]]),"")</f>
        <v>3.7083333333333335</v>
      </c>
      <c r="DL453">
        <v>4</v>
      </c>
      <c r="DM453">
        <v>5</v>
      </c>
      <c r="DN453">
        <f>IFERROR(AVERAGE(Tabel1[[#This Row],[In - A1a]:[In - A1b]]),"")</f>
        <v>4.5</v>
      </c>
      <c r="DO453">
        <v>3</v>
      </c>
      <c r="DP453">
        <v>3</v>
      </c>
      <c r="DQ453">
        <f>IFERROR(AVERAGE(Tabel1[[#This Row],[In - A2a]:[In - A2b]]),"")</f>
        <v>3</v>
      </c>
      <c r="DR453">
        <v>4</v>
      </c>
      <c r="DS453">
        <v>2</v>
      </c>
      <c r="DT453">
        <f>IFERROR(AVERAGE(Tabel1[[#This Row],[In - A3a]:[In - A3a]]),"")</f>
        <v>4</v>
      </c>
      <c r="DU453">
        <v>5</v>
      </c>
      <c r="DV453">
        <f>IFERROR(AVERAGE(Tabel1[[#This Row],[In - A1]],Tabel1[[#This Row],[In - A2]],Tabel1[[#This Row],[In - A3]],Tabel1[[#This Row],[In - A4]]),"")</f>
        <v>4.125</v>
      </c>
      <c r="DW453">
        <v>1</v>
      </c>
      <c r="DX453">
        <v>4</v>
      </c>
      <c r="DY453">
        <v>2</v>
      </c>
      <c r="DZ453">
        <f>IFERROR(AVERAGE(Tabel1[[#This Row],[Do - R1a]:[Do - R1c]]),"")</f>
        <v>2.3333333333333335</v>
      </c>
      <c r="EA453">
        <v>4</v>
      </c>
      <c r="EB453">
        <v>2</v>
      </c>
      <c r="EC453">
        <v>1</v>
      </c>
      <c r="ED453">
        <v>2</v>
      </c>
      <c r="EE453">
        <f>IFERROR(AVERAGE(Tabel1[[#This Row],[Do - R1]:[Do - R5]]),"")</f>
        <v>2.2666666666666666</v>
      </c>
      <c r="EF453">
        <v>4</v>
      </c>
      <c r="EG453">
        <v>5</v>
      </c>
      <c r="EH453">
        <v>4</v>
      </c>
      <c r="EI453">
        <f>IFERROR(AVERAGE(Tabel1[[#This Row],[Do - C1a]:[Do - C1c]]),"")</f>
        <v>4.333333333333333</v>
      </c>
      <c r="EJ453">
        <v>4</v>
      </c>
      <c r="EL453">
        <v>3</v>
      </c>
      <c r="EM453">
        <f>IFERROR(AVERAGE(Tabel1[[#This Row],[Do - C1]:[Do - C4]]),"")</f>
        <v>3.7777777777777772</v>
      </c>
      <c r="EN453">
        <v>3</v>
      </c>
      <c r="EO453">
        <v>4</v>
      </c>
      <c r="EP453">
        <v>3</v>
      </c>
      <c r="EQ453">
        <f>IFERROR(AVERAGE(Tabel1[[#This Row],[Do - F1a]:[Do - F1c]]),"")</f>
        <v>3.3333333333333335</v>
      </c>
      <c r="ER453">
        <v>4</v>
      </c>
      <c r="ES453">
        <f>IFERROR(AVERAGE(Tabel1[[#This Row],[Do - F2a]:[Do - F2a]]),"")</f>
        <v>4</v>
      </c>
      <c r="ET453">
        <v>2</v>
      </c>
      <c r="EU453">
        <v>3</v>
      </c>
      <c r="EV453">
        <f>IFERROR(AVERAGE(Tabel1[[#This Row],[Do - F3a]:[Do - F3b]]),"")</f>
        <v>2.5</v>
      </c>
      <c r="EW453">
        <v>2</v>
      </c>
      <c r="EX453">
        <f>IFERROR(AVERAGE(Tabel1[[#This Row],[Do - F1]],Tabel1[[#This Row],[Do - F2]],Tabel1[[#This Row],[Do - F3]],Tabel1[[#This Row],[Do - F4]]),"")</f>
        <v>2.9583333333333335</v>
      </c>
      <c r="EY453">
        <v>4</v>
      </c>
      <c r="EZ453">
        <v>4</v>
      </c>
      <c r="FA453">
        <v>5</v>
      </c>
      <c r="FB453">
        <f>IFERROR(AVERAGE(Tabel1[[#This Row],[Do - V1a]:[Do - V1c]]),"")</f>
        <v>4.333333333333333</v>
      </c>
      <c r="FC453">
        <v>5</v>
      </c>
      <c r="FD453">
        <v>5</v>
      </c>
      <c r="FE453">
        <f>IFERROR(AVERAGE(Tabel1[[#This Row],[Do - V2a]:[Do - V2b]]),"")</f>
        <v>5</v>
      </c>
      <c r="FF453">
        <v>3</v>
      </c>
      <c r="FG453">
        <f>IFERROR(AVERAGE(Tabel1[[#This Row],[Do - V3a]:[Do - V3a]]),"")</f>
        <v>3</v>
      </c>
      <c r="FH453">
        <v>5</v>
      </c>
      <c r="FI453">
        <f>IFERROR(AVERAGE(Tabel1[[#This Row],[Do - V1]],Tabel1[[#This Row],[Do - V2]],Tabel1[[#This Row],[Do - V3]],Tabel1[[#This Row],[Do - V4]]),"")</f>
        <v>4.333333333333333</v>
      </c>
      <c r="FJ453">
        <v>4</v>
      </c>
      <c r="FK453">
        <v>3</v>
      </c>
      <c r="FL453">
        <v>4</v>
      </c>
      <c r="FM453">
        <f>IFERROR(AVERAGE(Tabel1[[#This Row],[Do - A1a]:[Do - A1c]]),"")</f>
        <v>3.6666666666666665</v>
      </c>
      <c r="FN453">
        <v>2</v>
      </c>
      <c r="FO453">
        <v>3</v>
      </c>
      <c r="FP453">
        <f>IFERROR(AVERAGE(Tabel1[[#This Row],[Do - A2a]:[Do - A2b]]),"")</f>
        <v>2.5</v>
      </c>
      <c r="FQ453">
        <v>4</v>
      </c>
      <c r="FR453">
        <f>IFERROR(AVERAGE(Tabel1[[#This Row],[Do - A3a]:[Do - A3a]]),"")</f>
        <v>4</v>
      </c>
      <c r="FS453">
        <v>5</v>
      </c>
      <c r="FT453">
        <f>IFERROR(AVERAGE(Tabel1[[#This Row],[Do - A1]],Tabel1[[#This Row],[Do - A2]],Tabel1[[#This Row],[Do - A3]],Tabel1[[#This Row],[Do - A4]]),"")</f>
        <v>3.7916666666666665</v>
      </c>
      <c r="FU45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3.2996296296296292</v>
      </c>
      <c r="FV453" s="31" t="s">
        <v>2224</v>
      </c>
      <c r="FW453" t="b">
        <v>1</v>
      </c>
    </row>
    <row r="454" spans="1:179" x14ac:dyDescent="0.3">
      <c r="A454" s="13">
        <v>45739.725497685198</v>
      </c>
      <c r="B454" t="b">
        <v>0</v>
      </c>
      <c r="C454" t="s">
        <v>2225</v>
      </c>
      <c r="D454" t="s">
        <v>2226</v>
      </c>
      <c r="E454" s="29" t="s">
        <v>2216</v>
      </c>
      <c r="F454" s="14" t="s">
        <v>1133</v>
      </c>
      <c r="G454" t="s">
        <v>2227</v>
      </c>
      <c r="H454" t="s">
        <v>194</v>
      </c>
      <c r="I454" t="s">
        <v>385</v>
      </c>
      <c r="K454" t="s">
        <v>304</v>
      </c>
      <c r="L454" t="s">
        <v>249</v>
      </c>
      <c r="M454" t="s">
        <v>233</v>
      </c>
      <c r="N454" t="s">
        <v>199</v>
      </c>
      <c r="O454" t="s">
        <v>200</v>
      </c>
      <c r="P454" t="s">
        <v>304</v>
      </c>
      <c r="Q454" t="s">
        <v>203</v>
      </c>
      <c r="R454" t="s">
        <v>201</v>
      </c>
      <c r="S454" t="s">
        <v>201</v>
      </c>
      <c r="T454" t="s">
        <v>204</v>
      </c>
      <c r="U454" t="s">
        <v>205</v>
      </c>
      <c r="V454" t="s">
        <v>224</v>
      </c>
      <c r="W454" t="s">
        <v>207</v>
      </c>
      <c r="X454" t="s">
        <v>207</v>
      </c>
      <c r="Y454">
        <v>3</v>
      </c>
      <c r="Z454">
        <v>2</v>
      </c>
      <c r="AA454" t="s">
        <v>189</v>
      </c>
      <c r="AB454">
        <f>IFERROR(AVERAGE(Tabel1[[#This Row],[Up - R1a]:[Up - R1c]]),"")</f>
        <v>2.5</v>
      </c>
      <c r="AC454">
        <v>4</v>
      </c>
      <c r="AD454">
        <v>5</v>
      </c>
      <c r="AE454">
        <v>2</v>
      </c>
      <c r="AF454">
        <v>3</v>
      </c>
      <c r="AG454">
        <f>IFERROR(AVERAGE(Tabel1[[#This Row],[Up - R1]:[Up - R5]]),"")</f>
        <v>3.3</v>
      </c>
      <c r="AH454">
        <v>4</v>
      </c>
      <c r="AI454">
        <v>4</v>
      </c>
      <c r="AJ454">
        <v>3</v>
      </c>
      <c r="AK454">
        <f>IFERROR(AVERAGE(Tabel1[[#This Row],[Up - C1a]:[Up - C1c]]),"")</f>
        <v>3.6666666666666665</v>
      </c>
      <c r="AL454">
        <v>1</v>
      </c>
      <c r="AM454">
        <v>2</v>
      </c>
      <c r="AN454">
        <v>4</v>
      </c>
      <c r="AO454">
        <f>IFERROR(AVERAGE(Tabel1[[#This Row],[Up - C1]:[Up - C4]]),"")</f>
        <v>2.6666666666666665</v>
      </c>
      <c r="AP454">
        <v>4</v>
      </c>
      <c r="AQ454">
        <f>IFERROR(AVERAGE(Tabel1[[#This Row],[Up - F1a]:[Up - F1a]]),"")</f>
        <v>4</v>
      </c>
      <c r="AR454">
        <v>2</v>
      </c>
      <c r="AS454">
        <v>4</v>
      </c>
      <c r="AT454">
        <f>IFERROR(AVERAGE(Tabel1[[#This Row],[Up - F2a]:[Up - F2b]]),"")</f>
        <v>3</v>
      </c>
      <c r="AU454">
        <v>2</v>
      </c>
      <c r="AV454">
        <v>1</v>
      </c>
      <c r="AW454">
        <f>IFERROR(AVERAGE(Tabel1[[#This Row],[Up - F3a]:[Up - F3b]]),"")</f>
        <v>1.5</v>
      </c>
      <c r="AX454">
        <v>2</v>
      </c>
      <c r="AY454">
        <f>IFERROR(AVERAGE(Tabel1[[#This Row],[Up - F1]],Tabel1[[#This Row],[Up - F2]],Tabel1[[#This Row],[Up - F3]],Tabel1[[#This Row],[Up - F4]]),"")</f>
        <v>2.625</v>
      </c>
      <c r="AZ454">
        <v>5</v>
      </c>
      <c r="BA454">
        <v>4</v>
      </c>
      <c r="BB454">
        <f>IFERROR(AVERAGE(Tabel1[[#This Row],[Up - V1a]:[Up - V1b]]),"")</f>
        <v>4.5</v>
      </c>
      <c r="BC454">
        <v>3</v>
      </c>
      <c r="BD454">
        <v>4</v>
      </c>
      <c r="BE454">
        <v>4</v>
      </c>
      <c r="BF454">
        <f>IFERROR(AVERAGE(Tabel1[[#This Row],[Up - V2a]:[Up - V2c]]),"")</f>
        <v>3.6666666666666665</v>
      </c>
      <c r="BG454">
        <v>4</v>
      </c>
      <c r="BH454">
        <v>4</v>
      </c>
      <c r="BI454">
        <f>IFERROR(AVERAGE(Tabel1[[#This Row],[Up - V3a]:[Up - V3b]]),"")</f>
        <v>4</v>
      </c>
      <c r="BJ454">
        <v>5</v>
      </c>
      <c r="BK454">
        <f>IFERROR(AVERAGE(Tabel1[[#This Row],[Up - V1]],Tabel1[[#This Row],[Up - V2]],Tabel1[[#This Row],[Up - V3]],Tabel1[[#This Row],[Up - V4]]),"")</f>
        <v>4.2916666666666661</v>
      </c>
      <c r="BL454">
        <v>3</v>
      </c>
      <c r="BM454">
        <v>4</v>
      </c>
      <c r="BN454">
        <v>3</v>
      </c>
      <c r="BO454">
        <v>2</v>
      </c>
      <c r="BP454">
        <f>IFERROR(AVERAGE(Tabel1[[#This Row],[Up - A1a]:[Up - A1d]]),"")</f>
        <v>3</v>
      </c>
      <c r="BQ454">
        <v>3</v>
      </c>
      <c r="BR454">
        <v>5</v>
      </c>
      <c r="BS454">
        <f>IFERROR(AVERAGE(Tabel1[[#This Row],[Up - A2a]:[Up - A2b]]),"")</f>
        <v>4</v>
      </c>
      <c r="BT454">
        <v>4</v>
      </c>
      <c r="BU454">
        <f>IFERROR(AVERAGE(Tabel1[[#This Row],[Up - A3a]:[Up - A3a]]),"")</f>
        <v>4</v>
      </c>
      <c r="BV454">
        <v>3</v>
      </c>
      <c r="BW454">
        <f>IFERROR(AVERAGE(Tabel1[[#This Row],[Up - A1]],Tabel1[[#This Row],[Up - A2]],Tabel1[[#This Row],[Up - A3]]),"")</f>
        <v>3.6666666666666665</v>
      </c>
      <c r="BX454">
        <v>4</v>
      </c>
      <c r="BY454">
        <v>3</v>
      </c>
      <c r="BZ454">
        <f>IFERROR(AVERAGE(Tabel1[[#This Row],[In - R1a]:[In - R1b]]),"")</f>
        <v>3.5</v>
      </c>
      <c r="CA454">
        <v>4</v>
      </c>
      <c r="CB454">
        <v>3</v>
      </c>
      <c r="CC454">
        <v>4</v>
      </c>
      <c r="CD454">
        <v>4</v>
      </c>
      <c r="CE454">
        <f>IFERROR(AVERAGE(Tabel1[[#This Row],[In - R1]:[In - R5]]),"")</f>
        <v>3.7</v>
      </c>
      <c r="CF454">
        <v>5</v>
      </c>
      <c r="CG454">
        <v>2</v>
      </c>
      <c r="CH454">
        <v>3</v>
      </c>
      <c r="CI454">
        <f>IFERROR(AVERAGE(Tabel1[[#This Row],[In - C1a]:[In - C1c]]),"")</f>
        <v>3.3333333333333335</v>
      </c>
      <c r="CJ454">
        <v>3</v>
      </c>
      <c r="CK454">
        <v>3</v>
      </c>
      <c r="CL454">
        <v>4</v>
      </c>
      <c r="CM454">
        <f>IFERROR(AVERAGE(Tabel1[[#This Row],[In - C1]:[In - C4]]),"")</f>
        <v>3.3333333333333335</v>
      </c>
      <c r="CN454">
        <v>5</v>
      </c>
      <c r="CO454">
        <v>3</v>
      </c>
      <c r="CP454">
        <v>3</v>
      </c>
      <c r="CQ454">
        <f>IFERROR(AVERAGE(Tabel1[[#This Row],[In - F1a]:[In - F1c]]),"")</f>
        <v>3.6666666666666665</v>
      </c>
      <c r="CR454">
        <v>4</v>
      </c>
      <c r="CS454">
        <v>2</v>
      </c>
      <c r="CT454">
        <f>IFERROR(AVERAGE(Tabel1[[#This Row],[In - F2a]:[In - F2b]]),"")</f>
        <v>3</v>
      </c>
      <c r="CU454">
        <v>2</v>
      </c>
      <c r="CV454">
        <f>IFERROR(AVERAGE(Tabel1[[#This Row],[In - F3a]:[In - F3a]]),"")</f>
        <v>2</v>
      </c>
      <c r="CW454">
        <v>2</v>
      </c>
      <c r="CX454">
        <f>IFERROR(AVERAGE(Tabel1[[#This Row],[In - F1]],Tabel1[[#This Row],[In - F2]],Tabel1[[#This Row],[In - F3]],Tabel1[[#This Row],[In - F4]]),"")</f>
        <v>2.6666666666666665</v>
      </c>
      <c r="CY454">
        <v>5</v>
      </c>
      <c r="CZ454">
        <v>4</v>
      </c>
      <c r="DA454">
        <v>4</v>
      </c>
      <c r="DB454">
        <f>IFERROR(AVERAGE(Tabel1[[#This Row],[In - V1a]:[In - V1c]]),"")</f>
        <v>4.333333333333333</v>
      </c>
      <c r="DC454">
        <v>2</v>
      </c>
      <c r="DD454">
        <v>3</v>
      </c>
      <c r="DE454">
        <v>3</v>
      </c>
      <c r="DF454">
        <f>IFERROR(AVERAGE(Tabel1[[#This Row],[In - V2a]:[In - V2c]]),"")</f>
        <v>2.6666666666666665</v>
      </c>
      <c r="DG454">
        <v>4</v>
      </c>
      <c r="DH454">
        <v>3</v>
      </c>
      <c r="DI454">
        <f>IFERROR(AVERAGE(Tabel1[[#This Row],[In - V3a]:[In - V3b]]),"")</f>
        <v>3.5</v>
      </c>
      <c r="DJ454">
        <v>5</v>
      </c>
      <c r="DK454">
        <f>IFERROR(AVERAGE(Tabel1[[#This Row],[In - V1]],Tabel1[[#This Row],[In - V2]],Tabel1[[#This Row],[In - V3]],Tabel1[[#This Row],[In - V4]]),"")</f>
        <v>3.875</v>
      </c>
      <c r="DL454">
        <v>2</v>
      </c>
      <c r="DM454">
        <v>3</v>
      </c>
      <c r="DN454">
        <f>IFERROR(AVERAGE(Tabel1[[#This Row],[In - A1a]:[In - A1b]]),"")</f>
        <v>2.5</v>
      </c>
      <c r="DO454">
        <v>2</v>
      </c>
      <c r="DP454">
        <v>4</v>
      </c>
      <c r="DQ454">
        <f>IFERROR(AVERAGE(Tabel1[[#This Row],[In - A2a]:[In - A2b]]),"")</f>
        <v>3</v>
      </c>
      <c r="DR454">
        <v>4</v>
      </c>
      <c r="DS454">
        <v>2</v>
      </c>
      <c r="DT454">
        <f>IFERROR(AVERAGE(Tabel1[[#This Row],[In - A3a]:[In - A3a]]),"")</f>
        <v>4</v>
      </c>
      <c r="DU454">
        <v>3</v>
      </c>
      <c r="DV454">
        <f>IFERROR(AVERAGE(Tabel1[[#This Row],[In - A1]],Tabel1[[#This Row],[In - A2]],Tabel1[[#This Row],[In - A3]],Tabel1[[#This Row],[In - A4]]),"")</f>
        <v>3.125</v>
      </c>
      <c r="DW454">
        <v>3</v>
      </c>
      <c r="DX454">
        <v>5</v>
      </c>
      <c r="DY454">
        <v>3</v>
      </c>
      <c r="DZ454">
        <f>IFERROR(AVERAGE(Tabel1[[#This Row],[Do - R1a]:[Do - R1c]]),"")</f>
        <v>3.6666666666666665</v>
      </c>
      <c r="EA454">
        <v>4</v>
      </c>
      <c r="EB454">
        <v>4</v>
      </c>
      <c r="EC454">
        <v>1</v>
      </c>
      <c r="ED454">
        <v>3</v>
      </c>
      <c r="EE454">
        <f>IFERROR(AVERAGE(Tabel1[[#This Row],[Do - R1]:[Do - R5]]),"")</f>
        <v>3.1333333333333333</v>
      </c>
      <c r="EF454">
        <v>4</v>
      </c>
      <c r="EG454">
        <v>3</v>
      </c>
      <c r="EH454">
        <v>3</v>
      </c>
      <c r="EI454">
        <f>IFERROR(AVERAGE(Tabel1[[#This Row],[Do - C1a]:[Do - C1c]]),"")</f>
        <v>3.3333333333333335</v>
      </c>
      <c r="EJ454">
        <v>4</v>
      </c>
      <c r="EK454">
        <v>3</v>
      </c>
      <c r="EL454">
        <v>4</v>
      </c>
      <c r="EM454">
        <f>IFERROR(AVERAGE(Tabel1[[#This Row],[Do - C1]:[Do - C4]]),"")</f>
        <v>3.5833333333333335</v>
      </c>
      <c r="EN454">
        <v>4</v>
      </c>
      <c r="EO454">
        <v>4</v>
      </c>
      <c r="EP454">
        <v>4</v>
      </c>
      <c r="EQ454">
        <f>IFERROR(AVERAGE(Tabel1[[#This Row],[Do - F1a]:[Do - F1c]]),"")</f>
        <v>4</v>
      </c>
      <c r="ER454">
        <v>2</v>
      </c>
      <c r="ES454">
        <f>IFERROR(AVERAGE(Tabel1[[#This Row],[Do - F2a]:[Do - F2a]]),"")</f>
        <v>2</v>
      </c>
      <c r="ET454">
        <v>3</v>
      </c>
      <c r="EU454">
        <v>2</v>
      </c>
      <c r="EV454">
        <f>IFERROR(AVERAGE(Tabel1[[#This Row],[Do - F3a]:[Do - F3b]]),"")</f>
        <v>2.5</v>
      </c>
      <c r="EW454">
        <v>2</v>
      </c>
      <c r="EX454">
        <f>IFERROR(AVERAGE(Tabel1[[#This Row],[Do - F1]],Tabel1[[#This Row],[Do - F2]],Tabel1[[#This Row],[Do - F3]],Tabel1[[#This Row],[Do - F4]]),"")</f>
        <v>2.625</v>
      </c>
      <c r="EY454">
        <v>4</v>
      </c>
      <c r="EZ454">
        <v>4</v>
      </c>
      <c r="FA454">
        <v>3</v>
      </c>
      <c r="FB454">
        <f>IFERROR(AVERAGE(Tabel1[[#This Row],[Do - V1a]:[Do - V1c]]),"")</f>
        <v>3.6666666666666665</v>
      </c>
      <c r="FC454">
        <v>4</v>
      </c>
      <c r="FD454">
        <v>4</v>
      </c>
      <c r="FE454">
        <f>IFERROR(AVERAGE(Tabel1[[#This Row],[Do - V2a]:[Do - V2b]]),"")</f>
        <v>4</v>
      </c>
      <c r="FF454">
        <v>4</v>
      </c>
      <c r="FG454">
        <f>IFERROR(AVERAGE(Tabel1[[#This Row],[Do - V3a]:[Do - V3a]]),"")</f>
        <v>4</v>
      </c>
      <c r="FH454">
        <v>5</v>
      </c>
      <c r="FI454">
        <f>IFERROR(AVERAGE(Tabel1[[#This Row],[Do - V1]],Tabel1[[#This Row],[Do - V2]],Tabel1[[#This Row],[Do - V3]],Tabel1[[#This Row],[Do - V4]]),"")</f>
        <v>4.1666666666666661</v>
      </c>
      <c r="FJ454">
        <v>3</v>
      </c>
      <c r="FK454">
        <v>3</v>
      </c>
      <c r="FL454">
        <v>4</v>
      </c>
      <c r="FM454">
        <f>IFERROR(AVERAGE(Tabel1[[#This Row],[Do - A1a]:[Do - A1c]]),"")</f>
        <v>3.3333333333333335</v>
      </c>
      <c r="FN454">
        <v>4</v>
      </c>
      <c r="FO454">
        <v>5</v>
      </c>
      <c r="FP454">
        <f>IFERROR(AVERAGE(Tabel1[[#This Row],[Do - A2a]:[Do - A2b]]),"")</f>
        <v>4.5</v>
      </c>
      <c r="FQ454">
        <v>4</v>
      </c>
      <c r="FR454">
        <f>IFERROR(AVERAGE(Tabel1[[#This Row],[Do - A3a]:[Do - A3a]]),"")</f>
        <v>4</v>
      </c>
      <c r="FS454">
        <v>3</v>
      </c>
      <c r="FT454">
        <f>IFERROR(AVERAGE(Tabel1[[#This Row],[Do - A1]],Tabel1[[#This Row],[Do - A2]],Tabel1[[#This Row],[Do - A3]],Tabel1[[#This Row],[Do - A4]]),"")</f>
        <v>3.7083333333333335</v>
      </c>
      <c r="FU45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3.3644444444444446</v>
      </c>
      <c r="FV454" s="31" t="s">
        <v>2228</v>
      </c>
      <c r="FW454" t="b">
        <v>1</v>
      </c>
    </row>
    <row r="455" spans="1:179" x14ac:dyDescent="0.3">
      <c r="A455" s="13">
        <v>45740.407685185201</v>
      </c>
      <c r="B455" t="b">
        <v>0</v>
      </c>
      <c r="C455" t="s">
        <v>2229</v>
      </c>
      <c r="D455" t="s">
        <v>2230</v>
      </c>
      <c r="E455" t="s">
        <v>2231</v>
      </c>
      <c r="F455" s="14" t="s">
        <v>184</v>
      </c>
      <c r="G455" t="s">
        <v>2232</v>
      </c>
      <c r="H455" t="s">
        <v>222</v>
      </c>
      <c r="I455" t="s">
        <v>572</v>
      </c>
      <c r="J455" t="s">
        <v>573</v>
      </c>
      <c r="K455" t="s">
        <v>235</v>
      </c>
      <c r="L455" t="s">
        <v>218</v>
      </c>
      <c r="M455" t="s">
        <v>281</v>
      </c>
      <c r="N455" t="s">
        <v>331</v>
      </c>
      <c r="O455" t="s">
        <v>200</v>
      </c>
      <c r="P455" t="s">
        <v>317</v>
      </c>
      <c r="Q455" t="s">
        <v>202</v>
      </c>
      <c r="R455" t="s">
        <v>203</v>
      </c>
      <c r="S455" t="s">
        <v>235</v>
      </c>
      <c r="T455" t="s">
        <v>284</v>
      </c>
      <c r="U455" t="s">
        <v>285</v>
      </c>
      <c r="V455" t="s">
        <v>610</v>
      </c>
      <c r="W455" t="s">
        <v>207</v>
      </c>
      <c r="X455" t="s">
        <v>305</v>
      </c>
      <c r="Y455">
        <v>3</v>
      </c>
      <c r="Z455">
        <v>2</v>
      </c>
      <c r="AA455">
        <v>2</v>
      </c>
      <c r="AB455">
        <f>IFERROR(AVERAGE(Tabel1[[#This Row],[Up - R1a]:[Up - R1c]]),"")</f>
        <v>2.3333333333333335</v>
      </c>
      <c r="AC455">
        <v>3</v>
      </c>
      <c r="AD455">
        <v>3</v>
      </c>
      <c r="AE455">
        <v>2</v>
      </c>
      <c r="AF455">
        <v>3</v>
      </c>
      <c r="AG455">
        <f>IFERROR(AVERAGE(Tabel1[[#This Row],[Up - R1]:[Up - R5]]),"")</f>
        <v>2.666666666666667</v>
      </c>
      <c r="AH455">
        <v>4</v>
      </c>
      <c r="AI455">
        <v>3</v>
      </c>
      <c r="AJ455">
        <v>2</v>
      </c>
      <c r="AK455">
        <f>IFERROR(AVERAGE(Tabel1[[#This Row],[Up - C1a]:[Up - C1c]]),"")</f>
        <v>3</v>
      </c>
      <c r="AL455">
        <v>2</v>
      </c>
      <c r="AM455">
        <v>2</v>
      </c>
      <c r="AN455">
        <v>2</v>
      </c>
      <c r="AO455">
        <f>IFERROR(AVERAGE(Tabel1[[#This Row],[Up - C1]:[Up - C4]]),"")</f>
        <v>2.25</v>
      </c>
      <c r="AP455">
        <v>2</v>
      </c>
      <c r="AQ455">
        <f>IFERROR(AVERAGE(Tabel1[[#This Row],[Up - F1a]:[Up - F1a]]),"")</f>
        <v>2</v>
      </c>
      <c r="AR455">
        <v>2</v>
      </c>
      <c r="AS455">
        <v>3</v>
      </c>
      <c r="AT455">
        <f>IFERROR(AVERAGE(Tabel1[[#This Row],[Up - F2a]:[Up - F2b]]),"")</f>
        <v>2.5</v>
      </c>
      <c r="AU455">
        <v>3</v>
      </c>
      <c r="AV455">
        <v>3</v>
      </c>
      <c r="AW455">
        <f>IFERROR(AVERAGE(Tabel1[[#This Row],[Up - F3a]:[Up - F3b]]),"")</f>
        <v>3</v>
      </c>
      <c r="AX455">
        <v>3</v>
      </c>
      <c r="AY455">
        <f>IFERROR(AVERAGE(Tabel1[[#This Row],[Up - F1]],Tabel1[[#This Row],[Up - F2]],Tabel1[[#This Row],[Up - F3]],Tabel1[[#This Row],[Up - F4]]),"")</f>
        <v>2.625</v>
      </c>
      <c r="AZ455">
        <v>4</v>
      </c>
      <c r="BA455">
        <v>4</v>
      </c>
      <c r="BB455">
        <f>IFERROR(AVERAGE(Tabel1[[#This Row],[Up - V1a]:[Up - V1b]]),"")</f>
        <v>4</v>
      </c>
      <c r="BC455">
        <v>4</v>
      </c>
      <c r="BD455">
        <v>2</v>
      </c>
      <c r="BE455">
        <v>3</v>
      </c>
      <c r="BF455">
        <f>IFERROR(AVERAGE(Tabel1[[#This Row],[Up - V2a]:[Up - V2c]]),"")</f>
        <v>3</v>
      </c>
      <c r="BG455">
        <v>2</v>
      </c>
      <c r="BH455">
        <v>1</v>
      </c>
      <c r="BI455">
        <f>IFERROR(AVERAGE(Tabel1[[#This Row],[Up - V3a]:[Up - V3b]]),"")</f>
        <v>1.5</v>
      </c>
      <c r="BJ455">
        <v>2</v>
      </c>
      <c r="BK455">
        <f>IFERROR(AVERAGE(Tabel1[[#This Row],[Up - V1]],Tabel1[[#This Row],[Up - V2]],Tabel1[[#This Row],[Up - V3]],Tabel1[[#This Row],[Up - V4]]),"")</f>
        <v>2.625</v>
      </c>
      <c r="BL455">
        <v>3</v>
      </c>
      <c r="BM455">
        <v>3</v>
      </c>
      <c r="BN455">
        <v>4</v>
      </c>
      <c r="BO455">
        <v>4</v>
      </c>
      <c r="BP455">
        <f>IFERROR(AVERAGE(Tabel1[[#This Row],[Up - A1a]:[Up - A1d]]),"")</f>
        <v>3.5</v>
      </c>
      <c r="BQ455">
        <v>3</v>
      </c>
      <c r="BR455">
        <v>3</v>
      </c>
      <c r="BS455">
        <f>IFERROR(AVERAGE(Tabel1[[#This Row],[Up - A2a]:[Up - A2b]]),"")</f>
        <v>3</v>
      </c>
      <c r="BT455">
        <v>3</v>
      </c>
      <c r="BU455">
        <f>IFERROR(AVERAGE(Tabel1[[#This Row],[Up - A3a]:[Up - A3a]]),"")</f>
        <v>3</v>
      </c>
      <c r="BV455">
        <v>2</v>
      </c>
      <c r="BW455">
        <f>IFERROR(AVERAGE(Tabel1[[#This Row],[Up - A1]],Tabel1[[#This Row],[Up - A2]],Tabel1[[#This Row],[Up - A3]]),"")</f>
        <v>3.1666666666666665</v>
      </c>
      <c r="BX455">
        <v>4</v>
      </c>
      <c r="BY455">
        <v>3</v>
      </c>
      <c r="BZ455">
        <f>IFERROR(AVERAGE(Tabel1[[#This Row],[In - R1a]:[In - R1b]]),"")</f>
        <v>3.5</v>
      </c>
      <c r="CA455">
        <v>4</v>
      </c>
      <c r="CB455" t="s">
        <v>189</v>
      </c>
      <c r="CC455">
        <v>3</v>
      </c>
      <c r="CD455">
        <v>3</v>
      </c>
      <c r="CE455">
        <f>IFERROR(AVERAGE(Tabel1[[#This Row],[In - R1]:[In - R5]]),"")</f>
        <v>3.375</v>
      </c>
      <c r="CF455">
        <v>2</v>
      </c>
      <c r="CG455">
        <v>2</v>
      </c>
      <c r="CH455">
        <v>4</v>
      </c>
      <c r="CI455">
        <f>IFERROR(AVERAGE(Tabel1[[#This Row],[In - C1a]:[In - C1c]]),"")</f>
        <v>2.6666666666666665</v>
      </c>
      <c r="CJ455">
        <v>2</v>
      </c>
      <c r="CK455">
        <v>3</v>
      </c>
      <c r="CL455">
        <v>2</v>
      </c>
      <c r="CM455">
        <f>IFERROR(AVERAGE(Tabel1[[#This Row],[In - C1]:[In - C4]]),"")</f>
        <v>2.4166666666666665</v>
      </c>
      <c r="CN455">
        <v>3</v>
      </c>
      <c r="CO455">
        <v>3</v>
      </c>
      <c r="CP455">
        <v>3</v>
      </c>
      <c r="CQ455">
        <f>IFERROR(AVERAGE(Tabel1[[#This Row],[In - F1a]:[In - F1c]]),"")</f>
        <v>3</v>
      </c>
      <c r="CR455">
        <v>3</v>
      </c>
      <c r="CS455">
        <v>3</v>
      </c>
      <c r="CT455">
        <f>IFERROR(AVERAGE(Tabel1[[#This Row],[In - F2a]:[In - F2b]]),"")</f>
        <v>3</v>
      </c>
      <c r="CU455">
        <v>2</v>
      </c>
      <c r="CV455">
        <f>IFERROR(AVERAGE(Tabel1[[#This Row],[In - F3a]:[In - F3a]]),"")</f>
        <v>2</v>
      </c>
      <c r="CX455">
        <f>IFERROR(AVERAGE(Tabel1[[#This Row],[In - F1]],Tabel1[[#This Row],[In - F2]],Tabel1[[#This Row],[In - F3]],Tabel1[[#This Row],[In - F4]]),"")</f>
        <v>2.6666666666666665</v>
      </c>
      <c r="CY455">
        <v>2</v>
      </c>
      <c r="CZ455">
        <v>2</v>
      </c>
      <c r="DA455">
        <v>3</v>
      </c>
      <c r="DB455">
        <f>IFERROR(AVERAGE(Tabel1[[#This Row],[In - V1a]:[In - V1c]]),"")</f>
        <v>2.3333333333333335</v>
      </c>
      <c r="DC455">
        <v>2</v>
      </c>
      <c r="DD455">
        <v>3</v>
      </c>
      <c r="DE455">
        <v>1</v>
      </c>
      <c r="DF455">
        <f>IFERROR(AVERAGE(Tabel1[[#This Row],[In - V2a]:[In - V2c]]),"")</f>
        <v>2</v>
      </c>
      <c r="DG455">
        <v>2</v>
      </c>
      <c r="DH455">
        <v>2</v>
      </c>
      <c r="DI455">
        <f>IFERROR(AVERAGE(Tabel1[[#This Row],[In - V3a]:[In - V3b]]),"")</f>
        <v>2</v>
      </c>
      <c r="DJ455">
        <v>3</v>
      </c>
      <c r="DK455">
        <f>IFERROR(AVERAGE(Tabel1[[#This Row],[In - V1]],Tabel1[[#This Row],[In - V2]],Tabel1[[#This Row],[In - V3]],Tabel1[[#This Row],[In - V4]]),"")</f>
        <v>2.3333333333333335</v>
      </c>
      <c r="DL455">
        <v>4</v>
      </c>
      <c r="DM455">
        <v>4</v>
      </c>
      <c r="DN455">
        <f>IFERROR(AVERAGE(Tabel1[[#This Row],[In - A1a]:[In - A1b]]),"")</f>
        <v>4</v>
      </c>
      <c r="DO455" t="s">
        <v>189</v>
      </c>
      <c r="DP455">
        <v>3</v>
      </c>
      <c r="DQ455">
        <f>IFERROR(AVERAGE(Tabel1[[#This Row],[In - A2a]:[In - A2b]]),"")</f>
        <v>3</v>
      </c>
      <c r="DR455">
        <v>4</v>
      </c>
      <c r="DS455">
        <v>4</v>
      </c>
      <c r="DT455">
        <f>IFERROR(AVERAGE(Tabel1[[#This Row],[In - A3a]:[In - A3a]]),"")</f>
        <v>4</v>
      </c>
      <c r="DU455">
        <v>3</v>
      </c>
      <c r="DV455">
        <f>IFERROR(AVERAGE(Tabel1[[#This Row],[In - A1]],Tabel1[[#This Row],[In - A2]],Tabel1[[#This Row],[In - A3]],Tabel1[[#This Row],[In - A4]]),"")</f>
        <v>3.5</v>
      </c>
      <c r="DW455">
        <v>3</v>
      </c>
      <c r="DY455">
        <v>3</v>
      </c>
      <c r="DZ455">
        <f>IFERROR(AVERAGE(Tabel1[[#This Row],[Do - R1a]:[Do - R1c]]),"")</f>
        <v>3</v>
      </c>
      <c r="EA455">
        <v>4</v>
      </c>
      <c r="EB455" t="s">
        <v>189</v>
      </c>
      <c r="EC455" t="s">
        <v>189</v>
      </c>
      <c r="ED455" t="s">
        <v>189</v>
      </c>
      <c r="EE455">
        <f>IFERROR(AVERAGE(Tabel1[[#This Row],[Do - R1]:[Do - R5]]),"")</f>
        <v>3.5</v>
      </c>
      <c r="EF455">
        <v>4</v>
      </c>
      <c r="EG455">
        <v>4</v>
      </c>
      <c r="EH455">
        <v>2</v>
      </c>
      <c r="EI455">
        <f>IFERROR(AVERAGE(Tabel1[[#This Row],[Do - C1a]:[Do - C1c]]),"")</f>
        <v>3.3333333333333335</v>
      </c>
      <c r="EJ455">
        <v>2</v>
      </c>
      <c r="EK455">
        <v>3</v>
      </c>
      <c r="EL455">
        <v>3</v>
      </c>
      <c r="EM455">
        <f>IFERROR(AVERAGE(Tabel1[[#This Row],[Do - C1]:[Do - C4]]),"")</f>
        <v>2.8333333333333335</v>
      </c>
      <c r="EN455">
        <v>3</v>
      </c>
      <c r="EO455">
        <v>2</v>
      </c>
      <c r="EP455" t="s">
        <v>189</v>
      </c>
      <c r="EQ455">
        <f>IFERROR(AVERAGE(Tabel1[[#This Row],[Do - F1a]:[Do - F1c]]),"")</f>
        <v>2.5</v>
      </c>
      <c r="ER455" t="s">
        <v>189</v>
      </c>
      <c r="ES455" t="str">
        <f>IFERROR(AVERAGE(Tabel1[[#This Row],[Do - F2a]:[Do - F2a]]),"")</f>
        <v/>
      </c>
      <c r="ET455">
        <v>3</v>
      </c>
      <c r="EU455" t="s">
        <v>189</v>
      </c>
      <c r="EV455">
        <f>IFERROR(AVERAGE(Tabel1[[#This Row],[Do - F3a]:[Do - F3b]]),"")</f>
        <v>3</v>
      </c>
      <c r="EW455">
        <v>3</v>
      </c>
      <c r="EX455">
        <f>IFERROR(AVERAGE(Tabel1[[#This Row],[Do - F1]],Tabel1[[#This Row],[Do - F2]],Tabel1[[#This Row],[Do - F3]],Tabel1[[#This Row],[Do - F4]]),"")</f>
        <v>2.8333333333333335</v>
      </c>
      <c r="EY455">
        <v>2</v>
      </c>
      <c r="EZ455">
        <v>2</v>
      </c>
      <c r="FA455">
        <v>3</v>
      </c>
      <c r="FB455">
        <f>IFERROR(AVERAGE(Tabel1[[#This Row],[Do - V1a]:[Do - V1c]]),"")</f>
        <v>2.3333333333333335</v>
      </c>
      <c r="FC455">
        <v>4</v>
      </c>
      <c r="FD455">
        <v>3</v>
      </c>
      <c r="FE455">
        <f>IFERROR(AVERAGE(Tabel1[[#This Row],[Do - V2a]:[Do - V2b]]),"")</f>
        <v>3.5</v>
      </c>
      <c r="FF455">
        <v>3</v>
      </c>
      <c r="FG455">
        <f>IFERROR(AVERAGE(Tabel1[[#This Row],[Do - V3a]:[Do - V3a]]),"")</f>
        <v>3</v>
      </c>
      <c r="FH455" t="s">
        <v>189</v>
      </c>
      <c r="FI455">
        <f>IFERROR(AVERAGE(Tabel1[[#This Row],[Do - V1]],Tabel1[[#This Row],[Do - V2]],Tabel1[[#This Row],[Do - V3]],Tabel1[[#This Row],[Do - V4]]),"")</f>
        <v>2.9444444444444446</v>
      </c>
      <c r="FJ455">
        <v>4</v>
      </c>
      <c r="FK455">
        <v>4</v>
      </c>
      <c r="FL455">
        <v>4</v>
      </c>
      <c r="FM455">
        <f>IFERROR(AVERAGE(Tabel1[[#This Row],[Do - A1a]:[Do - A1c]]),"")</f>
        <v>4</v>
      </c>
      <c r="FN455">
        <v>4</v>
      </c>
      <c r="FO455">
        <v>4</v>
      </c>
      <c r="FP455">
        <f>IFERROR(AVERAGE(Tabel1[[#This Row],[Do - A2a]:[Do - A2b]]),"")</f>
        <v>4</v>
      </c>
      <c r="FQ455">
        <v>4</v>
      </c>
      <c r="FR455">
        <f>IFERROR(AVERAGE(Tabel1[[#This Row],[Do - A3a]:[Do - A3a]]),"")</f>
        <v>4</v>
      </c>
      <c r="FS455">
        <v>3</v>
      </c>
      <c r="FT455">
        <f>IFERROR(AVERAGE(Tabel1[[#This Row],[Do - A1]],Tabel1[[#This Row],[Do - A2]],Tabel1[[#This Row],[Do - A3]],Tabel1[[#This Row],[Do - A4]]),"")</f>
        <v>3.75</v>
      </c>
      <c r="FU45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2.8990740740740741</v>
      </c>
      <c r="FV455" s="31" t="s">
        <v>2233</v>
      </c>
      <c r="FW455" t="b">
        <v>1</v>
      </c>
    </row>
    <row r="456" spans="1:179" x14ac:dyDescent="0.3">
      <c r="A456" s="13">
        <v>45740.616527777798</v>
      </c>
      <c r="B456" t="b">
        <v>0</v>
      </c>
      <c r="C456" t="s">
        <v>2234</v>
      </c>
      <c r="D456" t="s">
        <v>2235</v>
      </c>
      <c r="E456" t="s">
        <v>2236</v>
      </c>
      <c r="F456" s="14" t="s">
        <v>184</v>
      </c>
      <c r="G456" t="s">
        <v>2237</v>
      </c>
      <c r="H456" t="s">
        <v>222</v>
      </c>
      <c r="I456" t="s">
        <v>243</v>
      </c>
      <c r="J456" t="s">
        <v>248</v>
      </c>
      <c r="K456" t="s">
        <v>235</v>
      </c>
      <c r="L456" t="s">
        <v>197</v>
      </c>
      <c r="M456" t="s">
        <v>233</v>
      </c>
      <c r="N456" t="s">
        <v>316</v>
      </c>
      <c r="O456" t="s">
        <v>200</v>
      </c>
      <c r="P456" t="s">
        <v>255</v>
      </c>
      <c r="Q456" t="s">
        <v>202</v>
      </c>
      <c r="R456" t="s">
        <v>187</v>
      </c>
      <c r="S456" t="s">
        <v>187</v>
      </c>
      <c r="T456" t="s">
        <v>284</v>
      </c>
      <c r="U456" t="s">
        <v>237</v>
      </c>
      <c r="V456" t="s">
        <v>224</v>
      </c>
      <c r="W456" t="s">
        <v>395</v>
      </c>
      <c r="X456" t="s">
        <v>306</v>
      </c>
      <c r="Y456">
        <v>3</v>
      </c>
      <c r="Z456">
        <v>5</v>
      </c>
      <c r="AA456">
        <v>3</v>
      </c>
      <c r="AB456">
        <f>IFERROR(AVERAGE(Tabel1[[#This Row],[Up - R1a]:[Up - R1c]]),"")</f>
        <v>3.6666666666666665</v>
      </c>
      <c r="AC456">
        <v>2</v>
      </c>
      <c r="AD456">
        <v>1</v>
      </c>
      <c r="AE456">
        <v>2</v>
      </c>
      <c r="AF456">
        <v>4</v>
      </c>
      <c r="AG456">
        <f>IFERROR(AVERAGE(Tabel1[[#This Row],[Up - R1]:[Up - R5]]),"")</f>
        <v>2.5333333333333332</v>
      </c>
      <c r="AH456">
        <v>2</v>
      </c>
      <c r="AI456">
        <v>2</v>
      </c>
      <c r="AJ456">
        <v>2</v>
      </c>
      <c r="AK456">
        <f>IFERROR(AVERAGE(Tabel1[[#This Row],[Up - C1a]:[Up - C1c]]),"")</f>
        <v>2</v>
      </c>
      <c r="AL456">
        <v>3</v>
      </c>
      <c r="AM456">
        <v>1</v>
      </c>
      <c r="AN456">
        <v>3</v>
      </c>
      <c r="AO456">
        <f>IFERROR(AVERAGE(Tabel1[[#This Row],[Up - C1]:[Up - C4]]),"")</f>
        <v>2.25</v>
      </c>
      <c r="AP456" t="s">
        <v>189</v>
      </c>
      <c r="AQ456" t="str">
        <f>IFERROR(AVERAGE(Tabel1[[#This Row],[Up - F1a]:[Up - F1a]]),"")</f>
        <v/>
      </c>
      <c r="AR456">
        <v>2</v>
      </c>
      <c r="AS456">
        <v>3</v>
      </c>
      <c r="AT456">
        <f>IFERROR(AVERAGE(Tabel1[[#This Row],[Up - F2a]:[Up - F2b]]),"")</f>
        <v>2.5</v>
      </c>
      <c r="AU456">
        <v>3</v>
      </c>
      <c r="AV456">
        <v>1</v>
      </c>
      <c r="AW456">
        <f>IFERROR(AVERAGE(Tabel1[[#This Row],[Up - F3a]:[Up - F3b]]),"")</f>
        <v>2</v>
      </c>
      <c r="AX456" t="s">
        <v>189</v>
      </c>
      <c r="AY456">
        <f>IFERROR(AVERAGE(Tabel1[[#This Row],[Up - F1]],Tabel1[[#This Row],[Up - F2]],Tabel1[[#This Row],[Up - F3]],Tabel1[[#This Row],[Up - F4]]),"")</f>
        <v>2.25</v>
      </c>
      <c r="AZ456">
        <v>1</v>
      </c>
      <c r="BA456">
        <v>4</v>
      </c>
      <c r="BB456">
        <f>IFERROR(AVERAGE(Tabel1[[#This Row],[Up - V1a]:[Up - V1b]]),"")</f>
        <v>2.5</v>
      </c>
      <c r="BC456">
        <v>5</v>
      </c>
      <c r="BD456">
        <v>3</v>
      </c>
      <c r="BE456" t="s">
        <v>189</v>
      </c>
      <c r="BF456">
        <f>IFERROR(AVERAGE(Tabel1[[#This Row],[Up - V2a]:[Up - V2c]]),"")</f>
        <v>4</v>
      </c>
      <c r="BG456">
        <v>2</v>
      </c>
      <c r="BH456">
        <v>1</v>
      </c>
      <c r="BI456">
        <f>IFERROR(AVERAGE(Tabel1[[#This Row],[Up - V3a]:[Up - V3b]]),"")</f>
        <v>1.5</v>
      </c>
      <c r="BJ456">
        <v>4</v>
      </c>
      <c r="BK456">
        <f>IFERROR(AVERAGE(Tabel1[[#This Row],[Up - V1]],Tabel1[[#This Row],[Up - V2]],Tabel1[[#This Row],[Up - V3]],Tabel1[[#This Row],[Up - V4]]),"")</f>
        <v>3</v>
      </c>
      <c r="BL456">
        <v>5</v>
      </c>
      <c r="BM456">
        <v>4</v>
      </c>
      <c r="BN456">
        <v>3</v>
      </c>
      <c r="BO456" t="s">
        <v>189</v>
      </c>
      <c r="BP456">
        <f>IFERROR(AVERAGE(Tabel1[[#This Row],[Up - A1a]:[Up - A1d]]),"")</f>
        <v>4</v>
      </c>
      <c r="BQ456" t="s">
        <v>189</v>
      </c>
      <c r="BR456">
        <v>2</v>
      </c>
      <c r="BS456">
        <f>IFERROR(AVERAGE(Tabel1[[#This Row],[Up - A2a]:[Up - A2b]]),"")</f>
        <v>2</v>
      </c>
      <c r="BT456">
        <v>2</v>
      </c>
      <c r="BU456">
        <f>IFERROR(AVERAGE(Tabel1[[#This Row],[Up - A3a]:[Up - A3a]]),"")</f>
        <v>2</v>
      </c>
      <c r="BV456">
        <v>4</v>
      </c>
      <c r="BW456">
        <f>IFERROR(AVERAGE(Tabel1[[#This Row],[Up - A1]],Tabel1[[#This Row],[Up - A2]],Tabel1[[#This Row],[Up - A3]]),"")</f>
        <v>2.6666666666666665</v>
      </c>
      <c r="BX456">
        <v>2</v>
      </c>
      <c r="BY456">
        <v>2</v>
      </c>
      <c r="BZ456">
        <f>IFERROR(AVERAGE(Tabel1[[#This Row],[In - R1a]:[In - R1b]]),"")</f>
        <v>2</v>
      </c>
      <c r="CA456">
        <v>2</v>
      </c>
      <c r="CB456">
        <v>2</v>
      </c>
      <c r="CC456">
        <v>2</v>
      </c>
      <c r="CD456">
        <v>4</v>
      </c>
      <c r="CE456">
        <f>IFERROR(AVERAGE(Tabel1[[#This Row],[In - R1]:[In - R5]]),"")</f>
        <v>2.4</v>
      </c>
      <c r="CF456">
        <v>3</v>
      </c>
      <c r="CG456">
        <v>4</v>
      </c>
      <c r="CH456">
        <v>3</v>
      </c>
      <c r="CI456">
        <f>IFERROR(AVERAGE(Tabel1[[#This Row],[In - C1a]:[In - C1c]]),"")</f>
        <v>3.3333333333333335</v>
      </c>
      <c r="CJ456">
        <v>3</v>
      </c>
      <c r="CK456">
        <v>2</v>
      </c>
      <c r="CL456">
        <v>2</v>
      </c>
      <c r="CM456">
        <f>IFERROR(AVERAGE(Tabel1[[#This Row],[In - C1]:[In - C4]]),"")</f>
        <v>2.5833333333333335</v>
      </c>
      <c r="CN456">
        <v>2</v>
      </c>
      <c r="CO456">
        <v>3</v>
      </c>
      <c r="CP456">
        <v>1</v>
      </c>
      <c r="CQ456">
        <f>IFERROR(AVERAGE(Tabel1[[#This Row],[In - F1a]:[In - F1c]]),"")</f>
        <v>2</v>
      </c>
      <c r="CR456">
        <v>3</v>
      </c>
      <c r="CS456">
        <v>1</v>
      </c>
      <c r="CT456">
        <f>IFERROR(AVERAGE(Tabel1[[#This Row],[In - F2a]:[In - F2b]]),"")</f>
        <v>2</v>
      </c>
      <c r="CU456">
        <v>1</v>
      </c>
      <c r="CV456">
        <f>IFERROR(AVERAGE(Tabel1[[#This Row],[In - F3a]:[In - F3a]]),"")</f>
        <v>1</v>
      </c>
      <c r="CW456">
        <v>3</v>
      </c>
      <c r="CX456">
        <f>IFERROR(AVERAGE(Tabel1[[#This Row],[In - F1]],Tabel1[[#This Row],[In - F2]],Tabel1[[#This Row],[In - F3]],Tabel1[[#This Row],[In - F4]]),"")</f>
        <v>2</v>
      </c>
      <c r="CY456">
        <v>4</v>
      </c>
      <c r="CZ456">
        <v>3</v>
      </c>
      <c r="DA456">
        <v>2</v>
      </c>
      <c r="DB456">
        <f>IFERROR(AVERAGE(Tabel1[[#This Row],[In - V1a]:[In - V1c]]),"")</f>
        <v>3</v>
      </c>
      <c r="DC456">
        <v>3</v>
      </c>
      <c r="DD456">
        <v>4</v>
      </c>
      <c r="DE456">
        <v>3</v>
      </c>
      <c r="DF456">
        <f>IFERROR(AVERAGE(Tabel1[[#This Row],[In - V2a]:[In - V2c]]),"")</f>
        <v>3.3333333333333335</v>
      </c>
      <c r="DG456">
        <v>3</v>
      </c>
      <c r="DH456">
        <v>5</v>
      </c>
      <c r="DI456">
        <f>IFERROR(AVERAGE(Tabel1[[#This Row],[In - V3a]:[In - V3b]]),"")</f>
        <v>4</v>
      </c>
      <c r="DJ456">
        <v>3</v>
      </c>
      <c r="DK456">
        <f>IFERROR(AVERAGE(Tabel1[[#This Row],[In - V1]],Tabel1[[#This Row],[In - V2]],Tabel1[[#This Row],[In - V3]],Tabel1[[#This Row],[In - V4]]),"")</f>
        <v>3.3333333333333335</v>
      </c>
      <c r="DL456">
        <v>5</v>
      </c>
      <c r="DM456">
        <v>4</v>
      </c>
      <c r="DN456">
        <f>IFERROR(AVERAGE(Tabel1[[#This Row],[In - A1a]:[In - A1b]]),"")</f>
        <v>4.5</v>
      </c>
      <c r="DO456">
        <v>4</v>
      </c>
      <c r="DP456">
        <v>3</v>
      </c>
      <c r="DQ456">
        <f>IFERROR(AVERAGE(Tabel1[[#This Row],[In - A2a]:[In - A2b]]),"")</f>
        <v>3.5</v>
      </c>
      <c r="DR456">
        <v>4</v>
      </c>
      <c r="DS456">
        <v>1</v>
      </c>
      <c r="DT456">
        <f>IFERROR(AVERAGE(Tabel1[[#This Row],[In - A3a]:[In - A3a]]),"")</f>
        <v>4</v>
      </c>
      <c r="DU456">
        <v>5</v>
      </c>
      <c r="DV456">
        <f>IFERROR(AVERAGE(Tabel1[[#This Row],[In - A1]],Tabel1[[#This Row],[In - A2]],Tabel1[[#This Row],[In - A3]],Tabel1[[#This Row],[In - A4]]),"")</f>
        <v>4.25</v>
      </c>
      <c r="DW456">
        <v>2</v>
      </c>
      <c r="DX456">
        <v>5</v>
      </c>
      <c r="DY456">
        <v>2</v>
      </c>
      <c r="DZ456">
        <f>IFERROR(AVERAGE(Tabel1[[#This Row],[Do - R1a]:[Do - R1c]]),"")</f>
        <v>3</v>
      </c>
      <c r="EA456">
        <v>1</v>
      </c>
      <c r="EB456">
        <v>2</v>
      </c>
      <c r="EC456">
        <v>2</v>
      </c>
      <c r="ED456">
        <v>2</v>
      </c>
      <c r="EE456">
        <f>IFERROR(AVERAGE(Tabel1[[#This Row],[Do - R1]:[Do - R5]]),"")</f>
        <v>2</v>
      </c>
      <c r="EF456">
        <v>4</v>
      </c>
      <c r="EG456">
        <v>3</v>
      </c>
      <c r="EH456">
        <v>3</v>
      </c>
      <c r="EI456">
        <f>IFERROR(AVERAGE(Tabel1[[#This Row],[Do - C1a]:[Do - C1c]]),"")</f>
        <v>3.3333333333333335</v>
      </c>
      <c r="EJ456">
        <v>2</v>
      </c>
      <c r="EK456">
        <v>1</v>
      </c>
      <c r="EL456">
        <v>3</v>
      </c>
      <c r="EM456">
        <f>IFERROR(AVERAGE(Tabel1[[#This Row],[Do - C1]:[Do - C4]]),"")</f>
        <v>2.3333333333333335</v>
      </c>
      <c r="EN456" t="s">
        <v>189</v>
      </c>
      <c r="EO456">
        <v>3</v>
      </c>
      <c r="EP456">
        <v>2</v>
      </c>
      <c r="EQ456">
        <f>IFERROR(AVERAGE(Tabel1[[#This Row],[Do - F1a]:[Do - F1c]]),"")</f>
        <v>2.5</v>
      </c>
      <c r="ER456">
        <v>2</v>
      </c>
      <c r="ES456">
        <f>IFERROR(AVERAGE(Tabel1[[#This Row],[Do - F2a]:[Do - F2a]]),"")</f>
        <v>2</v>
      </c>
      <c r="ET456">
        <v>3</v>
      </c>
      <c r="EU456">
        <v>3</v>
      </c>
      <c r="EV456">
        <f>IFERROR(AVERAGE(Tabel1[[#This Row],[Do - F3a]:[Do - F3b]]),"")</f>
        <v>3</v>
      </c>
      <c r="EW456">
        <v>3</v>
      </c>
      <c r="EX456">
        <f>IFERROR(AVERAGE(Tabel1[[#This Row],[Do - F1]],Tabel1[[#This Row],[Do - F2]],Tabel1[[#This Row],[Do - F3]],Tabel1[[#This Row],[Do - F4]]),"")</f>
        <v>2.625</v>
      </c>
      <c r="EY456">
        <v>3</v>
      </c>
      <c r="EZ456">
        <v>2</v>
      </c>
      <c r="FA456">
        <v>5</v>
      </c>
      <c r="FB456">
        <f>IFERROR(AVERAGE(Tabel1[[#This Row],[Do - V1a]:[Do - V1c]]),"")</f>
        <v>3.3333333333333335</v>
      </c>
      <c r="FC456">
        <v>5</v>
      </c>
      <c r="FD456">
        <v>5</v>
      </c>
      <c r="FE456">
        <f>IFERROR(AVERAGE(Tabel1[[#This Row],[Do - V2a]:[Do - V2b]]),"")</f>
        <v>5</v>
      </c>
      <c r="FF456">
        <v>3</v>
      </c>
      <c r="FG456">
        <f>IFERROR(AVERAGE(Tabel1[[#This Row],[Do - V3a]:[Do - V3a]]),"")</f>
        <v>3</v>
      </c>
      <c r="FH456">
        <v>5</v>
      </c>
      <c r="FI456">
        <f>IFERROR(AVERAGE(Tabel1[[#This Row],[Do - V1]],Tabel1[[#This Row],[Do - V2]],Tabel1[[#This Row],[Do - V3]],Tabel1[[#This Row],[Do - V4]]),"")</f>
        <v>4.0833333333333339</v>
      </c>
      <c r="FJ456">
        <v>5</v>
      </c>
      <c r="FK456">
        <v>3</v>
      </c>
      <c r="FL456">
        <v>5</v>
      </c>
      <c r="FM456">
        <f>IFERROR(AVERAGE(Tabel1[[#This Row],[Do - A1a]:[Do - A1c]]),"")</f>
        <v>4.333333333333333</v>
      </c>
      <c r="FN456">
        <v>3</v>
      </c>
      <c r="FO456">
        <v>3</v>
      </c>
      <c r="FP456">
        <f>IFERROR(AVERAGE(Tabel1[[#This Row],[Do - A2a]:[Do - A2b]]),"")</f>
        <v>3</v>
      </c>
      <c r="FQ456">
        <v>1</v>
      </c>
      <c r="FR456">
        <f>IFERROR(AVERAGE(Tabel1[[#This Row],[Do - A3a]:[Do - A3a]]),"")</f>
        <v>1</v>
      </c>
      <c r="FS456">
        <v>5</v>
      </c>
      <c r="FT456">
        <f>IFERROR(AVERAGE(Tabel1[[#This Row],[Do - A1]],Tabel1[[#This Row],[Do - A2]],Tabel1[[#This Row],[Do - A3]],Tabel1[[#This Row],[Do - A4]]),"")</f>
        <v>3.333333333333333</v>
      </c>
      <c r="FU45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2.7761111111111112</v>
      </c>
      <c r="FV456" s="31" t="s">
        <v>2238</v>
      </c>
      <c r="FW456" t="b">
        <v>1</v>
      </c>
    </row>
    <row r="457" spans="1:179" x14ac:dyDescent="0.3">
      <c r="A457" s="13">
        <v>45740.636331018497</v>
      </c>
      <c r="B457" t="b">
        <v>0</v>
      </c>
      <c r="C457" t="s">
        <v>2239</v>
      </c>
      <c r="D457" t="s">
        <v>215</v>
      </c>
      <c r="E457" t="s">
        <v>2216</v>
      </c>
      <c r="F457" s="14" t="s">
        <v>184</v>
      </c>
      <c r="G457" t="s">
        <v>2240</v>
      </c>
      <c r="H457" t="s">
        <v>222</v>
      </c>
      <c r="I457" t="s">
        <v>195</v>
      </c>
      <c r="J457" t="s">
        <v>347</v>
      </c>
      <c r="K457" t="s">
        <v>202</v>
      </c>
      <c r="L457" t="s">
        <v>249</v>
      </c>
      <c r="M457" t="s">
        <v>198</v>
      </c>
      <c r="N457" t="s">
        <v>199</v>
      </c>
      <c r="O457" t="s">
        <v>200</v>
      </c>
      <c r="P457" t="s">
        <v>255</v>
      </c>
      <c r="Q457" t="s">
        <v>201</v>
      </c>
      <c r="R457" t="s">
        <v>235</v>
      </c>
      <c r="S457" t="s">
        <v>202</v>
      </c>
      <c r="T457" t="s">
        <v>204</v>
      </c>
      <c r="U457" t="s">
        <v>285</v>
      </c>
      <c r="V457" t="s">
        <v>484</v>
      </c>
      <c r="W457" t="s">
        <v>207</v>
      </c>
      <c r="X457" t="s">
        <v>207</v>
      </c>
      <c r="Y457">
        <v>2</v>
      </c>
      <c r="Z457">
        <v>3</v>
      </c>
      <c r="AA457">
        <v>3</v>
      </c>
      <c r="AB457">
        <f>IFERROR(AVERAGE(Tabel1[[#This Row],[Up - R1a]:[Up - R1c]]),"")</f>
        <v>2.6666666666666665</v>
      </c>
      <c r="AC457">
        <v>2</v>
      </c>
      <c r="AD457">
        <v>3</v>
      </c>
      <c r="AE457">
        <v>1</v>
      </c>
      <c r="AF457">
        <v>3</v>
      </c>
      <c r="AG457">
        <f>IFERROR(AVERAGE(Tabel1[[#This Row],[Up - R1]:[Up - R5]]),"")</f>
        <v>2.333333333333333</v>
      </c>
      <c r="AH457">
        <v>4</v>
      </c>
      <c r="AI457">
        <v>4</v>
      </c>
      <c r="AJ457">
        <v>3</v>
      </c>
      <c r="AK457">
        <f>IFERROR(AVERAGE(Tabel1[[#This Row],[Up - C1a]:[Up - C1c]]),"")</f>
        <v>3.6666666666666665</v>
      </c>
      <c r="AL457">
        <v>4</v>
      </c>
      <c r="AM457">
        <v>2</v>
      </c>
      <c r="AN457">
        <v>4</v>
      </c>
      <c r="AO457">
        <f>IFERROR(AVERAGE(Tabel1[[#This Row],[Up - C1]:[Up - C4]]),"")</f>
        <v>3.4166666666666665</v>
      </c>
      <c r="AP457">
        <v>4</v>
      </c>
      <c r="AQ457">
        <f>IFERROR(AVERAGE(Tabel1[[#This Row],[Up - F1a]:[Up - F1a]]),"")</f>
        <v>4</v>
      </c>
      <c r="AR457">
        <v>2</v>
      </c>
      <c r="AS457" t="s">
        <v>189</v>
      </c>
      <c r="AT457">
        <f>IFERROR(AVERAGE(Tabel1[[#This Row],[Up - F2a]:[Up - F2b]]),"")</f>
        <v>2</v>
      </c>
      <c r="AU457">
        <v>3</v>
      </c>
      <c r="AV457" t="s">
        <v>189</v>
      </c>
      <c r="AW457">
        <f>IFERROR(AVERAGE(Tabel1[[#This Row],[Up - F3a]:[Up - F3b]]),"")</f>
        <v>3</v>
      </c>
      <c r="AX457">
        <v>3</v>
      </c>
      <c r="AY457">
        <f>IFERROR(AVERAGE(Tabel1[[#This Row],[Up - F1]],Tabel1[[#This Row],[Up - F2]],Tabel1[[#This Row],[Up - F3]],Tabel1[[#This Row],[Up - F4]]),"")</f>
        <v>3</v>
      </c>
      <c r="AZ457">
        <v>3</v>
      </c>
      <c r="BA457">
        <v>4</v>
      </c>
      <c r="BB457">
        <f>IFERROR(AVERAGE(Tabel1[[#This Row],[Up - V1a]:[Up - V1b]]),"")</f>
        <v>3.5</v>
      </c>
      <c r="BC457">
        <v>5</v>
      </c>
      <c r="BD457">
        <v>3</v>
      </c>
      <c r="BE457" t="s">
        <v>189</v>
      </c>
      <c r="BF457">
        <f>IFERROR(AVERAGE(Tabel1[[#This Row],[Up - V2a]:[Up - V2c]]),"")</f>
        <v>4</v>
      </c>
      <c r="BG457">
        <v>2</v>
      </c>
      <c r="BH457" t="s">
        <v>189</v>
      </c>
      <c r="BI457">
        <f>IFERROR(AVERAGE(Tabel1[[#This Row],[Up - V3a]:[Up - V3b]]),"")</f>
        <v>2</v>
      </c>
      <c r="BJ457" t="s">
        <v>189</v>
      </c>
      <c r="BK457">
        <f>IFERROR(AVERAGE(Tabel1[[#This Row],[Up - V1]],Tabel1[[#This Row],[Up - V2]],Tabel1[[#This Row],[Up - V3]],Tabel1[[#This Row],[Up - V4]]),"")</f>
        <v>3.1666666666666665</v>
      </c>
      <c r="BL457">
        <v>4</v>
      </c>
      <c r="BM457">
        <v>3</v>
      </c>
      <c r="BN457" t="s">
        <v>189</v>
      </c>
      <c r="BO457">
        <v>3</v>
      </c>
      <c r="BP457">
        <f>IFERROR(AVERAGE(Tabel1[[#This Row],[Up - A1a]:[Up - A1d]]),"")</f>
        <v>3.3333333333333335</v>
      </c>
      <c r="BQ457">
        <v>5</v>
      </c>
      <c r="BR457">
        <v>4</v>
      </c>
      <c r="BS457">
        <f>IFERROR(AVERAGE(Tabel1[[#This Row],[Up - A2a]:[Up - A2b]]),"")</f>
        <v>4.5</v>
      </c>
      <c r="BT457">
        <v>4</v>
      </c>
      <c r="BU457">
        <f>IFERROR(AVERAGE(Tabel1[[#This Row],[Up - A3a]:[Up - A3a]]),"")</f>
        <v>4</v>
      </c>
      <c r="BV457" t="s">
        <v>189</v>
      </c>
      <c r="BW457">
        <f>IFERROR(AVERAGE(Tabel1[[#This Row],[Up - A1]],Tabel1[[#This Row],[Up - A2]],Tabel1[[#This Row],[Up - A3]]),"")</f>
        <v>3.9444444444444446</v>
      </c>
      <c r="BX457">
        <v>4</v>
      </c>
      <c r="BY457">
        <v>2</v>
      </c>
      <c r="BZ457">
        <f>IFERROR(AVERAGE(Tabel1[[#This Row],[In - R1a]:[In - R1b]]),"")</f>
        <v>3</v>
      </c>
      <c r="CA457">
        <v>4</v>
      </c>
      <c r="CB457">
        <v>2</v>
      </c>
      <c r="CC457">
        <v>1</v>
      </c>
      <c r="CD457">
        <v>5</v>
      </c>
      <c r="CE457">
        <f>IFERROR(AVERAGE(Tabel1[[#This Row],[In - R1]:[In - R5]]),"")</f>
        <v>3</v>
      </c>
      <c r="CF457">
        <v>4</v>
      </c>
      <c r="CG457">
        <v>5</v>
      </c>
      <c r="CH457">
        <v>4</v>
      </c>
      <c r="CI457">
        <f>IFERROR(AVERAGE(Tabel1[[#This Row],[In - C1a]:[In - C1c]]),"")</f>
        <v>4.333333333333333</v>
      </c>
      <c r="CJ457">
        <v>4</v>
      </c>
      <c r="CK457">
        <v>3</v>
      </c>
      <c r="CL457">
        <v>2</v>
      </c>
      <c r="CM457">
        <f>IFERROR(AVERAGE(Tabel1[[#This Row],[In - C1]:[In - C4]]),"")</f>
        <v>3.333333333333333</v>
      </c>
      <c r="CN457">
        <v>4</v>
      </c>
      <c r="CO457">
        <v>4</v>
      </c>
      <c r="CP457">
        <v>3</v>
      </c>
      <c r="CQ457">
        <f>IFERROR(AVERAGE(Tabel1[[#This Row],[In - F1a]:[In - F1c]]),"")</f>
        <v>3.6666666666666665</v>
      </c>
      <c r="CR457">
        <v>4</v>
      </c>
      <c r="CS457">
        <v>2</v>
      </c>
      <c r="CT457">
        <f>IFERROR(AVERAGE(Tabel1[[#This Row],[In - F2a]:[In - F2b]]),"")</f>
        <v>3</v>
      </c>
      <c r="CU457">
        <v>4</v>
      </c>
      <c r="CV457">
        <f>IFERROR(AVERAGE(Tabel1[[#This Row],[In - F3a]:[In - F3a]]),"")</f>
        <v>4</v>
      </c>
      <c r="CW457" t="s">
        <v>189</v>
      </c>
      <c r="CX457">
        <f>IFERROR(AVERAGE(Tabel1[[#This Row],[In - F1]],Tabel1[[#This Row],[In - F2]],Tabel1[[#This Row],[In - F3]],Tabel1[[#This Row],[In - F4]]),"")</f>
        <v>3.5555555555555554</v>
      </c>
      <c r="CY457">
        <v>5</v>
      </c>
      <c r="CZ457">
        <v>5</v>
      </c>
      <c r="DA457">
        <v>4</v>
      </c>
      <c r="DB457">
        <f>IFERROR(AVERAGE(Tabel1[[#This Row],[In - V1a]:[In - V1c]]),"")</f>
        <v>4.666666666666667</v>
      </c>
      <c r="DC457">
        <v>4</v>
      </c>
      <c r="DD457">
        <v>3</v>
      </c>
      <c r="DE457">
        <v>4</v>
      </c>
      <c r="DF457">
        <f>IFERROR(AVERAGE(Tabel1[[#This Row],[In - V2a]:[In - V2c]]),"")</f>
        <v>3.6666666666666665</v>
      </c>
      <c r="DG457" t="s">
        <v>189</v>
      </c>
      <c r="DH457">
        <v>4</v>
      </c>
      <c r="DI457">
        <f>IFERROR(AVERAGE(Tabel1[[#This Row],[In - V3a]:[In - V3b]]),"")</f>
        <v>4</v>
      </c>
      <c r="DJ457" t="s">
        <v>189</v>
      </c>
      <c r="DK457">
        <f>IFERROR(AVERAGE(Tabel1[[#This Row],[In - V1]],Tabel1[[#This Row],[In - V2]],Tabel1[[#This Row],[In - V3]],Tabel1[[#This Row],[In - V4]]),"")</f>
        <v>4.1111111111111116</v>
      </c>
      <c r="DL457">
        <v>3</v>
      </c>
      <c r="DM457" t="s">
        <v>189</v>
      </c>
      <c r="DN457">
        <f>IFERROR(AVERAGE(Tabel1[[#This Row],[In - A1a]:[In - A1b]]),"")</f>
        <v>3</v>
      </c>
      <c r="DO457">
        <v>1</v>
      </c>
      <c r="DP457">
        <v>3</v>
      </c>
      <c r="DQ457">
        <f>IFERROR(AVERAGE(Tabel1[[#This Row],[In - A2a]:[In - A2b]]),"")</f>
        <v>2</v>
      </c>
      <c r="DR457">
        <v>5</v>
      </c>
      <c r="DS457">
        <v>3</v>
      </c>
      <c r="DT457">
        <f>IFERROR(AVERAGE(Tabel1[[#This Row],[In - A3a]:[In - A3a]]),"")</f>
        <v>5</v>
      </c>
      <c r="DU457" t="s">
        <v>189</v>
      </c>
      <c r="DV457">
        <f>IFERROR(AVERAGE(Tabel1[[#This Row],[In - A1]],Tabel1[[#This Row],[In - A2]],Tabel1[[#This Row],[In - A3]],Tabel1[[#This Row],[In - A4]]),"")</f>
        <v>3.3333333333333335</v>
      </c>
      <c r="DW457">
        <v>3</v>
      </c>
      <c r="DX457">
        <v>3</v>
      </c>
      <c r="DY457">
        <v>2</v>
      </c>
      <c r="DZ457">
        <f>IFERROR(AVERAGE(Tabel1[[#This Row],[Do - R1a]:[Do - R1c]]),"")</f>
        <v>2.6666666666666665</v>
      </c>
      <c r="EA457">
        <v>4</v>
      </c>
      <c r="EB457">
        <v>1</v>
      </c>
      <c r="EC457">
        <v>1</v>
      </c>
      <c r="ED457" t="s">
        <v>189</v>
      </c>
      <c r="EE457">
        <f>IFERROR(AVERAGE(Tabel1[[#This Row],[Do - R1]:[Do - R5]]),"")</f>
        <v>2.1666666666666665</v>
      </c>
      <c r="EF457" t="s">
        <v>189</v>
      </c>
      <c r="EG457" t="s">
        <v>189</v>
      </c>
      <c r="EH457">
        <v>3</v>
      </c>
      <c r="EI457">
        <f>IFERROR(AVERAGE(Tabel1[[#This Row],[Do - C1a]:[Do - C1c]]),"")</f>
        <v>3</v>
      </c>
      <c r="EJ457">
        <v>3</v>
      </c>
      <c r="EK457" t="s">
        <v>189</v>
      </c>
      <c r="EL457" t="s">
        <v>189</v>
      </c>
      <c r="EM457">
        <f>IFERROR(AVERAGE(Tabel1[[#This Row],[Do - C1]:[Do - C4]]),"")</f>
        <v>3</v>
      </c>
      <c r="EN457" t="s">
        <v>189</v>
      </c>
      <c r="EO457">
        <v>2</v>
      </c>
      <c r="EP457">
        <v>1</v>
      </c>
      <c r="EQ457">
        <f>IFERROR(AVERAGE(Tabel1[[#This Row],[Do - F1a]:[Do - F1c]]),"")</f>
        <v>1.5</v>
      </c>
      <c r="ER457">
        <v>3</v>
      </c>
      <c r="ES457">
        <f>IFERROR(AVERAGE(Tabel1[[#This Row],[Do - F2a]:[Do - F2a]]),"")</f>
        <v>3</v>
      </c>
      <c r="ET457">
        <v>1</v>
      </c>
      <c r="EU457" t="s">
        <v>189</v>
      </c>
      <c r="EV457">
        <f>IFERROR(AVERAGE(Tabel1[[#This Row],[Do - F3a]:[Do - F3b]]),"")</f>
        <v>1</v>
      </c>
      <c r="EW457" t="s">
        <v>189</v>
      </c>
      <c r="EX457">
        <f>IFERROR(AVERAGE(Tabel1[[#This Row],[Do - F1]],Tabel1[[#This Row],[Do - F2]],Tabel1[[#This Row],[Do - F3]],Tabel1[[#This Row],[Do - F4]]),"")</f>
        <v>1.8333333333333333</v>
      </c>
      <c r="EY457">
        <v>3</v>
      </c>
      <c r="EZ457">
        <v>3</v>
      </c>
      <c r="FA457">
        <v>4</v>
      </c>
      <c r="FB457">
        <f>IFERROR(AVERAGE(Tabel1[[#This Row],[Do - V1a]:[Do - V1c]]),"")</f>
        <v>3.3333333333333335</v>
      </c>
      <c r="FC457">
        <v>4</v>
      </c>
      <c r="FD457">
        <v>2</v>
      </c>
      <c r="FE457">
        <f>IFERROR(AVERAGE(Tabel1[[#This Row],[Do - V2a]:[Do - V2b]]),"")</f>
        <v>3</v>
      </c>
      <c r="FF457" t="s">
        <v>189</v>
      </c>
      <c r="FG457" t="str">
        <f>IFERROR(AVERAGE(Tabel1[[#This Row],[Do - V3a]:[Do - V3a]]),"")</f>
        <v/>
      </c>
      <c r="FH457" t="s">
        <v>189</v>
      </c>
      <c r="FI457">
        <f>IFERROR(AVERAGE(Tabel1[[#This Row],[Do - V1]],Tabel1[[#This Row],[Do - V2]],Tabel1[[#This Row],[Do - V3]],Tabel1[[#This Row],[Do - V4]]),"")</f>
        <v>3.166666666666667</v>
      </c>
      <c r="FJ457">
        <v>5</v>
      </c>
      <c r="FK457">
        <v>1</v>
      </c>
      <c r="FL457" t="s">
        <v>189</v>
      </c>
      <c r="FM457">
        <f>IFERROR(AVERAGE(Tabel1[[#This Row],[Do - A1a]:[Do - A1c]]),"")</f>
        <v>3</v>
      </c>
      <c r="FN457">
        <v>2</v>
      </c>
      <c r="FO457">
        <v>2</v>
      </c>
      <c r="FP457">
        <f>IFERROR(AVERAGE(Tabel1[[#This Row],[Do - A2a]:[Do - A2b]]),"")</f>
        <v>2</v>
      </c>
      <c r="FQ457">
        <v>3</v>
      </c>
      <c r="FR457">
        <f>IFERROR(AVERAGE(Tabel1[[#This Row],[Do - A3a]:[Do - A3a]]),"")</f>
        <v>3</v>
      </c>
      <c r="FS457" t="s">
        <v>189</v>
      </c>
      <c r="FT457">
        <f>IFERROR(AVERAGE(Tabel1[[#This Row],[Do - A1]],Tabel1[[#This Row],[Do - A2]],Tabel1[[#This Row],[Do - A3]],Tabel1[[#This Row],[Do - A4]]),"")</f>
        <v>2.6666666666666665</v>
      </c>
      <c r="FU45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3.068518518518518</v>
      </c>
      <c r="FV457" s="31" t="s">
        <v>2241</v>
      </c>
      <c r="FW457" t="b">
        <v>1</v>
      </c>
    </row>
    <row r="458" spans="1:179" x14ac:dyDescent="0.3">
      <c r="A458" s="13">
        <v>45741.427511574097</v>
      </c>
      <c r="B458" t="b">
        <v>0</v>
      </c>
      <c r="C458" t="s">
        <v>2242</v>
      </c>
      <c r="D458" t="s">
        <v>215</v>
      </c>
      <c r="E458" s="29" t="s">
        <v>2243</v>
      </c>
      <c r="F458" s="14" t="s">
        <v>2244</v>
      </c>
      <c r="G458" t="s">
        <v>2245</v>
      </c>
      <c r="H458" t="s">
        <v>194</v>
      </c>
      <c r="I458" t="s">
        <v>195</v>
      </c>
      <c r="J458" t="s">
        <v>217</v>
      </c>
      <c r="K458" t="s">
        <v>201</v>
      </c>
      <c r="L458" t="s">
        <v>197</v>
      </c>
      <c r="M458" t="s">
        <v>281</v>
      </c>
      <c r="N458" t="s">
        <v>199</v>
      </c>
      <c r="O458" t="s">
        <v>200</v>
      </c>
      <c r="P458" t="s">
        <v>255</v>
      </c>
      <c r="Q458" t="s">
        <v>235</v>
      </c>
      <c r="R458" t="s">
        <v>255</v>
      </c>
      <c r="S458" t="s">
        <v>201</v>
      </c>
      <c r="T458" t="s">
        <v>236</v>
      </c>
      <c r="U458" t="s">
        <v>237</v>
      </c>
      <c r="V458" t="s">
        <v>359</v>
      </c>
      <c r="W458" t="s">
        <v>207</v>
      </c>
      <c r="X458" t="s">
        <v>395</v>
      </c>
      <c r="Y458">
        <v>1</v>
      </c>
      <c r="Z458">
        <v>4</v>
      </c>
      <c r="AA458">
        <v>2</v>
      </c>
      <c r="AB458">
        <f>IFERROR(AVERAGE(Tabel1[[#This Row],[Up - R1a]:[Up - R1c]]),"")</f>
        <v>2.3333333333333335</v>
      </c>
      <c r="AC458">
        <v>1</v>
      </c>
      <c r="AD458">
        <v>4</v>
      </c>
      <c r="AE458">
        <v>1</v>
      </c>
      <c r="AF458">
        <v>3</v>
      </c>
      <c r="AG458">
        <f>IFERROR(AVERAGE(Tabel1[[#This Row],[Up - R1]:[Up - R5]]),"")</f>
        <v>2.2666666666666666</v>
      </c>
      <c r="AH458">
        <v>2</v>
      </c>
      <c r="AI458">
        <v>2</v>
      </c>
      <c r="AJ458">
        <v>2</v>
      </c>
      <c r="AK458">
        <f>IFERROR(AVERAGE(Tabel1[[#This Row],[Up - C1a]:[Up - C1c]]),"")</f>
        <v>2</v>
      </c>
      <c r="AL458">
        <v>4</v>
      </c>
      <c r="AM458">
        <v>1</v>
      </c>
      <c r="AN458">
        <v>1</v>
      </c>
      <c r="AO458">
        <f>IFERROR(AVERAGE(Tabel1[[#This Row],[Up - C1]:[Up - C4]]),"")</f>
        <v>2</v>
      </c>
      <c r="AP458">
        <v>4</v>
      </c>
      <c r="AQ458">
        <f>IFERROR(AVERAGE(Tabel1[[#This Row],[Up - F1a]:[Up - F1a]]),"")</f>
        <v>4</v>
      </c>
      <c r="AR458">
        <v>2</v>
      </c>
      <c r="AS458">
        <v>4</v>
      </c>
      <c r="AT458">
        <f>IFERROR(AVERAGE(Tabel1[[#This Row],[Up - F2a]:[Up - F2b]]),"")</f>
        <v>3</v>
      </c>
      <c r="AU458">
        <v>2</v>
      </c>
      <c r="AV458">
        <v>2</v>
      </c>
      <c r="AW458">
        <f>IFERROR(AVERAGE(Tabel1[[#This Row],[Up - F3a]:[Up - F3b]]),"")</f>
        <v>2</v>
      </c>
      <c r="AX458">
        <v>1</v>
      </c>
      <c r="AY458">
        <f>IFERROR(AVERAGE(Tabel1[[#This Row],[Up - F1]],Tabel1[[#This Row],[Up - F2]],Tabel1[[#This Row],[Up - F3]],Tabel1[[#This Row],[Up - F4]]),"")</f>
        <v>2.5</v>
      </c>
      <c r="AZ458">
        <v>4</v>
      </c>
      <c r="BA458">
        <v>1</v>
      </c>
      <c r="BB458">
        <f>IFERROR(AVERAGE(Tabel1[[#This Row],[Up - V1a]:[Up - V1b]]),"")</f>
        <v>2.5</v>
      </c>
      <c r="BC458">
        <v>1</v>
      </c>
      <c r="BD458">
        <v>4</v>
      </c>
      <c r="BE458">
        <v>2</v>
      </c>
      <c r="BF458">
        <f>IFERROR(AVERAGE(Tabel1[[#This Row],[Up - V2a]:[Up - V2c]]),"")</f>
        <v>2.3333333333333335</v>
      </c>
      <c r="BG458">
        <v>1</v>
      </c>
      <c r="BH458" t="s">
        <v>189</v>
      </c>
      <c r="BI458">
        <f>IFERROR(AVERAGE(Tabel1[[#This Row],[Up - V3a]:[Up - V3b]]),"")</f>
        <v>1</v>
      </c>
      <c r="BJ458">
        <v>3</v>
      </c>
      <c r="BK458">
        <f>IFERROR(AVERAGE(Tabel1[[#This Row],[Up - V1]],Tabel1[[#This Row],[Up - V2]],Tabel1[[#This Row],[Up - V3]],Tabel1[[#This Row],[Up - V4]]),"")</f>
        <v>2.2083333333333335</v>
      </c>
      <c r="BL458">
        <v>2</v>
      </c>
      <c r="BM458">
        <v>2</v>
      </c>
      <c r="BN458">
        <v>3</v>
      </c>
      <c r="BO458">
        <v>3</v>
      </c>
      <c r="BP458">
        <f>IFERROR(AVERAGE(Tabel1[[#This Row],[Up - A1a]:[Up - A1d]]),"")</f>
        <v>2.5</v>
      </c>
      <c r="BQ458">
        <v>4</v>
      </c>
      <c r="BR458">
        <v>4</v>
      </c>
      <c r="BS458">
        <f>IFERROR(AVERAGE(Tabel1[[#This Row],[Up - A2a]:[Up - A2b]]),"")</f>
        <v>4</v>
      </c>
      <c r="BT458">
        <v>4</v>
      </c>
      <c r="BU458">
        <f>IFERROR(AVERAGE(Tabel1[[#This Row],[Up - A3a]:[Up - A3a]]),"")</f>
        <v>4</v>
      </c>
      <c r="BV458">
        <v>3</v>
      </c>
      <c r="BW458">
        <f>IFERROR(AVERAGE(Tabel1[[#This Row],[Up - A1]],Tabel1[[#This Row],[Up - A2]],Tabel1[[#This Row],[Up - A3]]),"")</f>
        <v>3.5</v>
      </c>
      <c r="BX458">
        <v>2</v>
      </c>
      <c r="BY458" t="s">
        <v>189</v>
      </c>
      <c r="BZ458">
        <f>IFERROR(AVERAGE(Tabel1[[#This Row],[In - R1a]:[In - R1b]]),"")</f>
        <v>2</v>
      </c>
      <c r="CA458">
        <v>3</v>
      </c>
      <c r="CB458" t="s">
        <v>189</v>
      </c>
      <c r="CC458">
        <v>3</v>
      </c>
      <c r="CD458">
        <v>3</v>
      </c>
      <c r="CE458">
        <f>IFERROR(AVERAGE(Tabel1[[#This Row],[In - R1]:[In - R5]]),"")</f>
        <v>2.75</v>
      </c>
      <c r="CF458">
        <v>4</v>
      </c>
      <c r="CG458">
        <v>3</v>
      </c>
      <c r="CH458">
        <v>4</v>
      </c>
      <c r="CI458">
        <f>IFERROR(AVERAGE(Tabel1[[#This Row],[In - C1a]:[In - C1c]]),"")</f>
        <v>3.6666666666666665</v>
      </c>
      <c r="CJ458">
        <v>3</v>
      </c>
      <c r="CK458">
        <v>1</v>
      </c>
      <c r="CL458">
        <v>1</v>
      </c>
      <c r="CM458">
        <f>IFERROR(AVERAGE(Tabel1[[#This Row],[In - C1]:[In - C4]]),"")</f>
        <v>2.1666666666666665</v>
      </c>
      <c r="CN458">
        <v>5</v>
      </c>
      <c r="CO458">
        <v>2</v>
      </c>
      <c r="CP458">
        <v>1</v>
      </c>
      <c r="CQ458">
        <f>IFERROR(AVERAGE(Tabel1[[#This Row],[In - F1a]:[In - F1c]]),"")</f>
        <v>2.6666666666666665</v>
      </c>
      <c r="CR458">
        <v>4</v>
      </c>
      <c r="CS458">
        <v>1</v>
      </c>
      <c r="CT458">
        <f>IFERROR(AVERAGE(Tabel1[[#This Row],[In - F2a]:[In - F2b]]),"")</f>
        <v>2.5</v>
      </c>
      <c r="CU458">
        <v>1</v>
      </c>
      <c r="CV458">
        <f>IFERROR(AVERAGE(Tabel1[[#This Row],[In - F3a]:[In - F3a]]),"")</f>
        <v>1</v>
      </c>
      <c r="CW458">
        <v>1</v>
      </c>
      <c r="CX458">
        <f>IFERROR(AVERAGE(Tabel1[[#This Row],[In - F1]],Tabel1[[#This Row],[In - F2]],Tabel1[[#This Row],[In - F3]],Tabel1[[#This Row],[In - F4]]),"")</f>
        <v>1.7916666666666665</v>
      </c>
      <c r="CY458">
        <v>4</v>
      </c>
      <c r="CZ458">
        <v>4</v>
      </c>
      <c r="DA458">
        <v>3</v>
      </c>
      <c r="DB458">
        <f>IFERROR(AVERAGE(Tabel1[[#This Row],[In - V1a]:[In - V1c]]),"")</f>
        <v>3.6666666666666665</v>
      </c>
      <c r="DC458">
        <v>3</v>
      </c>
      <c r="DD458">
        <v>2</v>
      </c>
      <c r="DE458">
        <v>1</v>
      </c>
      <c r="DF458">
        <f>IFERROR(AVERAGE(Tabel1[[#This Row],[In - V2a]:[In - V2c]]),"")</f>
        <v>2</v>
      </c>
      <c r="DG458">
        <v>1</v>
      </c>
      <c r="DH458">
        <v>3</v>
      </c>
      <c r="DI458">
        <f>IFERROR(AVERAGE(Tabel1[[#This Row],[In - V3a]:[In - V3b]]),"")</f>
        <v>2</v>
      </c>
      <c r="DJ458">
        <v>3</v>
      </c>
      <c r="DK458">
        <f>IFERROR(AVERAGE(Tabel1[[#This Row],[In - V1]],Tabel1[[#This Row],[In - V2]],Tabel1[[#This Row],[In - V3]],Tabel1[[#This Row],[In - V4]]),"")</f>
        <v>2.6666666666666665</v>
      </c>
      <c r="DL458">
        <v>3</v>
      </c>
      <c r="DM458">
        <v>4</v>
      </c>
      <c r="DN458">
        <f>IFERROR(AVERAGE(Tabel1[[#This Row],[In - A1a]:[In - A1b]]),"")</f>
        <v>3.5</v>
      </c>
      <c r="DO458">
        <v>2</v>
      </c>
      <c r="DP458">
        <v>3</v>
      </c>
      <c r="DQ458">
        <f>IFERROR(AVERAGE(Tabel1[[#This Row],[In - A2a]:[In - A2b]]),"")</f>
        <v>2.5</v>
      </c>
      <c r="DR458">
        <v>4</v>
      </c>
      <c r="DS458">
        <v>2</v>
      </c>
      <c r="DT458">
        <f>IFERROR(AVERAGE(Tabel1[[#This Row],[In - A3a]:[In - A3a]]),"")</f>
        <v>4</v>
      </c>
      <c r="DU458">
        <v>4</v>
      </c>
      <c r="DV458">
        <f>IFERROR(AVERAGE(Tabel1[[#This Row],[In - A1]],Tabel1[[#This Row],[In - A2]],Tabel1[[#This Row],[In - A3]],Tabel1[[#This Row],[In - A4]]),"")</f>
        <v>3.5</v>
      </c>
      <c r="DW458" t="s">
        <v>189</v>
      </c>
      <c r="DX458" t="s">
        <v>189</v>
      </c>
      <c r="DY458" t="s">
        <v>189</v>
      </c>
      <c r="DZ458" t="str">
        <f>IFERROR(AVERAGE(Tabel1[[#This Row],[Do - R1a]:[Do - R1c]]),"")</f>
        <v/>
      </c>
      <c r="EA458">
        <v>3</v>
      </c>
      <c r="EB458">
        <v>3</v>
      </c>
      <c r="EC458">
        <v>2</v>
      </c>
      <c r="ED458">
        <v>3</v>
      </c>
      <c r="EE458">
        <f>IFERROR(AVERAGE(Tabel1[[#This Row],[Do - R1]:[Do - R5]]),"")</f>
        <v>2.75</v>
      </c>
      <c r="EF458">
        <v>5</v>
      </c>
      <c r="EG458">
        <v>5</v>
      </c>
      <c r="EH458">
        <v>4</v>
      </c>
      <c r="EI458">
        <f>IFERROR(AVERAGE(Tabel1[[#This Row],[Do - C1a]:[Do - C1c]]),"")</f>
        <v>4.666666666666667</v>
      </c>
      <c r="EJ458">
        <v>3</v>
      </c>
      <c r="EK458">
        <v>1</v>
      </c>
      <c r="EL458" t="s">
        <v>189</v>
      </c>
      <c r="EM458">
        <f>IFERROR(AVERAGE(Tabel1[[#This Row],[Do - C1]:[Do - C4]]),"")</f>
        <v>2.8888888888888893</v>
      </c>
      <c r="EN458">
        <v>3</v>
      </c>
      <c r="EO458">
        <v>3</v>
      </c>
      <c r="EP458" t="s">
        <v>189</v>
      </c>
      <c r="EQ458">
        <f>IFERROR(AVERAGE(Tabel1[[#This Row],[Do - F1a]:[Do - F1c]]),"")</f>
        <v>3</v>
      </c>
      <c r="ER458">
        <v>3</v>
      </c>
      <c r="ES458">
        <f>IFERROR(AVERAGE(Tabel1[[#This Row],[Do - F2a]:[Do - F2a]]),"")</f>
        <v>3</v>
      </c>
      <c r="ET458">
        <v>3</v>
      </c>
      <c r="EU458">
        <v>3</v>
      </c>
      <c r="EV458">
        <f>IFERROR(AVERAGE(Tabel1[[#This Row],[Do - F3a]:[Do - F3b]]),"")</f>
        <v>3</v>
      </c>
      <c r="EW458">
        <v>1</v>
      </c>
      <c r="EX458">
        <f>IFERROR(AVERAGE(Tabel1[[#This Row],[Do - F1]],Tabel1[[#This Row],[Do - F2]],Tabel1[[#This Row],[Do - F3]],Tabel1[[#This Row],[Do - F4]]),"")</f>
        <v>2.5</v>
      </c>
      <c r="EY458">
        <v>3</v>
      </c>
      <c r="EZ458">
        <v>1</v>
      </c>
      <c r="FA458">
        <v>2</v>
      </c>
      <c r="FB458">
        <f>IFERROR(AVERAGE(Tabel1[[#This Row],[Do - V1a]:[Do - V1c]]),"")</f>
        <v>2</v>
      </c>
      <c r="FC458">
        <v>5</v>
      </c>
      <c r="FD458">
        <v>4</v>
      </c>
      <c r="FE458">
        <f>IFERROR(AVERAGE(Tabel1[[#This Row],[Do - V2a]:[Do - V2b]]),"")</f>
        <v>4.5</v>
      </c>
      <c r="FF458">
        <v>4</v>
      </c>
      <c r="FG458">
        <f>IFERROR(AVERAGE(Tabel1[[#This Row],[Do - V3a]:[Do - V3a]]),"")</f>
        <v>4</v>
      </c>
      <c r="FH458">
        <v>3</v>
      </c>
      <c r="FI458">
        <f>IFERROR(AVERAGE(Tabel1[[#This Row],[Do - V1]],Tabel1[[#This Row],[Do - V2]],Tabel1[[#This Row],[Do - V3]],Tabel1[[#This Row],[Do - V4]]),"")</f>
        <v>3.375</v>
      </c>
      <c r="FJ458">
        <v>4</v>
      </c>
      <c r="FK458">
        <v>2</v>
      </c>
      <c r="FL458">
        <v>1</v>
      </c>
      <c r="FM458">
        <f>IFERROR(AVERAGE(Tabel1[[#This Row],[Do - A1a]:[Do - A1c]]),"")</f>
        <v>2.3333333333333335</v>
      </c>
      <c r="FN458">
        <v>3</v>
      </c>
      <c r="FO458">
        <v>2</v>
      </c>
      <c r="FP458">
        <f>IFERROR(AVERAGE(Tabel1[[#This Row],[Do - A2a]:[Do - A2b]]),"")</f>
        <v>2.5</v>
      </c>
      <c r="FQ458">
        <v>4</v>
      </c>
      <c r="FR458">
        <f>IFERROR(AVERAGE(Tabel1[[#This Row],[Do - A3a]:[Do - A3a]]),"")</f>
        <v>4</v>
      </c>
      <c r="FS458">
        <v>4</v>
      </c>
      <c r="FT458">
        <f>IFERROR(AVERAGE(Tabel1[[#This Row],[Do - A1]],Tabel1[[#This Row],[Do - A2]],Tabel1[[#This Row],[Do - A3]],Tabel1[[#This Row],[Do - A4]]),"")</f>
        <v>3.2083333333333335</v>
      </c>
      <c r="FU45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2.6714814814814818</v>
      </c>
      <c r="FV458" s="31" t="s">
        <v>2246</v>
      </c>
      <c r="FW458" t="b">
        <v>1</v>
      </c>
    </row>
    <row r="459" spans="1:179" x14ac:dyDescent="0.3">
      <c r="A459" s="13">
        <v>45741.664131944402</v>
      </c>
      <c r="B459" t="b">
        <v>0</v>
      </c>
      <c r="C459" t="s">
        <v>2247</v>
      </c>
      <c r="D459" t="s">
        <v>2248</v>
      </c>
      <c r="E459" t="s">
        <v>2216</v>
      </c>
      <c r="F459" s="14" t="s">
        <v>184</v>
      </c>
      <c r="G459" t="s">
        <v>2249</v>
      </c>
      <c r="H459" t="s">
        <v>222</v>
      </c>
      <c r="I459" t="s">
        <v>385</v>
      </c>
      <c r="K459" t="s">
        <v>203</v>
      </c>
      <c r="L459" t="s">
        <v>197</v>
      </c>
      <c r="M459" t="s">
        <v>233</v>
      </c>
      <c r="N459" t="s">
        <v>199</v>
      </c>
      <c r="O459" t="s">
        <v>256</v>
      </c>
      <c r="P459" t="s">
        <v>304</v>
      </c>
      <c r="Q459" t="s">
        <v>201</v>
      </c>
      <c r="R459" t="s">
        <v>187</v>
      </c>
      <c r="S459" t="s">
        <v>235</v>
      </c>
      <c r="T459" t="s">
        <v>284</v>
      </c>
      <c r="U459" t="s">
        <v>349</v>
      </c>
      <c r="V459" t="s">
        <v>224</v>
      </c>
      <c r="W459" t="s">
        <v>207</v>
      </c>
      <c r="X459" t="s">
        <v>306</v>
      </c>
      <c r="Y459">
        <v>1</v>
      </c>
      <c r="Z459">
        <v>2</v>
      </c>
      <c r="AA459" t="s">
        <v>189</v>
      </c>
      <c r="AB459">
        <f>IFERROR(AVERAGE(Tabel1[[#This Row],[Up - R1a]:[Up - R1c]]),"")</f>
        <v>1.5</v>
      </c>
      <c r="AC459">
        <v>2</v>
      </c>
      <c r="AD459">
        <v>5</v>
      </c>
      <c r="AE459">
        <v>2</v>
      </c>
      <c r="AF459">
        <v>1</v>
      </c>
      <c r="AG459">
        <f>IFERROR(AVERAGE(Tabel1[[#This Row],[Up - R1]:[Up - R5]]),"")</f>
        <v>2.2999999999999998</v>
      </c>
      <c r="AH459">
        <v>2</v>
      </c>
      <c r="AI459">
        <v>1</v>
      </c>
      <c r="AJ459">
        <v>3</v>
      </c>
      <c r="AK459">
        <f>IFERROR(AVERAGE(Tabel1[[#This Row],[Up - C1a]:[Up - C1c]]),"")</f>
        <v>2</v>
      </c>
      <c r="AL459">
        <v>1</v>
      </c>
      <c r="AM459">
        <v>1</v>
      </c>
      <c r="AN459">
        <v>2</v>
      </c>
      <c r="AO459">
        <f>IFERROR(AVERAGE(Tabel1[[#This Row],[Up - C1]:[Up - C4]]),"")</f>
        <v>1.5</v>
      </c>
      <c r="AP459">
        <v>4</v>
      </c>
      <c r="AQ459">
        <f>IFERROR(AVERAGE(Tabel1[[#This Row],[Up - F1a]:[Up - F1a]]),"")</f>
        <v>4</v>
      </c>
      <c r="AR459">
        <v>1</v>
      </c>
      <c r="AS459">
        <v>2</v>
      </c>
      <c r="AT459">
        <f>IFERROR(AVERAGE(Tabel1[[#This Row],[Up - F2a]:[Up - F2b]]),"")</f>
        <v>1.5</v>
      </c>
      <c r="AU459">
        <v>4</v>
      </c>
      <c r="AV459">
        <v>2</v>
      </c>
      <c r="AW459">
        <f>IFERROR(AVERAGE(Tabel1[[#This Row],[Up - F3a]:[Up - F3b]]),"")</f>
        <v>3</v>
      </c>
      <c r="AX459">
        <v>3</v>
      </c>
      <c r="AY459">
        <f>IFERROR(AVERAGE(Tabel1[[#This Row],[Up - F1]],Tabel1[[#This Row],[Up - F2]],Tabel1[[#This Row],[Up - F3]],Tabel1[[#This Row],[Up - F4]]),"")</f>
        <v>2.875</v>
      </c>
      <c r="AZ459">
        <v>4</v>
      </c>
      <c r="BA459">
        <v>2</v>
      </c>
      <c r="BB459">
        <f>IFERROR(AVERAGE(Tabel1[[#This Row],[Up - V1a]:[Up - V1b]]),"")</f>
        <v>3</v>
      </c>
      <c r="BC459">
        <v>3</v>
      </c>
      <c r="BD459">
        <v>3</v>
      </c>
      <c r="BE459">
        <v>2</v>
      </c>
      <c r="BF459">
        <f>IFERROR(AVERAGE(Tabel1[[#This Row],[Up - V2a]:[Up - V2c]]),"")</f>
        <v>2.6666666666666665</v>
      </c>
      <c r="BG459">
        <v>2</v>
      </c>
      <c r="BH459">
        <v>3</v>
      </c>
      <c r="BI459">
        <f>IFERROR(AVERAGE(Tabel1[[#This Row],[Up - V3a]:[Up - V3b]]),"")</f>
        <v>2.5</v>
      </c>
      <c r="BJ459">
        <v>2</v>
      </c>
      <c r="BK459">
        <f>IFERROR(AVERAGE(Tabel1[[#This Row],[Up - V1]],Tabel1[[#This Row],[Up - V2]],Tabel1[[#This Row],[Up - V3]],Tabel1[[#This Row],[Up - V4]]),"")</f>
        <v>2.5416666666666665</v>
      </c>
      <c r="BL459">
        <v>2</v>
      </c>
      <c r="BM459">
        <v>3</v>
      </c>
      <c r="BN459">
        <v>1</v>
      </c>
      <c r="BO459">
        <v>2</v>
      </c>
      <c r="BP459">
        <f>IFERROR(AVERAGE(Tabel1[[#This Row],[Up - A1a]:[Up - A1d]]),"")</f>
        <v>2</v>
      </c>
      <c r="BQ459">
        <v>3</v>
      </c>
      <c r="BR459">
        <v>3</v>
      </c>
      <c r="BS459">
        <f>IFERROR(AVERAGE(Tabel1[[#This Row],[Up - A2a]:[Up - A2b]]),"")</f>
        <v>3</v>
      </c>
      <c r="BT459">
        <v>4</v>
      </c>
      <c r="BU459">
        <f>IFERROR(AVERAGE(Tabel1[[#This Row],[Up - A3a]:[Up - A3a]]),"")</f>
        <v>4</v>
      </c>
      <c r="BV459" t="s">
        <v>189</v>
      </c>
      <c r="BW459">
        <f>IFERROR(AVERAGE(Tabel1[[#This Row],[Up - A1]],Tabel1[[#This Row],[Up - A2]],Tabel1[[#This Row],[Up - A3]]),"")</f>
        <v>3</v>
      </c>
      <c r="BX459">
        <v>2</v>
      </c>
      <c r="BY459">
        <v>3</v>
      </c>
      <c r="BZ459">
        <f>IFERROR(AVERAGE(Tabel1[[#This Row],[In - R1a]:[In - R1b]]),"")</f>
        <v>2.5</v>
      </c>
      <c r="CA459">
        <v>2</v>
      </c>
      <c r="CB459">
        <v>1</v>
      </c>
      <c r="CC459">
        <v>3</v>
      </c>
      <c r="CD459">
        <v>1</v>
      </c>
      <c r="CE459">
        <f>IFERROR(AVERAGE(Tabel1[[#This Row],[In - R1]:[In - R5]]),"")</f>
        <v>1.9</v>
      </c>
      <c r="CF459">
        <v>1</v>
      </c>
      <c r="CG459">
        <v>3</v>
      </c>
      <c r="CH459">
        <v>3</v>
      </c>
      <c r="CI459">
        <f>IFERROR(AVERAGE(Tabel1[[#This Row],[In - C1a]:[In - C1c]]),"")</f>
        <v>2.3333333333333335</v>
      </c>
      <c r="CJ459">
        <v>4</v>
      </c>
      <c r="CK459">
        <v>1</v>
      </c>
      <c r="CL459">
        <v>3</v>
      </c>
      <c r="CM459">
        <f>IFERROR(AVERAGE(Tabel1[[#This Row],[In - C1]:[In - C4]]),"")</f>
        <v>2.5833333333333335</v>
      </c>
      <c r="CN459">
        <v>2</v>
      </c>
      <c r="CO459">
        <v>2</v>
      </c>
      <c r="CP459">
        <v>1</v>
      </c>
      <c r="CQ459">
        <f>IFERROR(AVERAGE(Tabel1[[#This Row],[In - F1a]:[In - F1c]]),"")</f>
        <v>1.6666666666666667</v>
      </c>
      <c r="CR459">
        <v>3</v>
      </c>
      <c r="CS459">
        <v>1</v>
      </c>
      <c r="CT459">
        <f>IFERROR(AVERAGE(Tabel1[[#This Row],[In - F2a]:[In - F2b]]),"")</f>
        <v>2</v>
      </c>
      <c r="CU459">
        <v>1</v>
      </c>
      <c r="CV459">
        <f>IFERROR(AVERAGE(Tabel1[[#This Row],[In - F3a]:[In - F3a]]),"")</f>
        <v>1</v>
      </c>
      <c r="CW459">
        <v>3</v>
      </c>
      <c r="CX459">
        <f>IFERROR(AVERAGE(Tabel1[[#This Row],[In - F1]],Tabel1[[#This Row],[In - F2]],Tabel1[[#This Row],[In - F3]],Tabel1[[#This Row],[In - F4]]),"")</f>
        <v>1.9166666666666667</v>
      </c>
      <c r="CY459">
        <v>4</v>
      </c>
      <c r="CZ459">
        <v>4</v>
      </c>
      <c r="DA459">
        <v>3</v>
      </c>
      <c r="DB459">
        <f>IFERROR(AVERAGE(Tabel1[[#This Row],[In - V1a]:[In - V1c]]),"")</f>
        <v>3.6666666666666665</v>
      </c>
      <c r="DC459">
        <v>3</v>
      </c>
      <c r="DD459">
        <v>3</v>
      </c>
      <c r="DE459">
        <v>2</v>
      </c>
      <c r="DF459">
        <f>IFERROR(AVERAGE(Tabel1[[#This Row],[In - V2a]:[In - V2c]]),"")</f>
        <v>2.6666666666666665</v>
      </c>
      <c r="DG459">
        <v>2</v>
      </c>
      <c r="DH459">
        <v>3</v>
      </c>
      <c r="DI459">
        <f>IFERROR(AVERAGE(Tabel1[[#This Row],[In - V3a]:[In - V3b]]),"")</f>
        <v>2.5</v>
      </c>
      <c r="DJ459">
        <v>2</v>
      </c>
      <c r="DK459">
        <f>IFERROR(AVERAGE(Tabel1[[#This Row],[In - V1]],Tabel1[[#This Row],[In - V2]],Tabel1[[#This Row],[In - V3]],Tabel1[[#This Row],[In - V4]]),"")</f>
        <v>2.708333333333333</v>
      </c>
      <c r="DL459">
        <v>1</v>
      </c>
      <c r="DM459">
        <v>3</v>
      </c>
      <c r="DN459">
        <f>IFERROR(AVERAGE(Tabel1[[#This Row],[In - A1a]:[In - A1b]]),"")</f>
        <v>2</v>
      </c>
      <c r="DO459">
        <v>2</v>
      </c>
      <c r="DP459">
        <v>3</v>
      </c>
      <c r="DQ459">
        <f>IFERROR(AVERAGE(Tabel1[[#This Row],[In - A2a]:[In - A2b]]),"")</f>
        <v>2.5</v>
      </c>
      <c r="DR459">
        <v>4</v>
      </c>
      <c r="DS459">
        <v>3</v>
      </c>
      <c r="DT459">
        <f>IFERROR(AVERAGE(Tabel1[[#This Row],[In - A3a]:[In - A3a]]),"")</f>
        <v>4</v>
      </c>
      <c r="DU459" t="s">
        <v>189</v>
      </c>
      <c r="DV459">
        <f>IFERROR(AVERAGE(Tabel1[[#This Row],[In - A1]],Tabel1[[#This Row],[In - A2]],Tabel1[[#This Row],[In - A3]],Tabel1[[#This Row],[In - A4]]),"")</f>
        <v>2.8333333333333335</v>
      </c>
      <c r="DW459">
        <v>2</v>
      </c>
      <c r="DX459">
        <v>1</v>
      </c>
      <c r="DY459">
        <v>1</v>
      </c>
      <c r="DZ459">
        <f>IFERROR(AVERAGE(Tabel1[[#This Row],[Do - R1a]:[Do - R1c]]),"")</f>
        <v>1.3333333333333333</v>
      </c>
      <c r="EA459">
        <v>2</v>
      </c>
      <c r="EB459">
        <v>3</v>
      </c>
      <c r="EC459">
        <v>2</v>
      </c>
      <c r="ED459">
        <v>2</v>
      </c>
      <c r="EE459">
        <f>IFERROR(AVERAGE(Tabel1[[#This Row],[Do - R1]:[Do - R5]]),"")</f>
        <v>2.0666666666666664</v>
      </c>
      <c r="EF459">
        <v>2</v>
      </c>
      <c r="EG459">
        <v>1</v>
      </c>
      <c r="EH459">
        <v>3</v>
      </c>
      <c r="EI459">
        <f>IFERROR(AVERAGE(Tabel1[[#This Row],[Do - C1a]:[Do - C1c]]),"")</f>
        <v>2</v>
      </c>
      <c r="EJ459">
        <v>4</v>
      </c>
      <c r="EK459">
        <v>1</v>
      </c>
      <c r="EL459">
        <v>2</v>
      </c>
      <c r="EM459">
        <f>IFERROR(AVERAGE(Tabel1[[#This Row],[Do - C1]:[Do - C4]]),"")</f>
        <v>2.25</v>
      </c>
      <c r="EN459">
        <v>2</v>
      </c>
      <c r="EO459">
        <v>1</v>
      </c>
      <c r="EP459">
        <v>2</v>
      </c>
      <c r="EQ459">
        <f>IFERROR(AVERAGE(Tabel1[[#This Row],[Do - F1a]:[Do - F1c]]),"")</f>
        <v>1.6666666666666667</v>
      </c>
      <c r="ER459">
        <v>3</v>
      </c>
      <c r="ES459">
        <f>IFERROR(AVERAGE(Tabel1[[#This Row],[Do - F2a]:[Do - F2a]]),"")</f>
        <v>3</v>
      </c>
      <c r="ET459">
        <v>2</v>
      </c>
      <c r="EU459">
        <v>2</v>
      </c>
      <c r="EV459">
        <f>IFERROR(AVERAGE(Tabel1[[#This Row],[Do - F3a]:[Do - F3b]]),"")</f>
        <v>2</v>
      </c>
      <c r="EW459">
        <v>3</v>
      </c>
      <c r="EX459">
        <f>IFERROR(AVERAGE(Tabel1[[#This Row],[Do - F1]],Tabel1[[#This Row],[Do - F2]],Tabel1[[#This Row],[Do - F3]],Tabel1[[#This Row],[Do - F4]]),"")</f>
        <v>2.416666666666667</v>
      </c>
      <c r="EY459">
        <v>3</v>
      </c>
      <c r="EZ459">
        <v>1</v>
      </c>
      <c r="FA459">
        <v>2</v>
      </c>
      <c r="FB459">
        <f>IFERROR(AVERAGE(Tabel1[[#This Row],[Do - V1a]:[Do - V1c]]),"")</f>
        <v>2</v>
      </c>
      <c r="FC459">
        <v>3</v>
      </c>
      <c r="FD459">
        <v>2</v>
      </c>
      <c r="FE459">
        <f>IFERROR(AVERAGE(Tabel1[[#This Row],[Do - V2a]:[Do - V2b]]),"")</f>
        <v>2.5</v>
      </c>
      <c r="FF459">
        <v>2</v>
      </c>
      <c r="FG459">
        <f>IFERROR(AVERAGE(Tabel1[[#This Row],[Do - V3a]:[Do - V3a]]),"")</f>
        <v>2</v>
      </c>
      <c r="FH459">
        <v>2</v>
      </c>
      <c r="FI459">
        <f>IFERROR(AVERAGE(Tabel1[[#This Row],[Do - V1]],Tabel1[[#This Row],[Do - V2]],Tabel1[[#This Row],[Do - V3]],Tabel1[[#This Row],[Do - V4]]),"")</f>
        <v>2.125</v>
      </c>
      <c r="FJ459">
        <v>1</v>
      </c>
      <c r="FK459">
        <v>1</v>
      </c>
      <c r="FL459">
        <v>2</v>
      </c>
      <c r="FM459">
        <f>IFERROR(AVERAGE(Tabel1[[#This Row],[Do - A1a]:[Do - A1c]]),"")</f>
        <v>1.3333333333333333</v>
      </c>
      <c r="FN459">
        <v>2</v>
      </c>
      <c r="FO459">
        <v>3</v>
      </c>
      <c r="FP459">
        <f>IFERROR(AVERAGE(Tabel1[[#This Row],[Do - A2a]:[Do - A2b]]),"")</f>
        <v>2.5</v>
      </c>
      <c r="FQ459">
        <v>4</v>
      </c>
      <c r="FR459">
        <f>IFERROR(AVERAGE(Tabel1[[#This Row],[Do - A3a]:[Do - A3a]]),"")</f>
        <v>4</v>
      </c>
      <c r="FS459" t="s">
        <v>189</v>
      </c>
      <c r="FT459">
        <f>IFERROR(AVERAGE(Tabel1[[#This Row],[Do - A1]],Tabel1[[#This Row],[Do - A2]],Tabel1[[#This Row],[Do - A3]],Tabel1[[#This Row],[Do - A4]]),"")</f>
        <v>2.6111111111111112</v>
      </c>
      <c r="FU45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2.3751851851851855</v>
      </c>
      <c r="FV459" s="31" t="s">
        <v>2250</v>
      </c>
      <c r="FW459" t="b">
        <v>1</v>
      </c>
    </row>
    <row r="460" spans="1:179" x14ac:dyDescent="0.3">
      <c r="A460" s="13">
        <v>45742.317650463003</v>
      </c>
      <c r="B460" t="b">
        <v>0</v>
      </c>
      <c r="C460" t="s">
        <v>2251</v>
      </c>
      <c r="D460" t="s">
        <v>2252</v>
      </c>
      <c r="E460" t="s">
        <v>2231</v>
      </c>
      <c r="F460" s="14" t="s">
        <v>184</v>
      </c>
      <c r="G460" t="s">
        <v>2253</v>
      </c>
      <c r="H460" t="s">
        <v>222</v>
      </c>
      <c r="I460" t="s">
        <v>572</v>
      </c>
      <c r="J460" t="s">
        <v>573</v>
      </c>
      <c r="K460" t="s">
        <v>304</v>
      </c>
      <c r="L460" t="s">
        <v>197</v>
      </c>
      <c r="M460" t="s">
        <v>281</v>
      </c>
      <c r="N460" t="s">
        <v>316</v>
      </c>
      <c r="O460" t="s">
        <v>200</v>
      </c>
      <c r="P460" t="s">
        <v>701</v>
      </c>
      <c r="Q460" t="s">
        <v>201</v>
      </c>
      <c r="R460" t="s">
        <v>203</v>
      </c>
      <c r="S460" t="s">
        <v>202</v>
      </c>
      <c r="T460" t="s">
        <v>284</v>
      </c>
      <c r="U460" t="s">
        <v>285</v>
      </c>
      <c r="V460" t="s">
        <v>610</v>
      </c>
      <c r="W460" t="s">
        <v>305</v>
      </c>
      <c r="X460" t="s">
        <v>305</v>
      </c>
      <c r="Y460">
        <v>2</v>
      </c>
      <c r="Z460">
        <v>1</v>
      </c>
      <c r="AA460">
        <v>2</v>
      </c>
      <c r="AB460">
        <f>IFERROR(AVERAGE(Tabel1[[#This Row],[Up - R1a]:[Up - R1c]]),"")</f>
        <v>1.6666666666666667</v>
      </c>
      <c r="AC460">
        <v>2</v>
      </c>
      <c r="AD460">
        <v>3</v>
      </c>
      <c r="AE460">
        <v>2</v>
      </c>
      <c r="AF460">
        <v>3</v>
      </c>
      <c r="AG460">
        <f>IFERROR(AVERAGE(Tabel1[[#This Row],[Up - R1]:[Up - R5]]),"")</f>
        <v>2.3333333333333335</v>
      </c>
      <c r="AH460">
        <v>2</v>
      </c>
      <c r="AI460">
        <v>2</v>
      </c>
      <c r="AJ460">
        <v>2</v>
      </c>
      <c r="AK460">
        <f>IFERROR(AVERAGE(Tabel1[[#This Row],[Up - C1a]:[Up - C1c]]),"")</f>
        <v>2</v>
      </c>
      <c r="AL460">
        <v>2</v>
      </c>
      <c r="AM460">
        <v>2</v>
      </c>
      <c r="AN460">
        <v>3</v>
      </c>
      <c r="AO460">
        <f>IFERROR(AVERAGE(Tabel1[[#This Row],[Up - C1]:[Up - C4]]),"")</f>
        <v>2.25</v>
      </c>
      <c r="AP460">
        <v>3</v>
      </c>
      <c r="AQ460">
        <f>IFERROR(AVERAGE(Tabel1[[#This Row],[Up - F1a]:[Up - F1a]]),"")</f>
        <v>3</v>
      </c>
      <c r="AR460">
        <v>2</v>
      </c>
      <c r="AS460">
        <v>4</v>
      </c>
      <c r="AT460">
        <f>IFERROR(AVERAGE(Tabel1[[#This Row],[Up - F2a]:[Up - F2b]]),"")</f>
        <v>3</v>
      </c>
      <c r="AU460">
        <v>3</v>
      </c>
      <c r="AV460">
        <v>2</v>
      </c>
      <c r="AW460">
        <f>IFERROR(AVERAGE(Tabel1[[#This Row],[Up - F3a]:[Up - F3b]]),"")</f>
        <v>2.5</v>
      </c>
      <c r="AX460">
        <v>3</v>
      </c>
      <c r="AY460">
        <f>IFERROR(AVERAGE(Tabel1[[#This Row],[Up - F1]],Tabel1[[#This Row],[Up - F2]],Tabel1[[#This Row],[Up - F3]],Tabel1[[#This Row],[Up - F4]]),"")</f>
        <v>2.875</v>
      </c>
      <c r="AZ460">
        <v>2</v>
      </c>
      <c r="BA460">
        <v>4</v>
      </c>
      <c r="BB460">
        <f>IFERROR(AVERAGE(Tabel1[[#This Row],[Up - V1a]:[Up - V1b]]),"")</f>
        <v>3</v>
      </c>
      <c r="BC460">
        <v>2</v>
      </c>
      <c r="BD460">
        <v>2</v>
      </c>
      <c r="BE460">
        <v>4</v>
      </c>
      <c r="BF460">
        <f>IFERROR(AVERAGE(Tabel1[[#This Row],[Up - V2a]:[Up - V2c]]),"")</f>
        <v>2.6666666666666665</v>
      </c>
      <c r="BG460">
        <v>1</v>
      </c>
      <c r="BH460">
        <v>2</v>
      </c>
      <c r="BI460">
        <f>IFERROR(AVERAGE(Tabel1[[#This Row],[Up - V3a]:[Up - V3b]]),"")</f>
        <v>1.5</v>
      </c>
      <c r="BJ460">
        <v>2</v>
      </c>
      <c r="BK460">
        <f>IFERROR(AVERAGE(Tabel1[[#This Row],[Up - V1]],Tabel1[[#This Row],[Up - V2]],Tabel1[[#This Row],[Up - V3]],Tabel1[[#This Row],[Up - V4]]),"")</f>
        <v>2.2916666666666665</v>
      </c>
      <c r="BL460">
        <v>2</v>
      </c>
      <c r="BM460">
        <v>2</v>
      </c>
      <c r="BN460">
        <v>4</v>
      </c>
      <c r="BO460">
        <v>4</v>
      </c>
      <c r="BP460">
        <f>IFERROR(AVERAGE(Tabel1[[#This Row],[Up - A1a]:[Up - A1d]]),"")</f>
        <v>3</v>
      </c>
      <c r="BQ460">
        <v>4</v>
      </c>
      <c r="BR460">
        <v>3</v>
      </c>
      <c r="BS460">
        <f>IFERROR(AVERAGE(Tabel1[[#This Row],[Up - A2a]:[Up - A2b]]),"")</f>
        <v>3.5</v>
      </c>
      <c r="BT460">
        <v>3</v>
      </c>
      <c r="BU460">
        <f>IFERROR(AVERAGE(Tabel1[[#This Row],[Up - A3a]:[Up - A3a]]),"")</f>
        <v>3</v>
      </c>
      <c r="BV460">
        <v>2</v>
      </c>
      <c r="BW460">
        <f>IFERROR(AVERAGE(Tabel1[[#This Row],[Up - A1]],Tabel1[[#This Row],[Up - A2]],Tabel1[[#This Row],[Up - A3]]),"")</f>
        <v>3.1666666666666665</v>
      </c>
      <c r="BX460">
        <v>4</v>
      </c>
      <c r="BY460">
        <v>4</v>
      </c>
      <c r="BZ460">
        <f>IFERROR(AVERAGE(Tabel1[[#This Row],[In - R1a]:[In - R1b]]),"")</f>
        <v>4</v>
      </c>
      <c r="CA460">
        <v>4</v>
      </c>
      <c r="CB460">
        <v>3</v>
      </c>
      <c r="CC460">
        <v>2</v>
      </c>
      <c r="CD460">
        <v>2</v>
      </c>
      <c r="CE460">
        <f>IFERROR(AVERAGE(Tabel1[[#This Row],[In - R1]:[In - R5]]),"")</f>
        <v>3</v>
      </c>
      <c r="CF460">
        <v>4</v>
      </c>
      <c r="CG460">
        <v>3</v>
      </c>
      <c r="CH460">
        <v>4</v>
      </c>
      <c r="CI460">
        <f>IFERROR(AVERAGE(Tabel1[[#This Row],[In - C1a]:[In - C1c]]),"")</f>
        <v>3.6666666666666665</v>
      </c>
      <c r="CJ460">
        <v>3</v>
      </c>
      <c r="CK460">
        <v>2</v>
      </c>
      <c r="CL460">
        <v>2</v>
      </c>
      <c r="CM460">
        <f>IFERROR(AVERAGE(Tabel1[[#This Row],[In - C1]:[In - C4]]),"")</f>
        <v>2.6666666666666665</v>
      </c>
      <c r="CN460">
        <v>4</v>
      </c>
      <c r="CO460">
        <v>4</v>
      </c>
      <c r="CP460">
        <v>4</v>
      </c>
      <c r="CQ460">
        <f>IFERROR(AVERAGE(Tabel1[[#This Row],[In - F1a]:[In - F1c]]),"")</f>
        <v>4</v>
      </c>
      <c r="CR460">
        <v>3</v>
      </c>
      <c r="CS460">
        <v>2</v>
      </c>
      <c r="CT460">
        <f>IFERROR(AVERAGE(Tabel1[[#This Row],[In - F2a]:[In - F2b]]),"")</f>
        <v>2.5</v>
      </c>
      <c r="CU460">
        <v>4</v>
      </c>
      <c r="CV460">
        <f>IFERROR(AVERAGE(Tabel1[[#This Row],[In - F3a]:[In - F3a]]),"")</f>
        <v>4</v>
      </c>
      <c r="CW460" t="s">
        <v>189</v>
      </c>
      <c r="CX460">
        <f>IFERROR(AVERAGE(Tabel1[[#This Row],[In - F1]],Tabel1[[#This Row],[In - F2]],Tabel1[[#This Row],[In - F3]],Tabel1[[#This Row],[In - F4]]),"")</f>
        <v>3.5</v>
      </c>
      <c r="CY460">
        <v>4</v>
      </c>
      <c r="CZ460">
        <v>3</v>
      </c>
      <c r="DA460">
        <v>3</v>
      </c>
      <c r="DB460">
        <f>IFERROR(AVERAGE(Tabel1[[#This Row],[In - V1a]:[In - V1c]]),"")</f>
        <v>3.3333333333333335</v>
      </c>
      <c r="DC460">
        <v>3</v>
      </c>
      <c r="DD460">
        <v>4</v>
      </c>
      <c r="DE460">
        <v>2</v>
      </c>
      <c r="DF460">
        <f>IFERROR(AVERAGE(Tabel1[[#This Row],[In - V2a]:[In - V2c]]),"")</f>
        <v>3</v>
      </c>
      <c r="DG460">
        <v>3</v>
      </c>
      <c r="DH460">
        <v>3</v>
      </c>
      <c r="DI460">
        <f>IFERROR(AVERAGE(Tabel1[[#This Row],[In - V3a]:[In - V3b]]),"")</f>
        <v>3</v>
      </c>
      <c r="DJ460">
        <v>4</v>
      </c>
      <c r="DK460">
        <f>IFERROR(AVERAGE(Tabel1[[#This Row],[In - V1]],Tabel1[[#This Row],[In - V2]],Tabel1[[#This Row],[In - V3]],Tabel1[[#This Row],[In - V4]]),"")</f>
        <v>3.3333333333333335</v>
      </c>
      <c r="DL460">
        <v>4</v>
      </c>
      <c r="DM460">
        <v>3</v>
      </c>
      <c r="DN460">
        <f>IFERROR(AVERAGE(Tabel1[[#This Row],[In - A1a]:[In - A1b]]),"")</f>
        <v>3.5</v>
      </c>
      <c r="DO460" t="s">
        <v>189</v>
      </c>
      <c r="DP460">
        <v>4</v>
      </c>
      <c r="DQ460">
        <f>IFERROR(AVERAGE(Tabel1[[#This Row],[In - A2a]:[In - A2b]]),"")</f>
        <v>4</v>
      </c>
      <c r="DR460">
        <v>4</v>
      </c>
      <c r="DS460">
        <v>4</v>
      </c>
      <c r="DT460">
        <f>IFERROR(AVERAGE(Tabel1[[#This Row],[In - A3a]:[In - A3a]]),"")</f>
        <v>4</v>
      </c>
      <c r="DU460" t="s">
        <v>189</v>
      </c>
      <c r="DV460">
        <f>IFERROR(AVERAGE(Tabel1[[#This Row],[In - A1]],Tabel1[[#This Row],[In - A2]],Tabel1[[#This Row],[In - A3]],Tabel1[[#This Row],[In - A4]]),"")</f>
        <v>3.8333333333333335</v>
      </c>
      <c r="DW460">
        <v>4</v>
      </c>
      <c r="DX460">
        <v>4</v>
      </c>
      <c r="DY460">
        <v>2</v>
      </c>
      <c r="DZ460">
        <f>IFERROR(AVERAGE(Tabel1[[#This Row],[Do - R1a]:[Do - R1c]]),"")</f>
        <v>3.3333333333333335</v>
      </c>
      <c r="EA460">
        <v>4</v>
      </c>
      <c r="EB460">
        <v>4</v>
      </c>
      <c r="EC460">
        <v>2</v>
      </c>
      <c r="ED460" t="s">
        <v>189</v>
      </c>
      <c r="EE460">
        <f>IFERROR(AVERAGE(Tabel1[[#This Row],[Do - R1]:[Do - R5]]),"")</f>
        <v>3.3333333333333335</v>
      </c>
      <c r="EF460">
        <v>3</v>
      </c>
      <c r="EG460">
        <v>4</v>
      </c>
      <c r="EH460">
        <v>4</v>
      </c>
      <c r="EI460">
        <f>IFERROR(AVERAGE(Tabel1[[#This Row],[Do - C1a]:[Do - C1c]]),"")</f>
        <v>3.6666666666666665</v>
      </c>
      <c r="EJ460">
        <v>3</v>
      </c>
      <c r="EK460">
        <v>2</v>
      </c>
      <c r="EL460" t="s">
        <v>189</v>
      </c>
      <c r="EM460">
        <f>IFERROR(AVERAGE(Tabel1[[#This Row],[Do - C1]:[Do - C4]]),"")</f>
        <v>2.8888888888888888</v>
      </c>
      <c r="EN460">
        <v>4</v>
      </c>
      <c r="EO460">
        <v>1</v>
      </c>
      <c r="EP460">
        <v>3</v>
      </c>
      <c r="EQ460">
        <f>IFERROR(AVERAGE(Tabel1[[#This Row],[Do - F1a]:[Do - F1c]]),"")</f>
        <v>2.6666666666666665</v>
      </c>
      <c r="ER460">
        <v>4</v>
      </c>
      <c r="ES460">
        <f>IFERROR(AVERAGE(Tabel1[[#This Row],[Do - F2a]:[Do - F2a]]),"")</f>
        <v>4</v>
      </c>
      <c r="ET460">
        <v>4</v>
      </c>
      <c r="EU460">
        <v>3</v>
      </c>
      <c r="EV460">
        <f>IFERROR(AVERAGE(Tabel1[[#This Row],[Do - F3a]:[Do - F3b]]),"")</f>
        <v>3.5</v>
      </c>
      <c r="EW460" t="s">
        <v>189</v>
      </c>
      <c r="EX460">
        <f>IFERROR(AVERAGE(Tabel1[[#This Row],[Do - F1]],Tabel1[[#This Row],[Do - F2]],Tabel1[[#This Row],[Do - F3]],Tabel1[[#This Row],[Do - F4]]),"")</f>
        <v>3.3888888888888888</v>
      </c>
      <c r="EY460">
        <v>3</v>
      </c>
      <c r="EZ460">
        <v>4</v>
      </c>
      <c r="FA460">
        <v>4</v>
      </c>
      <c r="FB460">
        <f>IFERROR(AVERAGE(Tabel1[[#This Row],[Do - V1a]:[Do - V1c]]),"")</f>
        <v>3.6666666666666665</v>
      </c>
      <c r="FC460">
        <v>4</v>
      </c>
      <c r="FD460">
        <v>4</v>
      </c>
      <c r="FE460">
        <f>IFERROR(AVERAGE(Tabel1[[#This Row],[Do - V2a]:[Do - V2b]]),"")</f>
        <v>4</v>
      </c>
      <c r="FF460">
        <v>3</v>
      </c>
      <c r="FG460">
        <f>IFERROR(AVERAGE(Tabel1[[#This Row],[Do - V3a]:[Do - V3a]]),"")</f>
        <v>3</v>
      </c>
      <c r="FH460" t="s">
        <v>189</v>
      </c>
      <c r="FI460">
        <f>IFERROR(AVERAGE(Tabel1[[#This Row],[Do - V1]],Tabel1[[#This Row],[Do - V2]],Tabel1[[#This Row],[Do - V3]],Tabel1[[#This Row],[Do - V4]]),"")</f>
        <v>3.5555555555555554</v>
      </c>
      <c r="FJ460">
        <v>4</v>
      </c>
      <c r="FK460">
        <v>4</v>
      </c>
      <c r="FL460">
        <v>4</v>
      </c>
      <c r="FM460">
        <f>IFERROR(AVERAGE(Tabel1[[#This Row],[Do - A1a]:[Do - A1c]]),"")</f>
        <v>4</v>
      </c>
      <c r="FN460">
        <v>4</v>
      </c>
      <c r="FO460">
        <v>4</v>
      </c>
      <c r="FP460">
        <f>IFERROR(AVERAGE(Tabel1[[#This Row],[Do - A2a]:[Do - A2b]]),"")</f>
        <v>4</v>
      </c>
      <c r="FQ460">
        <v>4</v>
      </c>
      <c r="FR460">
        <f>IFERROR(AVERAGE(Tabel1[[#This Row],[Do - A3a]:[Do - A3a]]),"")</f>
        <v>4</v>
      </c>
      <c r="FS460" t="s">
        <v>189</v>
      </c>
      <c r="FT460">
        <f>IFERROR(AVERAGE(Tabel1[[#This Row],[Do - A1]],Tabel1[[#This Row],[Do - A2]],Tabel1[[#This Row],[Do - A3]],Tabel1[[#This Row],[Do - A4]]),"")</f>
        <v>4</v>
      </c>
      <c r="FU46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3.0944444444444437</v>
      </c>
      <c r="FV460" s="31" t="s">
        <v>2254</v>
      </c>
      <c r="FW460" t="b">
        <v>1</v>
      </c>
    </row>
    <row r="461" spans="1:179" x14ac:dyDescent="0.3">
      <c r="A461" s="13">
        <v>45742.397337962997</v>
      </c>
      <c r="B461" t="b">
        <v>0</v>
      </c>
      <c r="C461" t="s">
        <v>2255</v>
      </c>
      <c r="D461" t="s">
        <v>2256</v>
      </c>
      <c r="E461" t="s">
        <v>2222</v>
      </c>
      <c r="F461" s="14" t="s">
        <v>184</v>
      </c>
      <c r="G461" t="s">
        <v>2257</v>
      </c>
      <c r="H461" t="s">
        <v>222</v>
      </c>
      <c r="I461" t="s">
        <v>195</v>
      </c>
      <c r="J461" t="s">
        <v>273</v>
      </c>
      <c r="K461" t="s">
        <v>201</v>
      </c>
      <c r="L461" t="s">
        <v>249</v>
      </c>
      <c r="M461" t="s">
        <v>233</v>
      </c>
      <c r="N461" t="s">
        <v>199</v>
      </c>
      <c r="O461" t="s">
        <v>200</v>
      </c>
      <c r="P461" t="s">
        <v>255</v>
      </c>
      <c r="Q461" t="s">
        <v>255</v>
      </c>
      <c r="R461" t="s">
        <v>202</v>
      </c>
      <c r="S461" t="s">
        <v>187</v>
      </c>
      <c r="T461" t="s">
        <v>284</v>
      </c>
      <c r="U461" t="s">
        <v>205</v>
      </c>
      <c r="V461" t="s">
        <v>224</v>
      </c>
      <c r="W461" t="s">
        <v>207</v>
      </c>
      <c r="X461" t="s">
        <v>207</v>
      </c>
      <c r="Y461">
        <v>3</v>
      </c>
      <c r="Z461">
        <v>2</v>
      </c>
      <c r="AA461" t="s">
        <v>189</v>
      </c>
      <c r="AB461">
        <f>IFERROR(AVERAGE(Tabel1[[#This Row],[Up - R1a]:[Up - R1c]]),"")</f>
        <v>2.5</v>
      </c>
      <c r="AC461">
        <v>2</v>
      </c>
      <c r="AD461">
        <v>4</v>
      </c>
      <c r="AE461" t="s">
        <v>189</v>
      </c>
      <c r="AF461">
        <v>2</v>
      </c>
      <c r="AG461">
        <f>IFERROR(AVERAGE(Tabel1[[#This Row],[Up - R1]:[Up - R5]]),"")</f>
        <v>2.625</v>
      </c>
      <c r="AH461">
        <v>5</v>
      </c>
      <c r="AI461">
        <v>3</v>
      </c>
      <c r="AJ461">
        <v>2</v>
      </c>
      <c r="AK461">
        <f>IFERROR(AVERAGE(Tabel1[[#This Row],[Up - C1a]:[Up - C1c]]),"")</f>
        <v>3.3333333333333335</v>
      </c>
      <c r="AL461">
        <v>3</v>
      </c>
      <c r="AM461">
        <v>1</v>
      </c>
      <c r="AN461" t="s">
        <v>189</v>
      </c>
      <c r="AO461">
        <f>IFERROR(AVERAGE(Tabel1[[#This Row],[Up - C1]:[Up - C4]]),"")</f>
        <v>2.4444444444444446</v>
      </c>
      <c r="AP461">
        <v>3</v>
      </c>
      <c r="AQ461">
        <f>IFERROR(AVERAGE(Tabel1[[#This Row],[Up - F1a]:[Up - F1a]]),"")</f>
        <v>3</v>
      </c>
      <c r="AR461">
        <v>1</v>
      </c>
      <c r="AT461">
        <f>IFERROR(AVERAGE(Tabel1[[#This Row],[Up - F2a]:[Up - F2b]]),"")</f>
        <v>1</v>
      </c>
      <c r="AU461">
        <v>3</v>
      </c>
      <c r="AV461">
        <v>3</v>
      </c>
      <c r="AW461">
        <f>IFERROR(AVERAGE(Tabel1[[#This Row],[Up - F3a]:[Up - F3b]]),"")</f>
        <v>3</v>
      </c>
      <c r="AX461">
        <v>4</v>
      </c>
      <c r="AY461">
        <f>IFERROR(AVERAGE(Tabel1[[#This Row],[Up - F1]],Tabel1[[#This Row],[Up - F2]],Tabel1[[#This Row],[Up - F3]],Tabel1[[#This Row],[Up - F4]]),"")</f>
        <v>2.75</v>
      </c>
      <c r="AZ461">
        <v>3</v>
      </c>
      <c r="BA461">
        <v>4</v>
      </c>
      <c r="BB461">
        <f>IFERROR(AVERAGE(Tabel1[[#This Row],[Up - V1a]:[Up - V1b]]),"")</f>
        <v>3.5</v>
      </c>
      <c r="BC461">
        <v>4</v>
      </c>
      <c r="BD461">
        <v>3</v>
      </c>
      <c r="BE461">
        <v>2</v>
      </c>
      <c r="BF461">
        <f>IFERROR(AVERAGE(Tabel1[[#This Row],[Up - V2a]:[Up - V2c]]),"")</f>
        <v>3</v>
      </c>
      <c r="BG461" t="s">
        <v>189</v>
      </c>
      <c r="BH461">
        <v>4</v>
      </c>
      <c r="BI461">
        <f>IFERROR(AVERAGE(Tabel1[[#This Row],[Up - V3a]:[Up - V3b]]),"")</f>
        <v>4</v>
      </c>
      <c r="BJ461">
        <v>4</v>
      </c>
      <c r="BK461">
        <f>IFERROR(AVERAGE(Tabel1[[#This Row],[Up - V1]],Tabel1[[#This Row],[Up - V2]],Tabel1[[#This Row],[Up - V3]],Tabel1[[#This Row],[Up - V4]]),"")</f>
        <v>3.625</v>
      </c>
      <c r="BL461">
        <v>3</v>
      </c>
      <c r="BM461">
        <v>4</v>
      </c>
      <c r="BN461">
        <v>2</v>
      </c>
      <c r="BO461">
        <v>3</v>
      </c>
      <c r="BP461">
        <f>IFERROR(AVERAGE(Tabel1[[#This Row],[Up - A1a]:[Up - A1d]]),"")</f>
        <v>3</v>
      </c>
      <c r="BQ461">
        <v>2</v>
      </c>
      <c r="BR461" t="s">
        <v>189</v>
      </c>
      <c r="BS461">
        <f>IFERROR(AVERAGE(Tabel1[[#This Row],[Up - A2a]:[Up - A2b]]),"")</f>
        <v>2</v>
      </c>
      <c r="BT461">
        <v>3</v>
      </c>
      <c r="BU461">
        <f>IFERROR(AVERAGE(Tabel1[[#This Row],[Up - A3a]:[Up - A3a]]),"")</f>
        <v>3</v>
      </c>
      <c r="BV461">
        <v>3</v>
      </c>
      <c r="BW461">
        <f>IFERROR(AVERAGE(Tabel1[[#This Row],[Up - A1]],Tabel1[[#This Row],[Up - A2]],Tabel1[[#This Row],[Up - A3]]),"")</f>
        <v>2.6666666666666665</v>
      </c>
      <c r="BX461">
        <v>4</v>
      </c>
      <c r="BY461">
        <v>4</v>
      </c>
      <c r="BZ461">
        <f>IFERROR(AVERAGE(Tabel1[[#This Row],[In - R1a]:[In - R1b]]),"")</f>
        <v>4</v>
      </c>
      <c r="CA461">
        <v>3</v>
      </c>
      <c r="CB461">
        <v>4</v>
      </c>
      <c r="CC461" t="s">
        <v>189</v>
      </c>
      <c r="CD461">
        <v>4</v>
      </c>
      <c r="CE461">
        <f>IFERROR(AVERAGE(Tabel1[[#This Row],[In - R1]:[In - R5]]),"")</f>
        <v>3.75</v>
      </c>
      <c r="CF461">
        <v>3</v>
      </c>
      <c r="CG461">
        <v>4</v>
      </c>
      <c r="CH461">
        <v>3</v>
      </c>
      <c r="CI461">
        <f>IFERROR(AVERAGE(Tabel1[[#This Row],[In - C1a]:[In - C1c]]),"")</f>
        <v>3.3333333333333335</v>
      </c>
      <c r="CJ461">
        <v>2</v>
      </c>
      <c r="CK461">
        <v>2</v>
      </c>
      <c r="CL461" t="s">
        <v>189</v>
      </c>
      <c r="CM461">
        <f>IFERROR(AVERAGE(Tabel1[[#This Row],[In - C1]:[In - C4]]),"")</f>
        <v>2.4444444444444446</v>
      </c>
      <c r="CN461">
        <v>4</v>
      </c>
      <c r="CO461">
        <v>3</v>
      </c>
      <c r="CP461">
        <v>1</v>
      </c>
      <c r="CQ461">
        <f>IFERROR(AVERAGE(Tabel1[[#This Row],[In - F1a]:[In - F1c]]),"")</f>
        <v>2.6666666666666665</v>
      </c>
      <c r="CR461">
        <v>4</v>
      </c>
      <c r="CT461">
        <f>IFERROR(AVERAGE(Tabel1[[#This Row],[In - F2a]:[In - F2b]]),"")</f>
        <v>4</v>
      </c>
      <c r="CU461">
        <v>3</v>
      </c>
      <c r="CV461">
        <f>IFERROR(AVERAGE(Tabel1[[#This Row],[In - F3a]:[In - F3a]]),"")</f>
        <v>3</v>
      </c>
      <c r="CW461">
        <v>3</v>
      </c>
      <c r="CX461">
        <f>IFERROR(AVERAGE(Tabel1[[#This Row],[In - F1]],Tabel1[[#This Row],[In - F2]],Tabel1[[#This Row],[In - F3]],Tabel1[[#This Row],[In - F4]]),"")</f>
        <v>3.1666666666666665</v>
      </c>
      <c r="CY461">
        <v>4</v>
      </c>
      <c r="CZ461">
        <v>4</v>
      </c>
      <c r="DA461">
        <v>1</v>
      </c>
      <c r="DB461">
        <f>IFERROR(AVERAGE(Tabel1[[#This Row],[In - V1a]:[In - V1c]]),"")</f>
        <v>3</v>
      </c>
      <c r="DC461">
        <v>4</v>
      </c>
      <c r="DD461">
        <v>2</v>
      </c>
      <c r="DE461">
        <v>2</v>
      </c>
      <c r="DF461">
        <f>IFERROR(AVERAGE(Tabel1[[#This Row],[In - V2a]:[In - V2c]]),"")</f>
        <v>2.6666666666666665</v>
      </c>
      <c r="DG461">
        <v>3</v>
      </c>
      <c r="DH461">
        <v>3</v>
      </c>
      <c r="DI461">
        <f>IFERROR(AVERAGE(Tabel1[[#This Row],[In - V3a]:[In - V3b]]),"")</f>
        <v>3</v>
      </c>
      <c r="DJ461">
        <v>4</v>
      </c>
      <c r="DK461">
        <f>IFERROR(AVERAGE(Tabel1[[#This Row],[In - V1]],Tabel1[[#This Row],[In - V2]],Tabel1[[#This Row],[In - V3]],Tabel1[[#This Row],[In - V4]]),"")</f>
        <v>3.1666666666666665</v>
      </c>
      <c r="DL461">
        <v>2</v>
      </c>
      <c r="DM461">
        <v>2</v>
      </c>
      <c r="DN461">
        <f>IFERROR(AVERAGE(Tabel1[[#This Row],[In - A1a]:[In - A1b]]),"")</f>
        <v>2</v>
      </c>
      <c r="DO461" t="s">
        <v>189</v>
      </c>
      <c r="DP461">
        <v>2</v>
      </c>
      <c r="DQ461">
        <f>IFERROR(AVERAGE(Tabel1[[#This Row],[In - A2a]:[In - A2b]]),"")</f>
        <v>2</v>
      </c>
      <c r="DR461">
        <v>3</v>
      </c>
      <c r="DS461">
        <v>2</v>
      </c>
      <c r="DT461">
        <f>IFERROR(AVERAGE(Tabel1[[#This Row],[In - A3a]:[In - A3a]]),"")</f>
        <v>3</v>
      </c>
      <c r="DU461">
        <v>3</v>
      </c>
      <c r="DV461">
        <f>IFERROR(AVERAGE(Tabel1[[#This Row],[In - A1]],Tabel1[[#This Row],[In - A2]],Tabel1[[#This Row],[In - A3]],Tabel1[[#This Row],[In - A4]]),"")</f>
        <v>2.5</v>
      </c>
      <c r="DW461" t="s">
        <v>189</v>
      </c>
      <c r="DX461">
        <v>5</v>
      </c>
      <c r="DY461">
        <v>2</v>
      </c>
      <c r="DZ461">
        <f>IFERROR(AVERAGE(Tabel1[[#This Row],[Do - R1a]:[Do - R1c]]),"")</f>
        <v>3.5</v>
      </c>
      <c r="EA461">
        <v>4</v>
      </c>
      <c r="EB461">
        <v>3</v>
      </c>
      <c r="EC461">
        <v>1</v>
      </c>
      <c r="ED461">
        <v>5</v>
      </c>
      <c r="EE461">
        <f>IFERROR(AVERAGE(Tabel1[[#This Row],[Do - R1]:[Do - R5]]),"")</f>
        <v>3.3</v>
      </c>
      <c r="EF461">
        <v>5</v>
      </c>
      <c r="EG461">
        <v>3</v>
      </c>
      <c r="EH461">
        <v>2</v>
      </c>
      <c r="EI461">
        <f>IFERROR(AVERAGE(Tabel1[[#This Row],[Do - C1a]:[Do - C1c]]),"")</f>
        <v>3.3333333333333335</v>
      </c>
      <c r="EJ461">
        <v>4</v>
      </c>
      <c r="EK461">
        <v>2</v>
      </c>
      <c r="EL461" t="s">
        <v>189</v>
      </c>
      <c r="EM461">
        <f>IFERROR(AVERAGE(Tabel1[[#This Row],[Do - C1]:[Do - C4]]),"")</f>
        <v>3.1111111111111112</v>
      </c>
      <c r="EN461">
        <v>3</v>
      </c>
      <c r="EO461">
        <v>5</v>
      </c>
      <c r="EP461">
        <v>3</v>
      </c>
      <c r="EQ461">
        <f>IFERROR(AVERAGE(Tabel1[[#This Row],[Do - F1a]:[Do - F1c]]),"")</f>
        <v>3.6666666666666665</v>
      </c>
      <c r="ER461">
        <v>4</v>
      </c>
      <c r="ES461">
        <f>IFERROR(AVERAGE(Tabel1[[#This Row],[Do - F2a]:[Do - F2a]]),"")</f>
        <v>4</v>
      </c>
      <c r="ET461">
        <v>3</v>
      </c>
      <c r="EU461">
        <v>3</v>
      </c>
      <c r="EV461">
        <f>IFERROR(AVERAGE(Tabel1[[#This Row],[Do - F3a]:[Do - F3b]]),"")</f>
        <v>3</v>
      </c>
      <c r="EW461">
        <v>3</v>
      </c>
      <c r="EX461">
        <f>IFERROR(AVERAGE(Tabel1[[#This Row],[Do - F1]],Tabel1[[#This Row],[Do - F2]],Tabel1[[#This Row],[Do - F3]],Tabel1[[#This Row],[Do - F4]]),"")</f>
        <v>3.4166666666666665</v>
      </c>
      <c r="EY461">
        <v>4</v>
      </c>
      <c r="EZ461">
        <v>3</v>
      </c>
      <c r="FA461">
        <v>5</v>
      </c>
      <c r="FB461">
        <f>IFERROR(AVERAGE(Tabel1[[#This Row],[Do - V1a]:[Do - V1c]]),"")</f>
        <v>4</v>
      </c>
      <c r="FC461">
        <v>4</v>
      </c>
      <c r="FD461">
        <v>4</v>
      </c>
      <c r="FE461">
        <f>IFERROR(AVERAGE(Tabel1[[#This Row],[Do - V2a]:[Do - V2b]]),"")</f>
        <v>4</v>
      </c>
      <c r="FF461">
        <v>3</v>
      </c>
      <c r="FG461">
        <f>IFERROR(AVERAGE(Tabel1[[#This Row],[Do - V3a]:[Do - V3a]]),"")</f>
        <v>3</v>
      </c>
      <c r="FH461">
        <v>3</v>
      </c>
      <c r="FI461">
        <f>IFERROR(AVERAGE(Tabel1[[#This Row],[Do - V1]],Tabel1[[#This Row],[Do - V2]],Tabel1[[#This Row],[Do - V3]],Tabel1[[#This Row],[Do - V4]]),"")</f>
        <v>3.5</v>
      </c>
      <c r="FJ461">
        <v>3</v>
      </c>
      <c r="FK461">
        <v>2</v>
      </c>
      <c r="FL461">
        <v>3</v>
      </c>
      <c r="FM461">
        <f>IFERROR(AVERAGE(Tabel1[[#This Row],[Do - A1a]:[Do - A1c]]),"")</f>
        <v>2.6666666666666665</v>
      </c>
      <c r="FN461">
        <v>2</v>
      </c>
      <c r="FO461">
        <v>2</v>
      </c>
      <c r="FP461">
        <f>IFERROR(AVERAGE(Tabel1[[#This Row],[Do - A2a]:[Do - A2b]]),"")</f>
        <v>2</v>
      </c>
      <c r="FQ461">
        <v>3</v>
      </c>
      <c r="FR461">
        <f>IFERROR(AVERAGE(Tabel1[[#This Row],[Do - A3a]:[Do - A3a]]),"")</f>
        <v>3</v>
      </c>
      <c r="FS461">
        <v>3</v>
      </c>
      <c r="FT461">
        <f>IFERROR(AVERAGE(Tabel1[[#This Row],[Do - A1]],Tabel1[[#This Row],[Do - A2]],Tabel1[[#This Row],[Do - A3]],Tabel1[[#This Row],[Do - A4]]),"")</f>
        <v>2.6666666666666665</v>
      </c>
      <c r="FU46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3.0088888888888889</v>
      </c>
      <c r="FV461" s="31" t="s">
        <v>2258</v>
      </c>
      <c r="FW461" t="b">
        <v>1</v>
      </c>
    </row>
    <row r="462" spans="1:179" x14ac:dyDescent="0.3">
      <c r="A462" s="13">
        <v>45743.363321759301</v>
      </c>
      <c r="B462" t="b">
        <v>0</v>
      </c>
      <c r="C462" t="s">
        <v>2259</v>
      </c>
      <c r="D462" t="s">
        <v>2260</v>
      </c>
      <c r="E462" t="s">
        <v>2231</v>
      </c>
      <c r="F462" s="14" t="s">
        <v>184</v>
      </c>
      <c r="G462" t="s">
        <v>2261</v>
      </c>
      <c r="H462" t="s">
        <v>222</v>
      </c>
      <c r="I462" t="s">
        <v>572</v>
      </c>
      <c r="J462" t="s">
        <v>573</v>
      </c>
      <c r="K462" t="s">
        <v>235</v>
      </c>
      <c r="L462" t="s">
        <v>385</v>
      </c>
      <c r="M462" t="s">
        <v>198</v>
      </c>
      <c r="N462" t="s">
        <v>331</v>
      </c>
      <c r="O462" t="s">
        <v>256</v>
      </c>
      <c r="P462" t="s">
        <v>203</v>
      </c>
      <c r="Q462" t="s">
        <v>201</v>
      </c>
      <c r="R462" t="s">
        <v>304</v>
      </c>
      <c r="S462" t="s">
        <v>202</v>
      </c>
      <c r="T462" t="s">
        <v>284</v>
      </c>
      <c r="U462" t="s">
        <v>237</v>
      </c>
      <c r="V462" t="s">
        <v>610</v>
      </c>
      <c r="W462" t="s">
        <v>207</v>
      </c>
      <c r="X462" t="s">
        <v>305</v>
      </c>
      <c r="Y462" t="s">
        <v>189</v>
      </c>
      <c r="Z462" t="s">
        <v>189</v>
      </c>
      <c r="AA462" t="s">
        <v>189</v>
      </c>
      <c r="AB462" t="str">
        <f>IFERROR(AVERAGE(Tabel1[[#This Row],[Up - R1a]:[Up - R1c]]),"")</f>
        <v/>
      </c>
      <c r="AC462">
        <v>3</v>
      </c>
      <c r="AD462">
        <v>3</v>
      </c>
      <c r="AE462" t="s">
        <v>189</v>
      </c>
      <c r="AF462" t="s">
        <v>189</v>
      </c>
      <c r="AG462">
        <f>IFERROR(AVERAGE(Tabel1[[#This Row],[Up - R1]:[Up - R5]]),"")</f>
        <v>3</v>
      </c>
      <c r="AH462">
        <v>3</v>
      </c>
      <c r="AI462">
        <v>3</v>
      </c>
      <c r="AJ462">
        <v>3</v>
      </c>
      <c r="AK462">
        <f>IFERROR(AVERAGE(Tabel1[[#This Row],[Up - C1a]:[Up - C1c]]),"")</f>
        <v>3</v>
      </c>
      <c r="AL462">
        <v>3</v>
      </c>
      <c r="AM462" t="s">
        <v>189</v>
      </c>
      <c r="AN462" t="s">
        <v>189</v>
      </c>
      <c r="AO462">
        <f>IFERROR(AVERAGE(Tabel1[[#This Row],[Up - C1]:[Up - C4]]),"")</f>
        <v>3</v>
      </c>
      <c r="AP462">
        <v>3</v>
      </c>
      <c r="AQ462">
        <f>IFERROR(AVERAGE(Tabel1[[#This Row],[Up - F1a]:[Up - F1a]]),"")</f>
        <v>3</v>
      </c>
      <c r="AR462" t="s">
        <v>189</v>
      </c>
      <c r="AS462" t="s">
        <v>189</v>
      </c>
      <c r="AT462" t="str">
        <f>IFERROR(AVERAGE(Tabel1[[#This Row],[Up - F2a]:[Up - F2b]]),"")</f>
        <v/>
      </c>
      <c r="AU462" t="s">
        <v>189</v>
      </c>
      <c r="AV462" t="s">
        <v>189</v>
      </c>
      <c r="AW462" t="str">
        <f>IFERROR(AVERAGE(Tabel1[[#This Row],[Up - F3a]:[Up - F3b]]),"")</f>
        <v/>
      </c>
      <c r="AX462" t="s">
        <v>189</v>
      </c>
      <c r="AY462">
        <f>IFERROR(AVERAGE(Tabel1[[#This Row],[Up - F1]],Tabel1[[#This Row],[Up - F2]],Tabel1[[#This Row],[Up - F3]],Tabel1[[#This Row],[Up - F4]]),"")</f>
        <v>3</v>
      </c>
      <c r="AZ462" t="s">
        <v>189</v>
      </c>
      <c r="BA462">
        <v>1</v>
      </c>
      <c r="BB462">
        <f>IFERROR(AVERAGE(Tabel1[[#This Row],[Up - V1a]:[Up - V1b]]),"")</f>
        <v>1</v>
      </c>
      <c r="BC462">
        <v>1</v>
      </c>
      <c r="BD462">
        <v>2</v>
      </c>
      <c r="BE462" t="s">
        <v>189</v>
      </c>
      <c r="BF462">
        <f>IFERROR(AVERAGE(Tabel1[[#This Row],[Up - V2a]:[Up - V2c]]),"")</f>
        <v>1.5</v>
      </c>
      <c r="BG462">
        <v>1</v>
      </c>
      <c r="BH462" t="s">
        <v>189</v>
      </c>
      <c r="BI462">
        <f>IFERROR(AVERAGE(Tabel1[[#This Row],[Up - V3a]:[Up - V3b]]),"")</f>
        <v>1</v>
      </c>
      <c r="BJ462" t="s">
        <v>189</v>
      </c>
      <c r="BK462">
        <f>IFERROR(AVERAGE(Tabel1[[#This Row],[Up - V1]],Tabel1[[#This Row],[Up - V2]],Tabel1[[#This Row],[Up - V3]],Tabel1[[#This Row],[Up - V4]]),"")</f>
        <v>1.1666666666666667</v>
      </c>
      <c r="BL462" t="s">
        <v>189</v>
      </c>
      <c r="BM462" t="s">
        <v>189</v>
      </c>
      <c r="BN462" t="s">
        <v>189</v>
      </c>
      <c r="BO462" t="s">
        <v>189</v>
      </c>
      <c r="BP462" t="str">
        <f>IFERROR(AVERAGE(Tabel1[[#This Row],[Up - A1a]:[Up - A1d]]),"")</f>
        <v/>
      </c>
      <c r="BQ462">
        <v>3</v>
      </c>
      <c r="BR462">
        <v>3</v>
      </c>
      <c r="BS462">
        <f>IFERROR(AVERAGE(Tabel1[[#This Row],[Up - A2a]:[Up - A2b]]),"")</f>
        <v>3</v>
      </c>
      <c r="BT462">
        <v>3</v>
      </c>
      <c r="BU462">
        <f>IFERROR(AVERAGE(Tabel1[[#This Row],[Up - A3a]:[Up - A3a]]),"")</f>
        <v>3</v>
      </c>
      <c r="BV462" t="s">
        <v>189</v>
      </c>
      <c r="BW462">
        <f>IFERROR(AVERAGE(Tabel1[[#This Row],[Up - A1]],Tabel1[[#This Row],[Up - A2]],Tabel1[[#This Row],[Up - A3]]),"")</f>
        <v>3</v>
      </c>
      <c r="BX462" t="s">
        <v>189</v>
      </c>
      <c r="BY462" t="s">
        <v>189</v>
      </c>
      <c r="BZ462" t="str">
        <f>IFERROR(AVERAGE(Tabel1[[#This Row],[In - R1a]:[In - R1b]]),"")</f>
        <v/>
      </c>
      <c r="CA462">
        <v>4</v>
      </c>
      <c r="CB462">
        <v>1</v>
      </c>
      <c r="CC462" t="s">
        <v>189</v>
      </c>
      <c r="CD462" t="s">
        <v>189</v>
      </c>
      <c r="CE462">
        <f>IFERROR(AVERAGE(Tabel1[[#This Row],[In - R1]:[In - R5]]),"")</f>
        <v>2.5</v>
      </c>
      <c r="CF462">
        <v>3</v>
      </c>
      <c r="CG462">
        <v>3</v>
      </c>
      <c r="CH462">
        <v>3</v>
      </c>
      <c r="CI462">
        <f>IFERROR(AVERAGE(Tabel1[[#This Row],[In - C1a]:[In - C1c]]),"")</f>
        <v>3</v>
      </c>
      <c r="CJ462" t="s">
        <v>189</v>
      </c>
      <c r="CK462">
        <v>3</v>
      </c>
      <c r="CL462" t="s">
        <v>189</v>
      </c>
      <c r="CM462">
        <f>IFERROR(AVERAGE(Tabel1[[#This Row],[In - C1]:[In - C4]]),"")</f>
        <v>3</v>
      </c>
      <c r="CN462">
        <v>3</v>
      </c>
      <c r="CO462">
        <v>3</v>
      </c>
      <c r="CP462" t="s">
        <v>189</v>
      </c>
      <c r="CQ462">
        <f>IFERROR(AVERAGE(Tabel1[[#This Row],[In - F1a]:[In - F1c]]),"")</f>
        <v>3</v>
      </c>
      <c r="CR462" t="s">
        <v>189</v>
      </c>
      <c r="CS462" t="s">
        <v>189</v>
      </c>
      <c r="CT462" t="str">
        <f>IFERROR(AVERAGE(Tabel1[[#This Row],[In - F2a]:[In - F2b]]),"")</f>
        <v/>
      </c>
      <c r="CU462" t="s">
        <v>189</v>
      </c>
      <c r="CV462" t="str">
        <f>IFERROR(AVERAGE(Tabel1[[#This Row],[In - F3a]:[In - F3a]]),"")</f>
        <v/>
      </c>
      <c r="CW462" t="s">
        <v>189</v>
      </c>
      <c r="CX462">
        <f>IFERROR(AVERAGE(Tabel1[[#This Row],[In - F1]],Tabel1[[#This Row],[In - F2]],Tabel1[[#This Row],[In - F3]],Tabel1[[#This Row],[In - F4]]),"")</f>
        <v>3</v>
      </c>
      <c r="CY462">
        <v>3</v>
      </c>
      <c r="CZ462">
        <v>4</v>
      </c>
      <c r="DA462">
        <v>3</v>
      </c>
      <c r="DB462">
        <f>IFERROR(AVERAGE(Tabel1[[#This Row],[In - V1a]:[In - V1c]]),"")</f>
        <v>3.3333333333333335</v>
      </c>
      <c r="DC462">
        <v>3</v>
      </c>
      <c r="DD462">
        <v>3</v>
      </c>
      <c r="DE462">
        <v>4</v>
      </c>
      <c r="DF462">
        <f>IFERROR(AVERAGE(Tabel1[[#This Row],[In - V2a]:[In - V2c]]),"")</f>
        <v>3.3333333333333335</v>
      </c>
      <c r="DG462">
        <v>3</v>
      </c>
      <c r="DH462">
        <v>3</v>
      </c>
      <c r="DI462">
        <f>IFERROR(AVERAGE(Tabel1[[#This Row],[In - V3a]:[In - V3b]]),"")</f>
        <v>3</v>
      </c>
      <c r="DJ462">
        <v>4</v>
      </c>
      <c r="DK462">
        <f>IFERROR(AVERAGE(Tabel1[[#This Row],[In - V1]],Tabel1[[#This Row],[In - V2]],Tabel1[[#This Row],[In - V3]],Tabel1[[#This Row],[In - V4]]),"")</f>
        <v>3.416666666666667</v>
      </c>
      <c r="DL462">
        <v>4</v>
      </c>
      <c r="DM462">
        <v>3</v>
      </c>
      <c r="DN462">
        <f>IFERROR(AVERAGE(Tabel1[[#This Row],[In - A1a]:[In - A1b]]),"")</f>
        <v>3.5</v>
      </c>
      <c r="DO462" t="s">
        <v>189</v>
      </c>
      <c r="DP462">
        <v>3</v>
      </c>
      <c r="DQ462">
        <f>IFERROR(AVERAGE(Tabel1[[#This Row],[In - A2a]:[In - A2b]]),"")</f>
        <v>3</v>
      </c>
      <c r="DR462">
        <v>4</v>
      </c>
      <c r="DS462">
        <v>3</v>
      </c>
      <c r="DT462">
        <f>IFERROR(AVERAGE(Tabel1[[#This Row],[In - A3a]:[In - A3a]]),"")</f>
        <v>4</v>
      </c>
      <c r="DU462" t="s">
        <v>189</v>
      </c>
      <c r="DV462">
        <f>IFERROR(AVERAGE(Tabel1[[#This Row],[In - A1]],Tabel1[[#This Row],[In - A2]],Tabel1[[#This Row],[In - A3]],Tabel1[[#This Row],[In - A4]]),"")</f>
        <v>3.5</v>
      </c>
      <c r="DW462">
        <v>2</v>
      </c>
      <c r="DX462">
        <v>1</v>
      </c>
      <c r="DY462">
        <v>1</v>
      </c>
      <c r="DZ462">
        <f>IFERROR(AVERAGE(Tabel1[[#This Row],[Do - R1a]:[Do - R1c]]),"")</f>
        <v>1.3333333333333333</v>
      </c>
      <c r="EA462">
        <v>3</v>
      </c>
      <c r="EB462">
        <v>1</v>
      </c>
      <c r="EC462" t="s">
        <v>189</v>
      </c>
      <c r="ED462" t="s">
        <v>189</v>
      </c>
      <c r="EE462">
        <f>IFERROR(AVERAGE(Tabel1[[#This Row],[Do - R1]:[Do - R5]]),"")</f>
        <v>1.7777777777777777</v>
      </c>
      <c r="EF462">
        <v>5</v>
      </c>
      <c r="EG462">
        <v>3</v>
      </c>
      <c r="EH462">
        <v>4</v>
      </c>
      <c r="EI462">
        <f>IFERROR(AVERAGE(Tabel1[[#This Row],[Do - C1a]:[Do - C1c]]),"")</f>
        <v>4</v>
      </c>
      <c r="EJ462" t="s">
        <v>189</v>
      </c>
      <c r="EK462">
        <v>3</v>
      </c>
      <c r="EL462" t="s">
        <v>189</v>
      </c>
      <c r="EM462">
        <f>IFERROR(AVERAGE(Tabel1[[#This Row],[Do - C1]:[Do - C4]]),"")</f>
        <v>3.5</v>
      </c>
      <c r="EN462">
        <v>3</v>
      </c>
      <c r="EO462" t="s">
        <v>189</v>
      </c>
      <c r="EP462">
        <v>1</v>
      </c>
      <c r="EQ462">
        <f>IFERROR(AVERAGE(Tabel1[[#This Row],[Do - F1a]:[Do - F1c]]),"")</f>
        <v>2</v>
      </c>
      <c r="ER462">
        <v>3</v>
      </c>
      <c r="ES462">
        <f>IFERROR(AVERAGE(Tabel1[[#This Row],[Do - F2a]:[Do - F2a]]),"")</f>
        <v>3</v>
      </c>
      <c r="ET462" t="s">
        <v>189</v>
      </c>
      <c r="EU462" t="s">
        <v>189</v>
      </c>
      <c r="EV462" t="str">
        <f>IFERROR(AVERAGE(Tabel1[[#This Row],[Do - F3a]:[Do - F3b]]),"")</f>
        <v/>
      </c>
      <c r="EW462" t="s">
        <v>189</v>
      </c>
      <c r="EX462">
        <f>IFERROR(AVERAGE(Tabel1[[#This Row],[Do - F1]],Tabel1[[#This Row],[Do - F2]],Tabel1[[#This Row],[Do - F3]],Tabel1[[#This Row],[Do - F4]]),"")</f>
        <v>2.5</v>
      </c>
      <c r="EY462">
        <v>3</v>
      </c>
      <c r="EZ462">
        <v>3</v>
      </c>
      <c r="FA462" t="s">
        <v>189</v>
      </c>
      <c r="FB462">
        <f>IFERROR(AVERAGE(Tabel1[[#This Row],[Do - V1a]:[Do - V1c]]),"")</f>
        <v>3</v>
      </c>
      <c r="FC462">
        <v>5</v>
      </c>
      <c r="FD462" t="s">
        <v>189</v>
      </c>
      <c r="FE462">
        <f>IFERROR(AVERAGE(Tabel1[[#This Row],[Do - V2a]:[Do - V2b]]),"")</f>
        <v>5</v>
      </c>
      <c r="FF462">
        <v>3</v>
      </c>
      <c r="FG462">
        <f>IFERROR(AVERAGE(Tabel1[[#This Row],[Do - V3a]:[Do - V3a]]),"")</f>
        <v>3</v>
      </c>
      <c r="FH462" t="s">
        <v>189</v>
      </c>
      <c r="FI462">
        <f>IFERROR(AVERAGE(Tabel1[[#This Row],[Do - V1]],Tabel1[[#This Row],[Do - V2]],Tabel1[[#This Row],[Do - V3]],Tabel1[[#This Row],[Do - V4]]),"")</f>
        <v>3.6666666666666665</v>
      </c>
      <c r="FJ462">
        <v>5</v>
      </c>
      <c r="FK462" t="s">
        <v>189</v>
      </c>
      <c r="FL462" t="s">
        <v>189</v>
      </c>
      <c r="FM462">
        <f>IFERROR(AVERAGE(Tabel1[[#This Row],[Do - A1a]:[Do - A1c]]),"")</f>
        <v>5</v>
      </c>
      <c r="FN462" t="s">
        <v>189</v>
      </c>
      <c r="FO462" t="s">
        <v>189</v>
      </c>
      <c r="FP462" t="str">
        <f>IFERROR(AVERAGE(Tabel1[[#This Row],[Do - A2a]:[Do - A2b]]),"")</f>
        <v/>
      </c>
      <c r="FQ462">
        <v>5</v>
      </c>
      <c r="FR462">
        <f>IFERROR(AVERAGE(Tabel1[[#This Row],[Do - A3a]:[Do - A3a]]),"")</f>
        <v>5</v>
      </c>
      <c r="FS462" t="s">
        <v>189</v>
      </c>
      <c r="FT462">
        <f>IFERROR(AVERAGE(Tabel1[[#This Row],[Do - A1]],Tabel1[[#This Row],[Do - A2]],Tabel1[[#This Row],[Do - A3]],Tabel1[[#This Row],[Do - A4]]),"")</f>
        <v>5</v>
      </c>
      <c r="FU46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3.001851851851852</v>
      </c>
      <c r="FV462" s="31" t="s">
        <v>2262</v>
      </c>
      <c r="FW462" t="b">
        <v>1</v>
      </c>
    </row>
    <row r="463" spans="1:179" x14ac:dyDescent="0.3">
      <c r="A463" s="13">
        <v>45743.418159722198</v>
      </c>
      <c r="B463" t="b">
        <v>0</v>
      </c>
      <c r="C463" t="s">
        <v>2263</v>
      </c>
      <c r="D463" t="s">
        <v>2264</v>
      </c>
      <c r="E463" t="s">
        <v>2265</v>
      </c>
      <c r="F463" s="14" t="s">
        <v>184</v>
      </c>
      <c r="G463" t="s">
        <v>2266</v>
      </c>
      <c r="H463" t="s">
        <v>222</v>
      </c>
      <c r="I463" t="s">
        <v>195</v>
      </c>
      <c r="J463" t="s">
        <v>1785</v>
      </c>
      <c r="K463" t="s">
        <v>203</v>
      </c>
      <c r="L463" t="s">
        <v>249</v>
      </c>
      <c r="M463" t="s">
        <v>198</v>
      </c>
      <c r="N463" t="s">
        <v>316</v>
      </c>
      <c r="O463" t="s">
        <v>200</v>
      </c>
      <c r="P463" t="s">
        <v>255</v>
      </c>
      <c r="Q463" t="s">
        <v>304</v>
      </c>
      <c r="R463" t="s">
        <v>202</v>
      </c>
      <c r="S463" t="s">
        <v>201</v>
      </c>
      <c r="T463" t="s">
        <v>380</v>
      </c>
      <c r="U463" t="s">
        <v>349</v>
      </c>
      <c r="V463" t="s">
        <v>224</v>
      </c>
      <c r="W463" t="s">
        <v>207</v>
      </c>
      <c r="X463" t="s">
        <v>207</v>
      </c>
      <c r="Y463">
        <v>2</v>
      </c>
      <c r="Z463">
        <v>1</v>
      </c>
      <c r="AA463" t="s">
        <v>189</v>
      </c>
      <c r="AB463">
        <f>IFERROR(AVERAGE(Tabel1[[#This Row],[Up - R1a]:[Up - R1c]]),"")</f>
        <v>1.5</v>
      </c>
      <c r="AC463">
        <v>3</v>
      </c>
      <c r="AD463">
        <v>3</v>
      </c>
      <c r="AE463">
        <v>2</v>
      </c>
      <c r="AF463" t="s">
        <v>189</v>
      </c>
      <c r="AG463">
        <f>IFERROR(AVERAGE(Tabel1[[#This Row],[Up - R1]:[Up - R5]]),"")</f>
        <v>2.375</v>
      </c>
      <c r="AH463">
        <v>4</v>
      </c>
      <c r="AI463">
        <v>4</v>
      </c>
      <c r="AJ463">
        <v>3</v>
      </c>
      <c r="AK463">
        <f>IFERROR(AVERAGE(Tabel1[[#This Row],[Up - C1a]:[Up - C1c]]),"")</f>
        <v>3.6666666666666665</v>
      </c>
      <c r="AL463">
        <v>4</v>
      </c>
      <c r="AM463">
        <v>3</v>
      </c>
      <c r="AN463">
        <v>3</v>
      </c>
      <c r="AO463">
        <f>IFERROR(AVERAGE(Tabel1[[#This Row],[Up - C1]:[Up - C4]]),"")</f>
        <v>3.4166666666666665</v>
      </c>
      <c r="AP463">
        <v>4</v>
      </c>
      <c r="AQ463">
        <f>IFERROR(AVERAGE(Tabel1[[#This Row],[Up - F1a]:[Up - F1a]]),"")</f>
        <v>4</v>
      </c>
      <c r="AR463">
        <v>2</v>
      </c>
      <c r="AS463">
        <v>5</v>
      </c>
      <c r="AT463">
        <f>IFERROR(AVERAGE(Tabel1[[#This Row],[Up - F2a]:[Up - F2b]]),"")</f>
        <v>3.5</v>
      </c>
      <c r="AU463">
        <v>3</v>
      </c>
      <c r="AV463">
        <v>2</v>
      </c>
      <c r="AW463">
        <f>IFERROR(AVERAGE(Tabel1[[#This Row],[Up - F3a]:[Up - F3b]]),"")</f>
        <v>2.5</v>
      </c>
      <c r="AX463">
        <v>1</v>
      </c>
      <c r="AY463">
        <f>IFERROR(AVERAGE(Tabel1[[#This Row],[Up - F1]],Tabel1[[#This Row],[Up - F2]],Tabel1[[#This Row],[Up - F3]],Tabel1[[#This Row],[Up - F4]]),"")</f>
        <v>2.75</v>
      </c>
      <c r="AZ463">
        <v>5</v>
      </c>
      <c r="BA463">
        <v>4</v>
      </c>
      <c r="BB463">
        <f>IFERROR(AVERAGE(Tabel1[[#This Row],[Up - V1a]:[Up - V1b]]),"")</f>
        <v>4.5</v>
      </c>
      <c r="BC463">
        <v>4</v>
      </c>
      <c r="BD463">
        <v>2</v>
      </c>
      <c r="BE463">
        <v>4</v>
      </c>
      <c r="BF463">
        <f>IFERROR(AVERAGE(Tabel1[[#This Row],[Up - V2a]:[Up - V2c]]),"")</f>
        <v>3.3333333333333335</v>
      </c>
      <c r="BG463">
        <v>2</v>
      </c>
      <c r="BH463">
        <v>2</v>
      </c>
      <c r="BI463">
        <f>IFERROR(AVERAGE(Tabel1[[#This Row],[Up - V3a]:[Up - V3b]]),"")</f>
        <v>2</v>
      </c>
      <c r="BJ463">
        <v>3</v>
      </c>
      <c r="BK463">
        <f>IFERROR(AVERAGE(Tabel1[[#This Row],[Up - V1]],Tabel1[[#This Row],[Up - V2]],Tabel1[[#This Row],[Up - V3]],Tabel1[[#This Row],[Up - V4]]),"")</f>
        <v>3.2083333333333335</v>
      </c>
      <c r="BL463">
        <v>3</v>
      </c>
      <c r="BM463">
        <v>4</v>
      </c>
      <c r="BN463">
        <v>4</v>
      </c>
      <c r="BO463">
        <v>2</v>
      </c>
      <c r="BP463">
        <f>IFERROR(AVERAGE(Tabel1[[#This Row],[Up - A1a]:[Up - A1d]]),"")</f>
        <v>3.25</v>
      </c>
      <c r="BQ463">
        <v>3</v>
      </c>
      <c r="BR463">
        <v>3</v>
      </c>
      <c r="BS463">
        <f>IFERROR(AVERAGE(Tabel1[[#This Row],[Up - A2a]:[Up - A2b]]),"")</f>
        <v>3</v>
      </c>
      <c r="BT463">
        <v>4</v>
      </c>
      <c r="BU463">
        <f>IFERROR(AVERAGE(Tabel1[[#This Row],[Up - A3a]:[Up - A3a]]),"")</f>
        <v>4</v>
      </c>
      <c r="BV463">
        <v>3</v>
      </c>
      <c r="BW463">
        <f>IFERROR(AVERAGE(Tabel1[[#This Row],[Up - A1]],Tabel1[[#This Row],[Up - A2]],Tabel1[[#This Row],[Up - A3]]),"")</f>
        <v>3.4166666666666665</v>
      </c>
      <c r="BX463">
        <v>2</v>
      </c>
      <c r="BY463">
        <v>1</v>
      </c>
      <c r="BZ463">
        <f>IFERROR(AVERAGE(Tabel1[[#This Row],[In - R1a]:[In - R1b]]),"")</f>
        <v>1.5</v>
      </c>
      <c r="CA463">
        <v>5</v>
      </c>
      <c r="CB463">
        <v>1</v>
      </c>
      <c r="CC463" t="s">
        <v>189</v>
      </c>
      <c r="CD463">
        <v>1</v>
      </c>
      <c r="CE463">
        <f>IFERROR(AVERAGE(Tabel1[[#This Row],[In - R1]:[In - R5]]),"")</f>
        <v>2.125</v>
      </c>
      <c r="CF463">
        <v>4</v>
      </c>
      <c r="CG463">
        <v>3</v>
      </c>
      <c r="CH463">
        <v>3</v>
      </c>
      <c r="CI463">
        <f>IFERROR(AVERAGE(Tabel1[[#This Row],[In - C1a]:[In - C1c]]),"")</f>
        <v>3.3333333333333335</v>
      </c>
      <c r="CJ463">
        <v>3</v>
      </c>
      <c r="CK463">
        <v>3</v>
      </c>
      <c r="CL463">
        <v>5</v>
      </c>
      <c r="CM463">
        <f>IFERROR(AVERAGE(Tabel1[[#This Row],[In - C1]:[In - C4]]),"")</f>
        <v>3.5833333333333335</v>
      </c>
      <c r="CN463">
        <v>4</v>
      </c>
      <c r="CO463">
        <v>4</v>
      </c>
      <c r="CP463">
        <v>1</v>
      </c>
      <c r="CQ463">
        <f>IFERROR(AVERAGE(Tabel1[[#This Row],[In - F1a]:[In - F1c]]),"")</f>
        <v>3</v>
      </c>
      <c r="CR463">
        <v>3</v>
      </c>
      <c r="CS463">
        <v>1</v>
      </c>
      <c r="CT463">
        <f>IFERROR(AVERAGE(Tabel1[[#This Row],[In - F2a]:[In - F2b]]),"")</f>
        <v>2</v>
      </c>
      <c r="CU463">
        <v>1</v>
      </c>
      <c r="CV463">
        <f>IFERROR(AVERAGE(Tabel1[[#This Row],[In - F3a]:[In - F3a]]),"")</f>
        <v>1</v>
      </c>
      <c r="CW463" t="s">
        <v>189</v>
      </c>
      <c r="CX463">
        <f>IFERROR(AVERAGE(Tabel1[[#This Row],[In - F1]],Tabel1[[#This Row],[In - F2]],Tabel1[[#This Row],[In - F3]],Tabel1[[#This Row],[In - F4]]),"")</f>
        <v>2</v>
      </c>
      <c r="CY463">
        <v>4</v>
      </c>
      <c r="CZ463">
        <v>3</v>
      </c>
      <c r="DA463">
        <v>1</v>
      </c>
      <c r="DB463">
        <f>IFERROR(AVERAGE(Tabel1[[#This Row],[In - V1a]:[In - V1c]]),"")</f>
        <v>2.6666666666666665</v>
      </c>
      <c r="DC463">
        <v>3</v>
      </c>
      <c r="DD463">
        <v>1</v>
      </c>
      <c r="DE463">
        <v>3</v>
      </c>
      <c r="DF463">
        <f>IFERROR(AVERAGE(Tabel1[[#This Row],[In - V2a]:[In - V2c]]),"")</f>
        <v>2.3333333333333335</v>
      </c>
      <c r="DG463">
        <v>1</v>
      </c>
      <c r="DH463">
        <v>4</v>
      </c>
      <c r="DI463">
        <f>IFERROR(AVERAGE(Tabel1[[#This Row],[In - V3a]:[In - V3b]]),"")</f>
        <v>2.5</v>
      </c>
      <c r="DJ463">
        <v>3</v>
      </c>
      <c r="DK463">
        <f>IFERROR(AVERAGE(Tabel1[[#This Row],[In - V1]],Tabel1[[#This Row],[In - V2]],Tabel1[[#This Row],[In - V3]],Tabel1[[#This Row],[In - V4]]),"")</f>
        <v>2.625</v>
      </c>
      <c r="DL463">
        <v>4</v>
      </c>
      <c r="DM463">
        <v>2</v>
      </c>
      <c r="DN463">
        <f>IFERROR(AVERAGE(Tabel1[[#This Row],[In - A1a]:[In - A1b]]),"")</f>
        <v>3</v>
      </c>
      <c r="DO463">
        <v>3</v>
      </c>
      <c r="DP463">
        <v>3</v>
      </c>
      <c r="DQ463">
        <f>IFERROR(AVERAGE(Tabel1[[#This Row],[In - A2a]:[In - A2b]]),"")</f>
        <v>3</v>
      </c>
      <c r="DR463">
        <v>4</v>
      </c>
      <c r="DS463">
        <v>3</v>
      </c>
      <c r="DT463">
        <f>IFERROR(AVERAGE(Tabel1[[#This Row],[In - A3a]:[In - A3a]]),"")</f>
        <v>4</v>
      </c>
      <c r="DU463">
        <v>4</v>
      </c>
      <c r="DV463">
        <f>IFERROR(AVERAGE(Tabel1[[#This Row],[In - A1]],Tabel1[[#This Row],[In - A2]],Tabel1[[#This Row],[In - A3]],Tabel1[[#This Row],[In - A4]]),"")</f>
        <v>3.5</v>
      </c>
      <c r="DW463">
        <v>1</v>
      </c>
      <c r="DX463">
        <v>4</v>
      </c>
      <c r="DY463">
        <v>2</v>
      </c>
      <c r="DZ463">
        <f>IFERROR(AVERAGE(Tabel1[[#This Row],[Do - R1a]:[Do - R1c]]),"")</f>
        <v>2.3333333333333335</v>
      </c>
      <c r="EA463">
        <v>4</v>
      </c>
      <c r="EB463">
        <v>2</v>
      </c>
      <c r="EC463" t="s">
        <v>189</v>
      </c>
      <c r="ED463" t="s">
        <v>189</v>
      </c>
      <c r="EE463">
        <f>IFERROR(AVERAGE(Tabel1[[#This Row],[Do - R1]:[Do - R5]]),"")</f>
        <v>2.7777777777777781</v>
      </c>
      <c r="EF463">
        <v>4</v>
      </c>
      <c r="EG463">
        <v>4</v>
      </c>
      <c r="EH463">
        <v>3</v>
      </c>
      <c r="EI463">
        <f>IFERROR(AVERAGE(Tabel1[[#This Row],[Do - C1a]:[Do - C1c]]),"")</f>
        <v>3.6666666666666665</v>
      </c>
      <c r="EJ463" t="s">
        <v>189</v>
      </c>
      <c r="EK463" t="s">
        <v>189</v>
      </c>
      <c r="EL463">
        <v>3</v>
      </c>
      <c r="EM463">
        <f>IFERROR(AVERAGE(Tabel1[[#This Row],[Do - C1]:[Do - C4]]),"")</f>
        <v>3.333333333333333</v>
      </c>
      <c r="EN463" t="s">
        <v>189</v>
      </c>
      <c r="EO463" t="s">
        <v>189</v>
      </c>
      <c r="EP463">
        <v>3</v>
      </c>
      <c r="EQ463">
        <f>IFERROR(AVERAGE(Tabel1[[#This Row],[Do - F1a]:[Do - F1c]]),"")</f>
        <v>3</v>
      </c>
      <c r="ER463" t="s">
        <v>189</v>
      </c>
      <c r="ES463" t="str">
        <f>IFERROR(AVERAGE(Tabel1[[#This Row],[Do - F2a]:[Do - F2a]]),"")</f>
        <v/>
      </c>
      <c r="ET463">
        <v>1</v>
      </c>
      <c r="EU463">
        <v>1</v>
      </c>
      <c r="EV463">
        <f>IFERROR(AVERAGE(Tabel1[[#This Row],[Do - F3a]:[Do - F3b]]),"")</f>
        <v>1</v>
      </c>
      <c r="EW463">
        <v>1</v>
      </c>
      <c r="EX463">
        <f>IFERROR(AVERAGE(Tabel1[[#This Row],[Do - F1]],Tabel1[[#This Row],[Do - F2]],Tabel1[[#This Row],[Do - F3]],Tabel1[[#This Row],[Do - F4]]),"")</f>
        <v>1.6666666666666667</v>
      </c>
      <c r="EY463">
        <v>1</v>
      </c>
      <c r="EZ463">
        <v>1</v>
      </c>
      <c r="FA463">
        <v>4</v>
      </c>
      <c r="FB463">
        <f>IFERROR(AVERAGE(Tabel1[[#This Row],[Do - V1a]:[Do - V1c]]),"")</f>
        <v>2</v>
      </c>
      <c r="FC463">
        <v>2</v>
      </c>
      <c r="FD463">
        <v>5</v>
      </c>
      <c r="FE463">
        <f>IFERROR(AVERAGE(Tabel1[[#This Row],[Do - V2a]:[Do - V2b]]),"")</f>
        <v>3.5</v>
      </c>
      <c r="FF463">
        <v>2</v>
      </c>
      <c r="FG463">
        <f>IFERROR(AVERAGE(Tabel1[[#This Row],[Do - V3a]:[Do - V3a]]),"")</f>
        <v>2</v>
      </c>
      <c r="FH463">
        <v>3</v>
      </c>
      <c r="FI463">
        <f>IFERROR(AVERAGE(Tabel1[[#This Row],[Do - V1]],Tabel1[[#This Row],[Do - V2]],Tabel1[[#This Row],[Do - V3]],Tabel1[[#This Row],[Do - V4]]),"")</f>
        <v>2.625</v>
      </c>
      <c r="FJ463">
        <v>4</v>
      </c>
      <c r="FK463">
        <v>3</v>
      </c>
      <c r="FL463">
        <v>4</v>
      </c>
      <c r="FM463">
        <f>IFERROR(AVERAGE(Tabel1[[#This Row],[Do - A1a]:[Do - A1c]]),"")</f>
        <v>3.6666666666666665</v>
      </c>
      <c r="FN463" t="s">
        <v>189</v>
      </c>
      <c r="FO463">
        <v>4</v>
      </c>
      <c r="FP463">
        <f>IFERROR(AVERAGE(Tabel1[[#This Row],[Do - A2a]:[Do - A2b]]),"")</f>
        <v>4</v>
      </c>
      <c r="FQ463">
        <v>4</v>
      </c>
      <c r="FR463">
        <f>IFERROR(AVERAGE(Tabel1[[#This Row],[Do - A3a]:[Do - A3a]]),"")</f>
        <v>4</v>
      </c>
      <c r="FS463">
        <v>3</v>
      </c>
      <c r="FT463">
        <f>IFERROR(AVERAGE(Tabel1[[#This Row],[Do - A1]],Tabel1[[#This Row],[Do - A2]],Tabel1[[#This Row],[Do - A3]],Tabel1[[#This Row],[Do - A4]]),"")</f>
        <v>3.6666666666666665</v>
      </c>
      <c r="FU46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2.8712962962962956</v>
      </c>
      <c r="FV463" s="31" t="s">
        <v>2267</v>
      </c>
      <c r="FW463" t="b">
        <v>1</v>
      </c>
    </row>
    <row r="464" spans="1:179" x14ac:dyDescent="0.3">
      <c r="A464" s="13">
        <v>45743.425555555601</v>
      </c>
      <c r="B464" t="b">
        <v>0</v>
      </c>
      <c r="C464" t="s">
        <v>2268</v>
      </c>
      <c r="D464" t="s">
        <v>2269</v>
      </c>
      <c r="E464" t="s">
        <v>1589</v>
      </c>
      <c r="F464" s="14" t="s">
        <v>2091</v>
      </c>
      <c r="G464" t="s">
        <v>2270</v>
      </c>
      <c r="H464" t="s">
        <v>222</v>
      </c>
      <c r="I464" t="s">
        <v>195</v>
      </c>
      <c r="J464" t="s">
        <v>406</v>
      </c>
      <c r="K464" t="s">
        <v>201</v>
      </c>
      <c r="M464" t="s">
        <v>198</v>
      </c>
      <c r="N464" t="s">
        <v>199</v>
      </c>
      <c r="O464" t="s">
        <v>200</v>
      </c>
      <c r="P464" t="s">
        <v>255</v>
      </c>
      <c r="Q464" t="s">
        <v>203</v>
      </c>
      <c r="R464" t="s">
        <v>201</v>
      </c>
      <c r="S464" t="s">
        <v>201</v>
      </c>
      <c r="T464" t="s">
        <v>204</v>
      </c>
      <c r="U464" t="s">
        <v>205</v>
      </c>
      <c r="V464" t="s">
        <v>206</v>
      </c>
      <c r="W464" t="s">
        <v>207</v>
      </c>
      <c r="X464" t="s">
        <v>207</v>
      </c>
      <c r="Y464">
        <v>4</v>
      </c>
      <c r="Z464">
        <v>5</v>
      </c>
      <c r="AB464">
        <f>IFERROR(AVERAGE(Tabel1[[#This Row],[Up - R1a]:[Up - R1c]]),"")</f>
        <v>4.5</v>
      </c>
      <c r="AC464">
        <v>1</v>
      </c>
      <c r="AE464" t="s">
        <v>189</v>
      </c>
      <c r="AF464" t="s">
        <v>189</v>
      </c>
      <c r="AG464">
        <f>IFERROR(AVERAGE(Tabel1[[#This Row],[Up - R1]:[Up - R5]]),"")</f>
        <v>2.75</v>
      </c>
      <c r="AH464">
        <v>5</v>
      </c>
      <c r="AI464">
        <v>5</v>
      </c>
      <c r="AJ464">
        <v>4</v>
      </c>
      <c r="AK464">
        <f>IFERROR(AVERAGE(Tabel1[[#This Row],[Up - C1a]:[Up - C1c]]),"")</f>
        <v>4.666666666666667</v>
      </c>
      <c r="AM464">
        <v>1</v>
      </c>
      <c r="AN464">
        <v>5</v>
      </c>
      <c r="AO464">
        <f>IFERROR(AVERAGE(Tabel1[[#This Row],[Up - C1]:[Up - C4]]),"")</f>
        <v>3.5555555555555558</v>
      </c>
      <c r="AP464">
        <v>2</v>
      </c>
      <c r="AQ464">
        <f>IFERROR(AVERAGE(Tabel1[[#This Row],[Up - F1a]:[Up - F1a]]),"")</f>
        <v>2</v>
      </c>
      <c r="AT464" t="str">
        <f>IFERROR(AVERAGE(Tabel1[[#This Row],[Up - F2a]:[Up - F2b]]),"")</f>
        <v/>
      </c>
      <c r="AW464" t="str">
        <f>IFERROR(AVERAGE(Tabel1[[#This Row],[Up - F3a]:[Up - F3b]]),"")</f>
        <v/>
      </c>
      <c r="AX464">
        <v>1</v>
      </c>
      <c r="AY464">
        <f>IFERROR(AVERAGE(Tabel1[[#This Row],[Up - F1]],Tabel1[[#This Row],[Up - F2]],Tabel1[[#This Row],[Up - F3]],Tabel1[[#This Row],[Up - F4]]),"")</f>
        <v>1.5</v>
      </c>
      <c r="BA464">
        <v>4</v>
      </c>
      <c r="BB464">
        <f>IFERROR(AVERAGE(Tabel1[[#This Row],[Up - V1a]:[Up - V1b]]),"")</f>
        <v>4</v>
      </c>
      <c r="BC464">
        <v>3</v>
      </c>
      <c r="BD464">
        <v>2</v>
      </c>
      <c r="BE464">
        <v>4</v>
      </c>
      <c r="BF464">
        <f>IFERROR(AVERAGE(Tabel1[[#This Row],[Up - V2a]:[Up - V2c]]),"")</f>
        <v>3</v>
      </c>
      <c r="BI464" t="str">
        <f>IFERROR(AVERAGE(Tabel1[[#This Row],[Up - V3a]:[Up - V3b]]),"")</f>
        <v/>
      </c>
      <c r="BJ464">
        <v>3</v>
      </c>
      <c r="BK464">
        <f>IFERROR(AVERAGE(Tabel1[[#This Row],[Up - V1]],Tabel1[[#This Row],[Up - V2]],Tabel1[[#This Row],[Up - V3]],Tabel1[[#This Row],[Up - V4]]),"")</f>
        <v>3.3333333333333335</v>
      </c>
      <c r="BL464">
        <v>3</v>
      </c>
      <c r="BM464">
        <v>4</v>
      </c>
      <c r="BN464">
        <v>3</v>
      </c>
      <c r="BO464">
        <v>2</v>
      </c>
      <c r="BP464">
        <f>IFERROR(AVERAGE(Tabel1[[#This Row],[Up - A1a]:[Up - A1d]]),"")</f>
        <v>3</v>
      </c>
      <c r="BQ464">
        <v>4</v>
      </c>
      <c r="BR464">
        <v>1</v>
      </c>
      <c r="BS464">
        <f>IFERROR(AVERAGE(Tabel1[[#This Row],[Up - A2a]:[Up - A2b]]),"")</f>
        <v>2.5</v>
      </c>
      <c r="BT464">
        <v>3</v>
      </c>
      <c r="BU464">
        <f>IFERROR(AVERAGE(Tabel1[[#This Row],[Up - A3a]:[Up - A3a]]),"")</f>
        <v>3</v>
      </c>
      <c r="BV464">
        <v>3</v>
      </c>
      <c r="BW464">
        <f>IFERROR(AVERAGE(Tabel1[[#This Row],[Up - A1]],Tabel1[[#This Row],[Up - A2]],Tabel1[[#This Row],[Up - A3]]),"")</f>
        <v>2.8333333333333335</v>
      </c>
      <c r="BX464">
        <v>1</v>
      </c>
      <c r="BZ464">
        <f>IFERROR(AVERAGE(Tabel1[[#This Row],[In - R1a]:[In - R1b]]),"")</f>
        <v>1</v>
      </c>
      <c r="CA464">
        <v>3</v>
      </c>
      <c r="CB464" t="s">
        <v>189</v>
      </c>
      <c r="CC464">
        <v>1</v>
      </c>
      <c r="CD464">
        <v>4</v>
      </c>
      <c r="CE464">
        <f>IFERROR(AVERAGE(Tabel1[[#This Row],[In - R1]:[In - R5]]),"")</f>
        <v>2.25</v>
      </c>
      <c r="CF464">
        <v>5</v>
      </c>
      <c r="CG464">
        <v>5</v>
      </c>
      <c r="CH464">
        <v>4</v>
      </c>
      <c r="CI464">
        <f>IFERROR(AVERAGE(Tabel1[[#This Row],[In - C1a]:[In - C1c]]),"")</f>
        <v>4.666666666666667</v>
      </c>
      <c r="CJ464">
        <v>3</v>
      </c>
      <c r="CK464">
        <v>2</v>
      </c>
      <c r="CL464">
        <v>3</v>
      </c>
      <c r="CM464">
        <f>IFERROR(AVERAGE(Tabel1[[#This Row],[In - C1]:[In - C4]]),"")</f>
        <v>3.166666666666667</v>
      </c>
      <c r="CN464">
        <v>4</v>
      </c>
      <c r="CO464">
        <v>2</v>
      </c>
      <c r="CQ464">
        <f>IFERROR(AVERAGE(Tabel1[[#This Row],[In - F1a]:[In - F1c]]),"")</f>
        <v>3</v>
      </c>
      <c r="CR464">
        <v>4</v>
      </c>
      <c r="CT464">
        <f>IFERROR(AVERAGE(Tabel1[[#This Row],[In - F2a]:[In - F2b]]),"")</f>
        <v>4</v>
      </c>
      <c r="CV464" t="str">
        <f>IFERROR(AVERAGE(Tabel1[[#This Row],[In - F3a]:[In - F3a]]),"")</f>
        <v/>
      </c>
      <c r="CW464">
        <v>1</v>
      </c>
      <c r="CX464">
        <f>IFERROR(AVERAGE(Tabel1[[#This Row],[In - F1]],Tabel1[[#This Row],[In - F2]],Tabel1[[#This Row],[In - F3]],Tabel1[[#This Row],[In - F4]]),"")</f>
        <v>2.6666666666666665</v>
      </c>
      <c r="CY464">
        <v>4</v>
      </c>
      <c r="CZ464">
        <v>3</v>
      </c>
      <c r="DA464">
        <v>2</v>
      </c>
      <c r="DB464">
        <f>IFERROR(AVERAGE(Tabel1[[#This Row],[In - V1a]:[In - V1c]]),"")</f>
        <v>3</v>
      </c>
      <c r="DC464">
        <v>4</v>
      </c>
      <c r="DD464">
        <v>3</v>
      </c>
      <c r="DE464">
        <v>2</v>
      </c>
      <c r="DF464">
        <f>IFERROR(AVERAGE(Tabel1[[#This Row],[In - V2a]:[In - V2c]]),"")</f>
        <v>3</v>
      </c>
      <c r="DG464">
        <v>2</v>
      </c>
      <c r="DH464">
        <v>3</v>
      </c>
      <c r="DI464">
        <f>IFERROR(AVERAGE(Tabel1[[#This Row],[In - V3a]:[In - V3b]]),"")</f>
        <v>2.5</v>
      </c>
      <c r="DJ464">
        <v>3</v>
      </c>
      <c r="DK464">
        <f>IFERROR(AVERAGE(Tabel1[[#This Row],[In - V1]],Tabel1[[#This Row],[In - V2]],Tabel1[[#This Row],[In - V3]],Tabel1[[#This Row],[In - V4]]),"")</f>
        <v>2.875</v>
      </c>
      <c r="DL464">
        <v>1</v>
      </c>
      <c r="DM464">
        <v>4</v>
      </c>
      <c r="DN464">
        <f>IFERROR(AVERAGE(Tabel1[[#This Row],[In - A1a]:[In - A1b]]),"")</f>
        <v>2.5</v>
      </c>
      <c r="DO464">
        <v>1</v>
      </c>
      <c r="DP464">
        <v>3</v>
      </c>
      <c r="DQ464">
        <f>IFERROR(AVERAGE(Tabel1[[#This Row],[In - A2a]:[In - A2b]]),"")</f>
        <v>2</v>
      </c>
      <c r="DR464">
        <v>4</v>
      </c>
      <c r="DS464">
        <v>3</v>
      </c>
      <c r="DT464">
        <f>IFERROR(AVERAGE(Tabel1[[#This Row],[In - A3a]:[In - A3a]]),"")</f>
        <v>4</v>
      </c>
      <c r="DU464">
        <v>3</v>
      </c>
      <c r="DV464">
        <f>IFERROR(AVERAGE(Tabel1[[#This Row],[In - A1]],Tabel1[[#This Row],[In - A2]],Tabel1[[#This Row],[In - A3]],Tabel1[[#This Row],[In - A4]]),"")</f>
        <v>2.875</v>
      </c>
      <c r="DW464">
        <v>1</v>
      </c>
      <c r="DX464">
        <v>5</v>
      </c>
      <c r="DY464">
        <v>1</v>
      </c>
      <c r="DZ464">
        <f>IFERROR(AVERAGE(Tabel1[[#This Row],[Do - R1a]:[Do - R1c]]),"")</f>
        <v>2.3333333333333335</v>
      </c>
      <c r="EA464">
        <v>3</v>
      </c>
      <c r="EB464">
        <v>5</v>
      </c>
      <c r="EC464" t="s">
        <v>189</v>
      </c>
      <c r="ED464">
        <v>4</v>
      </c>
      <c r="EE464">
        <f>IFERROR(AVERAGE(Tabel1[[#This Row],[Do - R1]:[Do - R5]]),"")</f>
        <v>3.5833333333333335</v>
      </c>
      <c r="EF464">
        <v>5</v>
      </c>
      <c r="EG464">
        <v>5</v>
      </c>
      <c r="EH464">
        <v>4</v>
      </c>
      <c r="EI464">
        <f>IFERROR(AVERAGE(Tabel1[[#This Row],[Do - C1a]:[Do - C1c]]),"")</f>
        <v>4.666666666666667</v>
      </c>
      <c r="EJ464">
        <v>3</v>
      </c>
      <c r="EK464">
        <v>2</v>
      </c>
      <c r="EL464">
        <v>3</v>
      </c>
      <c r="EM464">
        <f>IFERROR(AVERAGE(Tabel1[[#This Row],[Do - C1]:[Do - C4]]),"")</f>
        <v>3.166666666666667</v>
      </c>
      <c r="EN464">
        <v>3</v>
      </c>
      <c r="EO464">
        <v>2</v>
      </c>
      <c r="EP464">
        <v>3</v>
      </c>
      <c r="EQ464">
        <f>IFERROR(AVERAGE(Tabel1[[#This Row],[Do - F1a]:[Do - F1c]]),"")</f>
        <v>2.6666666666666665</v>
      </c>
      <c r="ES464" t="str">
        <f>IFERROR(AVERAGE(Tabel1[[#This Row],[Do - F2a]:[Do - F2a]]),"")</f>
        <v/>
      </c>
      <c r="ET464">
        <v>2</v>
      </c>
      <c r="EV464">
        <f>IFERROR(AVERAGE(Tabel1[[#This Row],[Do - F3a]:[Do - F3b]]),"")</f>
        <v>2</v>
      </c>
      <c r="EW464">
        <v>1</v>
      </c>
      <c r="EX464">
        <f>IFERROR(AVERAGE(Tabel1[[#This Row],[Do - F1]],Tabel1[[#This Row],[Do - F2]],Tabel1[[#This Row],[Do - F3]],Tabel1[[#This Row],[Do - F4]]),"")</f>
        <v>1.8888888888888886</v>
      </c>
      <c r="EY464">
        <v>3</v>
      </c>
      <c r="FA464">
        <v>2</v>
      </c>
      <c r="FB464">
        <f>IFERROR(AVERAGE(Tabel1[[#This Row],[Do - V1a]:[Do - V1c]]),"")</f>
        <v>2.5</v>
      </c>
      <c r="FC464">
        <v>4</v>
      </c>
      <c r="FE464">
        <f>IFERROR(AVERAGE(Tabel1[[#This Row],[Do - V2a]:[Do - V2b]]),"")</f>
        <v>4</v>
      </c>
      <c r="FG464" t="str">
        <f>IFERROR(AVERAGE(Tabel1[[#This Row],[Do - V3a]:[Do - V3a]]),"")</f>
        <v/>
      </c>
      <c r="FH464">
        <v>3</v>
      </c>
      <c r="FI464">
        <f>IFERROR(AVERAGE(Tabel1[[#This Row],[Do - V1]],Tabel1[[#This Row],[Do - V2]],Tabel1[[#This Row],[Do - V3]],Tabel1[[#This Row],[Do - V4]]),"")</f>
        <v>3.1666666666666665</v>
      </c>
      <c r="FJ464">
        <v>3</v>
      </c>
      <c r="FK464">
        <v>1</v>
      </c>
      <c r="FL464">
        <v>4</v>
      </c>
      <c r="FM464">
        <f>IFERROR(AVERAGE(Tabel1[[#This Row],[Do - A1a]:[Do - A1c]]),"")</f>
        <v>2.6666666666666665</v>
      </c>
      <c r="FN464">
        <v>3</v>
      </c>
      <c r="FO464">
        <v>4</v>
      </c>
      <c r="FP464">
        <f>IFERROR(AVERAGE(Tabel1[[#This Row],[Do - A2a]:[Do - A2b]]),"")</f>
        <v>3.5</v>
      </c>
      <c r="FQ464">
        <v>3</v>
      </c>
      <c r="FR464">
        <f>IFERROR(AVERAGE(Tabel1[[#This Row],[Do - A3a]:[Do - A3a]]),"")</f>
        <v>3</v>
      </c>
      <c r="FS464">
        <v>4</v>
      </c>
      <c r="FT464">
        <f>IFERROR(AVERAGE(Tabel1[[#This Row],[Do - A1]],Tabel1[[#This Row],[Do - A2]],Tabel1[[#This Row],[Do - A3]],Tabel1[[#This Row],[Do - A4]]),"")</f>
        <v>3.2916666666666665</v>
      </c>
      <c r="FU46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2.8601851851851849</v>
      </c>
      <c r="FV464" s="31" t="s">
        <v>2271</v>
      </c>
      <c r="FW464" t="b">
        <v>1</v>
      </c>
    </row>
    <row r="465" spans="1:179" x14ac:dyDescent="0.3">
      <c r="A465" s="13">
        <v>45743.503854166702</v>
      </c>
      <c r="B465" t="b">
        <v>0</v>
      </c>
      <c r="C465" t="s">
        <v>2272</v>
      </c>
      <c r="D465" t="s">
        <v>2273</v>
      </c>
      <c r="E465" t="s">
        <v>2216</v>
      </c>
      <c r="F465" s="14" t="s">
        <v>184</v>
      </c>
      <c r="G465" t="s">
        <v>2274</v>
      </c>
      <c r="H465" t="s">
        <v>222</v>
      </c>
      <c r="I465" t="s">
        <v>195</v>
      </c>
      <c r="J465" t="s">
        <v>217</v>
      </c>
      <c r="K465" t="s">
        <v>235</v>
      </c>
      <c r="L465" t="s">
        <v>249</v>
      </c>
      <c r="M465" t="s">
        <v>233</v>
      </c>
      <c r="N465" t="s">
        <v>199</v>
      </c>
      <c r="O465" t="s">
        <v>200</v>
      </c>
      <c r="P465" t="s">
        <v>304</v>
      </c>
      <c r="Q465" t="s">
        <v>201</v>
      </c>
      <c r="R465" t="s">
        <v>235</v>
      </c>
      <c r="S465" t="s">
        <v>235</v>
      </c>
      <c r="T465" t="s">
        <v>204</v>
      </c>
      <c r="U465" t="s">
        <v>205</v>
      </c>
      <c r="V465" t="s">
        <v>359</v>
      </c>
      <c r="W465" t="s">
        <v>207</v>
      </c>
      <c r="X465" t="s">
        <v>207</v>
      </c>
      <c r="Y465">
        <v>2</v>
      </c>
      <c r="Z465">
        <v>2</v>
      </c>
      <c r="AA465">
        <v>3</v>
      </c>
      <c r="AB465">
        <f>IFERROR(AVERAGE(Tabel1[[#This Row],[Up - R1a]:[Up - R1c]]),"")</f>
        <v>2.3333333333333335</v>
      </c>
      <c r="AC465" t="s">
        <v>189</v>
      </c>
      <c r="AD465">
        <v>5</v>
      </c>
      <c r="AE465" t="s">
        <v>189</v>
      </c>
      <c r="AF465" t="s">
        <v>189</v>
      </c>
      <c r="AG465">
        <f>IFERROR(AVERAGE(Tabel1[[#This Row],[Up - R1]:[Up - R5]]),"")</f>
        <v>3.666666666666667</v>
      </c>
      <c r="AH465">
        <v>4</v>
      </c>
      <c r="AI465">
        <v>4</v>
      </c>
      <c r="AJ465">
        <v>4</v>
      </c>
      <c r="AK465">
        <f>IFERROR(AVERAGE(Tabel1[[#This Row],[Up - C1a]:[Up - C1c]]),"")</f>
        <v>4</v>
      </c>
      <c r="AL465">
        <v>4</v>
      </c>
      <c r="AM465" t="s">
        <v>189</v>
      </c>
      <c r="AN465">
        <v>5</v>
      </c>
      <c r="AO465">
        <f>IFERROR(AVERAGE(Tabel1[[#This Row],[Up - C1]:[Up - C4]]),"")</f>
        <v>4.333333333333333</v>
      </c>
      <c r="AP465">
        <v>4</v>
      </c>
      <c r="AQ465">
        <f>IFERROR(AVERAGE(Tabel1[[#This Row],[Up - F1a]:[Up - F1a]]),"")</f>
        <v>4</v>
      </c>
      <c r="AR465">
        <v>2</v>
      </c>
      <c r="AS465">
        <v>4</v>
      </c>
      <c r="AT465">
        <f>IFERROR(AVERAGE(Tabel1[[#This Row],[Up - F2a]:[Up - F2b]]),"")</f>
        <v>3</v>
      </c>
      <c r="AU465">
        <v>4</v>
      </c>
      <c r="AV465" t="s">
        <v>189</v>
      </c>
      <c r="AW465">
        <f>IFERROR(AVERAGE(Tabel1[[#This Row],[Up - F3a]:[Up - F3b]]),"")</f>
        <v>4</v>
      </c>
      <c r="AX465">
        <v>1</v>
      </c>
      <c r="AY465">
        <f>IFERROR(AVERAGE(Tabel1[[#This Row],[Up - F1]],Tabel1[[#This Row],[Up - F2]],Tabel1[[#This Row],[Up - F3]],Tabel1[[#This Row],[Up - F4]]),"")</f>
        <v>3</v>
      </c>
      <c r="AZ465">
        <v>5</v>
      </c>
      <c r="BA465">
        <v>4</v>
      </c>
      <c r="BB465">
        <f>IFERROR(AVERAGE(Tabel1[[#This Row],[Up - V1a]:[Up - V1b]]),"")</f>
        <v>4.5</v>
      </c>
      <c r="BC465">
        <v>5</v>
      </c>
      <c r="BD465">
        <v>4</v>
      </c>
      <c r="BE465">
        <v>5</v>
      </c>
      <c r="BF465">
        <f>IFERROR(AVERAGE(Tabel1[[#This Row],[Up - V2a]:[Up - V2c]]),"")</f>
        <v>4.666666666666667</v>
      </c>
      <c r="BG465" t="s">
        <v>189</v>
      </c>
      <c r="BH465">
        <v>4</v>
      </c>
      <c r="BI465">
        <f>IFERROR(AVERAGE(Tabel1[[#This Row],[Up - V3a]:[Up - V3b]]),"")</f>
        <v>4</v>
      </c>
      <c r="BJ465" t="s">
        <v>189</v>
      </c>
      <c r="BK465">
        <f>IFERROR(AVERAGE(Tabel1[[#This Row],[Up - V1]],Tabel1[[#This Row],[Up - V2]],Tabel1[[#This Row],[Up - V3]],Tabel1[[#This Row],[Up - V4]]),"")</f>
        <v>4.3888888888888893</v>
      </c>
      <c r="BL465">
        <v>2</v>
      </c>
      <c r="BM465">
        <v>5</v>
      </c>
      <c r="BN465" t="s">
        <v>189</v>
      </c>
      <c r="BO465">
        <v>2</v>
      </c>
      <c r="BP465">
        <f>IFERROR(AVERAGE(Tabel1[[#This Row],[Up - A1a]:[Up - A1d]]),"")</f>
        <v>3</v>
      </c>
      <c r="BQ465">
        <v>4</v>
      </c>
      <c r="BR465">
        <v>5</v>
      </c>
      <c r="BS465">
        <f>IFERROR(AVERAGE(Tabel1[[#This Row],[Up - A2a]:[Up - A2b]]),"")</f>
        <v>4.5</v>
      </c>
      <c r="BT465">
        <v>2</v>
      </c>
      <c r="BU465">
        <f>IFERROR(AVERAGE(Tabel1[[#This Row],[Up - A3a]:[Up - A3a]]),"")</f>
        <v>2</v>
      </c>
      <c r="BV465">
        <v>4</v>
      </c>
      <c r="BW465">
        <f>IFERROR(AVERAGE(Tabel1[[#This Row],[Up - A1]],Tabel1[[#This Row],[Up - A2]],Tabel1[[#This Row],[Up - A3]]),"")</f>
        <v>3.1666666666666665</v>
      </c>
      <c r="BX465">
        <v>4</v>
      </c>
      <c r="BY465">
        <v>4</v>
      </c>
      <c r="BZ465">
        <f>IFERROR(AVERAGE(Tabel1[[#This Row],[In - R1a]:[In - R1b]]),"")</f>
        <v>4</v>
      </c>
      <c r="CA465">
        <v>5</v>
      </c>
      <c r="CB465">
        <v>3</v>
      </c>
      <c r="CC465">
        <v>5</v>
      </c>
      <c r="CD465">
        <v>5</v>
      </c>
      <c r="CE465">
        <f>IFERROR(AVERAGE(Tabel1[[#This Row],[In - R1]:[In - R5]]),"")</f>
        <v>4.4000000000000004</v>
      </c>
      <c r="CF465">
        <v>5</v>
      </c>
      <c r="CG465">
        <v>5</v>
      </c>
      <c r="CH465">
        <v>4</v>
      </c>
      <c r="CI465">
        <f>IFERROR(AVERAGE(Tabel1[[#This Row],[In - C1a]:[In - C1c]]),"")</f>
        <v>4.666666666666667</v>
      </c>
      <c r="CJ465">
        <v>3</v>
      </c>
      <c r="CK465">
        <v>3</v>
      </c>
      <c r="CL465">
        <v>4</v>
      </c>
      <c r="CM465">
        <f>IFERROR(AVERAGE(Tabel1[[#This Row],[In - C1]:[In - C4]]),"")</f>
        <v>3.666666666666667</v>
      </c>
      <c r="CN465">
        <v>4</v>
      </c>
      <c r="CO465">
        <v>4</v>
      </c>
      <c r="CP465">
        <v>4</v>
      </c>
      <c r="CQ465">
        <f>IFERROR(AVERAGE(Tabel1[[#This Row],[In - F1a]:[In - F1c]]),"")</f>
        <v>4</v>
      </c>
      <c r="CR465">
        <v>3</v>
      </c>
      <c r="CS465">
        <v>3</v>
      </c>
      <c r="CT465">
        <f>IFERROR(AVERAGE(Tabel1[[#This Row],[In - F2a]:[In - F2b]]),"")</f>
        <v>3</v>
      </c>
      <c r="CU465">
        <v>3</v>
      </c>
      <c r="CV465">
        <f>IFERROR(AVERAGE(Tabel1[[#This Row],[In - F3a]:[In - F3a]]),"")</f>
        <v>3</v>
      </c>
      <c r="CW465">
        <v>4</v>
      </c>
      <c r="CX465">
        <f>IFERROR(AVERAGE(Tabel1[[#This Row],[In - F1]],Tabel1[[#This Row],[In - F2]],Tabel1[[#This Row],[In - F3]],Tabel1[[#This Row],[In - F4]]),"")</f>
        <v>3.5</v>
      </c>
      <c r="CY465">
        <v>5</v>
      </c>
      <c r="CZ465">
        <v>5</v>
      </c>
      <c r="DA465">
        <v>4</v>
      </c>
      <c r="DB465">
        <f>IFERROR(AVERAGE(Tabel1[[#This Row],[In - V1a]:[In - V1c]]),"")</f>
        <v>4.666666666666667</v>
      </c>
      <c r="DC465">
        <v>4</v>
      </c>
      <c r="DD465">
        <v>3</v>
      </c>
      <c r="DE465">
        <v>4</v>
      </c>
      <c r="DF465">
        <f>IFERROR(AVERAGE(Tabel1[[#This Row],[In - V2a]:[In - V2c]]),"")</f>
        <v>3.6666666666666665</v>
      </c>
      <c r="DG465" t="s">
        <v>189</v>
      </c>
      <c r="DH465" t="s">
        <v>189</v>
      </c>
      <c r="DI465" t="str">
        <f>IFERROR(AVERAGE(Tabel1[[#This Row],[In - V3a]:[In - V3b]]),"")</f>
        <v/>
      </c>
      <c r="DJ465">
        <v>5</v>
      </c>
      <c r="DK465">
        <f>IFERROR(AVERAGE(Tabel1[[#This Row],[In - V1]],Tabel1[[#This Row],[In - V2]],Tabel1[[#This Row],[In - V3]],Tabel1[[#This Row],[In - V4]]),"")</f>
        <v>4.4444444444444446</v>
      </c>
      <c r="DL465">
        <v>2</v>
      </c>
      <c r="DM465">
        <v>4</v>
      </c>
      <c r="DN465">
        <f>IFERROR(AVERAGE(Tabel1[[#This Row],[In - A1a]:[In - A1b]]),"")</f>
        <v>3</v>
      </c>
      <c r="DO465">
        <v>2</v>
      </c>
      <c r="DP465">
        <v>4</v>
      </c>
      <c r="DQ465">
        <f>IFERROR(AVERAGE(Tabel1[[#This Row],[In - A2a]:[In - A2b]]),"")</f>
        <v>3</v>
      </c>
      <c r="DR465">
        <v>4</v>
      </c>
      <c r="DS465">
        <v>3</v>
      </c>
      <c r="DT465">
        <f>IFERROR(AVERAGE(Tabel1[[#This Row],[In - A3a]:[In - A3a]]),"")</f>
        <v>4</v>
      </c>
      <c r="DU465" t="s">
        <v>189</v>
      </c>
      <c r="DV465">
        <f>IFERROR(AVERAGE(Tabel1[[#This Row],[In - A1]],Tabel1[[#This Row],[In - A2]],Tabel1[[#This Row],[In - A3]],Tabel1[[#This Row],[In - A4]]),"")</f>
        <v>3.3333333333333335</v>
      </c>
      <c r="DW465">
        <v>1</v>
      </c>
      <c r="DX465">
        <v>5</v>
      </c>
      <c r="DY465">
        <v>2</v>
      </c>
      <c r="DZ465">
        <f>IFERROR(AVERAGE(Tabel1[[#This Row],[Do - R1a]:[Do - R1c]]),"")</f>
        <v>2.6666666666666665</v>
      </c>
      <c r="EA465">
        <v>5</v>
      </c>
      <c r="EB465">
        <v>2</v>
      </c>
      <c r="EC465" t="s">
        <v>189</v>
      </c>
      <c r="ED465" t="s">
        <v>189</v>
      </c>
      <c r="EE465">
        <f>IFERROR(AVERAGE(Tabel1[[#This Row],[Do - R1]:[Do - R5]]),"")</f>
        <v>3.2222222222222219</v>
      </c>
      <c r="EF465">
        <v>3</v>
      </c>
      <c r="EG465" t="s">
        <v>189</v>
      </c>
      <c r="EH465">
        <v>3</v>
      </c>
      <c r="EI465">
        <f>IFERROR(AVERAGE(Tabel1[[#This Row],[Do - C1a]:[Do - C1c]]),"")</f>
        <v>3</v>
      </c>
      <c r="EJ465">
        <v>4</v>
      </c>
      <c r="EK465" t="s">
        <v>189</v>
      </c>
      <c r="EL465">
        <v>4</v>
      </c>
      <c r="EM465">
        <f>IFERROR(AVERAGE(Tabel1[[#This Row],[Do - C1]:[Do - C4]]),"")</f>
        <v>3.6666666666666665</v>
      </c>
      <c r="EN465">
        <v>2</v>
      </c>
      <c r="EO465">
        <v>4</v>
      </c>
      <c r="EP465">
        <v>4</v>
      </c>
      <c r="EQ465">
        <f>IFERROR(AVERAGE(Tabel1[[#This Row],[Do - F1a]:[Do - F1c]]),"")</f>
        <v>3.3333333333333335</v>
      </c>
      <c r="ER465">
        <v>4</v>
      </c>
      <c r="ES465">
        <f>IFERROR(AVERAGE(Tabel1[[#This Row],[Do - F2a]:[Do - F2a]]),"")</f>
        <v>4</v>
      </c>
      <c r="ET465">
        <v>4</v>
      </c>
      <c r="EU465">
        <v>4</v>
      </c>
      <c r="EV465">
        <f>IFERROR(AVERAGE(Tabel1[[#This Row],[Do - F3a]:[Do - F3b]]),"")</f>
        <v>4</v>
      </c>
      <c r="EW465" t="s">
        <v>189</v>
      </c>
      <c r="EX465">
        <f>IFERROR(AVERAGE(Tabel1[[#This Row],[Do - F1]],Tabel1[[#This Row],[Do - F2]],Tabel1[[#This Row],[Do - F3]],Tabel1[[#This Row],[Do - F4]]),"")</f>
        <v>3.7777777777777781</v>
      </c>
      <c r="EY465">
        <v>4</v>
      </c>
      <c r="EZ465">
        <v>4</v>
      </c>
      <c r="FA465">
        <v>4</v>
      </c>
      <c r="FB465">
        <f>IFERROR(AVERAGE(Tabel1[[#This Row],[Do - V1a]:[Do - V1c]]),"")</f>
        <v>4</v>
      </c>
      <c r="FC465" t="s">
        <v>189</v>
      </c>
      <c r="FD465" t="s">
        <v>189</v>
      </c>
      <c r="FE465" t="str">
        <f>IFERROR(AVERAGE(Tabel1[[#This Row],[Do - V2a]:[Do - V2b]]),"")</f>
        <v/>
      </c>
      <c r="FF465" t="s">
        <v>189</v>
      </c>
      <c r="FG465" t="str">
        <f>IFERROR(AVERAGE(Tabel1[[#This Row],[Do - V3a]:[Do - V3a]]),"")</f>
        <v/>
      </c>
      <c r="FH465" t="s">
        <v>189</v>
      </c>
      <c r="FI465">
        <f>IFERROR(AVERAGE(Tabel1[[#This Row],[Do - V1]],Tabel1[[#This Row],[Do - V2]],Tabel1[[#This Row],[Do - V3]],Tabel1[[#This Row],[Do - V4]]),"")</f>
        <v>4</v>
      </c>
      <c r="FJ465">
        <v>5</v>
      </c>
      <c r="FK465">
        <v>5</v>
      </c>
      <c r="FL465" t="s">
        <v>189</v>
      </c>
      <c r="FM465">
        <f>IFERROR(AVERAGE(Tabel1[[#This Row],[Do - A1a]:[Do - A1c]]),"")</f>
        <v>5</v>
      </c>
      <c r="FN465">
        <v>4</v>
      </c>
      <c r="FO465">
        <v>4</v>
      </c>
      <c r="FP465">
        <f>IFERROR(AVERAGE(Tabel1[[#This Row],[Do - A2a]:[Do - A2b]]),"")</f>
        <v>4</v>
      </c>
      <c r="FQ465">
        <v>3</v>
      </c>
      <c r="FR465">
        <f>IFERROR(AVERAGE(Tabel1[[#This Row],[Do - A3a]:[Do - A3a]]),"")</f>
        <v>3</v>
      </c>
      <c r="FS465" t="s">
        <v>189</v>
      </c>
      <c r="FT465">
        <f>IFERROR(AVERAGE(Tabel1[[#This Row],[Do - A1]],Tabel1[[#This Row],[Do - A2]],Tabel1[[#This Row],[Do - A3]],Tabel1[[#This Row],[Do - A4]]),"")</f>
        <v>4</v>
      </c>
      <c r="FU46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3.7711111111111113</v>
      </c>
      <c r="FV465" s="31" t="s">
        <v>2275</v>
      </c>
      <c r="FW465" t="b">
        <v>1</v>
      </c>
    </row>
    <row r="466" spans="1:179" x14ac:dyDescent="0.3">
      <c r="A466" s="13">
        <v>45743.514525462997</v>
      </c>
      <c r="B466" t="b">
        <v>0</v>
      </c>
      <c r="C466" t="s">
        <v>2276</v>
      </c>
      <c r="D466" t="s">
        <v>2277</v>
      </c>
      <c r="E466" t="s">
        <v>1589</v>
      </c>
      <c r="F466" s="14" t="s">
        <v>2278</v>
      </c>
      <c r="G466" t="s">
        <v>2279</v>
      </c>
      <c r="H466" t="s">
        <v>194</v>
      </c>
      <c r="I466" t="s">
        <v>195</v>
      </c>
      <c r="J466" t="s">
        <v>406</v>
      </c>
      <c r="K466" t="s">
        <v>235</v>
      </c>
      <c r="L466" t="s">
        <v>249</v>
      </c>
      <c r="M466" t="s">
        <v>198</v>
      </c>
      <c r="N466" t="s">
        <v>262</v>
      </c>
      <c r="O466" t="s">
        <v>200</v>
      </c>
      <c r="P466" t="s">
        <v>304</v>
      </c>
      <c r="Q466" t="s">
        <v>201</v>
      </c>
      <c r="R466" t="s">
        <v>202</v>
      </c>
      <c r="S466" t="s">
        <v>187</v>
      </c>
      <c r="T466" t="s">
        <v>204</v>
      </c>
      <c r="U466" t="s">
        <v>237</v>
      </c>
      <c r="V466" t="s">
        <v>206</v>
      </c>
      <c r="W466" t="s">
        <v>305</v>
      </c>
      <c r="X466" t="s">
        <v>305</v>
      </c>
      <c r="Y466">
        <v>3</v>
      </c>
      <c r="Z466">
        <v>2</v>
      </c>
      <c r="AA466">
        <v>4</v>
      </c>
      <c r="AB466">
        <f>IFERROR(AVERAGE(Tabel1[[#This Row],[Up - R1a]:[Up - R1c]]),"")</f>
        <v>3</v>
      </c>
      <c r="AC466">
        <v>3</v>
      </c>
      <c r="AD466">
        <v>2</v>
      </c>
      <c r="AE466">
        <v>2</v>
      </c>
      <c r="AF466">
        <v>4</v>
      </c>
      <c r="AG466">
        <f>IFERROR(AVERAGE(Tabel1[[#This Row],[Up - R1]:[Up - R5]]),"")</f>
        <v>2.8</v>
      </c>
      <c r="AH466">
        <v>2</v>
      </c>
      <c r="AI466">
        <v>3</v>
      </c>
      <c r="AJ466">
        <v>4</v>
      </c>
      <c r="AK466">
        <f>IFERROR(AVERAGE(Tabel1[[#This Row],[Up - C1a]:[Up - C1c]]),"")</f>
        <v>3</v>
      </c>
      <c r="AL466">
        <v>3</v>
      </c>
      <c r="AM466">
        <v>2</v>
      </c>
      <c r="AN466">
        <v>4</v>
      </c>
      <c r="AO466">
        <f>IFERROR(AVERAGE(Tabel1[[#This Row],[Up - C1]:[Up - C4]]),"")</f>
        <v>3</v>
      </c>
      <c r="AP466">
        <v>2</v>
      </c>
      <c r="AQ466">
        <f>IFERROR(AVERAGE(Tabel1[[#This Row],[Up - F1a]:[Up - F1a]]),"")</f>
        <v>2</v>
      </c>
      <c r="AR466">
        <v>2</v>
      </c>
      <c r="AS466">
        <v>2</v>
      </c>
      <c r="AT466">
        <f>IFERROR(AVERAGE(Tabel1[[#This Row],[Up - F2a]:[Up - F2b]]),"")</f>
        <v>2</v>
      </c>
      <c r="AU466">
        <v>3</v>
      </c>
      <c r="AV466">
        <v>2</v>
      </c>
      <c r="AW466">
        <f>IFERROR(AVERAGE(Tabel1[[#This Row],[Up - F3a]:[Up - F3b]]),"")</f>
        <v>2.5</v>
      </c>
      <c r="AX466">
        <v>3</v>
      </c>
      <c r="AY466">
        <f>IFERROR(AVERAGE(Tabel1[[#This Row],[Up - F1]],Tabel1[[#This Row],[Up - F2]],Tabel1[[#This Row],[Up - F3]],Tabel1[[#This Row],[Up - F4]]),"")</f>
        <v>2.375</v>
      </c>
      <c r="AZ466">
        <v>2</v>
      </c>
      <c r="BA466">
        <v>3</v>
      </c>
      <c r="BB466">
        <f>IFERROR(AVERAGE(Tabel1[[#This Row],[Up - V1a]:[Up - V1b]]),"")</f>
        <v>2.5</v>
      </c>
      <c r="BC466">
        <v>3</v>
      </c>
      <c r="BD466">
        <v>3</v>
      </c>
      <c r="BE466">
        <v>4</v>
      </c>
      <c r="BF466">
        <f>IFERROR(AVERAGE(Tabel1[[#This Row],[Up - V2a]:[Up - V2c]]),"")</f>
        <v>3.3333333333333335</v>
      </c>
      <c r="BG466">
        <v>3</v>
      </c>
      <c r="BH466">
        <v>1</v>
      </c>
      <c r="BI466">
        <f>IFERROR(AVERAGE(Tabel1[[#This Row],[Up - V3a]:[Up - V3b]]),"")</f>
        <v>2</v>
      </c>
      <c r="BJ466">
        <v>2</v>
      </c>
      <c r="BK466">
        <f>IFERROR(AVERAGE(Tabel1[[#This Row],[Up - V1]],Tabel1[[#This Row],[Up - V2]],Tabel1[[#This Row],[Up - V3]],Tabel1[[#This Row],[Up - V4]]),"")</f>
        <v>2.4583333333333335</v>
      </c>
      <c r="BL466">
        <v>4</v>
      </c>
      <c r="BM466">
        <v>3</v>
      </c>
      <c r="BN466">
        <v>2</v>
      </c>
      <c r="BO466">
        <v>2</v>
      </c>
      <c r="BP466">
        <f>IFERROR(AVERAGE(Tabel1[[#This Row],[Up - A1a]:[Up - A1d]]),"")</f>
        <v>2.75</v>
      </c>
      <c r="BQ466">
        <v>2</v>
      </c>
      <c r="BR466">
        <v>3</v>
      </c>
      <c r="BS466">
        <f>IFERROR(AVERAGE(Tabel1[[#This Row],[Up - A2a]:[Up - A2b]]),"")</f>
        <v>2.5</v>
      </c>
      <c r="BT466">
        <v>2</v>
      </c>
      <c r="BU466">
        <f>IFERROR(AVERAGE(Tabel1[[#This Row],[Up - A3a]:[Up - A3a]]),"")</f>
        <v>2</v>
      </c>
      <c r="BV466">
        <v>3</v>
      </c>
      <c r="BW466">
        <f>IFERROR(AVERAGE(Tabel1[[#This Row],[Up - A1]],Tabel1[[#This Row],[Up - A2]],Tabel1[[#This Row],[Up - A3]]),"")</f>
        <v>2.4166666666666665</v>
      </c>
      <c r="BX466">
        <v>3</v>
      </c>
      <c r="BY466">
        <v>4</v>
      </c>
      <c r="BZ466">
        <f>IFERROR(AVERAGE(Tabel1[[#This Row],[In - R1a]:[In - R1b]]),"")</f>
        <v>3.5</v>
      </c>
      <c r="CA466">
        <v>3</v>
      </c>
      <c r="CB466">
        <v>3</v>
      </c>
      <c r="CC466">
        <v>2</v>
      </c>
      <c r="CD466">
        <v>2</v>
      </c>
      <c r="CE466">
        <f>IFERROR(AVERAGE(Tabel1[[#This Row],[In - R1]:[In - R5]]),"")</f>
        <v>2.7</v>
      </c>
      <c r="CF466">
        <v>4</v>
      </c>
      <c r="CG466">
        <v>4</v>
      </c>
      <c r="CH466">
        <v>4</v>
      </c>
      <c r="CI466">
        <f>IFERROR(AVERAGE(Tabel1[[#This Row],[In - C1a]:[In - C1c]]),"")</f>
        <v>4</v>
      </c>
      <c r="CJ466">
        <v>3</v>
      </c>
      <c r="CK466">
        <v>2</v>
      </c>
      <c r="CL466">
        <v>4</v>
      </c>
      <c r="CM466">
        <f>IFERROR(AVERAGE(Tabel1[[#This Row],[In - C1]:[In - C4]]),"")</f>
        <v>3.25</v>
      </c>
      <c r="CN466">
        <v>2</v>
      </c>
      <c r="CO466">
        <v>1</v>
      </c>
      <c r="CP466">
        <v>2</v>
      </c>
      <c r="CQ466">
        <f>IFERROR(AVERAGE(Tabel1[[#This Row],[In - F1a]:[In - F1c]]),"")</f>
        <v>1.6666666666666667</v>
      </c>
      <c r="CR466">
        <v>4</v>
      </c>
      <c r="CS466">
        <v>3</v>
      </c>
      <c r="CT466">
        <f>IFERROR(AVERAGE(Tabel1[[#This Row],[In - F2a]:[In - F2b]]),"")</f>
        <v>3.5</v>
      </c>
      <c r="CU466">
        <v>1</v>
      </c>
      <c r="CV466">
        <f>IFERROR(AVERAGE(Tabel1[[#This Row],[In - F3a]:[In - F3a]]),"")</f>
        <v>1</v>
      </c>
      <c r="CW466">
        <v>2</v>
      </c>
      <c r="CX466">
        <f>IFERROR(AVERAGE(Tabel1[[#This Row],[In - F1]],Tabel1[[#This Row],[In - F2]],Tabel1[[#This Row],[In - F3]],Tabel1[[#This Row],[In - F4]]),"")</f>
        <v>2.041666666666667</v>
      </c>
      <c r="CY466">
        <v>4</v>
      </c>
      <c r="CZ466">
        <v>3</v>
      </c>
      <c r="DA466">
        <v>3</v>
      </c>
      <c r="DB466">
        <f>IFERROR(AVERAGE(Tabel1[[#This Row],[In - V1a]:[In - V1c]]),"")</f>
        <v>3.3333333333333335</v>
      </c>
      <c r="DC466">
        <v>2</v>
      </c>
      <c r="DD466">
        <v>3</v>
      </c>
      <c r="DE466">
        <v>2</v>
      </c>
      <c r="DF466">
        <f>IFERROR(AVERAGE(Tabel1[[#This Row],[In - V2a]:[In - V2c]]),"")</f>
        <v>2.3333333333333335</v>
      </c>
      <c r="DG466">
        <v>1</v>
      </c>
      <c r="DH466">
        <v>1</v>
      </c>
      <c r="DI466">
        <f>IFERROR(AVERAGE(Tabel1[[#This Row],[In - V3a]:[In - V3b]]),"")</f>
        <v>1</v>
      </c>
      <c r="DK466">
        <f>IFERROR(AVERAGE(Tabel1[[#This Row],[In - V1]],Tabel1[[#This Row],[In - V2]],Tabel1[[#This Row],[In - V3]],Tabel1[[#This Row],[In - V4]]),"")</f>
        <v>2.2222222222222223</v>
      </c>
      <c r="DL466">
        <v>2</v>
      </c>
      <c r="DM466">
        <v>4</v>
      </c>
      <c r="DN466">
        <f>IFERROR(AVERAGE(Tabel1[[#This Row],[In - A1a]:[In - A1b]]),"")</f>
        <v>3</v>
      </c>
      <c r="DO466">
        <v>3</v>
      </c>
      <c r="DP466">
        <v>3</v>
      </c>
      <c r="DQ466">
        <f>IFERROR(AVERAGE(Tabel1[[#This Row],[In - A2a]:[In - A2b]]),"")</f>
        <v>3</v>
      </c>
      <c r="DR466">
        <v>3</v>
      </c>
      <c r="DS466">
        <v>2</v>
      </c>
      <c r="DT466">
        <f>IFERROR(AVERAGE(Tabel1[[#This Row],[In - A3a]:[In - A3a]]),"")</f>
        <v>3</v>
      </c>
      <c r="DU466">
        <v>1</v>
      </c>
      <c r="DV466">
        <f>IFERROR(AVERAGE(Tabel1[[#This Row],[In - A1]],Tabel1[[#This Row],[In - A2]],Tabel1[[#This Row],[In - A3]],Tabel1[[#This Row],[In - A4]]),"")</f>
        <v>2.5</v>
      </c>
      <c r="DW466">
        <v>2</v>
      </c>
      <c r="DX466">
        <v>5</v>
      </c>
      <c r="DZ466">
        <f>IFERROR(AVERAGE(Tabel1[[#This Row],[Do - R1a]:[Do - R1c]]),"")</f>
        <v>3.5</v>
      </c>
      <c r="EB466">
        <v>2</v>
      </c>
      <c r="EC466">
        <v>1</v>
      </c>
      <c r="EE466">
        <f>IFERROR(AVERAGE(Tabel1[[#This Row],[Do - R1]:[Do - R5]]),"")</f>
        <v>2.1666666666666665</v>
      </c>
      <c r="EI466" t="str">
        <f>IFERROR(AVERAGE(Tabel1[[#This Row],[Do - C1a]:[Do - C1c]]),"")</f>
        <v/>
      </c>
      <c r="EJ466">
        <v>3</v>
      </c>
      <c r="EK466">
        <v>2</v>
      </c>
      <c r="EL466">
        <v>2</v>
      </c>
      <c r="EM466">
        <f>IFERROR(AVERAGE(Tabel1[[#This Row],[Do - C1]:[Do - C4]]),"")</f>
        <v>2.3333333333333335</v>
      </c>
      <c r="EN466">
        <v>3</v>
      </c>
      <c r="EO466">
        <v>3</v>
      </c>
      <c r="EP466">
        <v>1</v>
      </c>
      <c r="EQ466">
        <f>IFERROR(AVERAGE(Tabel1[[#This Row],[Do - F1a]:[Do - F1c]]),"")</f>
        <v>2.3333333333333335</v>
      </c>
      <c r="ES466" t="str">
        <f>IFERROR(AVERAGE(Tabel1[[#This Row],[Do - F2a]:[Do - F2a]]),"")</f>
        <v/>
      </c>
      <c r="ET466">
        <v>3</v>
      </c>
      <c r="EU466">
        <v>3</v>
      </c>
      <c r="EV466">
        <f>IFERROR(AVERAGE(Tabel1[[#This Row],[Do - F3a]:[Do - F3b]]),"")</f>
        <v>3</v>
      </c>
      <c r="EW466">
        <v>2</v>
      </c>
      <c r="EX466">
        <f>IFERROR(AVERAGE(Tabel1[[#This Row],[Do - F1]],Tabel1[[#This Row],[Do - F2]],Tabel1[[#This Row],[Do - F3]],Tabel1[[#This Row],[Do - F4]]),"")</f>
        <v>2.4444444444444446</v>
      </c>
      <c r="EZ466">
        <v>2</v>
      </c>
      <c r="FA466">
        <v>2</v>
      </c>
      <c r="FB466">
        <f>IFERROR(AVERAGE(Tabel1[[#This Row],[Do - V1a]:[Do - V1c]]),"")</f>
        <v>2</v>
      </c>
      <c r="FD466">
        <v>4</v>
      </c>
      <c r="FE466">
        <f>IFERROR(AVERAGE(Tabel1[[#This Row],[Do - V2a]:[Do - V2b]]),"")</f>
        <v>4</v>
      </c>
      <c r="FG466" t="str">
        <f>IFERROR(AVERAGE(Tabel1[[#This Row],[Do - V3a]:[Do - V3a]]),"")</f>
        <v/>
      </c>
      <c r="FH466">
        <v>3</v>
      </c>
      <c r="FI466">
        <f>IFERROR(AVERAGE(Tabel1[[#This Row],[Do - V1]],Tabel1[[#This Row],[Do - V2]],Tabel1[[#This Row],[Do - V3]],Tabel1[[#This Row],[Do - V4]]),"")</f>
        <v>3</v>
      </c>
      <c r="FM466" t="str">
        <f>IFERROR(AVERAGE(Tabel1[[#This Row],[Do - A1a]:[Do - A1c]]),"")</f>
        <v/>
      </c>
      <c r="FN466">
        <v>2</v>
      </c>
      <c r="FP466">
        <f>IFERROR(AVERAGE(Tabel1[[#This Row],[Do - A2a]:[Do - A2b]]),"")</f>
        <v>2</v>
      </c>
      <c r="FR466" t="str">
        <f>IFERROR(AVERAGE(Tabel1[[#This Row],[Do - A3a]:[Do - A3a]]),"")</f>
        <v/>
      </c>
      <c r="FS466">
        <v>3</v>
      </c>
      <c r="FT466">
        <f>IFERROR(AVERAGE(Tabel1[[#This Row],[Do - A1]],Tabel1[[#This Row],[Do - A2]],Tabel1[[#This Row],[Do - A3]],Tabel1[[#This Row],[Do - A4]]),"")</f>
        <v>2.5</v>
      </c>
      <c r="FU46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2.5472222222222225</v>
      </c>
      <c r="FV466" s="31" t="s">
        <v>2280</v>
      </c>
      <c r="FW466" t="b">
        <v>1</v>
      </c>
    </row>
    <row r="467" spans="1:179" x14ac:dyDescent="0.3">
      <c r="A467" s="13">
        <v>45743.692812499998</v>
      </c>
      <c r="B467" t="b">
        <v>0</v>
      </c>
      <c r="C467" t="s">
        <v>2281</v>
      </c>
      <c r="D467" t="s">
        <v>2282</v>
      </c>
      <c r="E467" t="s">
        <v>2216</v>
      </c>
      <c r="F467" s="14" t="s">
        <v>184</v>
      </c>
      <c r="G467" t="s">
        <v>2283</v>
      </c>
      <c r="H467" t="s">
        <v>222</v>
      </c>
      <c r="I467" t="s">
        <v>195</v>
      </c>
      <c r="J467" t="s">
        <v>217</v>
      </c>
      <c r="K467" t="s">
        <v>201</v>
      </c>
      <c r="L467" t="s">
        <v>385</v>
      </c>
      <c r="M467" t="s">
        <v>233</v>
      </c>
      <c r="N467" t="s">
        <v>199</v>
      </c>
      <c r="O467" t="s">
        <v>200</v>
      </c>
      <c r="P467" t="s">
        <v>201</v>
      </c>
      <c r="Q467" t="s">
        <v>201</v>
      </c>
      <c r="R467" t="s">
        <v>202</v>
      </c>
      <c r="S467" t="s">
        <v>235</v>
      </c>
      <c r="T467" t="s">
        <v>204</v>
      </c>
      <c r="U467" t="s">
        <v>237</v>
      </c>
      <c r="V467" t="s">
        <v>224</v>
      </c>
      <c r="W467" t="s">
        <v>207</v>
      </c>
      <c r="X467" t="s">
        <v>207</v>
      </c>
      <c r="Y467">
        <v>2</v>
      </c>
      <c r="Z467">
        <v>2</v>
      </c>
      <c r="AA467">
        <v>2</v>
      </c>
      <c r="AB467">
        <f>IFERROR(AVERAGE(Tabel1[[#This Row],[Up - R1a]:[Up - R1c]]),"")</f>
        <v>2</v>
      </c>
      <c r="AC467">
        <v>1</v>
      </c>
      <c r="AD467">
        <v>3</v>
      </c>
      <c r="AE467">
        <v>2</v>
      </c>
      <c r="AF467" t="s">
        <v>189</v>
      </c>
      <c r="AG467">
        <f>IFERROR(AVERAGE(Tabel1[[#This Row],[Up - R1]:[Up - R5]]),"")</f>
        <v>2</v>
      </c>
      <c r="AH467">
        <v>3</v>
      </c>
      <c r="AI467">
        <v>2</v>
      </c>
      <c r="AJ467">
        <v>1</v>
      </c>
      <c r="AK467">
        <f>IFERROR(AVERAGE(Tabel1[[#This Row],[Up - C1a]:[Up - C1c]]),"")</f>
        <v>2</v>
      </c>
      <c r="AL467">
        <v>3</v>
      </c>
      <c r="AM467">
        <v>1</v>
      </c>
      <c r="AN467">
        <v>2</v>
      </c>
      <c r="AO467">
        <f>IFERROR(AVERAGE(Tabel1[[#This Row],[Up - C1]:[Up - C4]]),"")</f>
        <v>2</v>
      </c>
      <c r="AP467">
        <v>1</v>
      </c>
      <c r="AQ467">
        <f>IFERROR(AVERAGE(Tabel1[[#This Row],[Up - F1a]:[Up - F1a]]),"")</f>
        <v>1</v>
      </c>
      <c r="AR467">
        <v>1</v>
      </c>
      <c r="AS467">
        <v>2</v>
      </c>
      <c r="AT467">
        <f>IFERROR(AVERAGE(Tabel1[[#This Row],[Up - F2a]:[Up - F2b]]),"")</f>
        <v>1.5</v>
      </c>
      <c r="AU467">
        <v>1</v>
      </c>
      <c r="AV467">
        <v>3</v>
      </c>
      <c r="AW467">
        <f>IFERROR(AVERAGE(Tabel1[[#This Row],[Up - F3a]:[Up - F3b]]),"")</f>
        <v>2</v>
      </c>
      <c r="AX467">
        <v>1</v>
      </c>
      <c r="AY467">
        <f>IFERROR(AVERAGE(Tabel1[[#This Row],[Up - F1]],Tabel1[[#This Row],[Up - F2]],Tabel1[[#This Row],[Up - F3]],Tabel1[[#This Row],[Up - F4]]),"")</f>
        <v>1.375</v>
      </c>
      <c r="AZ467">
        <v>3</v>
      </c>
      <c r="BA467">
        <v>2</v>
      </c>
      <c r="BB467">
        <f>IFERROR(AVERAGE(Tabel1[[#This Row],[Up - V1a]:[Up - V1b]]),"")</f>
        <v>2.5</v>
      </c>
      <c r="BC467">
        <v>3</v>
      </c>
      <c r="BD467">
        <v>2</v>
      </c>
      <c r="BE467">
        <v>1</v>
      </c>
      <c r="BF467">
        <f>IFERROR(AVERAGE(Tabel1[[#This Row],[Up - V2a]:[Up - V2c]]),"")</f>
        <v>2</v>
      </c>
      <c r="BG467">
        <v>4</v>
      </c>
      <c r="BH467" t="s">
        <v>189</v>
      </c>
      <c r="BI467">
        <f>IFERROR(AVERAGE(Tabel1[[#This Row],[Up - V3a]:[Up - V3b]]),"")</f>
        <v>4</v>
      </c>
      <c r="BJ467" t="s">
        <v>189</v>
      </c>
      <c r="BK467">
        <f>IFERROR(AVERAGE(Tabel1[[#This Row],[Up - V1]],Tabel1[[#This Row],[Up - V2]],Tabel1[[#This Row],[Up - V3]],Tabel1[[#This Row],[Up - V4]]),"")</f>
        <v>2.8333333333333335</v>
      </c>
      <c r="BL467">
        <v>2</v>
      </c>
      <c r="BM467">
        <v>3</v>
      </c>
      <c r="BN467">
        <v>1</v>
      </c>
      <c r="BO467">
        <v>1</v>
      </c>
      <c r="BP467">
        <f>IFERROR(AVERAGE(Tabel1[[#This Row],[Up - A1a]:[Up - A1d]]),"")</f>
        <v>1.75</v>
      </c>
      <c r="BQ467">
        <v>1</v>
      </c>
      <c r="BR467">
        <v>2</v>
      </c>
      <c r="BS467">
        <f>IFERROR(AVERAGE(Tabel1[[#This Row],[Up - A2a]:[Up - A2b]]),"")</f>
        <v>1.5</v>
      </c>
      <c r="BT467">
        <v>2</v>
      </c>
      <c r="BU467">
        <f>IFERROR(AVERAGE(Tabel1[[#This Row],[Up - A3a]:[Up - A3a]]),"")</f>
        <v>2</v>
      </c>
      <c r="BV467" t="s">
        <v>189</v>
      </c>
      <c r="BW467">
        <f>IFERROR(AVERAGE(Tabel1[[#This Row],[Up - A1]],Tabel1[[#This Row],[Up - A2]],Tabel1[[#This Row],[Up - A3]]),"")</f>
        <v>1.75</v>
      </c>
      <c r="BX467">
        <v>3</v>
      </c>
      <c r="BY467">
        <v>3</v>
      </c>
      <c r="BZ467">
        <f>IFERROR(AVERAGE(Tabel1[[#This Row],[In - R1a]:[In - R1b]]),"")</f>
        <v>3</v>
      </c>
      <c r="CA467">
        <v>1</v>
      </c>
      <c r="CB467">
        <v>1</v>
      </c>
      <c r="CC467">
        <v>3</v>
      </c>
      <c r="CD467">
        <v>3</v>
      </c>
      <c r="CE467">
        <f>IFERROR(AVERAGE(Tabel1[[#This Row],[In - R1]:[In - R5]]),"")</f>
        <v>2.2000000000000002</v>
      </c>
      <c r="CF467">
        <v>4</v>
      </c>
      <c r="CG467">
        <v>3</v>
      </c>
      <c r="CH467">
        <v>4</v>
      </c>
      <c r="CI467">
        <f>IFERROR(AVERAGE(Tabel1[[#This Row],[In - C1a]:[In - C1c]]),"")</f>
        <v>3.6666666666666665</v>
      </c>
      <c r="CJ467">
        <v>2</v>
      </c>
      <c r="CK467">
        <v>3</v>
      </c>
      <c r="CL467">
        <v>3</v>
      </c>
      <c r="CM467">
        <f>IFERROR(AVERAGE(Tabel1[[#This Row],[In - C1]:[In - C4]]),"")</f>
        <v>2.9166666666666665</v>
      </c>
      <c r="CN467">
        <v>2</v>
      </c>
      <c r="CO467">
        <v>4</v>
      </c>
      <c r="CP467">
        <v>2</v>
      </c>
      <c r="CQ467">
        <f>IFERROR(AVERAGE(Tabel1[[#This Row],[In - F1a]:[In - F1c]]),"")</f>
        <v>2.6666666666666665</v>
      </c>
      <c r="CR467">
        <v>3</v>
      </c>
      <c r="CS467">
        <v>2</v>
      </c>
      <c r="CT467">
        <f>IFERROR(AVERAGE(Tabel1[[#This Row],[In - F2a]:[In - F2b]]),"")</f>
        <v>2.5</v>
      </c>
      <c r="CU467">
        <v>2</v>
      </c>
      <c r="CV467">
        <f>IFERROR(AVERAGE(Tabel1[[#This Row],[In - F3a]:[In - F3a]]),"")</f>
        <v>2</v>
      </c>
      <c r="CW467">
        <v>2</v>
      </c>
      <c r="CX467">
        <f>IFERROR(AVERAGE(Tabel1[[#This Row],[In - F1]],Tabel1[[#This Row],[In - F2]],Tabel1[[#This Row],[In - F3]],Tabel1[[#This Row],[In - F4]]),"")</f>
        <v>2.2916666666666665</v>
      </c>
      <c r="CY467">
        <v>3</v>
      </c>
      <c r="CZ467">
        <v>2</v>
      </c>
      <c r="DA467">
        <v>2</v>
      </c>
      <c r="DB467">
        <f>IFERROR(AVERAGE(Tabel1[[#This Row],[In - V1a]:[In - V1c]]),"")</f>
        <v>2.3333333333333335</v>
      </c>
      <c r="DC467">
        <v>4</v>
      </c>
      <c r="DD467">
        <v>3</v>
      </c>
      <c r="DE467">
        <v>3</v>
      </c>
      <c r="DF467">
        <f>IFERROR(AVERAGE(Tabel1[[#This Row],[In - V2a]:[In - V2c]]),"")</f>
        <v>3.3333333333333335</v>
      </c>
      <c r="DG467">
        <v>1</v>
      </c>
      <c r="DH467" t="s">
        <v>189</v>
      </c>
      <c r="DI467">
        <f>IFERROR(AVERAGE(Tabel1[[#This Row],[In - V3a]:[In - V3b]]),"")</f>
        <v>1</v>
      </c>
      <c r="DJ467" t="s">
        <v>189</v>
      </c>
      <c r="DK467">
        <f>IFERROR(AVERAGE(Tabel1[[#This Row],[In - V1]],Tabel1[[#This Row],[In - V2]],Tabel1[[#This Row],[In - V3]],Tabel1[[#This Row],[In - V4]]),"")</f>
        <v>2.2222222222222223</v>
      </c>
      <c r="DL467">
        <v>1</v>
      </c>
      <c r="DM467">
        <v>1</v>
      </c>
      <c r="DN467">
        <f>IFERROR(AVERAGE(Tabel1[[#This Row],[In - A1a]:[In - A1b]]),"")</f>
        <v>1</v>
      </c>
      <c r="DO467">
        <v>1</v>
      </c>
      <c r="DP467">
        <v>2</v>
      </c>
      <c r="DQ467">
        <f>IFERROR(AVERAGE(Tabel1[[#This Row],[In - A2a]:[In - A2b]]),"")</f>
        <v>1.5</v>
      </c>
      <c r="DR467">
        <v>2</v>
      </c>
      <c r="DS467">
        <v>2</v>
      </c>
      <c r="DT467">
        <f>IFERROR(AVERAGE(Tabel1[[#This Row],[In - A3a]:[In - A3a]]),"")</f>
        <v>2</v>
      </c>
      <c r="DU467">
        <v>1</v>
      </c>
      <c r="DV467">
        <f>IFERROR(AVERAGE(Tabel1[[#This Row],[In - A1]],Tabel1[[#This Row],[In - A2]],Tabel1[[#This Row],[In - A3]],Tabel1[[#This Row],[In - A4]]),"")</f>
        <v>1.375</v>
      </c>
      <c r="DW467">
        <v>2</v>
      </c>
      <c r="DX467">
        <v>4</v>
      </c>
      <c r="DY467">
        <v>3</v>
      </c>
      <c r="DZ467">
        <f>IFERROR(AVERAGE(Tabel1[[#This Row],[Do - R1a]:[Do - R1c]]),"")</f>
        <v>3</v>
      </c>
      <c r="EA467">
        <v>4</v>
      </c>
      <c r="EB467">
        <v>1</v>
      </c>
      <c r="EC467">
        <v>1</v>
      </c>
      <c r="ED467">
        <v>1</v>
      </c>
      <c r="EE467">
        <f>IFERROR(AVERAGE(Tabel1[[#This Row],[Do - R1]:[Do - R5]]),"")</f>
        <v>2</v>
      </c>
      <c r="EF467">
        <v>4</v>
      </c>
      <c r="EG467">
        <v>3</v>
      </c>
      <c r="EH467">
        <v>2</v>
      </c>
      <c r="EI467">
        <f>IFERROR(AVERAGE(Tabel1[[#This Row],[Do - C1a]:[Do - C1c]]),"")</f>
        <v>3</v>
      </c>
      <c r="EJ467">
        <v>3</v>
      </c>
      <c r="EK467">
        <v>2</v>
      </c>
      <c r="EL467">
        <v>2</v>
      </c>
      <c r="EM467">
        <f>IFERROR(AVERAGE(Tabel1[[#This Row],[Do - C1]:[Do - C4]]),"")</f>
        <v>2.5</v>
      </c>
      <c r="EN467">
        <v>2</v>
      </c>
      <c r="EO467">
        <v>2</v>
      </c>
      <c r="EP467">
        <v>2</v>
      </c>
      <c r="EQ467">
        <f>IFERROR(AVERAGE(Tabel1[[#This Row],[Do - F1a]:[Do - F1c]]),"")</f>
        <v>2</v>
      </c>
      <c r="ER467">
        <v>2</v>
      </c>
      <c r="ES467">
        <f>IFERROR(AVERAGE(Tabel1[[#This Row],[Do - F2a]:[Do - F2a]]),"")</f>
        <v>2</v>
      </c>
      <c r="ET467">
        <v>2</v>
      </c>
      <c r="EU467">
        <v>2</v>
      </c>
      <c r="EV467">
        <f>IFERROR(AVERAGE(Tabel1[[#This Row],[Do - F3a]:[Do - F3b]]),"")</f>
        <v>2</v>
      </c>
      <c r="EW467">
        <v>2</v>
      </c>
      <c r="EX467">
        <f>IFERROR(AVERAGE(Tabel1[[#This Row],[Do - F1]],Tabel1[[#This Row],[Do - F2]],Tabel1[[#This Row],[Do - F3]],Tabel1[[#This Row],[Do - F4]]),"")</f>
        <v>2</v>
      </c>
      <c r="EY467">
        <v>3</v>
      </c>
      <c r="EZ467">
        <v>3</v>
      </c>
      <c r="FA467">
        <v>4</v>
      </c>
      <c r="FB467">
        <f>IFERROR(AVERAGE(Tabel1[[#This Row],[Do - V1a]:[Do - V1c]]),"")</f>
        <v>3.3333333333333335</v>
      </c>
      <c r="FC467">
        <v>5</v>
      </c>
      <c r="FD467">
        <v>4</v>
      </c>
      <c r="FE467">
        <f>IFERROR(AVERAGE(Tabel1[[#This Row],[Do - V2a]:[Do - V2b]]),"")</f>
        <v>4.5</v>
      </c>
      <c r="FF467">
        <v>3</v>
      </c>
      <c r="FG467">
        <f>IFERROR(AVERAGE(Tabel1[[#This Row],[Do - V3a]:[Do - V3a]]),"")</f>
        <v>3</v>
      </c>
      <c r="FH467">
        <v>3</v>
      </c>
      <c r="FI467">
        <f>IFERROR(AVERAGE(Tabel1[[#This Row],[Do - V1]],Tabel1[[#This Row],[Do - V2]],Tabel1[[#This Row],[Do - V3]],Tabel1[[#This Row],[Do - V4]]),"")</f>
        <v>3.4583333333333335</v>
      </c>
      <c r="FJ467">
        <v>2</v>
      </c>
      <c r="FK467">
        <v>2</v>
      </c>
      <c r="FL467">
        <v>2</v>
      </c>
      <c r="FM467">
        <f>IFERROR(AVERAGE(Tabel1[[#This Row],[Do - A1a]:[Do - A1c]]),"")</f>
        <v>2</v>
      </c>
      <c r="FN467">
        <v>2</v>
      </c>
      <c r="FO467">
        <v>2</v>
      </c>
      <c r="FP467">
        <f>IFERROR(AVERAGE(Tabel1[[#This Row],[Do - A2a]:[Do - A2b]]),"")</f>
        <v>2</v>
      </c>
      <c r="FQ467">
        <v>4</v>
      </c>
      <c r="FR467">
        <f>IFERROR(AVERAGE(Tabel1[[#This Row],[Do - A3a]:[Do - A3a]]),"")</f>
        <v>4</v>
      </c>
      <c r="FS467" t="s">
        <v>189</v>
      </c>
      <c r="FT467">
        <f>IFERROR(AVERAGE(Tabel1[[#This Row],[Do - A1]],Tabel1[[#This Row],[Do - A2]],Tabel1[[#This Row],[Do - A3]],Tabel1[[#This Row],[Do - A4]]),"")</f>
        <v>2.6666666666666665</v>
      </c>
      <c r="FU46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2.2392592592592591</v>
      </c>
      <c r="FV467" s="31" t="s">
        <v>2284</v>
      </c>
      <c r="FW467" t="b">
        <v>1</v>
      </c>
    </row>
    <row r="468" spans="1:179" x14ac:dyDescent="0.3">
      <c r="A468" s="13">
        <v>45743.762395833299</v>
      </c>
      <c r="B468" t="b">
        <v>0</v>
      </c>
      <c r="C468" t="s">
        <v>2285</v>
      </c>
      <c r="D468" t="s">
        <v>2286</v>
      </c>
      <c r="E468" t="s">
        <v>1589</v>
      </c>
      <c r="F468" s="14" t="s">
        <v>1764</v>
      </c>
      <c r="G468" t="s">
        <v>2287</v>
      </c>
      <c r="H468" t="s">
        <v>194</v>
      </c>
      <c r="I468" t="s">
        <v>195</v>
      </c>
      <c r="J468" t="s">
        <v>406</v>
      </c>
      <c r="K468" t="s">
        <v>235</v>
      </c>
      <c r="L468" t="s">
        <v>249</v>
      </c>
      <c r="M468" t="s">
        <v>198</v>
      </c>
      <c r="N468" t="s">
        <v>262</v>
      </c>
      <c r="O468" t="s">
        <v>200</v>
      </c>
      <c r="P468" t="s">
        <v>255</v>
      </c>
      <c r="Q468" t="s">
        <v>203</v>
      </c>
      <c r="R468" t="s">
        <v>201</v>
      </c>
      <c r="S468" t="s">
        <v>235</v>
      </c>
      <c r="T468" t="s">
        <v>284</v>
      </c>
      <c r="U468" t="s">
        <v>237</v>
      </c>
      <c r="V468" t="s">
        <v>224</v>
      </c>
      <c r="W468" t="s">
        <v>207</v>
      </c>
      <c r="X468" t="s">
        <v>207</v>
      </c>
      <c r="Y468">
        <v>3</v>
      </c>
      <c r="Z468">
        <v>2</v>
      </c>
      <c r="AA468" t="s">
        <v>189</v>
      </c>
      <c r="AB468">
        <f>IFERROR(AVERAGE(Tabel1[[#This Row],[Up - R1a]:[Up - R1c]]),"")</f>
        <v>2.5</v>
      </c>
      <c r="AC468">
        <v>2</v>
      </c>
      <c r="AD468">
        <v>3</v>
      </c>
      <c r="AE468">
        <v>1</v>
      </c>
      <c r="AF468">
        <v>4</v>
      </c>
      <c r="AG468">
        <f>IFERROR(AVERAGE(Tabel1[[#This Row],[Up - R1]:[Up - R5]]),"")</f>
        <v>2.5</v>
      </c>
      <c r="AH468" t="s">
        <v>189</v>
      </c>
      <c r="AI468">
        <v>1</v>
      </c>
      <c r="AJ468">
        <v>3</v>
      </c>
      <c r="AK468">
        <f>IFERROR(AVERAGE(Tabel1[[#This Row],[Up - C1a]:[Up - C1c]]),"")</f>
        <v>2</v>
      </c>
      <c r="AL468">
        <v>4</v>
      </c>
      <c r="AM468">
        <v>1</v>
      </c>
      <c r="AN468">
        <v>2</v>
      </c>
      <c r="AO468">
        <f>IFERROR(AVERAGE(Tabel1[[#This Row],[Up - C1]:[Up - C4]]),"")</f>
        <v>2.25</v>
      </c>
      <c r="AP468">
        <v>2</v>
      </c>
      <c r="AQ468">
        <f>IFERROR(AVERAGE(Tabel1[[#This Row],[Up - F1a]:[Up - F1a]]),"")</f>
        <v>2</v>
      </c>
      <c r="AR468">
        <v>2</v>
      </c>
      <c r="AS468">
        <v>1</v>
      </c>
      <c r="AT468">
        <f>IFERROR(AVERAGE(Tabel1[[#This Row],[Up - F2a]:[Up - F2b]]),"")</f>
        <v>1.5</v>
      </c>
      <c r="AU468">
        <v>2</v>
      </c>
      <c r="AV468">
        <v>1</v>
      </c>
      <c r="AW468">
        <f>IFERROR(AVERAGE(Tabel1[[#This Row],[Up - F3a]:[Up - F3b]]),"")</f>
        <v>1.5</v>
      </c>
      <c r="AX468">
        <v>4</v>
      </c>
      <c r="AY468">
        <f>IFERROR(AVERAGE(Tabel1[[#This Row],[Up - F1]],Tabel1[[#This Row],[Up - F2]],Tabel1[[#This Row],[Up - F3]],Tabel1[[#This Row],[Up - F4]]),"")</f>
        <v>2.25</v>
      </c>
      <c r="AZ468">
        <v>1</v>
      </c>
      <c r="BA468">
        <v>2</v>
      </c>
      <c r="BB468">
        <f>IFERROR(AVERAGE(Tabel1[[#This Row],[Up - V1a]:[Up - V1b]]),"")</f>
        <v>1.5</v>
      </c>
      <c r="BC468">
        <v>3</v>
      </c>
      <c r="BD468">
        <v>3</v>
      </c>
      <c r="BE468">
        <v>1</v>
      </c>
      <c r="BF468">
        <f>IFERROR(AVERAGE(Tabel1[[#This Row],[Up - V2a]:[Up - V2c]]),"")</f>
        <v>2.3333333333333335</v>
      </c>
      <c r="BG468">
        <v>2</v>
      </c>
      <c r="BH468">
        <v>1</v>
      </c>
      <c r="BI468">
        <f>IFERROR(AVERAGE(Tabel1[[#This Row],[Up - V3a]:[Up - V3b]]),"")</f>
        <v>1.5</v>
      </c>
      <c r="BJ468" t="s">
        <v>189</v>
      </c>
      <c r="BK468">
        <f>IFERROR(AVERAGE(Tabel1[[#This Row],[Up - V1]],Tabel1[[#This Row],[Up - V2]],Tabel1[[#This Row],[Up - V3]],Tabel1[[#This Row],[Up - V4]]),"")</f>
        <v>1.7777777777777779</v>
      </c>
      <c r="BL468">
        <v>2</v>
      </c>
      <c r="BM468">
        <v>4</v>
      </c>
      <c r="BN468">
        <v>1</v>
      </c>
      <c r="BO468">
        <v>1</v>
      </c>
      <c r="BP468">
        <f>IFERROR(AVERAGE(Tabel1[[#This Row],[Up - A1a]:[Up - A1d]]),"")</f>
        <v>2</v>
      </c>
      <c r="BQ468">
        <v>3</v>
      </c>
      <c r="BR468">
        <v>2</v>
      </c>
      <c r="BS468">
        <f>IFERROR(AVERAGE(Tabel1[[#This Row],[Up - A2a]:[Up - A2b]]),"")</f>
        <v>2.5</v>
      </c>
      <c r="BT468">
        <v>3</v>
      </c>
      <c r="BU468">
        <f>IFERROR(AVERAGE(Tabel1[[#This Row],[Up - A3a]:[Up - A3a]]),"")</f>
        <v>3</v>
      </c>
      <c r="BV468">
        <v>1</v>
      </c>
      <c r="BW468">
        <f>IFERROR(AVERAGE(Tabel1[[#This Row],[Up - A1]],Tabel1[[#This Row],[Up - A2]],Tabel1[[#This Row],[Up - A3]]),"")</f>
        <v>2.5</v>
      </c>
      <c r="BX468">
        <v>4</v>
      </c>
      <c r="BY468">
        <v>4</v>
      </c>
      <c r="BZ468">
        <f>IFERROR(AVERAGE(Tabel1[[#This Row],[In - R1a]:[In - R1b]]),"")</f>
        <v>4</v>
      </c>
      <c r="CA468">
        <v>3</v>
      </c>
      <c r="CB468">
        <v>4</v>
      </c>
      <c r="CC468">
        <v>1</v>
      </c>
      <c r="CD468">
        <v>4</v>
      </c>
      <c r="CE468">
        <f>IFERROR(AVERAGE(Tabel1[[#This Row],[In - R1]:[In - R5]]),"")</f>
        <v>3.2</v>
      </c>
      <c r="CF468">
        <v>3</v>
      </c>
      <c r="CG468">
        <v>3</v>
      </c>
      <c r="CH468">
        <v>3</v>
      </c>
      <c r="CI468">
        <f>IFERROR(AVERAGE(Tabel1[[#This Row],[In - C1a]:[In - C1c]]),"")</f>
        <v>3</v>
      </c>
      <c r="CJ468">
        <v>4</v>
      </c>
      <c r="CK468">
        <v>2</v>
      </c>
      <c r="CL468">
        <v>5</v>
      </c>
      <c r="CM468">
        <f>IFERROR(AVERAGE(Tabel1[[#This Row],[In - C1]:[In - C4]]),"")</f>
        <v>3.5</v>
      </c>
      <c r="CN468">
        <v>4</v>
      </c>
      <c r="CO468">
        <v>1</v>
      </c>
      <c r="CP468">
        <v>1</v>
      </c>
      <c r="CQ468">
        <f>IFERROR(AVERAGE(Tabel1[[#This Row],[In - F1a]:[In - F1c]]),"")</f>
        <v>2</v>
      </c>
      <c r="CR468">
        <v>1</v>
      </c>
      <c r="CS468">
        <v>4</v>
      </c>
      <c r="CT468">
        <f>IFERROR(AVERAGE(Tabel1[[#This Row],[In - F2a]:[In - F2b]]),"")</f>
        <v>2.5</v>
      </c>
      <c r="CU468">
        <v>1</v>
      </c>
      <c r="CV468">
        <f>IFERROR(AVERAGE(Tabel1[[#This Row],[In - F3a]:[In - F3a]]),"")</f>
        <v>1</v>
      </c>
      <c r="CW468" t="s">
        <v>189</v>
      </c>
      <c r="CX468">
        <f>IFERROR(AVERAGE(Tabel1[[#This Row],[In - F1]],Tabel1[[#This Row],[In - F2]],Tabel1[[#This Row],[In - F3]],Tabel1[[#This Row],[In - F4]]),"")</f>
        <v>1.8333333333333333</v>
      </c>
      <c r="CY468">
        <v>1</v>
      </c>
      <c r="CZ468">
        <v>3</v>
      </c>
      <c r="DA468">
        <v>2</v>
      </c>
      <c r="DB468">
        <f>IFERROR(AVERAGE(Tabel1[[#This Row],[In - V1a]:[In - V1c]]),"")</f>
        <v>2</v>
      </c>
      <c r="DC468">
        <v>3</v>
      </c>
      <c r="DD468">
        <v>2</v>
      </c>
      <c r="DE468">
        <v>2</v>
      </c>
      <c r="DF468">
        <f>IFERROR(AVERAGE(Tabel1[[#This Row],[In - V2a]:[In - V2c]]),"")</f>
        <v>2.3333333333333335</v>
      </c>
      <c r="DG468">
        <v>2</v>
      </c>
      <c r="DH468">
        <v>1</v>
      </c>
      <c r="DI468">
        <f>IFERROR(AVERAGE(Tabel1[[#This Row],[In - V3a]:[In - V3b]]),"")</f>
        <v>1.5</v>
      </c>
      <c r="DJ468" t="s">
        <v>189</v>
      </c>
      <c r="DK468">
        <f>IFERROR(AVERAGE(Tabel1[[#This Row],[In - V1]],Tabel1[[#This Row],[In - V2]],Tabel1[[#This Row],[In - V3]],Tabel1[[#This Row],[In - V4]]),"")</f>
        <v>1.9444444444444446</v>
      </c>
      <c r="DL468">
        <v>3</v>
      </c>
      <c r="DM468">
        <v>1</v>
      </c>
      <c r="DN468">
        <f>IFERROR(AVERAGE(Tabel1[[#This Row],[In - A1a]:[In - A1b]]),"")</f>
        <v>2</v>
      </c>
      <c r="DO468">
        <v>4</v>
      </c>
      <c r="DP468">
        <v>2</v>
      </c>
      <c r="DQ468">
        <f>IFERROR(AVERAGE(Tabel1[[#This Row],[In - A2a]:[In - A2b]]),"")</f>
        <v>3</v>
      </c>
      <c r="DR468">
        <v>3</v>
      </c>
      <c r="DS468">
        <v>1</v>
      </c>
      <c r="DT468">
        <f>IFERROR(AVERAGE(Tabel1[[#This Row],[In - A3a]:[In - A3a]]),"")</f>
        <v>3</v>
      </c>
      <c r="DU468">
        <v>3</v>
      </c>
      <c r="DV468">
        <f>IFERROR(AVERAGE(Tabel1[[#This Row],[In - A1]],Tabel1[[#This Row],[In - A2]],Tabel1[[#This Row],[In - A3]],Tabel1[[#This Row],[In - A4]]),"")</f>
        <v>2.75</v>
      </c>
      <c r="DW468">
        <v>4</v>
      </c>
      <c r="DX468">
        <v>5</v>
      </c>
      <c r="DY468" t="s">
        <v>189</v>
      </c>
      <c r="DZ468">
        <f>IFERROR(AVERAGE(Tabel1[[#This Row],[Do - R1a]:[Do - R1c]]),"")</f>
        <v>4.5</v>
      </c>
      <c r="EA468">
        <v>4</v>
      </c>
      <c r="EB468">
        <v>3</v>
      </c>
      <c r="EC468" t="s">
        <v>189</v>
      </c>
      <c r="ED468" t="s">
        <v>189</v>
      </c>
      <c r="EE468">
        <f>IFERROR(AVERAGE(Tabel1[[#This Row],[Do - R1]:[Do - R5]]),"")</f>
        <v>3.8333333333333335</v>
      </c>
      <c r="EF468" t="s">
        <v>189</v>
      </c>
      <c r="EG468" t="s">
        <v>189</v>
      </c>
      <c r="EH468" t="s">
        <v>189</v>
      </c>
      <c r="EI468" t="str">
        <f>IFERROR(AVERAGE(Tabel1[[#This Row],[Do - C1a]:[Do - C1c]]),"")</f>
        <v/>
      </c>
      <c r="EJ468" t="s">
        <v>189</v>
      </c>
      <c r="EK468" t="s">
        <v>189</v>
      </c>
      <c r="EL468" t="s">
        <v>189</v>
      </c>
      <c r="EM468" t="str">
        <f>IFERROR(AVERAGE(Tabel1[[#This Row],[Do - C1]:[Do - C4]]),"")</f>
        <v/>
      </c>
      <c r="EN468" t="s">
        <v>189</v>
      </c>
      <c r="EO468" t="s">
        <v>189</v>
      </c>
      <c r="EP468">
        <v>5</v>
      </c>
      <c r="EQ468">
        <f>IFERROR(AVERAGE(Tabel1[[#This Row],[Do - F1a]:[Do - F1c]]),"")</f>
        <v>5</v>
      </c>
      <c r="ER468">
        <v>2</v>
      </c>
      <c r="ES468">
        <f>IFERROR(AVERAGE(Tabel1[[#This Row],[Do - F2a]:[Do - F2a]]),"")</f>
        <v>2</v>
      </c>
      <c r="ET468">
        <v>2</v>
      </c>
      <c r="EU468" t="s">
        <v>189</v>
      </c>
      <c r="EV468">
        <f>IFERROR(AVERAGE(Tabel1[[#This Row],[Do - F3a]:[Do - F3b]]),"")</f>
        <v>2</v>
      </c>
      <c r="EW468" t="s">
        <v>189</v>
      </c>
      <c r="EX468">
        <f>IFERROR(AVERAGE(Tabel1[[#This Row],[Do - F1]],Tabel1[[#This Row],[Do - F2]],Tabel1[[#This Row],[Do - F3]],Tabel1[[#This Row],[Do - F4]]),"")</f>
        <v>3</v>
      </c>
      <c r="EY468">
        <v>2</v>
      </c>
      <c r="EZ468">
        <v>4</v>
      </c>
      <c r="FA468">
        <v>2</v>
      </c>
      <c r="FB468">
        <f>IFERROR(AVERAGE(Tabel1[[#This Row],[Do - V1a]:[Do - V1c]]),"")</f>
        <v>2.6666666666666665</v>
      </c>
      <c r="FC468" t="s">
        <v>189</v>
      </c>
      <c r="FD468">
        <v>1</v>
      </c>
      <c r="FE468">
        <f>IFERROR(AVERAGE(Tabel1[[#This Row],[Do - V2a]:[Do - V2b]]),"")</f>
        <v>1</v>
      </c>
      <c r="FF468" t="s">
        <v>189</v>
      </c>
      <c r="FG468" t="str">
        <f>IFERROR(AVERAGE(Tabel1[[#This Row],[Do - V3a]:[Do - V3a]]),"")</f>
        <v/>
      </c>
      <c r="FH468" t="s">
        <v>189</v>
      </c>
      <c r="FI468">
        <f>IFERROR(AVERAGE(Tabel1[[#This Row],[Do - V1]],Tabel1[[#This Row],[Do - V2]],Tabel1[[#This Row],[Do - V3]],Tabel1[[#This Row],[Do - V4]]),"")</f>
        <v>1.8333333333333333</v>
      </c>
      <c r="FJ468" t="s">
        <v>189</v>
      </c>
      <c r="FK468">
        <v>1</v>
      </c>
      <c r="FL468" t="s">
        <v>189</v>
      </c>
      <c r="FM468">
        <f>IFERROR(AVERAGE(Tabel1[[#This Row],[Do - A1a]:[Do - A1c]]),"")</f>
        <v>1</v>
      </c>
      <c r="FN468">
        <v>2</v>
      </c>
      <c r="FO468">
        <v>5</v>
      </c>
      <c r="FP468">
        <f>IFERROR(AVERAGE(Tabel1[[#This Row],[Do - A2a]:[Do - A2b]]),"")</f>
        <v>3.5</v>
      </c>
      <c r="FQ468" t="s">
        <v>189</v>
      </c>
      <c r="FR468" t="str">
        <f>IFERROR(AVERAGE(Tabel1[[#This Row],[Do - A3a]:[Do - A3a]]),"")</f>
        <v/>
      </c>
      <c r="FS468" t="s">
        <v>189</v>
      </c>
      <c r="FT468">
        <f>IFERROR(AVERAGE(Tabel1[[#This Row],[Do - A1]],Tabel1[[#This Row],[Do - A2]],Tabel1[[#This Row],[Do - A3]],Tabel1[[#This Row],[Do - A4]]),"")</f>
        <v>2.25</v>
      </c>
      <c r="FU46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2.5301587301587296</v>
      </c>
      <c r="FV468" s="31" t="s">
        <v>2288</v>
      </c>
      <c r="FW468" t="b">
        <v>1</v>
      </c>
    </row>
    <row r="469" spans="1:179" x14ac:dyDescent="0.3">
      <c r="A469" s="13">
        <v>45744.338379629597</v>
      </c>
      <c r="B469" t="b">
        <v>0</v>
      </c>
      <c r="C469" t="s">
        <v>2289</v>
      </c>
      <c r="D469" t="s">
        <v>2290</v>
      </c>
      <c r="E469" t="s">
        <v>2222</v>
      </c>
      <c r="F469" s="14" t="s">
        <v>184</v>
      </c>
      <c r="G469" t="s">
        <v>2291</v>
      </c>
      <c r="H469" t="s">
        <v>222</v>
      </c>
      <c r="I469" t="s">
        <v>195</v>
      </c>
      <c r="J469" t="s">
        <v>273</v>
      </c>
      <c r="K469" t="s">
        <v>201</v>
      </c>
      <c r="L469" t="s">
        <v>249</v>
      </c>
      <c r="M469" t="s">
        <v>233</v>
      </c>
      <c r="N469" t="s">
        <v>199</v>
      </c>
      <c r="O469" t="s">
        <v>200</v>
      </c>
      <c r="P469" t="s">
        <v>255</v>
      </c>
      <c r="Q469" t="s">
        <v>701</v>
      </c>
      <c r="R469" t="s">
        <v>235</v>
      </c>
      <c r="S469" t="s">
        <v>235</v>
      </c>
      <c r="T469" t="s">
        <v>204</v>
      </c>
      <c r="U469" t="s">
        <v>285</v>
      </c>
      <c r="V469" t="s">
        <v>224</v>
      </c>
      <c r="W469" t="s">
        <v>207</v>
      </c>
      <c r="X469" t="s">
        <v>395</v>
      </c>
      <c r="Y469">
        <v>2</v>
      </c>
      <c r="Z469" t="s">
        <v>189</v>
      </c>
      <c r="AA469" t="s">
        <v>189</v>
      </c>
      <c r="AB469">
        <f>IFERROR(AVERAGE(Tabel1[[#This Row],[Up - R1a]:[Up - R1c]]),"")</f>
        <v>2</v>
      </c>
      <c r="AC469" t="s">
        <v>189</v>
      </c>
      <c r="AD469" t="s">
        <v>189</v>
      </c>
      <c r="AE469" t="s">
        <v>189</v>
      </c>
      <c r="AF469" t="s">
        <v>189</v>
      </c>
      <c r="AG469">
        <f>IFERROR(AVERAGE(Tabel1[[#This Row],[Up - R1]:[Up - R5]]),"")</f>
        <v>2</v>
      </c>
      <c r="AH469" t="s">
        <v>189</v>
      </c>
      <c r="AI469" t="s">
        <v>189</v>
      </c>
      <c r="AJ469" t="s">
        <v>189</v>
      </c>
      <c r="AK469" t="str">
        <f>IFERROR(AVERAGE(Tabel1[[#This Row],[Up - C1a]:[Up - C1c]]),"")</f>
        <v/>
      </c>
      <c r="AL469" t="s">
        <v>189</v>
      </c>
      <c r="AM469" t="s">
        <v>189</v>
      </c>
      <c r="AN469" t="s">
        <v>189</v>
      </c>
      <c r="AO469" t="str">
        <f>IFERROR(AVERAGE(Tabel1[[#This Row],[Up - C1]:[Up - C4]]),"")</f>
        <v/>
      </c>
      <c r="AP469" t="s">
        <v>189</v>
      </c>
      <c r="AQ469" t="str">
        <f>IFERROR(AVERAGE(Tabel1[[#This Row],[Up - F1a]:[Up - F1a]]),"")</f>
        <v/>
      </c>
      <c r="AR469" t="s">
        <v>189</v>
      </c>
      <c r="AS469" t="s">
        <v>189</v>
      </c>
      <c r="AT469" t="str">
        <f>IFERROR(AVERAGE(Tabel1[[#This Row],[Up - F2a]:[Up - F2b]]),"")</f>
        <v/>
      </c>
      <c r="AU469" t="s">
        <v>189</v>
      </c>
      <c r="AV469" t="s">
        <v>189</v>
      </c>
      <c r="AW469" t="str">
        <f>IFERROR(AVERAGE(Tabel1[[#This Row],[Up - F3a]:[Up - F3b]]),"")</f>
        <v/>
      </c>
      <c r="AX469" t="s">
        <v>189</v>
      </c>
      <c r="AY469" t="str">
        <f>IFERROR(AVERAGE(Tabel1[[#This Row],[Up - F1]],Tabel1[[#This Row],[Up - F2]],Tabel1[[#This Row],[Up - F3]],Tabel1[[#This Row],[Up - F4]]),"")</f>
        <v/>
      </c>
      <c r="AZ469" t="s">
        <v>189</v>
      </c>
      <c r="BA469" t="s">
        <v>189</v>
      </c>
      <c r="BB469" t="str">
        <f>IFERROR(AVERAGE(Tabel1[[#This Row],[Up - V1a]:[Up - V1b]]),"")</f>
        <v/>
      </c>
      <c r="BC469" t="s">
        <v>189</v>
      </c>
      <c r="BD469" t="s">
        <v>189</v>
      </c>
      <c r="BE469" t="s">
        <v>189</v>
      </c>
      <c r="BF469" t="str">
        <f>IFERROR(AVERAGE(Tabel1[[#This Row],[Up - V2a]:[Up - V2c]]),"")</f>
        <v/>
      </c>
      <c r="BG469" t="s">
        <v>189</v>
      </c>
      <c r="BH469" t="s">
        <v>189</v>
      </c>
      <c r="BI469" t="str">
        <f>IFERROR(AVERAGE(Tabel1[[#This Row],[Up - V3a]:[Up - V3b]]),"")</f>
        <v/>
      </c>
      <c r="BJ469" t="s">
        <v>189</v>
      </c>
      <c r="BK469" t="str">
        <f>IFERROR(AVERAGE(Tabel1[[#This Row],[Up - V1]],Tabel1[[#This Row],[Up - V2]],Tabel1[[#This Row],[Up - V3]],Tabel1[[#This Row],[Up - V4]]),"")</f>
        <v/>
      </c>
      <c r="BL469" t="s">
        <v>189</v>
      </c>
      <c r="BM469" t="s">
        <v>189</v>
      </c>
      <c r="BN469" t="s">
        <v>189</v>
      </c>
      <c r="BO469" t="s">
        <v>189</v>
      </c>
      <c r="BP469" t="str">
        <f>IFERROR(AVERAGE(Tabel1[[#This Row],[Up - A1a]:[Up - A1d]]),"")</f>
        <v/>
      </c>
      <c r="BQ469" t="s">
        <v>189</v>
      </c>
      <c r="BR469" t="s">
        <v>189</v>
      </c>
      <c r="BS469" t="str">
        <f>IFERROR(AVERAGE(Tabel1[[#This Row],[Up - A2a]:[Up - A2b]]),"")</f>
        <v/>
      </c>
      <c r="BT469" t="s">
        <v>189</v>
      </c>
      <c r="BU469" t="str">
        <f>IFERROR(AVERAGE(Tabel1[[#This Row],[Up - A3a]:[Up - A3a]]),"")</f>
        <v/>
      </c>
      <c r="BV469" t="s">
        <v>189</v>
      </c>
      <c r="BW469" t="str">
        <f>IFERROR(AVERAGE(Tabel1[[#This Row],[Up - A1]],Tabel1[[#This Row],[Up - A2]],Tabel1[[#This Row],[Up - A3]]),"")</f>
        <v/>
      </c>
      <c r="BX469">
        <v>2</v>
      </c>
      <c r="BY469">
        <v>4</v>
      </c>
      <c r="BZ469">
        <f>IFERROR(AVERAGE(Tabel1[[#This Row],[In - R1a]:[In - R1b]]),"")</f>
        <v>3</v>
      </c>
      <c r="CA469">
        <v>3</v>
      </c>
      <c r="CB469">
        <v>2</v>
      </c>
      <c r="CC469" t="s">
        <v>189</v>
      </c>
      <c r="CE469">
        <f>IFERROR(AVERAGE(Tabel1[[#This Row],[In - R1]:[In - R5]]),"")</f>
        <v>2.6666666666666665</v>
      </c>
      <c r="CF469">
        <v>4</v>
      </c>
      <c r="CG469">
        <v>4</v>
      </c>
      <c r="CH469">
        <v>5</v>
      </c>
      <c r="CI469">
        <f>IFERROR(AVERAGE(Tabel1[[#This Row],[In - C1a]:[In - C1c]]),"")</f>
        <v>4.333333333333333</v>
      </c>
      <c r="CJ469">
        <v>4</v>
      </c>
      <c r="CK469">
        <v>3</v>
      </c>
      <c r="CL469" t="s">
        <v>189</v>
      </c>
      <c r="CM469">
        <f>IFERROR(AVERAGE(Tabel1[[#This Row],[In - C1]:[In - C4]]),"")</f>
        <v>3.7777777777777772</v>
      </c>
      <c r="CN469">
        <v>2</v>
      </c>
      <c r="CO469" t="s">
        <v>189</v>
      </c>
      <c r="CP469">
        <v>1</v>
      </c>
      <c r="CQ469">
        <f>IFERROR(AVERAGE(Tabel1[[#This Row],[In - F1a]:[In - F1c]]),"")</f>
        <v>1.5</v>
      </c>
      <c r="CR469">
        <v>4</v>
      </c>
      <c r="CS469" t="s">
        <v>189</v>
      </c>
      <c r="CT469">
        <f>IFERROR(AVERAGE(Tabel1[[#This Row],[In - F2a]:[In - F2b]]),"")</f>
        <v>4</v>
      </c>
      <c r="CU469" t="s">
        <v>189</v>
      </c>
      <c r="CV469" t="str">
        <f>IFERROR(AVERAGE(Tabel1[[#This Row],[In - F3a]:[In - F3a]]),"")</f>
        <v/>
      </c>
      <c r="CW469" t="s">
        <v>189</v>
      </c>
      <c r="CX469">
        <f>IFERROR(AVERAGE(Tabel1[[#This Row],[In - F1]],Tabel1[[#This Row],[In - F2]],Tabel1[[#This Row],[In - F3]],Tabel1[[#This Row],[In - F4]]),"")</f>
        <v>2.75</v>
      </c>
      <c r="CY469">
        <v>1</v>
      </c>
      <c r="CZ469">
        <v>4</v>
      </c>
      <c r="DA469">
        <v>2</v>
      </c>
      <c r="DB469">
        <f>IFERROR(AVERAGE(Tabel1[[#This Row],[In - V1a]:[In - V1c]]),"")</f>
        <v>2.3333333333333335</v>
      </c>
      <c r="DC469">
        <v>2</v>
      </c>
      <c r="DD469">
        <v>3</v>
      </c>
      <c r="DE469">
        <v>3</v>
      </c>
      <c r="DF469">
        <f>IFERROR(AVERAGE(Tabel1[[#This Row],[In - V2a]:[In - V2c]]),"")</f>
        <v>2.6666666666666665</v>
      </c>
      <c r="DG469" t="s">
        <v>189</v>
      </c>
      <c r="DH469" t="s">
        <v>189</v>
      </c>
      <c r="DI469" t="str">
        <f>IFERROR(AVERAGE(Tabel1[[#This Row],[In - V3a]:[In - V3b]]),"")</f>
        <v/>
      </c>
      <c r="DJ469">
        <v>3</v>
      </c>
      <c r="DK469">
        <f>IFERROR(AVERAGE(Tabel1[[#This Row],[In - V1]],Tabel1[[#This Row],[In - V2]],Tabel1[[#This Row],[In - V3]],Tabel1[[#This Row],[In - V4]]),"")</f>
        <v>2.6666666666666665</v>
      </c>
      <c r="DL469">
        <v>4</v>
      </c>
      <c r="DM469">
        <v>4</v>
      </c>
      <c r="DN469">
        <f>IFERROR(AVERAGE(Tabel1[[#This Row],[In - A1a]:[In - A1b]]),"")</f>
        <v>4</v>
      </c>
      <c r="DO469" t="s">
        <v>189</v>
      </c>
      <c r="DP469" t="s">
        <v>189</v>
      </c>
      <c r="DQ469" t="str">
        <f>IFERROR(AVERAGE(Tabel1[[#This Row],[In - A2a]:[In - A2b]]),"")</f>
        <v/>
      </c>
      <c r="DR469">
        <v>3</v>
      </c>
      <c r="DS469">
        <v>2</v>
      </c>
      <c r="DT469">
        <f>IFERROR(AVERAGE(Tabel1[[#This Row],[In - A3a]:[In - A3a]]),"")</f>
        <v>3</v>
      </c>
      <c r="DU469" t="s">
        <v>189</v>
      </c>
      <c r="DV469">
        <f>IFERROR(AVERAGE(Tabel1[[#This Row],[In - A1]],Tabel1[[#This Row],[In - A2]],Tabel1[[#This Row],[In - A3]],Tabel1[[#This Row],[In - A4]]),"")</f>
        <v>3.5</v>
      </c>
      <c r="DW469">
        <v>4</v>
      </c>
      <c r="DX469">
        <v>4</v>
      </c>
      <c r="DY469">
        <v>3</v>
      </c>
      <c r="DZ469">
        <f>IFERROR(AVERAGE(Tabel1[[#This Row],[Do - R1a]:[Do - R1c]]),"")</f>
        <v>3.6666666666666665</v>
      </c>
      <c r="EA469">
        <v>4</v>
      </c>
      <c r="EB469">
        <v>2</v>
      </c>
      <c r="EC469">
        <v>1</v>
      </c>
      <c r="ED469">
        <v>4</v>
      </c>
      <c r="EE469">
        <f>IFERROR(AVERAGE(Tabel1[[#This Row],[Do - R1]:[Do - R5]]),"")</f>
        <v>2.9333333333333331</v>
      </c>
      <c r="EF469">
        <v>4</v>
      </c>
      <c r="EG469">
        <v>5</v>
      </c>
      <c r="EH469">
        <v>2</v>
      </c>
      <c r="EI469">
        <f>IFERROR(AVERAGE(Tabel1[[#This Row],[Do - C1a]:[Do - C1c]]),"")</f>
        <v>3.6666666666666665</v>
      </c>
      <c r="EJ469">
        <v>5</v>
      </c>
      <c r="EK469">
        <v>2</v>
      </c>
      <c r="EL469">
        <v>5</v>
      </c>
      <c r="EM469">
        <f>IFERROR(AVERAGE(Tabel1[[#This Row],[Do - C1]:[Do - C4]]),"")</f>
        <v>3.9166666666666665</v>
      </c>
      <c r="EN469">
        <v>4</v>
      </c>
      <c r="EO469">
        <v>4</v>
      </c>
      <c r="EP469">
        <v>4</v>
      </c>
      <c r="EQ469">
        <f>IFERROR(AVERAGE(Tabel1[[#This Row],[Do - F1a]:[Do - F1c]]),"")</f>
        <v>4</v>
      </c>
      <c r="ER469">
        <v>4</v>
      </c>
      <c r="ES469">
        <f>IFERROR(AVERAGE(Tabel1[[#This Row],[Do - F2a]:[Do - F2a]]),"")</f>
        <v>4</v>
      </c>
      <c r="ET469" t="s">
        <v>189</v>
      </c>
      <c r="EU469">
        <v>3</v>
      </c>
      <c r="EV469">
        <f>IFERROR(AVERAGE(Tabel1[[#This Row],[Do - F3a]:[Do - F3b]]),"")</f>
        <v>3</v>
      </c>
      <c r="EW469">
        <v>2</v>
      </c>
      <c r="EX469">
        <f>IFERROR(AVERAGE(Tabel1[[#This Row],[Do - F1]],Tabel1[[#This Row],[Do - F2]],Tabel1[[#This Row],[Do - F3]],Tabel1[[#This Row],[Do - F4]]),"")</f>
        <v>3.25</v>
      </c>
      <c r="EY469">
        <v>3</v>
      </c>
      <c r="EZ469">
        <v>3</v>
      </c>
      <c r="FA469">
        <v>4</v>
      </c>
      <c r="FB469">
        <f>IFERROR(AVERAGE(Tabel1[[#This Row],[Do - V1a]:[Do - V1c]]),"")</f>
        <v>3.3333333333333335</v>
      </c>
      <c r="FC469">
        <v>4</v>
      </c>
      <c r="FD469" t="s">
        <v>189</v>
      </c>
      <c r="FE469">
        <f>IFERROR(AVERAGE(Tabel1[[#This Row],[Do - V2a]:[Do - V2b]]),"")</f>
        <v>4</v>
      </c>
      <c r="FF469">
        <v>2</v>
      </c>
      <c r="FG469">
        <f>IFERROR(AVERAGE(Tabel1[[#This Row],[Do - V3a]:[Do - V3a]]),"")</f>
        <v>2</v>
      </c>
      <c r="FH469">
        <v>4</v>
      </c>
      <c r="FI469">
        <f>IFERROR(AVERAGE(Tabel1[[#This Row],[Do - V1]],Tabel1[[#This Row],[Do - V2]],Tabel1[[#This Row],[Do - V3]],Tabel1[[#This Row],[Do - V4]]),"")</f>
        <v>3.3333333333333335</v>
      </c>
      <c r="FJ469">
        <v>3</v>
      </c>
      <c r="FK469">
        <v>4</v>
      </c>
      <c r="FL469">
        <v>4</v>
      </c>
      <c r="FM469">
        <f>IFERROR(AVERAGE(Tabel1[[#This Row],[Do - A1a]:[Do - A1c]]),"")</f>
        <v>3.6666666666666665</v>
      </c>
      <c r="FN469">
        <v>1</v>
      </c>
      <c r="FO469">
        <v>1</v>
      </c>
      <c r="FP469">
        <f>IFERROR(AVERAGE(Tabel1[[#This Row],[Do - A2a]:[Do - A2b]]),"")</f>
        <v>1</v>
      </c>
      <c r="FQ469">
        <v>3</v>
      </c>
      <c r="FR469">
        <f>IFERROR(AVERAGE(Tabel1[[#This Row],[Do - A3a]:[Do - A3a]]),"")</f>
        <v>3</v>
      </c>
      <c r="FS469">
        <v>3</v>
      </c>
      <c r="FT469">
        <f>IFERROR(AVERAGE(Tabel1[[#This Row],[Do - A1]],Tabel1[[#This Row],[Do - A2]],Tabel1[[#This Row],[Do - A3]],Tabel1[[#This Row],[Do - A4]]),"")</f>
        <v>2.6666666666666665</v>
      </c>
      <c r="FU46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3.0419191919191917</v>
      </c>
      <c r="FV469" s="31" t="s">
        <v>2292</v>
      </c>
      <c r="FW469" t="b">
        <v>1</v>
      </c>
    </row>
    <row r="470" spans="1:179" x14ac:dyDescent="0.3">
      <c r="A470" s="13">
        <v>45744.354062500002</v>
      </c>
      <c r="B470" t="b">
        <v>0</v>
      </c>
      <c r="C470" t="s">
        <v>2293</v>
      </c>
      <c r="D470" t="s">
        <v>2294</v>
      </c>
      <c r="E470" t="s">
        <v>2222</v>
      </c>
      <c r="F470" s="14" t="s">
        <v>184</v>
      </c>
      <c r="G470" t="s">
        <v>2295</v>
      </c>
      <c r="H470" t="s">
        <v>222</v>
      </c>
      <c r="I470" t="s">
        <v>195</v>
      </c>
      <c r="J470" t="s">
        <v>347</v>
      </c>
      <c r="K470" t="s">
        <v>201</v>
      </c>
      <c r="L470" t="s">
        <v>249</v>
      </c>
      <c r="M470" t="s">
        <v>233</v>
      </c>
      <c r="N470" t="s">
        <v>199</v>
      </c>
      <c r="O470" t="s">
        <v>256</v>
      </c>
      <c r="P470" t="s">
        <v>304</v>
      </c>
      <c r="Q470" t="s">
        <v>235</v>
      </c>
      <c r="R470" t="s">
        <v>235</v>
      </c>
      <c r="S470" t="s">
        <v>235</v>
      </c>
      <c r="T470" t="s">
        <v>204</v>
      </c>
      <c r="U470" t="s">
        <v>237</v>
      </c>
      <c r="V470" t="s">
        <v>224</v>
      </c>
      <c r="W470" t="s">
        <v>207</v>
      </c>
      <c r="X470" t="s">
        <v>306</v>
      </c>
      <c r="Y470">
        <v>3</v>
      </c>
      <c r="Z470">
        <v>3</v>
      </c>
      <c r="AA470" t="s">
        <v>189</v>
      </c>
      <c r="AB470">
        <f>IFERROR(AVERAGE(Tabel1[[#This Row],[Up - R1a]:[Up - R1c]]),"")</f>
        <v>3</v>
      </c>
      <c r="AC470" t="s">
        <v>189</v>
      </c>
      <c r="AD470">
        <v>3</v>
      </c>
      <c r="AE470" t="s">
        <v>189</v>
      </c>
      <c r="AF470" t="s">
        <v>189</v>
      </c>
      <c r="AG470">
        <f>IFERROR(AVERAGE(Tabel1[[#This Row],[Up - R1]:[Up - R5]]),"")</f>
        <v>3</v>
      </c>
      <c r="AH470">
        <v>4</v>
      </c>
      <c r="AI470">
        <v>4</v>
      </c>
      <c r="AJ470" t="s">
        <v>189</v>
      </c>
      <c r="AK470">
        <f>IFERROR(AVERAGE(Tabel1[[#This Row],[Up - C1a]:[Up - C1c]]),"")</f>
        <v>4</v>
      </c>
      <c r="AL470">
        <v>4</v>
      </c>
      <c r="AM470">
        <v>3</v>
      </c>
      <c r="AN470">
        <v>4</v>
      </c>
      <c r="AO470">
        <f>IFERROR(AVERAGE(Tabel1[[#This Row],[Up - C1]:[Up - C4]]),"")</f>
        <v>3.75</v>
      </c>
      <c r="AP470" t="s">
        <v>189</v>
      </c>
      <c r="AQ470" t="str">
        <f>IFERROR(AVERAGE(Tabel1[[#This Row],[Up - F1a]:[Up - F1a]]),"")</f>
        <v/>
      </c>
      <c r="AR470" t="s">
        <v>189</v>
      </c>
      <c r="AS470">
        <v>2</v>
      </c>
      <c r="AT470">
        <f>IFERROR(AVERAGE(Tabel1[[#This Row],[Up - F2a]:[Up - F2b]]),"")</f>
        <v>2</v>
      </c>
      <c r="AU470">
        <v>3</v>
      </c>
      <c r="AV470" t="s">
        <v>189</v>
      </c>
      <c r="AW470">
        <f>IFERROR(AVERAGE(Tabel1[[#This Row],[Up - F3a]:[Up - F3b]]),"")</f>
        <v>3</v>
      </c>
      <c r="AX470">
        <v>4</v>
      </c>
      <c r="AY470">
        <f>IFERROR(AVERAGE(Tabel1[[#This Row],[Up - F1]],Tabel1[[#This Row],[Up - F2]],Tabel1[[#This Row],[Up - F3]],Tabel1[[#This Row],[Up - F4]]),"")</f>
        <v>3</v>
      </c>
      <c r="AZ470" t="s">
        <v>189</v>
      </c>
      <c r="BA470" t="s">
        <v>189</v>
      </c>
      <c r="BB470" t="str">
        <f>IFERROR(AVERAGE(Tabel1[[#This Row],[Up - V1a]:[Up - V1b]]),"")</f>
        <v/>
      </c>
      <c r="BC470">
        <v>4</v>
      </c>
      <c r="BD470" t="s">
        <v>189</v>
      </c>
      <c r="BE470" t="s">
        <v>189</v>
      </c>
      <c r="BF470">
        <f>IFERROR(AVERAGE(Tabel1[[#This Row],[Up - V2a]:[Up - V2c]]),"")</f>
        <v>4</v>
      </c>
      <c r="BG470" t="s">
        <v>189</v>
      </c>
      <c r="BH470" t="s">
        <v>189</v>
      </c>
      <c r="BI470" t="str">
        <f>IFERROR(AVERAGE(Tabel1[[#This Row],[Up - V3a]:[Up - V3b]]),"")</f>
        <v/>
      </c>
      <c r="BJ470">
        <v>4</v>
      </c>
      <c r="BK470">
        <f>IFERROR(AVERAGE(Tabel1[[#This Row],[Up - V1]],Tabel1[[#This Row],[Up - V2]],Tabel1[[#This Row],[Up - V3]],Tabel1[[#This Row],[Up - V4]]),"")</f>
        <v>4</v>
      </c>
      <c r="BL470" t="s">
        <v>189</v>
      </c>
      <c r="BM470">
        <v>4</v>
      </c>
      <c r="BN470" t="s">
        <v>189</v>
      </c>
      <c r="BO470" t="s">
        <v>189</v>
      </c>
      <c r="BP470">
        <f>IFERROR(AVERAGE(Tabel1[[#This Row],[Up - A1a]:[Up - A1d]]),"")</f>
        <v>4</v>
      </c>
      <c r="BQ470" t="s">
        <v>189</v>
      </c>
      <c r="BR470" t="s">
        <v>189</v>
      </c>
      <c r="BS470" t="str">
        <f>IFERROR(AVERAGE(Tabel1[[#This Row],[Up - A2a]:[Up - A2b]]),"")</f>
        <v/>
      </c>
      <c r="BT470" t="s">
        <v>189</v>
      </c>
      <c r="BU470" t="str">
        <f>IFERROR(AVERAGE(Tabel1[[#This Row],[Up - A3a]:[Up - A3a]]),"")</f>
        <v/>
      </c>
      <c r="BV470" t="s">
        <v>189</v>
      </c>
      <c r="BW470">
        <f>IFERROR(AVERAGE(Tabel1[[#This Row],[Up - A1]],Tabel1[[#This Row],[Up - A2]],Tabel1[[#This Row],[Up - A3]]),"")</f>
        <v>4</v>
      </c>
      <c r="BX470">
        <v>3</v>
      </c>
      <c r="BY470">
        <v>4</v>
      </c>
      <c r="BZ470">
        <f>IFERROR(AVERAGE(Tabel1[[#This Row],[In - R1a]:[In - R1b]]),"")</f>
        <v>3.5</v>
      </c>
      <c r="CA470">
        <v>2</v>
      </c>
      <c r="CB470">
        <v>2</v>
      </c>
      <c r="CC470">
        <v>4</v>
      </c>
      <c r="CD470">
        <v>4</v>
      </c>
      <c r="CE470">
        <f>IFERROR(AVERAGE(Tabel1[[#This Row],[In - R1]:[In - R5]]),"")</f>
        <v>3.1</v>
      </c>
      <c r="CF470">
        <v>4</v>
      </c>
      <c r="CG470">
        <v>4</v>
      </c>
      <c r="CH470">
        <v>5</v>
      </c>
      <c r="CI470">
        <f>IFERROR(AVERAGE(Tabel1[[#This Row],[In - C1a]:[In - C1c]]),"")</f>
        <v>4.333333333333333</v>
      </c>
      <c r="CJ470">
        <v>4</v>
      </c>
      <c r="CK470">
        <v>4</v>
      </c>
      <c r="CL470">
        <v>4</v>
      </c>
      <c r="CM470">
        <f>IFERROR(AVERAGE(Tabel1[[#This Row],[In - C1]:[In - C4]]),"")</f>
        <v>4.083333333333333</v>
      </c>
      <c r="CN470">
        <v>2</v>
      </c>
      <c r="CO470">
        <v>3</v>
      </c>
      <c r="CP470">
        <v>1</v>
      </c>
      <c r="CQ470">
        <f>IFERROR(AVERAGE(Tabel1[[#This Row],[In - F1a]:[In - F1c]]),"")</f>
        <v>2</v>
      </c>
      <c r="CR470">
        <v>5</v>
      </c>
      <c r="CS470">
        <v>1</v>
      </c>
      <c r="CT470">
        <f>IFERROR(AVERAGE(Tabel1[[#This Row],[In - F2a]:[In - F2b]]),"")</f>
        <v>3</v>
      </c>
      <c r="CU470">
        <v>3</v>
      </c>
      <c r="CV470">
        <f>IFERROR(AVERAGE(Tabel1[[#This Row],[In - F3a]:[In - F3a]]),"")</f>
        <v>3</v>
      </c>
      <c r="CW470">
        <v>4</v>
      </c>
      <c r="CX470">
        <f>IFERROR(AVERAGE(Tabel1[[#This Row],[In - F1]],Tabel1[[#This Row],[In - F2]],Tabel1[[#This Row],[In - F3]],Tabel1[[#This Row],[In - F4]]),"")</f>
        <v>3</v>
      </c>
      <c r="CY470">
        <v>5</v>
      </c>
      <c r="CZ470">
        <v>5</v>
      </c>
      <c r="DA470">
        <v>2</v>
      </c>
      <c r="DB470">
        <f>IFERROR(AVERAGE(Tabel1[[#This Row],[In - V1a]:[In - V1c]]),"")</f>
        <v>4</v>
      </c>
      <c r="DC470">
        <v>5</v>
      </c>
      <c r="DD470">
        <v>4</v>
      </c>
      <c r="DE470">
        <v>4</v>
      </c>
      <c r="DF470">
        <f>IFERROR(AVERAGE(Tabel1[[#This Row],[In - V2a]:[In - V2c]]),"")</f>
        <v>4.333333333333333</v>
      </c>
      <c r="DG470">
        <v>4</v>
      </c>
      <c r="DH470">
        <v>3</v>
      </c>
      <c r="DI470">
        <f>IFERROR(AVERAGE(Tabel1[[#This Row],[In - V3a]:[In - V3b]]),"")</f>
        <v>3.5</v>
      </c>
      <c r="DJ470">
        <v>4</v>
      </c>
      <c r="DK470">
        <f>IFERROR(AVERAGE(Tabel1[[#This Row],[In - V1]],Tabel1[[#This Row],[In - V2]],Tabel1[[#This Row],[In - V3]],Tabel1[[#This Row],[In - V4]]),"")</f>
        <v>3.958333333333333</v>
      </c>
      <c r="DL470">
        <v>4</v>
      </c>
      <c r="DM470" t="s">
        <v>189</v>
      </c>
      <c r="DN470">
        <f>IFERROR(AVERAGE(Tabel1[[#This Row],[In - A1a]:[In - A1b]]),"")</f>
        <v>4</v>
      </c>
      <c r="DO470" t="s">
        <v>189</v>
      </c>
      <c r="DP470">
        <v>4</v>
      </c>
      <c r="DQ470">
        <f>IFERROR(AVERAGE(Tabel1[[#This Row],[In - A2a]:[In - A2b]]),"")</f>
        <v>4</v>
      </c>
      <c r="DR470">
        <v>5</v>
      </c>
      <c r="DS470">
        <v>5</v>
      </c>
      <c r="DT470">
        <f>IFERROR(AVERAGE(Tabel1[[#This Row],[In - A3a]:[In - A3a]]),"")</f>
        <v>5</v>
      </c>
      <c r="DU470" t="s">
        <v>189</v>
      </c>
      <c r="DV470">
        <f>IFERROR(AVERAGE(Tabel1[[#This Row],[In - A1]],Tabel1[[#This Row],[In - A2]],Tabel1[[#This Row],[In - A3]],Tabel1[[#This Row],[In - A4]]),"")</f>
        <v>4.333333333333333</v>
      </c>
      <c r="DW470">
        <v>1</v>
      </c>
      <c r="DX470">
        <v>5</v>
      </c>
      <c r="DY470">
        <v>1</v>
      </c>
      <c r="DZ470">
        <f>IFERROR(AVERAGE(Tabel1[[#This Row],[Do - R1a]:[Do - R1c]]),"")</f>
        <v>2.3333333333333335</v>
      </c>
      <c r="EA470">
        <v>2</v>
      </c>
      <c r="EB470">
        <v>3</v>
      </c>
      <c r="EC470" t="s">
        <v>189</v>
      </c>
      <c r="ED470">
        <v>5</v>
      </c>
      <c r="EE470">
        <f>IFERROR(AVERAGE(Tabel1[[#This Row],[Do - R1]:[Do - R5]]),"")</f>
        <v>3.0833333333333335</v>
      </c>
      <c r="EF470">
        <v>4</v>
      </c>
      <c r="EG470">
        <v>4</v>
      </c>
      <c r="EH470">
        <v>4</v>
      </c>
      <c r="EI470">
        <f>IFERROR(AVERAGE(Tabel1[[#This Row],[Do - C1a]:[Do - C1c]]),"")</f>
        <v>4</v>
      </c>
      <c r="EJ470">
        <v>4</v>
      </c>
      <c r="EK470">
        <v>4</v>
      </c>
      <c r="EL470">
        <v>4</v>
      </c>
      <c r="EM470">
        <f>IFERROR(AVERAGE(Tabel1[[#This Row],[Do - C1]:[Do - C4]]),"")</f>
        <v>4</v>
      </c>
      <c r="EN470">
        <v>4</v>
      </c>
      <c r="EO470">
        <v>3</v>
      </c>
      <c r="EP470">
        <v>4</v>
      </c>
      <c r="EQ470">
        <f>IFERROR(AVERAGE(Tabel1[[#This Row],[Do - F1a]:[Do - F1c]]),"")</f>
        <v>3.6666666666666665</v>
      </c>
      <c r="ER470">
        <v>5</v>
      </c>
      <c r="ES470">
        <f>IFERROR(AVERAGE(Tabel1[[#This Row],[Do - F2a]:[Do - F2a]]),"")</f>
        <v>5</v>
      </c>
      <c r="ET470">
        <v>3</v>
      </c>
      <c r="EU470">
        <v>5</v>
      </c>
      <c r="EV470">
        <f>IFERROR(AVERAGE(Tabel1[[#This Row],[Do - F3a]:[Do - F3b]]),"")</f>
        <v>4</v>
      </c>
      <c r="EW470">
        <v>4</v>
      </c>
      <c r="EX470">
        <f>IFERROR(AVERAGE(Tabel1[[#This Row],[Do - F1]],Tabel1[[#This Row],[Do - F2]],Tabel1[[#This Row],[Do - F3]],Tabel1[[#This Row],[Do - F4]]),"")</f>
        <v>4.1666666666666661</v>
      </c>
      <c r="EY470">
        <v>5</v>
      </c>
      <c r="EZ470">
        <v>4</v>
      </c>
      <c r="FA470">
        <v>5</v>
      </c>
      <c r="FB470">
        <f>IFERROR(AVERAGE(Tabel1[[#This Row],[Do - V1a]:[Do - V1c]]),"")</f>
        <v>4.666666666666667</v>
      </c>
      <c r="FC470">
        <v>4</v>
      </c>
      <c r="FD470">
        <v>4</v>
      </c>
      <c r="FE470">
        <f>IFERROR(AVERAGE(Tabel1[[#This Row],[Do - V2a]:[Do - V2b]]),"")</f>
        <v>4</v>
      </c>
      <c r="FF470">
        <v>4</v>
      </c>
      <c r="FG470">
        <f>IFERROR(AVERAGE(Tabel1[[#This Row],[Do - V3a]:[Do - V3a]]),"")</f>
        <v>4</v>
      </c>
      <c r="FH470">
        <v>4</v>
      </c>
      <c r="FI470">
        <f>IFERROR(AVERAGE(Tabel1[[#This Row],[Do - V1]],Tabel1[[#This Row],[Do - V2]],Tabel1[[#This Row],[Do - V3]],Tabel1[[#This Row],[Do - V4]]),"")</f>
        <v>4.166666666666667</v>
      </c>
      <c r="FJ470">
        <v>2</v>
      </c>
      <c r="FK470">
        <v>2</v>
      </c>
      <c r="FL470">
        <v>4</v>
      </c>
      <c r="FM470">
        <f>IFERROR(AVERAGE(Tabel1[[#This Row],[Do - A1a]:[Do - A1c]]),"")</f>
        <v>2.6666666666666665</v>
      </c>
      <c r="FN470">
        <v>4</v>
      </c>
      <c r="FO470" t="s">
        <v>189</v>
      </c>
      <c r="FP470">
        <f>IFERROR(AVERAGE(Tabel1[[#This Row],[Do - A2a]:[Do - A2b]]),"")</f>
        <v>4</v>
      </c>
      <c r="FQ470">
        <v>5</v>
      </c>
      <c r="FR470">
        <f>IFERROR(AVERAGE(Tabel1[[#This Row],[Do - A3a]:[Do - A3a]]),"")</f>
        <v>5</v>
      </c>
      <c r="FS470">
        <v>4</v>
      </c>
      <c r="FT470">
        <f>IFERROR(AVERAGE(Tabel1[[#This Row],[Do - A1]],Tabel1[[#This Row],[Do - A2]],Tabel1[[#This Row],[Do - A3]],Tabel1[[#This Row],[Do - A4]]),"")</f>
        <v>3.9166666666666665</v>
      </c>
      <c r="FU47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3.7038888888888888</v>
      </c>
      <c r="FV470" s="31" t="s">
        <v>2296</v>
      </c>
      <c r="FW470" t="b">
        <v>1</v>
      </c>
    </row>
    <row r="471" spans="1:179" x14ac:dyDescent="0.3">
      <c r="A471" s="13">
        <v>45744.369409722203</v>
      </c>
      <c r="B471" t="b">
        <v>0</v>
      </c>
      <c r="C471" t="s">
        <v>2297</v>
      </c>
      <c r="D471" t="s">
        <v>2298</v>
      </c>
      <c r="E471" t="s">
        <v>1589</v>
      </c>
      <c r="F471" s="14" t="s">
        <v>184</v>
      </c>
      <c r="G471" t="s">
        <v>2299</v>
      </c>
      <c r="H471" t="s">
        <v>222</v>
      </c>
      <c r="I471" t="s">
        <v>195</v>
      </c>
      <c r="J471" t="s">
        <v>406</v>
      </c>
      <c r="K471" t="s">
        <v>201</v>
      </c>
      <c r="L471" t="s">
        <v>197</v>
      </c>
      <c r="M471" t="s">
        <v>198</v>
      </c>
      <c r="N471" t="s">
        <v>262</v>
      </c>
      <c r="O471" t="s">
        <v>200</v>
      </c>
      <c r="P471" t="s">
        <v>255</v>
      </c>
      <c r="Q471" t="s">
        <v>202</v>
      </c>
      <c r="R471" t="s">
        <v>201</v>
      </c>
      <c r="S471" t="s">
        <v>235</v>
      </c>
      <c r="T471" t="s">
        <v>236</v>
      </c>
      <c r="U471" t="s">
        <v>205</v>
      </c>
      <c r="V471" t="s">
        <v>224</v>
      </c>
      <c r="W471" t="s">
        <v>207</v>
      </c>
      <c r="X471" t="s">
        <v>207</v>
      </c>
      <c r="Y471">
        <v>2</v>
      </c>
      <c r="Z471">
        <v>4</v>
      </c>
      <c r="AA471" t="s">
        <v>189</v>
      </c>
      <c r="AB471">
        <f>IFERROR(AVERAGE(Tabel1[[#This Row],[Up - R1a]:[Up - R1c]]),"")</f>
        <v>3</v>
      </c>
      <c r="AC471">
        <v>1</v>
      </c>
      <c r="AD471">
        <v>3</v>
      </c>
      <c r="AE471">
        <v>1</v>
      </c>
      <c r="AF471" t="s">
        <v>189</v>
      </c>
      <c r="AG471">
        <f>IFERROR(AVERAGE(Tabel1[[#This Row],[Up - R1]:[Up - R5]]),"")</f>
        <v>2</v>
      </c>
      <c r="AH471">
        <v>4</v>
      </c>
      <c r="AI471" t="s">
        <v>189</v>
      </c>
      <c r="AJ471">
        <v>4</v>
      </c>
      <c r="AK471">
        <f>IFERROR(AVERAGE(Tabel1[[#This Row],[Up - C1a]:[Up - C1c]]),"")</f>
        <v>4</v>
      </c>
      <c r="AL471">
        <v>3</v>
      </c>
      <c r="AM471" t="s">
        <v>189</v>
      </c>
      <c r="AN471" t="s">
        <v>189</v>
      </c>
      <c r="AO471">
        <f>IFERROR(AVERAGE(Tabel1[[#This Row],[Up - C1]:[Up - C4]]),"")</f>
        <v>3.5</v>
      </c>
      <c r="AP471">
        <v>1</v>
      </c>
      <c r="AQ471">
        <f>IFERROR(AVERAGE(Tabel1[[#This Row],[Up - F1a]:[Up - F1a]]),"")</f>
        <v>1</v>
      </c>
      <c r="AR471">
        <v>3</v>
      </c>
      <c r="AS471">
        <v>2</v>
      </c>
      <c r="AT471">
        <f>IFERROR(AVERAGE(Tabel1[[#This Row],[Up - F2a]:[Up - F2b]]),"")</f>
        <v>2.5</v>
      </c>
      <c r="AU471">
        <v>2</v>
      </c>
      <c r="AV471">
        <v>1</v>
      </c>
      <c r="AW471">
        <f>IFERROR(AVERAGE(Tabel1[[#This Row],[Up - F3a]:[Up - F3b]]),"")</f>
        <v>1.5</v>
      </c>
      <c r="AX471">
        <v>2</v>
      </c>
      <c r="AY471">
        <f>IFERROR(AVERAGE(Tabel1[[#This Row],[Up - F1]],Tabel1[[#This Row],[Up - F2]],Tabel1[[#This Row],[Up - F3]],Tabel1[[#This Row],[Up - F4]]),"")</f>
        <v>1.75</v>
      </c>
      <c r="AZ471">
        <v>1</v>
      </c>
      <c r="BA471">
        <v>3</v>
      </c>
      <c r="BB471">
        <f>IFERROR(AVERAGE(Tabel1[[#This Row],[Up - V1a]:[Up - V1b]]),"")</f>
        <v>2</v>
      </c>
      <c r="BC471">
        <v>3</v>
      </c>
      <c r="BD471">
        <v>4</v>
      </c>
      <c r="BE471">
        <v>2</v>
      </c>
      <c r="BF471">
        <f>IFERROR(AVERAGE(Tabel1[[#This Row],[Up - V2a]:[Up - V2c]]),"")</f>
        <v>3</v>
      </c>
      <c r="BG471" t="s">
        <v>189</v>
      </c>
      <c r="BH471" t="s">
        <v>189</v>
      </c>
      <c r="BI471" t="str">
        <f>IFERROR(AVERAGE(Tabel1[[#This Row],[Up - V3a]:[Up - V3b]]),"")</f>
        <v/>
      </c>
      <c r="BJ471" t="s">
        <v>189</v>
      </c>
      <c r="BK471">
        <f>IFERROR(AVERAGE(Tabel1[[#This Row],[Up - V1]],Tabel1[[#This Row],[Up - V2]],Tabel1[[#This Row],[Up - V3]],Tabel1[[#This Row],[Up - V4]]),"")</f>
        <v>2.5</v>
      </c>
      <c r="BL471">
        <v>1</v>
      </c>
      <c r="BM471" t="s">
        <v>189</v>
      </c>
      <c r="BN471" t="s">
        <v>189</v>
      </c>
      <c r="BO471" t="s">
        <v>189</v>
      </c>
      <c r="BP471">
        <f>IFERROR(AVERAGE(Tabel1[[#This Row],[Up - A1a]:[Up - A1d]]),"")</f>
        <v>1</v>
      </c>
      <c r="BQ471" t="s">
        <v>189</v>
      </c>
      <c r="BR471">
        <v>3</v>
      </c>
      <c r="BS471">
        <f>IFERROR(AVERAGE(Tabel1[[#This Row],[Up - A2a]:[Up - A2b]]),"")</f>
        <v>3</v>
      </c>
      <c r="BT471">
        <v>3</v>
      </c>
      <c r="BU471">
        <f>IFERROR(AVERAGE(Tabel1[[#This Row],[Up - A3a]:[Up - A3a]]),"")</f>
        <v>3</v>
      </c>
      <c r="BV471" t="s">
        <v>189</v>
      </c>
      <c r="BW471">
        <f>IFERROR(AVERAGE(Tabel1[[#This Row],[Up - A1]],Tabel1[[#This Row],[Up - A2]],Tabel1[[#This Row],[Up - A3]]),"")</f>
        <v>2.3333333333333335</v>
      </c>
      <c r="BX471">
        <v>3</v>
      </c>
      <c r="BY471">
        <v>4</v>
      </c>
      <c r="BZ471">
        <f>IFERROR(AVERAGE(Tabel1[[#This Row],[In - R1a]:[In - R1b]]),"")</f>
        <v>3.5</v>
      </c>
      <c r="CA471">
        <v>4</v>
      </c>
      <c r="CB471" t="s">
        <v>189</v>
      </c>
      <c r="CC471">
        <v>1</v>
      </c>
      <c r="CD471" t="s">
        <v>189</v>
      </c>
      <c r="CE471">
        <f>IFERROR(AVERAGE(Tabel1[[#This Row],[In - R1]:[In - R5]]),"")</f>
        <v>2.8333333333333335</v>
      </c>
      <c r="CF471">
        <v>4</v>
      </c>
      <c r="CG471">
        <v>3</v>
      </c>
      <c r="CH471">
        <v>3</v>
      </c>
      <c r="CI471">
        <f>IFERROR(AVERAGE(Tabel1[[#This Row],[In - C1a]:[In - C1c]]),"")</f>
        <v>3.3333333333333335</v>
      </c>
      <c r="CJ471">
        <v>3</v>
      </c>
      <c r="CK471">
        <v>4</v>
      </c>
      <c r="CL471">
        <v>1</v>
      </c>
      <c r="CM471">
        <f>IFERROR(AVERAGE(Tabel1[[#This Row],[In - C1]:[In - C4]]),"")</f>
        <v>2.8333333333333335</v>
      </c>
      <c r="CN471">
        <v>4</v>
      </c>
      <c r="CO471">
        <v>3</v>
      </c>
      <c r="CP471">
        <v>4</v>
      </c>
      <c r="CQ471">
        <f>IFERROR(AVERAGE(Tabel1[[#This Row],[In - F1a]:[In - F1c]]),"")</f>
        <v>3.6666666666666665</v>
      </c>
      <c r="CR471">
        <v>5</v>
      </c>
      <c r="CS471">
        <v>3</v>
      </c>
      <c r="CT471">
        <f>IFERROR(AVERAGE(Tabel1[[#This Row],[In - F2a]:[In - F2b]]),"")</f>
        <v>4</v>
      </c>
      <c r="CU471">
        <v>2</v>
      </c>
      <c r="CV471">
        <f>IFERROR(AVERAGE(Tabel1[[#This Row],[In - F3a]:[In - F3a]]),"")</f>
        <v>2</v>
      </c>
      <c r="CW471" t="s">
        <v>189</v>
      </c>
      <c r="CX471">
        <f>IFERROR(AVERAGE(Tabel1[[#This Row],[In - F1]],Tabel1[[#This Row],[In - F2]],Tabel1[[#This Row],[In - F3]],Tabel1[[#This Row],[In - F4]]),"")</f>
        <v>3.2222222222222219</v>
      </c>
      <c r="CY471">
        <v>5</v>
      </c>
      <c r="CZ471">
        <v>3</v>
      </c>
      <c r="DA471">
        <v>2</v>
      </c>
      <c r="DB471">
        <f>IFERROR(AVERAGE(Tabel1[[#This Row],[In - V1a]:[In - V1c]]),"")</f>
        <v>3.3333333333333335</v>
      </c>
      <c r="DC471">
        <v>4</v>
      </c>
      <c r="DD471">
        <v>3</v>
      </c>
      <c r="DE471">
        <v>2</v>
      </c>
      <c r="DF471">
        <f>IFERROR(AVERAGE(Tabel1[[#This Row],[In - V2a]:[In - V2c]]),"")</f>
        <v>3</v>
      </c>
      <c r="DG471">
        <v>2</v>
      </c>
      <c r="DH471" t="s">
        <v>189</v>
      </c>
      <c r="DI471">
        <f>IFERROR(AVERAGE(Tabel1[[#This Row],[In - V3a]:[In - V3b]]),"")</f>
        <v>2</v>
      </c>
      <c r="DJ471" t="s">
        <v>189</v>
      </c>
      <c r="DK471">
        <f>IFERROR(AVERAGE(Tabel1[[#This Row],[In - V1]],Tabel1[[#This Row],[In - V2]],Tabel1[[#This Row],[In - V3]],Tabel1[[#This Row],[In - V4]]),"")</f>
        <v>2.7777777777777781</v>
      </c>
      <c r="DL471">
        <v>4</v>
      </c>
      <c r="DM471">
        <v>2</v>
      </c>
      <c r="DN471">
        <f>IFERROR(AVERAGE(Tabel1[[#This Row],[In - A1a]:[In - A1b]]),"")</f>
        <v>3</v>
      </c>
      <c r="DO471">
        <v>5</v>
      </c>
      <c r="DP471">
        <v>2</v>
      </c>
      <c r="DQ471">
        <f>IFERROR(AVERAGE(Tabel1[[#This Row],[In - A2a]:[In - A2b]]),"")</f>
        <v>3.5</v>
      </c>
      <c r="DR471">
        <v>5</v>
      </c>
      <c r="DS471">
        <v>3</v>
      </c>
      <c r="DT471">
        <f>IFERROR(AVERAGE(Tabel1[[#This Row],[In - A3a]:[In - A3a]]),"")</f>
        <v>5</v>
      </c>
      <c r="DU471">
        <v>2</v>
      </c>
      <c r="DV471">
        <f>IFERROR(AVERAGE(Tabel1[[#This Row],[In - A1]],Tabel1[[#This Row],[In - A2]],Tabel1[[#This Row],[In - A3]],Tabel1[[#This Row],[In - A4]]),"")</f>
        <v>3.375</v>
      </c>
      <c r="DW471" t="s">
        <v>189</v>
      </c>
      <c r="DX471">
        <v>4</v>
      </c>
      <c r="DY471" t="s">
        <v>189</v>
      </c>
      <c r="DZ471">
        <f>IFERROR(AVERAGE(Tabel1[[#This Row],[Do - R1a]:[Do - R1c]]),"")</f>
        <v>4</v>
      </c>
      <c r="EA471" t="s">
        <v>189</v>
      </c>
      <c r="EB471">
        <v>4</v>
      </c>
      <c r="EC471">
        <v>1</v>
      </c>
      <c r="ED471" t="s">
        <v>189</v>
      </c>
      <c r="EE471">
        <f>IFERROR(AVERAGE(Tabel1[[#This Row],[Do - R1]:[Do - R5]]),"")</f>
        <v>3</v>
      </c>
      <c r="EF471">
        <v>4</v>
      </c>
      <c r="EG471" t="s">
        <v>189</v>
      </c>
      <c r="EH471">
        <v>3</v>
      </c>
      <c r="EI471">
        <f>IFERROR(AVERAGE(Tabel1[[#This Row],[Do - C1a]:[Do - C1c]]),"")</f>
        <v>3.5</v>
      </c>
      <c r="EJ471">
        <v>2</v>
      </c>
      <c r="EK471" t="s">
        <v>189</v>
      </c>
      <c r="EL471" t="s">
        <v>189</v>
      </c>
      <c r="EM471">
        <f>IFERROR(AVERAGE(Tabel1[[#This Row],[Do - C1]:[Do - C4]]),"")</f>
        <v>2.75</v>
      </c>
      <c r="EN471" t="s">
        <v>189</v>
      </c>
      <c r="EO471" t="s">
        <v>189</v>
      </c>
      <c r="EP471" t="s">
        <v>189</v>
      </c>
      <c r="EQ471" t="str">
        <f>IFERROR(AVERAGE(Tabel1[[#This Row],[Do - F1a]:[Do - F1c]]),"")</f>
        <v/>
      </c>
      <c r="ER471">
        <v>4</v>
      </c>
      <c r="ES471">
        <f>IFERROR(AVERAGE(Tabel1[[#This Row],[Do - F2a]:[Do - F2a]]),"")</f>
        <v>4</v>
      </c>
      <c r="ET471">
        <v>3</v>
      </c>
      <c r="EU471">
        <v>4</v>
      </c>
      <c r="EV471">
        <f>IFERROR(AVERAGE(Tabel1[[#This Row],[Do - F3a]:[Do - F3b]]),"")</f>
        <v>3.5</v>
      </c>
      <c r="EW471" t="s">
        <v>189</v>
      </c>
      <c r="EX471">
        <f>IFERROR(AVERAGE(Tabel1[[#This Row],[Do - F1]],Tabel1[[#This Row],[Do - F2]],Tabel1[[#This Row],[Do - F3]],Tabel1[[#This Row],[Do - F4]]),"")</f>
        <v>3.75</v>
      </c>
      <c r="EY471">
        <v>3</v>
      </c>
      <c r="EZ471">
        <v>2</v>
      </c>
      <c r="FA471">
        <v>3</v>
      </c>
      <c r="FB471">
        <f>IFERROR(AVERAGE(Tabel1[[#This Row],[Do - V1a]:[Do - V1c]]),"")</f>
        <v>2.6666666666666665</v>
      </c>
      <c r="FC471">
        <v>2</v>
      </c>
      <c r="FD471">
        <v>3</v>
      </c>
      <c r="FE471">
        <f>IFERROR(AVERAGE(Tabel1[[#This Row],[Do - V2a]:[Do - V2b]]),"")</f>
        <v>2.5</v>
      </c>
      <c r="FF471">
        <v>2</v>
      </c>
      <c r="FG471">
        <f>IFERROR(AVERAGE(Tabel1[[#This Row],[Do - V3a]:[Do - V3a]]),"")</f>
        <v>2</v>
      </c>
      <c r="FH471" t="s">
        <v>189</v>
      </c>
      <c r="FI471">
        <f>IFERROR(AVERAGE(Tabel1[[#This Row],[Do - V1]],Tabel1[[#This Row],[Do - V2]],Tabel1[[#This Row],[Do - V3]],Tabel1[[#This Row],[Do - V4]]),"")</f>
        <v>2.3888888888888888</v>
      </c>
      <c r="FJ471">
        <v>4</v>
      </c>
      <c r="FK471">
        <v>3</v>
      </c>
      <c r="FL471" t="s">
        <v>189</v>
      </c>
      <c r="FM471">
        <f>IFERROR(AVERAGE(Tabel1[[#This Row],[Do - A1a]:[Do - A1c]]),"")</f>
        <v>3.5</v>
      </c>
      <c r="FN471">
        <v>4</v>
      </c>
      <c r="FO471">
        <v>4</v>
      </c>
      <c r="FP471">
        <f>IFERROR(AVERAGE(Tabel1[[#This Row],[Do - A2a]:[Do - A2b]]),"")</f>
        <v>4</v>
      </c>
      <c r="FQ471">
        <v>4</v>
      </c>
      <c r="FR471">
        <f>IFERROR(AVERAGE(Tabel1[[#This Row],[Do - A3a]:[Do - A3a]]),"")</f>
        <v>4</v>
      </c>
      <c r="FS471" t="s">
        <v>189</v>
      </c>
      <c r="FT471">
        <f>IFERROR(AVERAGE(Tabel1[[#This Row],[Do - A1]],Tabel1[[#This Row],[Do - A2]],Tabel1[[#This Row],[Do - A3]],Tabel1[[#This Row],[Do - A4]]),"")</f>
        <v>3.8333333333333335</v>
      </c>
      <c r="FU47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2.8564814814814814</v>
      </c>
      <c r="FV471" s="31" t="s">
        <v>2300</v>
      </c>
      <c r="FW471" t="b">
        <v>1</v>
      </c>
    </row>
    <row r="472" spans="1:179" x14ac:dyDescent="0.3">
      <c r="A472" s="13">
        <v>45744.516157407401</v>
      </c>
      <c r="B472" t="b">
        <v>0</v>
      </c>
      <c r="C472" t="s">
        <v>2301</v>
      </c>
      <c r="D472" t="s">
        <v>2302</v>
      </c>
      <c r="E472" t="s">
        <v>1589</v>
      </c>
      <c r="F472" s="14" t="s">
        <v>1764</v>
      </c>
      <c r="G472" t="s">
        <v>2303</v>
      </c>
      <c r="H472" t="s">
        <v>194</v>
      </c>
      <c r="I472" t="s">
        <v>195</v>
      </c>
      <c r="J472" t="s">
        <v>406</v>
      </c>
      <c r="K472" t="s">
        <v>235</v>
      </c>
      <c r="L472" t="s">
        <v>197</v>
      </c>
      <c r="M472" t="s">
        <v>233</v>
      </c>
      <c r="N472" t="s">
        <v>262</v>
      </c>
      <c r="O472" t="s">
        <v>200</v>
      </c>
      <c r="P472" t="s">
        <v>304</v>
      </c>
      <c r="Q472" t="s">
        <v>201</v>
      </c>
      <c r="R472" t="s">
        <v>201</v>
      </c>
      <c r="S472" t="s">
        <v>202</v>
      </c>
      <c r="T472" t="s">
        <v>236</v>
      </c>
      <c r="U472" t="s">
        <v>205</v>
      </c>
      <c r="V472" t="s">
        <v>206</v>
      </c>
      <c r="W472" t="s">
        <v>207</v>
      </c>
      <c r="X472" t="s">
        <v>207</v>
      </c>
      <c r="Y472">
        <v>2</v>
      </c>
      <c r="Z472">
        <v>2</v>
      </c>
      <c r="AA472">
        <v>4</v>
      </c>
      <c r="AB472">
        <f>IFERROR(AVERAGE(Tabel1[[#This Row],[Up - R1a]:[Up - R1c]]),"")</f>
        <v>2.6666666666666665</v>
      </c>
      <c r="AC472">
        <v>5</v>
      </c>
      <c r="AD472">
        <v>2</v>
      </c>
      <c r="AE472">
        <v>5</v>
      </c>
      <c r="AF472">
        <v>4</v>
      </c>
      <c r="AG472">
        <f>IFERROR(AVERAGE(Tabel1[[#This Row],[Up - R1]:[Up - R5]]),"")</f>
        <v>3.7333333333333329</v>
      </c>
      <c r="AH472">
        <v>4</v>
      </c>
      <c r="AI472">
        <v>3</v>
      </c>
      <c r="AJ472">
        <v>3</v>
      </c>
      <c r="AK472">
        <f>IFERROR(AVERAGE(Tabel1[[#This Row],[Up - C1a]:[Up - C1c]]),"")</f>
        <v>3.3333333333333335</v>
      </c>
      <c r="AL472">
        <v>3</v>
      </c>
      <c r="AM472">
        <v>3</v>
      </c>
      <c r="AN472">
        <v>2</v>
      </c>
      <c r="AO472">
        <f>IFERROR(AVERAGE(Tabel1[[#This Row],[Up - C1]:[Up - C4]]),"")</f>
        <v>2.8333333333333335</v>
      </c>
      <c r="AP472">
        <v>2</v>
      </c>
      <c r="AQ472">
        <f>IFERROR(AVERAGE(Tabel1[[#This Row],[Up - F1a]:[Up - F1a]]),"")</f>
        <v>2</v>
      </c>
      <c r="AR472">
        <v>3</v>
      </c>
      <c r="AS472">
        <v>5</v>
      </c>
      <c r="AT472">
        <f>IFERROR(AVERAGE(Tabel1[[#This Row],[Up - F2a]:[Up - F2b]]),"")</f>
        <v>4</v>
      </c>
      <c r="AU472">
        <v>1</v>
      </c>
      <c r="AV472">
        <v>4</v>
      </c>
      <c r="AW472">
        <f>IFERROR(AVERAGE(Tabel1[[#This Row],[Up - F3a]:[Up - F3b]]),"")</f>
        <v>2.5</v>
      </c>
      <c r="AX472">
        <v>4</v>
      </c>
      <c r="AY472">
        <f>IFERROR(AVERAGE(Tabel1[[#This Row],[Up - F1]],Tabel1[[#This Row],[Up - F2]],Tabel1[[#This Row],[Up - F3]],Tabel1[[#This Row],[Up - F4]]),"")</f>
        <v>3.125</v>
      </c>
      <c r="AZ472">
        <v>5</v>
      </c>
      <c r="BA472">
        <v>2</v>
      </c>
      <c r="BB472">
        <f>IFERROR(AVERAGE(Tabel1[[#This Row],[Up - V1a]:[Up - V1b]]),"")</f>
        <v>3.5</v>
      </c>
      <c r="BC472">
        <v>1</v>
      </c>
      <c r="BD472">
        <v>3</v>
      </c>
      <c r="BE472">
        <v>1</v>
      </c>
      <c r="BF472">
        <f>IFERROR(AVERAGE(Tabel1[[#This Row],[Up - V2a]:[Up - V2c]]),"")</f>
        <v>1.6666666666666667</v>
      </c>
      <c r="BG472">
        <v>1</v>
      </c>
      <c r="BH472">
        <v>4</v>
      </c>
      <c r="BI472">
        <f>IFERROR(AVERAGE(Tabel1[[#This Row],[Up - V3a]:[Up - V3b]]),"")</f>
        <v>2.5</v>
      </c>
      <c r="BJ472">
        <v>2</v>
      </c>
      <c r="BK472">
        <f>IFERROR(AVERAGE(Tabel1[[#This Row],[Up - V1]],Tabel1[[#This Row],[Up - V2]],Tabel1[[#This Row],[Up - V3]],Tabel1[[#This Row],[Up - V4]]),"")</f>
        <v>2.416666666666667</v>
      </c>
      <c r="BL472">
        <v>3</v>
      </c>
      <c r="BM472">
        <v>1</v>
      </c>
      <c r="BN472">
        <v>4</v>
      </c>
      <c r="BO472">
        <v>4</v>
      </c>
      <c r="BP472">
        <f>IFERROR(AVERAGE(Tabel1[[#This Row],[Up - A1a]:[Up - A1d]]),"")</f>
        <v>3</v>
      </c>
      <c r="BQ472">
        <v>4</v>
      </c>
      <c r="BR472">
        <v>2</v>
      </c>
      <c r="BS472">
        <f>IFERROR(AVERAGE(Tabel1[[#This Row],[Up - A2a]:[Up - A2b]]),"")</f>
        <v>3</v>
      </c>
      <c r="BT472">
        <v>1</v>
      </c>
      <c r="BU472">
        <f>IFERROR(AVERAGE(Tabel1[[#This Row],[Up - A3a]:[Up - A3a]]),"")</f>
        <v>1</v>
      </c>
      <c r="BV472">
        <v>2</v>
      </c>
      <c r="BW472">
        <f>IFERROR(AVERAGE(Tabel1[[#This Row],[Up - A1]],Tabel1[[#This Row],[Up - A2]],Tabel1[[#This Row],[Up - A3]]),"")</f>
        <v>2.3333333333333335</v>
      </c>
      <c r="BX472">
        <v>4</v>
      </c>
      <c r="BY472">
        <v>2</v>
      </c>
      <c r="BZ472">
        <f>IFERROR(AVERAGE(Tabel1[[#This Row],[In - R1a]:[In - R1b]]),"")</f>
        <v>3</v>
      </c>
      <c r="CA472">
        <v>2</v>
      </c>
      <c r="CB472">
        <v>2</v>
      </c>
      <c r="CC472">
        <v>5</v>
      </c>
      <c r="CD472">
        <v>4</v>
      </c>
      <c r="CE472">
        <f>IFERROR(AVERAGE(Tabel1[[#This Row],[In - R1]:[In - R5]]),"")</f>
        <v>3.2</v>
      </c>
      <c r="CF472">
        <v>1</v>
      </c>
      <c r="CG472">
        <v>1</v>
      </c>
      <c r="CH472">
        <v>2</v>
      </c>
      <c r="CI472">
        <f>IFERROR(AVERAGE(Tabel1[[#This Row],[In - C1a]:[In - C1c]]),"")</f>
        <v>1.3333333333333333</v>
      </c>
      <c r="CJ472">
        <v>3</v>
      </c>
      <c r="CK472">
        <v>1</v>
      </c>
      <c r="CL472">
        <v>4</v>
      </c>
      <c r="CM472">
        <f>IFERROR(AVERAGE(Tabel1[[#This Row],[In - C1]:[In - C4]]),"")</f>
        <v>2.333333333333333</v>
      </c>
      <c r="CN472">
        <v>3</v>
      </c>
      <c r="CO472">
        <v>2</v>
      </c>
      <c r="CP472">
        <v>3</v>
      </c>
      <c r="CQ472">
        <f>IFERROR(AVERAGE(Tabel1[[#This Row],[In - F1a]:[In - F1c]]),"")</f>
        <v>2.6666666666666665</v>
      </c>
      <c r="CR472">
        <v>3</v>
      </c>
      <c r="CS472">
        <v>5</v>
      </c>
      <c r="CT472">
        <f>IFERROR(AVERAGE(Tabel1[[#This Row],[In - F2a]:[In - F2b]]),"")</f>
        <v>4</v>
      </c>
      <c r="CU472">
        <v>4</v>
      </c>
      <c r="CV472">
        <f>IFERROR(AVERAGE(Tabel1[[#This Row],[In - F3a]:[In - F3a]]),"")</f>
        <v>4</v>
      </c>
      <c r="CW472">
        <v>5</v>
      </c>
      <c r="CX472">
        <f>IFERROR(AVERAGE(Tabel1[[#This Row],[In - F1]],Tabel1[[#This Row],[In - F2]],Tabel1[[#This Row],[In - F3]],Tabel1[[#This Row],[In - F4]]),"")</f>
        <v>3.9166666666666665</v>
      </c>
      <c r="CY472">
        <v>2</v>
      </c>
      <c r="CZ472">
        <v>2</v>
      </c>
      <c r="DA472">
        <v>3</v>
      </c>
      <c r="DB472">
        <f>IFERROR(AVERAGE(Tabel1[[#This Row],[In - V1a]:[In - V1c]]),"")</f>
        <v>2.3333333333333335</v>
      </c>
      <c r="DC472">
        <v>1</v>
      </c>
      <c r="DD472">
        <v>3</v>
      </c>
      <c r="DE472">
        <v>1</v>
      </c>
      <c r="DF472">
        <f>IFERROR(AVERAGE(Tabel1[[#This Row],[In - V2a]:[In - V2c]]),"")</f>
        <v>1.6666666666666667</v>
      </c>
      <c r="DG472">
        <v>1</v>
      </c>
      <c r="DH472">
        <v>1</v>
      </c>
      <c r="DI472">
        <f>IFERROR(AVERAGE(Tabel1[[#This Row],[In - V3a]:[In - V3b]]),"")</f>
        <v>1</v>
      </c>
      <c r="DJ472">
        <v>2</v>
      </c>
      <c r="DK472">
        <f>IFERROR(AVERAGE(Tabel1[[#This Row],[In - V1]],Tabel1[[#This Row],[In - V2]],Tabel1[[#This Row],[In - V3]],Tabel1[[#This Row],[In - V4]]),"")</f>
        <v>1.75</v>
      </c>
      <c r="DL472">
        <v>5</v>
      </c>
      <c r="DM472">
        <v>3</v>
      </c>
      <c r="DN472">
        <f>IFERROR(AVERAGE(Tabel1[[#This Row],[In - A1a]:[In - A1b]]),"")</f>
        <v>4</v>
      </c>
      <c r="DO472">
        <v>4</v>
      </c>
      <c r="DP472">
        <v>3</v>
      </c>
      <c r="DQ472">
        <f>IFERROR(AVERAGE(Tabel1[[#This Row],[In - A2a]:[In - A2b]]),"")</f>
        <v>3.5</v>
      </c>
      <c r="DR472">
        <v>1</v>
      </c>
      <c r="DS472">
        <v>3</v>
      </c>
      <c r="DT472">
        <f>IFERROR(AVERAGE(Tabel1[[#This Row],[In - A3a]:[In - A3a]]),"")</f>
        <v>1</v>
      </c>
      <c r="DU472">
        <v>3</v>
      </c>
      <c r="DV472">
        <f>IFERROR(AVERAGE(Tabel1[[#This Row],[In - A1]],Tabel1[[#This Row],[In - A2]],Tabel1[[#This Row],[In - A3]],Tabel1[[#This Row],[In - A4]]),"")</f>
        <v>2.875</v>
      </c>
      <c r="DW472">
        <v>3</v>
      </c>
      <c r="DX472">
        <v>2</v>
      </c>
      <c r="DY472">
        <v>4</v>
      </c>
      <c r="DZ472">
        <f>IFERROR(AVERAGE(Tabel1[[#This Row],[Do - R1a]:[Do - R1c]]),"")</f>
        <v>3</v>
      </c>
      <c r="EA472" t="s">
        <v>189</v>
      </c>
      <c r="EB472">
        <v>2</v>
      </c>
      <c r="EC472" t="s">
        <v>189</v>
      </c>
      <c r="ED472" t="s">
        <v>189</v>
      </c>
      <c r="EE472">
        <f>IFERROR(AVERAGE(Tabel1[[#This Row],[Do - R1]:[Do - R5]]),"")</f>
        <v>2.5</v>
      </c>
      <c r="EF472" t="s">
        <v>189</v>
      </c>
      <c r="EG472" t="s">
        <v>189</v>
      </c>
      <c r="EH472">
        <v>2</v>
      </c>
      <c r="EI472">
        <f>IFERROR(AVERAGE(Tabel1[[#This Row],[Do - C1a]:[Do - C1c]]),"")</f>
        <v>2</v>
      </c>
      <c r="EJ472">
        <v>4</v>
      </c>
      <c r="EK472" t="s">
        <v>189</v>
      </c>
      <c r="EL472">
        <v>2</v>
      </c>
      <c r="EM472">
        <f>IFERROR(AVERAGE(Tabel1[[#This Row],[Do - C1]:[Do - C4]]),"")</f>
        <v>2.6666666666666665</v>
      </c>
      <c r="EN472">
        <v>3</v>
      </c>
      <c r="EO472">
        <v>2</v>
      </c>
      <c r="EP472">
        <v>4</v>
      </c>
      <c r="EQ472">
        <f>IFERROR(AVERAGE(Tabel1[[#This Row],[Do - F1a]:[Do - F1c]]),"")</f>
        <v>3</v>
      </c>
      <c r="ER472" t="s">
        <v>189</v>
      </c>
      <c r="ES472" t="str">
        <f>IFERROR(AVERAGE(Tabel1[[#This Row],[Do - F2a]:[Do - F2a]]),"")</f>
        <v/>
      </c>
      <c r="ET472">
        <v>2</v>
      </c>
      <c r="EU472" t="s">
        <v>189</v>
      </c>
      <c r="EV472">
        <f>IFERROR(AVERAGE(Tabel1[[#This Row],[Do - F3a]:[Do - F3b]]),"")</f>
        <v>2</v>
      </c>
      <c r="EW472">
        <v>5</v>
      </c>
      <c r="EX472">
        <f>IFERROR(AVERAGE(Tabel1[[#This Row],[Do - F1]],Tabel1[[#This Row],[Do - F2]],Tabel1[[#This Row],[Do - F3]],Tabel1[[#This Row],[Do - F4]]),"")</f>
        <v>3.3333333333333335</v>
      </c>
      <c r="EY472">
        <v>4</v>
      </c>
      <c r="EZ472">
        <v>2</v>
      </c>
      <c r="FA472">
        <v>4</v>
      </c>
      <c r="FB472">
        <f>IFERROR(AVERAGE(Tabel1[[#This Row],[Do - V1a]:[Do - V1c]]),"")</f>
        <v>3.3333333333333335</v>
      </c>
      <c r="FC472">
        <v>1</v>
      </c>
      <c r="FD472">
        <v>2</v>
      </c>
      <c r="FE472">
        <f>IFERROR(AVERAGE(Tabel1[[#This Row],[Do - V2a]:[Do - V2b]]),"")</f>
        <v>1.5</v>
      </c>
      <c r="FF472">
        <v>1</v>
      </c>
      <c r="FG472">
        <f>IFERROR(AVERAGE(Tabel1[[#This Row],[Do - V3a]:[Do - V3a]]),"")</f>
        <v>1</v>
      </c>
      <c r="FH472">
        <v>2</v>
      </c>
      <c r="FI472">
        <f>IFERROR(AVERAGE(Tabel1[[#This Row],[Do - V1]],Tabel1[[#This Row],[Do - V2]],Tabel1[[#This Row],[Do - V3]],Tabel1[[#This Row],[Do - V4]]),"")</f>
        <v>1.9583333333333335</v>
      </c>
      <c r="FJ472" t="s">
        <v>189</v>
      </c>
      <c r="FK472" t="s">
        <v>189</v>
      </c>
      <c r="FL472" t="s">
        <v>189</v>
      </c>
      <c r="FM472" t="str">
        <f>IFERROR(AVERAGE(Tabel1[[#This Row],[Do - A1a]:[Do - A1c]]),"")</f>
        <v/>
      </c>
      <c r="FN472">
        <v>2</v>
      </c>
      <c r="FO472">
        <v>3</v>
      </c>
      <c r="FP472">
        <f>IFERROR(AVERAGE(Tabel1[[#This Row],[Do - A2a]:[Do - A2b]]),"")</f>
        <v>2.5</v>
      </c>
      <c r="FQ472">
        <v>1</v>
      </c>
      <c r="FR472">
        <f>IFERROR(AVERAGE(Tabel1[[#This Row],[Do - A3a]:[Do - A3a]]),"")</f>
        <v>1</v>
      </c>
      <c r="FS472">
        <v>3</v>
      </c>
      <c r="FT472">
        <f>IFERROR(AVERAGE(Tabel1[[#This Row],[Do - A1]],Tabel1[[#This Row],[Do - A2]],Tabel1[[#This Row],[Do - A3]],Tabel1[[#This Row],[Do - A4]]),"")</f>
        <v>2.1666666666666665</v>
      </c>
      <c r="FU47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2.742777777777778</v>
      </c>
      <c r="FV472" s="31" t="s">
        <v>2304</v>
      </c>
      <c r="FW472" t="b">
        <v>1</v>
      </c>
    </row>
    <row r="473" spans="1:179" x14ac:dyDescent="0.3">
      <c r="A473" s="13">
        <v>45744.5719791667</v>
      </c>
      <c r="B473" t="b">
        <v>0</v>
      </c>
      <c r="C473" t="s">
        <v>2305</v>
      </c>
      <c r="D473" t="s">
        <v>592</v>
      </c>
      <c r="E473" t="s">
        <v>2306</v>
      </c>
      <c r="F473" s="14" t="s">
        <v>184</v>
      </c>
      <c r="G473" t="s">
        <v>2307</v>
      </c>
      <c r="H473" t="s">
        <v>222</v>
      </c>
      <c r="I473" t="s">
        <v>195</v>
      </c>
      <c r="J473" t="s">
        <v>273</v>
      </c>
      <c r="K473" t="s">
        <v>201</v>
      </c>
      <c r="L473" t="s">
        <v>218</v>
      </c>
      <c r="M473" t="s">
        <v>198</v>
      </c>
      <c r="N473" t="s">
        <v>199</v>
      </c>
      <c r="O473" t="s">
        <v>200</v>
      </c>
      <c r="P473" t="s">
        <v>304</v>
      </c>
      <c r="Q473" t="s">
        <v>255</v>
      </c>
      <c r="R473" t="s">
        <v>203</v>
      </c>
      <c r="S473" t="s">
        <v>201</v>
      </c>
      <c r="T473" t="s">
        <v>236</v>
      </c>
      <c r="U473" t="s">
        <v>237</v>
      </c>
      <c r="V473" t="s">
        <v>224</v>
      </c>
      <c r="W473" t="s">
        <v>306</v>
      </c>
      <c r="X473" t="s">
        <v>306</v>
      </c>
      <c r="Y473">
        <v>2</v>
      </c>
      <c r="Z473">
        <v>4</v>
      </c>
      <c r="AA473">
        <v>2</v>
      </c>
      <c r="AB473">
        <f>IFERROR(AVERAGE(Tabel1[[#This Row],[Up - R1a]:[Up - R1c]]),"")</f>
        <v>2.6666666666666665</v>
      </c>
      <c r="AC473">
        <v>2</v>
      </c>
      <c r="AD473">
        <v>3</v>
      </c>
      <c r="AE473">
        <v>2</v>
      </c>
      <c r="AF473">
        <v>2</v>
      </c>
      <c r="AG473">
        <f>IFERROR(AVERAGE(Tabel1[[#This Row],[Up - R1]:[Up - R5]]),"")</f>
        <v>2.333333333333333</v>
      </c>
      <c r="AH473">
        <v>4</v>
      </c>
      <c r="AI473">
        <v>3</v>
      </c>
      <c r="AJ473">
        <v>2</v>
      </c>
      <c r="AK473">
        <f>IFERROR(AVERAGE(Tabel1[[#This Row],[Up - C1a]:[Up - C1c]]),"")</f>
        <v>3</v>
      </c>
      <c r="AL473" t="s">
        <v>189</v>
      </c>
      <c r="AM473" t="s">
        <v>189</v>
      </c>
      <c r="AN473" t="s">
        <v>189</v>
      </c>
      <c r="AO473">
        <f>IFERROR(AVERAGE(Tabel1[[#This Row],[Up - C1]:[Up - C4]]),"")</f>
        <v>3</v>
      </c>
      <c r="AP473" t="s">
        <v>189</v>
      </c>
      <c r="AQ473" t="str">
        <f>IFERROR(AVERAGE(Tabel1[[#This Row],[Up - F1a]:[Up - F1a]]),"")</f>
        <v/>
      </c>
      <c r="AR473" t="s">
        <v>189</v>
      </c>
      <c r="AS473" t="s">
        <v>189</v>
      </c>
      <c r="AT473" t="str">
        <f>IFERROR(AVERAGE(Tabel1[[#This Row],[Up - F2a]:[Up - F2b]]),"")</f>
        <v/>
      </c>
      <c r="AU473" t="s">
        <v>189</v>
      </c>
      <c r="AV473">
        <v>1</v>
      </c>
      <c r="AW473">
        <f>IFERROR(AVERAGE(Tabel1[[#This Row],[Up - F3a]:[Up - F3b]]),"")</f>
        <v>1</v>
      </c>
      <c r="AX473" t="s">
        <v>189</v>
      </c>
      <c r="AY473">
        <f>IFERROR(AVERAGE(Tabel1[[#This Row],[Up - F1]],Tabel1[[#This Row],[Up - F2]],Tabel1[[#This Row],[Up - F3]],Tabel1[[#This Row],[Up - F4]]),"")</f>
        <v>1</v>
      </c>
      <c r="AZ473" t="s">
        <v>189</v>
      </c>
      <c r="BA473" t="s">
        <v>189</v>
      </c>
      <c r="BB473" t="str">
        <f>IFERROR(AVERAGE(Tabel1[[#This Row],[Up - V1a]:[Up - V1b]]),"")</f>
        <v/>
      </c>
      <c r="BC473" t="s">
        <v>189</v>
      </c>
      <c r="BD473" t="s">
        <v>189</v>
      </c>
      <c r="BE473" t="s">
        <v>189</v>
      </c>
      <c r="BF473" t="str">
        <f>IFERROR(AVERAGE(Tabel1[[#This Row],[Up - V2a]:[Up - V2c]]),"")</f>
        <v/>
      </c>
      <c r="BG473" t="s">
        <v>189</v>
      </c>
      <c r="BH473" t="s">
        <v>189</v>
      </c>
      <c r="BI473" t="str">
        <f>IFERROR(AVERAGE(Tabel1[[#This Row],[Up - V3a]:[Up - V3b]]),"")</f>
        <v/>
      </c>
      <c r="BJ473" t="s">
        <v>189</v>
      </c>
      <c r="BK473" t="str">
        <f>IFERROR(AVERAGE(Tabel1[[#This Row],[Up - V1]],Tabel1[[#This Row],[Up - V2]],Tabel1[[#This Row],[Up - V3]],Tabel1[[#This Row],[Up - V4]]),"")</f>
        <v/>
      </c>
      <c r="BL473" t="s">
        <v>189</v>
      </c>
      <c r="BM473" t="s">
        <v>189</v>
      </c>
      <c r="BN473" t="s">
        <v>189</v>
      </c>
      <c r="BO473" t="s">
        <v>189</v>
      </c>
      <c r="BP473" t="str">
        <f>IFERROR(AVERAGE(Tabel1[[#This Row],[Up - A1a]:[Up - A1d]]),"")</f>
        <v/>
      </c>
      <c r="BQ473" t="s">
        <v>189</v>
      </c>
      <c r="BR473">
        <v>1</v>
      </c>
      <c r="BS473">
        <f>IFERROR(AVERAGE(Tabel1[[#This Row],[Up - A2a]:[Up - A2b]]),"")</f>
        <v>1</v>
      </c>
      <c r="BT473">
        <v>2</v>
      </c>
      <c r="BU473">
        <f>IFERROR(AVERAGE(Tabel1[[#This Row],[Up - A3a]:[Up - A3a]]),"")</f>
        <v>2</v>
      </c>
      <c r="BV473">
        <v>2</v>
      </c>
      <c r="BW473">
        <f>IFERROR(AVERAGE(Tabel1[[#This Row],[Up - A1]],Tabel1[[#This Row],[Up - A2]],Tabel1[[#This Row],[Up - A3]]),"")</f>
        <v>1.5</v>
      </c>
      <c r="BX473">
        <v>4</v>
      </c>
      <c r="BY473">
        <v>4</v>
      </c>
      <c r="BZ473">
        <f>IFERROR(AVERAGE(Tabel1[[#This Row],[In - R1a]:[In - R1b]]),"")</f>
        <v>4</v>
      </c>
      <c r="CA473">
        <v>1</v>
      </c>
      <c r="CB473">
        <v>1</v>
      </c>
      <c r="CC473">
        <v>2</v>
      </c>
      <c r="CD473">
        <v>3</v>
      </c>
      <c r="CE473">
        <f>IFERROR(AVERAGE(Tabel1[[#This Row],[In - R1]:[In - R5]]),"")</f>
        <v>2.2000000000000002</v>
      </c>
      <c r="CF473">
        <v>4</v>
      </c>
      <c r="CG473">
        <v>4</v>
      </c>
      <c r="CH473">
        <v>4</v>
      </c>
      <c r="CI473">
        <f>IFERROR(AVERAGE(Tabel1[[#This Row],[In - C1a]:[In - C1c]]),"")</f>
        <v>4</v>
      </c>
      <c r="CJ473">
        <v>4</v>
      </c>
      <c r="CK473">
        <v>3</v>
      </c>
      <c r="CL473">
        <v>4</v>
      </c>
      <c r="CM473">
        <f>IFERROR(AVERAGE(Tabel1[[#This Row],[In - C1]:[In - C4]]),"")</f>
        <v>3.75</v>
      </c>
      <c r="CN473" t="s">
        <v>189</v>
      </c>
      <c r="CO473">
        <v>2</v>
      </c>
      <c r="CP473" t="s">
        <v>189</v>
      </c>
      <c r="CQ473">
        <f>IFERROR(AVERAGE(Tabel1[[#This Row],[In - F1a]:[In - F1c]]),"")</f>
        <v>2</v>
      </c>
      <c r="CR473" t="s">
        <v>189</v>
      </c>
      <c r="CS473" t="s">
        <v>189</v>
      </c>
      <c r="CT473" t="str">
        <f>IFERROR(AVERAGE(Tabel1[[#This Row],[In - F2a]:[In - F2b]]),"")</f>
        <v/>
      </c>
      <c r="CU473" t="s">
        <v>189</v>
      </c>
      <c r="CV473" t="str">
        <f>IFERROR(AVERAGE(Tabel1[[#This Row],[In - F3a]:[In - F3a]]),"")</f>
        <v/>
      </c>
      <c r="CW473" t="s">
        <v>189</v>
      </c>
      <c r="CX473">
        <f>IFERROR(AVERAGE(Tabel1[[#This Row],[In - F1]],Tabel1[[#This Row],[In - F2]],Tabel1[[#This Row],[In - F3]],Tabel1[[#This Row],[In - F4]]),"")</f>
        <v>2</v>
      </c>
      <c r="CY473">
        <v>3</v>
      </c>
      <c r="CZ473">
        <v>3</v>
      </c>
      <c r="DA473">
        <v>3</v>
      </c>
      <c r="DB473">
        <f>IFERROR(AVERAGE(Tabel1[[#This Row],[In - V1a]:[In - V1c]]),"")</f>
        <v>3</v>
      </c>
      <c r="DC473">
        <v>1</v>
      </c>
      <c r="DD473">
        <v>3</v>
      </c>
      <c r="DE473">
        <v>2</v>
      </c>
      <c r="DF473">
        <f>IFERROR(AVERAGE(Tabel1[[#This Row],[In - V2a]:[In - V2c]]),"")</f>
        <v>2</v>
      </c>
      <c r="DG473">
        <v>4</v>
      </c>
      <c r="DH473">
        <v>2</v>
      </c>
      <c r="DI473">
        <f>IFERROR(AVERAGE(Tabel1[[#This Row],[In - V3a]:[In - V3b]]),"")</f>
        <v>3</v>
      </c>
      <c r="DJ473" t="s">
        <v>189</v>
      </c>
      <c r="DK473">
        <f>IFERROR(AVERAGE(Tabel1[[#This Row],[In - V1]],Tabel1[[#This Row],[In - V2]],Tabel1[[#This Row],[In - V3]],Tabel1[[#This Row],[In - V4]]),"")</f>
        <v>2.6666666666666665</v>
      </c>
      <c r="DL473">
        <v>3</v>
      </c>
      <c r="DM473" t="s">
        <v>189</v>
      </c>
      <c r="DN473">
        <f>IFERROR(AVERAGE(Tabel1[[#This Row],[In - A1a]:[In - A1b]]),"")</f>
        <v>3</v>
      </c>
      <c r="DO473" t="s">
        <v>189</v>
      </c>
      <c r="DP473">
        <v>2</v>
      </c>
      <c r="DQ473">
        <f>IFERROR(AVERAGE(Tabel1[[#This Row],[In - A2a]:[In - A2b]]),"")</f>
        <v>2</v>
      </c>
      <c r="DR473">
        <v>3</v>
      </c>
      <c r="DS473">
        <v>1</v>
      </c>
      <c r="DT473">
        <f>IFERROR(AVERAGE(Tabel1[[#This Row],[In - A3a]:[In - A3a]]),"")</f>
        <v>3</v>
      </c>
      <c r="DU473">
        <v>2</v>
      </c>
      <c r="DV473">
        <f>IFERROR(AVERAGE(Tabel1[[#This Row],[In - A1]],Tabel1[[#This Row],[In - A2]],Tabel1[[#This Row],[In - A3]],Tabel1[[#This Row],[In - A4]]),"")</f>
        <v>2.5</v>
      </c>
      <c r="DW473" t="s">
        <v>189</v>
      </c>
      <c r="DX473">
        <v>4</v>
      </c>
      <c r="DY473">
        <v>1</v>
      </c>
      <c r="DZ473">
        <f>IFERROR(AVERAGE(Tabel1[[#This Row],[Do - R1a]:[Do - R1c]]),"")</f>
        <v>2.5</v>
      </c>
      <c r="EA473">
        <v>2</v>
      </c>
      <c r="EB473">
        <v>2</v>
      </c>
      <c r="EC473" t="s">
        <v>189</v>
      </c>
      <c r="ED473">
        <v>4</v>
      </c>
      <c r="EE473">
        <f>IFERROR(AVERAGE(Tabel1[[#This Row],[Do - R1]:[Do - R5]]),"")</f>
        <v>2.625</v>
      </c>
      <c r="EF473">
        <v>4</v>
      </c>
      <c r="EG473">
        <v>3</v>
      </c>
      <c r="EH473">
        <v>3</v>
      </c>
      <c r="EI473">
        <f>IFERROR(AVERAGE(Tabel1[[#This Row],[Do - C1a]:[Do - C1c]]),"")</f>
        <v>3.3333333333333335</v>
      </c>
      <c r="EJ473">
        <v>4</v>
      </c>
      <c r="EK473">
        <v>2</v>
      </c>
      <c r="EL473" t="s">
        <v>189</v>
      </c>
      <c r="EM473">
        <f>IFERROR(AVERAGE(Tabel1[[#This Row],[Do - C1]:[Do - C4]]),"")</f>
        <v>3.1111111111111112</v>
      </c>
      <c r="EN473" t="s">
        <v>189</v>
      </c>
      <c r="EO473">
        <v>3</v>
      </c>
      <c r="EP473">
        <v>5</v>
      </c>
      <c r="EQ473">
        <f>IFERROR(AVERAGE(Tabel1[[#This Row],[Do - F1a]:[Do - F1c]]),"")</f>
        <v>4</v>
      </c>
      <c r="ER473" t="s">
        <v>189</v>
      </c>
      <c r="ES473" t="str">
        <f>IFERROR(AVERAGE(Tabel1[[#This Row],[Do - F2a]:[Do - F2a]]),"")</f>
        <v/>
      </c>
      <c r="ET473" t="s">
        <v>189</v>
      </c>
      <c r="EU473">
        <v>1</v>
      </c>
      <c r="EV473">
        <f>IFERROR(AVERAGE(Tabel1[[#This Row],[Do - F3a]:[Do - F3b]]),"")</f>
        <v>1</v>
      </c>
      <c r="EW473" t="s">
        <v>189</v>
      </c>
      <c r="EX473">
        <f>IFERROR(AVERAGE(Tabel1[[#This Row],[Do - F1]],Tabel1[[#This Row],[Do - F2]],Tabel1[[#This Row],[Do - F3]],Tabel1[[#This Row],[Do - F4]]),"")</f>
        <v>2.5</v>
      </c>
      <c r="EY473">
        <v>3</v>
      </c>
      <c r="EZ473">
        <v>3</v>
      </c>
      <c r="FA473">
        <v>4</v>
      </c>
      <c r="FB473">
        <f>IFERROR(AVERAGE(Tabel1[[#This Row],[Do - V1a]:[Do - V1c]]),"")</f>
        <v>3.3333333333333335</v>
      </c>
      <c r="FC473">
        <v>4</v>
      </c>
      <c r="FD473">
        <v>3</v>
      </c>
      <c r="FE473">
        <f>IFERROR(AVERAGE(Tabel1[[#This Row],[Do - V2a]:[Do - V2b]]),"")</f>
        <v>3.5</v>
      </c>
      <c r="FF473">
        <v>2</v>
      </c>
      <c r="FG473">
        <f>IFERROR(AVERAGE(Tabel1[[#This Row],[Do - V3a]:[Do - V3a]]),"")</f>
        <v>2</v>
      </c>
      <c r="FH473">
        <v>4</v>
      </c>
      <c r="FI473">
        <f>IFERROR(AVERAGE(Tabel1[[#This Row],[Do - V1]],Tabel1[[#This Row],[Do - V2]],Tabel1[[#This Row],[Do - V3]],Tabel1[[#This Row],[Do - V4]]),"")</f>
        <v>3.2083333333333335</v>
      </c>
      <c r="FJ473">
        <v>3</v>
      </c>
      <c r="FK473" t="s">
        <v>189</v>
      </c>
      <c r="FL473">
        <v>3</v>
      </c>
      <c r="FM473">
        <f>IFERROR(AVERAGE(Tabel1[[#This Row],[Do - A1a]:[Do - A1c]]),"")</f>
        <v>3</v>
      </c>
      <c r="FN473">
        <v>1</v>
      </c>
      <c r="FO473">
        <v>1</v>
      </c>
      <c r="FP473">
        <f>IFERROR(AVERAGE(Tabel1[[#This Row],[Do - A2a]:[Do - A2b]]),"")</f>
        <v>1</v>
      </c>
      <c r="FQ473">
        <v>2</v>
      </c>
      <c r="FR473">
        <f>IFERROR(AVERAGE(Tabel1[[#This Row],[Do - A3a]:[Do - A3a]]),"")</f>
        <v>2</v>
      </c>
      <c r="FS473">
        <v>3</v>
      </c>
      <c r="FT473">
        <f>IFERROR(AVERAGE(Tabel1[[#This Row],[Do - A1]],Tabel1[[#This Row],[Do - A2]],Tabel1[[#This Row],[Do - A3]],Tabel1[[#This Row],[Do - A4]]),"")</f>
        <v>2.25</v>
      </c>
      <c r="FU47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2.4746031746031747</v>
      </c>
      <c r="FV473" s="31" t="s">
        <v>2308</v>
      </c>
      <c r="FW473" t="b">
        <v>1</v>
      </c>
    </row>
    <row r="474" spans="1:179" x14ac:dyDescent="0.3">
      <c r="A474" s="13">
        <v>45744.624768518501</v>
      </c>
      <c r="B474" t="b">
        <v>0</v>
      </c>
      <c r="C474" t="s">
        <v>2309</v>
      </c>
      <c r="D474" t="s">
        <v>2310</v>
      </c>
      <c r="E474" t="s">
        <v>2216</v>
      </c>
      <c r="F474" s="14" t="s">
        <v>184</v>
      </c>
      <c r="G474" t="s">
        <v>2311</v>
      </c>
      <c r="H474" t="s">
        <v>222</v>
      </c>
      <c r="I474" t="s">
        <v>195</v>
      </c>
      <c r="J474" t="s">
        <v>212</v>
      </c>
      <c r="K474" t="s">
        <v>235</v>
      </c>
      <c r="L474" t="s">
        <v>249</v>
      </c>
      <c r="M474" t="s">
        <v>281</v>
      </c>
      <c r="N474" t="s">
        <v>199</v>
      </c>
      <c r="O474" t="s">
        <v>200</v>
      </c>
      <c r="P474" t="s">
        <v>304</v>
      </c>
      <c r="Q474" t="s">
        <v>201</v>
      </c>
      <c r="R474" t="s">
        <v>235</v>
      </c>
      <c r="S474" t="s">
        <v>235</v>
      </c>
      <c r="T474" t="s">
        <v>204</v>
      </c>
      <c r="U474" t="s">
        <v>205</v>
      </c>
      <c r="V474" t="s">
        <v>359</v>
      </c>
      <c r="W474" t="s">
        <v>207</v>
      </c>
      <c r="X474" t="s">
        <v>207</v>
      </c>
      <c r="Y474">
        <v>1</v>
      </c>
      <c r="Z474">
        <v>3</v>
      </c>
      <c r="AA474" t="s">
        <v>189</v>
      </c>
      <c r="AB474">
        <f>IFERROR(AVERAGE(Tabel1[[#This Row],[Up - R1a]:[Up - R1c]]),"")</f>
        <v>2</v>
      </c>
      <c r="AC474">
        <v>2</v>
      </c>
      <c r="AD474">
        <v>3</v>
      </c>
      <c r="AE474">
        <v>2</v>
      </c>
      <c r="AF474" t="s">
        <v>189</v>
      </c>
      <c r="AG474">
        <f>IFERROR(AVERAGE(Tabel1[[#This Row],[Up - R1]:[Up - R5]]),"")</f>
        <v>2.25</v>
      </c>
      <c r="AH474">
        <v>4</v>
      </c>
      <c r="AI474">
        <v>3</v>
      </c>
      <c r="AJ474">
        <v>3</v>
      </c>
      <c r="AK474">
        <f>IFERROR(AVERAGE(Tabel1[[#This Row],[Up - C1a]:[Up - C1c]]),"")</f>
        <v>3.3333333333333335</v>
      </c>
      <c r="AL474">
        <v>3</v>
      </c>
      <c r="AM474">
        <v>2</v>
      </c>
      <c r="AN474">
        <v>4</v>
      </c>
      <c r="AO474">
        <f>IFERROR(AVERAGE(Tabel1[[#This Row],[Up - C1]:[Up - C4]]),"")</f>
        <v>3.0833333333333335</v>
      </c>
      <c r="AP474">
        <v>1</v>
      </c>
      <c r="AQ474">
        <f>IFERROR(AVERAGE(Tabel1[[#This Row],[Up - F1a]:[Up - F1a]]),"")</f>
        <v>1</v>
      </c>
      <c r="AR474">
        <v>1</v>
      </c>
      <c r="AS474">
        <v>1</v>
      </c>
      <c r="AT474">
        <f>IFERROR(AVERAGE(Tabel1[[#This Row],[Up - F2a]:[Up - F2b]]),"")</f>
        <v>1</v>
      </c>
      <c r="AU474">
        <v>2</v>
      </c>
      <c r="AV474">
        <v>3</v>
      </c>
      <c r="AW474">
        <f>IFERROR(AVERAGE(Tabel1[[#This Row],[Up - F3a]:[Up - F3b]]),"")</f>
        <v>2.5</v>
      </c>
      <c r="AX474">
        <v>2</v>
      </c>
      <c r="AY474">
        <f>IFERROR(AVERAGE(Tabel1[[#This Row],[Up - F1]],Tabel1[[#This Row],[Up - F2]],Tabel1[[#This Row],[Up - F3]],Tabel1[[#This Row],[Up - F4]]),"")</f>
        <v>1.625</v>
      </c>
      <c r="AZ474">
        <v>1</v>
      </c>
      <c r="BA474">
        <v>2</v>
      </c>
      <c r="BB474">
        <f>IFERROR(AVERAGE(Tabel1[[#This Row],[Up - V1a]:[Up - V1b]]),"")</f>
        <v>1.5</v>
      </c>
      <c r="BC474">
        <v>2</v>
      </c>
      <c r="BD474">
        <v>1</v>
      </c>
      <c r="BE474">
        <v>3</v>
      </c>
      <c r="BF474">
        <f>IFERROR(AVERAGE(Tabel1[[#This Row],[Up - V2a]:[Up - V2c]]),"")</f>
        <v>2</v>
      </c>
      <c r="BG474">
        <v>1</v>
      </c>
      <c r="BH474">
        <v>3</v>
      </c>
      <c r="BI474">
        <f>IFERROR(AVERAGE(Tabel1[[#This Row],[Up - V3a]:[Up - V3b]]),"")</f>
        <v>2</v>
      </c>
      <c r="BJ474">
        <v>2</v>
      </c>
      <c r="BK474">
        <f>IFERROR(AVERAGE(Tabel1[[#This Row],[Up - V1]],Tabel1[[#This Row],[Up - V2]],Tabel1[[#This Row],[Up - V3]],Tabel1[[#This Row],[Up - V4]]),"")</f>
        <v>1.875</v>
      </c>
      <c r="BL474">
        <v>2</v>
      </c>
      <c r="BM474">
        <v>3</v>
      </c>
      <c r="BN474">
        <v>4</v>
      </c>
      <c r="BO474">
        <v>2</v>
      </c>
      <c r="BP474">
        <f>IFERROR(AVERAGE(Tabel1[[#This Row],[Up - A1a]:[Up - A1d]]),"")</f>
        <v>2.75</v>
      </c>
      <c r="BQ474">
        <v>2</v>
      </c>
      <c r="BR474">
        <v>4</v>
      </c>
      <c r="BS474">
        <f>IFERROR(AVERAGE(Tabel1[[#This Row],[Up - A2a]:[Up - A2b]]),"")</f>
        <v>3</v>
      </c>
      <c r="BT474">
        <v>3</v>
      </c>
      <c r="BU474">
        <f>IFERROR(AVERAGE(Tabel1[[#This Row],[Up - A3a]:[Up - A3a]]),"")</f>
        <v>3</v>
      </c>
      <c r="BV474" t="s">
        <v>189</v>
      </c>
      <c r="BW474">
        <f>IFERROR(AVERAGE(Tabel1[[#This Row],[Up - A1]],Tabel1[[#This Row],[Up - A2]],Tabel1[[#This Row],[Up - A3]]),"")</f>
        <v>2.9166666666666665</v>
      </c>
      <c r="BX474">
        <v>5</v>
      </c>
      <c r="BY474">
        <v>4</v>
      </c>
      <c r="BZ474">
        <f>IFERROR(AVERAGE(Tabel1[[#This Row],[In - R1a]:[In - R1b]]),"")</f>
        <v>4.5</v>
      </c>
      <c r="CA474">
        <v>5</v>
      </c>
      <c r="CB474">
        <v>4</v>
      </c>
      <c r="CC474">
        <v>5</v>
      </c>
      <c r="CD474">
        <v>4</v>
      </c>
      <c r="CE474">
        <f>IFERROR(AVERAGE(Tabel1[[#This Row],[In - R1]:[In - R5]]),"")</f>
        <v>4.5</v>
      </c>
      <c r="CF474">
        <v>4</v>
      </c>
      <c r="CG474">
        <v>3</v>
      </c>
      <c r="CH474">
        <v>4</v>
      </c>
      <c r="CI474">
        <f>IFERROR(AVERAGE(Tabel1[[#This Row],[In - C1a]:[In - C1c]]),"")</f>
        <v>3.6666666666666665</v>
      </c>
      <c r="CJ474">
        <v>4</v>
      </c>
      <c r="CK474">
        <v>3</v>
      </c>
      <c r="CL474">
        <v>3</v>
      </c>
      <c r="CM474">
        <f>IFERROR(AVERAGE(Tabel1[[#This Row],[In - C1]:[In - C4]]),"")</f>
        <v>3.4166666666666665</v>
      </c>
      <c r="CN474">
        <v>3</v>
      </c>
      <c r="CO474">
        <v>4</v>
      </c>
      <c r="CP474">
        <v>4</v>
      </c>
      <c r="CQ474">
        <f>IFERROR(AVERAGE(Tabel1[[#This Row],[In - F1a]:[In - F1c]]),"")</f>
        <v>3.6666666666666665</v>
      </c>
      <c r="CR474">
        <v>3</v>
      </c>
      <c r="CS474">
        <v>2</v>
      </c>
      <c r="CT474">
        <f>IFERROR(AVERAGE(Tabel1[[#This Row],[In - F2a]:[In - F2b]]),"")</f>
        <v>2.5</v>
      </c>
      <c r="CU474">
        <v>1</v>
      </c>
      <c r="CV474">
        <f>IFERROR(AVERAGE(Tabel1[[#This Row],[In - F3a]:[In - F3a]]),"")</f>
        <v>1</v>
      </c>
      <c r="CW474">
        <v>2</v>
      </c>
      <c r="CX474">
        <f>IFERROR(AVERAGE(Tabel1[[#This Row],[In - F1]],Tabel1[[#This Row],[In - F2]],Tabel1[[#This Row],[In - F3]],Tabel1[[#This Row],[In - F4]]),"")</f>
        <v>2.2916666666666665</v>
      </c>
      <c r="CY474">
        <v>2</v>
      </c>
      <c r="CZ474">
        <v>2</v>
      </c>
      <c r="DA474">
        <v>2</v>
      </c>
      <c r="DB474">
        <f>IFERROR(AVERAGE(Tabel1[[#This Row],[In - V1a]:[In - V1c]]),"")</f>
        <v>2</v>
      </c>
      <c r="DC474">
        <v>3</v>
      </c>
      <c r="DD474">
        <v>3</v>
      </c>
      <c r="DE474">
        <v>4</v>
      </c>
      <c r="DF474">
        <f>IFERROR(AVERAGE(Tabel1[[#This Row],[In - V2a]:[In - V2c]]),"")</f>
        <v>3.3333333333333335</v>
      </c>
      <c r="DG474">
        <v>2</v>
      </c>
      <c r="DH474">
        <v>3</v>
      </c>
      <c r="DI474">
        <f>IFERROR(AVERAGE(Tabel1[[#This Row],[In - V3a]:[In - V3b]]),"")</f>
        <v>2.5</v>
      </c>
      <c r="DJ474">
        <v>3</v>
      </c>
      <c r="DK474">
        <f>IFERROR(AVERAGE(Tabel1[[#This Row],[In - V1]],Tabel1[[#This Row],[In - V2]],Tabel1[[#This Row],[In - V3]],Tabel1[[#This Row],[In - V4]]),"")</f>
        <v>2.7083333333333335</v>
      </c>
      <c r="DL474">
        <v>4</v>
      </c>
      <c r="DM474">
        <v>4</v>
      </c>
      <c r="DN474">
        <f>IFERROR(AVERAGE(Tabel1[[#This Row],[In - A1a]:[In - A1b]]),"")</f>
        <v>4</v>
      </c>
      <c r="DO474">
        <v>1</v>
      </c>
      <c r="DP474">
        <v>4</v>
      </c>
      <c r="DQ474">
        <f>IFERROR(AVERAGE(Tabel1[[#This Row],[In - A2a]:[In - A2b]]),"")</f>
        <v>2.5</v>
      </c>
      <c r="DR474">
        <v>4</v>
      </c>
      <c r="DS474">
        <v>1</v>
      </c>
      <c r="DT474">
        <f>IFERROR(AVERAGE(Tabel1[[#This Row],[In - A3a]:[In - A3a]]),"")</f>
        <v>4</v>
      </c>
      <c r="DU474" t="s">
        <v>189</v>
      </c>
      <c r="DV474">
        <f>IFERROR(AVERAGE(Tabel1[[#This Row],[In - A1]],Tabel1[[#This Row],[In - A2]],Tabel1[[#This Row],[In - A3]],Tabel1[[#This Row],[In - A4]]),"")</f>
        <v>3.5</v>
      </c>
      <c r="DW474">
        <v>1</v>
      </c>
      <c r="DX474">
        <v>3</v>
      </c>
      <c r="DY474">
        <v>1</v>
      </c>
      <c r="DZ474">
        <f>IFERROR(AVERAGE(Tabel1[[#This Row],[Do - R1a]:[Do - R1c]]),"")</f>
        <v>1.6666666666666667</v>
      </c>
      <c r="EA474">
        <v>5</v>
      </c>
      <c r="EB474">
        <v>1</v>
      </c>
      <c r="EC474">
        <v>1</v>
      </c>
      <c r="ED474">
        <v>3</v>
      </c>
      <c r="EE474">
        <f>IFERROR(AVERAGE(Tabel1[[#This Row],[Do - R1]:[Do - R5]]),"")</f>
        <v>2.3333333333333335</v>
      </c>
      <c r="EF474">
        <v>3</v>
      </c>
      <c r="EG474">
        <v>3</v>
      </c>
      <c r="EH474">
        <v>2</v>
      </c>
      <c r="EI474">
        <f>IFERROR(AVERAGE(Tabel1[[#This Row],[Do - C1a]:[Do - C1c]]),"")</f>
        <v>2.6666666666666665</v>
      </c>
      <c r="EJ474">
        <v>2</v>
      </c>
      <c r="EK474">
        <v>1</v>
      </c>
      <c r="EL474">
        <v>2</v>
      </c>
      <c r="EM474">
        <f>IFERROR(AVERAGE(Tabel1[[#This Row],[Do - C1]:[Do - C4]]),"")</f>
        <v>1.9166666666666665</v>
      </c>
      <c r="EN474">
        <v>1</v>
      </c>
      <c r="EO474">
        <v>1</v>
      </c>
      <c r="EP474">
        <v>2</v>
      </c>
      <c r="EQ474">
        <f>IFERROR(AVERAGE(Tabel1[[#This Row],[Do - F1a]:[Do - F1c]]),"")</f>
        <v>1.3333333333333333</v>
      </c>
      <c r="ER474">
        <v>3</v>
      </c>
      <c r="ES474">
        <f>IFERROR(AVERAGE(Tabel1[[#This Row],[Do - F2a]:[Do - F2a]]),"")</f>
        <v>3</v>
      </c>
      <c r="ET474">
        <v>1</v>
      </c>
      <c r="EU474">
        <v>2</v>
      </c>
      <c r="EV474">
        <f>IFERROR(AVERAGE(Tabel1[[#This Row],[Do - F3a]:[Do - F3b]]),"")</f>
        <v>1.5</v>
      </c>
      <c r="EW474">
        <v>1</v>
      </c>
      <c r="EX474">
        <f>IFERROR(AVERAGE(Tabel1[[#This Row],[Do - F1]],Tabel1[[#This Row],[Do - F2]],Tabel1[[#This Row],[Do - F3]],Tabel1[[#This Row],[Do - F4]]),"")</f>
        <v>1.7083333333333333</v>
      </c>
      <c r="EY474">
        <v>2</v>
      </c>
      <c r="EZ474">
        <v>1</v>
      </c>
      <c r="FA474">
        <v>3</v>
      </c>
      <c r="FB474">
        <f>IFERROR(AVERAGE(Tabel1[[#This Row],[Do - V1a]:[Do - V1c]]),"")</f>
        <v>2</v>
      </c>
      <c r="FC474">
        <v>2</v>
      </c>
      <c r="FD474">
        <v>2</v>
      </c>
      <c r="FE474">
        <f>IFERROR(AVERAGE(Tabel1[[#This Row],[Do - V2a]:[Do - V2b]]),"")</f>
        <v>2</v>
      </c>
      <c r="FF474">
        <v>2</v>
      </c>
      <c r="FG474">
        <f>IFERROR(AVERAGE(Tabel1[[#This Row],[Do - V3a]:[Do - V3a]]),"")</f>
        <v>2</v>
      </c>
      <c r="FH474">
        <v>3</v>
      </c>
      <c r="FI474">
        <f>IFERROR(AVERAGE(Tabel1[[#This Row],[Do - V1]],Tabel1[[#This Row],[Do - V2]],Tabel1[[#This Row],[Do - V3]],Tabel1[[#This Row],[Do - V4]]),"")</f>
        <v>2.25</v>
      </c>
      <c r="FJ474">
        <v>3</v>
      </c>
      <c r="FK474">
        <v>2</v>
      </c>
      <c r="FM474">
        <f>IFERROR(AVERAGE(Tabel1[[#This Row],[Do - A1a]:[Do - A1c]]),"")</f>
        <v>2.5</v>
      </c>
      <c r="FN474">
        <v>2</v>
      </c>
      <c r="FO474">
        <v>1</v>
      </c>
      <c r="FP474">
        <f>IFERROR(AVERAGE(Tabel1[[#This Row],[Do - A2a]:[Do - A2b]]),"")</f>
        <v>1.5</v>
      </c>
      <c r="FQ474">
        <v>3</v>
      </c>
      <c r="FR474">
        <f>IFERROR(AVERAGE(Tabel1[[#This Row],[Do - A3a]:[Do - A3a]]),"")</f>
        <v>3</v>
      </c>
      <c r="FS474" t="s">
        <v>189</v>
      </c>
      <c r="FT474">
        <f>IFERROR(AVERAGE(Tabel1[[#This Row],[Do - A1]],Tabel1[[#This Row],[Do - A2]],Tabel1[[#This Row],[Do - A3]],Tabel1[[#This Row],[Do - A4]]),"")</f>
        <v>2.3333333333333335</v>
      </c>
      <c r="FU47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2.5805555555555557</v>
      </c>
      <c r="FV474" s="31" t="s">
        <v>2312</v>
      </c>
      <c r="FW474" t="b">
        <v>1</v>
      </c>
    </row>
    <row r="475" spans="1:179" x14ac:dyDescent="0.3">
      <c r="A475" s="13">
        <v>45744.6254050926</v>
      </c>
      <c r="B475" t="b">
        <v>0</v>
      </c>
      <c r="C475" t="s">
        <v>2313</v>
      </c>
      <c r="D475" t="s">
        <v>2314</v>
      </c>
      <c r="E475" t="s">
        <v>2315</v>
      </c>
      <c r="F475" s="14" t="s">
        <v>184</v>
      </c>
      <c r="G475" t="s">
        <v>2316</v>
      </c>
      <c r="H475" t="s">
        <v>194</v>
      </c>
      <c r="I475" t="s">
        <v>195</v>
      </c>
      <c r="J475" t="s">
        <v>212</v>
      </c>
      <c r="K475" t="s">
        <v>187</v>
      </c>
      <c r="L475" t="s">
        <v>218</v>
      </c>
      <c r="M475" t="s">
        <v>198</v>
      </c>
      <c r="N475" t="s">
        <v>199</v>
      </c>
      <c r="O475" t="s">
        <v>200</v>
      </c>
      <c r="P475" t="s">
        <v>304</v>
      </c>
      <c r="Q475" t="s">
        <v>235</v>
      </c>
      <c r="R475" t="s">
        <v>187</v>
      </c>
      <c r="S475" t="s">
        <v>187</v>
      </c>
      <c r="T475" t="s">
        <v>284</v>
      </c>
      <c r="U475" t="s">
        <v>285</v>
      </c>
      <c r="V475" t="s">
        <v>206</v>
      </c>
      <c r="W475" t="s">
        <v>207</v>
      </c>
      <c r="X475" t="s">
        <v>207</v>
      </c>
      <c r="Y475">
        <v>4</v>
      </c>
      <c r="Z475">
        <v>3</v>
      </c>
      <c r="AA475">
        <v>1</v>
      </c>
      <c r="AB475">
        <f>IFERROR(AVERAGE(Tabel1[[#This Row],[Up - R1a]:[Up - R1c]]),"")</f>
        <v>2.6666666666666665</v>
      </c>
      <c r="AC475">
        <v>2</v>
      </c>
      <c r="AD475">
        <v>4</v>
      </c>
      <c r="AE475">
        <v>1</v>
      </c>
      <c r="AF475">
        <v>2</v>
      </c>
      <c r="AG475">
        <f>IFERROR(AVERAGE(Tabel1[[#This Row],[Up - R1]:[Up - R5]]),"")</f>
        <v>2.333333333333333</v>
      </c>
      <c r="AH475">
        <v>4</v>
      </c>
      <c r="AI475">
        <v>3</v>
      </c>
      <c r="AJ475">
        <v>2</v>
      </c>
      <c r="AK475">
        <f>IFERROR(AVERAGE(Tabel1[[#This Row],[Up - C1a]:[Up - C1c]]),"")</f>
        <v>3</v>
      </c>
      <c r="AL475">
        <v>4</v>
      </c>
      <c r="AM475">
        <v>2</v>
      </c>
      <c r="AN475">
        <v>2</v>
      </c>
      <c r="AO475">
        <f>IFERROR(AVERAGE(Tabel1[[#This Row],[Up - C1]:[Up - C4]]),"")</f>
        <v>2.75</v>
      </c>
      <c r="AP475">
        <v>2</v>
      </c>
      <c r="AQ475">
        <f>IFERROR(AVERAGE(Tabel1[[#This Row],[Up - F1a]:[Up - F1a]]),"")</f>
        <v>2</v>
      </c>
      <c r="AR475">
        <v>2</v>
      </c>
      <c r="AS475">
        <v>2</v>
      </c>
      <c r="AT475">
        <f>IFERROR(AVERAGE(Tabel1[[#This Row],[Up - F2a]:[Up - F2b]]),"")</f>
        <v>2</v>
      </c>
      <c r="AU475">
        <v>3</v>
      </c>
      <c r="AV475">
        <v>2</v>
      </c>
      <c r="AW475">
        <f>IFERROR(AVERAGE(Tabel1[[#This Row],[Up - F3a]:[Up - F3b]]),"")</f>
        <v>2.5</v>
      </c>
      <c r="AX475">
        <v>3</v>
      </c>
      <c r="AY475">
        <f>IFERROR(AVERAGE(Tabel1[[#This Row],[Up - F1]],Tabel1[[#This Row],[Up - F2]],Tabel1[[#This Row],[Up - F3]],Tabel1[[#This Row],[Up - F4]]),"")</f>
        <v>2.375</v>
      </c>
      <c r="AZ475">
        <v>5</v>
      </c>
      <c r="BA475">
        <v>2</v>
      </c>
      <c r="BB475">
        <f>IFERROR(AVERAGE(Tabel1[[#This Row],[Up - V1a]:[Up - V1b]]),"")</f>
        <v>3.5</v>
      </c>
      <c r="BC475">
        <v>5</v>
      </c>
      <c r="BD475">
        <v>4</v>
      </c>
      <c r="BE475">
        <v>3</v>
      </c>
      <c r="BF475">
        <f>IFERROR(AVERAGE(Tabel1[[#This Row],[Up - V2a]:[Up - V2c]]),"")</f>
        <v>4</v>
      </c>
      <c r="BG475">
        <v>3</v>
      </c>
      <c r="BH475">
        <v>4</v>
      </c>
      <c r="BI475">
        <f>IFERROR(AVERAGE(Tabel1[[#This Row],[Up - V3a]:[Up - V3b]]),"")</f>
        <v>3.5</v>
      </c>
      <c r="BJ475">
        <v>5</v>
      </c>
      <c r="BK475">
        <f>IFERROR(AVERAGE(Tabel1[[#This Row],[Up - V1]],Tabel1[[#This Row],[Up - V2]],Tabel1[[#This Row],[Up - V3]],Tabel1[[#This Row],[Up - V4]]),"")</f>
        <v>4</v>
      </c>
      <c r="BL475">
        <v>2</v>
      </c>
      <c r="BM475">
        <v>4</v>
      </c>
      <c r="BN475">
        <v>1</v>
      </c>
      <c r="BO475">
        <v>2</v>
      </c>
      <c r="BP475">
        <f>IFERROR(AVERAGE(Tabel1[[#This Row],[Up - A1a]:[Up - A1d]]),"")</f>
        <v>2.25</v>
      </c>
      <c r="BQ475">
        <v>2</v>
      </c>
      <c r="BR475">
        <v>2</v>
      </c>
      <c r="BS475">
        <f>IFERROR(AVERAGE(Tabel1[[#This Row],[Up - A2a]:[Up - A2b]]),"")</f>
        <v>2</v>
      </c>
      <c r="BT475">
        <v>2</v>
      </c>
      <c r="BU475">
        <f>IFERROR(AVERAGE(Tabel1[[#This Row],[Up - A3a]:[Up - A3a]]),"")</f>
        <v>2</v>
      </c>
      <c r="BV475">
        <v>3</v>
      </c>
      <c r="BW475">
        <f>IFERROR(AVERAGE(Tabel1[[#This Row],[Up - A1]],Tabel1[[#This Row],[Up - A2]],Tabel1[[#This Row],[Up - A3]]),"")</f>
        <v>2.0833333333333335</v>
      </c>
      <c r="BX475">
        <v>4</v>
      </c>
      <c r="BY475">
        <v>4</v>
      </c>
      <c r="BZ475">
        <f>IFERROR(AVERAGE(Tabel1[[#This Row],[In - R1a]:[In - R1b]]),"")</f>
        <v>4</v>
      </c>
      <c r="CA475">
        <v>5</v>
      </c>
      <c r="CB475">
        <v>5</v>
      </c>
      <c r="CC475">
        <v>3</v>
      </c>
      <c r="CD475">
        <v>5</v>
      </c>
      <c r="CE475">
        <f>IFERROR(AVERAGE(Tabel1[[#This Row],[In - R1]:[In - R5]]),"")</f>
        <v>4.4000000000000004</v>
      </c>
      <c r="CF475">
        <v>5</v>
      </c>
      <c r="CG475">
        <v>4</v>
      </c>
      <c r="CH475">
        <v>5</v>
      </c>
      <c r="CI475">
        <f>IFERROR(AVERAGE(Tabel1[[#This Row],[In - C1a]:[In - C1c]]),"")</f>
        <v>4.666666666666667</v>
      </c>
      <c r="CJ475">
        <v>5</v>
      </c>
      <c r="CK475">
        <v>4</v>
      </c>
      <c r="CL475">
        <v>4</v>
      </c>
      <c r="CM475">
        <f>IFERROR(AVERAGE(Tabel1[[#This Row],[In - C1]:[In - C4]]),"")</f>
        <v>4.416666666666667</v>
      </c>
      <c r="CN475">
        <v>4</v>
      </c>
      <c r="CO475">
        <v>4</v>
      </c>
      <c r="CP475">
        <v>3</v>
      </c>
      <c r="CQ475">
        <f>IFERROR(AVERAGE(Tabel1[[#This Row],[In - F1a]:[In - F1c]]),"")</f>
        <v>3.6666666666666665</v>
      </c>
      <c r="CR475">
        <v>3</v>
      </c>
      <c r="CS475">
        <v>2</v>
      </c>
      <c r="CT475">
        <f>IFERROR(AVERAGE(Tabel1[[#This Row],[In - F2a]:[In - F2b]]),"")</f>
        <v>2.5</v>
      </c>
      <c r="CU475">
        <v>4</v>
      </c>
      <c r="CV475">
        <f>IFERROR(AVERAGE(Tabel1[[#This Row],[In - F3a]:[In - F3a]]),"")</f>
        <v>4</v>
      </c>
      <c r="CW475">
        <v>1</v>
      </c>
      <c r="CX475">
        <f>IFERROR(AVERAGE(Tabel1[[#This Row],[In - F1]],Tabel1[[#This Row],[In - F2]],Tabel1[[#This Row],[In - F3]],Tabel1[[#This Row],[In - F4]]),"")</f>
        <v>2.7916666666666665</v>
      </c>
      <c r="CY475">
        <v>5</v>
      </c>
      <c r="CZ475">
        <v>4</v>
      </c>
      <c r="DA475">
        <v>5</v>
      </c>
      <c r="DB475">
        <f>IFERROR(AVERAGE(Tabel1[[#This Row],[In - V1a]:[In - V1c]]),"")</f>
        <v>4.666666666666667</v>
      </c>
      <c r="DC475">
        <v>5</v>
      </c>
      <c r="DD475">
        <v>5</v>
      </c>
      <c r="DE475">
        <v>3</v>
      </c>
      <c r="DF475">
        <f>IFERROR(AVERAGE(Tabel1[[#This Row],[In - V2a]:[In - V2c]]),"")</f>
        <v>4.333333333333333</v>
      </c>
      <c r="DG475">
        <v>5</v>
      </c>
      <c r="DH475">
        <v>5</v>
      </c>
      <c r="DI475">
        <f>IFERROR(AVERAGE(Tabel1[[#This Row],[In - V3a]:[In - V3b]]),"")</f>
        <v>5</v>
      </c>
      <c r="DJ475">
        <v>5</v>
      </c>
      <c r="DK475">
        <f>IFERROR(AVERAGE(Tabel1[[#This Row],[In - V1]],Tabel1[[#This Row],[In - V2]],Tabel1[[#This Row],[In - V3]],Tabel1[[#This Row],[In - V4]]),"")</f>
        <v>4.75</v>
      </c>
      <c r="DL475">
        <v>5</v>
      </c>
      <c r="DM475">
        <v>5</v>
      </c>
      <c r="DN475">
        <f>IFERROR(AVERAGE(Tabel1[[#This Row],[In - A1a]:[In - A1b]]),"")</f>
        <v>5</v>
      </c>
      <c r="DO475">
        <v>4</v>
      </c>
      <c r="DP475">
        <v>5</v>
      </c>
      <c r="DQ475">
        <f>IFERROR(AVERAGE(Tabel1[[#This Row],[In - A2a]:[In - A2b]]),"")</f>
        <v>4.5</v>
      </c>
      <c r="DR475">
        <v>5</v>
      </c>
      <c r="DS475">
        <v>5</v>
      </c>
      <c r="DT475">
        <f>IFERROR(AVERAGE(Tabel1[[#This Row],[In - A3a]:[In - A3a]]),"")</f>
        <v>5</v>
      </c>
      <c r="DU475">
        <v>2</v>
      </c>
      <c r="DV475">
        <f>IFERROR(AVERAGE(Tabel1[[#This Row],[In - A1]],Tabel1[[#This Row],[In - A2]],Tabel1[[#This Row],[In - A3]],Tabel1[[#This Row],[In - A4]]),"")</f>
        <v>4.125</v>
      </c>
      <c r="DW475">
        <v>2</v>
      </c>
      <c r="DX475">
        <v>5</v>
      </c>
      <c r="DY475">
        <v>1</v>
      </c>
      <c r="DZ475">
        <f>IFERROR(AVERAGE(Tabel1[[#This Row],[Do - R1a]:[Do - R1c]]),"")</f>
        <v>2.6666666666666665</v>
      </c>
      <c r="EA475">
        <v>2</v>
      </c>
      <c r="EB475">
        <v>2</v>
      </c>
      <c r="EC475">
        <v>1</v>
      </c>
      <c r="ED475">
        <v>2</v>
      </c>
      <c r="EE475">
        <f>IFERROR(AVERAGE(Tabel1[[#This Row],[Do - R1]:[Do - R5]]),"")</f>
        <v>1.9333333333333331</v>
      </c>
      <c r="EF475">
        <v>3</v>
      </c>
      <c r="EG475">
        <v>1</v>
      </c>
      <c r="EH475">
        <v>3</v>
      </c>
      <c r="EI475">
        <f>IFERROR(AVERAGE(Tabel1[[#This Row],[Do - C1a]:[Do - C1c]]),"")</f>
        <v>2.3333333333333335</v>
      </c>
      <c r="EJ475">
        <v>3</v>
      </c>
      <c r="EK475">
        <v>1</v>
      </c>
      <c r="EL475">
        <v>1</v>
      </c>
      <c r="EM475">
        <f>IFERROR(AVERAGE(Tabel1[[#This Row],[Do - C1]:[Do - C4]]),"")</f>
        <v>1.8333333333333335</v>
      </c>
      <c r="EN475">
        <v>1</v>
      </c>
      <c r="EO475">
        <v>4</v>
      </c>
      <c r="EP475">
        <v>1</v>
      </c>
      <c r="EQ475">
        <f>IFERROR(AVERAGE(Tabel1[[#This Row],[Do - F1a]:[Do - F1c]]),"")</f>
        <v>2</v>
      </c>
      <c r="ER475">
        <v>2</v>
      </c>
      <c r="ES475">
        <f>IFERROR(AVERAGE(Tabel1[[#This Row],[Do - F2a]:[Do - F2a]]),"")</f>
        <v>2</v>
      </c>
      <c r="ET475">
        <v>2</v>
      </c>
      <c r="EU475">
        <v>4</v>
      </c>
      <c r="EV475">
        <f>IFERROR(AVERAGE(Tabel1[[#This Row],[Do - F3a]:[Do - F3b]]),"")</f>
        <v>3</v>
      </c>
      <c r="EW475">
        <v>1</v>
      </c>
      <c r="EX475">
        <f>IFERROR(AVERAGE(Tabel1[[#This Row],[Do - F1]],Tabel1[[#This Row],[Do - F2]],Tabel1[[#This Row],[Do - F3]],Tabel1[[#This Row],[Do - F4]]),"")</f>
        <v>2</v>
      </c>
      <c r="EY475">
        <v>3</v>
      </c>
      <c r="EZ475">
        <v>2</v>
      </c>
      <c r="FA475">
        <v>2</v>
      </c>
      <c r="FB475">
        <f>IFERROR(AVERAGE(Tabel1[[#This Row],[Do - V1a]:[Do - V1c]]),"")</f>
        <v>2.3333333333333335</v>
      </c>
      <c r="FC475">
        <v>5</v>
      </c>
      <c r="FD475">
        <v>3</v>
      </c>
      <c r="FE475">
        <f>IFERROR(AVERAGE(Tabel1[[#This Row],[Do - V2a]:[Do - V2b]]),"")</f>
        <v>4</v>
      </c>
      <c r="FF475">
        <v>2</v>
      </c>
      <c r="FG475">
        <f>IFERROR(AVERAGE(Tabel1[[#This Row],[Do - V3a]:[Do - V3a]]),"")</f>
        <v>2</v>
      </c>
      <c r="FH475">
        <v>2</v>
      </c>
      <c r="FI475">
        <f>IFERROR(AVERAGE(Tabel1[[#This Row],[Do - V1]],Tabel1[[#This Row],[Do - V2]],Tabel1[[#This Row],[Do - V3]],Tabel1[[#This Row],[Do - V4]]),"")</f>
        <v>2.5833333333333335</v>
      </c>
      <c r="FJ475">
        <v>5</v>
      </c>
      <c r="FK475">
        <v>3</v>
      </c>
      <c r="FL475">
        <v>5</v>
      </c>
      <c r="FM475">
        <f>IFERROR(AVERAGE(Tabel1[[#This Row],[Do - A1a]:[Do - A1c]]),"")</f>
        <v>4.333333333333333</v>
      </c>
      <c r="FN475">
        <v>5</v>
      </c>
      <c r="FO475">
        <v>2</v>
      </c>
      <c r="FP475">
        <f>IFERROR(AVERAGE(Tabel1[[#This Row],[Do - A2a]:[Do - A2b]]),"")</f>
        <v>3.5</v>
      </c>
      <c r="FQ475">
        <v>3</v>
      </c>
      <c r="FR475">
        <f>IFERROR(AVERAGE(Tabel1[[#This Row],[Do - A3a]:[Do - A3a]]),"")</f>
        <v>3</v>
      </c>
      <c r="FS475">
        <v>4</v>
      </c>
      <c r="FT475">
        <f>IFERROR(AVERAGE(Tabel1[[#This Row],[Do - A1]],Tabel1[[#This Row],[Do - A2]],Tabel1[[#This Row],[Do - A3]],Tabel1[[#This Row],[Do - A4]]),"")</f>
        <v>3.708333333333333</v>
      </c>
      <c r="FU47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3.0722222222222229</v>
      </c>
      <c r="FV475" s="31" t="s">
        <v>2317</v>
      </c>
      <c r="FW475" t="b">
        <v>1</v>
      </c>
    </row>
    <row r="476" spans="1:179" x14ac:dyDescent="0.3">
      <c r="A476" s="13">
        <v>45746.863773148201</v>
      </c>
      <c r="B476" t="b">
        <v>0</v>
      </c>
      <c r="C476" t="s">
        <v>1357</v>
      </c>
      <c r="D476" t="s">
        <v>1201</v>
      </c>
      <c r="E476" t="s">
        <v>2216</v>
      </c>
      <c r="F476" s="14" t="s">
        <v>184</v>
      </c>
      <c r="G476" t="s">
        <v>2318</v>
      </c>
      <c r="H476" t="s">
        <v>222</v>
      </c>
      <c r="I476" t="s">
        <v>195</v>
      </c>
      <c r="J476" t="s">
        <v>347</v>
      </c>
      <c r="K476" t="s">
        <v>203</v>
      </c>
      <c r="L476" t="s">
        <v>249</v>
      </c>
      <c r="M476" t="s">
        <v>281</v>
      </c>
      <c r="N476" t="s">
        <v>199</v>
      </c>
      <c r="O476" t="s">
        <v>200</v>
      </c>
      <c r="P476" t="s">
        <v>255</v>
      </c>
      <c r="Q476" t="s">
        <v>203</v>
      </c>
      <c r="R476" t="s">
        <v>202</v>
      </c>
      <c r="S476" t="s">
        <v>203</v>
      </c>
      <c r="T476" t="s">
        <v>204</v>
      </c>
      <c r="U476" t="s">
        <v>349</v>
      </c>
      <c r="V476" t="s">
        <v>224</v>
      </c>
      <c r="W476" t="s">
        <v>207</v>
      </c>
      <c r="X476" t="s">
        <v>306</v>
      </c>
      <c r="Y476">
        <v>2</v>
      </c>
      <c r="Z476">
        <v>3</v>
      </c>
      <c r="AA476">
        <v>2</v>
      </c>
      <c r="AB476">
        <f>IFERROR(AVERAGE(Tabel1[[#This Row],[Up - R1a]:[Up - R1c]]),"")</f>
        <v>2.3333333333333335</v>
      </c>
      <c r="AC476">
        <v>2</v>
      </c>
      <c r="AD476">
        <v>2</v>
      </c>
      <c r="AE476">
        <v>4</v>
      </c>
      <c r="AF476">
        <v>4</v>
      </c>
      <c r="AG476">
        <f>IFERROR(AVERAGE(Tabel1[[#This Row],[Up - R1]:[Up - R5]]),"")</f>
        <v>2.8666666666666667</v>
      </c>
      <c r="AH476">
        <v>2</v>
      </c>
      <c r="AI476">
        <v>3</v>
      </c>
      <c r="AJ476">
        <v>2</v>
      </c>
      <c r="AK476">
        <f>IFERROR(AVERAGE(Tabel1[[#This Row],[Up - C1a]:[Up - C1c]]),"")</f>
        <v>2.3333333333333335</v>
      </c>
      <c r="AL476">
        <v>2</v>
      </c>
      <c r="AM476">
        <v>1</v>
      </c>
      <c r="AN476">
        <v>4</v>
      </c>
      <c r="AO476">
        <f>IFERROR(AVERAGE(Tabel1[[#This Row],[Up - C1]:[Up - C4]]),"")</f>
        <v>2.3333333333333335</v>
      </c>
      <c r="AP476">
        <v>2</v>
      </c>
      <c r="AQ476">
        <f>IFERROR(AVERAGE(Tabel1[[#This Row],[Up - F1a]:[Up - F1a]]),"")</f>
        <v>2</v>
      </c>
      <c r="AR476">
        <v>1</v>
      </c>
      <c r="AS476">
        <v>4</v>
      </c>
      <c r="AT476">
        <f>IFERROR(AVERAGE(Tabel1[[#This Row],[Up - F2a]:[Up - F2b]]),"")</f>
        <v>2.5</v>
      </c>
      <c r="AU476">
        <v>2</v>
      </c>
      <c r="AV476">
        <v>1</v>
      </c>
      <c r="AW476">
        <f>IFERROR(AVERAGE(Tabel1[[#This Row],[Up - F3a]:[Up - F3b]]),"")</f>
        <v>1.5</v>
      </c>
      <c r="AX476">
        <v>3</v>
      </c>
      <c r="AY476">
        <f>IFERROR(AVERAGE(Tabel1[[#This Row],[Up - F1]],Tabel1[[#This Row],[Up - F2]],Tabel1[[#This Row],[Up - F3]],Tabel1[[#This Row],[Up - F4]]),"")</f>
        <v>2.25</v>
      </c>
      <c r="AZ476">
        <v>4</v>
      </c>
      <c r="BA476">
        <v>2</v>
      </c>
      <c r="BB476">
        <f>IFERROR(AVERAGE(Tabel1[[#This Row],[Up - V1a]:[Up - V1b]]),"")</f>
        <v>3</v>
      </c>
      <c r="BC476">
        <v>3</v>
      </c>
      <c r="BD476">
        <v>2</v>
      </c>
      <c r="BE476">
        <v>1</v>
      </c>
      <c r="BF476">
        <f>IFERROR(AVERAGE(Tabel1[[#This Row],[Up - V2a]:[Up - V2c]]),"")</f>
        <v>2</v>
      </c>
      <c r="BG476">
        <v>2</v>
      </c>
      <c r="BH476">
        <v>1</v>
      </c>
      <c r="BI476">
        <f>IFERROR(AVERAGE(Tabel1[[#This Row],[Up - V3a]:[Up - V3b]]),"")</f>
        <v>1.5</v>
      </c>
      <c r="BJ476">
        <v>1</v>
      </c>
      <c r="BK476">
        <f>IFERROR(AVERAGE(Tabel1[[#This Row],[Up - V1]],Tabel1[[#This Row],[Up - V2]],Tabel1[[#This Row],[Up - V3]],Tabel1[[#This Row],[Up - V4]]),"")</f>
        <v>1.875</v>
      </c>
      <c r="BL476">
        <v>2</v>
      </c>
      <c r="BM476">
        <v>4</v>
      </c>
      <c r="BN476">
        <v>4</v>
      </c>
      <c r="BO476">
        <v>3</v>
      </c>
      <c r="BP476">
        <f>IFERROR(AVERAGE(Tabel1[[#This Row],[Up - A1a]:[Up - A1d]]),"")</f>
        <v>3.25</v>
      </c>
      <c r="BQ476">
        <v>2</v>
      </c>
      <c r="BR476">
        <v>2</v>
      </c>
      <c r="BS476">
        <f>IFERROR(AVERAGE(Tabel1[[#This Row],[Up - A2a]:[Up - A2b]]),"")</f>
        <v>2</v>
      </c>
      <c r="BT476">
        <v>4</v>
      </c>
      <c r="BU476">
        <f>IFERROR(AVERAGE(Tabel1[[#This Row],[Up - A3a]:[Up - A3a]]),"")</f>
        <v>4</v>
      </c>
      <c r="BV476">
        <v>2</v>
      </c>
      <c r="BW476">
        <f>IFERROR(AVERAGE(Tabel1[[#This Row],[Up - A1]],Tabel1[[#This Row],[Up - A2]],Tabel1[[#This Row],[Up - A3]]),"")</f>
        <v>3.0833333333333335</v>
      </c>
      <c r="BX476">
        <v>2</v>
      </c>
      <c r="BY476">
        <v>2</v>
      </c>
      <c r="BZ476">
        <f>IFERROR(AVERAGE(Tabel1[[#This Row],[In - R1a]:[In - R1b]]),"")</f>
        <v>2</v>
      </c>
      <c r="CA476">
        <v>2</v>
      </c>
      <c r="CC476">
        <v>3</v>
      </c>
      <c r="CD476" t="s">
        <v>189</v>
      </c>
      <c r="CE476">
        <f>IFERROR(AVERAGE(Tabel1[[#This Row],[In - R1]:[In - R5]]),"")</f>
        <v>2.3333333333333335</v>
      </c>
      <c r="CF476">
        <v>3</v>
      </c>
      <c r="CG476">
        <v>2</v>
      </c>
      <c r="CH476">
        <v>3</v>
      </c>
      <c r="CI476">
        <f>IFERROR(AVERAGE(Tabel1[[#This Row],[In - C1a]:[In - C1c]]),"")</f>
        <v>2.6666666666666665</v>
      </c>
      <c r="CJ476">
        <v>4</v>
      </c>
      <c r="CK476">
        <v>2</v>
      </c>
      <c r="CL476">
        <v>2</v>
      </c>
      <c r="CM476">
        <f>IFERROR(AVERAGE(Tabel1[[#This Row],[In - C1]:[In - C4]]),"")</f>
        <v>2.6666666666666665</v>
      </c>
      <c r="CN476">
        <v>2</v>
      </c>
      <c r="CO476">
        <v>3</v>
      </c>
      <c r="CQ476">
        <f>IFERROR(AVERAGE(Tabel1[[#This Row],[In - F1a]:[In - F1c]]),"")</f>
        <v>2.5</v>
      </c>
      <c r="CR476">
        <v>4</v>
      </c>
      <c r="CS476">
        <v>2</v>
      </c>
      <c r="CT476">
        <f>IFERROR(AVERAGE(Tabel1[[#This Row],[In - F2a]:[In - F2b]]),"")</f>
        <v>3</v>
      </c>
      <c r="CU476">
        <v>2</v>
      </c>
      <c r="CV476">
        <f>IFERROR(AVERAGE(Tabel1[[#This Row],[In - F3a]:[In - F3a]]),"")</f>
        <v>2</v>
      </c>
      <c r="CW476">
        <v>1</v>
      </c>
      <c r="CX476">
        <f>IFERROR(AVERAGE(Tabel1[[#This Row],[In - F1]],Tabel1[[#This Row],[In - F2]],Tabel1[[#This Row],[In - F3]],Tabel1[[#This Row],[In - F4]]),"")</f>
        <v>2.125</v>
      </c>
      <c r="CY476">
        <v>3</v>
      </c>
      <c r="CZ476">
        <v>2</v>
      </c>
      <c r="DA476">
        <v>3</v>
      </c>
      <c r="DB476">
        <f>IFERROR(AVERAGE(Tabel1[[#This Row],[In - V1a]:[In - V1c]]),"")</f>
        <v>2.6666666666666665</v>
      </c>
      <c r="DC476">
        <v>2</v>
      </c>
      <c r="DD476">
        <v>2</v>
      </c>
      <c r="DE476">
        <v>1</v>
      </c>
      <c r="DF476">
        <f>IFERROR(AVERAGE(Tabel1[[#This Row],[In - V2a]:[In - V2c]]),"")</f>
        <v>1.6666666666666667</v>
      </c>
      <c r="DG476">
        <v>2</v>
      </c>
      <c r="DH476">
        <v>1</v>
      </c>
      <c r="DI476">
        <f>IFERROR(AVERAGE(Tabel1[[#This Row],[In - V3a]:[In - V3b]]),"")</f>
        <v>1.5</v>
      </c>
      <c r="DJ476">
        <v>1</v>
      </c>
      <c r="DK476">
        <f>IFERROR(AVERAGE(Tabel1[[#This Row],[In - V1]],Tabel1[[#This Row],[In - V2]],Tabel1[[#This Row],[In - V3]],Tabel1[[#This Row],[In - V4]]),"")</f>
        <v>1.7083333333333333</v>
      </c>
      <c r="DL476">
        <v>2</v>
      </c>
      <c r="DM476">
        <v>2</v>
      </c>
      <c r="DN476">
        <f>IFERROR(AVERAGE(Tabel1[[#This Row],[In - A1a]:[In - A1b]]),"")</f>
        <v>2</v>
      </c>
      <c r="DO476">
        <v>2</v>
      </c>
      <c r="DP476">
        <v>2</v>
      </c>
      <c r="DQ476">
        <f>IFERROR(AVERAGE(Tabel1[[#This Row],[In - A2a]:[In - A2b]]),"")</f>
        <v>2</v>
      </c>
      <c r="DR476">
        <v>3</v>
      </c>
      <c r="DS476">
        <v>2</v>
      </c>
      <c r="DT476">
        <f>IFERROR(AVERAGE(Tabel1[[#This Row],[In - A3a]:[In - A3a]]),"")</f>
        <v>3</v>
      </c>
      <c r="DU476">
        <v>2</v>
      </c>
      <c r="DV476">
        <f>IFERROR(AVERAGE(Tabel1[[#This Row],[In - A1]],Tabel1[[#This Row],[In - A2]],Tabel1[[#This Row],[In - A3]],Tabel1[[#This Row],[In - A4]]),"")</f>
        <v>2.25</v>
      </c>
      <c r="DW476">
        <v>2</v>
      </c>
      <c r="DX476">
        <v>2</v>
      </c>
      <c r="DY476">
        <v>2</v>
      </c>
      <c r="DZ476">
        <f>IFERROR(AVERAGE(Tabel1[[#This Row],[Do - R1a]:[Do - R1c]]),"")</f>
        <v>2</v>
      </c>
      <c r="EA476">
        <v>4</v>
      </c>
      <c r="EC476">
        <v>3</v>
      </c>
      <c r="ED476" t="s">
        <v>189</v>
      </c>
      <c r="EE476">
        <f>IFERROR(AVERAGE(Tabel1[[#This Row],[Do - R1]:[Do - R5]]),"")</f>
        <v>3</v>
      </c>
      <c r="EF476">
        <v>3</v>
      </c>
      <c r="EG476">
        <v>2</v>
      </c>
      <c r="EH476">
        <v>3</v>
      </c>
      <c r="EI476">
        <f>IFERROR(AVERAGE(Tabel1[[#This Row],[Do - C1a]:[Do - C1c]]),"")</f>
        <v>2.6666666666666665</v>
      </c>
      <c r="EJ476">
        <v>4</v>
      </c>
      <c r="EK476">
        <v>1</v>
      </c>
      <c r="EL476">
        <v>4</v>
      </c>
      <c r="EM476">
        <f>IFERROR(AVERAGE(Tabel1[[#This Row],[Do - C1]:[Do - C4]]),"")</f>
        <v>2.9166666666666665</v>
      </c>
      <c r="EN476">
        <v>1</v>
      </c>
      <c r="EO476">
        <v>2</v>
      </c>
      <c r="EQ476">
        <f>IFERROR(AVERAGE(Tabel1[[#This Row],[Do - F1a]:[Do - F1c]]),"")</f>
        <v>1.5</v>
      </c>
      <c r="ER476">
        <v>4</v>
      </c>
      <c r="ES476">
        <f>IFERROR(AVERAGE(Tabel1[[#This Row],[Do - F2a]:[Do - F2a]]),"")</f>
        <v>4</v>
      </c>
      <c r="ET476">
        <v>1</v>
      </c>
      <c r="EU476">
        <v>1</v>
      </c>
      <c r="EV476">
        <f>IFERROR(AVERAGE(Tabel1[[#This Row],[Do - F3a]:[Do - F3b]]),"")</f>
        <v>1</v>
      </c>
      <c r="EW476">
        <v>2</v>
      </c>
      <c r="EX476">
        <f>IFERROR(AVERAGE(Tabel1[[#This Row],[Do - F1]],Tabel1[[#This Row],[Do - F2]],Tabel1[[#This Row],[Do - F3]],Tabel1[[#This Row],[Do - F4]]),"")</f>
        <v>2.125</v>
      </c>
      <c r="EY476">
        <v>3</v>
      </c>
      <c r="EZ476">
        <v>3</v>
      </c>
      <c r="FA476">
        <v>3</v>
      </c>
      <c r="FB476">
        <f>IFERROR(AVERAGE(Tabel1[[#This Row],[Do - V1a]:[Do - V1c]]),"")</f>
        <v>3</v>
      </c>
      <c r="FC476">
        <v>3</v>
      </c>
      <c r="FD476">
        <v>2</v>
      </c>
      <c r="FE476">
        <f>IFERROR(AVERAGE(Tabel1[[#This Row],[Do - V2a]:[Do - V2b]]),"")</f>
        <v>2.5</v>
      </c>
      <c r="FF476">
        <v>1</v>
      </c>
      <c r="FG476">
        <f>IFERROR(AVERAGE(Tabel1[[#This Row],[Do - V3a]:[Do - V3a]]),"")</f>
        <v>1</v>
      </c>
      <c r="FH476">
        <v>1</v>
      </c>
      <c r="FI476">
        <f>IFERROR(AVERAGE(Tabel1[[#This Row],[Do - V1]],Tabel1[[#This Row],[Do - V2]],Tabel1[[#This Row],[Do - V3]],Tabel1[[#This Row],[Do - V4]]),"")</f>
        <v>1.875</v>
      </c>
      <c r="FJ476">
        <v>2</v>
      </c>
      <c r="FK476">
        <v>1</v>
      </c>
      <c r="FL476">
        <v>4</v>
      </c>
      <c r="FM476">
        <f>IFERROR(AVERAGE(Tabel1[[#This Row],[Do - A1a]:[Do - A1c]]),"")</f>
        <v>2.3333333333333335</v>
      </c>
      <c r="FN476">
        <v>4</v>
      </c>
      <c r="FO476">
        <v>2</v>
      </c>
      <c r="FP476">
        <f>IFERROR(AVERAGE(Tabel1[[#This Row],[Do - A2a]:[Do - A2b]]),"")</f>
        <v>3</v>
      </c>
      <c r="FQ476">
        <v>3</v>
      </c>
      <c r="FR476">
        <f>IFERROR(AVERAGE(Tabel1[[#This Row],[Do - A3a]:[Do - A3a]]),"")</f>
        <v>3</v>
      </c>
      <c r="FS476">
        <v>2</v>
      </c>
      <c r="FT476">
        <f>IFERROR(AVERAGE(Tabel1[[#This Row],[Do - A1]],Tabel1[[#This Row],[Do - A2]],Tabel1[[#This Row],[Do - A3]],Tabel1[[#This Row],[Do - A4]]),"")</f>
        <v>2.5833333333333335</v>
      </c>
      <c r="FU47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2.3994444444444443</v>
      </c>
      <c r="FV476" s="31" t="s">
        <v>2319</v>
      </c>
      <c r="FW476" t="b">
        <v>1</v>
      </c>
    </row>
    <row r="477" spans="1:179" x14ac:dyDescent="0.3">
      <c r="A477" s="13">
        <v>45747.284039351798</v>
      </c>
      <c r="B477" t="b">
        <v>0</v>
      </c>
      <c r="C477" t="s">
        <v>2320</v>
      </c>
      <c r="D477" t="s">
        <v>2321</v>
      </c>
      <c r="E477" t="s">
        <v>2322</v>
      </c>
      <c r="F477" s="14" t="s">
        <v>2323</v>
      </c>
      <c r="G477" t="s">
        <v>2324</v>
      </c>
      <c r="H477" t="s">
        <v>194</v>
      </c>
      <c r="I477" t="s">
        <v>243</v>
      </c>
      <c r="J477" t="s">
        <v>244</v>
      </c>
      <c r="K477" t="s">
        <v>187</v>
      </c>
      <c r="L477" t="s">
        <v>197</v>
      </c>
      <c r="M477" t="s">
        <v>233</v>
      </c>
      <c r="N477" t="s">
        <v>331</v>
      </c>
      <c r="O477" t="s">
        <v>256</v>
      </c>
      <c r="P477" t="s">
        <v>255</v>
      </c>
      <c r="Q477" t="s">
        <v>235</v>
      </c>
      <c r="R477" t="s">
        <v>187</v>
      </c>
      <c r="S477" t="s">
        <v>187</v>
      </c>
      <c r="T477" t="s">
        <v>284</v>
      </c>
      <c r="U477" t="s">
        <v>205</v>
      </c>
      <c r="V477" t="s">
        <v>359</v>
      </c>
      <c r="W477" t="s">
        <v>306</v>
      </c>
      <c r="X477" t="s">
        <v>306</v>
      </c>
      <c r="Y477">
        <v>5</v>
      </c>
      <c r="Z477">
        <v>4</v>
      </c>
      <c r="AA477">
        <v>2</v>
      </c>
      <c r="AB477">
        <f>IFERROR(AVERAGE(Tabel1[[#This Row],[Up - R1a]:[Up - R1c]]),"")</f>
        <v>3.6666666666666665</v>
      </c>
      <c r="AC477">
        <v>3</v>
      </c>
      <c r="AD477">
        <v>5</v>
      </c>
      <c r="AE477">
        <v>3</v>
      </c>
      <c r="AF477">
        <v>3</v>
      </c>
      <c r="AG477">
        <f>IFERROR(AVERAGE(Tabel1[[#This Row],[Up - R1]:[Up - R5]]),"")</f>
        <v>3.5333333333333328</v>
      </c>
      <c r="AH477">
        <v>5</v>
      </c>
      <c r="AI477">
        <v>2</v>
      </c>
      <c r="AJ477">
        <v>5</v>
      </c>
      <c r="AK477">
        <f>IFERROR(AVERAGE(Tabel1[[#This Row],[Up - C1a]:[Up - C1c]]),"")</f>
        <v>4</v>
      </c>
      <c r="AL477">
        <v>3</v>
      </c>
      <c r="AM477">
        <v>1</v>
      </c>
      <c r="AN477">
        <v>3</v>
      </c>
      <c r="AO477">
        <f>IFERROR(AVERAGE(Tabel1[[#This Row],[Up - C1]:[Up - C4]]),"")</f>
        <v>2.75</v>
      </c>
      <c r="AP477">
        <v>2</v>
      </c>
      <c r="AQ477">
        <f>IFERROR(AVERAGE(Tabel1[[#This Row],[Up - F1a]:[Up - F1a]]),"")</f>
        <v>2</v>
      </c>
      <c r="AR477">
        <v>5</v>
      </c>
      <c r="AS477">
        <v>5</v>
      </c>
      <c r="AT477">
        <f>IFERROR(AVERAGE(Tabel1[[#This Row],[Up - F2a]:[Up - F2b]]),"")</f>
        <v>5</v>
      </c>
      <c r="AU477">
        <v>5</v>
      </c>
      <c r="AV477">
        <v>5</v>
      </c>
      <c r="AW477">
        <f>IFERROR(AVERAGE(Tabel1[[#This Row],[Up - F3a]:[Up - F3b]]),"")</f>
        <v>5</v>
      </c>
      <c r="AX477">
        <v>4</v>
      </c>
      <c r="AY477">
        <f>IFERROR(AVERAGE(Tabel1[[#This Row],[Up - F1]],Tabel1[[#This Row],[Up - F2]],Tabel1[[#This Row],[Up - F3]],Tabel1[[#This Row],[Up - F4]]),"")</f>
        <v>4</v>
      </c>
      <c r="AZ477">
        <v>3</v>
      </c>
      <c r="BB477">
        <f>IFERROR(AVERAGE(Tabel1[[#This Row],[Up - V1a]:[Up - V1b]]),"")</f>
        <v>3</v>
      </c>
      <c r="BC477">
        <v>5</v>
      </c>
      <c r="BD477">
        <v>5</v>
      </c>
      <c r="BE477">
        <v>5</v>
      </c>
      <c r="BF477">
        <f>IFERROR(AVERAGE(Tabel1[[#This Row],[Up - V2a]:[Up - V2c]]),"")</f>
        <v>5</v>
      </c>
      <c r="BG477">
        <v>5</v>
      </c>
      <c r="BH477">
        <v>1</v>
      </c>
      <c r="BI477">
        <f>IFERROR(AVERAGE(Tabel1[[#This Row],[Up - V3a]:[Up - V3b]]),"")</f>
        <v>3</v>
      </c>
      <c r="BJ477">
        <v>1</v>
      </c>
      <c r="BK477">
        <f>IFERROR(AVERAGE(Tabel1[[#This Row],[Up - V1]],Tabel1[[#This Row],[Up - V2]],Tabel1[[#This Row],[Up - V3]],Tabel1[[#This Row],[Up - V4]]),"")</f>
        <v>3</v>
      </c>
      <c r="BL477">
        <v>5</v>
      </c>
      <c r="BM477">
        <v>5</v>
      </c>
      <c r="BN477">
        <v>2</v>
      </c>
      <c r="BO477">
        <v>2</v>
      </c>
      <c r="BP477">
        <f>IFERROR(AVERAGE(Tabel1[[#This Row],[Up - A1a]:[Up - A1d]]),"")</f>
        <v>3.5</v>
      </c>
      <c r="BQ477">
        <v>5</v>
      </c>
      <c r="BR477">
        <v>3</v>
      </c>
      <c r="BS477">
        <f>IFERROR(AVERAGE(Tabel1[[#This Row],[Up - A2a]:[Up - A2b]]),"")</f>
        <v>4</v>
      </c>
      <c r="BT477">
        <v>4</v>
      </c>
      <c r="BU477">
        <f>IFERROR(AVERAGE(Tabel1[[#This Row],[Up - A3a]:[Up - A3a]]),"")</f>
        <v>4</v>
      </c>
      <c r="BV477">
        <v>4</v>
      </c>
      <c r="BW477">
        <f>IFERROR(AVERAGE(Tabel1[[#This Row],[Up - A1]],Tabel1[[#This Row],[Up - A2]],Tabel1[[#This Row],[Up - A3]]),"")</f>
        <v>3.8333333333333335</v>
      </c>
      <c r="BZ477" t="str">
        <f>IFERROR(AVERAGE(Tabel1[[#This Row],[In - R1a]:[In - R1b]]),"")</f>
        <v/>
      </c>
      <c r="CE477" t="str">
        <f>IFERROR(AVERAGE(Tabel1[[#This Row],[In - R1]:[In - R5]]),"")</f>
        <v/>
      </c>
      <c r="CF477">
        <v>5</v>
      </c>
      <c r="CG477">
        <v>5</v>
      </c>
      <c r="CH477">
        <v>4</v>
      </c>
      <c r="CI477">
        <f>IFERROR(AVERAGE(Tabel1[[#This Row],[In - C1a]:[In - C1c]]),"")</f>
        <v>4.666666666666667</v>
      </c>
      <c r="CJ477">
        <v>3</v>
      </c>
      <c r="CK477">
        <v>5</v>
      </c>
      <c r="CL477">
        <v>1</v>
      </c>
      <c r="CM477">
        <f>IFERROR(AVERAGE(Tabel1[[#This Row],[In - C1]:[In - C4]]),"")</f>
        <v>3.416666666666667</v>
      </c>
      <c r="CN477">
        <v>3</v>
      </c>
      <c r="CO477">
        <v>1</v>
      </c>
      <c r="CP477">
        <v>1</v>
      </c>
      <c r="CQ477">
        <f>IFERROR(AVERAGE(Tabel1[[#This Row],[In - F1a]:[In - F1c]]),"")</f>
        <v>1.6666666666666667</v>
      </c>
      <c r="CR477">
        <v>1</v>
      </c>
      <c r="CS477">
        <v>3</v>
      </c>
      <c r="CT477">
        <f>IFERROR(AVERAGE(Tabel1[[#This Row],[In - F2a]:[In - F2b]]),"")</f>
        <v>2</v>
      </c>
      <c r="CU477">
        <v>1</v>
      </c>
      <c r="CV477">
        <f>IFERROR(AVERAGE(Tabel1[[#This Row],[In - F3a]:[In - F3a]]),"")</f>
        <v>1</v>
      </c>
      <c r="CW477">
        <v>5</v>
      </c>
      <c r="CX477">
        <f>IFERROR(AVERAGE(Tabel1[[#This Row],[In - F1]],Tabel1[[#This Row],[In - F2]],Tabel1[[#This Row],[In - F3]],Tabel1[[#This Row],[In - F4]]),"")</f>
        <v>2.416666666666667</v>
      </c>
      <c r="CY477">
        <v>5</v>
      </c>
      <c r="CZ477">
        <v>5</v>
      </c>
      <c r="DA477">
        <v>1</v>
      </c>
      <c r="DB477">
        <f>IFERROR(AVERAGE(Tabel1[[#This Row],[In - V1a]:[In - V1c]]),"")</f>
        <v>3.6666666666666665</v>
      </c>
      <c r="DC477">
        <v>5</v>
      </c>
      <c r="DD477">
        <v>5</v>
      </c>
      <c r="DE477">
        <v>5</v>
      </c>
      <c r="DF477">
        <f>IFERROR(AVERAGE(Tabel1[[#This Row],[In - V2a]:[In - V2c]]),"")</f>
        <v>5</v>
      </c>
      <c r="DG477">
        <v>5</v>
      </c>
      <c r="DH477">
        <v>3</v>
      </c>
      <c r="DI477">
        <f>IFERROR(AVERAGE(Tabel1[[#This Row],[In - V3a]:[In - V3b]]),"")</f>
        <v>4</v>
      </c>
      <c r="DJ477">
        <v>5</v>
      </c>
      <c r="DK477">
        <f>IFERROR(AVERAGE(Tabel1[[#This Row],[In - V1]],Tabel1[[#This Row],[In - V2]],Tabel1[[#This Row],[In - V3]],Tabel1[[#This Row],[In - V4]]),"")</f>
        <v>4.4166666666666661</v>
      </c>
      <c r="DL477">
        <v>4</v>
      </c>
      <c r="DN477">
        <f>IFERROR(AVERAGE(Tabel1[[#This Row],[In - A1a]:[In - A1b]]),"")</f>
        <v>4</v>
      </c>
      <c r="DP477">
        <v>5</v>
      </c>
      <c r="DQ477">
        <f>IFERROR(AVERAGE(Tabel1[[#This Row],[In - A2a]:[In - A2b]]),"")</f>
        <v>5</v>
      </c>
      <c r="DR477">
        <v>5</v>
      </c>
      <c r="DS477">
        <v>5</v>
      </c>
      <c r="DT477">
        <f>IFERROR(AVERAGE(Tabel1[[#This Row],[In - A3a]:[In - A3a]]),"")</f>
        <v>5</v>
      </c>
      <c r="DU477">
        <v>3</v>
      </c>
      <c r="DV477">
        <f>IFERROR(AVERAGE(Tabel1[[#This Row],[In - A1]],Tabel1[[#This Row],[In - A2]],Tabel1[[#This Row],[In - A3]],Tabel1[[#This Row],[In - A4]]),"")</f>
        <v>4.25</v>
      </c>
      <c r="DW477">
        <v>5</v>
      </c>
      <c r="DX477">
        <v>5</v>
      </c>
      <c r="DY477">
        <v>5</v>
      </c>
      <c r="DZ477">
        <f>IFERROR(AVERAGE(Tabel1[[#This Row],[Do - R1a]:[Do - R1c]]),"")</f>
        <v>5</v>
      </c>
      <c r="EA477">
        <v>1</v>
      </c>
      <c r="EC477">
        <v>1</v>
      </c>
      <c r="ED477">
        <v>1</v>
      </c>
      <c r="EE477">
        <f>IFERROR(AVERAGE(Tabel1[[#This Row],[Do - R1]:[Do - R5]]),"")</f>
        <v>2</v>
      </c>
      <c r="EI477" t="str">
        <f>IFERROR(AVERAGE(Tabel1[[#This Row],[Do - C1a]:[Do - C1c]]),"")</f>
        <v/>
      </c>
      <c r="EK477">
        <v>3</v>
      </c>
      <c r="EM477">
        <f>IFERROR(AVERAGE(Tabel1[[#This Row],[Do - C1]:[Do - C4]]),"")</f>
        <v>3</v>
      </c>
      <c r="EN477">
        <v>1</v>
      </c>
      <c r="EO477">
        <v>1</v>
      </c>
      <c r="EP477">
        <v>4</v>
      </c>
      <c r="EQ477">
        <f>IFERROR(AVERAGE(Tabel1[[#This Row],[Do - F1a]:[Do - F1c]]),"")</f>
        <v>2</v>
      </c>
      <c r="ES477" t="str">
        <f>IFERROR(AVERAGE(Tabel1[[#This Row],[Do - F2a]:[Do - F2a]]),"")</f>
        <v/>
      </c>
      <c r="ET477">
        <v>1</v>
      </c>
      <c r="EU477">
        <v>4</v>
      </c>
      <c r="EV477">
        <f>IFERROR(AVERAGE(Tabel1[[#This Row],[Do - F3a]:[Do - F3b]]),"")</f>
        <v>2.5</v>
      </c>
      <c r="EW477">
        <v>2</v>
      </c>
      <c r="EX477">
        <f>IFERROR(AVERAGE(Tabel1[[#This Row],[Do - F1]],Tabel1[[#This Row],[Do - F2]],Tabel1[[#This Row],[Do - F3]],Tabel1[[#This Row],[Do - F4]]),"")</f>
        <v>2.1666666666666665</v>
      </c>
      <c r="EY477">
        <v>5</v>
      </c>
      <c r="EZ477">
        <v>4</v>
      </c>
      <c r="FA477">
        <v>1</v>
      </c>
      <c r="FB477">
        <f>IFERROR(AVERAGE(Tabel1[[#This Row],[Do - V1a]:[Do - V1c]]),"")</f>
        <v>3.3333333333333335</v>
      </c>
      <c r="FC477">
        <v>3</v>
      </c>
      <c r="FD477">
        <v>5</v>
      </c>
      <c r="FE477">
        <f>IFERROR(AVERAGE(Tabel1[[#This Row],[Do - V2a]:[Do - V2b]]),"")</f>
        <v>4</v>
      </c>
      <c r="FF477">
        <v>5</v>
      </c>
      <c r="FG477">
        <f>IFERROR(AVERAGE(Tabel1[[#This Row],[Do - V3a]:[Do - V3a]]),"")</f>
        <v>5</v>
      </c>
      <c r="FI477">
        <f>IFERROR(AVERAGE(Tabel1[[#This Row],[Do - V1]],Tabel1[[#This Row],[Do - V2]],Tabel1[[#This Row],[Do - V3]],Tabel1[[#This Row],[Do - V4]]),"")</f>
        <v>4.1111111111111116</v>
      </c>
      <c r="FJ477">
        <v>5</v>
      </c>
      <c r="FK477">
        <v>5</v>
      </c>
      <c r="FL477">
        <v>4</v>
      </c>
      <c r="FM477">
        <f>IFERROR(AVERAGE(Tabel1[[#This Row],[Do - A1a]:[Do - A1c]]),"")</f>
        <v>4.666666666666667</v>
      </c>
      <c r="FN477">
        <v>3</v>
      </c>
      <c r="FO477">
        <v>1</v>
      </c>
      <c r="FP477">
        <f>IFERROR(AVERAGE(Tabel1[[#This Row],[Do - A2a]:[Do - A2b]]),"")</f>
        <v>2</v>
      </c>
      <c r="FQ477">
        <v>4</v>
      </c>
      <c r="FR477">
        <f>IFERROR(AVERAGE(Tabel1[[#This Row],[Do - A3a]:[Do - A3a]]),"")</f>
        <v>4</v>
      </c>
      <c r="FS477">
        <v>5</v>
      </c>
      <c r="FT477">
        <f>IFERROR(AVERAGE(Tabel1[[#This Row],[Do - A1]],Tabel1[[#This Row],[Do - A2]],Tabel1[[#This Row],[Do - A3]],Tabel1[[#This Row],[Do - A4]]),"")</f>
        <v>3.916666666666667</v>
      </c>
      <c r="FU47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3.3436507936507938</v>
      </c>
      <c r="FV477" s="31" t="s">
        <v>2325</v>
      </c>
      <c r="FW477" t="b">
        <v>1</v>
      </c>
    </row>
    <row r="478" spans="1:179" x14ac:dyDescent="0.3">
      <c r="A478" s="13">
        <v>45747.645810185197</v>
      </c>
      <c r="B478" t="b">
        <v>0</v>
      </c>
      <c r="C478" t="s">
        <v>2326</v>
      </c>
      <c r="D478" t="s">
        <v>1297</v>
      </c>
      <c r="E478" t="s">
        <v>2327</v>
      </c>
      <c r="F478" s="14" t="s">
        <v>184</v>
      </c>
      <c r="G478" t="s">
        <v>2328</v>
      </c>
      <c r="H478" t="s">
        <v>222</v>
      </c>
      <c r="I478" t="s">
        <v>195</v>
      </c>
      <c r="J478" t="s">
        <v>1785</v>
      </c>
      <c r="K478" t="s">
        <v>201</v>
      </c>
      <c r="L478" t="s">
        <v>249</v>
      </c>
      <c r="M478" t="s">
        <v>198</v>
      </c>
      <c r="N478" t="s">
        <v>199</v>
      </c>
      <c r="O478" t="s">
        <v>200</v>
      </c>
      <c r="P478" t="s">
        <v>255</v>
      </c>
      <c r="Q478" t="s">
        <v>255</v>
      </c>
      <c r="R478" t="s">
        <v>235</v>
      </c>
      <c r="S478" t="s">
        <v>201</v>
      </c>
      <c r="T478" t="s">
        <v>204</v>
      </c>
      <c r="U478" t="s">
        <v>349</v>
      </c>
      <c r="V478" t="s">
        <v>224</v>
      </c>
      <c r="W478" t="s">
        <v>305</v>
      </c>
      <c r="X478" t="s">
        <v>207</v>
      </c>
      <c r="Y478">
        <v>2</v>
      </c>
      <c r="Z478">
        <v>1</v>
      </c>
      <c r="AA478">
        <v>3</v>
      </c>
      <c r="AB478">
        <f>IFERROR(AVERAGE(Tabel1[[#This Row],[Up - R1a]:[Up - R1c]]),"")</f>
        <v>2</v>
      </c>
      <c r="AC478">
        <v>2</v>
      </c>
      <c r="AD478">
        <v>3</v>
      </c>
      <c r="AE478">
        <v>2</v>
      </c>
      <c r="AF478">
        <v>3</v>
      </c>
      <c r="AG478">
        <f>IFERROR(AVERAGE(Tabel1[[#This Row],[Up - R1]:[Up - R5]]),"")</f>
        <v>2.4</v>
      </c>
      <c r="AH478">
        <v>5</v>
      </c>
      <c r="AI478">
        <v>5</v>
      </c>
      <c r="AJ478">
        <v>5</v>
      </c>
      <c r="AK478">
        <f>IFERROR(AVERAGE(Tabel1[[#This Row],[Up - C1a]:[Up - C1c]]),"")</f>
        <v>5</v>
      </c>
      <c r="AL478">
        <v>5</v>
      </c>
      <c r="AM478">
        <v>2</v>
      </c>
      <c r="AN478">
        <v>4</v>
      </c>
      <c r="AO478">
        <f>IFERROR(AVERAGE(Tabel1[[#This Row],[Up - C1]:[Up - C4]]),"")</f>
        <v>4</v>
      </c>
      <c r="AP478">
        <v>3</v>
      </c>
      <c r="AQ478">
        <f>IFERROR(AVERAGE(Tabel1[[#This Row],[Up - F1a]:[Up - F1a]]),"")</f>
        <v>3</v>
      </c>
      <c r="AR478">
        <v>4</v>
      </c>
      <c r="AS478">
        <v>5</v>
      </c>
      <c r="AT478">
        <f>IFERROR(AVERAGE(Tabel1[[#This Row],[Up - F2a]:[Up - F2b]]),"")</f>
        <v>4.5</v>
      </c>
      <c r="AU478">
        <v>3</v>
      </c>
      <c r="AV478">
        <v>2</v>
      </c>
      <c r="AW478">
        <f>IFERROR(AVERAGE(Tabel1[[#This Row],[Up - F3a]:[Up - F3b]]),"")</f>
        <v>2.5</v>
      </c>
      <c r="AX478">
        <v>1</v>
      </c>
      <c r="AY478">
        <f>IFERROR(AVERAGE(Tabel1[[#This Row],[Up - F1]],Tabel1[[#This Row],[Up - F2]],Tabel1[[#This Row],[Up - F3]],Tabel1[[#This Row],[Up - F4]]),"")</f>
        <v>2.75</v>
      </c>
      <c r="AZ478">
        <v>5</v>
      </c>
      <c r="BA478">
        <v>3</v>
      </c>
      <c r="BB478">
        <f>IFERROR(AVERAGE(Tabel1[[#This Row],[Up - V1a]:[Up - V1b]]),"")</f>
        <v>4</v>
      </c>
      <c r="BC478">
        <v>2</v>
      </c>
      <c r="BD478">
        <v>2</v>
      </c>
      <c r="BE478">
        <v>5</v>
      </c>
      <c r="BF478">
        <f>IFERROR(AVERAGE(Tabel1[[#This Row],[Up - V2a]:[Up - V2c]]),"")</f>
        <v>3</v>
      </c>
      <c r="BG478">
        <v>2</v>
      </c>
      <c r="BH478">
        <v>1</v>
      </c>
      <c r="BI478">
        <f>IFERROR(AVERAGE(Tabel1[[#This Row],[Up - V3a]:[Up - V3b]]),"")</f>
        <v>1.5</v>
      </c>
      <c r="BJ478">
        <v>3</v>
      </c>
      <c r="BK478">
        <f>IFERROR(AVERAGE(Tabel1[[#This Row],[Up - V1]],Tabel1[[#This Row],[Up - V2]],Tabel1[[#This Row],[Up - V3]],Tabel1[[#This Row],[Up - V4]]),"")</f>
        <v>2.875</v>
      </c>
      <c r="BL478">
        <v>3</v>
      </c>
      <c r="BM478">
        <v>3</v>
      </c>
      <c r="BN478">
        <v>3</v>
      </c>
      <c r="BO478">
        <v>4</v>
      </c>
      <c r="BP478">
        <f>IFERROR(AVERAGE(Tabel1[[#This Row],[Up - A1a]:[Up - A1d]]),"")</f>
        <v>3.25</v>
      </c>
      <c r="BQ478">
        <v>4</v>
      </c>
      <c r="BR478">
        <v>3</v>
      </c>
      <c r="BS478">
        <f>IFERROR(AVERAGE(Tabel1[[#This Row],[Up - A2a]:[Up - A2b]]),"")</f>
        <v>3.5</v>
      </c>
      <c r="BT478">
        <v>5</v>
      </c>
      <c r="BU478">
        <f>IFERROR(AVERAGE(Tabel1[[#This Row],[Up - A3a]:[Up - A3a]]),"")</f>
        <v>5</v>
      </c>
      <c r="BV478">
        <v>2</v>
      </c>
      <c r="BW478">
        <f>IFERROR(AVERAGE(Tabel1[[#This Row],[Up - A1]],Tabel1[[#This Row],[Up - A2]],Tabel1[[#This Row],[Up - A3]]),"")</f>
        <v>3.9166666666666665</v>
      </c>
      <c r="BX478">
        <v>1</v>
      </c>
      <c r="BY478">
        <v>1</v>
      </c>
      <c r="BZ478">
        <f>IFERROR(AVERAGE(Tabel1[[#This Row],[In - R1a]:[In - R1b]]),"")</f>
        <v>1</v>
      </c>
      <c r="CA478">
        <v>5</v>
      </c>
      <c r="CB478">
        <v>1</v>
      </c>
      <c r="CC478">
        <v>2</v>
      </c>
      <c r="CD478">
        <v>5</v>
      </c>
      <c r="CE478">
        <f>IFERROR(AVERAGE(Tabel1[[#This Row],[In - R1]:[In - R5]]),"")</f>
        <v>2.8</v>
      </c>
      <c r="CF478">
        <v>5</v>
      </c>
      <c r="CG478">
        <v>1</v>
      </c>
      <c r="CH478">
        <v>3</v>
      </c>
      <c r="CI478">
        <f>IFERROR(AVERAGE(Tabel1[[#This Row],[In - C1a]:[In - C1c]]),"")</f>
        <v>3</v>
      </c>
      <c r="CJ478">
        <v>3</v>
      </c>
      <c r="CK478">
        <v>2</v>
      </c>
      <c r="CL478">
        <v>4</v>
      </c>
      <c r="CM478">
        <f>IFERROR(AVERAGE(Tabel1[[#This Row],[In - C1]:[In - C4]]),"")</f>
        <v>3</v>
      </c>
      <c r="CN478">
        <v>4</v>
      </c>
      <c r="CO478">
        <v>3</v>
      </c>
      <c r="CP478">
        <v>3</v>
      </c>
      <c r="CQ478">
        <f>IFERROR(AVERAGE(Tabel1[[#This Row],[In - F1a]:[In - F1c]]),"")</f>
        <v>3.3333333333333335</v>
      </c>
      <c r="CR478">
        <v>3</v>
      </c>
      <c r="CS478">
        <v>3</v>
      </c>
      <c r="CT478">
        <f>IFERROR(AVERAGE(Tabel1[[#This Row],[In - F2a]:[In - F2b]]),"")</f>
        <v>3</v>
      </c>
      <c r="CU478">
        <v>3</v>
      </c>
      <c r="CV478">
        <f>IFERROR(AVERAGE(Tabel1[[#This Row],[In - F3a]:[In - F3a]]),"")</f>
        <v>3</v>
      </c>
      <c r="CW478">
        <v>5</v>
      </c>
      <c r="CX478">
        <f>IFERROR(AVERAGE(Tabel1[[#This Row],[In - F1]],Tabel1[[#This Row],[In - F2]],Tabel1[[#This Row],[In - F3]],Tabel1[[#This Row],[In - F4]]),"")</f>
        <v>3.5833333333333335</v>
      </c>
      <c r="CY478">
        <v>4</v>
      </c>
      <c r="CZ478">
        <v>3</v>
      </c>
      <c r="DA478">
        <v>3</v>
      </c>
      <c r="DB478">
        <f>IFERROR(AVERAGE(Tabel1[[#This Row],[In - V1a]:[In - V1c]]),"")</f>
        <v>3.3333333333333335</v>
      </c>
      <c r="DC478">
        <v>3</v>
      </c>
      <c r="DD478">
        <v>2</v>
      </c>
      <c r="DE478">
        <v>2</v>
      </c>
      <c r="DF478">
        <f>IFERROR(AVERAGE(Tabel1[[#This Row],[In - V2a]:[In - V2c]]),"")</f>
        <v>2.3333333333333335</v>
      </c>
      <c r="DG478">
        <v>2</v>
      </c>
      <c r="DH478">
        <v>4</v>
      </c>
      <c r="DI478">
        <f>IFERROR(AVERAGE(Tabel1[[#This Row],[In - V3a]:[In - V3b]]),"")</f>
        <v>3</v>
      </c>
      <c r="DJ478">
        <v>5</v>
      </c>
      <c r="DK478">
        <f>IFERROR(AVERAGE(Tabel1[[#This Row],[In - V1]],Tabel1[[#This Row],[In - V2]],Tabel1[[#This Row],[In - V3]],Tabel1[[#This Row],[In - V4]]),"")</f>
        <v>3.416666666666667</v>
      </c>
      <c r="DL478">
        <v>3</v>
      </c>
      <c r="DM478">
        <v>2</v>
      </c>
      <c r="DN478">
        <f>IFERROR(AVERAGE(Tabel1[[#This Row],[In - A1a]:[In - A1b]]),"")</f>
        <v>2.5</v>
      </c>
      <c r="DO478">
        <v>3</v>
      </c>
      <c r="DP478">
        <v>3</v>
      </c>
      <c r="DQ478">
        <f>IFERROR(AVERAGE(Tabel1[[#This Row],[In - A2a]:[In - A2b]]),"")</f>
        <v>3</v>
      </c>
      <c r="DR478">
        <v>5</v>
      </c>
      <c r="DS478">
        <v>3</v>
      </c>
      <c r="DT478">
        <f>IFERROR(AVERAGE(Tabel1[[#This Row],[In - A3a]:[In - A3a]]),"")</f>
        <v>5</v>
      </c>
      <c r="DU478">
        <v>3</v>
      </c>
      <c r="DV478">
        <f>IFERROR(AVERAGE(Tabel1[[#This Row],[In - A1]],Tabel1[[#This Row],[In - A2]],Tabel1[[#This Row],[In - A3]],Tabel1[[#This Row],[In - A4]]),"")</f>
        <v>3.375</v>
      </c>
      <c r="DW478">
        <v>4</v>
      </c>
      <c r="DX478">
        <v>5</v>
      </c>
      <c r="DY478">
        <v>5</v>
      </c>
      <c r="DZ478">
        <f>IFERROR(AVERAGE(Tabel1[[#This Row],[Do - R1a]:[Do - R1c]]),"")</f>
        <v>4.666666666666667</v>
      </c>
      <c r="EA478" t="s">
        <v>189</v>
      </c>
      <c r="EB478">
        <v>3</v>
      </c>
      <c r="EC478">
        <v>4</v>
      </c>
      <c r="ED478" t="s">
        <v>189</v>
      </c>
      <c r="EE478">
        <f>IFERROR(AVERAGE(Tabel1[[#This Row],[Do - R1]:[Do - R5]]),"")</f>
        <v>3.8888888888888893</v>
      </c>
      <c r="EF478">
        <v>4</v>
      </c>
      <c r="EG478">
        <v>4</v>
      </c>
      <c r="EH478" t="s">
        <v>189</v>
      </c>
      <c r="EI478">
        <f>IFERROR(AVERAGE(Tabel1[[#This Row],[Do - C1a]:[Do - C1c]]),"")</f>
        <v>4</v>
      </c>
      <c r="EJ478" t="s">
        <v>189</v>
      </c>
      <c r="EK478" t="s">
        <v>189</v>
      </c>
      <c r="EL478" t="s">
        <v>189</v>
      </c>
      <c r="EM478">
        <f>IFERROR(AVERAGE(Tabel1[[#This Row],[Do - C1]:[Do - C4]]),"")</f>
        <v>4</v>
      </c>
      <c r="EN478" t="s">
        <v>189</v>
      </c>
      <c r="EO478">
        <v>1</v>
      </c>
      <c r="EP478">
        <v>5</v>
      </c>
      <c r="EQ478">
        <f>IFERROR(AVERAGE(Tabel1[[#This Row],[Do - F1a]:[Do - F1c]]),"")</f>
        <v>3</v>
      </c>
      <c r="ER478">
        <v>1</v>
      </c>
      <c r="ES478">
        <f>IFERROR(AVERAGE(Tabel1[[#This Row],[Do - F2a]:[Do - F2a]]),"")</f>
        <v>1</v>
      </c>
      <c r="ET478">
        <v>3</v>
      </c>
      <c r="EU478">
        <v>5</v>
      </c>
      <c r="EV478">
        <f>IFERROR(AVERAGE(Tabel1[[#This Row],[Do - F3a]:[Do - F3b]]),"")</f>
        <v>4</v>
      </c>
      <c r="EW478">
        <v>1</v>
      </c>
      <c r="EX478">
        <f>IFERROR(AVERAGE(Tabel1[[#This Row],[Do - F1]],Tabel1[[#This Row],[Do - F2]],Tabel1[[#This Row],[Do - F3]],Tabel1[[#This Row],[Do - F4]]),"")</f>
        <v>2.25</v>
      </c>
      <c r="EY478">
        <v>5</v>
      </c>
      <c r="EZ478" t="s">
        <v>189</v>
      </c>
      <c r="FA478">
        <v>5</v>
      </c>
      <c r="FB478">
        <f>IFERROR(AVERAGE(Tabel1[[#This Row],[Do - V1a]:[Do - V1c]]),"")</f>
        <v>5</v>
      </c>
      <c r="FC478">
        <v>5</v>
      </c>
      <c r="FD478">
        <v>5</v>
      </c>
      <c r="FE478">
        <f>IFERROR(AVERAGE(Tabel1[[#This Row],[Do - V2a]:[Do - V2b]]),"")</f>
        <v>5</v>
      </c>
      <c r="FF478" t="s">
        <v>189</v>
      </c>
      <c r="FG478" t="str">
        <f>IFERROR(AVERAGE(Tabel1[[#This Row],[Do - V3a]:[Do - V3a]]),"")</f>
        <v/>
      </c>
      <c r="FH478" t="s">
        <v>189</v>
      </c>
      <c r="FI478">
        <f>IFERROR(AVERAGE(Tabel1[[#This Row],[Do - V1]],Tabel1[[#This Row],[Do - V2]],Tabel1[[#This Row],[Do - V3]],Tabel1[[#This Row],[Do - V4]]),"")</f>
        <v>5</v>
      </c>
      <c r="FJ478" t="s">
        <v>189</v>
      </c>
      <c r="FK478">
        <v>3</v>
      </c>
      <c r="FL478">
        <v>5</v>
      </c>
      <c r="FM478">
        <f>IFERROR(AVERAGE(Tabel1[[#This Row],[Do - A1a]:[Do - A1c]]),"")</f>
        <v>4</v>
      </c>
      <c r="FN478" t="s">
        <v>189</v>
      </c>
      <c r="FO478">
        <v>4</v>
      </c>
      <c r="FP478">
        <f>IFERROR(AVERAGE(Tabel1[[#This Row],[Do - A2a]:[Do - A2b]]),"")</f>
        <v>4</v>
      </c>
      <c r="FQ478">
        <v>5</v>
      </c>
      <c r="FR478">
        <f>IFERROR(AVERAGE(Tabel1[[#This Row],[Do - A3a]:[Do - A3a]]),"")</f>
        <v>5</v>
      </c>
      <c r="FS478" t="s">
        <v>189</v>
      </c>
      <c r="FT478">
        <f>IFERROR(AVERAGE(Tabel1[[#This Row],[Do - A1]],Tabel1[[#This Row],[Do - A2]],Tabel1[[#This Row],[Do - A3]],Tabel1[[#This Row],[Do - A4]]),"")</f>
        <v>4.333333333333333</v>
      </c>
      <c r="FU47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3.4392592592592597</v>
      </c>
      <c r="FV478" s="31" t="s">
        <v>2329</v>
      </c>
      <c r="FW478" t="b">
        <v>1</v>
      </c>
    </row>
    <row r="479" spans="1:179" x14ac:dyDescent="0.3">
      <c r="A479" s="13">
        <v>45748.622152777803</v>
      </c>
      <c r="B479" t="b">
        <v>0</v>
      </c>
      <c r="C479" t="s">
        <v>2330</v>
      </c>
      <c r="D479" t="s">
        <v>2331</v>
      </c>
      <c r="E479" t="s">
        <v>2332</v>
      </c>
      <c r="F479" s="14" t="s">
        <v>1764</v>
      </c>
      <c r="G479" t="s">
        <v>2333</v>
      </c>
      <c r="H479" t="s">
        <v>194</v>
      </c>
      <c r="I479" t="s">
        <v>542</v>
      </c>
      <c r="J479" t="s">
        <v>543</v>
      </c>
      <c r="K479" t="s">
        <v>201</v>
      </c>
      <c r="L479" t="s">
        <v>385</v>
      </c>
      <c r="M479" t="s">
        <v>281</v>
      </c>
      <c r="N479" t="s">
        <v>479</v>
      </c>
      <c r="O479" t="s">
        <v>256</v>
      </c>
      <c r="P479" t="s">
        <v>255</v>
      </c>
      <c r="Q479" t="s">
        <v>304</v>
      </c>
      <c r="S479" t="s">
        <v>201</v>
      </c>
      <c r="T479" t="s">
        <v>236</v>
      </c>
      <c r="U479" t="s">
        <v>205</v>
      </c>
      <c r="V479" t="s">
        <v>224</v>
      </c>
      <c r="W479" t="s">
        <v>395</v>
      </c>
      <c r="X479" t="s">
        <v>207</v>
      </c>
      <c r="Y479">
        <v>3</v>
      </c>
      <c r="Z479">
        <v>5</v>
      </c>
      <c r="AA479">
        <v>5</v>
      </c>
      <c r="AB479">
        <f>IFERROR(AVERAGE(Tabel1[[#This Row],[Up - R1a]:[Up - R1c]]),"")</f>
        <v>4.333333333333333</v>
      </c>
      <c r="AC479">
        <v>3</v>
      </c>
      <c r="AD479">
        <v>5</v>
      </c>
      <c r="AE479">
        <v>4</v>
      </c>
      <c r="AF479">
        <v>3</v>
      </c>
      <c r="AG479">
        <f>IFERROR(AVERAGE(Tabel1[[#This Row],[Up - R1]:[Up - R5]]),"")</f>
        <v>3.8666666666666663</v>
      </c>
      <c r="AH479">
        <v>5</v>
      </c>
      <c r="AI479">
        <v>2</v>
      </c>
      <c r="AJ479">
        <v>5</v>
      </c>
      <c r="AK479">
        <f>IFERROR(AVERAGE(Tabel1[[#This Row],[Up - C1a]:[Up - C1c]]),"")</f>
        <v>4</v>
      </c>
      <c r="AL479">
        <v>4</v>
      </c>
      <c r="AM479">
        <v>3</v>
      </c>
      <c r="AN479">
        <v>4</v>
      </c>
      <c r="AO479">
        <f>IFERROR(AVERAGE(Tabel1[[#This Row],[Up - C1]:[Up - C4]]),"")</f>
        <v>3.75</v>
      </c>
      <c r="AP479">
        <v>5</v>
      </c>
      <c r="AQ479">
        <f>IFERROR(AVERAGE(Tabel1[[#This Row],[Up - F1a]:[Up - F1a]]),"")</f>
        <v>5</v>
      </c>
      <c r="AR479">
        <v>3</v>
      </c>
      <c r="AS479">
        <v>5</v>
      </c>
      <c r="AT479">
        <f>IFERROR(AVERAGE(Tabel1[[#This Row],[Up - F2a]:[Up - F2b]]),"")</f>
        <v>4</v>
      </c>
      <c r="AU479">
        <v>4</v>
      </c>
      <c r="AV479">
        <v>4</v>
      </c>
      <c r="AW479">
        <f>IFERROR(AVERAGE(Tabel1[[#This Row],[Up - F3a]:[Up - F3b]]),"")</f>
        <v>4</v>
      </c>
      <c r="AX479">
        <v>3</v>
      </c>
      <c r="AY479">
        <f>IFERROR(AVERAGE(Tabel1[[#This Row],[Up - F1]],Tabel1[[#This Row],[Up - F2]],Tabel1[[#This Row],[Up - F3]],Tabel1[[#This Row],[Up - F4]]),"")</f>
        <v>4</v>
      </c>
      <c r="AZ479">
        <v>5</v>
      </c>
      <c r="BA479">
        <v>4</v>
      </c>
      <c r="BB479">
        <f>IFERROR(AVERAGE(Tabel1[[#This Row],[Up - V1a]:[Up - V1b]]),"")</f>
        <v>4.5</v>
      </c>
      <c r="BC479">
        <v>4</v>
      </c>
      <c r="BD479">
        <v>4</v>
      </c>
      <c r="BE479" t="s">
        <v>189</v>
      </c>
      <c r="BF479">
        <f>IFERROR(AVERAGE(Tabel1[[#This Row],[Up - V2a]:[Up - V2c]]),"")</f>
        <v>4</v>
      </c>
      <c r="BG479">
        <v>4</v>
      </c>
      <c r="BH479">
        <v>3</v>
      </c>
      <c r="BI479">
        <f>IFERROR(AVERAGE(Tabel1[[#This Row],[Up - V3a]:[Up - V3b]]),"")</f>
        <v>3.5</v>
      </c>
      <c r="BJ479">
        <v>5</v>
      </c>
      <c r="BK479">
        <f>IFERROR(AVERAGE(Tabel1[[#This Row],[Up - V1]],Tabel1[[#This Row],[Up - V2]],Tabel1[[#This Row],[Up - V3]],Tabel1[[#This Row],[Up - V4]]),"")</f>
        <v>4.25</v>
      </c>
      <c r="BL479">
        <v>5</v>
      </c>
      <c r="BM479">
        <v>5</v>
      </c>
      <c r="BN479">
        <v>3</v>
      </c>
      <c r="BO479">
        <v>4</v>
      </c>
      <c r="BP479">
        <f>IFERROR(AVERAGE(Tabel1[[#This Row],[Up - A1a]:[Up - A1d]]),"")</f>
        <v>4.25</v>
      </c>
      <c r="BQ479">
        <v>5</v>
      </c>
      <c r="BR479">
        <v>3</v>
      </c>
      <c r="BS479">
        <f>IFERROR(AVERAGE(Tabel1[[#This Row],[Up - A2a]:[Up - A2b]]),"")</f>
        <v>4</v>
      </c>
      <c r="BT479">
        <v>4</v>
      </c>
      <c r="BU479">
        <f>IFERROR(AVERAGE(Tabel1[[#This Row],[Up - A3a]:[Up - A3a]]),"")</f>
        <v>4</v>
      </c>
      <c r="BV479">
        <v>3</v>
      </c>
      <c r="BW479">
        <f>IFERROR(AVERAGE(Tabel1[[#This Row],[Up - A1]],Tabel1[[#This Row],[Up - A2]],Tabel1[[#This Row],[Up - A3]]),"")</f>
        <v>4.083333333333333</v>
      </c>
      <c r="BX479" t="s">
        <v>189</v>
      </c>
      <c r="BY479">
        <v>5</v>
      </c>
      <c r="BZ479">
        <f>IFERROR(AVERAGE(Tabel1[[#This Row],[In - R1a]:[In - R1b]]),"")</f>
        <v>5</v>
      </c>
      <c r="CA479">
        <v>4</v>
      </c>
      <c r="CB479">
        <v>2</v>
      </c>
      <c r="CC479">
        <v>5</v>
      </c>
      <c r="CD479">
        <v>3</v>
      </c>
      <c r="CE479">
        <f>IFERROR(AVERAGE(Tabel1[[#This Row],[In - R1]:[In - R5]]),"")</f>
        <v>3.8</v>
      </c>
      <c r="CF479">
        <v>5</v>
      </c>
      <c r="CG479">
        <v>4</v>
      </c>
      <c r="CH479">
        <v>5</v>
      </c>
      <c r="CI479">
        <f>IFERROR(AVERAGE(Tabel1[[#This Row],[In - C1a]:[In - C1c]]),"")</f>
        <v>4.666666666666667</v>
      </c>
      <c r="CJ479" t="s">
        <v>189</v>
      </c>
      <c r="CK479" t="s">
        <v>189</v>
      </c>
      <c r="CL479">
        <v>5</v>
      </c>
      <c r="CM479">
        <f>IFERROR(AVERAGE(Tabel1[[#This Row],[In - C1]:[In - C4]]),"")</f>
        <v>4.8333333333333339</v>
      </c>
      <c r="CN479">
        <v>4</v>
      </c>
      <c r="CO479">
        <v>2</v>
      </c>
      <c r="CP479">
        <v>4</v>
      </c>
      <c r="CQ479">
        <f>IFERROR(AVERAGE(Tabel1[[#This Row],[In - F1a]:[In - F1c]]),"")</f>
        <v>3.3333333333333335</v>
      </c>
      <c r="CR479">
        <v>3</v>
      </c>
      <c r="CS479">
        <v>3</v>
      </c>
      <c r="CT479">
        <f>IFERROR(AVERAGE(Tabel1[[#This Row],[In - F2a]:[In - F2b]]),"")</f>
        <v>3</v>
      </c>
      <c r="CU479">
        <v>4</v>
      </c>
      <c r="CV479">
        <f>IFERROR(AVERAGE(Tabel1[[#This Row],[In - F3a]:[In - F3a]]),"")</f>
        <v>4</v>
      </c>
      <c r="CW479">
        <v>4</v>
      </c>
      <c r="CX479">
        <f>IFERROR(AVERAGE(Tabel1[[#This Row],[In - F1]],Tabel1[[#This Row],[In - F2]],Tabel1[[#This Row],[In - F3]],Tabel1[[#This Row],[In - F4]]),"")</f>
        <v>3.5833333333333335</v>
      </c>
      <c r="CY479">
        <v>4</v>
      </c>
      <c r="CZ479">
        <v>5</v>
      </c>
      <c r="DA479">
        <v>1</v>
      </c>
      <c r="DB479">
        <f>IFERROR(AVERAGE(Tabel1[[#This Row],[In - V1a]:[In - V1c]]),"")</f>
        <v>3.3333333333333335</v>
      </c>
      <c r="DC479">
        <v>3</v>
      </c>
      <c r="DD479">
        <v>4</v>
      </c>
      <c r="DE479">
        <v>3</v>
      </c>
      <c r="DF479">
        <f>IFERROR(AVERAGE(Tabel1[[#This Row],[In - V2a]:[In - V2c]]),"")</f>
        <v>3.3333333333333335</v>
      </c>
      <c r="DG479">
        <v>3</v>
      </c>
      <c r="DH479">
        <v>4</v>
      </c>
      <c r="DI479">
        <f>IFERROR(AVERAGE(Tabel1[[#This Row],[In - V3a]:[In - V3b]]),"")</f>
        <v>3.5</v>
      </c>
      <c r="DJ479">
        <v>3</v>
      </c>
      <c r="DK479">
        <f>IFERROR(AVERAGE(Tabel1[[#This Row],[In - V1]],Tabel1[[#This Row],[In - V2]],Tabel1[[#This Row],[In - V3]],Tabel1[[#This Row],[In - V4]]),"")</f>
        <v>3.291666666666667</v>
      </c>
      <c r="DL479">
        <v>2</v>
      </c>
      <c r="DM479">
        <v>5</v>
      </c>
      <c r="DN479">
        <f>IFERROR(AVERAGE(Tabel1[[#This Row],[In - A1a]:[In - A1b]]),"")</f>
        <v>3.5</v>
      </c>
      <c r="DO479" t="s">
        <v>189</v>
      </c>
      <c r="DP479">
        <v>4</v>
      </c>
      <c r="DQ479">
        <f>IFERROR(AVERAGE(Tabel1[[#This Row],[In - A2a]:[In - A2b]]),"")</f>
        <v>4</v>
      </c>
      <c r="DR479" t="s">
        <v>189</v>
      </c>
      <c r="DT479" t="str">
        <f>IFERROR(AVERAGE(Tabel1[[#This Row],[In - A3a]:[In - A3a]]),"")</f>
        <v/>
      </c>
      <c r="DU479">
        <v>3</v>
      </c>
      <c r="DV479">
        <f>IFERROR(AVERAGE(Tabel1[[#This Row],[In - A1]],Tabel1[[#This Row],[In - A2]],Tabel1[[#This Row],[In - A3]],Tabel1[[#This Row],[In - A4]]),"")</f>
        <v>3.5</v>
      </c>
      <c r="DW479">
        <v>1</v>
      </c>
      <c r="DX479">
        <v>5</v>
      </c>
      <c r="DY479">
        <v>3</v>
      </c>
      <c r="DZ479">
        <f>IFERROR(AVERAGE(Tabel1[[#This Row],[Do - R1a]:[Do - R1c]]),"")</f>
        <v>3</v>
      </c>
      <c r="EA479">
        <v>3</v>
      </c>
      <c r="EB479">
        <v>3</v>
      </c>
      <c r="EC479">
        <v>3</v>
      </c>
      <c r="ED479">
        <v>4</v>
      </c>
      <c r="EE479">
        <f>IFERROR(AVERAGE(Tabel1[[#This Row],[Do - R1]:[Do - R5]]),"")</f>
        <v>3.2</v>
      </c>
      <c r="EF479">
        <v>4</v>
      </c>
      <c r="EG479">
        <v>4</v>
      </c>
      <c r="EH479">
        <v>5</v>
      </c>
      <c r="EI479">
        <f>IFERROR(AVERAGE(Tabel1[[#This Row],[Do - C1a]:[Do - C1c]]),"")</f>
        <v>4.333333333333333</v>
      </c>
      <c r="EJ479">
        <v>4</v>
      </c>
      <c r="EK479">
        <v>4</v>
      </c>
      <c r="EL479">
        <v>5</v>
      </c>
      <c r="EM479">
        <f>IFERROR(AVERAGE(Tabel1[[#This Row],[Do - C1]:[Do - C4]]),"")</f>
        <v>4.333333333333333</v>
      </c>
      <c r="EN479">
        <v>3</v>
      </c>
      <c r="EO479">
        <v>3</v>
      </c>
      <c r="EP479">
        <v>4</v>
      </c>
      <c r="EQ479">
        <f>IFERROR(AVERAGE(Tabel1[[#This Row],[Do - F1a]:[Do - F1c]]),"")</f>
        <v>3.3333333333333335</v>
      </c>
      <c r="ER479">
        <v>5</v>
      </c>
      <c r="ES479">
        <f>IFERROR(AVERAGE(Tabel1[[#This Row],[Do - F2a]:[Do - F2a]]),"")</f>
        <v>5</v>
      </c>
      <c r="ET479">
        <v>5</v>
      </c>
      <c r="EU479">
        <v>5</v>
      </c>
      <c r="EV479">
        <f>IFERROR(AVERAGE(Tabel1[[#This Row],[Do - F3a]:[Do - F3b]]),"")</f>
        <v>5</v>
      </c>
      <c r="EW479">
        <v>4</v>
      </c>
      <c r="EX479">
        <f>IFERROR(AVERAGE(Tabel1[[#This Row],[Do - F1]],Tabel1[[#This Row],[Do - F2]],Tabel1[[#This Row],[Do - F3]],Tabel1[[#This Row],[Do - F4]]),"")</f>
        <v>4.3333333333333339</v>
      </c>
      <c r="EY479">
        <v>3</v>
      </c>
      <c r="EZ479">
        <v>5</v>
      </c>
      <c r="FB479">
        <f>IFERROR(AVERAGE(Tabel1[[#This Row],[Do - V1a]:[Do - V1c]]),"")</f>
        <v>4</v>
      </c>
      <c r="FD479">
        <v>4</v>
      </c>
      <c r="FE479">
        <f>IFERROR(AVERAGE(Tabel1[[#This Row],[Do - V2a]:[Do - V2b]]),"")</f>
        <v>4</v>
      </c>
      <c r="FF479">
        <v>4</v>
      </c>
      <c r="FG479">
        <f>IFERROR(AVERAGE(Tabel1[[#This Row],[Do - V3a]:[Do - V3a]]),"")</f>
        <v>4</v>
      </c>
      <c r="FH479">
        <v>5</v>
      </c>
      <c r="FI479">
        <f>IFERROR(AVERAGE(Tabel1[[#This Row],[Do - V1]],Tabel1[[#This Row],[Do - V2]],Tabel1[[#This Row],[Do - V3]],Tabel1[[#This Row],[Do - V4]]),"")</f>
        <v>4.25</v>
      </c>
      <c r="FJ479">
        <v>5</v>
      </c>
      <c r="FK479">
        <v>4</v>
      </c>
      <c r="FM479">
        <f>IFERROR(AVERAGE(Tabel1[[#This Row],[Do - A1a]:[Do - A1c]]),"")</f>
        <v>4.5</v>
      </c>
      <c r="FN479">
        <v>5</v>
      </c>
      <c r="FO479">
        <v>3</v>
      </c>
      <c r="FP479">
        <f>IFERROR(AVERAGE(Tabel1[[#This Row],[Do - A2a]:[Do - A2b]]),"")</f>
        <v>4</v>
      </c>
      <c r="FQ479">
        <v>3</v>
      </c>
      <c r="FR479">
        <f>IFERROR(AVERAGE(Tabel1[[#This Row],[Do - A3a]:[Do - A3a]]),"")</f>
        <v>3</v>
      </c>
      <c r="FS479">
        <v>5</v>
      </c>
      <c r="FT479">
        <f>IFERROR(AVERAGE(Tabel1[[#This Row],[Do - A1]],Tabel1[[#This Row],[Do - A2]],Tabel1[[#This Row],[Do - A3]],Tabel1[[#This Row],[Do - A4]]),"")</f>
        <v>4.125</v>
      </c>
      <c r="FU47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3.9466666666666672</v>
      </c>
      <c r="FV479" s="31" t="s">
        <v>2334</v>
      </c>
      <c r="FW479" t="b">
        <v>1</v>
      </c>
    </row>
    <row r="480" spans="1:179" x14ac:dyDescent="0.3">
      <c r="A480" s="13">
        <v>45754.2124189815</v>
      </c>
      <c r="B480" t="b">
        <v>0</v>
      </c>
      <c r="C480" t="s">
        <v>2335</v>
      </c>
      <c r="D480" t="s">
        <v>2336</v>
      </c>
      <c r="E480" t="s">
        <v>2337</v>
      </c>
      <c r="F480" s="14" t="s">
        <v>184</v>
      </c>
      <c r="G480" t="s">
        <v>2338</v>
      </c>
      <c r="H480" t="s">
        <v>194</v>
      </c>
      <c r="I480" t="s">
        <v>195</v>
      </c>
      <c r="J480" t="s">
        <v>461</v>
      </c>
      <c r="K480" t="s">
        <v>203</v>
      </c>
      <c r="L480" t="s">
        <v>218</v>
      </c>
      <c r="M480" t="s">
        <v>233</v>
      </c>
      <c r="N480" t="s">
        <v>479</v>
      </c>
      <c r="O480" t="s">
        <v>200</v>
      </c>
      <c r="P480" t="s">
        <v>255</v>
      </c>
      <c r="Q480" t="s">
        <v>255</v>
      </c>
      <c r="R480" t="s">
        <v>304</v>
      </c>
      <c r="S480" t="s">
        <v>304</v>
      </c>
      <c r="T480" t="s">
        <v>236</v>
      </c>
      <c r="U480" t="s">
        <v>205</v>
      </c>
      <c r="V480" t="s">
        <v>359</v>
      </c>
      <c r="W480" t="s">
        <v>207</v>
      </c>
      <c r="X480" t="s">
        <v>207</v>
      </c>
      <c r="Y480">
        <v>4</v>
      </c>
      <c r="Z480">
        <v>5</v>
      </c>
      <c r="AA480">
        <v>4</v>
      </c>
      <c r="AB480">
        <f>IFERROR(AVERAGE(Tabel1[[#This Row],[Up - R1a]:[Up - R1c]]),"")</f>
        <v>4.333333333333333</v>
      </c>
      <c r="AC480">
        <v>4</v>
      </c>
      <c r="AD480">
        <v>4</v>
      </c>
      <c r="AE480">
        <v>3</v>
      </c>
      <c r="AF480">
        <v>4</v>
      </c>
      <c r="AG480">
        <f>IFERROR(AVERAGE(Tabel1[[#This Row],[Up - R1]:[Up - R5]]),"")</f>
        <v>3.8666666666666663</v>
      </c>
      <c r="AH480">
        <v>2</v>
      </c>
      <c r="AI480">
        <v>4</v>
      </c>
      <c r="AJ480">
        <v>3</v>
      </c>
      <c r="AK480">
        <f>IFERROR(AVERAGE(Tabel1[[#This Row],[Up - C1a]:[Up - C1c]]),"")</f>
        <v>3</v>
      </c>
      <c r="AL480">
        <v>4</v>
      </c>
      <c r="AM480">
        <v>2</v>
      </c>
      <c r="AN480">
        <v>3</v>
      </c>
      <c r="AO480">
        <f>IFERROR(AVERAGE(Tabel1[[#This Row],[Up - C1]:[Up - C4]]),"")</f>
        <v>3</v>
      </c>
      <c r="AP480">
        <v>3</v>
      </c>
      <c r="AQ480">
        <f>IFERROR(AVERAGE(Tabel1[[#This Row],[Up - F1a]:[Up - F1a]]),"")</f>
        <v>3</v>
      </c>
      <c r="AR480">
        <v>2</v>
      </c>
      <c r="AS480">
        <v>5</v>
      </c>
      <c r="AT480">
        <f>IFERROR(AVERAGE(Tabel1[[#This Row],[Up - F2a]:[Up - F2b]]),"")</f>
        <v>3.5</v>
      </c>
      <c r="AU480">
        <v>4</v>
      </c>
      <c r="AV480">
        <v>4</v>
      </c>
      <c r="AW480">
        <f>IFERROR(AVERAGE(Tabel1[[#This Row],[Up - F3a]:[Up - F3b]]),"")</f>
        <v>4</v>
      </c>
      <c r="AX480">
        <v>2</v>
      </c>
      <c r="AY480">
        <f>IFERROR(AVERAGE(Tabel1[[#This Row],[Up - F1]],Tabel1[[#This Row],[Up - F2]],Tabel1[[#This Row],[Up - F3]],Tabel1[[#This Row],[Up - F4]]),"")</f>
        <v>3.125</v>
      </c>
      <c r="AZ480">
        <v>5</v>
      </c>
      <c r="BA480">
        <v>5</v>
      </c>
      <c r="BB480">
        <f>IFERROR(AVERAGE(Tabel1[[#This Row],[Up - V1a]:[Up - V1b]]),"")</f>
        <v>5</v>
      </c>
      <c r="BC480">
        <v>2</v>
      </c>
      <c r="BD480">
        <v>3</v>
      </c>
      <c r="BE480">
        <v>3</v>
      </c>
      <c r="BF480">
        <f>IFERROR(AVERAGE(Tabel1[[#This Row],[Up - V2a]:[Up - V2c]]),"")</f>
        <v>2.6666666666666665</v>
      </c>
      <c r="BG480">
        <v>3</v>
      </c>
      <c r="BH480">
        <v>2</v>
      </c>
      <c r="BI480">
        <f>IFERROR(AVERAGE(Tabel1[[#This Row],[Up - V3a]:[Up - V3b]]),"")</f>
        <v>2.5</v>
      </c>
      <c r="BJ480">
        <v>2</v>
      </c>
      <c r="BK480">
        <f>IFERROR(AVERAGE(Tabel1[[#This Row],[Up - V1]],Tabel1[[#This Row],[Up - V2]],Tabel1[[#This Row],[Up - V3]],Tabel1[[#This Row],[Up - V4]]),"")</f>
        <v>3.0416666666666665</v>
      </c>
      <c r="BL480">
        <v>4</v>
      </c>
      <c r="BM480">
        <v>5</v>
      </c>
      <c r="BN480">
        <v>3</v>
      </c>
      <c r="BO480">
        <v>2</v>
      </c>
      <c r="BP480">
        <f>IFERROR(AVERAGE(Tabel1[[#This Row],[Up - A1a]:[Up - A1d]]),"")</f>
        <v>3.5</v>
      </c>
      <c r="BQ480">
        <v>3</v>
      </c>
      <c r="BR480">
        <v>3</v>
      </c>
      <c r="BS480">
        <f>IFERROR(AVERAGE(Tabel1[[#This Row],[Up - A2a]:[Up - A2b]]),"")</f>
        <v>3</v>
      </c>
      <c r="BT480">
        <v>4</v>
      </c>
      <c r="BU480">
        <f>IFERROR(AVERAGE(Tabel1[[#This Row],[Up - A3a]:[Up - A3a]]),"")</f>
        <v>4</v>
      </c>
      <c r="BV480">
        <v>3</v>
      </c>
      <c r="BW480">
        <f>IFERROR(AVERAGE(Tabel1[[#This Row],[Up - A1]],Tabel1[[#This Row],[Up - A2]],Tabel1[[#This Row],[Up - A3]]),"")</f>
        <v>3.5</v>
      </c>
      <c r="BX480">
        <v>4</v>
      </c>
      <c r="BY480">
        <v>5</v>
      </c>
      <c r="BZ480">
        <f>IFERROR(AVERAGE(Tabel1[[#This Row],[In - R1a]:[In - R1b]]),"")</f>
        <v>4.5</v>
      </c>
      <c r="CA480">
        <v>3</v>
      </c>
      <c r="CB480">
        <v>4</v>
      </c>
      <c r="CC480">
        <v>4</v>
      </c>
      <c r="CD480">
        <v>5</v>
      </c>
      <c r="CE480">
        <f>IFERROR(AVERAGE(Tabel1[[#This Row],[In - R1]:[In - R5]]),"")</f>
        <v>4.0999999999999996</v>
      </c>
      <c r="CF480">
        <v>5</v>
      </c>
      <c r="CG480">
        <v>5</v>
      </c>
      <c r="CH480">
        <v>4</v>
      </c>
      <c r="CI480">
        <f>IFERROR(AVERAGE(Tabel1[[#This Row],[In - C1a]:[In - C1c]]),"")</f>
        <v>4.666666666666667</v>
      </c>
      <c r="CJ480">
        <v>3</v>
      </c>
      <c r="CK480">
        <v>5</v>
      </c>
      <c r="CL480">
        <v>5</v>
      </c>
      <c r="CM480">
        <f>IFERROR(AVERAGE(Tabel1[[#This Row],[In - C1]:[In - C4]]),"")</f>
        <v>4.416666666666667</v>
      </c>
      <c r="CN480">
        <v>3</v>
      </c>
      <c r="CO480">
        <v>2</v>
      </c>
      <c r="CP480">
        <v>3</v>
      </c>
      <c r="CQ480">
        <f>IFERROR(AVERAGE(Tabel1[[#This Row],[In - F1a]:[In - F1c]]),"")</f>
        <v>2.6666666666666665</v>
      </c>
      <c r="CR480">
        <v>5</v>
      </c>
      <c r="CS480">
        <v>3</v>
      </c>
      <c r="CT480">
        <f>IFERROR(AVERAGE(Tabel1[[#This Row],[In - F2a]:[In - F2b]]),"")</f>
        <v>4</v>
      </c>
      <c r="CU480">
        <v>4</v>
      </c>
      <c r="CV480">
        <f>IFERROR(AVERAGE(Tabel1[[#This Row],[In - F3a]:[In - F3a]]),"")</f>
        <v>4</v>
      </c>
      <c r="CW480">
        <v>5</v>
      </c>
      <c r="CX480">
        <f>IFERROR(AVERAGE(Tabel1[[#This Row],[In - F1]],Tabel1[[#This Row],[In - F2]],Tabel1[[#This Row],[In - F3]],Tabel1[[#This Row],[In - F4]]),"")</f>
        <v>3.9166666666666665</v>
      </c>
      <c r="CY480">
        <v>4</v>
      </c>
      <c r="CZ480">
        <v>5</v>
      </c>
      <c r="DA480">
        <v>3</v>
      </c>
      <c r="DB480">
        <f>IFERROR(AVERAGE(Tabel1[[#This Row],[In - V1a]:[In - V1c]]),"")</f>
        <v>4</v>
      </c>
      <c r="DC480">
        <v>3</v>
      </c>
      <c r="DD480">
        <v>4</v>
      </c>
      <c r="DE480">
        <v>4</v>
      </c>
      <c r="DF480">
        <f>IFERROR(AVERAGE(Tabel1[[#This Row],[In - V2a]:[In - V2c]]),"")</f>
        <v>3.6666666666666665</v>
      </c>
      <c r="DG480">
        <v>2</v>
      </c>
      <c r="DH480">
        <v>3</v>
      </c>
      <c r="DI480">
        <f>IFERROR(AVERAGE(Tabel1[[#This Row],[In - V3a]:[In - V3b]]),"")</f>
        <v>2.5</v>
      </c>
      <c r="DJ480">
        <v>3</v>
      </c>
      <c r="DK480">
        <f>IFERROR(AVERAGE(Tabel1[[#This Row],[In - V1]],Tabel1[[#This Row],[In - V2]],Tabel1[[#This Row],[In - V3]],Tabel1[[#This Row],[In - V4]]),"")</f>
        <v>3.2916666666666665</v>
      </c>
      <c r="DL480">
        <v>4</v>
      </c>
      <c r="DM480">
        <v>3</v>
      </c>
      <c r="DN480">
        <f>IFERROR(AVERAGE(Tabel1[[#This Row],[In - A1a]:[In - A1b]]),"")</f>
        <v>3.5</v>
      </c>
      <c r="DO480">
        <v>3</v>
      </c>
      <c r="DP480">
        <v>2</v>
      </c>
      <c r="DQ480">
        <f>IFERROR(AVERAGE(Tabel1[[#This Row],[In - A2a]:[In - A2b]]),"")</f>
        <v>2.5</v>
      </c>
      <c r="DR480">
        <v>5</v>
      </c>
      <c r="DS480">
        <v>3</v>
      </c>
      <c r="DT480">
        <f>IFERROR(AVERAGE(Tabel1[[#This Row],[In - A3a]:[In - A3a]]),"")</f>
        <v>5</v>
      </c>
      <c r="DU480">
        <v>3</v>
      </c>
      <c r="DV480">
        <f>IFERROR(AVERAGE(Tabel1[[#This Row],[In - A1]],Tabel1[[#This Row],[In - A2]],Tabel1[[#This Row],[In - A3]],Tabel1[[#This Row],[In - A4]]),"")</f>
        <v>3.5</v>
      </c>
      <c r="DW480">
        <v>2</v>
      </c>
      <c r="DX480">
        <v>5</v>
      </c>
      <c r="DY480">
        <v>2</v>
      </c>
      <c r="DZ480">
        <f>IFERROR(AVERAGE(Tabel1[[#This Row],[Do - R1a]:[Do - R1c]]),"")</f>
        <v>3</v>
      </c>
      <c r="EA480">
        <v>3</v>
      </c>
      <c r="EB480">
        <v>4</v>
      </c>
      <c r="EC480">
        <v>1</v>
      </c>
      <c r="ED480">
        <v>4</v>
      </c>
      <c r="EE480">
        <f>IFERROR(AVERAGE(Tabel1[[#This Row],[Do - R1]:[Do - R5]]),"")</f>
        <v>3</v>
      </c>
      <c r="EF480">
        <v>3</v>
      </c>
      <c r="EG480">
        <v>5</v>
      </c>
      <c r="EH480">
        <v>5</v>
      </c>
      <c r="EI480">
        <f>IFERROR(AVERAGE(Tabel1[[#This Row],[Do - C1a]:[Do - C1c]]),"")</f>
        <v>4.333333333333333</v>
      </c>
      <c r="EJ480">
        <v>4</v>
      </c>
      <c r="EK480">
        <v>2</v>
      </c>
      <c r="EL480">
        <v>3</v>
      </c>
      <c r="EM480">
        <f>IFERROR(AVERAGE(Tabel1[[#This Row],[Do - C1]:[Do - C4]]),"")</f>
        <v>3.333333333333333</v>
      </c>
      <c r="EN480">
        <v>2</v>
      </c>
      <c r="EO480">
        <v>2</v>
      </c>
      <c r="EP480">
        <v>3</v>
      </c>
      <c r="EQ480">
        <f>IFERROR(AVERAGE(Tabel1[[#This Row],[Do - F1a]:[Do - F1c]]),"")</f>
        <v>2.3333333333333335</v>
      </c>
      <c r="ER480">
        <v>2</v>
      </c>
      <c r="ES480">
        <f>IFERROR(AVERAGE(Tabel1[[#This Row],[Do - F2a]:[Do - F2a]]),"")</f>
        <v>2</v>
      </c>
      <c r="ET480">
        <v>4</v>
      </c>
      <c r="EU480">
        <v>2</v>
      </c>
      <c r="EV480">
        <f>IFERROR(AVERAGE(Tabel1[[#This Row],[Do - F3a]:[Do - F3b]]),"")</f>
        <v>3</v>
      </c>
      <c r="EW480">
        <v>3</v>
      </c>
      <c r="EX480">
        <f>IFERROR(AVERAGE(Tabel1[[#This Row],[Do - F1]],Tabel1[[#This Row],[Do - F2]],Tabel1[[#This Row],[Do - F3]],Tabel1[[#This Row],[Do - F4]]),"")</f>
        <v>2.5833333333333335</v>
      </c>
      <c r="EY480">
        <v>4</v>
      </c>
      <c r="EZ480">
        <v>4</v>
      </c>
      <c r="FA480">
        <v>3</v>
      </c>
      <c r="FB480">
        <f>IFERROR(AVERAGE(Tabel1[[#This Row],[Do - V1a]:[Do - V1c]]),"")</f>
        <v>3.6666666666666665</v>
      </c>
      <c r="FC480">
        <v>3</v>
      </c>
      <c r="FD480">
        <v>4</v>
      </c>
      <c r="FE480">
        <f>IFERROR(AVERAGE(Tabel1[[#This Row],[Do - V2a]:[Do - V2b]]),"")</f>
        <v>3.5</v>
      </c>
      <c r="FF480">
        <v>3</v>
      </c>
      <c r="FG480">
        <f>IFERROR(AVERAGE(Tabel1[[#This Row],[Do - V3a]:[Do - V3a]]),"")</f>
        <v>3</v>
      </c>
      <c r="FH480">
        <v>4</v>
      </c>
      <c r="FI480">
        <f>IFERROR(AVERAGE(Tabel1[[#This Row],[Do - V1]],Tabel1[[#This Row],[Do - V2]],Tabel1[[#This Row],[Do - V3]],Tabel1[[#This Row],[Do - V4]]),"")</f>
        <v>3.5416666666666665</v>
      </c>
      <c r="FJ480">
        <v>4</v>
      </c>
      <c r="FK480">
        <v>4</v>
      </c>
      <c r="FL480">
        <v>4</v>
      </c>
      <c r="FM480">
        <f>IFERROR(AVERAGE(Tabel1[[#This Row],[Do - A1a]:[Do - A1c]]),"")</f>
        <v>4</v>
      </c>
      <c r="FN480">
        <v>2</v>
      </c>
      <c r="FO480">
        <v>4</v>
      </c>
      <c r="FP480">
        <f>IFERROR(AVERAGE(Tabel1[[#This Row],[Do - A2a]:[Do - A2b]]),"")</f>
        <v>3</v>
      </c>
      <c r="FQ480">
        <v>5</v>
      </c>
      <c r="FR480">
        <f>IFERROR(AVERAGE(Tabel1[[#This Row],[Do - A3a]:[Do - A3a]]),"")</f>
        <v>5</v>
      </c>
      <c r="FS480">
        <v>3</v>
      </c>
      <c r="FT480">
        <f>IFERROR(AVERAGE(Tabel1[[#This Row],[Do - A1]],Tabel1[[#This Row],[Do - A2]],Tabel1[[#This Row],[Do - A3]],Tabel1[[#This Row],[Do - A4]]),"")</f>
        <v>3.75</v>
      </c>
      <c r="FU48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3.4644444444444447</v>
      </c>
      <c r="FV480" s="31" t="s">
        <v>2339</v>
      </c>
      <c r="FW480" t="b">
        <v>1</v>
      </c>
    </row>
    <row r="481" spans="1:179" x14ac:dyDescent="0.3">
      <c r="A481" s="13">
        <v>45754.639340277798</v>
      </c>
      <c r="B481" t="b">
        <v>0</v>
      </c>
      <c r="C481" t="s">
        <v>2340</v>
      </c>
      <c r="D481" t="s">
        <v>1583</v>
      </c>
      <c r="E481" t="s">
        <v>2341</v>
      </c>
      <c r="F481" s="14" t="s">
        <v>2342</v>
      </c>
      <c r="G481" t="s">
        <v>2343</v>
      </c>
      <c r="H481" t="s">
        <v>194</v>
      </c>
      <c r="I481" t="s">
        <v>195</v>
      </c>
      <c r="J481" t="s">
        <v>347</v>
      </c>
      <c r="K481" t="s">
        <v>235</v>
      </c>
      <c r="L481" t="s">
        <v>197</v>
      </c>
      <c r="M481" t="s">
        <v>198</v>
      </c>
      <c r="N481" t="s">
        <v>316</v>
      </c>
      <c r="O481" t="s">
        <v>200</v>
      </c>
      <c r="P481" t="s">
        <v>255</v>
      </c>
      <c r="Q481" t="s">
        <v>202</v>
      </c>
      <c r="R481" t="s">
        <v>235</v>
      </c>
      <c r="S481" t="s">
        <v>203</v>
      </c>
      <c r="T481" t="s">
        <v>236</v>
      </c>
      <c r="U481" t="s">
        <v>205</v>
      </c>
      <c r="V481" t="s">
        <v>359</v>
      </c>
      <c r="W481" t="s">
        <v>306</v>
      </c>
      <c r="X481" t="s">
        <v>207</v>
      </c>
      <c r="Y481">
        <v>3</v>
      </c>
      <c r="Z481">
        <v>1</v>
      </c>
      <c r="AA481" t="s">
        <v>189</v>
      </c>
      <c r="AB481">
        <f>IFERROR(AVERAGE(Tabel1[[#This Row],[Up - R1a]:[Up - R1c]]),"")</f>
        <v>2</v>
      </c>
      <c r="AC481">
        <v>4</v>
      </c>
      <c r="AD481">
        <v>2</v>
      </c>
      <c r="AE481">
        <v>2</v>
      </c>
      <c r="AF481">
        <v>3</v>
      </c>
      <c r="AG481">
        <f>IFERROR(AVERAGE(Tabel1[[#This Row],[Up - R1]:[Up - R5]]),"")</f>
        <v>2.6</v>
      </c>
      <c r="AH481">
        <v>2</v>
      </c>
      <c r="AI481">
        <v>4</v>
      </c>
      <c r="AJ481">
        <v>3</v>
      </c>
      <c r="AK481">
        <f>IFERROR(AVERAGE(Tabel1[[#This Row],[Up - C1a]:[Up - C1c]]),"")</f>
        <v>3</v>
      </c>
      <c r="AL481">
        <v>4</v>
      </c>
      <c r="AM481" t="s">
        <v>189</v>
      </c>
      <c r="AN481">
        <v>3</v>
      </c>
      <c r="AO481">
        <f>IFERROR(AVERAGE(Tabel1[[#This Row],[Up - C1]:[Up - C4]]),"")</f>
        <v>3.3333333333333335</v>
      </c>
      <c r="AP481">
        <v>4</v>
      </c>
      <c r="AQ481">
        <f>IFERROR(AVERAGE(Tabel1[[#This Row],[Up - F1a]:[Up - F1a]]),"")</f>
        <v>4</v>
      </c>
      <c r="AR481">
        <v>3</v>
      </c>
      <c r="AS481">
        <v>2</v>
      </c>
      <c r="AT481">
        <f>IFERROR(AVERAGE(Tabel1[[#This Row],[Up - F2a]:[Up - F2b]]),"")</f>
        <v>2.5</v>
      </c>
      <c r="AU481">
        <v>2</v>
      </c>
      <c r="AV481">
        <v>2</v>
      </c>
      <c r="AW481">
        <f>IFERROR(AVERAGE(Tabel1[[#This Row],[Up - F3a]:[Up - F3b]]),"")</f>
        <v>2</v>
      </c>
      <c r="AX481">
        <v>4</v>
      </c>
      <c r="AY481">
        <f>IFERROR(AVERAGE(Tabel1[[#This Row],[Up - F1]],Tabel1[[#This Row],[Up - F2]],Tabel1[[#This Row],[Up - F3]],Tabel1[[#This Row],[Up - F4]]),"")</f>
        <v>3.125</v>
      </c>
      <c r="AZ481">
        <v>2</v>
      </c>
      <c r="BA481">
        <v>2</v>
      </c>
      <c r="BB481">
        <f>IFERROR(AVERAGE(Tabel1[[#This Row],[Up - V1a]:[Up - V1b]]),"")</f>
        <v>2</v>
      </c>
      <c r="BC481">
        <v>4</v>
      </c>
      <c r="BD481">
        <v>1</v>
      </c>
      <c r="BE481">
        <v>2</v>
      </c>
      <c r="BF481">
        <f>IFERROR(AVERAGE(Tabel1[[#This Row],[Up - V2a]:[Up - V2c]]),"")</f>
        <v>2.3333333333333335</v>
      </c>
      <c r="BG481">
        <v>1</v>
      </c>
      <c r="BH481">
        <v>4</v>
      </c>
      <c r="BI481">
        <f>IFERROR(AVERAGE(Tabel1[[#This Row],[Up - V3a]:[Up - V3b]]),"")</f>
        <v>2.5</v>
      </c>
      <c r="BJ481">
        <v>2</v>
      </c>
      <c r="BK481">
        <f>IFERROR(AVERAGE(Tabel1[[#This Row],[Up - V1]],Tabel1[[#This Row],[Up - V2]],Tabel1[[#This Row],[Up - V3]],Tabel1[[#This Row],[Up - V4]]),"")</f>
        <v>2.2083333333333335</v>
      </c>
      <c r="BL481">
        <v>4</v>
      </c>
      <c r="BM481">
        <v>4</v>
      </c>
      <c r="BN481">
        <v>2</v>
      </c>
      <c r="BO481">
        <v>2</v>
      </c>
      <c r="BP481">
        <f>IFERROR(AVERAGE(Tabel1[[#This Row],[Up - A1a]:[Up - A1d]]),"")</f>
        <v>3</v>
      </c>
      <c r="BQ481">
        <v>3</v>
      </c>
      <c r="BS481">
        <f>IFERROR(AVERAGE(Tabel1[[#This Row],[Up - A2a]:[Up - A2b]]),"")</f>
        <v>3</v>
      </c>
      <c r="BT481">
        <v>4</v>
      </c>
      <c r="BU481">
        <f>IFERROR(AVERAGE(Tabel1[[#This Row],[Up - A3a]:[Up - A3a]]),"")</f>
        <v>4</v>
      </c>
      <c r="BV481">
        <v>4</v>
      </c>
      <c r="BW481">
        <f>IFERROR(AVERAGE(Tabel1[[#This Row],[Up - A1]],Tabel1[[#This Row],[Up - A2]],Tabel1[[#This Row],[Up - A3]]),"")</f>
        <v>3.3333333333333335</v>
      </c>
      <c r="BX481">
        <v>1</v>
      </c>
      <c r="BY481">
        <v>4</v>
      </c>
      <c r="BZ481">
        <f>IFERROR(AVERAGE(Tabel1[[#This Row],[In - R1a]:[In - R1b]]),"")</f>
        <v>2.5</v>
      </c>
      <c r="CA481">
        <v>2</v>
      </c>
      <c r="CB481">
        <v>1</v>
      </c>
      <c r="CC481">
        <v>3</v>
      </c>
      <c r="CD481">
        <v>4</v>
      </c>
      <c r="CE481">
        <f>IFERROR(AVERAGE(Tabel1[[#This Row],[In - R1]:[In - R5]]),"")</f>
        <v>2.5</v>
      </c>
      <c r="CF481">
        <v>4</v>
      </c>
      <c r="CG481">
        <v>4</v>
      </c>
      <c r="CH481">
        <v>4</v>
      </c>
      <c r="CI481">
        <f>IFERROR(AVERAGE(Tabel1[[#This Row],[In - C1a]:[In - C1c]]),"")</f>
        <v>4</v>
      </c>
      <c r="CJ481">
        <v>4</v>
      </c>
      <c r="CK481" t="s">
        <v>189</v>
      </c>
      <c r="CL481">
        <v>2</v>
      </c>
      <c r="CM481">
        <f>IFERROR(AVERAGE(Tabel1[[#This Row],[In - C1]:[In - C4]]),"")</f>
        <v>3.3333333333333335</v>
      </c>
      <c r="CN481">
        <v>2</v>
      </c>
      <c r="CO481">
        <v>4</v>
      </c>
      <c r="CP481">
        <v>2</v>
      </c>
      <c r="CQ481">
        <f>IFERROR(AVERAGE(Tabel1[[#This Row],[In - F1a]:[In - F1c]]),"")</f>
        <v>2.6666666666666665</v>
      </c>
      <c r="CR481">
        <v>4</v>
      </c>
      <c r="CS481">
        <v>2</v>
      </c>
      <c r="CT481">
        <f>IFERROR(AVERAGE(Tabel1[[#This Row],[In - F2a]:[In - F2b]]),"")</f>
        <v>3</v>
      </c>
      <c r="CU481">
        <v>2</v>
      </c>
      <c r="CV481">
        <f>IFERROR(AVERAGE(Tabel1[[#This Row],[In - F3a]:[In - F3a]]),"")</f>
        <v>2</v>
      </c>
      <c r="CW481">
        <v>2</v>
      </c>
      <c r="CX481">
        <f>IFERROR(AVERAGE(Tabel1[[#This Row],[In - F1]],Tabel1[[#This Row],[In - F2]],Tabel1[[#This Row],[In - F3]],Tabel1[[#This Row],[In - F4]]),"")</f>
        <v>2.4166666666666665</v>
      </c>
      <c r="CY481">
        <v>4</v>
      </c>
      <c r="CZ481">
        <v>4</v>
      </c>
      <c r="DA481">
        <v>3</v>
      </c>
      <c r="DB481">
        <f>IFERROR(AVERAGE(Tabel1[[#This Row],[In - V1a]:[In - V1c]]),"")</f>
        <v>3.6666666666666665</v>
      </c>
      <c r="DC481">
        <v>4</v>
      </c>
      <c r="DD481">
        <v>4</v>
      </c>
      <c r="DE481">
        <v>4</v>
      </c>
      <c r="DF481">
        <f>IFERROR(AVERAGE(Tabel1[[#This Row],[In - V2a]:[In - V2c]]),"")</f>
        <v>4</v>
      </c>
      <c r="DG481">
        <v>4</v>
      </c>
      <c r="DH481">
        <v>4</v>
      </c>
      <c r="DI481">
        <f>IFERROR(AVERAGE(Tabel1[[#This Row],[In - V3a]:[In - V3b]]),"")</f>
        <v>4</v>
      </c>
      <c r="DJ481">
        <v>4</v>
      </c>
      <c r="DK481">
        <f>IFERROR(AVERAGE(Tabel1[[#This Row],[In - V1]],Tabel1[[#This Row],[In - V2]],Tabel1[[#This Row],[In - V3]],Tabel1[[#This Row],[In - V4]]),"")</f>
        <v>3.9166666666666665</v>
      </c>
      <c r="DL481">
        <v>3</v>
      </c>
      <c r="DM481">
        <v>3</v>
      </c>
      <c r="DN481">
        <f>IFERROR(AVERAGE(Tabel1[[#This Row],[In - A1a]:[In - A1b]]),"")</f>
        <v>3</v>
      </c>
      <c r="DO481">
        <v>4</v>
      </c>
      <c r="DP481">
        <v>4</v>
      </c>
      <c r="DQ481">
        <f>IFERROR(AVERAGE(Tabel1[[#This Row],[In - A2a]:[In - A2b]]),"")</f>
        <v>4</v>
      </c>
      <c r="DR481">
        <v>4</v>
      </c>
      <c r="DS481">
        <v>4</v>
      </c>
      <c r="DT481">
        <f>IFERROR(AVERAGE(Tabel1[[#This Row],[In - A3a]:[In - A3a]]),"")</f>
        <v>4</v>
      </c>
      <c r="DU481">
        <v>4</v>
      </c>
      <c r="DV481">
        <f>IFERROR(AVERAGE(Tabel1[[#This Row],[In - A1]],Tabel1[[#This Row],[In - A2]],Tabel1[[#This Row],[In - A3]],Tabel1[[#This Row],[In - A4]]),"")</f>
        <v>3.75</v>
      </c>
      <c r="DW481">
        <v>3</v>
      </c>
      <c r="DX481">
        <v>5</v>
      </c>
      <c r="DY481" t="s">
        <v>189</v>
      </c>
      <c r="DZ481">
        <f>IFERROR(AVERAGE(Tabel1[[#This Row],[Do - R1a]:[Do - R1c]]),"")</f>
        <v>4</v>
      </c>
      <c r="EA481">
        <v>1</v>
      </c>
      <c r="EB481">
        <v>1</v>
      </c>
      <c r="EC481">
        <v>2</v>
      </c>
      <c r="ED481">
        <v>4</v>
      </c>
      <c r="EE481">
        <f>IFERROR(AVERAGE(Tabel1[[#This Row],[Do - R1]:[Do - R5]]),"")</f>
        <v>2.4</v>
      </c>
      <c r="EF481">
        <v>4</v>
      </c>
      <c r="EG481">
        <v>4</v>
      </c>
      <c r="EH481">
        <v>3</v>
      </c>
      <c r="EI481">
        <f>IFERROR(AVERAGE(Tabel1[[#This Row],[Do - C1a]:[Do - C1c]]),"")</f>
        <v>3.6666666666666665</v>
      </c>
      <c r="EJ481">
        <v>4</v>
      </c>
      <c r="EK481" t="s">
        <v>189</v>
      </c>
      <c r="EL481">
        <v>3</v>
      </c>
      <c r="EM481">
        <f>IFERROR(AVERAGE(Tabel1[[#This Row],[Do - C1]:[Do - C4]]),"")</f>
        <v>3.5555555555555554</v>
      </c>
      <c r="EN481">
        <v>4</v>
      </c>
      <c r="EO481">
        <v>4</v>
      </c>
      <c r="EP481">
        <v>2</v>
      </c>
      <c r="EQ481">
        <f>IFERROR(AVERAGE(Tabel1[[#This Row],[Do - F1a]:[Do - F1c]]),"")</f>
        <v>3.3333333333333335</v>
      </c>
      <c r="ER481">
        <v>2</v>
      </c>
      <c r="ES481">
        <f>IFERROR(AVERAGE(Tabel1[[#This Row],[Do - F2a]:[Do - F2a]]),"")</f>
        <v>2</v>
      </c>
      <c r="ET481">
        <v>2</v>
      </c>
      <c r="EU481">
        <v>2</v>
      </c>
      <c r="EV481">
        <f>IFERROR(AVERAGE(Tabel1[[#This Row],[Do - F3a]:[Do - F3b]]),"")</f>
        <v>2</v>
      </c>
      <c r="EW481">
        <v>4</v>
      </c>
      <c r="EX481">
        <f>IFERROR(AVERAGE(Tabel1[[#This Row],[Do - F1]],Tabel1[[#This Row],[Do - F2]],Tabel1[[#This Row],[Do - F3]],Tabel1[[#This Row],[Do - F4]]),"")</f>
        <v>2.8333333333333335</v>
      </c>
      <c r="EY481">
        <v>3</v>
      </c>
      <c r="EZ481">
        <v>4</v>
      </c>
      <c r="FA481">
        <v>2</v>
      </c>
      <c r="FB481">
        <f>IFERROR(AVERAGE(Tabel1[[#This Row],[Do - V1a]:[Do - V1c]]),"")</f>
        <v>3</v>
      </c>
      <c r="FC481">
        <v>2</v>
      </c>
      <c r="FD481">
        <v>1</v>
      </c>
      <c r="FE481">
        <f>IFERROR(AVERAGE(Tabel1[[#This Row],[Do - V2a]:[Do - V2b]]),"")</f>
        <v>1.5</v>
      </c>
      <c r="FF481">
        <v>4</v>
      </c>
      <c r="FG481">
        <f>IFERROR(AVERAGE(Tabel1[[#This Row],[Do - V3a]:[Do - V3a]]),"")</f>
        <v>4</v>
      </c>
      <c r="FH481">
        <v>3</v>
      </c>
      <c r="FI481">
        <f>IFERROR(AVERAGE(Tabel1[[#This Row],[Do - V1]],Tabel1[[#This Row],[Do - V2]],Tabel1[[#This Row],[Do - V3]],Tabel1[[#This Row],[Do - V4]]),"")</f>
        <v>2.875</v>
      </c>
      <c r="FJ481" t="s">
        <v>189</v>
      </c>
      <c r="FK481">
        <v>4</v>
      </c>
      <c r="FL481">
        <v>4</v>
      </c>
      <c r="FM481">
        <f>IFERROR(AVERAGE(Tabel1[[#This Row],[Do - A1a]:[Do - A1c]]),"")</f>
        <v>4</v>
      </c>
      <c r="FP481" t="str">
        <f>IFERROR(AVERAGE(Tabel1[[#This Row],[Do - A2a]:[Do - A2b]]),"")</f>
        <v/>
      </c>
      <c r="FQ481">
        <v>4</v>
      </c>
      <c r="FR481">
        <f>IFERROR(AVERAGE(Tabel1[[#This Row],[Do - A3a]:[Do - A3a]]),"")</f>
        <v>4</v>
      </c>
      <c r="FS481">
        <v>4</v>
      </c>
      <c r="FT481">
        <f>IFERROR(AVERAGE(Tabel1[[#This Row],[Do - A1]],Tabel1[[#This Row],[Do - A2]],Tabel1[[#This Row],[Do - A3]],Tabel1[[#This Row],[Do - A4]]),"")</f>
        <v>4</v>
      </c>
      <c r="FU48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3.0787037037037042</v>
      </c>
      <c r="FV481" s="31" t="s">
        <v>2344</v>
      </c>
      <c r="FW481" t="b">
        <v>1</v>
      </c>
    </row>
    <row r="482" spans="1:179" x14ac:dyDescent="0.3">
      <c r="A482" s="13">
        <v>45755.3826736111</v>
      </c>
      <c r="B482" t="b">
        <v>0</v>
      </c>
      <c r="C482" t="s">
        <v>2345</v>
      </c>
      <c r="D482" t="s">
        <v>2346</v>
      </c>
      <c r="E482" t="s">
        <v>2347</v>
      </c>
      <c r="F482" s="14" t="s">
        <v>184</v>
      </c>
      <c r="G482" t="s">
        <v>2348</v>
      </c>
      <c r="H482" t="s">
        <v>222</v>
      </c>
      <c r="I482" t="s">
        <v>385</v>
      </c>
      <c r="K482" t="s">
        <v>187</v>
      </c>
      <c r="L482" t="s">
        <v>197</v>
      </c>
      <c r="M482" t="s">
        <v>233</v>
      </c>
      <c r="N482" t="s">
        <v>199</v>
      </c>
      <c r="O482" t="s">
        <v>200</v>
      </c>
      <c r="P482" t="s">
        <v>304</v>
      </c>
      <c r="Q482" t="s">
        <v>202</v>
      </c>
      <c r="R482" t="s">
        <v>202</v>
      </c>
      <c r="S482" t="s">
        <v>201</v>
      </c>
      <c r="T482" t="s">
        <v>348</v>
      </c>
      <c r="U482" t="s">
        <v>205</v>
      </c>
      <c r="V482" t="s">
        <v>484</v>
      </c>
      <c r="W482" t="s">
        <v>207</v>
      </c>
      <c r="X482" t="s">
        <v>207</v>
      </c>
      <c r="Y482">
        <v>5</v>
      </c>
      <c r="Z482">
        <v>4</v>
      </c>
      <c r="AA482">
        <v>4</v>
      </c>
      <c r="AB482">
        <f>IFERROR(AVERAGE(Tabel1[[#This Row],[Up - R1a]:[Up - R1c]]),"")</f>
        <v>4.333333333333333</v>
      </c>
      <c r="AC482">
        <v>4</v>
      </c>
      <c r="AD482">
        <v>4</v>
      </c>
      <c r="AE482">
        <v>4</v>
      </c>
      <c r="AF482">
        <v>4</v>
      </c>
      <c r="AG482">
        <f>IFERROR(AVERAGE(Tabel1[[#This Row],[Up - R1]:[Up - R5]]),"")</f>
        <v>4.0666666666666664</v>
      </c>
      <c r="AH482">
        <v>4</v>
      </c>
      <c r="AI482">
        <v>4</v>
      </c>
      <c r="AJ482">
        <v>4</v>
      </c>
      <c r="AK482">
        <f>IFERROR(AVERAGE(Tabel1[[#This Row],[Up - C1a]:[Up - C1c]]),"")</f>
        <v>4</v>
      </c>
      <c r="AL482">
        <v>4</v>
      </c>
      <c r="AM482">
        <v>5</v>
      </c>
      <c r="AN482">
        <v>4</v>
      </c>
      <c r="AO482">
        <f>IFERROR(AVERAGE(Tabel1[[#This Row],[Up - C1]:[Up - C4]]),"")</f>
        <v>4.25</v>
      </c>
      <c r="AP482">
        <v>3</v>
      </c>
      <c r="AQ482">
        <f>IFERROR(AVERAGE(Tabel1[[#This Row],[Up - F1a]:[Up - F1a]]),"")</f>
        <v>3</v>
      </c>
      <c r="AR482">
        <v>3</v>
      </c>
      <c r="AS482">
        <v>4</v>
      </c>
      <c r="AT482">
        <f>IFERROR(AVERAGE(Tabel1[[#This Row],[Up - F2a]:[Up - F2b]]),"")</f>
        <v>3.5</v>
      </c>
      <c r="AU482">
        <v>4</v>
      </c>
      <c r="AV482">
        <v>3</v>
      </c>
      <c r="AW482">
        <f>IFERROR(AVERAGE(Tabel1[[#This Row],[Up - F3a]:[Up - F3b]]),"")</f>
        <v>3.5</v>
      </c>
      <c r="AX482">
        <v>4</v>
      </c>
      <c r="AY482">
        <f>IFERROR(AVERAGE(Tabel1[[#This Row],[Up - F1]],Tabel1[[#This Row],[Up - F2]],Tabel1[[#This Row],[Up - F3]],Tabel1[[#This Row],[Up - F4]]),"")</f>
        <v>3.5</v>
      </c>
      <c r="AZ482">
        <v>4</v>
      </c>
      <c r="BA482">
        <v>5</v>
      </c>
      <c r="BB482">
        <f>IFERROR(AVERAGE(Tabel1[[#This Row],[Up - V1a]:[Up - V1b]]),"")</f>
        <v>4.5</v>
      </c>
      <c r="BC482">
        <v>5</v>
      </c>
      <c r="BD482">
        <v>5</v>
      </c>
      <c r="BE482">
        <v>4</v>
      </c>
      <c r="BF482">
        <f>IFERROR(AVERAGE(Tabel1[[#This Row],[Up - V2a]:[Up - V2c]]),"")</f>
        <v>4.666666666666667</v>
      </c>
      <c r="BG482">
        <v>5</v>
      </c>
      <c r="BH482">
        <v>5</v>
      </c>
      <c r="BI482">
        <f>IFERROR(AVERAGE(Tabel1[[#This Row],[Up - V3a]:[Up - V3b]]),"")</f>
        <v>5</v>
      </c>
      <c r="BJ482">
        <v>5</v>
      </c>
      <c r="BK482">
        <f>IFERROR(AVERAGE(Tabel1[[#This Row],[Up - V1]],Tabel1[[#This Row],[Up - V2]],Tabel1[[#This Row],[Up - V3]],Tabel1[[#This Row],[Up - V4]]),"")</f>
        <v>4.791666666666667</v>
      </c>
      <c r="BL482">
        <v>4</v>
      </c>
      <c r="BM482">
        <v>5</v>
      </c>
      <c r="BN482">
        <v>4</v>
      </c>
      <c r="BO482">
        <v>3</v>
      </c>
      <c r="BP482">
        <f>IFERROR(AVERAGE(Tabel1[[#This Row],[Up - A1a]:[Up - A1d]]),"")</f>
        <v>4</v>
      </c>
      <c r="BQ482">
        <v>4</v>
      </c>
      <c r="BR482">
        <v>4</v>
      </c>
      <c r="BS482">
        <f>IFERROR(AVERAGE(Tabel1[[#This Row],[Up - A2a]:[Up - A2b]]),"")</f>
        <v>4</v>
      </c>
      <c r="BT482">
        <v>5</v>
      </c>
      <c r="BU482">
        <f>IFERROR(AVERAGE(Tabel1[[#This Row],[Up - A3a]:[Up - A3a]]),"")</f>
        <v>5</v>
      </c>
      <c r="BV482">
        <v>5</v>
      </c>
      <c r="BW482">
        <f>IFERROR(AVERAGE(Tabel1[[#This Row],[Up - A1]],Tabel1[[#This Row],[Up - A2]],Tabel1[[#This Row],[Up - A3]]),"")</f>
        <v>4.333333333333333</v>
      </c>
      <c r="BX482">
        <v>4</v>
      </c>
      <c r="BY482">
        <v>5</v>
      </c>
      <c r="BZ482">
        <f>IFERROR(AVERAGE(Tabel1[[#This Row],[In - R1a]:[In - R1b]]),"")</f>
        <v>4.5</v>
      </c>
      <c r="CA482">
        <v>4</v>
      </c>
      <c r="CB482">
        <v>5</v>
      </c>
      <c r="CC482">
        <v>5</v>
      </c>
      <c r="CD482">
        <v>5</v>
      </c>
      <c r="CE482">
        <f>IFERROR(AVERAGE(Tabel1[[#This Row],[In - R1]:[In - R5]]),"")</f>
        <v>4.7</v>
      </c>
      <c r="CF482">
        <v>5</v>
      </c>
      <c r="CG482">
        <v>4</v>
      </c>
      <c r="CH482">
        <v>4</v>
      </c>
      <c r="CI482">
        <f>IFERROR(AVERAGE(Tabel1[[#This Row],[In - C1a]:[In - C1c]]),"")</f>
        <v>4.333333333333333</v>
      </c>
      <c r="CJ482">
        <v>4</v>
      </c>
      <c r="CK482">
        <v>5</v>
      </c>
      <c r="CL482">
        <v>5</v>
      </c>
      <c r="CM482">
        <f>IFERROR(AVERAGE(Tabel1[[#This Row],[In - C1]:[In - C4]]),"")</f>
        <v>4.583333333333333</v>
      </c>
      <c r="CN482">
        <v>3</v>
      </c>
      <c r="CO482">
        <v>3</v>
      </c>
      <c r="CP482">
        <v>4</v>
      </c>
      <c r="CQ482">
        <f>IFERROR(AVERAGE(Tabel1[[#This Row],[In - F1a]:[In - F1c]]),"")</f>
        <v>3.3333333333333335</v>
      </c>
      <c r="CR482">
        <v>4</v>
      </c>
      <c r="CS482">
        <v>3</v>
      </c>
      <c r="CT482">
        <f>IFERROR(AVERAGE(Tabel1[[#This Row],[In - F2a]:[In - F2b]]),"")</f>
        <v>3.5</v>
      </c>
      <c r="CU482">
        <v>4</v>
      </c>
      <c r="CV482">
        <f>IFERROR(AVERAGE(Tabel1[[#This Row],[In - F3a]:[In - F3a]]),"")</f>
        <v>4</v>
      </c>
      <c r="CW482">
        <v>4</v>
      </c>
      <c r="CX482">
        <f>IFERROR(AVERAGE(Tabel1[[#This Row],[In - F1]],Tabel1[[#This Row],[In - F2]],Tabel1[[#This Row],[In - F3]],Tabel1[[#This Row],[In - F4]]),"")</f>
        <v>3.7083333333333335</v>
      </c>
      <c r="CY482">
        <v>5</v>
      </c>
      <c r="CZ482">
        <v>5</v>
      </c>
      <c r="DA482">
        <v>5</v>
      </c>
      <c r="DB482">
        <f>IFERROR(AVERAGE(Tabel1[[#This Row],[In - V1a]:[In - V1c]]),"")</f>
        <v>5</v>
      </c>
      <c r="DC482">
        <v>5</v>
      </c>
      <c r="DD482">
        <v>5</v>
      </c>
      <c r="DE482">
        <v>5</v>
      </c>
      <c r="DF482">
        <f>IFERROR(AVERAGE(Tabel1[[#This Row],[In - V2a]:[In - V2c]]),"")</f>
        <v>5</v>
      </c>
      <c r="DG482">
        <v>5</v>
      </c>
      <c r="DH482">
        <v>5</v>
      </c>
      <c r="DI482">
        <f>IFERROR(AVERAGE(Tabel1[[#This Row],[In - V3a]:[In - V3b]]),"")</f>
        <v>5</v>
      </c>
      <c r="DJ482">
        <v>5</v>
      </c>
      <c r="DK482">
        <f>IFERROR(AVERAGE(Tabel1[[#This Row],[In - V1]],Tabel1[[#This Row],[In - V2]],Tabel1[[#This Row],[In - V3]],Tabel1[[#This Row],[In - V4]]),"")</f>
        <v>5</v>
      </c>
      <c r="DL482">
        <v>4</v>
      </c>
      <c r="DM482" t="s">
        <v>189</v>
      </c>
      <c r="DN482">
        <f>IFERROR(AVERAGE(Tabel1[[#This Row],[In - A1a]:[In - A1b]]),"")</f>
        <v>4</v>
      </c>
      <c r="DO482">
        <v>4</v>
      </c>
      <c r="DP482">
        <v>5</v>
      </c>
      <c r="DQ482">
        <f>IFERROR(AVERAGE(Tabel1[[#This Row],[In - A2a]:[In - A2b]]),"")</f>
        <v>4.5</v>
      </c>
      <c r="DR482">
        <v>5</v>
      </c>
      <c r="DS482">
        <v>4</v>
      </c>
      <c r="DT482">
        <f>IFERROR(AVERAGE(Tabel1[[#This Row],[In - A3a]:[In - A3a]]),"")</f>
        <v>5</v>
      </c>
      <c r="DU482">
        <v>5</v>
      </c>
      <c r="DV482">
        <f>IFERROR(AVERAGE(Tabel1[[#This Row],[In - A1]],Tabel1[[#This Row],[In - A2]],Tabel1[[#This Row],[In - A3]],Tabel1[[#This Row],[In - A4]]),"")</f>
        <v>4.625</v>
      </c>
      <c r="DW482">
        <v>5</v>
      </c>
      <c r="DX482">
        <v>5</v>
      </c>
      <c r="DY482">
        <v>4</v>
      </c>
      <c r="DZ482">
        <f>IFERROR(AVERAGE(Tabel1[[#This Row],[Do - R1a]:[Do - R1c]]),"")</f>
        <v>4.666666666666667</v>
      </c>
      <c r="EA482">
        <v>4</v>
      </c>
      <c r="EB482">
        <v>4</v>
      </c>
      <c r="EC482">
        <v>4</v>
      </c>
      <c r="ED482">
        <v>4</v>
      </c>
      <c r="EE482">
        <f>IFERROR(AVERAGE(Tabel1[[#This Row],[Do - R1]:[Do - R5]]),"")</f>
        <v>4.1333333333333337</v>
      </c>
      <c r="EF482">
        <v>5</v>
      </c>
      <c r="EG482">
        <v>4</v>
      </c>
      <c r="EH482">
        <v>5</v>
      </c>
      <c r="EI482">
        <f>IFERROR(AVERAGE(Tabel1[[#This Row],[Do - C1a]:[Do - C1c]]),"")</f>
        <v>4.666666666666667</v>
      </c>
      <c r="EJ482">
        <v>4</v>
      </c>
      <c r="EK482">
        <v>5</v>
      </c>
      <c r="EL482">
        <v>4</v>
      </c>
      <c r="EM482">
        <f>IFERROR(AVERAGE(Tabel1[[#This Row],[Do - C1]:[Do - C4]]),"")</f>
        <v>4.416666666666667</v>
      </c>
      <c r="EN482">
        <v>3</v>
      </c>
      <c r="EO482">
        <v>3</v>
      </c>
      <c r="EP482">
        <v>5</v>
      </c>
      <c r="EQ482">
        <f>IFERROR(AVERAGE(Tabel1[[#This Row],[Do - F1a]:[Do - F1c]]),"")</f>
        <v>3.6666666666666665</v>
      </c>
      <c r="ER482">
        <v>3</v>
      </c>
      <c r="ES482">
        <f>IFERROR(AVERAGE(Tabel1[[#This Row],[Do - F2a]:[Do - F2a]]),"")</f>
        <v>3</v>
      </c>
      <c r="ET482">
        <v>4</v>
      </c>
      <c r="EU482">
        <v>3</v>
      </c>
      <c r="EV482">
        <f>IFERROR(AVERAGE(Tabel1[[#This Row],[Do - F3a]:[Do - F3b]]),"")</f>
        <v>3.5</v>
      </c>
      <c r="EW482">
        <v>4</v>
      </c>
      <c r="EX482">
        <f>IFERROR(AVERAGE(Tabel1[[#This Row],[Do - F1]],Tabel1[[#This Row],[Do - F2]],Tabel1[[#This Row],[Do - F3]],Tabel1[[#This Row],[Do - F4]]),"")</f>
        <v>3.5416666666666665</v>
      </c>
      <c r="EY482">
        <v>5</v>
      </c>
      <c r="EZ482" t="s">
        <v>189</v>
      </c>
      <c r="FA482">
        <v>5</v>
      </c>
      <c r="FB482">
        <f>IFERROR(AVERAGE(Tabel1[[#This Row],[Do - V1a]:[Do - V1c]]),"")</f>
        <v>5</v>
      </c>
      <c r="FC482">
        <v>5</v>
      </c>
      <c r="FD482">
        <v>5</v>
      </c>
      <c r="FE482">
        <f>IFERROR(AVERAGE(Tabel1[[#This Row],[Do - V2a]:[Do - V2b]]),"")</f>
        <v>5</v>
      </c>
      <c r="FF482">
        <v>5</v>
      </c>
      <c r="FG482">
        <f>IFERROR(AVERAGE(Tabel1[[#This Row],[Do - V3a]:[Do - V3a]]),"")</f>
        <v>5</v>
      </c>
      <c r="FH482">
        <v>5</v>
      </c>
      <c r="FI482">
        <f>IFERROR(AVERAGE(Tabel1[[#This Row],[Do - V1]],Tabel1[[#This Row],[Do - V2]],Tabel1[[#This Row],[Do - V3]],Tabel1[[#This Row],[Do - V4]]),"")</f>
        <v>5</v>
      </c>
      <c r="FJ482">
        <v>4</v>
      </c>
      <c r="FK482">
        <v>5</v>
      </c>
      <c r="FL482">
        <v>5</v>
      </c>
      <c r="FM482">
        <f>IFERROR(AVERAGE(Tabel1[[#This Row],[Do - A1a]:[Do - A1c]]),"")</f>
        <v>4.666666666666667</v>
      </c>
      <c r="FN482">
        <v>4</v>
      </c>
      <c r="FO482">
        <v>4</v>
      </c>
      <c r="FP482">
        <f>IFERROR(AVERAGE(Tabel1[[#This Row],[Do - A2a]:[Do - A2b]]),"")</f>
        <v>4</v>
      </c>
      <c r="FQ482">
        <v>5</v>
      </c>
      <c r="FR482">
        <f>IFERROR(AVERAGE(Tabel1[[#This Row],[Do - A3a]:[Do - A3a]]),"")</f>
        <v>5</v>
      </c>
      <c r="FS482">
        <v>5</v>
      </c>
      <c r="FT482">
        <f>IFERROR(AVERAGE(Tabel1[[#This Row],[Do - A1]],Tabel1[[#This Row],[Do - A2]],Tabel1[[#This Row],[Do - A3]],Tabel1[[#This Row],[Do - A4]]),"")</f>
        <v>4.666666666666667</v>
      </c>
      <c r="FU48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4.3544444444444439</v>
      </c>
      <c r="FV482" s="31" t="s">
        <v>2349</v>
      </c>
      <c r="FW482" t="b">
        <v>1</v>
      </c>
    </row>
    <row r="483" spans="1:179" x14ac:dyDescent="0.3">
      <c r="A483" s="13">
        <v>45755.591076388897</v>
      </c>
      <c r="B483" t="b">
        <v>0</v>
      </c>
      <c r="C483" t="s">
        <v>2350</v>
      </c>
      <c r="D483" t="s">
        <v>215</v>
      </c>
      <c r="E483" t="s">
        <v>2351</v>
      </c>
      <c r="F483" s="14" t="s">
        <v>184</v>
      </c>
      <c r="G483" t="s">
        <v>2352</v>
      </c>
      <c r="H483" t="s">
        <v>194</v>
      </c>
      <c r="I483" t="s">
        <v>195</v>
      </c>
      <c r="J483" t="s">
        <v>261</v>
      </c>
      <c r="K483" t="s">
        <v>304</v>
      </c>
      <c r="L483" t="s">
        <v>197</v>
      </c>
      <c r="M483" t="s">
        <v>188</v>
      </c>
      <c r="N483" t="s">
        <v>199</v>
      </c>
      <c r="O483" t="s">
        <v>200</v>
      </c>
      <c r="P483" t="s">
        <v>255</v>
      </c>
      <c r="Q483" t="s">
        <v>304</v>
      </c>
      <c r="R483" t="s">
        <v>201</v>
      </c>
      <c r="S483" t="s">
        <v>203</v>
      </c>
      <c r="T483" t="s">
        <v>204</v>
      </c>
      <c r="U483" t="s">
        <v>349</v>
      </c>
      <c r="V483" t="s">
        <v>359</v>
      </c>
      <c r="W483" t="s">
        <v>207</v>
      </c>
      <c r="X483" t="s">
        <v>207</v>
      </c>
      <c r="Y483">
        <v>4</v>
      </c>
      <c r="Z483">
        <v>4</v>
      </c>
      <c r="AA483">
        <v>2</v>
      </c>
      <c r="AB483">
        <f>IFERROR(AVERAGE(Tabel1[[#This Row],[Up - R1a]:[Up - R1c]]),"")</f>
        <v>3.3333333333333335</v>
      </c>
      <c r="AC483">
        <v>4</v>
      </c>
      <c r="AD483">
        <v>4</v>
      </c>
      <c r="AE483">
        <v>2</v>
      </c>
      <c r="AF483">
        <v>4</v>
      </c>
      <c r="AG483">
        <f>IFERROR(AVERAGE(Tabel1[[#This Row],[Up - R1]:[Up - R5]]),"")</f>
        <v>3.4666666666666672</v>
      </c>
      <c r="AH483">
        <v>4</v>
      </c>
      <c r="AI483">
        <v>4</v>
      </c>
      <c r="AJ483">
        <v>3</v>
      </c>
      <c r="AK483">
        <f>IFERROR(AVERAGE(Tabel1[[#This Row],[Up - C1a]:[Up - C1c]]),"")</f>
        <v>3.6666666666666665</v>
      </c>
      <c r="AL483">
        <v>3</v>
      </c>
      <c r="AM483">
        <v>4</v>
      </c>
      <c r="AN483">
        <v>4</v>
      </c>
      <c r="AO483">
        <f>IFERROR(AVERAGE(Tabel1[[#This Row],[Up - C1]:[Up - C4]]),"")</f>
        <v>3.6666666666666665</v>
      </c>
      <c r="AP483">
        <v>3</v>
      </c>
      <c r="AQ483">
        <f>IFERROR(AVERAGE(Tabel1[[#This Row],[Up - F1a]:[Up - F1a]]),"")</f>
        <v>3</v>
      </c>
      <c r="AR483">
        <v>3</v>
      </c>
      <c r="AS483">
        <v>4</v>
      </c>
      <c r="AT483">
        <f>IFERROR(AVERAGE(Tabel1[[#This Row],[Up - F2a]:[Up - F2b]]),"")</f>
        <v>3.5</v>
      </c>
      <c r="AU483">
        <v>4</v>
      </c>
      <c r="AV483">
        <v>2</v>
      </c>
      <c r="AW483">
        <f>IFERROR(AVERAGE(Tabel1[[#This Row],[Up - F3a]:[Up - F3b]]),"")</f>
        <v>3</v>
      </c>
      <c r="AX483">
        <v>4</v>
      </c>
      <c r="AY483">
        <f>IFERROR(AVERAGE(Tabel1[[#This Row],[Up - F1]],Tabel1[[#This Row],[Up - F2]],Tabel1[[#This Row],[Up - F3]],Tabel1[[#This Row],[Up - F4]]),"")</f>
        <v>3.375</v>
      </c>
      <c r="AZ483">
        <v>3</v>
      </c>
      <c r="BA483">
        <v>2</v>
      </c>
      <c r="BB483">
        <f>IFERROR(AVERAGE(Tabel1[[#This Row],[Up - V1a]:[Up - V1b]]),"")</f>
        <v>2.5</v>
      </c>
      <c r="BC483">
        <v>2</v>
      </c>
      <c r="BD483">
        <v>2</v>
      </c>
      <c r="BE483">
        <v>2</v>
      </c>
      <c r="BF483">
        <f>IFERROR(AVERAGE(Tabel1[[#This Row],[Up - V2a]:[Up - V2c]]),"")</f>
        <v>2</v>
      </c>
      <c r="BG483">
        <v>3</v>
      </c>
      <c r="BH483">
        <v>3</v>
      </c>
      <c r="BI483">
        <f>IFERROR(AVERAGE(Tabel1[[#This Row],[Up - V3a]:[Up - V3b]]),"")</f>
        <v>3</v>
      </c>
      <c r="BJ483">
        <v>3</v>
      </c>
      <c r="BK483">
        <f>IFERROR(AVERAGE(Tabel1[[#This Row],[Up - V1]],Tabel1[[#This Row],[Up - V2]],Tabel1[[#This Row],[Up - V3]],Tabel1[[#This Row],[Up - V4]]),"")</f>
        <v>2.625</v>
      </c>
      <c r="BL483">
        <v>4</v>
      </c>
      <c r="BM483">
        <v>4</v>
      </c>
      <c r="BN483">
        <v>4</v>
      </c>
      <c r="BO483">
        <v>4</v>
      </c>
      <c r="BP483">
        <f>IFERROR(AVERAGE(Tabel1[[#This Row],[Up - A1a]:[Up - A1d]]),"")</f>
        <v>4</v>
      </c>
      <c r="BQ483">
        <v>4</v>
      </c>
      <c r="BR483">
        <v>4</v>
      </c>
      <c r="BS483">
        <f>IFERROR(AVERAGE(Tabel1[[#This Row],[Up - A2a]:[Up - A2b]]),"")</f>
        <v>4</v>
      </c>
      <c r="BT483">
        <v>4</v>
      </c>
      <c r="BU483">
        <f>IFERROR(AVERAGE(Tabel1[[#This Row],[Up - A3a]:[Up - A3a]]),"")</f>
        <v>4</v>
      </c>
      <c r="BV483">
        <v>2</v>
      </c>
      <c r="BW483">
        <f>IFERROR(AVERAGE(Tabel1[[#This Row],[Up - A1]],Tabel1[[#This Row],[Up - A2]],Tabel1[[#This Row],[Up - A3]]),"")</f>
        <v>4</v>
      </c>
      <c r="BX483">
        <v>1</v>
      </c>
      <c r="BY483">
        <v>1</v>
      </c>
      <c r="BZ483">
        <f>IFERROR(AVERAGE(Tabel1[[#This Row],[In - R1a]:[In - R1b]]),"")</f>
        <v>1</v>
      </c>
      <c r="CA483">
        <v>5</v>
      </c>
      <c r="CB483">
        <v>1</v>
      </c>
      <c r="CC483">
        <v>3</v>
      </c>
      <c r="CD483">
        <v>4</v>
      </c>
      <c r="CE483">
        <f>IFERROR(AVERAGE(Tabel1[[#This Row],[In - R1]:[In - R5]]),"")</f>
        <v>2.8</v>
      </c>
      <c r="CF483">
        <v>4</v>
      </c>
      <c r="CG483">
        <v>4</v>
      </c>
      <c r="CH483">
        <v>3</v>
      </c>
      <c r="CI483">
        <f>IFERROR(AVERAGE(Tabel1[[#This Row],[In - C1a]:[In - C1c]]),"")</f>
        <v>3.6666666666666665</v>
      </c>
      <c r="CJ483">
        <v>2</v>
      </c>
      <c r="CK483">
        <v>3</v>
      </c>
      <c r="CL483">
        <v>4</v>
      </c>
      <c r="CM483">
        <f>IFERROR(AVERAGE(Tabel1[[#This Row],[In - C1]:[In - C4]]),"")</f>
        <v>3.1666666666666665</v>
      </c>
      <c r="CN483">
        <v>4</v>
      </c>
      <c r="CO483">
        <v>2</v>
      </c>
      <c r="CP483">
        <v>2</v>
      </c>
      <c r="CQ483">
        <f>IFERROR(AVERAGE(Tabel1[[#This Row],[In - F1a]:[In - F1c]]),"")</f>
        <v>2.6666666666666665</v>
      </c>
      <c r="CR483">
        <v>4</v>
      </c>
      <c r="CS483">
        <v>4</v>
      </c>
      <c r="CT483">
        <f>IFERROR(AVERAGE(Tabel1[[#This Row],[In - F2a]:[In - F2b]]),"")</f>
        <v>4</v>
      </c>
      <c r="CU483">
        <v>3</v>
      </c>
      <c r="CV483">
        <f>IFERROR(AVERAGE(Tabel1[[#This Row],[In - F3a]:[In - F3a]]),"")</f>
        <v>3</v>
      </c>
      <c r="CW483">
        <v>3</v>
      </c>
      <c r="CX483">
        <f>IFERROR(AVERAGE(Tabel1[[#This Row],[In - F1]],Tabel1[[#This Row],[In - F2]],Tabel1[[#This Row],[In - F3]],Tabel1[[#This Row],[In - F4]]),"")</f>
        <v>3.1666666666666665</v>
      </c>
      <c r="CY483">
        <v>3</v>
      </c>
      <c r="CZ483">
        <v>2</v>
      </c>
      <c r="DA483">
        <v>3</v>
      </c>
      <c r="DB483">
        <f>IFERROR(AVERAGE(Tabel1[[#This Row],[In - V1a]:[In - V1c]]),"")</f>
        <v>2.6666666666666665</v>
      </c>
      <c r="DC483">
        <v>4</v>
      </c>
      <c r="DD483">
        <v>4</v>
      </c>
      <c r="DE483">
        <v>3</v>
      </c>
      <c r="DF483">
        <f>IFERROR(AVERAGE(Tabel1[[#This Row],[In - V2a]:[In - V2c]]),"")</f>
        <v>3.6666666666666665</v>
      </c>
      <c r="DG483">
        <v>2</v>
      </c>
      <c r="DH483">
        <v>2</v>
      </c>
      <c r="DI483">
        <f>IFERROR(AVERAGE(Tabel1[[#This Row],[In - V3a]:[In - V3b]]),"")</f>
        <v>2</v>
      </c>
      <c r="DJ483">
        <v>3</v>
      </c>
      <c r="DK483">
        <f>IFERROR(AVERAGE(Tabel1[[#This Row],[In - V1]],Tabel1[[#This Row],[In - V2]],Tabel1[[#This Row],[In - V3]],Tabel1[[#This Row],[In - V4]]),"")</f>
        <v>2.833333333333333</v>
      </c>
      <c r="DL483">
        <v>4</v>
      </c>
      <c r="DM483">
        <v>4</v>
      </c>
      <c r="DN483">
        <f>IFERROR(AVERAGE(Tabel1[[#This Row],[In - A1a]:[In - A1b]]),"")</f>
        <v>4</v>
      </c>
      <c r="DO483">
        <v>4</v>
      </c>
      <c r="DP483">
        <v>4</v>
      </c>
      <c r="DQ483">
        <f>IFERROR(AVERAGE(Tabel1[[#This Row],[In - A2a]:[In - A2b]]),"")</f>
        <v>4</v>
      </c>
      <c r="DR483">
        <v>4</v>
      </c>
      <c r="DS483">
        <v>3</v>
      </c>
      <c r="DT483">
        <f>IFERROR(AVERAGE(Tabel1[[#This Row],[In - A3a]:[In - A3a]]),"")</f>
        <v>4</v>
      </c>
      <c r="DU483">
        <v>2</v>
      </c>
      <c r="DV483">
        <f>IFERROR(AVERAGE(Tabel1[[#This Row],[In - A1]],Tabel1[[#This Row],[In - A2]],Tabel1[[#This Row],[In - A3]],Tabel1[[#This Row],[In - A4]]),"")</f>
        <v>3.5</v>
      </c>
      <c r="DW483">
        <v>4</v>
      </c>
      <c r="DX483">
        <v>4</v>
      </c>
      <c r="DY483">
        <v>4</v>
      </c>
      <c r="DZ483">
        <f>IFERROR(AVERAGE(Tabel1[[#This Row],[Do - R1a]:[Do - R1c]]),"")</f>
        <v>4</v>
      </c>
      <c r="EA483">
        <v>3</v>
      </c>
      <c r="EB483">
        <v>4</v>
      </c>
      <c r="EC483">
        <v>4</v>
      </c>
      <c r="ED483">
        <v>4</v>
      </c>
      <c r="EE483">
        <f>IFERROR(AVERAGE(Tabel1[[#This Row],[Do - R1]:[Do - R5]]),"")</f>
        <v>3.8</v>
      </c>
      <c r="EF483">
        <v>3</v>
      </c>
      <c r="EG483">
        <v>4</v>
      </c>
      <c r="EH483">
        <v>3</v>
      </c>
      <c r="EI483">
        <f>IFERROR(AVERAGE(Tabel1[[#This Row],[Do - C1a]:[Do - C1c]]),"")</f>
        <v>3.3333333333333335</v>
      </c>
      <c r="EJ483">
        <v>3</v>
      </c>
      <c r="EK483">
        <v>4</v>
      </c>
      <c r="EL483">
        <v>4</v>
      </c>
      <c r="EM483">
        <f>IFERROR(AVERAGE(Tabel1[[#This Row],[Do - C1]:[Do - C4]]),"")</f>
        <v>3.5833333333333335</v>
      </c>
      <c r="EN483">
        <v>3</v>
      </c>
      <c r="EO483">
        <v>4</v>
      </c>
      <c r="EP483">
        <v>4</v>
      </c>
      <c r="EQ483">
        <f>IFERROR(AVERAGE(Tabel1[[#This Row],[Do - F1a]:[Do - F1c]]),"")</f>
        <v>3.6666666666666665</v>
      </c>
      <c r="ER483">
        <v>3</v>
      </c>
      <c r="ES483">
        <f>IFERROR(AVERAGE(Tabel1[[#This Row],[Do - F2a]:[Do - F2a]]),"")</f>
        <v>3</v>
      </c>
      <c r="ET483">
        <v>4</v>
      </c>
      <c r="EU483">
        <v>4</v>
      </c>
      <c r="EV483">
        <f>IFERROR(AVERAGE(Tabel1[[#This Row],[Do - F3a]:[Do - F3b]]),"")</f>
        <v>4</v>
      </c>
      <c r="EW483">
        <v>3</v>
      </c>
      <c r="EX483">
        <f>IFERROR(AVERAGE(Tabel1[[#This Row],[Do - F1]],Tabel1[[#This Row],[Do - F2]],Tabel1[[#This Row],[Do - F3]],Tabel1[[#This Row],[Do - F4]]),"")</f>
        <v>3.4166666666666665</v>
      </c>
      <c r="EY483">
        <v>2</v>
      </c>
      <c r="EZ483">
        <v>3</v>
      </c>
      <c r="FA483">
        <v>3</v>
      </c>
      <c r="FB483">
        <f>IFERROR(AVERAGE(Tabel1[[#This Row],[Do - V1a]:[Do - V1c]]),"")</f>
        <v>2.6666666666666665</v>
      </c>
      <c r="FC483">
        <v>2</v>
      </c>
      <c r="FD483">
        <v>3</v>
      </c>
      <c r="FE483">
        <f>IFERROR(AVERAGE(Tabel1[[#This Row],[Do - V2a]:[Do - V2b]]),"")</f>
        <v>2.5</v>
      </c>
      <c r="FF483">
        <v>2</v>
      </c>
      <c r="FG483">
        <f>IFERROR(AVERAGE(Tabel1[[#This Row],[Do - V3a]:[Do - V3a]]),"")</f>
        <v>2</v>
      </c>
      <c r="FH483">
        <v>2</v>
      </c>
      <c r="FI483">
        <f>IFERROR(AVERAGE(Tabel1[[#This Row],[Do - V1]],Tabel1[[#This Row],[Do - V2]],Tabel1[[#This Row],[Do - V3]],Tabel1[[#This Row],[Do - V4]]),"")</f>
        <v>2.2916666666666665</v>
      </c>
      <c r="FJ483">
        <v>4</v>
      </c>
      <c r="FK483">
        <v>4</v>
      </c>
      <c r="FL483">
        <v>4</v>
      </c>
      <c r="FM483">
        <f>IFERROR(AVERAGE(Tabel1[[#This Row],[Do - A1a]:[Do - A1c]]),"")</f>
        <v>4</v>
      </c>
      <c r="FN483">
        <v>4</v>
      </c>
      <c r="FO483">
        <v>4</v>
      </c>
      <c r="FP483">
        <f>IFERROR(AVERAGE(Tabel1[[#This Row],[Do - A2a]:[Do - A2b]]),"")</f>
        <v>4</v>
      </c>
      <c r="FQ483">
        <v>4</v>
      </c>
      <c r="FR483">
        <f>IFERROR(AVERAGE(Tabel1[[#This Row],[Do - A3a]:[Do - A3a]]),"")</f>
        <v>4</v>
      </c>
      <c r="FS483">
        <v>3</v>
      </c>
      <c r="FT483">
        <f>IFERROR(AVERAGE(Tabel1[[#This Row],[Do - A1]],Tabel1[[#This Row],[Do - A2]],Tabel1[[#This Row],[Do - A3]],Tabel1[[#This Row],[Do - A4]]),"")</f>
        <v>3.75</v>
      </c>
      <c r="FU48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3.2961111111111108</v>
      </c>
      <c r="FV483" s="31" t="s">
        <v>2353</v>
      </c>
      <c r="FW483" t="b">
        <v>1</v>
      </c>
    </row>
    <row r="484" spans="1:179" x14ac:dyDescent="0.3">
      <c r="A484" s="13">
        <v>45757.234398148103</v>
      </c>
      <c r="B484" t="b">
        <v>0</v>
      </c>
      <c r="C484" t="s">
        <v>2354</v>
      </c>
      <c r="D484" t="s">
        <v>2355</v>
      </c>
      <c r="E484" t="s">
        <v>2356</v>
      </c>
      <c r="F484" s="14" t="s">
        <v>184</v>
      </c>
      <c r="G484" t="s">
        <v>2357</v>
      </c>
      <c r="H484" t="s">
        <v>194</v>
      </c>
      <c r="I484" t="s">
        <v>195</v>
      </c>
      <c r="J484" t="s">
        <v>347</v>
      </c>
      <c r="K484" t="s">
        <v>187</v>
      </c>
      <c r="L484" t="s">
        <v>197</v>
      </c>
      <c r="M484" t="s">
        <v>198</v>
      </c>
      <c r="N484" t="s">
        <v>262</v>
      </c>
      <c r="O484" t="s">
        <v>200</v>
      </c>
      <c r="P484" t="s">
        <v>255</v>
      </c>
      <c r="Q484" t="s">
        <v>201</v>
      </c>
      <c r="R484" t="s">
        <v>235</v>
      </c>
      <c r="S484" t="s">
        <v>255</v>
      </c>
      <c r="T484" t="s">
        <v>236</v>
      </c>
      <c r="U484" t="s">
        <v>237</v>
      </c>
      <c r="V484" t="s">
        <v>359</v>
      </c>
      <c r="W484" t="s">
        <v>207</v>
      </c>
      <c r="X484" t="s">
        <v>207</v>
      </c>
      <c r="Y484">
        <v>1</v>
      </c>
      <c r="Z484">
        <v>4</v>
      </c>
      <c r="AA484" t="s">
        <v>189</v>
      </c>
      <c r="AB484">
        <f>IFERROR(AVERAGE(Tabel1[[#This Row],[Up - R1a]:[Up - R1c]]),"")</f>
        <v>2.5</v>
      </c>
      <c r="AC484" t="s">
        <v>189</v>
      </c>
      <c r="AD484">
        <v>2</v>
      </c>
      <c r="AE484">
        <v>2</v>
      </c>
      <c r="AF484" t="s">
        <v>189</v>
      </c>
      <c r="AG484">
        <f>IFERROR(AVERAGE(Tabel1[[#This Row],[Up - R1]:[Up - R5]]),"")</f>
        <v>2.1666666666666665</v>
      </c>
      <c r="AH484">
        <v>5</v>
      </c>
      <c r="AI484">
        <v>5</v>
      </c>
      <c r="AJ484">
        <v>4</v>
      </c>
      <c r="AK484">
        <f>IFERROR(AVERAGE(Tabel1[[#This Row],[Up - C1a]:[Up - C1c]]),"")</f>
        <v>4.666666666666667</v>
      </c>
      <c r="AL484">
        <v>5</v>
      </c>
      <c r="AM484">
        <v>4</v>
      </c>
      <c r="AN484">
        <v>4</v>
      </c>
      <c r="AO484">
        <f>IFERROR(AVERAGE(Tabel1[[#This Row],[Up - C1]:[Up - C4]]),"")</f>
        <v>4.416666666666667</v>
      </c>
      <c r="AP484">
        <v>1</v>
      </c>
      <c r="AQ484">
        <f>IFERROR(AVERAGE(Tabel1[[#This Row],[Up - F1a]:[Up - F1a]]),"")</f>
        <v>1</v>
      </c>
      <c r="AR484">
        <v>1</v>
      </c>
      <c r="AS484">
        <v>1</v>
      </c>
      <c r="AT484">
        <f>IFERROR(AVERAGE(Tabel1[[#This Row],[Up - F2a]:[Up - F2b]]),"")</f>
        <v>1</v>
      </c>
      <c r="AU484">
        <v>2</v>
      </c>
      <c r="AV484">
        <v>3</v>
      </c>
      <c r="AW484">
        <f>IFERROR(AVERAGE(Tabel1[[#This Row],[Up - F3a]:[Up - F3b]]),"")</f>
        <v>2.5</v>
      </c>
      <c r="AX484">
        <v>2</v>
      </c>
      <c r="AY484">
        <f>IFERROR(AVERAGE(Tabel1[[#This Row],[Up - F1]],Tabel1[[#This Row],[Up - F2]],Tabel1[[#This Row],[Up - F3]],Tabel1[[#This Row],[Up - F4]]),"")</f>
        <v>1.625</v>
      </c>
      <c r="AZ484">
        <v>4</v>
      </c>
      <c r="BA484">
        <v>4</v>
      </c>
      <c r="BB484">
        <f>IFERROR(AVERAGE(Tabel1[[#This Row],[Up - V1a]:[Up - V1b]]),"")</f>
        <v>4</v>
      </c>
      <c r="BC484">
        <v>3</v>
      </c>
      <c r="BD484">
        <v>4</v>
      </c>
      <c r="BE484">
        <v>4</v>
      </c>
      <c r="BF484">
        <f>IFERROR(AVERAGE(Tabel1[[#This Row],[Up - V2a]:[Up - V2c]]),"")</f>
        <v>3.6666666666666665</v>
      </c>
      <c r="BG484" t="s">
        <v>189</v>
      </c>
      <c r="BH484">
        <v>4</v>
      </c>
      <c r="BI484">
        <f>IFERROR(AVERAGE(Tabel1[[#This Row],[Up - V3a]:[Up - V3b]]),"")</f>
        <v>4</v>
      </c>
      <c r="BJ484">
        <v>3</v>
      </c>
      <c r="BK484">
        <f>IFERROR(AVERAGE(Tabel1[[#This Row],[Up - V1]],Tabel1[[#This Row],[Up - V2]],Tabel1[[#This Row],[Up - V3]],Tabel1[[#This Row],[Up - V4]]),"")</f>
        <v>3.6666666666666665</v>
      </c>
      <c r="BL484" t="s">
        <v>189</v>
      </c>
      <c r="BM484">
        <v>1</v>
      </c>
      <c r="BN484">
        <v>1</v>
      </c>
      <c r="BO484">
        <v>3</v>
      </c>
      <c r="BP484">
        <f>IFERROR(AVERAGE(Tabel1[[#This Row],[Up - A1a]:[Up - A1d]]),"")</f>
        <v>1.6666666666666667</v>
      </c>
      <c r="BQ484">
        <v>1</v>
      </c>
      <c r="BR484">
        <v>1</v>
      </c>
      <c r="BS484">
        <f>IFERROR(AVERAGE(Tabel1[[#This Row],[Up - A2a]:[Up - A2b]]),"")</f>
        <v>1</v>
      </c>
      <c r="BT484">
        <v>4</v>
      </c>
      <c r="BU484">
        <f>IFERROR(AVERAGE(Tabel1[[#This Row],[Up - A3a]:[Up - A3a]]),"")</f>
        <v>4</v>
      </c>
      <c r="BV484">
        <v>4</v>
      </c>
      <c r="BW484">
        <f>IFERROR(AVERAGE(Tabel1[[#This Row],[Up - A1]],Tabel1[[#This Row],[Up - A2]],Tabel1[[#This Row],[Up - A3]]),"")</f>
        <v>2.2222222222222223</v>
      </c>
      <c r="BX484">
        <v>1</v>
      </c>
      <c r="BY484">
        <v>5</v>
      </c>
      <c r="BZ484">
        <f>IFERROR(AVERAGE(Tabel1[[#This Row],[In - R1a]:[In - R1b]]),"")</f>
        <v>3</v>
      </c>
      <c r="CA484" t="s">
        <v>189</v>
      </c>
      <c r="CB484">
        <v>1</v>
      </c>
      <c r="CC484">
        <v>4</v>
      </c>
      <c r="CD484">
        <v>3</v>
      </c>
      <c r="CE484">
        <f>IFERROR(AVERAGE(Tabel1[[#This Row],[In - R1]:[In - R5]]),"")</f>
        <v>2.75</v>
      </c>
      <c r="CF484">
        <v>4</v>
      </c>
      <c r="CG484">
        <v>4</v>
      </c>
      <c r="CH484">
        <v>5</v>
      </c>
      <c r="CI484">
        <f>IFERROR(AVERAGE(Tabel1[[#This Row],[In - C1a]:[In - C1c]]),"")</f>
        <v>4.333333333333333</v>
      </c>
      <c r="CJ484">
        <v>5</v>
      </c>
      <c r="CK484" t="s">
        <v>189</v>
      </c>
      <c r="CL484">
        <v>4</v>
      </c>
      <c r="CM484">
        <f>IFERROR(AVERAGE(Tabel1[[#This Row],[In - C1]:[In - C4]]),"")</f>
        <v>4.4444444444444438</v>
      </c>
      <c r="CN484">
        <v>1</v>
      </c>
      <c r="CO484">
        <v>1</v>
      </c>
      <c r="CP484">
        <v>1</v>
      </c>
      <c r="CQ484">
        <f>IFERROR(AVERAGE(Tabel1[[#This Row],[In - F1a]:[In - F1c]]),"")</f>
        <v>1</v>
      </c>
      <c r="CR484">
        <v>1</v>
      </c>
      <c r="CS484">
        <v>1</v>
      </c>
      <c r="CT484">
        <f>IFERROR(AVERAGE(Tabel1[[#This Row],[In - F2a]:[In - F2b]]),"")</f>
        <v>1</v>
      </c>
      <c r="CU484">
        <v>1</v>
      </c>
      <c r="CV484">
        <f>IFERROR(AVERAGE(Tabel1[[#This Row],[In - F3a]:[In - F3a]]),"")</f>
        <v>1</v>
      </c>
      <c r="CW484">
        <v>2</v>
      </c>
      <c r="CX484">
        <f>IFERROR(AVERAGE(Tabel1[[#This Row],[In - F1]],Tabel1[[#This Row],[In - F2]],Tabel1[[#This Row],[In - F3]],Tabel1[[#This Row],[In - F4]]),"")</f>
        <v>1.25</v>
      </c>
      <c r="CY484">
        <v>4</v>
      </c>
      <c r="CZ484">
        <v>3</v>
      </c>
      <c r="DA484">
        <v>2</v>
      </c>
      <c r="DB484">
        <f>IFERROR(AVERAGE(Tabel1[[#This Row],[In - V1a]:[In - V1c]]),"")</f>
        <v>3</v>
      </c>
      <c r="DC484">
        <v>3</v>
      </c>
      <c r="DD484">
        <v>3</v>
      </c>
      <c r="DE484">
        <v>3</v>
      </c>
      <c r="DF484">
        <f>IFERROR(AVERAGE(Tabel1[[#This Row],[In - V2a]:[In - V2c]]),"")</f>
        <v>3</v>
      </c>
      <c r="DG484" t="s">
        <v>189</v>
      </c>
      <c r="DH484">
        <v>5</v>
      </c>
      <c r="DI484">
        <f>IFERROR(AVERAGE(Tabel1[[#This Row],[In - V3a]:[In - V3b]]),"")</f>
        <v>5</v>
      </c>
      <c r="DJ484">
        <v>3</v>
      </c>
      <c r="DK484">
        <f>IFERROR(AVERAGE(Tabel1[[#This Row],[In - V1]],Tabel1[[#This Row],[In - V2]],Tabel1[[#This Row],[In - V3]],Tabel1[[#This Row],[In - V4]]),"")</f>
        <v>3.5</v>
      </c>
      <c r="DL484">
        <v>1</v>
      </c>
      <c r="DM484">
        <v>3</v>
      </c>
      <c r="DN484">
        <f>IFERROR(AVERAGE(Tabel1[[#This Row],[In - A1a]:[In - A1b]]),"")</f>
        <v>2</v>
      </c>
      <c r="DO484" t="s">
        <v>189</v>
      </c>
      <c r="DP484">
        <v>1</v>
      </c>
      <c r="DQ484">
        <f>IFERROR(AVERAGE(Tabel1[[#This Row],[In - A2a]:[In - A2b]]),"")</f>
        <v>1</v>
      </c>
      <c r="DR484">
        <v>4</v>
      </c>
      <c r="DS484">
        <v>1</v>
      </c>
      <c r="DT484">
        <f>IFERROR(AVERAGE(Tabel1[[#This Row],[In - A3a]:[In - A3a]]),"")</f>
        <v>4</v>
      </c>
      <c r="DU484">
        <v>1</v>
      </c>
      <c r="DV484">
        <f>IFERROR(AVERAGE(Tabel1[[#This Row],[In - A1]],Tabel1[[#This Row],[In - A2]],Tabel1[[#This Row],[In - A3]],Tabel1[[#This Row],[In - A4]]),"")</f>
        <v>2</v>
      </c>
      <c r="DW484">
        <v>1</v>
      </c>
      <c r="DX484">
        <v>5</v>
      </c>
      <c r="DY484">
        <v>1</v>
      </c>
      <c r="DZ484">
        <f>IFERROR(AVERAGE(Tabel1[[#This Row],[Do - R1a]:[Do - R1c]]),"")</f>
        <v>2.3333333333333335</v>
      </c>
      <c r="EA484">
        <v>1</v>
      </c>
      <c r="EB484">
        <v>3</v>
      </c>
      <c r="EC484">
        <v>1</v>
      </c>
      <c r="ED484">
        <v>4</v>
      </c>
      <c r="EE484">
        <f>IFERROR(AVERAGE(Tabel1[[#This Row],[Do - R1]:[Do - R5]]),"")</f>
        <v>2.2666666666666666</v>
      </c>
      <c r="EF484">
        <v>4</v>
      </c>
      <c r="EG484">
        <v>5</v>
      </c>
      <c r="EH484">
        <v>4</v>
      </c>
      <c r="EI484">
        <f>IFERROR(AVERAGE(Tabel1[[#This Row],[Do - C1a]:[Do - C1c]]),"")</f>
        <v>4.333333333333333</v>
      </c>
      <c r="EJ484">
        <v>5</v>
      </c>
      <c r="EK484">
        <v>1</v>
      </c>
      <c r="EL484">
        <v>4</v>
      </c>
      <c r="EM484">
        <f>IFERROR(AVERAGE(Tabel1[[#This Row],[Do - C1]:[Do - C4]]),"")</f>
        <v>3.583333333333333</v>
      </c>
      <c r="EN484">
        <v>3</v>
      </c>
      <c r="EO484">
        <v>3</v>
      </c>
      <c r="EP484">
        <v>2</v>
      </c>
      <c r="EQ484">
        <f>IFERROR(AVERAGE(Tabel1[[#This Row],[Do - F1a]:[Do - F1c]]),"")</f>
        <v>2.6666666666666665</v>
      </c>
      <c r="ER484">
        <v>1</v>
      </c>
      <c r="ES484">
        <f>IFERROR(AVERAGE(Tabel1[[#This Row],[Do - F2a]:[Do - F2a]]),"")</f>
        <v>1</v>
      </c>
      <c r="ET484">
        <v>4</v>
      </c>
      <c r="EU484" t="s">
        <v>189</v>
      </c>
      <c r="EV484">
        <f>IFERROR(AVERAGE(Tabel1[[#This Row],[Do - F3a]:[Do - F3b]]),"")</f>
        <v>4</v>
      </c>
      <c r="EW484">
        <v>2</v>
      </c>
      <c r="EX484">
        <f>IFERROR(AVERAGE(Tabel1[[#This Row],[Do - F1]],Tabel1[[#This Row],[Do - F2]],Tabel1[[#This Row],[Do - F3]],Tabel1[[#This Row],[Do - F4]]),"")</f>
        <v>2.4166666666666665</v>
      </c>
      <c r="EY484">
        <v>5</v>
      </c>
      <c r="EZ484" t="s">
        <v>189</v>
      </c>
      <c r="FA484">
        <v>2</v>
      </c>
      <c r="FB484">
        <f>IFERROR(AVERAGE(Tabel1[[#This Row],[Do - V1a]:[Do - V1c]]),"")</f>
        <v>3.5</v>
      </c>
      <c r="FC484">
        <v>1</v>
      </c>
      <c r="FD484">
        <v>5</v>
      </c>
      <c r="FE484">
        <f>IFERROR(AVERAGE(Tabel1[[#This Row],[Do - V2a]:[Do - V2b]]),"")</f>
        <v>3</v>
      </c>
      <c r="FF484">
        <v>5</v>
      </c>
      <c r="FG484">
        <f>IFERROR(AVERAGE(Tabel1[[#This Row],[Do - V3a]:[Do - V3a]]),"")</f>
        <v>5</v>
      </c>
      <c r="FH484">
        <v>5</v>
      </c>
      <c r="FI484">
        <f>IFERROR(AVERAGE(Tabel1[[#This Row],[Do - V1]],Tabel1[[#This Row],[Do - V2]],Tabel1[[#This Row],[Do - V3]],Tabel1[[#This Row],[Do - V4]]),"")</f>
        <v>4.125</v>
      </c>
      <c r="FJ484">
        <v>1</v>
      </c>
      <c r="FK484">
        <v>1</v>
      </c>
      <c r="FL484">
        <v>1</v>
      </c>
      <c r="FM484">
        <f>IFERROR(AVERAGE(Tabel1[[#This Row],[Do - A1a]:[Do - A1c]]),"")</f>
        <v>1</v>
      </c>
      <c r="FN484">
        <v>1</v>
      </c>
      <c r="FO484">
        <v>1</v>
      </c>
      <c r="FP484">
        <f>IFERROR(AVERAGE(Tabel1[[#This Row],[Do - A2a]:[Do - A2b]]),"")</f>
        <v>1</v>
      </c>
      <c r="FQ484">
        <v>5</v>
      </c>
      <c r="FR484">
        <f>IFERROR(AVERAGE(Tabel1[[#This Row],[Do - A3a]:[Do - A3a]]),"")</f>
        <v>5</v>
      </c>
      <c r="FS484">
        <v>1</v>
      </c>
      <c r="FT484">
        <f>IFERROR(AVERAGE(Tabel1[[#This Row],[Do - A1]],Tabel1[[#This Row],[Do - A2]],Tabel1[[#This Row],[Do - A3]],Tabel1[[#This Row],[Do - A4]]),"")</f>
        <v>2</v>
      </c>
      <c r="FU48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2.8288888888888888</v>
      </c>
      <c r="FV484" s="31" t="s">
        <v>2358</v>
      </c>
      <c r="FW484" t="b">
        <v>1</v>
      </c>
    </row>
    <row r="485" spans="1:179" x14ac:dyDescent="0.3">
      <c r="A485" s="13">
        <v>45758.439340277801</v>
      </c>
      <c r="B485" t="b">
        <v>0</v>
      </c>
      <c r="C485" t="s">
        <v>2359</v>
      </c>
      <c r="D485" t="s">
        <v>864</v>
      </c>
      <c r="E485" t="s">
        <v>2360</v>
      </c>
      <c r="F485" s="14" t="s">
        <v>2361</v>
      </c>
      <c r="G485" t="s">
        <v>2362</v>
      </c>
      <c r="H485" t="s">
        <v>194</v>
      </c>
      <c r="I485" t="s">
        <v>417</v>
      </c>
      <c r="J485" t="s">
        <v>418</v>
      </c>
      <c r="K485" t="s">
        <v>235</v>
      </c>
      <c r="L485" t="s">
        <v>197</v>
      </c>
      <c r="M485" t="s">
        <v>198</v>
      </c>
      <c r="N485" t="s">
        <v>199</v>
      </c>
      <c r="O485" t="s">
        <v>200</v>
      </c>
      <c r="P485" t="s">
        <v>255</v>
      </c>
      <c r="Q485" t="s">
        <v>235</v>
      </c>
      <c r="R485" t="s">
        <v>203</v>
      </c>
      <c r="S485" t="s">
        <v>201</v>
      </c>
      <c r="T485" t="s">
        <v>236</v>
      </c>
      <c r="U485" t="s">
        <v>285</v>
      </c>
      <c r="V485" t="s">
        <v>484</v>
      </c>
      <c r="W485" t="s">
        <v>306</v>
      </c>
      <c r="X485" t="s">
        <v>306</v>
      </c>
      <c r="Y485">
        <v>5</v>
      </c>
      <c r="Z485">
        <v>2</v>
      </c>
      <c r="AA485">
        <v>3</v>
      </c>
      <c r="AB485">
        <f>IFERROR(AVERAGE(Tabel1[[#This Row],[Up - R1a]:[Up - R1c]]),"")</f>
        <v>3.3333333333333335</v>
      </c>
      <c r="AC485">
        <v>4</v>
      </c>
      <c r="AD485">
        <v>3</v>
      </c>
      <c r="AE485">
        <v>3</v>
      </c>
      <c r="AF485">
        <v>5</v>
      </c>
      <c r="AG485">
        <f>IFERROR(AVERAGE(Tabel1[[#This Row],[Up - R1]:[Up - R5]]),"")</f>
        <v>3.666666666666667</v>
      </c>
      <c r="AH485">
        <v>4</v>
      </c>
      <c r="AI485">
        <v>4</v>
      </c>
      <c r="AJ485">
        <v>3</v>
      </c>
      <c r="AK485">
        <f>IFERROR(AVERAGE(Tabel1[[#This Row],[Up - C1a]:[Up - C1c]]),"")</f>
        <v>3.6666666666666665</v>
      </c>
      <c r="AL485">
        <v>3</v>
      </c>
      <c r="AM485">
        <v>3</v>
      </c>
      <c r="AN485">
        <v>4</v>
      </c>
      <c r="AO485">
        <f>IFERROR(AVERAGE(Tabel1[[#This Row],[Up - C1]:[Up - C4]]),"")</f>
        <v>3.4166666666666665</v>
      </c>
      <c r="AP485">
        <v>3</v>
      </c>
      <c r="AQ485">
        <f>IFERROR(AVERAGE(Tabel1[[#This Row],[Up - F1a]:[Up - F1a]]),"")</f>
        <v>3</v>
      </c>
      <c r="AR485">
        <v>4</v>
      </c>
      <c r="AS485">
        <v>5</v>
      </c>
      <c r="AT485">
        <f>IFERROR(AVERAGE(Tabel1[[#This Row],[Up - F2a]:[Up - F2b]]),"")</f>
        <v>4.5</v>
      </c>
      <c r="AU485">
        <v>4</v>
      </c>
      <c r="AV485">
        <v>3</v>
      </c>
      <c r="AW485">
        <f>IFERROR(AVERAGE(Tabel1[[#This Row],[Up - F3a]:[Up - F3b]]),"")</f>
        <v>3.5</v>
      </c>
      <c r="AX485">
        <v>3</v>
      </c>
      <c r="AY485">
        <f>IFERROR(AVERAGE(Tabel1[[#This Row],[Up - F1]],Tabel1[[#This Row],[Up - F2]],Tabel1[[#This Row],[Up - F3]],Tabel1[[#This Row],[Up - F4]]),"")</f>
        <v>3.5</v>
      </c>
      <c r="AZ485">
        <v>4</v>
      </c>
      <c r="BA485">
        <v>5</v>
      </c>
      <c r="BB485">
        <f>IFERROR(AVERAGE(Tabel1[[#This Row],[Up - V1a]:[Up - V1b]]),"")</f>
        <v>4.5</v>
      </c>
      <c r="BC485">
        <v>3</v>
      </c>
      <c r="BD485">
        <v>3</v>
      </c>
      <c r="BE485">
        <v>4</v>
      </c>
      <c r="BF485">
        <f>IFERROR(AVERAGE(Tabel1[[#This Row],[Up - V2a]:[Up - V2c]]),"")</f>
        <v>3.3333333333333335</v>
      </c>
      <c r="BG485">
        <v>4</v>
      </c>
      <c r="BH485">
        <v>5</v>
      </c>
      <c r="BI485">
        <f>IFERROR(AVERAGE(Tabel1[[#This Row],[Up - V3a]:[Up - V3b]]),"")</f>
        <v>4.5</v>
      </c>
      <c r="BJ485">
        <v>5</v>
      </c>
      <c r="BK485">
        <f>IFERROR(AVERAGE(Tabel1[[#This Row],[Up - V1]],Tabel1[[#This Row],[Up - V2]],Tabel1[[#This Row],[Up - V3]],Tabel1[[#This Row],[Up - V4]]),"")</f>
        <v>4.3333333333333339</v>
      </c>
      <c r="BL485">
        <v>4</v>
      </c>
      <c r="BM485">
        <v>4</v>
      </c>
      <c r="BN485">
        <v>2</v>
      </c>
      <c r="BO485">
        <v>2</v>
      </c>
      <c r="BP485">
        <f>IFERROR(AVERAGE(Tabel1[[#This Row],[Up - A1a]:[Up - A1d]]),"")</f>
        <v>3</v>
      </c>
      <c r="BQ485">
        <v>1</v>
      </c>
      <c r="BR485">
        <v>2</v>
      </c>
      <c r="BS485">
        <f>IFERROR(AVERAGE(Tabel1[[#This Row],[Up - A2a]:[Up - A2b]]),"")</f>
        <v>1.5</v>
      </c>
      <c r="BT485">
        <v>4</v>
      </c>
      <c r="BU485">
        <f>IFERROR(AVERAGE(Tabel1[[#This Row],[Up - A3a]:[Up - A3a]]),"")</f>
        <v>4</v>
      </c>
      <c r="BV485">
        <v>2</v>
      </c>
      <c r="BW485">
        <f>IFERROR(AVERAGE(Tabel1[[#This Row],[Up - A1]],Tabel1[[#This Row],[Up - A2]],Tabel1[[#This Row],[Up - A3]]),"")</f>
        <v>2.8333333333333335</v>
      </c>
      <c r="BX485">
        <v>2</v>
      </c>
      <c r="BY485" t="s">
        <v>189</v>
      </c>
      <c r="BZ485">
        <f>IFERROR(AVERAGE(Tabel1[[#This Row],[In - R1a]:[In - R1b]]),"")</f>
        <v>2</v>
      </c>
      <c r="CA485" t="s">
        <v>189</v>
      </c>
      <c r="CB485" t="s">
        <v>189</v>
      </c>
      <c r="CC485" t="s">
        <v>189</v>
      </c>
      <c r="CD485">
        <v>5</v>
      </c>
      <c r="CE485">
        <f>IFERROR(AVERAGE(Tabel1[[#This Row],[In - R1]:[In - R5]]),"")</f>
        <v>3.5</v>
      </c>
      <c r="CF485">
        <v>4</v>
      </c>
      <c r="CG485">
        <v>4</v>
      </c>
      <c r="CH485">
        <v>5</v>
      </c>
      <c r="CI485">
        <f>IFERROR(AVERAGE(Tabel1[[#This Row],[In - C1a]:[In - C1c]]),"")</f>
        <v>4.333333333333333</v>
      </c>
      <c r="CJ485">
        <v>4</v>
      </c>
      <c r="CK485">
        <v>5</v>
      </c>
      <c r="CL485">
        <v>5</v>
      </c>
      <c r="CM485">
        <f>IFERROR(AVERAGE(Tabel1[[#This Row],[In - C1]:[In - C4]]),"")</f>
        <v>4.583333333333333</v>
      </c>
      <c r="CN485">
        <v>3</v>
      </c>
      <c r="CO485">
        <v>4</v>
      </c>
      <c r="CP485">
        <v>1</v>
      </c>
      <c r="CQ485">
        <f>IFERROR(AVERAGE(Tabel1[[#This Row],[In - F1a]:[In - F1c]]),"")</f>
        <v>2.6666666666666665</v>
      </c>
      <c r="CR485">
        <v>4</v>
      </c>
      <c r="CS485">
        <v>2</v>
      </c>
      <c r="CT485">
        <f>IFERROR(AVERAGE(Tabel1[[#This Row],[In - F2a]:[In - F2b]]),"")</f>
        <v>3</v>
      </c>
      <c r="CU485">
        <v>3</v>
      </c>
      <c r="CV485">
        <f>IFERROR(AVERAGE(Tabel1[[#This Row],[In - F3a]:[In - F3a]]),"")</f>
        <v>3</v>
      </c>
      <c r="CW485">
        <v>4</v>
      </c>
      <c r="CX485">
        <f>IFERROR(AVERAGE(Tabel1[[#This Row],[In - F1]],Tabel1[[#This Row],[In - F2]],Tabel1[[#This Row],[In - F3]],Tabel1[[#This Row],[In - F4]]),"")</f>
        <v>3.1666666666666665</v>
      </c>
      <c r="CY485">
        <v>4</v>
      </c>
      <c r="CZ485">
        <v>4</v>
      </c>
      <c r="DA485">
        <v>3</v>
      </c>
      <c r="DB485">
        <f>IFERROR(AVERAGE(Tabel1[[#This Row],[In - V1a]:[In - V1c]]),"")</f>
        <v>3.6666666666666665</v>
      </c>
      <c r="DC485">
        <v>3</v>
      </c>
      <c r="DD485">
        <v>3</v>
      </c>
      <c r="DE485">
        <v>4</v>
      </c>
      <c r="DF485">
        <f>IFERROR(AVERAGE(Tabel1[[#This Row],[In - V2a]:[In - V2c]]),"")</f>
        <v>3.3333333333333335</v>
      </c>
      <c r="DG485">
        <v>4</v>
      </c>
      <c r="DH485">
        <v>5</v>
      </c>
      <c r="DI485">
        <f>IFERROR(AVERAGE(Tabel1[[#This Row],[In - V3a]:[In - V3b]]),"")</f>
        <v>4.5</v>
      </c>
      <c r="DK485">
        <f>IFERROR(AVERAGE(Tabel1[[#This Row],[In - V1]],Tabel1[[#This Row],[In - V2]],Tabel1[[#This Row],[In - V3]],Tabel1[[#This Row],[In - V4]]),"")</f>
        <v>3.8333333333333335</v>
      </c>
      <c r="DL485">
        <v>3</v>
      </c>
      <c r="DM485">
        <v>3</v>
      </c>
      <c r="DN485">
        <f>IFERROR(AVERAGE(Tabel1[[#This Row],[In - A1a]:[In - A1b]]),"")</f>
        <v>3</v>
      </c>
      <c r="DO485">
        <v>2</v>
      </c>
      <c r="DP485">
        <v>5</v>
      </c>
      <c r="DQ485">
        <f>IFERROR(AVERAGE(Tabel1[[#This Row],[In - A2a]:[In - A2b]]),"")</f>
        <v>3.5</v>
      </c>
      <c r="DR485">
        <v>4</v>
      </c>
      <c r="DS485">
        <v>3</v>
      </c>
      <c r="DT485">
        <f>IFERROR(AVERAGE(Tabel1[[#This Row],[In - A3a]:[In - A3a]]),"")</f>
        <v>4</v>
      </c>
      <c r="DU485">
        <v>2</v>
      </c>
      <c r="DV485">
        <f>IFERROR(AVERAGE(Tabel1[[#This Row],[In - A1]],Tabel1[[#This Row],[In - A2]],Tabel1[[#This Row],[In - A3]],Tabel1[[#This Row],[In - A4]]),"")</f>
        <v>3.125</v>
      </c>
      <c r="DW485">
        <v>4</v>
      </c>
      <c r="DX485">
        <v>2</v>
      </c>
      <c r="DY485">
        <v>2</v>
      </c>
      <c r="DZ485">
        <f>IFERROR(AVERAGE(Tabel1[[#This Row],[Do - R1a]:[Do - R1c]]),"")</f>
        <v>2.6666666666666665</v>
      </c>
      <c r="EA485" t="s">
        <v>189</v>
      </c>
      <c r="EB485">
        <v>2</v>
      </c>
      <c r="EC485">
        <v>3</v>
      </c>
      <c r="ED485">
        <v>5</v>
      </c>
      <c r="EE485">
        <f>IFERROR(AVERAGE(Tabel1[[#This Row],[Do - R1]:[Do - R5]]),"")</f>
        <v>3.1666666666666665</v>
      </c>
      <c r="EF485">
        <v>4</v>
      </c>
      <c r="EG485">
        <v>3</v>
      </c>
      <c r="EH485">
        <v>4</v>
      </c>
      <c r="EI485">
        <f>IFERROR(AVERAGE(Tabel1[[#This Row],[Do - C1a]:[Do - C1c]]),"")</f>
        <v>3.6666666666666665</v>
      </c>
      <c r="EJ485">
        <v>4</v>
      </c>
      <c r="EK485">
        <v>3</v>
      </c>
      <c r="EL485">
        <v>3</v>
      </c>
      <c r="EM485">
        <f>IFERROR(AVERAGE(Tabel1[[#This Row],[Do - C1]:[Do - C4]]),"")</f>
        <v>3.4166666666666665</v>
      </c>
      <c r="EN485">
        <v>3</v>
      </c>
      <c r="EO485">
        <v>3</v>
      </c>
      <c r="EP485">
        <v>2</v>
      </c>
      <c r="EQ485">
        <f>IFERROR(AVERAGE(Tabel1[[#This Row],[Do - F1a]:[Do - F1c]]),"")</f>
        <v>2.6666666666666665</v>
      </c>
      <c r="ER485">
        <v>3</v>
      </c>
      <c r="ES485">
        <f>IFERROR(AVERAGE(Tabel1[[#This Row],[Do - F2a]:[Do - F2a]]),"")</f>
        <v>3</v>
      </c>
      <c r="ET485">
        <v>4</v>
      </c>
      <c r="EU485">
        <v>3</v>
      </c>
      <c r="EV485">
        <f>IFERROR(AVERAGE(Tabel1[[#This Row],[Do - F3a]:[Do - F3b]]),"")</f>
        <v>3.5</v>
      </c>
      <c r="EW485">
        <v>4</v>
      </c>
      <c r="EX485">
        <f>IFERROR(AVERAGE(Tabel1[[#This Row],[Do - F1]],Tabel1[[#This Row],[Do - F2]],Tabel1[[#This Row],[Do - F3]],Tabel1[[#This Row],[Do - F4]]),"")</f>
        <v>3.2916666666666665</v>
      </c>
      <c r="EY485">
        <v>4</v>
      </c>
      <c r="EZ485">
        <v>4</v>
      </c>
      <c r="FA485">
        <v>4</v>
      </c>
      <c r="FB485">
        <f>IFERROR(AVERAGE(Tabel1[[#This Row],[Do - V1a]:[Do - V1c]]),"")</f>
        <v>4</v>
      </c>
      <c r="FC485">
        <v>2</v>
      </c>
      <c r="FD485">
        <v>5</v>
      </c>
      <c r="FE485">
        <f>IFERROR(AVERAGE(Tabel1[[#This Row],[Do - V2a]:[Do - V2b]]),"")</f>
        <v>3.5</v>
      </c>
      <c r="FF485">
        <v>4</v>
      </c>
      <c r="FG485">
        <f>IFERROR(AVERAGE(Tabel1[[#This Row],[Do - V3a]:[Do - V3a]]),"")</f>
        <v>4</v>
      </c>
      <c r="FI485">
        <f>IFERROR(AVERAGE(Tabel1[[#This Row],[Do - V1]],Tabel1[[#This Row],[Do - V2]],Tabel1[[#This Row],[Do - V3]],Tabel1[[#This Row],[Do - V4]]),"")</f>
        <v>3.8333333333333335</v>
      </c>
      <c r="FJ485">
        <v>2</v>
      </c>
      <c r="FK485">
        <v>3</v>
      </c>
      <c r="FL485">
        <v>2</v>
      </c>
      <c r="FM485">
        <f>IFERROR(AVERAGE(Tabel1[[#This Row],[Do - A1a]:[Do - A1c]]),"")</f>
        <v>2.3333333333333335</v>
      </c>
      <c r="FN485">
        <v>2</v>
      </c>
      <c r="FO485">
        <v>3</v>
      </c>
      <c r="FP485">
        <f>IFERROR(AVERAGE(Tabel1[[#This Row],[Do - A2a]:[Do - A2b]]),"")</f>
        <v>2.5</v>
      </c>
      <c r="FQ485">
        <v>3</v>
      </c>
      <c r="FR485">
        <f>IFERROR(AVERAGE(Tabel1[[#This Row],[Do - A3a]:[Do - A3a]]),"")</f>
        <v>3</v>
      </c>
      <c r="FS485">
        <v>3</v>
      </c>
      <c r="FT485">
        <f>IFERROR(AVERAGE(Tabel1[[#This Row],[Do - A1]],Tabel1[[#This Row],[Do - A2]],Tabel1[[#This Row],[Do - A3]],Tabel1[[#This Row],[Do - A4]]),"")</f>
        <v>2.7083333333333335</v>
      </c>
      <c r="FU48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3.4916666666666667</v>
      </c>
      <c r="FV485" s="31" t="s">
        <v>2363</v>
      </c>
      <c r="FW485" t="b">
        <v>1</v>
      </c>
    </row>
    <row r="486" spans="1:179" x14ac:dyDescent="0.3">
      <c r="A486" s="13">
        <v>45761.286030092597</v>
      </c>
      <c r="B486" t="b">
        <v>0</v>
      </c>
      <c r="C486" t="s">
        <v>2364</v>
      </c>
      <c r="D486" t="s">
        <v>2365</v>
      </c>
      <c r="E486" t="s">
        <v>2366</v>
      </c>
      <c r="F486" s="14" t="s">
        <v>2091</v>
      </c>
      <c r="G486" t="s">
        <v>2367</v>
      </c>
      <c r="H486" t="s">
        <v>194</v>
      </c>
      <c r="I486" t="s">
        <v>572</v>
      </c>
      <c r="J486" t="s">
        <v>573</v>
      </c>
      <c r="K486" t="s">
        <v>304</v>
      </c>
      <c r="L486" t="s">
        <v>197</v>
      </c>
      <c r="M486" t="s">
        <v>198</v>
      </c>
      <c r="N486" t="s">
        <v>331</v>
      </c>
      <c r="O486" t="s">
        <v>200</v>
      </c>
      <c r="P486" t="s">
        <v>201</v>
      </c>
      <c r="Q486" t="s">
        <v>203</v>
      </c>
      <c r="R486" t="s">
        <v>202</v>
      </c>
      <c r="S486" t="s">
        <v>304</v>
      </c>
      <c r="T486" t="s">
        <v>284</v>
      </c>
      <c r="U486" t="s">
        <v>285</v>
      </c>
      <c r="V486" t="s">
        <v>359</v>
      </c>
      <c r="W486" t="s">
        <v>395</v>
      </c>
      <c r="X486" t="s">
        <v>395</v>
      </c>
      <c r="Y486">
        <v>1</v>
      </c>
      <c r="Z486">
        <v>2</v>
      </c>
      <c r="AA486">
        <v>1</v>
      </c>
      <c r="AB486">
        <f>IFERROR(AVERAGE(Tabel1[[#This Row],[Up - R1a]:[Up - R1c]]),"")</f>
        <v>1.3333333333333333</v>
      </c>
      <c r="AC486">
        <v>2</v>
      </c>
      <c r="AD486">
        <v>2</v>
      </c>
      <c r="AE486">
        <v>3</v>
      </c>
      <c r="AF486">
        <v>2</v>
      </c>
      <c r="AG486">
        <f>IFERROR(AVERAGE(Tabel1[[#This Row],[Up - R1]:[Up - R5]]),"")</f>
        <v>2.0666666666666664</v>
      </c>
      <c r="AH486">
        <v>2</v>
      </c>
      <c r="AI486">
        <v>2</v>
      </c>
      <c r="AJ486">
        <v>1</v>
      </c>
      <c r="AK486">
        <f>IFERROR(AVERAGE(Tabel1[[#This Row],[Up - C1a]:[Up - C1c]]),"")</f>
        <v>1.6666666666666667</v>
      </c>
      <c r="AL486">
        <v>3</v>
      </c>
      <c r="AM486">
        <v>2</v>
      </c>
      <c r="AN486">
        <v>2</v>
      </c>
      <c r="AO486">
        <f>IFERROR(AVERAGE(Tabel1[[#This Row],[Up - C1]:[Up - C4]]),"")</f>
        <v>2.166666666666667</v>
      </c>
      <c r="AP486">
        <v>2</v>
      </c>
      <c r="AQ486">
        <f>IFERROR(AVERAGE(Tabel1[[#This Row],[Up - F1a]:[Up - F1a]]),"")</f>
        <v>2</v>
      </c>
      <c r="AR486">
        <v>3</v>
      </c>
      <c r="AS486">
        <v>1</v>
      </c>
      <c r="AT486">
        <f>IFERROR(AVERAGE(Tabel1[[#This Row],[Up - F2a]:[Up - F2b]]),"")</f>
        <v>2</v>
      </c>
      <c r="AU486">
        <v>2</v>
      </c>
      <c r="AV486">
        <v>1</v>
      </c>
      <c r="AW486">
        <f>IFERROR(AVERAGE(Tabel1[[#This Row],[Up - F3a]:[Up - F3b]]),"")</f>
        <v>1.5</v>
      </c>
      <c r="AX486">
        <v>2</v>
      </c>
      <c r="AY486">
        <f>IFERROR(AVERAGE(Tabel1[[#This Row],[Up - F1]],Tabel1[[#This Row],[Up - F2]],Tabel1[[#This Row],[Up - F3]],Tabel1[[#This Row],[Up - F4]]),"")</f>
        <v>1.875</v>
      </c>
      <c r="AZ486">
        <v>1</v>
      </c>
      <c r="BA486">
        <v>3</v>
      </c>
      <c r="BB486">
        <f>IFERROR(AVERAGE(Tabel1[[#This Row],[Up - V1a]:[Up - V1b]]),"")</f>
        <v>2</v>
      </c>
      <c r="BC486">
        <v>1</v>
      </c>
      <c r="BD486">
        <v>2</v>
      </c>
      <c r="BE486">
        <v>2</v>
      </c>
      <c r="BF486">
        <f>IFERROR(AVERAGE(Tabel1[[#This Row],[Up - V2a]:[Up - V2c]]),"")</f>
        <v>1.6666666666666667</v>
      </c>
      <c r="BG486">
        <v>2</v>
      </c>
      <c r="BH486">
        <v>3</v>
      </c>
      <c r="BI486">
        <f>IFERROR(AVERAGE(Tabel1[[#This Row],[Up - V3a]:[Up - V3b]]),"")</f>
        <v>2.5</v>
      </c>
      <c r="BJ486">
        <v>2</v>
      </c>
      <c r="BK486">
        <f>IFERROR(AVERAGE(Tabel1[[#This Row],[Up - V1]],Tabel1[[#This Row],[Up - V2]],Tabel1[[#This Row],[Up - V3]],Tabel1[[#This Row],[Up - V4]]),"")</f>
        <v>2.041666666666667</v>
      </c>
      <c r="BL486">
        <v>2</v>
      </c>
      <c r="BM486">
        <v>3</v>
      </c>
      <c r="BN486">
        <v>1</v>
      </c>
      <c r="BO486">
        <v>3</v>
      </c>
      <c r="BP486">
        <f>IFERROR(AVERAGE(Tabel1[[#This Row],[Up - A1a]:[Up - A1d]]),"")</f>
        <v>2.25</v>
      </c>
      <c r="BQ486">
        <v>2</v>
      </c>
      <c r="BR486">
        <v>2</v>
      </c>
      <c r="BS486">
        <f>IFERROR(AVERAGE(Tabel1[[#This Row],[Up - A2a]:[Up - A2b]]),"")</f>
        <v>2</v>
      </c>
      <c r="BT486">
        <v>2</v>
      </c>
      <c r="BU486">
        <f>IFERROR(AVERAGE(Tabel1[[#This Row],[Up - A3a]:[Up - A3a]]),"")</f>
        <v>2</v>
      </c>
      <c r="BV486">
        <v>3</v>
      </c>
      <c r="BW486">
        <f>IFERROR(AVERAGE(Tabel1[[#This Row],[Up - A1]],Tabel1[[#This Row],[Up - A2]],Tabel1[[#This Row],[Up - A3]]),"")</f>
        <v>2.0833333333333335</v>
      </c>
      <c r="BX486">
        <v>2</v>
      </c>
      <c r="BY486">
        <v>1</v>
      </c>
      <c r="BZ486">
        <f>IFERROR(AVERAGE(Tabel1[[#This Row],[In - R1a]:[In - R1b]]),"")</f>
        <v>1.5</v>
      </c>
      <c r="CA486">
        <v>1</v>
      </c>
      <c r="CB486">
        <v>3</v>
      </c>
      <c r="CC486">
        <v>1</v>
      </c>
      <c r="CD486">
        <v>1</v>
      </c>
      <c r="CE486">
        <f>IFERROR(AVERAGE(Tabel1[[#This Row],[In - R1]:[In - R5]]),"")</f>
        <v>1.5</v>
      </c>
      <c r="CF486">
        <v>3</v>
      </c>
      <c r="CG486">
        <v>1</v>
      </c>
      <c r="CH486">
        <v>3</v>
      </c>
      <c r="CI486">
        <f>IFERROR(AVERAGE(Tabel1[[#This Row],[In - C1a]:[In - C1c]]),"")</f>
        <v>2.3333333333333335</v>
      </c>
      <c r="CJ486">
        <v>1</v>
      </c>
      <c r="CK486">
        <v>1</v>
      </c>
      <c r="CL486">
        <v>1</v>
      </c>
      <c r="CM486">
        <f>IFERROR(AVERAGE(Tabel1[[#This Row],[In - C1]:[In - C4]]),"")</f>
        <v>1.3333333333333335</v>
      </c>
      <c r="CN486">
        <v>3</v>
      </c>
      <c r="CO486">
        <v>2</v>
      </c>
      <c r="CP486">
        <v>1</v>
      </c>
      <c r="CQ486">
        <f>IFERROR(AVERAGE(Tabel1[[#This Row],[In - F1a]:[In - F1c]]),"")</f>
        <v>2</v>
      </c>
      <c r="CR486">
        <v>1</v>
      </c>
      <c r="CS486">
        <v>3</v>
      </c>
      <c r="CT486">
        <f>IFERROR(AVERAGE(Tabel1[[#This Row],[In - F2a]:[In - F2b]]),"")</f>
        <v>2</v>
      </c>
      <c r="CU486">
        <v>1</v>
      </c>
      <c r="CV486">
        <f>IFERROR(AVERAGE(Tabel1[[#This Row],[In - F3a]:[In - F3a]]),"")</f>
        <v>1</v>
      </c>
      <c r="CW486">
        <v>3</v>
      </c>
      <c r="CX486">
        <f>IFERROR(AVERAGE(Tabel1[[#This Row],[In - F1]],Tabel1[[#This Row],[In - F2]],Tabel1[[#This Row],[In - F3]],Tabel1[[#This Row],[In - F4]]),"")</f>
        <v>2</v>
      </c>
      <c r="CY486">
        <v>2</v>
      </c>
      <c r="CZ486">
        <v>2</v>
      </c>
      <c r="DA486">
        <v>2</v>
      </c>
      <c r="DB486">
        <f>IFERROR(AVERAGE(Tabel1[[#This Row],[In - V1a]:[In - V1c]]),"")</f>
        <v>2</v>
      </c>
      <c r="DC486">
        <v>2</v>
      </c>
      <c r="DD486">
        <v>2</v>
      </c>
      <c r="DE486">
        <v>1</v>
      </c>
      <c r="DF486">
        <f>IFERROR(AVERAGE(Tabel1[[#This Row],[In - V2a]:[In - V2c]]),"")</f>
        <v>1.6666666666666667</v>
      </c>
      <c r="DG486">
        <v>2</v>
      </c>
      <c r="DH486">
        <v>1</v>
      </c>
      <c r="DI486">
        <f>IFERROR(AVERAGE(Tabel1[[#This Row],[In - V3a]:[In - V3b]]),"")</f>
        <v>1.5</v>
      </c>
      <c r="DJ486">
        <v>2</v>
      </c>
      <c r="DK486">
        <f>IFERROR(AVERAGE(Tabel1[[#This Row],[In - V1]],Tabel1[[#This Row],[In - V2]],Tabel1[[#This Row],[In - V3]],Tabel1[[#This Row],[In - V4]]),"")</f>
        <v>1.7916666666666667</v>
      </c>
      <c r="DL486">
        <v>2</v>
      </c>
      <c r="DM486">
        <v>2</v>
      </c>
      <c r="DN486">
        <f>IFERROR(AVERAGE(Tabel1[[#This Row],[In - A1a]:[In - A1b]]),"")</f>
        <v>2</v>
      </c>
      <c r="DO486">
        <v>2</v>
      </c>
      <c r="DP486">
        <v>3</v>
      </c>
      <c r="DQ486">
        <f>IFERROR(AVERAGE(Tabel1[[#This Row],[In - A2a]:[In - A2b]]),"")</f>
        <v>2.5</v>
      </c>
      <c r="DR486">
        <v>1</v>
      </c>
      <c r="DS486">
        <v>2</v>
      </c>
      <c r="DT486">
        <f>IFERROR(AVERAGE(Tabel1[[#This Row],[In - A3a]:[In - A3a]]),"")</f>
        <v>1</v>
      </c>
      <c r="DU486">
        <v>1</v>
      </c>
      <c r="DV486">
        <f>IFERROR(AVERAGE(Tabel1[[#This Row],[In - A1]],Tabel1[[#This Row],[In - A2]],Tabel1[[#This Row],[In - A3]],Tabel1[[#This Row],[In - A4]]),"")</f>
        <v>1.625</v>
      </c>
      <c r="DW486">
        <v>2</v>
      </c>
      <c r="DX486">
        <v>2</v>
      </c>
      <c r="DY486">
        <v>2</v>
      </c>
      <c r="DZ486">
        <f>IFERROR(AVERAGE(Tabel1[[#This Row],[Do - R1a]:[Do - R1c]]),"")</f>
        <v>2</v>
      </c>
      <c r="EA486">
        <v>2</v>
      </c>
      <c r="EB486">
        <v>2</v>
      </c>
      <c r="EC486">
        <v>3</v>
      </c>
      <c r="ED486">
        <v>2</v>
      </c>
      <c r="EE486">
        <f>IFERROR(AVERAGE(Tabel1[[#This Row],[Do - R1]:[Do - R5]]),"")</f>
        <v>2.2000000000000002</v>
      </c>
      <c r="EF486">
        <v>1</v>
      </c>
      <c r="EG486">
        <v>3</v>
      </c>
      <c r="EH486">
        <v>2</v>
      </c>
      <c r="EI486">
        <f>IFERROR(AVERAGE(Tabel1[[#This Row],[Do - C1a]:[Do - C1c]]),"")</f>
        <v>2</v>
      </c>
      <c r="EJ486">
        <v>2</v>
      </c>
      <c r="EK486">
        <v>2</v>
      </c>
      <c r="EL486">
        <v>3</v>
      </c>
      <c r="EM486">
        <f>IFERROR(AVERAGE(Tabel1[[#This Row],[Do - C1]:[Do - C4]]),"")</f>
        <v>2.25</v>
      </c>
      <c r="EN486">
        <v>1</v>
      </c>
      <c r="EO486">
        <v>2</v>
      </c>
      <c r="EP486">
        <v>2</v>
      </c>
      <c r="EQ486">
        <f>IFERROR(AVERAGE(Tabel1[[#This Row],[Do - F1a]:[Do - F1c]]),"")</f>
        <v>1.6666666666666667</v>
      </c>
      <c r="ER486">
        <v>2</v>
      </c>
      <c r="ES486">
        <f>IFERROR(AVERAGE(Tabel1[[#This Row],[Do - F2a]:[Do - F2a]]),"")</f>
        <v>2</v>
      </c>
      <c r="ET486">
        <v>3</v>
      </c>
      <c r="EU486">
        <v>2</v>
      </c>
      <c r="EV486">
        <f>IFERROR(AVERAGE(Tabel1[[#This Row],[Do - F3a]:[Do - F3b]]),"")</f>
        <v>2.5</v>
      </c>
      <c r="EW486">
        <v>1</v>
      </c>
      <c r="EX486">
        <f>IFERROR(AVERAGE(Tabel1[[#This Row],[Do - F1]],Tabel1[[#This Row],[Do - F2]],Tabel1[[#This Row],[Do - F3]],Tabel1[[#This Row],[Do - F4]]),"")</f>
        <v>1.7916666666666667</v>
      </c>
      <c r="EY486">
        <v>1</v>
      </c>
      <c r="EZ486">
        <v>2</v>
      </c>
      <c r="FA486">
        <v>3</v>
      </c>
      <c r="FB486">
        <f>IFERROR(AVERAGE(Tabel1[[#This Row],[Do - V1a]:[Do - V1c]]),"")</f>
        <v>2</v>
      </c>
      <c r="FC486">
        <v>3</v>
      </c>
      <c r="FD486">
        <v>2</v>
      </c>
      <c r="FE486">
        <f>IFERROR(AVERAGE(Tabel1[[#This Row],[Do - V2a]:[Do - V2b]]),"")</f>
        <v>2.5</v>
      </c>
      <c r="FF486">
        <v>1</v>
      </c>
      <c r="FG486">
        <f>IFERROR(AVERAGE(Tabel1[[#This Row],[Do - V3a]:[Do - V3a]]),"")</f>
        <v>1</v>
      </c>
      <c r="FH486">
        <v>3</v>
      </c>
      <c r="FI486">
        <f>IFERROR(AVERAGE(Tabel1[[#This Row],[Do - V1]],Tabel1[[#This Row],[Do - V2]],Tabel1[[#This Row],[Do - V3]],Tabel1[[#This Row],[Do - V4]]),"")</f>
        <v>2.125</v>
      </c>
      <c r="FJ486">
        <v>1</v>
      </c>
      <c r="FK486">
        <v>1</v>
      </c>
      <c r="FL486">
        <v>2</v>
      </c>
      <c r="FM486">
        <f>IFERROR(AVERAGE(Tabel1[[#This Row],[Do - A1a]:[Do - A1c]]),"")</f>
        <v>1.3333333333333333</v>
      </c>
      <c r="FN486">
        <v>1</v>
      </c>
      <c r="FO486">
        <v>1</v>
      </c>
      <c r="FP486">
        <f>IFERROR(AVERAGE(Tabel1[[#This Row],[Do - A2a]:[Do - A2b]]),"")</f>
        <v>1</v>
      </c>
      <c r="FQ486">
        <v>2</v>
      </c>
      <c r="FR486">
        <f>IFERROR(AVERAGE(Tabel1[[#This Row],[Do - A3a]:[Do - A3a]]),"")</f>
        <v>2</v>
      </c>
      <c r="FS486">
        <v>2</v>
      </c>
      <c r="FT486">
        <f>IFERROR(AVERAGE(Tabel1[[#This Row],[Do - A1]],Tabel1[[#This Row],[Do - A2]],Tabel1[[#This Row],[Do - A3]],Tabel1[[#This Row],[Do - A4]]),"")</f>
        <v>1.5833333333333333</v>
      </c>
      <c r="FU48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1.8955555555555557</v>
      </c>
      <c r="FV486" s="31" t="s">
        <v>2368</v>
      </c>
      <c r="FW486" t="b">
        <v>1</v>
      </c>
    </row>
    <row r="487" spans="1:179" x14ac:dyDescent="0.3">
      <c r="A487" s="13">
        <v>45761.433240740698</v>
      </c>
      <c r="B487" t="b">
        <v>0</v>
      </c>
      <c r="C487" t="s">
        <v>2369</v>
      </c>
      <c r="D487" t="s">
        <v>1235</v>
      </c>
      <c r="E487" t="s">
        <v>2370</v>
      </c>
      <c r="F487" s="14" t="s">
        <v>184</v>
      </c>
      <c r="G487" t="s">
        <v>2371</v>
      </c>
      <c r="H487" t="s">
        <v>194</v>
      </c>
      <c r="I487" t="s">
        <v>572</v>
      </c>
      <c r="J487" t="s">
        <v>573</v>
      </c>
      <c r="K487" t="s">
        <v>255</v>
      </c>
      <c r="L487" t="s">
        <v>197</v>
      </c>
      <c r="M487" t="s">
        <v>198</v>
      </c>
      <c r="N487" t="s">
        <v>316</v>
      </c>
      <c r="O487" t="s">
        <v>200</v>
      </c>
      <c r="P487" t="s">
        <v>255</v>
      </c>
      <c r="Q487" t="s">
        <v>255</v>
      </c>
      <c r="R487" t="s">
        <v>201</v>
      </c>
      <c r="S487" t="s">
        <v>255</v>
      </c>
      <c r="T487" t="s">
        <v>284</v>
      </c>
      <c r="U487" t="s">
        <v>285</v>
      </c>
      <c r="V487" t="s">
        <v>359</v>
      </c>
      <c r="W487" t="s">
        <v>305</v>
      </c>
      <c r="X487" t="s">
        <v>305</v>
      </c>
      <c r="Y487">
        <v>5</v>
      </c>
      <c r="Z487">
        <v>2</v>
      </c>
      <c r="AA487">
        <v>2</v>
      </c>
      <c r="AB487">
        <f>IFERROR(AVERAGE(Tabel1[[#This Row],[Up - R1a]:[Up - R1c]]),"")</f>
        <v>3</v>
      </c>
      <c r="AC487">
        <v>2</v>
      </c>
      <c r="AD487">
        <v>1</v>
      </c>
      <c r="AE487">
        <v>5</v>
      </c>
      <c r="AF487">
        <v>4</v>
      </c>
      <c r="AG487">
        <f>IFERROR(AVERAGE(Tabel1[[#This Row],[Up - R1]:[Up - R5]]),"")</f>
        <v>3</v>
      </c>
      <c r="AH487">
        <v>4</v>
      </c>
      <c r="AI487">
        <v>4</v>
      </c>
      <c r="AJ487">
        <v>2</v>
      </c>
      <c r="AK487">
        <f>IFERROR(AVERAGE(Tabel1[[#This Row],[Up - C1a]:[Up - C1c]]),"")</f>
        <v>3.3333333333333335</v>
      </c>
      <c r="AL487">
        <v>1</v>
      </c>
      <c r="AM487">
        <v>3</v>
      </c>
      <c r="AN487">
        <v>4</v>
      </c>
      <c r="AO487">
        <f>IFERROR(AVERAGE(Tabel1[[#This Row],[Up - C1]:[Up - C4]]),"")</f>
        <v>2.8333333333333335</v>
      </c>
      <c r="AP487">
        <v>4</v>
      </c>
      <c r="AQ487">
        <f>IFERROR(AVERAGE(Tabel1[[#This Row],[Up - F1a]:[Up - F1a]]),"")</f>
        <v>4</v>
      </c>
      <c r="AR487">
        <v>1</v>
      </c>
      <c r="AS487" t="s">
        <v>189</v>
      </c>
      <c r="AT487">
        <f>IFERROR(AVERAGE(Tabel1[[#This Row],[Up - F2a]:[Up - F2b]]),"")</f>
        <v>1</v>
      </c>
      <c r="AU487">
        <v>1</v>
      </c>
      <c r="AV487">
        <v>2</v>
      </c>
      <c r="AW487">
        <f>IFERROR(AVERAGE(Tabel1[[#This Row],[Up - F3a]:[Up - F3b]]),"")</f>
        <v>1.5</v>
      </c>
      <c r="AX487">
        <v>1</v>
      </c>
      <c r="AY487">
        <f>IFERROR(AVERAGE(Tabel1[[#This Row],[Up - F1]],Tabel1[[#This Row],[Up - F2]],Tabel1[[#This Row],[Up - F3]],Tabel1[[#This Row],[Up - F4]]),"")</f>
        <v>1.875</v>
      </c>
      <c r="AZ487">
        <v>1</v>
      </c>
      <c r="BA487">
        <v>5</v>
      </c>
      <c r="BB487">
        <f>IFERROR(AVERAGE(Tabel1[[#This Row],[Up - V1a]:[Up - V1b]]),"")</f>
        <v>3</v>
      </c>
      <c r="BC487">
        <v>5</v>
      </c>
      <c r="BD487">
        <v>4</v>
      </c>
      <c r="BE487">
        <v>5</v>
      </c>
      <c r="BF487">
        <f>IFERROR(AVERAGE(Tabel1[[#This Row],[Up - V2a]:[Up - V2c]]),"")</f>
        <v>4.666666666666667</v>
      </c>
      <c r="BG487">
        <v>4</v>
      </c>
      <c r="BH487">
        <v>3</v>
      </c>
      <c r="BI487">
        <f>IFERROR(AVERAGE(Tabel1[[#This Row],[Up - V3a]:[Up - V3b]]),"")</f>
        <v>3.5</v>
      </c>
      <c r="BJ487">
        <v>5</v>
      </c>
      <c r="BK487">
        <f>IFERROR(AVERAGE(Tabel1[[#This Row],[Up - V1]],Tabel1[[#This Row],[Up - V2]],Tabel1[[#This Row],[Up - V3]],Tabel1[[#This Row],[Up - V4]]),"")</f>
        <v>4.041666666666667</v>
      </c>
      <c r="BL487">
        <v>2</v>
      </c>
      <c r="BM487">
        <v>2</v>
      </c>
      <c r="BN487">
        <v>2</v>
      </c>
      <c r="BO487">
        <v>2</v>
      </c>
      <c r="BP487">
        <f>IFERROR(AVERAGE(Tabel1[[#This Row],[Up - A1a]:[Up - A1d]]),"")</f>
        <v>2</v>
      </c>
      <c r="BQ487">
        <v>5</v>
      </c>
      <c r="BR487">
        <v>1</v>
      </c>
      <c r="BS487">
        <f>IFERROR(AVERAGE(Tabel1[[#This Row],[Up - A2a]:[Up - A2b]]),"")</f>
        <v>3</v>
      </c>
      <c r="BT487">
        <v>1</v>
      </c>
      <c r="BU487">
        <f>IFERROR(AVERAGE(Tabel1[[#This Row],[Up - A3a]:[Up - A3a]]),"")</f>
        <v>1</v>
      </c>
      <c r="BV487">
        <v>4</v>
      </c>
      <c r="BW487">
        <f>IFERROR(AVERAGE(Tabel1[[#This Row],[Up - A1]],Tabel1[[#This Row],[Up - A2]],Tabel1[[#This Row],[Up - A3]]),"")</f>
        <v>2</v>
      </c>
      <c r="BX487">
        <v>3</v>
      </c>
      <c r="BY487">
        <v>1</v>
      </c>
      <c r="BZ487">
        <f>IFERROR(AVERAGE(Tabel1[[#This Row],[In - R1a]:[In - R1b]]),"")</f>
        <v>2</v>
      </c>
      <c r="CA487">
        <v>2</v>
      </c>
      <c r="CB487">
        <v>1</v>
      </c>
      <c r="CC487">
        <v>1</v>
      </c>
      <c r="CD487">
        <v>1</v>
      </c>
      <c r="CE487">
        <f>IFERROR(AVERAGE(Tabel1[[#This Row],[In - R1]:[In - R5]]),"")</f>
        <v>1.4</v>
      </c>
      <c r="CF487">
        <v>1</v>
      </c>
      <c r="CG487">
        <v>3</v>
      </c>
      <c r="CH487">
        <v>4</v>
      </c>
      <c r="CI487">
        <f>IFERROR(AVERAGE(Tabel1[[#This Row],[In - C1a]:[In - C1c]]),"")</f>
        <v>2.6666666666666665</v>
      </c>
      <c r="CJ487">
        <v>4</v>
      </c>
      <c r="CK487">
        <v>3</v>
      </c>
      <c r="CL487">
        <v>3</v>
      </c>
      <c r="CM487">
        <f>IFERROR(AVERAGE(Tabel1[[#This Row],[In - C1]:[In - C4]]),"")</f>
        <v>3.1666666666666665</v>
      </c>
      <c r="CN487">
        <v>1</v>
      </c>
      <c r="CO487">
        <v>5</v>
      </c>
      <c r="CP487">
        <v>5</v>
      </c>
      <c r="CQ487">
        <f>IFERROR(AVERAGE(Tabel1[[#This Row],[In - F1a]:[In - F1c]]),"")</f>
        <v>3.6666666666666665</v>
      </c>
      <c r="CR487">
        <v>2</v>
      </c>
      <c r="CS487" t="s">
        <v>189</v>
      </c>
      <c r="CT487">
        <f>IFERROR(AVERAGE(Tabel1[[#This Row],[In - F2a]:[In - F2b]]),"")</f>
        <v>2</v>
      </c>
      <c r="CU487">
        <v>1</v>
      </c>
      <c r="CV487">
        <f>IFERROR(AVERAGE(Tabel1[[#This Row],[In - F3a]:[In - F3a]]),"")</f>
        <v>1</v>
      </c>
      <c r="CW487">
        <v>3</v>
      </c>
      <c r="CX487">
        <f>IFERROR(AVERAGE(Tabel1[[#This Row],[In - F1]],Tabel1[[#This Row],[In - F2]],Tabel1[[#This Row],[In - F3]],Tabel1[[#This Row],[In - F4]]),"")</f>
        <v>2.4166666666666665</v>
      </c>
      <c r="CY487">
        <v>1</v>
      </c>
      <c r="CZ487">
        <v>2</v>
      </c>
      <c r="DA487">
        <v>4</v>
      </c>
      <c r="DB487">
        <f>IFERROR(AVERAGE(Tabel1[[#This Row],[In - V1a]:[In - V1c]]),"")</f>
        <v>2.3333333333333335</v>
      </c>
      <c r="DC487">
        <v>5</v>
      </c>
      <c r="DD487">
        <v>4</v>
      </c>
      <c r="DE487">
        <v>1</v>
      </c>
      <c r="DF487">
        <f>IFERROR(AVERAGE(Tabel1[[#This Row],[In - V2a]:[In - V2c]]),"")</f>
        <v>3.3333333333333335</v>
      </c>
      <c r="DG487">
        <v>5</v>
      </c>
      <c r="DH487">
        <v>5</v>
      </c>
      <c r="DI487">
        <f>IFERROR(AVERAGE(Tabel1[[#This Row],[In - V3a]:[In - V3b]]),"")</f>
        <v>5</v>
      </c>
      <c r="DJ487">
        <v>3</v>
      </c>
      <c r="DK487">
        <f>IFERROR(AVERAGE(Tabel1[[#This Row],[In - V1]],Tabel1[[#This Row],[In - V2]],Tabel1[[#This Row],[In - V3]],Tabel1[[#This Row],[In - V4]]),"")</f>
        <v>3.416666666666667</v>
      </c>
      <c r="DL487">
        <v>2</v>
      </c>
      <c r="DM487">
        <v>3</v>
      </c>
      <c r="DN487">
        <f>IFERROR(AVERAGE(Tabel1[[#This Row],[In - A1a]:[In - A1b]]),"")</f>
        <v>2.5</v>
      </c>
      <c r="DO487">
        <v>5</v>
      </c>
      <c r="DP487">
        <v>1</v>
      </c>
      <c r="DQ487">
        <f>IFERROR(AVERAGE(Tabel1[[#This Row],[In - A2a]:[In - A2b]]),"")</f>
        <v>3</v>
      </c>
      <c r="DR487">
        <v>5</v>
      </c>
      <c r="DS487">
        <v>2</v>
      </c>
      <c r="DT487">
        <f>IFERROR(AVERAGE(Tabel1[[#This Row],[In - A3a]:[In - A3a]]),"")</f>
        <v>5</v>
      </c>
      <c r="DU487">
        <v>3</v>
      </c>
      <c r="DV487">
        <f>IFERROR(AVERAGE(Tabel1[[#This Row],[In - A1]],Tabel1[[#This Row],[In - A2]],Tabel1[[#This Row],[In - A3]],Tabel1[[#This Row],[In - A4]]),"")</f>
        <v>3.375</v>
      </c>
      <c r="DW487">
        <v>1</v>
      </c>
      <c r="DX487">
        <v>4</v>
      </c>
      <c r="DY487">
        <v>2</v>
      </c>
      <c r="DZ487">
        <f>IFERROR(AVERAGE(Tabel1[[#This Row],[Do - R1a]:[Do - R1c]]),"")</f>
        <v>2.3333333333333335</v>
      </c>
      <c r="EA487">
        <v>2</v>
      </c>
      <c r="EB487">
        <v>1</v>
      </c>
      <c r="EC487">
        <v>3</v>
      </c>
      <c r="ED487">
        <v>1</v>
      </c>
      <c r="EE487">
        <f>IFERROR(AVERAGE(Tabel1[[#This Row],[Do - R1]:[Do - R5]]),"")</f>
        <v>1.8666666666666667</v>
      </c>
      <c r="EF487">
        <v>5</v>
      </c>
      <c r="EG487">
        <v>2</v>
      </c>
      <c r="EH487">
        <v>4</v>
      </c>
      <c r="EI487">
        <f>IFERROR(AVERAGE(Tabel1[[#This Row],[Do - C1a]:[Do - C1c]]),"")</f>
        <v>3.6666666666666665</v>
      </c>
      <c r="EJ487">
        <v>4</v>
      </c>
      <c r="EK487">
        <v>4</v>
      </c>
      <c r="EL487">
        <v>4</v>
      </c>
      <c r="EM487">
        <f>IFERROR(AVERAGE(Tabel1[[#This Row],[Do - C1]:[Do - C4]]),"")</f>
        <v>3.9166666666666665</v>
      </c>
      <c r="EN487">
        <v>3</v>
      </c>
      <c r="EO487">
        <v>1</v>
      </c>
      <c r="EP487">
        <v>5</v>
      </c>
      <c r="EQ487">
        <f>IFERROR(AVERAGE(Tabel1[[#This Row],[Do - F1a]:[Do - F1c]]),"")</f>
        <v>3</v>
      </c>
      <c r="ER487">
        <v>5</v>
      </c>
      <c r="ES487">
        <f>IFERROR(AVERAGE(Tabel1[[#This Row],[Do - F2a]:[Do - F2a]]),"")</f>
        <v>5</v>
      </c>
      <c r="ET487">
        <v>1</v>
      </c>
      <c r="EU487">
        <v>2</v>
      </c>
      <c r="EV487">
        <f>IFERROR(AVERAGE(Tabel1[[#This Row],[Do - F3a]:[Do - F3b]]),"")</f>
        <v>1.5</v>
      </c>
      <c r="EW487">
        <v>3</v>
      </c>
      <c r="EX487">
        <f>IFERROR(AVERAGE(Tabel1[[#This Row],[Do - F1]],Tabel1[[#This Row],[Do - F2]],Tabel1[[#This Row],[Do - F3]],Tabel1[[#This Row],[Do - F4]]),"")</f>
        <v>3.125</v>
      </c>
      <c r="EY487">
        <v>1</v>
      </c>
      <c r="EZ487">
        <v>3</v>
      </c>
      <c r="FA487">
        <v>3</v>
      </c>
      <c r="FB487">
        <f>IFERROR(AVERAGE(Tabel1[[#This Row],[Do - V1a]:[Do - V1c]]),"")</f>
        <v>2.3333333333333335</v>
      </c>
      <c r="FC487">
        <v>4</v>
      </c>
      <c r="FD487">
        <v>1</v>
      </c>
      <c r="FE487">
        <f>IFERROR(AVERAGE(Tabel1[[#This Row],[Do - V2a]:[Do - V2b]]),"")</f>
        <v>2.5</v>
      </c>
      <c r="FF487">
        <v>5</v>
      </c>
      <c r="FG487">
        <f>IFERROR(AVERAGE(Tabel1[[#This Row],[Do - V3a]:[Do - V3a]]),"")</f>
        <v>5</v>
      </c>
      <c r="FH487">
        <v>3</v>
      </c>
      <c r="FI487">
        <f>IFERROR(AVERAGE(Tabel1[[#This Row],[Do - V1]],Tabel1[[#This Row],[Do - V2]],Tabel1[[#This Row],[Do - V3]],Tabel1[[#This Row],[Do - V4]]),"")</f>
        <v>3.2083333333333335</v>
      </c>
      <c r="FJ487">
        <v>2</v>
      </c>
      <c r="FK487">
        <v>2</v>
      </c>
      <c r="FL487">
        <v>5</v>
      </c>
      <c r="FM487">
        <f>IFERROR(AVERAGE(Tabel1[[#This Row],[Do - A1a]:[Do - A1c]]),"")</f>
        <v>3</v>
      </c>
      <c r="FN487">
        <v>2</v>
      </c>
      <c r="FO487">
        <v>1</v>
      </c>
      <c r="FP487">
        <f>IFERROR(AVERAGE(Tabel1[[#This Row],[Do - A2a]:[Do - A2b]]),"")</f>
        <v>1.5</v>
      </c>
      <c r="FQ487">
        <v>5</v>
      </c>
      <c r="FR487">
        <f>IFERROR(AVERAGE(Tabel1[[#This Row],[Do - A3a]:[Do - A3a]]),"")</f>
        <v>5</v>
      </c>
      <c r="FS487">
        <v>1</v>
      </c>
      <c r="FT487">
        <f>IFERROR(AVERAGE(Tabel1[[#This Row],[Do - A1]],Tabel1[[#This Row],[Do - A2]],Tabel1[[#This Row],[Do - A3]],Tabel1[[#This Row],[Do - A4]]),"")</f>
        <v>2.625</v>
      </c>
      <c r="FU48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2.8177777777777782</v>
      </c>
      <c r="FV487" s="31" t="s">
        <v>2372</v>
      </c>
      <c r="FW487" t="b">
        <v>1</v>
      </c>
    </row>
    <row r="488" spans="1:179" x14ac:dyDescent="0.3">
      <c r="A488" s="13">
        <v>45761.504675925898</v>
      </c>
      <c r="B488" t="b">
        <v>0</v>
      </c>
      <c r="C488" t="s">
        <v>2373</v>
      </c>
      <c r="D488" t="s">
        <v>2374</v>
      </c>
      <c r="E488" t="s">
        <v>2375</v>
      </c>
      <c r="F488" s="14" t="s">
        <v>184</v>
      </c>
      <c r="G488" t="s">
        <v>2376</v>
      </c>
      <c r="H488" t="s">
        <v>194</v>
      </c>
      <c r="I488" t="s">
        <v>195</v>
      </c>
      <c r="J488" t="s">
        <v>1785</v>
      </c>
      <c r="K488" t="s">
        <v>187</v>
      </c>
      <c r="L488" t="s">
        <v>218</v>
      </c>
      <c r="M488" t="s">
        <v>233</v>
      </c>
      <c r="O488" t="s">
        <v>200</v>
      </c>
      <c r="P488" t="s">
        <v>255</v>
      </c>
      <c r="Q488" t="s">
        <v>187</v>
      </c>
      <c r="R488" t="s">
        <v>203</v>
      </c>
      <c r="S488" t="s">
        <v>203</v>
      </c>
      <c r="T488" t="s">
        <v>236</v>
      </c>
      <c r="U488" t="s">
        <v>349</v>
      </c>
      <c r="V488" t="s">
        <v>206</v>
      </c>
      <c r="W488" t="s">
        <v>207</v>
      </c>
      <c r="X488" t="s">
        <v>207</v>
      </c>
      <c r="Y488">
        <v>3</v>
      </c>
      <c r="Z488">
        <v>3</v>
      </c>
      <c r="AA488">
        <v>5</v>
      </c>
      <c r="AB488">
        <f>IFERROR(AVERAGE(Tabel1[[#This Row],[Up - R1a]:[Up - R1c]]),"")</f>
        <v>3.6666666666666665</v>
      </c>
      <c r="AC488">
        <v>4</v>
      </c>
      <c r="AD488">
        <v>4</v>
      </c>
      <c r="AE488">
        <v>2</v>
      </c>
      <c r="AG488">
        <f>IFERROR(AVERAGE(Tabel1[[#This Row],[Up - R1]:[Up - R5]]),"")</f>
        <v>3.4166666666666665</v>
      </c>
      <c r="AH488">
        <v>4</v>
      </c>
      <c r="AI488">
        <v>4</v>
      </c>
      <c r="AJ488">
        <v>2</v>
      </c>
      <c r="AK488">
        <f>IFERROR(AVERAGE(Tabel1[[#This Row],[Up - C1a]:[Up - C1c]]),"")</f>
        <v>3.3333333333333335</v>
      </c>
      <c r="AL488">
        <v>4</v>
      </c>
      <c r="AM488">
        <v>2</v>
      </c>
      <c r="AN488">
        <v>4</v>
      </c>
      <c r="AO488">
        <f>IFERROR(AVERAGE(Tabel1[[#This Row],[Up - C1]:[Up - C4]]),"")</f>
        <v>3.3333333333333335</v>
      </c>
      <c r="AP488">
        <v>5</v>
      </c>
      <c r="AQ488">
        <f>IFERROR(AVERAGE(Tabel1[[#This Row],[Up - F1a]:[Up - F1a]]),"")</f>
        <v>5</v>
      </c>
      <c r="AR488">
        <v>2</v>
      </c>
      <c r="AS488">
        <v>2</v>
      </c>
      <c r="AT488">
        <f>IFERROR(AVERAGE(Tabel1[[#This Row],[Up - F2a]:[Up - F2b]]),"")</f>
        <v>2</v>
      </c>
      <c r="AU488">
        <v>4</v>
      </c>
      <c r="AV488">
        <v>4</v>
      </c>
      <c r="AW488">
        <f>IFERROR(AVERAGE(Tabel1[[#This Row],[Up - F3a]:[Up - F3b]]),"")</f>
        <v>4</v>
      </c>
      <c r="AX488">
        <v>4</v>
      </c>
      <c r="AY488">
        <f>IFERROR(AVERAGE(Tabel1[[#This Row],[Up - F1]],Tabel1[[#This Row],[Up - F2]],Tabel1[[#This Row],[Up - F3]],Tabel1[[#This Row],[Up - F4]]),"")</f>
        <v>3.75</v>
      </c>
      <c r="AZ488">
        <v>3</v>
      </c>
      <c r="BA488">
        <v>2</v>
      </c>
      <c r="BB488">
        <f>IFERROR(AVERAGE(Tabel1[[#This Row],[Up - V1a]:[Up - V1b]]),"")</f>
        <v>2.5</v>
      </c>
      <c r="BC488">
        <v>2</v>
      </c>
      <c r="BD488">
        <v>3</v>
      </c>
      <c r="BE488">
        <v>3</v>
      </c>
      <c r="BF488">
        <f>IFERROR(AVERAGE(Tabel1[[#This Row],[Up - V2a]:[Up - V2c]]),"")</f>
        <v>2.6666666666666665</v>
      </c>
      <c r="BG488">
        <v>2</v>
      </c>
      <c r="BH488">
        <v>2</v>
      </c>
      <c r="BI488">
        <f>IFERROR(AVERAGE(Tabel1[[#This Row],[Up - V3a]:[Up - V3b]]),"")</f>
        <v>2</v>
      </c>
      <c r="BJ488">
        <v>3</v>
      </c>
      <c r="BK488">
        <f>IFERROR(AVERAGE(Tabel1[[#This Row],[Up - V1]],Tabel1[[#This Row],[Up - V2]],Tabel1[[#This Row],[Up - V3]],Tabel1[[#This Row],[Up - V4]]),"")</f>
        <v>2.5416666666666665</v>
      </c>
      <c r="BL488">
        <v>3</v>
      </c>
      <c r="BM488">
        <v>1</v>
      </c>
      <c r="BN488">
        <v>2</v>
      </c>
      <c r="BO488">
        <v>3</v>
      </c>
      <c r="BP488">
        <f>IFERROR(AVERAGE(Tabel1[[#This Row],[Up - A1a]:[Up - A1d]]),"")</f>
        <v>2.25</v>
      </c>
      <c r="BQ488">
        <v>4</v>
      </c>
      <c r="BR488">
        <v>4</v>
      </c>
      <c r="BS488">
        <f>IFERROR(AVERAGE(Tabel1[[#This Row],[Up - A2a]:[Up - A2b]]),"")</f>
        <v>4</v>
      </c>
      <c r="BT488">
        <v>4</v>
      </c>
      <c r="BU488">
        <f>IFERROR(AVERAGE(Tabel1[[#This Row],[Up - A3a]:[Up - A3a]]),"")</f>
        <v>4</v>
      </c>
      <c r="BV488">
        <v>1</v>
      </c>
      <c r="BW488">
        <f>IFERROR(AVERAGE(Tabel1[[#This Row],[Up - A1]],Tabel1[[#This Row],[Up - A2]],Tabel1[[#This Row],[Up - A3]]),"")</f>
        <v>3.4166666666666665</v>
      </c>
      <c r="BX488">
        <v>1</v>
      </c>
      <c r="BY488">
        <v>2</v>
      </c>
      <c r="BZ488">
        <f>IFERROR(AVERAGE(Tabel1[[#This Row],[In - R1a]:[In - R1b]]),"")</f>
        <v>1.5</v>
      </c>
      <c r="CA488">
        <v>4</v>
      </c>
      <c r="CB488">
        <v>3</v>
      </c>
      <c r="CC488">
        <v>2</v>
      </c>
      <c r="CD488">
        <v>5</v>
      </c>
      <c r="CE488">
        <f>IFERROR(AVERAGE(Tabel1[[#This Row],[In - R1]:[In - R5]]),"")</f>
        <v>3.1</v>
      </c>
      <c r="CF488">
        <v>4</v>
      </c>
      <c r="CG488">
        <v>2</v>
      </c>
      <c r="CH488">
        <v>3</v>
      </c>
      <c r="CI488">
        <f>IFERROR(AVERAGE(Tabel1[[#This Row],[In - C1a]:[In - C1c]]),"")</f>
        <v>3</v>
      </c>
      <c r="CJ488">
        <v>1</v>
      </c>
      <c r="CK488">
        <v>2</v>
      </c>
      <c r="CL488">
        <v>2</v>
      </c>
      <c r="CM488">
        <f>IFERROR(AVERAGE(Tabel1[[#This Row],[In - C1]:[In - C4]]),"")</f>
        <v>2</v>
      </c>
      <c r="CN488">
        <v>2</v>
      </c>
      <c r="CO488">
        <v>3</v>
      </c>
      <c r="CP488">
        <v>2</v>
      </c>
      <c r="CQ488">
        <f>IFERROR(AVERAGE(Tabel1[[#This Row],[In - F1a]:[In - F1c]]),"")</f>
        <v>2.3333333333333335</v>
      </c>
      <c r="CR488">
        <v>2</v>
      </c>
      <c r="CS488">
        <v>2</v>
      </c>
      <c r="CT488">
        <f>IFERROR(AVERAGE(Tabel1[[#This Row],[In - F2a]:[In - F2b]]),"")</f>
        <v>2</v>
      </c>
      <c r="CU488">
        <v>2</v>
      </c>
      <c r="CV488">
        <f>IFERROR(AVERAGE(Tabel1[[#This Row],[In - F3a]:[In - F3a]]),"")</f>
        <v>2</v>
      </c>
      <c r="CW488">
        <v>4</v>
      </c>
      <c r="CX488">
        <f>IFERROR(AVERAGE(Tabel1[[#This Row],[In - F1]],Tabel1[[#This Row],[In - F2]],Tabel1[[#This Row],[In - F3]],Tabel1[[#This Row],[In - F4]]),"")</f>
        <v>2.5833333333333335</v>
      </c>
      <c r="CY488">
        <v>2</v>
      </c>
      <c r="CZ488">
        <v>2</v>
      </c>
      <c r="DA488">
        <v>2</v>
      </c>
      <c r="DB488">
        <f>IFERROR(AVERAGE(Tabel1[[#This Row],[In - V1a]:[In - V1c]]),"")</f>
        <v>2</v>
      </c>
      <c r="DC488">
        <v>2</v>
      </c>
      <c r="DD488">
        <v>2</v>
      </c>
      <c r="DE488">
        <v>2</v>
      </c>
      <c r="DF488">
        <f>IFERROR(AVERAGE(Tabel1[[#This Row],[In - V2a]:[In - V2c]]),"")</f>
        <v>2</v>
      </c>
      <c r="DG488">
        <v>2</v>
      </c>
      <c r="DH488">
        <v>3</v>
      </c>
      <c r="DI488">
        <f>IFERROR(AVERAGE(Tabel1[[#This Row],[In - V3a]:[In - V3b]]),"")</f>
        <v>2.5</v>
      </c>
      <c r="DJ488">
        <v>3</v>
      </c>
      <c r="DK488">
        <f>IFERROR(AVERAGE(Tabel1[[#This Row],[In - V1]],Tabel1[[#This Row],[In - V2]],Tabel1[[#This Row],[In - V3]],Tabel1[[#This Row],[In - V4]]),"")</f>
        <v>2.375</v>
      </c>
      <c r="DN488" t="str">
        <f>IFERROR(AVERAGE(Tabel1[[#This Row],[In - A1a]:[In - A1b]]),"")</f>
        <v/>
      </c>
      <c r="DO488">
        <v>3</v>
      </c>
      <c r="DP488">
        <v>1</v>
      </c>
      <c r="DQ488">
        <f>IFERROR(AVERAGE(Tabel1[[#This Row],[In - A2a]:[In - A2b]]),"")</f>
        <v>2</v>
      </c>
      <c r="DR488">
        <v>4</v>
      </c>
      <c r="DS488">
        <v>2</v>
      </c>
      <c r="DT488">
        <f>IFERROR(AVERAGE(Tabel1[[#This Row],[In - A3a]:[In - A3a]]),"")</f>
        <v>4</v>
      </c>
      <c r="DU488">
        <v>4</v>
      </c>
      <c r="DV488">
        <f>IFERROR(AVERAGE(Tabel1[[#This Row],[In - A1]],Tabel1[[#This Row],[In - A2]],Tabel1[[#This Row],[In - A3]],Tabel1[[#This Row],[In - A4]]),"")</f>
        <v>3.3333333333333335</v>
      </c>
      <c r="DW488">
        <v>1</v>
      </c>
      <c r="DX488">
        <v>2</v>
      </c>
      <c r="DY488">
        <v>1</v>
      </c>
      <c r="DZ488">
        <f>IFERROR(AVERAGE(Tabel1[[#This Row],[Do - R1a]:[Do - R1c]]),"")</f>
        <v>1.3333333333333333</v>
      </c>
      <c r="EA488" t="s">
        <v>189</v>
      </c>
      <c r="EB488">
        <v>4</v>
      </c>
      <c r="EC488" t="s">
        <v>189</v>
      </c>
      <c r="ED488">
        <v>3</v>
      </c>
      <c r="EE488">
        <f>IFERROR(AVERAGE(Tabel1[[#This Row],[Do - R1]:[Do - R5]]),"")</f>
        <v>2.7777777777777772</v>
      </c>
      <c r="EF488">
        <v>4</v>
      </c>
      <c r="EG488">
        <v>4</v>
      </c>
      <c r="EH488">
        <v>3</v>
      </c>
      <c r="EI488">
        <f>IFERROR(AVERAGE(Tabel1[[#This Row],[Do - C1a]:[Do - C1c]]),"")</f>
        <v>3.6666666666666665</v>
      </c>
      <c r="EJ488">
        <v>4</v>
      </c>
      <c r="EK488">
        <v>3</v>
      </c>
      <c r="EL488">
        <v>5</v>
      </c>
      <c r="EM488">
        <f>IFERROR(AVERAGE(Tabel1[[#This Row],[Do - C1]:[Do - C4]]),"")</f>
        <v>3.9166666666666665</v>
      </c>
      <c r="EN488">
        <v>3</v>
      </c>
      <c r="EO488">
        <v>3</v>
      </c>
      <c r="EP488">
        <v>1</v>
      </c>
      <c r="EQ488">
        <f>IFERROR(AVERAGE(Tabel1[[#This Row],[Do - F1a]:[Do - F1c]]),"")</f>
        <v>2.3333333333333335</v>
      </c>
      <c r="ER488">
        <v>4</v>
      </c>
      <c r="ES488">
        <f>IFERROR(AVERAGE(Tabel1[[#This Row],[Do - F2a]:[Do - F2a]]),"")</f>
        <v>4</v>
      </c>
      <c r="ET488">
        <v>4</v>
      </c>
      <c r="EU488">
        <v>4</v>
      </c>
      <c r="EV488">
        <f>IFERROR(AVERAGE(Tabel1[[#This Row],[Do - F3a]:[Do - F3b]]),"")</f>
        <v>4</v>
      </c>
      <c r="EW488">
        <v>5</v>
      </c>
      <c r="EX488">
        <f>IFERROR(AVERAGE(Tabel1[[#This Row],[Do - F1]],Tabel1[[#This Row],[Do - F2]],Tabel1[[#This Row],[Do - F3]],Tabel1[[#This Row],[Do - F4]]),"")</f>
        <v>3.8333333333333335</v>
      </c>
      <c r="EY488">
        <v>2</v>
      </c>
      <c r="EZ488">
        <v>2</v>
      </c>
      <c r="FA488">
        <v>4</v>
      </c>
      <c r="FB488">
        <f>IFERROR(AVERAGE(Tabel1[[#This Row],[Do - V1a]:[Do - V1c]]),"")</f>
        <v>2.6666666666666665</v>
      </c>
      <c r="FC488">
        <v>2</v>
      </c>
      <c r="FD488">
        <v>3</v>
      </c>
      <c r="FE488">
        <f>IFERROR(AVERAGE(Tabel1[[#This Row],[Do - V2a]:[Do - V2b]]),"")</f>
        <v>2.5</v>
      </c>
      <c r="FF488">
        <v>4</v>
      </c>
      <c r="FG488">
        <f>IFERROR(AVERAGE(Tabel1[[#This Row],[Do - V3a]:[Do - V3a]]),"")</f>
        <v>4</v>
      </c>
      <c r="FH488">
        <v>4</v>
      </c>
      <c r="FI488">
        <f>IFERROR(AVERAGE(Tabel1[[#This Row],[Do - V1]],Tabel1[[#This Row],[Do - V2]],Tabel1[[#This Row],[Do - V3]],Tabel1[[#This Row],[Do - V4]]),"")</f>
        <v>3.2916666666666665</v>
      </c>
      <c r="FJ488">
        <v>1</v>
      </c>
      <c r="FK488">
        <v>2</v>
      </c>
      <c r="FL488">
        <v>2</v>
      </c>
      <c r="FM488">
        <f>IFERROR(AVERAGE(Tabel1[[#This Row],[Do - A1a]:[Do - A1c]]),"")</f>
        <v>1.6666666666666667</v>
      </c>
      <c r="FN488">
        <v>1</v>
      </c>
      <c r="FO488">
        <v>3</v>
      </c>
      <c r="FP488">
        <f>IFERROR(AVERAGE(Tabel1[[#This Row],[Do - A2a]:[Do - A2b]]),"")</f>
        <v>2</v>
      </c>
      <c r="FQ488">
        <v>4</v>
      </c>
      <c r="FR488">
        <f>IFERROR(AVERAGE(Tabel1[[#This Row],[Do - A3a]:[Do - A3a]]),"")</f>
        <v>4</v>
      </c>
      <c r="FS488">
        <v>1</v>
      </c>
      <c r="FT488">
        <f>IFERROR(AVERAGE(Tabel1[[#This Row],[Do - A1]],Tabel1[[#This Row],[Do - A2]],Tabel1[[#This Row],[Do - A3]],Tabel1[[#This Row],[Do - A4]]),"")</f>
        <v>2.166666666666667</v>
      </c>
      <c r="FU48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3.05574074074074</v>
      </c>
      <c r="FV488" s="31" t="s">
        <v>2377</v>
      </c>
      <c r="FW488" t="b">
        <v>1</v>
      </c>
    </row>
    <row r="489" spans="1:179" x14ac:dyDescent="0.3">
      <c r="A489" s="13">
        <v>45761.627858796302</v>
      </c>
      <c r="B489" t="b">
        <v>0</v>
      </c>
      <c r="C489" t="s">
        <v>2378</v>
      </c>
      <c r="D489" t="s">
        <v>864</v>
      </c>
      <c r="E489" t="s">
        <v>2379</v>
      </c>
      <c r="F489" s="14" t="s">
        <v>1133</v>
      </c>
      <c r="G489" t="s">
        <v>2380</v>
      </c>
      <c r="H489" t="s">
        <v>194</v>
      </c>
      <c r="I489" t="s">
        <v>385</v>
      </c>
      <c r="K489" t="s">
        <v>304</v>
      </c>
      <c r="L489" t="s">
        <v>249</v>
      </c>
      <c r="M489" t="s">
        <v>281</v>
      </c>
      <c r="N489" t="s">
        <v>199</v>
      </c>
      <c r="O489" t="s">
        <v>256</v>
      </c>
      <c r="P489" t="s">
        <v>255</v>
      </c>
      <c r="Q489" t="s">
        <v>255</v>
      </c>
      <c r="R489" t="s">
        <v>187</v>
      </c>
      <c r="S489" t="s">
        <v>203</v>
      </c>
      <c r="T489" t="s">
        <v>204</v>
      </c>
      <c r="U489" t="s">
        <v>349</v>
      </c>
      <c r="V489" t="s">
        <v>484</v>
      </c>
      <c r="W489" t="s">
        <v>207</v>
      </c>
      <c r="X489" t="s">
        <v>306</v>
      </c>
      <c r="Y489">
        <v>2</v>
      </c>
      <c r="Z489">
        <v>2</v>
      </c>
      <c r="AA489">
        <v>1</v>
      </c>
      <c r="AB489">
        <f>IFERROR(AVERAGE(Tabel1[[#This Row],[Up - R1a]:[Up - R1c]]),"")</f>
        <v>1.6666666666666667</v>
      </c>
      <c r="AC489">
        <v>2</v>
      </c>
      <c r="AD489">
        <v>3</v>
      </c>
      <c r="AE489">
        <v>3</v>
      </c>
      <c r="AF489">
        <v>2</v>
      </c>
      <c r="AG489">
        <f>IFERROR(AVERAGE(Tabel1[[#This Row],[Up - R1]:[Up - R5]]),"")</f>
        <v>2.3333333333333335</v>
      </c>
      <c r="AH489">
        <v>1</v>
      </c>
      <c r="AI489">
        <v>3</v>
      </c>
      <c r="AJ489">
        <v>1</v>
      </c>
      <c r="AK489">
        <f>IFERROR(AVERAGE(Tabel1[[#This Row],[Up - C1a]:[Up - C1c]]),"")</f>
        <v>1.6666666666666667</v>
      </c>
      <c r="AL489">
        <v>2</v>
      </c>
      <c r="AM489">
        <v>1</v>
      </c>
      <c r="AN489">
        <v>1</v>
      </c>
      <c r="AO489">
        <f>IFERROR(AVERAGE(Tabel1[[#This Row],[Up - C1]:[Up - C4]]),"")</f>
        <v>1.4166666666666667</v>
      </c>
      <c r="AP489">
        <v>2</v>
      </c>
      <c r="AQ489">
        <f>IFERROR(AVERAGE(Tabel1[[#This Row],[Up - F1a]:[Up - F1a]]),"")</f>
        <v>2</v>
      </c>
      <c r="AR489">
        <v>3</v>
      </c>
      <c r="AS489">
        <v>4</v>
      </c>
      <c r="AT489">
        <f>IFERROR(AVERAGE(Tabel1[[#This Row],[Up - F2a]:[Up - F2b]]),"")</f>
        <v>3.5</v>
      </c>
      <c r="AU489">
        <v>5</v>
      </c>
      <c r="AV489">
        <v>1</v>
      </c>
      <c r="AW489">
        <f>IFERROR(AVERAGE(Tabel1[[#This Row],[Up - F3a]:[Up - F3b]]),"")</f>
        <v>3</v>
      </c>
      <c r="AX489">
        <v>2</v>
      </c>
      <c r="AY489">
        <f>IFERROR(AVERAGE(Tabel1[[#This Row],[Up - F1]],Tabel1[[#This Row],[Up - F2]],Tabel1[[#This Row],[Up - F3]],Tabel1[[#This Row],[Up - F4]]),"")</f>
        <v>2.625</v>
      </c>
      <c r="AZ489">
        <v>3</v>
      </c>
      <c r="BA489">
        <v>3</v>
      </c>
      <c r="BB489">
        <f>IFERROR(AVERAGE(Tabel1[[#This Row],[Up - V1a]:[Up - V1b]]),"")</f>
        <v>3</v>
      </c>
      <c r="BC489">
        <v>1</v>
      </c>
      <c r="BD489">
        <v>4</v>
      </c>
      <c r="BE489">
        <v>2</v>
      </c>
      <c r="BF489">
        <f>IFERROR(AVERAGE(Tabel1[[#This Row],[Up - V2a]:[Up - V2c]]),"")</f>
        <v>2.3333333333333335</v>
      </c>
      <c r="BG489">
        <v>1</v>
      </c>
      <c r="BH489">
        <v>1</v>
      </c>
      <c r="BI489">
        <f>IFERROR(AVERAGE(Tabel1[[#This Row],[Up - V3a]:[Up - V3b]]),"")</f>
        <v>1</v>
      </c>
      <c r="BJ489">
        <v>1</v>
      </c>
      <c r="BK489">
        <f>IFERROR(AVERAGE(Tabel1[[#This Row],[Up - V1]],Tabel1[[#This Row],[Up - V2]],Tabel1[[#This Row],[Up - V3]],Tabel1[[#This Row],[Up - V4]]),"")</f>
        <v>1.8333333333333335</v>
      </c>
      <c r="BL489">
        <v>1</v>
      </c>
      <c r="BM489">
        <v>2</v>
      </c>
      <c r="BN489">
        <v>1</v>
      </c>
      <c r="BO489">
        <v>1</v>
      </c>
      <c r="BP489">
        <f>IFERROR(AVERAGE(Tabel1[[#This Row],[Up - A1a]:[Up - A1d]]),"")</f>
        <v>1.25</v>
      </c>
      <c r="BQ489">
        <v>3</v>
      </c>
      <c r="BR489">
        <v>4</v>
      </c>
      <c r="BS489">
        <f>IFERROR(AVERAGE(Tabel1[[#This Row],[Up - A2a]:[Up - A2b]]),"")</f>
        <v>3.5</v>
      </c>
      <c r="BT489">
        <v>2</v>
      </c>
      <c r="BU489">
        <f>IFERROR(AVERAGE(Tabel1[[#This Row],[Up - A3a]:[Up - A3a]]),"")</f>
        <v>2</v>
      </c>
      <c r="BV489">
        <v>1</v>
      </c>
      <c r="BW489">
        <f>IFERROR(AVERAGE(Tabel1[[#This Row],[Up - A1]],Tabel1[[#This Row],[Up - A2]],Tabel1[[#This Row],[Up - A3]]),"")</f>
        <v>2.25</v>
      </c>
      <c r="BY489">
        <v>2</v>
      </c>
      <c r="BZ489">
        <f>IFERROR(AVERAGE(Tabel1[[#This Row],[In - R1a]:[In - R1b]]),"")</f>
        <v>2</v>
      </c>
      <c r="CA489">
        <v>4</v>
      </c>
      <c r="CB489">
        <v>4</v>
      </c>
      <c r="CD489">
        <v>4</v>
      </c>
      <c r="CE489">
        <f>IFERROR(AVERAGE(Tabel1[[#This Row],[In - R1]:[In - R5]]),"")</f>
        <v>3.5</v>
      </c>
      <c r="CF489">
        <v>4</v>
      </c>
      <c r="CG489">
        <v>4</v>
      </c>
      <c r="CH489">
        <v>5</v>
      </c>
      <c r="CI489">
        <f>IFERROR(AVERAGE(Tabel1[[#This Row],[In - C1a]:[In - C1c]]),"")</f>
        <v>4.333333333333333</v>
      </c>
      <c r="CJ489">
        <v>4</v>
      </c>
      <c r="CK489">
        <v>3</v>
      </c>
      <c r="CL489">
        <v>4</v>
      </c>
      <c r="CM489">
        <f>IFERROR(AVERAGE(Tabel1[[#This Row],[In - C1]:[In - C4]]),"")</f>
        <v>3.833333333333333</v>
      </c>
      <c r="CN489">
        <v>4</v>
      </c>
      <c r="CO489">
        <v>3</v>
      </c>
      <c r="CP489">
        <v>2</v>
      </c>
      <c r="CQ489">
        <f>IFERROR(AVERAGE(Tabel1[[#This Row],[In - F1a]:[In - F1c]]),"")</f>
        <v>3</v>
      </c>
      <c r="CR489">
        <v>4</v>
      </c>
      <c r="CS489">
        <v>3</v>
      </c>
      <c r="CT489">
        <f>IFERROR(AVERAGE(Tabel1[[#This Row],[In - F2a]:[In - F2b]]),"")</f>
        <v>3.5</v>
      </c>
      <c r="CU489">
        <v>2</v>
      </c>
      <c r="CV489">
        <f>IFERROR(AVERAGE(Tabel1[[#This Row],[In - F3a]:[In - F3a]]),"")</f>
        <v>2</v>
      </c>
      <c r="CW489">
        <v>4</v>
      </c>
      <c r="CX489">
        <f>IFERROR(AVERAGE(Tabel1[[#This Row],[In - F1]],Tabel1[[#This Row],[In - F2]],Tabel1[[#This Row],[In - F3]],Tabel1[[#This Row],[In - F4]]),"")</f>
        <v>3.125</v>
      </c>
      <c r="CY489">
        <v>4</v>
      </c>
      <c r="CZ489">
        <v>4</v>
      </c>
      <c r="DA489">
        <v>4</v>
      </c>
      <c r="DB489">
        <f>IFERROR(AVERAGE(Tabel1[[#This Row],[In - V1a]:[In - V1c]]),"")</f>
        <v>4</v>
      </c>
      <c r="DC489">
        <v>2</v>
      </c>
      <c r="DD489">
        <v>4</v>
      </c>
      <c r="DE489">
        <v>3</v>
      </c>
      <c r="DF489">
        <f>IFERROR(AVERAGE(Tabel1[[#This Row],[In - V2a]:[In - V2c]]),"")</f>
        <v>3</v>
      </c>
      <c r="DG489">
        <v>2</v>
      </c>
      <c r="DH489">
        <v>1</v>
      </c>
      <c r="DI489">
        <f>IFERROR(AVERAGE(Tabel1[[#This Row],[In - V3a]:[In - V3b]]),"")</f>
        <v>1.5</v>
      </c>
      <c r="DJ489">
        <v>3</v>
      </c>
      <c r="DK489">
        <f>IFERROR(AVERAGE(Tabel1[[#This Row],[In - V1]],Tabel1[[#This Row],[In - V2]],Tabel1[[#This Row],[In - V3]],Tabel1[[#This Row],[In - V4]]),"")</f>
        <v>2.875</v>
      </c>
      <c r="DN489" t="str">
        <f>IFERROR(AVERAGE(Tabel1[[#This Row],[In - A1a]:[In - A1b]]),"")</f>
        <v/>
      </c>
      <c r="DP489">
        <v>4</v>
      </c>
      <c r="DQ489">
        <f>IFERROR(AVERAGE(Tabel1[[#This Row],[In - A2a]:[In - A2b]]),"")</f>
        <v>4</v>
      </c>
      <c r="DR489">
        <v>4</v>
      </c>
      <c r="DS489">
        <v>4</v>
      </c>
      <c r="DT489">
        <f>IFERROR(AVERAGE(Tabel1[[#This Row],[In - A3a]:[In - A3a]]),"")</f>
        <v>4</v>
      </c>
      <c r="DU489">
        <v>2</v>
      </c>
      <c r="DV489">
        <f>IFERROR(AVERAGE(Tabel1[[#This Row],[In - A1]],Tabel1[[#This Row],[In - A2]],Tabel1[[#This Row],[In - A3]],Tabel1[[#This Row],[In - A4]]),"")</f>
        <v>3.3333333333333335</v>
      </c>
      <c r="DW489">
        <v>2</v>
      </c>
      <c r="DX489">
        <v>1</v>
      </c>
      <c r="DY489">
        <v>3</v>
      </c>
      <c r="DZ489">
        <f>IFERROR(AVERAGE(Tabel1[[#This Row],[Do - R1a]:[Do - R1c]]),"")</f>
        <v>2</v>
      </c>
      <c r="EB489">
        <v>4</v>
      </c>
      <c r="EC489">
        <v>1</v>
      </c>
      <c r="ED489">
        <v>4</v>
      </c>
      <c r="EE489">
        <f>IFERROR(AVERAGE(Tabel1[[#This Row],[Do - R1]:[Do - R5]]),"")</f>
        <v>2.75</v>
      </c>
      <c r="EF489">
        <v>3</v>
      </c>
      <c r="EG489">
        <v>1</v>
      </c>
      <c r="EH489">
        <v>3</v>
      </c>
      <c r="EI489">
        <f>IFERROR(AVERAGE(Tabel1[[#This Row],[Do - C1a]:[Do - C1c]]),"")</f>
        <v>2.3333333333333335</v>
      </c>
      <c r="EJ489">
        <v>1</v>
      </c>
      <c r="EK489">
        <v>1</v>
      </c>
      <c r="EL489">
        <v>1</v>
      </c>
      <c r="EM489">
        <f>IFERROR(AVERAGE(Tabel1[[#This Row],[Do - C1]:[Do - C4]]),"")</f>
        <v>1.3333333333333335</v>
      </c>
      <c r="EN489">
        <v>2</v>
      </c>
      <c r="EO489">
        <v>2</v>
      </c>
      <c r="EP489">
        <v>4</v>
      </c>
      <c r="EQ489">
        <f>IFERROR(AVERAGE(Tabel1[[#This Row],[Do - F1a]:[Do - F1c]]),"")</f>
        <v>2.6666666666666665</v>
      </c>
      <c r="ES489" t="str">
        <f>IFERROR(AVERAGE(Tabel1[[#This Row],[Do - F2a]:[Do - F2a]]),"")</f>
        <v/>
      </c>
      <c r="ET489">
        <v>2</v>
      </c>
      <c r="EU489">
        <v>2</v>
      </c>
      <c r="EV489">
        <f>IFERROR(AVERAGE(Tabel1[[#This Row],[Do - F3a]:[Do - F3b]]),"")</f>
        <v>2</v>
      </c>
      <c r="EW489">
        <v>1</v>
      </c>
      <c r="EX489">
        <f>IFERROR(AVERAGE(Tabel1[[#This Row],[Do - F1]],Tabel1[[#This Row],[Do - F2]],Tabel1[[#This Row],[Do - F3]],Tabel1[[#This Row],[Do - F4]]),"")</f>
        <v>1.8888888888888886</v>
      </c>
      <c r="EY489">
        <v>2</v>
      </c>
      <c r="EZ489">
        <v>1</v>
      </c>
      <c r="FA489">
        <v>2</v>
      </c>
      <c r="FB489">
        <f>IFERROR(AVERAGE(Tabel1[[#This Row],[Do - V1a]:[Do - V1c]]),"")</f>
        <v>1.6666666666666667</v>
      </c>
      <c r="FC489">
        <v>2</v>
      </c>
      <c r="FD489">
        <v>3</v>
      </c>
      <c r="FE489">
        <f>IFERROR(AVERAGE(Tabel1[[#This Row],[Do - V2a]:[Do - V2b]]),"")</f>
        <v>2.5</v>
      </c>
      <c r="FF489">
        <v>3</v>
      </c>
      <c r="FG489">
        <f>IFERROR(AVERAGE(Tabel1[[#This Row],[Do - V3a]:[Do - V3a]]),"")</f>
        <v>3</v>
      </c>
      <c r="FH489">
        <v>3</v>
      </c>
      <c r="FI489">
        <f>IFERROR(AVERAGE(Tabel1[[#This Row],[Do - V1]],Tabel1[[#This Row],[Do - V2]],Tabel1[[#This Row],[Do - V3]],Tabel1[[#This Row],[Do - V4]]),"")</f>
        <v>2.541666666666667</v>
      </c>
      <c r="FJ489">
        <v>1</v>
      </c>
      <c r="FK489">
        <v>4</v>
      </c>
      <c r="FL489">
        <v>3</v>
      </c>
      <c r="FM489">
        <f>IFERROR(AVERAGE(Tabel1[[#This Row],[Do - A1a]:[Do - A1c]]),"")</f>
        <v>2.6666666666666665</v>
      </c>
      <c r="FN489">
        <v>4</v>
      </c>
      <c r="FO489">
        <v>3</v>
      </c>
      <c r="FP489">
        <f>IFERROR(AVERAGE(Tabel1[[#This Row],[Do - A2a]:[Do - A2b]]),"")</f>
        <v>3.5</v>
      </c>
      <c r="FR489" t="str">
        <f>IFERROR(AVERAGE(Tabel1[[#This Row],[Do - A3a]:[Do - A3a]]),"")</f>
        <v/>
      </c>
      <c r="FT489">
        <f>IFERROR(AVERAGE(Tabel1[[#This Row],[Do - A1]],Tabel1[[#This Row],[Do - A2]],Tabel1[[#This Row],[Do - A3]],Tabel1[[#This Row],[Do - A4]]),"")</f>
        <v>3.083333333333333</v>
      </c>
      <c r="FU48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2.5814814814814815</v>
      </c>
      <c r="FV489" s="31" t="s">
        <v>2381</v>
      </c>
      <c r="FW489" t="b">
        <v>1</v>
      </c>
    </row>
    <row r="490" spans="1:179" x14ac:dyDescent="0.3">
      <c r="A490" s="13">
        <v>45763.439247685201</v>
      </c>
      <c r="B490" t="b">
        <v>0</v>
      </c>
      <c r="C490" t="s">
        <v>2382</v>
      </c>
      <c r="D490" t="s">
        <v>2383</v>
      </c>
      <c r="E490" t="s">
        <v>2384</v>
      </c>
      <c r="F490" s="14" t="s">
        <v>2323</v>
      </c>
      <c r="G490" t="s">
        <v>2385</v>
      </c>
      <c r="H490" t="s">
        <v>194</v>
      </c>
      <c r="I490" t="s">
        <v>322</v>
      </c>
      <c r="J490" t="s">
        <v>838</v>
      </c>
      <c r="K490" t="s">
        <v>202</v>
      </c>
      <c r="L490" t="s">
        <v>197</v>
      </c>
      <c r="M490" t="s">
        <v>281</v>
      </c>
      <c r="N490" t="s">
        <v>262</v>
      </c>
      <c r="O490" t="s">
        <v>256</v>
      </c>
      <c r="P490" t="s">
        <v>304</v>
      </c>
      <c r="Q490" t="s">
        <v>304</v>
      </c>
      <c r="R490" t="s">
        <v>203</v>
      </c>
      <c r="S490" t="s">
        <v>235</v>
      </c>
      <c r="T490" t="s">
        <v>236</v>
      </c>
      <c r="U490" t="s">
        <v>205</v>
      </c>
      <c r="V490" t="s">
        <v>224</v>
      </c>
      <c r="W490" t="s">
        <v>395</v>
      </c>
      <c r="X490" t="s">
        <v>395</v>
      </c>
      <c r="Y490">
        <v>4</v>
      </c>
      <c r="Z490">
        <v>5</v>
      </c>
      <c r="AA490" t="s">
        <v>189</v>
      </c>
      <c r="AB490">
        <f>IFERROR(AVERAGE(Tabel1[[#This Row],[Up - R1a]:[Up - R1c]]),"")</f>
        <v>4.5</v>
      </c>
      <c r="AC490">
        <v>2</v>
      </c>
      <c r="AD490">
        <v>4</v>
      </c>
      <c r="AE490">
        <v>2</v>
      </c>
      <c r="AF490">
        <v>2</v>
      </c>
      <c r="AG490">
        <f>IFERROR(AVERAGE(Tabel1[[#This Row],[Up - R1]:[Up - R5]]),"")</f>
        <v>2.9</v>
      </c>
      <c r="AH490">
        <v>3</v>
      </c>
      <c r="AI490">
        <v>3</v>
      </c>
      <c r="AJ490">
        <v>2</v>
      </c>
      <c r="AK490">
        <f>IFERROR(AVERAGE(Tabel1[[#This Row],[Up - C1a]:[Up - C1c]]),"")</f>
        <v>2.6666666666666665</v>
      </c>
      <c r="AL490">
        <v>2</v>
      </c>
      <c r="AM490">
        <v>2</v>
      </c>
      <c r="AN490">
        <v>4</v>
      </c>
      <c r="AO490">
        <f>IFERROR(AVERAGE(Tabel1[[#This Row],[Up - C1]:[Up - C4]]),"")</f>
        <v>2.6666666666666665</v>
      </c>
      <c r="AP490">
        <v>4</v>
      </c>
      <c r="AQ490">
        <f>IFERROR(AVERAGE(Tabel1[[#This Row],[Up - F1a]:[Up - F1a]]),"")</f>
        <v>4</v>
      </c>
      <c r="AR490">
        <v>2</v>
      </c>
      <c r="AS490">
        <v>2</v>
      </c>
      <c r="AT490">
        <f>IFERROR(AVERAGE(Tabel1[[#This Row],[Up - F2a]:[Up - F2b]]),"")</f>
        <v>2</v>
      </c>
      <c r="AU490">
        <v>3</v>
      </c>
      <c r="AV490" t="s">
        <v>189</v>
      </c>
      <c r="AW490">
        <f>IFERROR(AVERAGE(Tabel1[[#This Row],[Up - F3a]:[Up - F3b]]),"")</f>
        <v>3</v>
      </c>
      <c r="AX490">
        <v>3</v>
      </c>
      <c r="AY490">
        <f>IFERROR(AVERAGE(Tabel1[[#This Row],[Up - F1]],Tabel1[[#This Row],[Up - F2]],Tabel1[[#This Row],[Up - F3]],Tabel1[[#This Row],[Up - F4]]),"")</f>
        <v>3</v>
      </c>
      <c r="AZ490">
        <v>2</v>
      </c>
      <c r="BA490">
        <v>3</v>
      </c>
      <c r="BB490">
        <f>IFERROR(AVERAGE(Tabel1[[#This Row],[Up - V1a]:[Up - V1b]]),"")</f>
        <v>2.5</v>
      </c>
      <c r="BC490">
        <v>2</v>
      </c>
      <c r="BD490">
        <v>2</v>
      </c>
      <c r="BE490">
        <v>3</v>
      </c>
      <c r="BF490">
        <f>IFERROR(AVERAGE(Tabel1[[#This Row],[Up - V2a]:[Up - V2c]]),"")</f>
        <v>2.3333333333333335</v>
      </c>
      <c r="BG490">
        <v>2</v>
      </c>
      <c r="BH490">
        <v>3</v>
      </c>
      <c r="BI490">
        <f>IFERROR(AVERAGE(Tabel1[[#This Row],[Up - V3a]:[Up - V3b]]),"")</f>
        <v>2.5</v>
      </c>
      <c r="BJ490">
        <v>2</v>
      </c>
      <c r="BK490">
        <f>IFERROR(AVERAGE(Tabel1[[#This Row],[Up - V1]],Tabel1[[#This Row],[Up - V2]],Tabel1[[#This Row],[Up - V3]],Tabel1[[#This Row],[Up - V4]]),"")</f>
        <v>2.3333333333333335</v>
      </c>
      <c r="BL490">
        <v>2</v>
      </c>
      <c r="BM490">
        <v>3</v>
      </c>
      <c r="BN490">
        <v>2</v>
      </c>
      <c r="BO490">
        <v>2</v>
      </c>
      <c r="BP490">
        <f>IFERROR(AVERAGE(Tabel1[[#This Row],[Up - A1a]:[Up - A1d]]),"")</f>
        <v>2.25</v>
      </c>
      <c r="BQ490">
        <v>2</v>
      </c>
      <c r="BR490">
        <v>2</v>
      </c>
      <c r="BS490">
        <f>IFERROR(AVERAGE(Tabel1[[#This Row],[Up - A2a]:[Up - A2b]]),"")</f>
        <v>2</v>
      </c>
      <c r="BT490">
        <v>2</v>
      </c>
      <c r="BU490">
        <f>IFERROR(AVERAGE(Tabel1[[#This Row],[Up - A3a]:[Up - A3a]]),"")</f>
        <v>2</v>
      </c>
      <c r="BV490">
        <v>2</v>
      </c>
      <c r="BW490">
        <f>IFERROR(AVERAGE(Tabel1[[#This Row],[Up - A1]],Tabel1[[#This Row],[Up - A2]],Tabel1[[#This Row],[Up - A3]]),"")</f>
        <v>2.0833333333333335</v>
      </c>
      <c r="BY490">
        <v>5</v>
      </c>
      <c r="BZ490">
        <f>IFERROR(AVERAGE(Tabel1[[#This Row],[In - R1a]:[In - R1b]]),"")</f>
        <v>5</v>
      </c>
      <c r="CA490">
        <v>4</v>
      </c>
      <c r="CB490">
        <v>5</v>
      </c>
      <c r="CC490" t="s">
        <v>189</v>
      </c>
      <c r="CD490">
        <v>2</v>
      </c>
      <c r="CE490">
        <f>IFERROR(AVERAGE(Tabel1[[#This Row],[In - R1]:[In - R5]]),"")</f>
        <v>4</v>
      </c>
      <c r="CF490">
        <v>5</v>
      </c>
      <c r="CG490">
        <v>5</v>
      </c>
      <c r="CH490">
        <v>4</v>
      </c>
      <c r="CI490">
        <f>IFERROR(AVERAGE(Tabel1[[#This Row],[In - C1a]:[In - C1c]]),"")</f>
        <v>4.666666666666667</v>
      </c>
      <c r="CJ490">
        <v>5</v>
      </c>
      <c r="CK490">
        <v>4</v>
      </c>
      <c r="CL490">
        <v>5</v>
      </c>
      <c r="CM490">
        <f>IFERROR(AVERAGE(Tabel1[[#This Row],[In - C1]:[In - C4]]),"")</f>
        <v>4.666666666666667</v>
      </c>
      <c r="CN490">
        <v>3</v>
      </c>
      <c r="CO490">
        <v>2</v>
      </c>
      <c r="CP490">
        <v>2</v>
      </c>
      <c r="CQ490">
        <f>IFERROR(AVERAGE(Tabel1[[#This Row],[In - F1a]:[In - F1c]]),"")</f>
        <v>2.3333333333333335</v>
      </c>
      <c r="CR490">
        <v>3</v>
      </c>
      <c r="CS490">
        <v>2</v>
      </c>
      <c r="CT490">
        <f>IFERROR(AVERAGE(Tabel1[[#This Row],[In - F2a]:[In - F2b]]),"")</f>
        <v>2.5</v>
      </c>
      <c r="CU490">
        <v>2</v>
      </c>
      <c r="CV490">
        <f>IFERROR(AVERAGE(Tabel1[[#This Row],[In - F3a]:[In - F3a]]),"")</f>
        <v>2</v>
      </c>
      <c r="CW490">
        <v>3</v>
      </c>
      <c r="CX490">
        <f>IFERROR(AVERAGE(Tabel1[[#This Row],[In - F1]],Tabel1[[#This Row],[In - F2]],Tabel1[[#This Row],[In - F3]],Tabel1[[#This Row],[In - F4]]),"")</f>
        <v>2.4583333333333335</v>
      </c>
      <c r="CY490">
        <v>3</v>
      </c>
      <c r="CZ490">
        <v>5</v>
      </c>
      <c r="DA490">
        <v>4</v>
      </c>
      <c r="DB490">
        <f>IFERROR(AVERAGE(Tabel1[[#This Row],[In - V1a]:[In - V1c]]),"")</f>
        <v>4</v>
      </c>
      <c r="DC490">
        <v>4</v>
      </c>
      <c r="DD490">
        <v>4</v>
      </c>
      <c r="DE490">
        <v>5</v>
      </c>
      <c r="DF490">
        <f>IFERROR(AVERAGE(Tabel1[[#This Row],[In - V2a]:[In - V2c]]),"")</f>
        <v>4.333333333333333</v>
      </c>
      <c r="DG490">
        <v>4</v>
      </c>
      <c r="DH490">
        <v>3</v>
      </c>
      <c r="DI490">
        <f>IFERROR(AVERAGE(Tabel1[[#This Row],[In - V3a]:[In - V3b]]),"")</f>
        <v>3.5</v>
      </c>
      <c r="DJ490">
        <v>4</v>
      </c>
      <c r="DK490">
        <f>IFERROR(AVERAGE(Tabel1[[#This Row],[In - V1]],Tabel1[[#This Row],[In - V2]],Tabel1[[#This Row],[In - V3]],Tabel1[[#This Row],[In - V4]]),"")</f>
        <v>3.958333333333333</v>
      </c>
      <c r="DL490">
        <v>4</v>
      </c>
      <c r="DM490">
        <v>3</v>
      </c>
      <c r="DN490">
        <f>IFERROR(AVERAGE(Tabel1[[#This Row],[In - A1a]:[In - A1b]]),"")</f>
        <v>3.5</v>
      </c>
      <c r="DO490" t="s">
        <v>189</v>
      </c>
      <c r="DP490">
        <v>4</v>
      </c>
      <c r="DQ490">
        <f>IFERROR(AVERAGE(Tabel1[[#This Row],[In - A2a]:[In - A2b]]),"")</f>
        <v>4</v>
      </c>
      <c r="DR490">
        <v>4</v>
      </c>
      <c r="DS490">
        <v>3</v>
      </c>
      <c r="DT490">
        <f>IFERROR(AVERAGE(Tabel1[[#This Row],[In - A3a]:[In - A3a]]),"")</f>
        <v>4</v>
      </c>
      <c r="DU490">
        <v>2</v>
      </c>
      <c r="DV490">
        <f>IFERROR(AVERAGE(Tabel1[[#This Row],[In - A1]],Tabel1[[#This Row],[In - A2]],Tabel1[[#This Row],[In - A3]],Tabel1[[#This Row],[In - A4]]),"")</f>
        <v>3.375</v>
      </c>
      <c r="DW490">
        <v>3</v>
      </c>
      <c r="DX490">
        <v>5</v>
      </c>
      <c r="DY490">
        <v>3</v>
      </c>
      <c r="DZ490">
        <f>IFERROR(AVERAGE(Tabel1[[#This Row],[Do - R1a]:[Do - R1c]]),"")</f>
        <v>3.6666666666666665</v>
      </c>
      <c r="EA490">
        <v>4</v>
      </c>
      <c r="EB490">
        <v>5</v>
      </c>
      <c r="EC490">
        <v>3</v>
      </c>
      <c r="ED490">
        <v>2</v>
      </c>
      <c r="EE490">
        <f>IFERROR(AVERAGE(Tabel1[[#This Row],[Do - R1]:[Do - R5]]),"")</f>
        <v>3.5333333333333328</v>
      </c>
      <c r="EF490">
        <v>3</v>
      </c>
      <c r="EG490">
        <v>3</v>
      </c>
      <c r="EH490">
        <v>2</v>
      </c>
      <c r="EI490">
        <f>IFERROR(AVERAGE(Tabel1[[#This Row],[Do - C1a]:[Do - C1c]]),"")</f>
        <v>2.6666666666666665</v>
      </c>
      <c r="EJ490">
        <v>3</v>
      </c>
      <c r="EK490">
        <v>3</v>
      </c>
      <c r="EL490">
        <v>4</v>
      </c>
      <c r="EM490">
        <f>IFERROR(AVERAGE(Tabel1[[#This Row],[Do - C1]:[Do - C4]]),"")</f>
        <v>3.1666666666666665</v>
      </c>
      <c r="EN490">
        <v>3</v>
      </c>
      <c r="EO490">
        <v>3</v>
      </c>
      <c r="EP490">
        <v>4</v>
      </c>
      <c r="EQ490">
        <f>IFERROR(AVERAGE(Tabel1[[#This Row],[Do - F1a]:[Do - F1c]]),"")</f>
        <v>3.3333333333333335</v>
      </c>
      <c r="ER490">
        <v>2</v>
      </c>
      <c r="ES490">
        <f>IFERROR(AVERAGE(Tabel1[[#This Row],[Do - F2a]:[Do - F2a]]),"")</f>
        <v>2</v>
      </c>
      <c r="ET490">
        <v>2</v>
      </c>
      <c r="EU490">
        <v>3</v>
      </c>
      <c r="EV490">
        <f>IFERROR(AVERAGE(Tabel1[[#This Row],[Do - F3a]:[Do - F3b]]),"")</f>
        <v>2.5</v>
      </c>
      <c r="EW490">
        <v>3</v>
      </c>
      <c r="EX490">
        <f>IFERROR(AVERAGE(Tabel1[[#This Row],[Do - F1]],Tabel1[[#This Row],[Do - F2]],Tabel1[[#This Row],[Do - F3]],Tabel1[[#This Row],[Do - F4]]),"")</f>
        <v>2.7083333333333335</v>
      </c>
      <c r="EY490">
        <v>3</v>
      </c>
      <c r="EZ490">
        <v>3</v>
      </c>
      <c r="FA490">
        <v>2</v>
      </c>
      <c r="FB490">
        <f>IFERROR(AVERAGE(Tabel1[[#This Row],[Do - V1a]:[Do - V1c]]),"")</f>
        <v>2.6666666666666665</v>
      </c>
      <c r="FC490">
        <v>3</v>
      </c>
      <c r="FD490">
        <v>4</v>
      </c>
      <c r="FE490">
        <f>IFERROR(AVERAGE(Tabel1[[#This Row],[Do - V2a]:[Do - V2b]]),"")</f>
        <v>3.5</v>
      </c>
      <c r="FF490">
        <v>2</v>
      </c>
      <c r="FG490">
        <f>IFERROR(AVERAGE(Tabel1[[#This Row],[Do - V3a]:[Do - V3a]]),"")</f>
        <v>2</v>
      </c>
      <c r="FH490">
        <v>3</v>
      </c>
      <c r="FI490">
        <f>IFERROR(AVERAGE(Tabel1[[#This Row],[Do - V1]],Tabel1[[#This Row],[Do - V2]],Tabel1[[#This Row],[Do - V3]],Tabel1[[#This Row],[Do - V4]]),"")</f>
        <v>2.7916666666666665</v>
      </c>
      <c r="FJ490">
        <v>3</v>
      </c>
      <c r="FK490">
        <v>2</v>
      </c>
      <c r="FL490">
        <v>3</v>
      </c>
      <c r="FM490">
        <f>IFERROR(AVERAGE(Tabel1[[#This Row],[Do - A1a]:[Do - A1c]]),"")</f>
        <v>2.6666666666666665</v>
      </c>
      <c r="FN490" t="s">
        <v>189</v>
      </c>
      <c r="FO490">
        <v>2</v>
      </c>
      <c r="FP490">
        <f>IFERROR(AVERAGE(Tabel1[[#This Row],[Do - A2a]:[Do - A2b]]),"")</f>
        <v>2</v>
      </c>
      <c r="FQ490">
        <v>2</v>
      </c>
      <c r="FR490">
        <f>IFERROR(AVERAGE(Tabel1[[#This Row],[Do - A3a]:[Do - A3a]]),"")</f>
        <v>2</v>
      </c>
      <c r="FS490">
        <v>2</v>
      </c>
      <c r="FT490">
        <f>IFERROR(AVERAGE(Tabel1[[#This Row],[Do - A1]],Tabel1[[#This Row],[Do - A2]],Tabel1[[#This Row],[Do - A3]],Tabel1[[#This Row],[Do - A4]]),"")</f>
        <v>2.1666666666666665</v>
      </c>
      <c r="FU49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3.0538888888888889</v>
      </c>
      <c r="FV490" s="31" t="s">
        <v>2386</v>
      </c>
      <c r="FW490" t="b">
        <v>1</v>
      </c>
    </row>
    <row r="491" spans="1:179" x14ac:dyDescent="0.3">
      <c r="A491" s="13">
        <v>45763.496018518497</v>
      </c>
      <c r="B491" t="b">
        <v>0</v>
      </c>
      <c r="C491" t="s">
        <v>2387</v>
      </c>
      <c r="D491" t="s">
        <v>2388</v>
      </c>
      <c r="E491" t="s">
        <v>2389</v>
      </c>
      <c r="F491" s="14" t="s">
        <v>2323</v>
      </c>
      <c r="G491" t="s">
        <v>2390</v>
      </c>
      <c r="H491" t="s">
        <v>194</v>
      </c>
      <c r="I491" t="s">
        <v>243</v>
      </c>
      <c r="J491" t="s">
        <v>244</v>
      </c>
      <c r="K491" t="s">
        <v>317</v>
      </c>
      <c r="L491" t="s">
        <v>218</v>
      </c>
      <c r="M491" t="s">
        <v>198</v>
      </c>
      <c r="N491" t="s">
        <v>199</v>
      </c>
      <c r="O491" t="s">
        <v>256</v>
      </c>
      <c r="P491" t="s">
        <v>255</v>
      </c>
      <c r="Q491" t="s">
        <v>255</v>
      </c>
      <c r="R491" t="s">
        <v>203</v>
      </c>
      <c r="S491" t="s">
        <v>304</v>
      </c>
      <c r="T491" t="s">
        <v>284</v>
      </c>
      <c r="U491" t="s">
        <v>285</v>
      </c>
      <c r="V491" t="s">
        <v>484</v>
      </c>
      <c r="W491" t="s">
        <v>395</v>
      </c>
      <c r="X491" t="s">
        <v>305</v>
      </c>
      <c r="Y491">
        <v>2</v>
      </c>
      <c r="Z491">
        <v>4</v>
      </c>
      <c r="AA491">
        <v>4</v>
      </c>
      <c r="AB491">
        <f>IFERROR(AVERAGE(Tabel1[[#This Row],[Up - R1a]:[Up - R1c]]),"")</f>
        <v>3.3333333333333335</v>
      </c>
      <c r="AC491">
        <v>5</v>
      </c>
      <c r="AD491">
        <v>2</v>
      </c>
      <c r="AE491">
        <v>3</v>
      </c>
      <c r="AF491">
        <v>5</v>
      </c>
      <c r="AG491">
        <f>IFERROR(AVERAGE(Tabel1[[#This Row],[Up - R1]:[Up - R5]]),"")</f>
        <v>3.666666666666667</v>
      </c>
      <c r="AH491">
        <v>5</v>
      </c>
      <c r="AI491">
        <v>3</v>
      </c>
      <c r="AJ491">
        <v>4</v>
      </c>
      <c r="AK491">
        <f>IFERROR(AVERAGE(Tabel1[[#This Row],[Up - C1a]:[Up - C1c]]),"")</f>
        <v>4</v>
      </c>
      <c r="AL491">
        <v>5</v>
      </c>
      <c r="AM491">
        <v>4</v>
      </c>
      <c r="AN491">
        <v>3</v>
      </c>
      <c r="AO491">
        <f>IFERROR(AVERAGE(Tabel1[[#This Row],[Up - C1]:[Up - C4]]),"")</f>
        <v>4</v>
      </c>
      <c r="AP491">
        <v>4</v>
      </c>
      <c r="AQ491">
        <f>IFERROR(AVERAGE(Tabel1[[#This Row],[Up - F1a]:[Up - F1a]]),"")</f>
        <v>4</v>
      </c>
      <c r="AR491">
        <v>2</v>
      </c>
      <c r="AS491">
        <v>4</v>
      </c>
      <c r="AT491">
        <f>IFERROR(AVERAGE(Tabel1[[#This Row],[Up - F2a]:[Up - F2b]]),"")</f>
        <v>3</v>
      </c>
      <c r="AU491">
        <v>3</v>
      </c>
      <c r="AV491">
        <v>4</v>
      </c>
      <c r="AW491">
        <f>IFERROR(AVERAGE(Tabel1[[#This Row],[Up - F3a]:[Up - F3b]]),"")</f>
        <v>3.5</v>
      </c>
      <c r="AX491">
        <v>5</v>
      </c>
      <c r="AY491">
        <f>IFERROR(AVERAGE(Tabel1[[#This Row],[Up - F1]],Tabel1[[#This Row],[Up - F2]],Tabel1[[#This Row],[Up - F3]],Tabel1[[#This Row],[Up - F4]]),"")</f>
        <v>3.875</v>
      </c>
      <c r="AZ491">
        <v>5</v>
      </c>
      <c r="BA491">
        <v>2</v>
      </c>
      <c r="BB491">
        <f>IFERROR(AVERAGE(Tabel1[[#This Row],[Up - V1a]:[Up - V1b]]),"")</f>
        <v>3.5</v>
      </c>
      <c r="BC491">
        <v>4</v>
      </c>
      <c r="BD491">
        <v>3</v>
      </c>
      <c r="BE491">
        <v>4</v>
      </c>
      <c r="BF491">
        <f>IFERROR(AVERAGE(Tabel1[[#This Row],[Up - V2a]:[Up - V2c]]),"")</f>
        <v>3.6666666666666665</v>
      </c>
      <c r="BG491">
        <v>3</v>
      </c>
      <c r="BH491">
        <v>2</v>
      </c>
      <c r="BI491">
        <f>IFERROR(AVERAGE(Tabel1[[#This Row],[Up - V3a]:[Up - V3b]]),"")</f>
        <v>2.5</v>
      </c>
      <c r="BJ491">
        <v>4</v>
      </c>
      <c r="BK491">
        <f>IFERROR(AVERAGE(Tabel1[[#This Row],[Up - V1]],Tabel1[[#This Row],[Up - V2]],Tabel1[[#This Row],[Up - V3]],Tabel1[[#This Row],[Up - V4]]),"")</f>
        <v>3.4166666666666665</v>
      </c>
      <c r="BL491">
        <v>3</v>
      </c>
      <c r="BM491">
        <v>3</v>
      </c>
      <c r="BN491">
        <v>4</v>
      </c>
      <c r="BO491">
        <v>4</v>
      </c>
      <c r="BP491">
        <f>IFERROR(AVERAGE(Tabel1[[#This Row],[Up - A1a]:[Up - A1d]]),"")</f>
        <v>3.5</v>
      </c>
      <c r="BQ491">
        <v>5</v>
      </c>
      <c r="BR491">
        <v>3</v>
      </c>
      <c r="BS491">
        <f>IFERROR(AVERAGE(Tabel1[[#This Row],[Up - A2a]:[Up - A2b]]),"")</f>
        <v>4</v>
      </c>
      <c r="BT491">
        <v>4</v>
      </c>
      <c r="BU491">
        <f>IFERROR(AVERAGE(Tabel1[[#This Row],[Up - A3a]:[Up - A3a]]),"")</f>
        <v>4</v>
      </c>
      <c r="BV491">
        <v>2</v>
      </c>
      <c r="BW491">
        <f>IFERROR(AVERAGE(Tabel1[[#This Row],[Up - A1]],Tabel1[[#This Row],[Up - A2]],Tabel1[[#This Row],[Up - A3]]),"")</f>
        <v>3.8333333333333335</v>
      </c>
      <c r="BX491" t="s">
        <v>189</v>
      </c>
      <c r="BY491" t="s">
        <v>189</v>
      </c>
      <c r="BZ491" t="str">
        <f>IFERROR(AVERAGE(Tabel1[[#This Row],[In - R1a]:[In - R1b]]),"")</f>
        <v/>
      </c>
      <c r="CA491">
        <v>2</v>
      </c>
      <c r="CB491" t="s">
        <v>189</v>
      </c>
      <c r="CC491" t="s">
        <v>189</v>
      </c>
      <c r="CD491">
        <v>3</v>
      </c>
      <c r="CE491">
        <f>IFERROR(AVERAGE(Tabel1[[#This Row],[In - R1]:[In - R5]]),"")</f>
        <v>2.5</v>
      </c>
      <c r="CF491">
        <v>2</v>
      </c>
      <c r="CG491">
        <v>4</v>
      </c>
      <c r="CH491">
        <v>4</v>
      </c>
      <c r="CI491">
        <f>IFERROR(AVERAGE(Tabel1[[#This Row],[In - C1a]:[In - C1c]]),"")</f>
        <v>3.3333333333333335</v>
      </c>
      <c r="CJ491">
        <v>3</v>
      </c>
      <c r="CK491">
        <v>4</v>
      </c>
      <c r="CL491">
        <v>1</v>
      </c>
      <c r="CM491">
        <f>IFERROR(AVERAGE(Tabel1[[#This Row],[In - C1]:[In - C4]]),"")</f>
        <v>2.8333333333333335</v>
      </c>
      <c r="CN491">
        <v>2</v>
      </c>
      <c r="CO491">
        <v>1</v>
      </c>
      <c r="CQ491">
        <f>IFERROR(AVERAGE(Tabel1[[#This Row],[In - F1a]:[In - F1c]]),"")</f>
        <v>1.5</v>
      </c>
      <c r="CT491" t="str">
        <f>IFERROR(AVERAGE(Tabel1[[#This Row],[In - F2a]:[In - F2b]]),"")</f>
        <v/>
      </c>
      <c r="CV491" t="str">
        <f>IFERROR(AVERAGE(Tabel1[[#This Row],[In - F3a]:[In - F3a]]),"")</f>
        <v/>
      </c>
      <c r="CW491">
        <v>4</v>
      </c>
      <c r="CX491">
        <f>IFERROR(AVERAGE(Tabel1[[#This Row],[In - F1]],Tabel1[[#This Row],[In - F2]],Tabel1[[#This Row],[In - F3]],Tabel1[[#This Row],[In - F4]]),"")</f>
        <v>2.75</v>
      </c>
      <c r="CY491">
        <v>4</v>
      </c>
      <c r="CZ491">
        <v>1</v>
      </c>
      <c r="DA491">
        <v>5</v>
      </c>
      <c r="DB491">
        <f>IFERROR(AVERAGE(Tabel1[[#This Row],[In - V1a]:[In - V1c]]),"")</f>
        <v>3.3333333333333335</v>
      </c>
      <c r="DC491">
        <v>2</v>
      </c>
      <c r="DD491">
        <v>2</v>
      </c>
      <c r="DE491">
        <v>3</v>
      </c>
      <c r="DF491">
        <f>IFERROR(AVERAGE(Tabel1[[#This Row],[In - V2a]:[In - V2c]]),"")</f>
        <v>2.3333333333333335</v>
      </c>
      <c r="DG491">
        <v>3</v>
      </c>
      <c r="DH491">
        <v>2</v>
      </c>
      <c r="DI491">
        <f>IFERROR(AVERAGE(Tabel1[[#This Row],[In - V3a]:[In - V3b]]),"")</f>
        <v>2.5</v>
      </c>
      <c r="DJ491">
        <v>5</v>
      </c>
      <c r="DK491">
        <f>IFERROR(AVERAGE(Tabel1[[#This Row],[In - V1]],Tabel1[[#This Row],[In - V2]],Tabel1[[#This Row],[In - V3]],Tabel1[[#This Row],[In - V4]]),"")</f>
        <v>3.291666666666667</v>
      </c>
      <c r="DL491">
        <v>2</v>
      </c>
      <c r="DM491">
        <v>2</v>
      </c>
      <c r="DN491">
        <f>IFERROR(AVERAGE(Tabel1[[#This Row],[In - A1a]:[In - A1b]]),"")</f>
        <v>2</v>
      </c>
      <c r="DP491">
        <v>3</v>
      </c>
      <c r="DQ491">
        <f>IFERROR(AVERAGE(Tabel1[[#This Row],[In - A2a]:[In - A2b]]),"")</f>
        <v>3</v>
      </c>
      <c r="DS491">
        <v>3</v>
      </c>
      <c r="DT491" t="str">
        <f>IFERROR(AVERAGE(Tabel1[[#This Row],[In - A3a]:[In - A3a]]),"")</f>
        <v/>
      </c>
      <c r="DU491">
        <v>2</v>
      </c>
      <c r="DV491">
        <f>IFERROR(AVERAGE(Tabel1[[#This Row],[In - A1]],Tabel1[[#This Row],[In - A2]],Tabel1[[#This Row],[In - A3]],Tabel1[[#This Row],[In - A4]]),"")</f>
        <v>2.3333333333333335</v>
      </c>
      <c r="DW491">
        <v>3</v>
      </c>
      <c r="DX491">
        <v>2</v>
      </c>
      <c r="DY491">
        <v>4</v>
      </c>
      <c r="DZ491">
        <f>IFERROR(AVERAGE(Tabel1[[#This Row],[Do - R1a]:[Do - R1c]]),"")</f>
        <v>3</v>
      </c>
      <c r="EA491">
        <v>2</v>
      </c>
      <c r="EB491">
        <v>5</v>
      </c>
      <c r="EC491">
        <v>2</v>
      </c>
      <c r="ED491">
        <v>5</v>
      </c>
      <c r="EE491">
        <f>IFERROR(AVERAGE(Tabel1[[#This Row],[Do - R1]:[Do - R5]]),"")</f>
        <v>3.4</v>
      </c>
      <c r="EF491">
        <v>5</v>
      </c>
      <c r="EG491">
        <v>4</v>
      </c>
      <c r="EH491">
        <v>3</v>
      </c>
      <c r="EI491">
        <f>IFERROR(AVERAGE(Tabel1[[#This Row],[Do - C1a]:[Do - C1c]]),"")</f>
        <v>4</v>
      </c>
      <c r="EJ491">
        <v>3</v>
      </c>
      <c r="EK491">
        <v>3</v>
      </c>
      <c r="EL491">
        <v>2</v>
      </c>
      <c r="EM491">
        <f>IFERROR(AVERAGE(Tabel1[[#This Row],[Do - C1]:[Do - C4]]),"")</f>
        <v>3</v>
      </c>
      <c r="EN491">
        <v>5</v>
      </c>
      <c r="EO491">
        <v>4</v>
      </c>
      <c r="EP491">
        <v>2</v>
      </c>
      <c r="EQ491">
        <f>IFERROR(AVERAGE(Tabel1[[#This Row],[Do - F1a]:[Do - F1c]]),"")</f>
        <v>3.6666666666666665</v>
      </c>
      <c r="ER491">
        <v>3</v>
      </c>
      <c r="ES491">
        <f>IFERROR(AVERAGE(Tabel1[[#This Row],[Do - F2a]:[Do - F2a]]),"")</f>
        <v>3</v>
      </c>
      <c r="ET491">
        <v>2</v>
      </c>
      <c r="EU491">
        <v>3</v>
      </c>
      <c r="EV491">
        <f>IFERROR(AVERAGE(Tabel1[[#This Row],[Do - F3a]:[Do - F3b]]),"")</f>
        <v>2.5</v>
      </c>
      <c r="EW491">
        <v>4</v>
      </c>
      <c r="EX491">
        <f>IFERROR(AVERAGE(Tabel1[[#This Row],[Do - F1]],Tabel1[[#This Row],[Do - F2]],Tabel1[[#This Row],[Do - F3]],Tabel1[[#This Row],[Do - F4]]),"")</f>
        <v>3.2916666666666665</v>
      </c>
      <c r="EY491">
        <v>5</v>
      </c>
      <c r="EZ491">
        <v>3</v>
      </c>
      <c r="FA491">
        <v>4</v>
      </c>
      <c r="FB491">
        <f>IFERROR(AVERAGE(Tabel1[[#This Row],[Do - V1a]:[Do - V1c]]),"")</f>
        <v>4</v>
      </c>
      <c r="FC491">
        <v>5</v>
      </c>
      <c r="FD491">
        <v>5</v>
      </c>
      <c r="FE491">
        <f>IFERROR(AVERAGE(Tabel1[[#This Row],[Do - V2a]:[Do - V2b]]),"")</f>
        <v>5</v>
      </c>
      <c r="FF491">
        <v>5</v>
      </c>
      <c r="FG491">
        <f>IFERROR(AVERAGE(Tabel1[[#This Row],[Do - V3a]:[Do - V3a]]),"")</f>
        <v>5</v>
      </c>
      <c r="FH491">
        <v>3</v>
      </c>
      <c r="FI491">
        <f>IFERROR(AVERAGE(Tabel1[[#This Row],[Do - V1]],Tabel1[[#This Row],[Do - V2]],Tabel1[[#This Row],[Do - V3]],Tabel1[[#This Row],[Do - V4]]),"")</f>
        <v>4.25</v>
      </c>
      <c r="FJ491">
        <v>2</v>
      </c>
      <c r="FK491">
        <v>3</v>
      </c>
      <c r="FL491">
        <v>4</v>
      </c>
      <c r="FM491">
        <f>IFERROR(AVERAGE(Tabel1[[#This Row],[Do - A1a]:[Do - A1c]]),"")</f>
        <v>3</v>
      </c>
      <c r="FN491">
        <v>3</v>
      </c>
      <c r="FO491">
        <v>4</v>
      </c>
      <c r="FP491">
        <f>IFERROR(AVERAGE(Tabel1[[#This Row],[Do - A2a]:[Do - A2b]]),"")</f>
        <v>3.5</v>
      </c>
      <c r="FQ491">
        <v>2</v>
      </c>
      <c r="FR491">
        <f>IFERROR(AVERAGE(Tabel1[[#This Row],[Do - A3a]:[Do - A3a]]),"")</f>
        <v>2</v>
      </c>
      <c r="FS491">
        <v>3</v>
      </c>
      <c r="FT491">
        <f>IFERROR(AVERAGE(Tabel1[[#This Row],[Do - A1]],Tabel1[[#This Row],[Do - A2]],Tabel1[[#This Row],[Do - A3]],Tabel1[[#This Row],[Do - A4]]),"")</f>
        <v>2.875</v>
      </c>
      <c r="FU49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3.2877777777777775</v>
      </c>
      <c r="FV491" s="31" t="s">
        <v>2391</v>
      </c>
      <c r="FW491" t="b">
        <v>1</v>
      </c>
    </row>
    <row r="492" spans="1:179" x14ac:dyDescent="0.3">
      <c r="A492" s="13">
        <v>45763.650115740696</v>
      </c>
      <c r="B492" t="b">
        <v>0</v>
      </c>
      <c r="C492" t="s">
        <v>2392</v>
      </c>
      <c r="D492" t="s">
        <v>2393</v>
      </c>
      <c r="E492" t="s">
        <v>2375</v>
      </c>
      <c r="F492" s="14" t="s">
        <v>184</v>
      </c>
      <c r="G492" t="s">
        <v>2394</v>
      </c>
      <c r="H492" t="s">
        <v>194</v>
      </c>
      <c r="I492" t="s">
        <v>385</v>
      </c>
      <c r="K492" t="s">
        <v>187</v>
      </c>
      <c r="L492" t="s">
        <v>249</v>
      </c>
      <c r="M492" t="s">
        <v>281</v>
      </c>
      <c r="N492" t="s">
        <v>262</v>
      </c>
      <c r="O492" t="s">
        <v>200</v>
      </c>
      <c r="P492" t="s">
        <v>317</v>
      </c>
      <c r="Q492" t="s">
        <v>202</v>
      </c>
      <c r="R492" t="s">
        <v>304</v>
      </c>
      <c r="S492" t="s">
        <v>202</v>
      </c>
      <c r="T492" t="s">
        <v>380</v>
      </c>
      <c r="U492" t="s">
        <v>205</v>
      </c>
      <c r="V492" t="s">
        <v>206</v>
      </c>
      <c r="W492" t="s">
        <v>207</v>
      </c>
      <c r="X492" t="s">
        <v>207</v>
      </c>
      <c r="Y492">
        <v>2</v>
      </c>
      <c r="Z492">
        <v>4</v>
      </c>
      <c r="AA492">
        <v>4</v>
      </c>
      <c r="AB492">
        <f>IFERROR(AVERAGE(Tabel1[[#This Row],[Up - R1a]:[Up - R1c]]),"")</f>
        <v>3.3333333333333335</v>
      </c>
      <c r="AC492">
        <v>3</v>
      </c>
      <c r="AD492">
        <v>4</v>
      </c>
      <c r="AE492">
        <v>1</v>
      </c>
      <c r="AF492">
        <v>2</v>
      </c>
      <c r="AG492">
        <f>IFERROR(AVERAGE(Tabel1[[#This Row],[Up - R1]:[Up - R5]]),"")</f>
        <v>2.666666666666667</v>
      </c>
      <c r="AH492">
        <v>3</v>
      </c>
      <c r="AI492">
        <v>4</v>
      </c>
      <c r="AJ492">
        <v>3</v>
      </c>
      <c r="AK492">
        <f>IFERROR(AVERAGE(Tabel1[[#This Row],[Up - C1a]:[Up - C1c]]),"")</f>
        <v>3.3333333333333335</v>
      </c>
      <c r="AL492">
        <v>2</v>
      </c>
      <c r="AM492">
        <v>3</v>
      </c>
      <c r="AN492">
        <v>3</v>
      </c>
      <c r="AO492">
        <f>IFERROR(AVERAGE(Tabel1[[#This Row],[Up - C1]:[Up - C4]]),"")</f>
        <v>2.8333333333333335</v>
      </c>
      <c r="AP492">
        <v>3</v>
      </c>
      <c r="AQ492">
        <f>IFERROR(AVERAGE(Tabel1[[#This Row],[Up - F1a]:[Up - F1a]]),"")</f>
        <v>3</v>
      </c>
      <c r="AR492">
        <v>2</v>
      </c>
      <c r="AS492">
        <v>2</v>
      </c>
      <c r="AT492">
        <f>IFERROR(AVERAGE(Tabel1[[#This Row],[Up - F2a]:[Up - F2b]]),"")</f>
        <v>2</v>
      </c>
      <c r="AU492">
        <v>3</v>
      </c>
      <c r="AV492">
        <v>4</v>
      </c>
      <c r="AW492">
        <f>IFERROR(AVERAGE(Tabel1[[#This Row],[Up - F3a]:[Up - F3b]]),"")</f>
        <v>3.5</v>
      </c>
      <c r="AX492">
        <v>3</v>
      </c>
      <c r="AY492">
        <f>IFERROR(AVERAGE(Tabel1[[#This Row],[Up - F1]],Tabel1[[#This Row],[Up - F2]],Tabel1[[#This Row],[Up - F3]],Tabel1[[#This Row],[Up - F4]]),"")</f>
        <v>2.875</v>
      </c>
      <c r="AZ492">
        <v>3</v>
      </c>
      <c r="BA492">
        <v>3</v>
      </c>
      <c r="BB492">
        <f>IFERROR(AVERAGE(Tabel1[[#This Row],[Up - V1a]:[Up - V1b]]),"")</f>
        <v>3</v>
      </c>
      <c r="BC492">
        <v>3</v>
      </c>
      <c r="BD492">
        <v>2</v>
      </c>
      <c r="BE492">
        <v>4</v>
      </c>
      <c r="BF492">
        <f>IFERROR(AVERAGE(Tabel1[[#This Row],[Up - V2a]:[Up - V2c]]),"")</f>
        <v>3</v>
      </c>
      <c r="BG492">
        <v>2</v>
      </c>
      <c r="BH492">
        <v>5</v>
      </c>
      <c r="BI492">
        <f>IFERROR(AVERAGE(Tabel1[[#This Row],[Up - V3a]:[Up - V3b]]),"")</f>
        <v>3.5</v>
      </c>
      <c r="BJ492">
        <v>4</v>
      </c>
      <c r="BK492">
        <f>IFERROR(AVERAGE(Tabel1[[#This Row],[Up - V1]],Tabel1[[#This Row],[Up - V2]],Tabel1[[#This Row],[Up - V3]],Tabel1[[#This Row],[Up - V4]]),"")</f>
        <v>3.375</v>
      </c>
      <c r="BL492">
        <v>4</v>
      </c>
      <c r="BM492">
        <v>3</v>
      </c>
      <c r="BN492">
        <v>3</v>
      </c>
      <c r="BO492">
        <v>2</v>
      </c>
      <c r="BP492">
        <f>IFERROR(AVERAGE(Tabel1[[#This Row],[Up - A1a]:[Up - A1d]]),"")</f>
        <v>3</v>
      </c>
      <c r="BQ492">
        <v>3</v>
      </c>
      <c r="BR492">
        <v>4</v>
      </c>
      <c r="BS492">
        <f>IFERROR(AVERAGE(Tabel1[[#This Row],[Up - A2a]:[Up - A2b]]),"")</f>
        <v>3.5</v>
      </c>
      <c r="BT492">
        <v>3</v>
      </c>
      <c r="BU492">
        <f>IFERROR(AVERAGE(Tabel1[[#This Row],[Up - A3a]:[Up - A3a]]),"")</f>
        <v>3</v>
      </c>
      <c r="BV492">
        <v>2</v>
      </c>
      <c r="BW492">
        <f>IFERROR(AVERAGE(Tabel1[[#This Row],[Up - A1]],Tabel1[[#This Row],[Up - A2]],Tabel1[[#This Row],[Up - A3]]),"")</f>
        <v>3.1666666666666665</v>
      </c>
      <c r="BX492">
        <v>2</v>
      </c>
      <c r="BY492">
        <v>4</v>
      </c>
      <c r="BZ492">
        <f>IFERROR(AVERAGE(Tabel1[[#This Row],[In - R1a]:[In - R1b]]),"")</f>
        <v>3</v>
      </c>
      <c r="CA492">
        <v>2</v>
      </c>
      <c r="CB492">
        <v>4</v>
      </c>
      <c r="CC492">
        <v>1</v>
      </c>
      <c r="CD492">
        <v>4</v>
      </c>
      <c r="CE492">
        <f>IFERROR(AVERAGE(Tabel1[[#This Row],[In - R1]:[In - R5]]),"")</f>
        <v>2.8</v>
      </c>
      <c r="CF492">
        <v>4</v>
      </c>
      <c r="CG492">
        <v>3</v>
      </c>
      <c r="CH492">
        <v>3</v>
      </c>
      <c r="CI492">
        <f>IFERROR(AVERAGE(Tabel1[[#This Row],[In - C1a]:[In - C1c]]),"")</f>
        <v>3.3333333333333335</v>
      </c>
      <c r="CJ492">
        <v>3</v>
      </c>
      <c r="CK492">
        <v>2</v>
      </c>
      <c r="CL492">
        <v>3</v>
      </c>
      <c r="CM492">
        <f>IFERROR(AVERAGE(Tabel1[[#This Row],[In - C1]:[In - C4]]),"")</f>
        <v>2.8333333333333335</v>
      </c>
      <c r="CN492">
        <v>3</v>
      </c>
      <c r="CO492">
        <v>2</v>
      </c>
      <c r="CP492">
        <v>2</v>
      </c>
      <c r="CQ492">
        <f>IFERROR(AVERAGE(Tabel1[[#This Row],[In - F1a]:[In - F1c]]),"")</f>
        <v>2.3333333333333335</v>
      </c>
      <c r="CR492">
        <v>3</v>
      </c>
      <c r="CS492">
        <v>2</v>
      </c>
      <c r="CT492">
        <f>IFERROR(AVERAGE(Tabel1[[#This Row],[In - F2a]:[In - F2b]]),"")</f>
        <v>2.5</v>
      </c>
      <c r="CU492">
        <v>3</v>
      </c>
      <c r="CV492">
        <f>IFERROR(AVERAGE(Tabel1[[#This Row],[In - F3a]:[In - F3a]]),"")</f>
        <v>3</v>
      </c>
      <c r="CW492">
        <v>4</v>
      </c>
      <c r="CX492">
        <f>IFERROR(AVERAGE(Tabel1[[#This Row],[In - F1]],Tabel1[[#This Row],[In - F2]],Tabel1[[#This Row],[In - F3]],Tabel1[[#This Row],[In - F4]]),"")</f>
        <v>2.9583333333333335</v>
      </c>
      <c r="CY492">
        <v>3</v>
      </c>
      <c r="CZ492">
        <v>2</v>
      </c>
      <c r="DA492">
        <v>2</v>
      </c>
      <c r="DB492">
        <f>IFERROR(AVERAGE(Tabel1[[#This Row],[In - V1a]:[In - V1c]]),"")</f>
        <v>2.3333333333333335</v>
      </c>
      <c r="DC492">
        <v>2</v>
      </c>
      <c r="DD492">
        <v>2</v>
      </c>
      <c r="DE492">
        <v>5</v>
      </c>
      <c r="DF492">
        <f>IFERROR(AVERAGE(Tabel1[[#This Row],[In - V2a]:[In - V2c]]),"")</f>
        <v>3</v>
      </c>
      <c r="DG492">
        <v>3</v>
      </c>
      <c r="DH492">
        <v>4</v>
      </c>
      <c r="DI492">
        <f>IFERROR(AVERAGE(Tabel1[[#This Row],[In - V3a]:[In - V3b]]),"")</f>
        <v>3.5</v>
      </c>
      <c r="DJ492">
        <v>4</v>
      </c>
      <c r="DK492">
        <f>IFERROR(AVERAGE(Tabel1[[#This Row],[In - V1]],Tabel1[[#This Row],[In - V2]],Tabel1[[#This Row],[In - V3]],Tabel1[[#This Row],[In - V4]]),"")</f>
        <v>3.2083333333333335</v>
      </c>
      <c r="DL492">
        <v>3</v>
      </c>
      <c r="DM492">
        <v>4</v>
      </c>
      <c r="DN492">
        <f>IFERROR(AVERAGE(Tabel1[[#This Row],[In - A1a]:[In - A1b]]),"")</f>
        <v>3.5</v>
      </c>
      <c r="DO492" t="s">
        <v>189</v>
      </c>
      <c r="DP492">
        <v>3</v>
      </c>
      <c r="DQ492">
        <f>IFERROR(AVERAGE(Tabel1[[#This Row],[In - A2a]:[In - A2b]]),"")</f>
        <v>3</v>
      </c>
      <c r="DR492">
        <v>4</v>
      </c>
      <c r="DS492">
        <v>2</v>
      </c>
      <c r="DT492">
        <f>IFERROR(AVERAGE(Tabel1[[#This Row],[In - A3a]:[In - A3a]]),"")</f>
        <v>4</v>
      </c>
      <c r="DU492" t="s">
        <v>189</v>
      </c>
      <c r="DV492">
        <f>IFERROR(AVERAGE(Tabel1[[#This Row],[In - A1]],Tabel1[[#This Row],[In - A2]],Tabel1[[#This Row],[In - A3]],Tabel1[[#This Row],[In - A4]]),"")</f>
        <v>3.5</v>
      </c>
      <c r="DW492">
        <v>1</v>
      </c>
      <c r="DX492">
        <v>4</v>
      </c>
      <c r="DY492">
        <v>2</v>
      </c>
      <c r="DZ492">
        <f>IFERROR(AVERAGE(Tabel1[[#This Row],[Do - R1a]:[Do - R1c]]),"")</f>
        <v>2.3333333333333335</v>
      </c>
      <c r="EA492">
        <v>1</v>
      </c>
      <c r="EB492">
        <v>4</v>
      </c>
      <c r="EC492">
        <v>1</v>
      </c>
      <c r="ED492" t="s">
        <v>189</v>
      </c>
      <c r="EE492">
        <f>IFERROR(AVERAGE(Tabel1[[#This Row],[Do - R1]:[Do - R5]]),"")</f>
        <v>2.0833333333333335</v>
      </c>
      <c r="EF492">
        <v>4</v>
      </c>
      <c r="EG492">
        <v>3</v>
      </c>
      <c r="EH492">
        <v>4</v>
      </c>
      <c r="EI492">
        <f>IFERROR(AVERAGE(Tabel1[[#This Row],[Do - C1a]:[Do - C1c]]),"")</f>
        <v>3.6666666666666665</v>
      </c>
      <c r="EJ492">
        <v>3</v>
      </c>
      <c r="EK492">
        <v>2</v>
      </c>
      <c r="EL492">
        <v>1</v>
      </c>
      <c r="EM492">
        <f>IFERROR(AVERAGE(Tabel1[[#This Row],[Do - C1]:[Do - C4]]),"")</f>
        <v>2.4166666666666665</v>
      </c>
      <c r="EN492">
        <v>3</v>
      </c>
      <c r="EO492">
        <v>2</v>
      </c>
      <c r="EP492">
        <v>2</v>
      </c>
      <c r="EQ492">
        <f>IFERROR(AVERAGE(Tabel1[[#This Row],[Do - F1a]:[Do - F1c]]),"")</f>
        <v>2.3333333333333335</v>
      </c>
      <c r="ER492">
        <v>4</v>
      </c>
      <c r="ES492">
        <f>IFERROR(AVERAGE(Tabel1[[#This Row],[Do - F2a]:[Do - F2a]]),"")</f>
        <v>4</v>
      </c>
      <c r="ET492">
        <v>3</v>
      </c>
      <c r="EU492">
        <v>3</v>
      </c>
      <c r="EV492">
        <f>IFERROR(AVERAGE(Tabel1[[#This Row],[Do - F3a]:[Do - F3b]]),"")</f>
        <v>3</v>
      </c>
      <c r="EW492">
        <v>3</v>
      </c>
      <c r="EX492">
        <f>IFERROR(AVERAGE(Tabel1[[#This Row],[Do - F1]],Tabel1[[#This Row],[Do - F2]],Tabel1[[#This Row],[Do - F3]],Tabel1[[#This Row],[Do - F4]]),"")</f>
        <v>3.0833333333333335</v>
      </c>
      <c r="EY492">
        <v>2</v>
      </c>
      <c r="EZ492">
        <v>2</v>
      </c>
      <c r="FA492">
        <v>4</v>
      </c>
      <c r="FB492">
        <f>IFERROR(AVERAGE(Tabel1[[#This Row],[Do - V1a]:[Do - V1c]]),"")</f>
        <v>2.6666666666666665</v>
      </c>
      <c r="FC492">
        <v>3</v>
      </c>
      <c r="FD492" t="s">
        <v>189</v>
      </c>
      <c r="FE492">
        <f>IFERROR(AVERAGE(Tabel1[[#This Row],[Do - V2a]:[Do - V2b]]),"")</f>
        <v>3</v>
      </c>
      <c r="FF492">
        <v>4</v>
      </c>
      <c r="FG492">
        <f>IFERROR(AVERAGE(Tabel1[[#This Row],[Do - V3a]:[Do - V3a]]),"")</f>
        <v>4</v>
      </c>
      <c r="FH492">
        <v>4</v>
      </c>
      <c r="FI492">
        <f>IFERROR(AVERAGE(Tabel1[[#This Row],[Do - V1]],Tabel1[[#This Row],[Do - V2]],Tabel1[[#This Row],[Do - V3]],Tabel1[[#This Row],[Do - V4]]),"")</f>
        <v>3.4166666666666665</v>
      </c>
      <c r="FJ492">
        <v>4</v>
      </c>
      <c r="FK492">
        <v>3</v>
      </c>
      <c r="FL492" t="s">
        <v>189</v>
      </c>
      <c r="FM492">
        <f>IFERROR(AVERAGE(Tabel1[[#This Row],[Do - A1a]:[Do - A1c]]),"")</f>
        <v>3.5</v>
      </c>
      <c r="FN492">
        <v>4</v>
      </c>
      <c r="FO492" t="s">
        <v>189</v>
      </c>
      <c r="FP492">
        <f>IFERROR(AVERAGE(Tabel1[[#This Row],[Do - A2a]:[Do - A2b]]),"")</f>
        <v>4</v>
      </c>
      <c r="FQ492" t="s">
        <v>189</v>
      </c>
      <c r="FR492" t="str">
        <f>IFERROR(AVERAGE(Tabel1[[#This Row],[Do - A3a]:[Do - A3a]]),"")</f>
        <v/>
      </c>
      <c r="FS492" t="s">
        <v>189</v>
      </c>
      <c r="FT492">
        <f>IFERROR(AVERAGE(Tabel1[[#This Row],[Do - A1]],Tabel1[[#This Row],[Do - A2]],Tabel1[[#This Row],[Do - A3]],Tabel1[[#This Row],[Do - A4]]),"")</f>
        <v>3.75</v>
      </c>
      <c r="FU49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2.9977777777777774</v>
      </c>
      <c r="FV492" s="31" t="s">
        <v>2395</v>
      </c>
      <c r="FW492" t="b">
        <v>1</v>
      </c>
    </row>
    <row r="493" spans="1:179" x14ac:dyDescent="0.3">
      <c r="A493" s="13">
        <v>45765.398090277798</v>
      </c>
      <c r="B493" t="b">
        <v>0</v>
      </c>
      <c r="C493" t="s">
        <v>2396</v>
      </c>
      <c r="D493" t="s">
        <v>288</v>
      </c>
      <c r="E493" t="s">
        <v>2397</v>
      </c>
      <c r="F493" s="14" t="s">
        <v>184</v>
      </c>
      <c r="G493" t="s">
        <v>2398</v>
      </c>
      <c r="H493" t="s">
        <v>194</v>
      </c>
      <c r="I493" t="s">
        <v>322</v>
      </c>
      <c r="J493" t="s">
        <v>323</v>
      </c>
      <c r="K493" t="s">
        <v>203</v>
      </c>
      <c r="L493" t="s">
        <v>385</v>
      </c>
      <c r="M493" t="s">
        <v>233</v>
      </c>
      <c r="Y493">
        <v>3</v>
      </c>
      <c r="Z493">
        <v>4</v>
      </c>
      <c r="AB493">
        <f>IFERROR(AVERAGE(Tabel1[[#This Row],[Up - R1a]:[Up - R1c]]),"")</f>
        <v>3.5</v>
      </c>
      <c r="AD493">
        <v>2</v>
      </c>
      <c r="AG493">
        <f>IFERROR(AVERAGE(Tabel1[[#This Row],[Up - R1]:[Up - R5]]),"")</f>
        <v>2.75</v>
      </c>
      <c r="AJ493">
        <v>2</v>
      </c>
      <c r="AK493">
        <f>IFERROR(AVERAGE(Tabel1[[#This Row],[Up - C1a]:[Up - C1c]]),"")</f>
        <v>2</v>
      </c>
      <c r="AL493">
        <v>3</v>
      </c>
      <c r="AO493">
        <f>IFERROR(AVERAGE(Tabel1[[#This Row],[Up - C1]:[Up - C4]]),"")</f>
        <v>2.5</v>
      </c>
      <c r="AP493">
        <v>3</v>
      </c>
      <c r="AQ493">
        <f>IFERROR(AVERAGE(Tabel1[[#This Row],[Up - F1a]:[Up - F1a]]),"")</f>
        <v>3</v>
      </c>
      <c r="AR493">
        <v>3</v>
      </c>
      <c r="AS493">
        <v>4</v>
      </c>
      <c r="AT493">
        <f>IFERROR(AVERAGE(Tabel1[[#This Row],[Up - F2a]:[Up - F2b]]),"")</f>
        <v>3.5</v>
      </c>
      <c r="AU493">
        <v>2</v>
      </c>
      <c r="AW493">
        <f>IFERROR(AVERAGE(Tabel1[[#This Row],[Up - F3a]:[Up - F3b]]),"")</f>
        <v>2</v>
      </c>
      <c r="AY493">
        <f>IFERROR(AVERAGE(Tabel1[[#This Row],[Up - F1]],Tabel1[[#This Row],[Up - F2]],Tabel1[[#This Row],[Up - F3]],Tabel1[[#This Row],[Up - F4]]),"")</f>
        <v>2.8333333333333335</v>
      </c>
      <c r="BA493">
        <v>3</v>
      </c>
      <c r="BB493">
        <f>IFERROR(AVERAGE(Tabel1[[#This Row],[Up - V1a]:[Up - V1b]]),"")</f>
        <v>3</v>
      </c>
      <c r="BC493">
        <v>3</v>
      </c>
      <c r="BF493">
        <f>IFERROR(AVERAGE(Tabel1[[#This Row],[Up - V2a]:[Up - V2c]]),"")</f>
        <v>3</v>
      </c>
      <c r="BI493" t="str">
        <f>IFERROR(AVERAGE(Tabel1[[#This Row],[Up - V3a]:[Up - V3b]]),"")</f>
        <v/>
      </c>
      <c r="BK493">
        <f>IFERROR(AVERAGE(Tabel1[[#This Row],[Up - V1]],Tabel1[[#This Row],[Up - V2]],Tabel1[[#This Row],[Up - V3]],Tabel1[[#This Row],[Up - V4]]),"")</f>
        <v>3</v>
      </c>
      <c r="BL493">
        <v>3</v>
      </c>
      <c r="BM493">
        <v>3</v>
      </c>
      <c r="BP493">
        <f>IFERROR(AVERAGE(Tabel1[[#This Row],[Up - A1a]:[Up - A1d]]),"")</f>
        <v>3</v>
      </c>
      <c r="BR493">
        <v>3</v>
      </c>
      <c r="BS493">
        <f>IFERROR(AVERAGE(Tabel1[[#This Row],[Up - A2a]:[Up - A2b]]),"")</f>
        <v>3</v>
      </c>
      <c r="BU493" t="str">
        <f>IFERROR(AVERAGE(Tabel1[[#This Row],[Up - A3a]:[Up - A3a]]),"")</f>
        <v/>
      </c>
      <c r="BW493">
        <f>IFERROR(AVERAGE(Tabel1[[#This Row],[Up - A1]],Tabel1[[#This Row],[Up - A2]],Tabel1[[#This Row],[Up - A3]]),"")</f>
        <v>3</v>
      </c>
      <c r="BY493">
        <v>4</v>
      </c>
      <c r="BZ493">
        <f>IFERROR(AVERAGE(Tabel1[[#This Row],[In - R1a]:[In - R1b]]),"")</f>
        <v>4</v>
      </c>
      <c r="CA493">
        <v>4</v>
      </c>
      <c r="CB493">
        <v>3</v>
      </c>
      <c r="CE493">
        <f>IFERROR(AVERAGE(Tabel1[[#This Row],[In - R1]:[In - R5]]),"")</f>
        <v>3.6666666666666665</v>
      </c>
      <c r="CG493">
        <v>3</v>
      </c>
      <c r="CI493">
        <f>IFERROR(AVERAGE(Tabel1[[#This Row],[In - C1a]:[In - C1c]]),"")</f>
        <v>3</v>
      </c>
      <c r="CM493">
        <f>IFERROR(AVERAGE(Tabel1[[#This Row],[In - C1]:[In - C4]]),"")</f>
        <v>3</v>
      </c>
      <c r="CO493">
        <v>2</v>
      </c>
      <c r="CQ493">
        <f>IFERROR(AVERAGE(Tabel1[[#This Row],[In - F1a]:[In - F1c]]),"")</f>
        <v>2</v>
      </c>
      <c r="CT493" t="str">
        <f>IFERROR(AVERAGE(Tabel1[[#This Row],[In - F2a]:[In - F2b]]),"")</f>
        <v/>
      </c>
      <c r="CV493" t="str">
        <f>IFERROR(AVERAGE(Tabel1[[#This Row],[In - F3a]:[In - F3a]]),"")</f>
        <v/>
      </c>
      <c r="CX493">
        <f>IFERROR(AVERAGE(Tabel1[[#This Row],[In - F1]],Tabel1[[#This Row],[In - F2]],Tabel1[[#This Row],[In - F3]],Tabel1[[#This Row],[In - F4]]),"")</f>
        <v>2</v>
      </c>
      <c r="CY493">
        <v>2</v>
      </c>
      <c r="CZ493">
        <v>3</v>
      </c>
      <c r="DB493">
        <f>IFERROR(AVERAGE(Tabel1[[#This Row],[In - V1a]:[In - V1c]]),"")</f>
        <v>2.5</v>
      </c>
      <c r="DC493">
        <v>2</v>
      </c>
      <c r="DD493">
        <v>3</v>
      </c>
      <c r="DE493">
        <v>3</v>
      </c>
      <c r="DF493">
        <f>IFERROR(AVERAGE(Tabel1[[#This Row],[In - V2a]:[In - V2c]]),"")</f>
        <v>2.6666666666666665</v>
      </c>
      <c r="DI493" t="str">
        <f>IFERROR(AVERAGE(Tabel1[[#This Row],[In - V3a]:[In - V3b]]),"")</f>
        <v/>
      </c>
      <c r="DK493">
        <f>IFERROR(AVERAGE(Tabel1[[#This Row],[In - V1]],Tabel1[[#This Row],[In - V2]],Tabel1[[#This Row],[In - V3]],Tabel1[[#This Row],[In - V4]]),"")</f>
        <v>2.583333333333333</v>
      </c>
      <c r="DL493">
        <v>4</v>
      </c>
      <c r="DN493">
        <f>IFERROR(AVERAGE(Tabel1[[#This Row],[In - A1a]:[In - A1b]]),"")</f>
        <v>4</v>
      </c>
      <c r="DQ493" t="str">
        <f>IFERROR(AVERAGE(Tabel1[[#This Row],[In - A2a]:[In - A2b]]),"")</f>
        <v/>
      </c>
      <c r="DT493" t="str">
        <f>IFERROR(AVERAGE(Tabel1[[#This Row],[In - A3a]:[In - A3a]]),"")</f>
        <v/>
      </c>
      <c r="DV493">
        <f>IFERROR(AVERAGE(Tabel1[[#This Row],[In - A1]],Tabel1[[#This Row],[In - A2]],Tabel1[[#This Row],[In - A3]],Tabel1[[#This Row],[In - A4]]),"")</f>
        <v>4</v>
      </c>
      <c r="DW493">
        <v>1</v>
      </c>
      <c r="DX493">
        <v>4</v>
      </c>
      <c r="DY493">
        <v>1</v>
      </c>
      <c r="DZ493">
        <f>IFERROR(AVERAGE(Tabel1[[#This Row],[Do - R1a]:[Do - R1c]]),"")</f>
        <v>2</v>
      </c>
      <c r="EB493">
        <v>3</v>
      </c>
      <c r="EE493">
        <f>IFERROR(AVERAGE(Tabel1[[#This Row],[Do - R1]:[Do - R5]]),"")</f>
        <v>2.5</v>
      </c>
      <c r="EI493" t="str">
        <f>IFERROR(AVERAGE(Tabel1[[#This Row],[Do - C1a]:[Do - C1c]]),"")</f>
        <v/>
      </c>
      <c r="EM493" t="str">
        <f>IFERROR(AVERAGE(Tabel1[[#This Row],[Do - C1]:[Do - C4]]),"")</f>
        <v/>
      </c>
      <c r="EN493">
        <v>3</v>
      </c>
      <c r="EP493">
        <v>3</v>
      </c>
      <c r="EQ493">
        <f>IFERROR(AVERAGE(Tabel1[[#This Row],[Do - F1a]:[Do - F1c]]),"")</f>
        <v>3</v>
      </c>
      <c r="ES493" t="str">
        <f>IFERROR(AVERAGE(Tabel1[[#This Row],[Do - F2a]:[Do - F2a]]),"")</f>
        <v/>
      </c>
      <c r="ET493">
        <v>2</v>
      </c>
      <c r="EV493">
        <f>IFERROR(AVERAGE(Tabel1[[#This Row],[Do - F3a]:[Do - F3b]]),"")</f>
        <v>2</v>
      </c>
      <c r="EX493">
        <f>IFERROR(AVERAGE(Tabel1[[#This Row],[Do - F1]],Tabel1[[#This Row],[Do - F2]],Tabel1[[#This Row],[Do - F3]],Tabel1[[#This Row],[Do - F4]]),"")</f>
        <v>2.5</v>
      </c>
      <c r="EY493">
        <v>2</v>
      </c>
      <c r="EZ493">
        <v>2</v>
      </c>
      <c r="FA493">
        <v>2</v>
      </c>
      <c r="FB493">
        <f>IFERROR(AVERAGE(Tabel1[[#This Row],[Do - V1a]:[Do - V1c]]),"")</f>
        <v>2</v>
      </c>
      <c r="FC493">
        <v>4</v>
      </c>
      <c r="FE493">
        <f>IFERROR(AVERAGE(Tabel1[[#This Row],[Do - V2a]:[Do - V2b]]),"")</f>
        <v>4</v>
      </c>
      <c r="FG493" t="str">
        <f>IFERROR(AVERAGE(Tabel1[[#This Row],[Do - V3a]:[Do - V3a]]),"")</f>
        <v/>
      </c>
      <c r="FI493">
        <f>IFERROR(AVERAGE(Tabel1[[#This Row],[Do - V1]],Tabel1[[#This Row],[Do - V2]],Tabel1[[#This Row],[Do - V3]],Tabel1[[#This Row],[Do - V4]]),"")</f>
        <v>3</v>
      </c>
      <c r="FM493" t="str">
        <f>IFERROR(AVERAGE(Tabel1[[#This Row],[Do - A1a]:[Do - A1c]]),"")</f>
        <v/>
      </c>
      <c r="FN493">
        <v>2</v>
      </c>
      <c r="FP493">
        <f>IFERROR(AVERAGE(Tabel1[[#This Row],[Do - A2a]:[Do - A2b]]),"")</f>
        <v>2</v>
      </c>
      <c r="FR493" t="str">
        <f>IFERROR(AVERAGE(Tabel1[[#This Row],[Do - A3a]:[Do - A3a]]),"")</f>
        <v/>
      </c>
      <c r="FT493">
        <f>IFERROR(AVERAGE(Tabel1[[#This Row],[Do - A1]],Tabel1[[#This Row],[Do - A2]],Tabel1[[#This Row],[Do - A3]],Tabel1[[#This Row],[Do - A4]]),"")</f>
        <v>2</v>
      </c>
      <c r="FU49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2.8095238095238093</v>
      </c>
      <c r="FV493" s="31" t="s">
        <v>2399</v>
      </c>
      <c r="FW493" t="b">
        <v>1</v>
      </c>
    </row>
    <row r="494" spans="1:179" x14ac:dyDescent="0.3">
      <c r="A494" s="13">
        <v>45765.445416666698</v>
      </c>
      <c r="B494" t="b">
        <v>0</v>
      </c>
      <c r="C494" t="s">
        <v>2400</v>
      </c>
      <c r="D494" t="s">
        <v>2401</v>
      </c>
      <c r="E494" t="s">
        <v>2402</v>
      </c>
      <c r="F494" s="14" t="s">
        <v>184</v>
      </c>
      <c r="G494" t="s">
        <v>2403</v>
      </c>
      <c r="H494" t="s">
        <v>194</v>
      </c>
      <c r="I494" t="s">
        <v>385</v>
      </c>
      <c r="K494" t="s">
        <v>304</v>
      </c>
      <c r="M494" t="s">
        <v>198</v>
      </c>
      <c r="N494" t="s">
        <v>199</v>
      </c>
      <c r="O494" t="s">
        <v>200</v>
      </c>
      <c r="P494" t="s">
        <v>255</v>
      </c>
      <c r="Q494" t="s">
        <v>304</v>
      </c>
      <c r="R494" t="s">
        <v>187</v>
      </c>
      <c r="T494" t="s">
        <v>236</v>
      </c>
      <c r="U494" t="s">
        <v>285</v>
      </c>
      <c r="V494" t="s">
        <v>224</v>
      </c>
      <c r="W494" t="s">
        <v>305</v>
      </c>
      <c r="X494" t="s">
        <v>305</v>
      </c>
      <c r="Y494">
        <v>1</v>
      </c>
      <c r="Z494">
        <v>3</v>
      </c>
      <c r="AA494">
        <v>2</v>
      </c>
      <c r="AB494">
        <f>IFERROR(AVERAGE(Tabel1[[#This Row],[Up - R1a]:[Up - R1c]]),"")</f>
        <v>2</v>
      </c>
      <c r="AC494">
        <v>1</v>
      </c>
      <c r="AD494">
        <v>2</v>
      </c>
      <c r="AE494">
        <v>1</v>
      </c>
      <c r="AF494">
        <v>2</v>
      </c>
      <c r="AG494">
        <f>IFERROR(AVERAGE(Tabel1[[#This Row],[Up - R1]:[Up - R5]]),"")</f>
        <v>1.6</v>
      </c>
      <c r="AH494">
        <v>2</v>
      </c>
      <c r="AI494">
        <v>1</v>
      </c>
      <c r="AJ494">
        <v>3</v>
      </c>
      <c r="AK494">
        <f>IFERROR(AVERAGE(Tabel1[[#This Row],[Up - C1a]:[Up - C1c]]),"")</f>
        <v>2</v>
      </c>
      <c r="AL494">
        <v>2</v>
      </c>
      <c r="AM494">
        <v>1</v>
      </c>
      <c r="AN494">
        <v>1</v>
      </c>
      <c r="AO494">
        <f>IFERROR(AVERAGE(Tabel1[[#This Row],[Up - C1]:[Up - C4]]),"")</f>
        <v>1.5</v>
      </c>
      <c r="AP494">
        <v>2</v>
      </c>
      <c r="AQ494">
        <f>IFERROR(AVERAGE(Tabel1[[#This Row],[Up - F1a]:[Up - F1a]]),"")</f>
        <v>2</v>
      </c>
      <c r="AR494">
        <v>2</v>
      </c>
      <c r="AS494">
        <v>2</v>
      </c>
      <c r="AT494">
        <f>IFERROR(AVERAGE(Tabel1[[#This Row],[Up - F2a]:[Up - F2b]]),"")</f>
        <v>2</v>
      </c>
      <c r="AU494">
        <v>2</v>
      </c>
      <c r="AV494">
        <v>3</v>
      </c>
      <c r="AW494">
        <f>IFERROR(AVERAGE(Tabel1[[#This Row],[Up - F3a]:[Up - F3b]]),"")</f>
        <v>2.5</v>
      </c>
      <c r="AX494">
        <v>1</v>
      </c>
      <c r="AY494">
        <f>IFERROR(AVERAGE(Tabel1[[#This Row],[Up - F1]],Tabel1[[#This Row],[Up - F2]],Tabel1[[#This Row],[Up - F3]],Tabel1[[#This Row],[Up - F4]]),"")</f>
        <v>1.875</v>
      </c>
      <c r="BA494">
        <v>2</v>
      </c>
      <c r="BB494">
        <f>IFERROR(AVERAGE(Tabel1[[#This Row],[Up - V1a]:[Up - V1b]]),"")</f>
        <v>2</v>
      </c>
      <c r="BC494">
        <v>1</v>
      </c>
      <c r="BE494">
        <v>3</v>
      </c>
      <c r="BF494">
        <f>IFERROR(AVERAGE(Tabel1[[#This Row],[Up - V2a]:[Up - V2c]]),"")</f>
        <v>2</v>
      </c>
      <c r="BI494" t="str">
        <f>IFERROR(AVERAGE(Tabel1[[#This Row],[Up - V3a]:[Up - V3b]]),"")</f>
        <v/>
      </c>
      <c r="BJ494">
        <v>1</v>
      </c>
      <c r="BK494">
        <f>IFERROR(AVERAGE(Tabel1[[#This Row],[Up - V1]],Tabel1[[#This Row],[Up - V2]],Tabel1[[#This Row],[Up - V3]],Tabel1[[#This Row],[Up - V4]]),"")</f>
        <v>1.6666666666666667</v>
      </c>
      <c r="BL494">
        <v>5</v>
      </c>
      <c r="BM494">
        <v>2</v>
      </c>
      <c r="BN494">
        <v>2</v>
      </c>
      <c r="BO494">
        <v>4</v>
      </c>
      <c r="BP494">
        <f>IFERROR(AVERAGE(Tabel1[[#This Row],[Up - A1a]:[Up - A1d]]),"")</f>
        <v>3.25</v>
      </c>
      <c r="BQ494">
        <v>4</v>
      </c>
      <c r="BS494">
        <f>IFERROR(AVERAGE(Tabel1[[#This Row],[Up - A2a]:[Up - A2b]]),"")</f>
        <v>4</v>
      </c>
      <c r="BT494">
        <v>5</v>
      </c>
      <c r="BU494">
        <f>IFERROR(AVERAGE(Tabel1[[#This Row],[Up - A3a]:[Up - A3a]]),"")</f>
        <v>5</v>
      </c>
      <c r="BW494">
        <f>IFERROR(AVERAGE(Tabel1[[#This Row],[Up - A1]],Tabel1[[#This Row],[Up - A2]],Tabel1[[#This Row],[Up - A3]]),"")</f>
        <v>4.083333333333333</v>
      </c>
      <c r="BX494">
        <v>2</v>
      </c>
      <c r="BY494">
        <v>2</v>
      </c>
      <c r="BZ494">
        <f>IFERROR(AVERAGE(Tabel1[[#This Row],[In - R1a]:[In - R1b]]),"")</f>
        <v>2</v>
      </c>
      <c r="CA494">
        <v>3</v>
      </c>
      <c r="CB494">
        <v>1</v>
      </c>
      <c r="CC494">
        <v>1</v>
      </c>
      <c r="CD494">
        <v>1</v>
      </c>
      <c r="CE494">
        <f>IFERROR(AVERAGE(Tabel1[[#This Row],[In - R1]:[In - R5]]),"")</f>
        <v>1.6</v>
      </c>
      <c r="CF494">
        <v>1</v>
      </c>
      <c r="CG494">
        <v>1</v>
      </c>
      <c r="CH494">
        <v>4</v>
      </c>
      <c r="CI494">
        <f>IFERROR(AVERAGE(Tabel1[[#This Row],[In - C1a]:[In - C1c]]),"")</f>
        <v>2</v>
      </c>
      <c r="CJ494">
        <v>1</v>
      </c>
      <c r="CK494">
        <v>3</v>
      </c>
      <c r="CL494">
        <v>1</v>
      </c>
      <c r="CM494">
        <f>IFERROR(AVERAGE(Tabel1[[#This Row],[In - C1]:[In - C4]]),"")</f>
        <v>1.75</v>
      </c>
      <c r="CN494">
        <v>1</v>
      </c>
      <c r="CO494">
        <v>1</v>
      </c>
      <c r="CP494">
        <v>3</v>
      </c>
      <c r="CQ494">
        <f>IFERROR(AVERAGE(Tabel1[[#This Row],[In - F1a]:[In - F1c]]),"")</f>
        <v>1.6666666666666667</v>
      </c>
      <c r="CR494">
        <v>2</v>
      </c>
      <c r="CS494">
        <v>1</v>
      </c>
      <c r="CT494">
        <f>IFERROR(AVERAGE(Tabel1[[#This Row],[In - F2a]:[In - F2b]]),"")</f>
        <v>1.5</v>
      </c>
      <c r="CU494">
        <v>2</v>
      </c>
      <c r="CV494">
        <f>IFERROR(AVERAGE(Tabel1[[#This Row],[In - F3a]:[In - F3a]]),"")</f>
        <v>2</v>
      </c>
      <c r="CW494">
        <v>2</v>
      </c>
      <c r="CX494">
        <f>IFERROR(AVERAGE(Tabel1[[#This Row],[In - F1]],Tabel1[[#This Row],[In - F2]],Tabel1[[#This Row],[In - F3]],Tabel1[[#This Row],[In - F4]]),"")</f>
        <v>1.7916666666666667</v>
      </c>
      <c r="CY494">
        <v>5</v>
      </c>
      <c r="CZ494">
        <v>1</v>
      </c>
      <c r="DA494">
        <v>5</v>
      </c>
      <c r="DB494">
        <f>IFERROR(AVERAGE(Tabel1[[#This Row],[In - V1a]:[In - V1c]]),"")</f>
        <v>3.6666666666666665</v>
      </c>
      <c r="DE494">
        <v>1</v>
      </c>
      <c r="DF494">
        <f>IFERROR(AVERAGE(Tabel1[[#This Row],[In - V2a]:[In - V2c]]),"")</f>
        <v>1</v>
      </c>
      <c r="DG494">
        <v>1</v>
      </c>
      <c r="DH494">
        <v>4</v>
      </c>
      <c r="DI494">
        <f>IFERROR(AVERAGE(Tabel1[[#This Row],[In - V3a]:[In - V3b]]),"")</f>
        <v>2.5</v>
      </c>
      <c r="DJ494">
        <v>1</v>
      </c>
      <c r="DK494">
        <f>IFERROR(AVERAGE(Tabel1[[#This Row],[In - V1]],Tabel1[[#This Row],[In - V2]],Tabel1[[#This Row],[In - V3]],Tabel1[[#This Row],[In - V4]]),"")</f>
        <v>2.0416666666666665</v>
      </c>
      <c r="DL494">
        <v>3</v>
      </c>
      <c r="DM494">
        <v>2</v>
      </c>
      <c r="DN494">
        <f>IFERROR(AVERAGE(Tabel1[[#This Row],[In - A1a]:[In - A1b]]),"")</f>
        <v>2.5</v>
      </c>
      <c r="DO494">
        <v>1</v>
      </c>
      <c r="DP494">
        <v>3</v>
      </c>
      <c r="DQ494">
        <f>IFERROR(AVERAGE(Tabel1[[#This Row],[In - A2a]:[In - A2b]]),"")</f>
        <v>2</v>
      </c>
      <c r="DR494">
        <v>4</v>
      </c>
      <c r="DS494">
        <v>2</v>
      </c>
      <c r="DT494">
        <f>IFERROR(AVERAGE(Tabel1[[#This Row],[In - A3a]:[In - A3a]]),"")</f>
        <v>4</v>
      </c>
      <c r="DU494">
        <v>1</v>
      </c>
      <c r="DV494">
        <f>IFERROR(AVERAGE(Tabel1[[#This Row],[In - A1]],Tabel1[[#This Row],[In - A2]],Tabel1[[#This Row],[In - A3]],Tabel1[[#This Row],[In - A4]]),"")</f>
        <v>2.375</v>
      </c>
      <c r="DW494">
        <v>1</v>
      </c>
      <c r="DX494">
        <v>3</v>
      </c>
      <c r="DY494">
        <v>1</v>
      </c>
      <c r="DZ494">
        <f>IFERROR(AVERAGE(Tabel1[[#This Row],[Do - R1a]:[Do - R1c]]),"")</f>
        <v>1.6666666666666667</v>
      </c>
      <c r="EA494">
        <v>2</v>
      </c>
      <c r="EB494">
        <v>1</v>
      </c>
      <c r="EC494">
        <v>1</v>
      </c>
      <c r="ED494">
        <v>1</v>
      </c>
      <c r="EE494">
        <f>IFERROR(AVERAGE(Tabel1[[#This Row],[Do - R1]:[Do - R5]]),"")</f>
        <v>1.3333333333333335</v>
      </c>
      <c r="EF494">
        <v>2</v>
      </c>
      <c r="EG494">
        <v>1</v>
      </c>
      <c r="EH494">
        <v>3</v>
      </c>
      <c r="EI494">
        <f>IFERROR(AVERAGE(Tabel1[[#This Row],[Do - C1a]:[Do - C1c]]),"")</f>
        <v>2</v>
      </c>
      <c r="EJ494">
        <v>1</v>
      </c>
      <c r="EK494">
        <v>1</v>
      </c>
      <c r="EL494">
        <v>2</v>
      </c>
      <c r="EM494">
        <f>IFERROR(AVERAGE(Tabel1[[#This Row],[Do - C1]:[Do - C4]]),"")</f>
        <v>1.5</v>
      </c>
      <c r="EN494">
        <v>1</v>
      </c>
      <c r="EO494">
        <v>1</v>
      </c>
      <c r="EP494">
        <v>5</v>
      </c>
      <c r="EQ494">
        <f>IFERROR(AVERAGE(Tabel1[[#This Row],[Do - F1a]:[Do - F1c]]),"")</f>
        <v>2.3333333333333335</v>
      </c>
      <c r="ER494">
        <v>4</v>
      </c>
      <c r="ES494">
        <f>IFERROR(AVERAGE(Tabel1[[#This Row],[Do - F2a]:[Do - F2a]]),"")</f>
        <v>4</v>
      </c>
      <c r="ET494">
        <v>1</v>
      </c>
      <c r="EU494">
        <v>1</v>
      </c>
      <c r="EV494">
        <f>IFERROR(AVERAGE(Tabel1[[#This Row],[Do - F3a]:[Do - F3b]]),"")</f>
        <v>1</v>
      </c>
      <c r="EW494">
        <v>2</v>
      </c>
      <c r="EX494">
        <f>IFERROR(AVERAGE(Tabel1[[#This Row],[Do - F1]],Tabel1[[#This Row],[Do - F2]],Tabel1[[#This Row],[Do - F3]],Tabel1[[#This Row],[Do - F4]]),"")</f>
        <v>2.3333333333333335</v>
      </c>
      <c r="EY494">
        <v>3</v>
      </c>
      <c r="EZ494">
        <v>1</v>
      </c>
      <c r="FA494">
        <v>4</v>
      </c>
      <c r="FB494">
        <f>IFERROR(AVERAGE(Tabel1[[#This Row],[Do - V1a]:[Do - V1c]]),"")</f>
        <v>2.6666666666666665</v>
      </c>
      <c r="FC494">
        <v>1</v>
      </c>
      <c r="FD494">
        <v>5</v>
      </c>
      <c r="FE494">
        <f>IFERROR(AVERAGE(Tabel1[[#This Row],[Do - V2a]:[Do - V2b]]),"")</f>
        <v>3</v>
      </c>
      <c r="FF494">
        <v>2</v>
      </c>
      <c r="FG494">
        <f>IFERROR(AVERAGE(Tabel1[[#This Row],[Do - V3a]:[Do - V3a]]),"")</f>
        <v>2</v>
      </c>
      <c r="FH494">
        <v>3</v>
      </c>
      <c r="FI494">
        <f>IFERROR(AVERAGE(Tabel1[[#This Row],[Do - V1]],Tabel1[[#This Row],[Do - V2]],Tabel1[[#This Row],[Do - V3]],Tabel1[[#This Row],[Do - V4]]),"")</f>
        <v>2.6666666666666665</v>
      </c>
      <c r="FJ494">
        <v>1</v>
      </c>
      <c r="FK494">
        <v>4</v>
      </c>
      <c r="FL494">
        <v>1</v>
      </c>
      <c r="FM494">
        <f>IFERROR(AVERAGE(Tabel1[[#This Row],[Do - A1a]:[Do - A1c]]),"")</f>
        <v>2</v>
      </c>
      <c r="FN494">
        <v>1</v>
      </c>
      <c r="FP494">
        <f>IFERROR(AVERAGE(Tabel1[[#This Row],[Do - A2a]:[Do - A2b]]),"")</f>
        <v>1</v>
      </c>
      <c r="FQ494">
        <v>5</v>
      </c>
      <c r="FR494">
        <f>IFERROR(AVERAGE(Tabel1[[#This Row],[Do - A3a]:[Do - A3a]]),"")</f>
        <v>5</v>
      </c>
      <c r="FS494">
        <v>1</v>
      </c>
      <c r="FT494">
        <f>IFERROR(AVERAGE(Tabel1[[#This Row],[Do - A1]],Tabel1[[#This Row],[Do - A2]],Tabel1[[#This Row],[Do - A3]],Tabel1[[#This Row],[Do - A4]]),"")</f>
        <v>2.25</v>
      </c>
      <c r="FU49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2.0244444444444443</v>
      </c>
      <c r="FV494" s="31" t="s">
        <v>2404</v>
      </c>
      <c r="FW494" t="b">
        <v>1</v>
      </c>
    </row>
    <row r="495" spans="1:179" x14ac:dyDescent="0.3">
      <c r="A495" s="13">
        <v>45765.4909259259</v>
      </c>
      <c r="B495" t="b">
        <v>0</v>
      </c>
      <c r="C495" t="s">
        <v>2405</v>
      </c>
      <c r="D495" t="s">
        <v>215</v>
      </c>
      <c r="E495" t="s">
        <v>2406</v>
      </c>
      <c r="F495" s="14" t="s">
        <v>184</v>
      </c>
      <c r="G495" t="s">
        <v>2407</v>
      </c>
      <c r="H495" t="s">
        <v>194</v>
      </c>
      <c r="I495" t="s">
        <v>195</v>
      </c>
      <c r="J495" t="s">
        <v>1154</v>
      </c>
      <c r="K495" t="s">
        <v>201</v>
      </c>
      <c r="L495" t="s">
        <v>249</v>
      </c>
      <c r="M495" t="s">
        <v>198</v>
      </c>
      <c r="N495" t="s">
        <v>262</v>
      </c>
      <c r="O495" t="s">
        <v>200</v>
      </c>
      <c r="P495" t="s">
        <v>304</v>
      </c>
      <c r="Q495" t="s">
        <v>201</v>
      </c>
      <c r="R495" t="s">
        <v>201</v>
      </c>
      <c r="S495" t="s">
        <v>201</v>
      </c>
      <c r="T495" t="s">
        <v>236</v>
      </c>
      <c r="U495" t="s">
        <v>205</v>
      </c>
      <c r="V495" t="s">
        <v>359</v>
      </c>
      <c r="W495" t="s">
        <v>395</v>
      </c>
      <c r="X495" t="s">
        <v>395</v>
      </c>
      <c r="Y495">
        <v>2</v>
      </c>
      <c r="Z495">
        <v>4</v>
      </c>
      <c r="AA495">
        <v>5</v>
      </c>
      <c r="AB495">
        <f>IFERROR(AVERAGE(Tabel1[[#This Row],[Up - R1a]:[Up - R1c]]),"")</f>
        <v>3.6666666666666665</v>
      </c>
      <c r="AC495">
        <v>3</v>
      </c>
      <c r="AD495">
        <v>4</v>
      </c>
      <c r="AE495">
        <v>2</v>
      </c>
      <c r="AF495">
        <v>4</v>
      </c>
      <c r="AG495">
        <f>IFERROR(AVERAGE(Tabel1[[#This Row],[Up - R1]:[Up - R5]]),"")</f>
        <v>3.333333333333333</v>
      </c>
      <c r="AH495">
        <v>4</v>
      </c>
      <c r="AI495">
        <v>2</v>
      </c>
      <c r="AJ495">
        <v>3</v>
      </c>
      <c r="AK495">
        <f>IFERROR(AVERAGE(Tabel1[[#This Row],[Up - C1a]:[Up - C1c]]),"")</f>
        <v>3</v>
      </c>
      <c r="AL495">
        <v>3</v>
      </c>
      <c r="AM495">
        <v>4</v>
      </c>
      <c r="AN495">
        <v>3</v>
      </c>
      <c r="AO495">
        <f>IFERROR(AVERAGE(Tabel1[[#This Row],[Up - C1]:[Up - C4]]),"")</f>
        <v>3.25</v>
      </c>
      <c r="AP495">
        <v>3</v>
      </c>
      <c r="AQ495">
        <f>IFERROR(AVERAGE(Tabel1[[#This Row],[Up - F1a]:[Up - F1a]]),"")</f>
        <v>3</v>
      </c>
      <c r="AR495">
        <v>3</v>
      </c>
      <c r="AS495">
        <v>5</v>
      </c>
      <c r="AT495">
        <f>IFERROR(AVERAGE(Tabel1[[#This Row],[Up - F2a]:[Up - F2b]]),"")</f>
        <v>4</v>
      </c>
      <c r="AU495">
        <v>3</v>
      </c>
      <c r="AV495">
        <v>5</v>
      </c>
      <c r="AW495">
        <f>IFERROR(AVERAGE(Tabel1[[#This Row],[Up - F3a]:[Up - F3b]]),"")</f>
        <v>4</v>
      </c>
      <c r="AX495">
        <v>3</v>
      </c>
      <c r="AY495">
        <f>IFERROR(AVERAGE(Tabel1[[#This Row],[Up - F1]],Tabel1[[#This Row],[Up - F2]],Tabel1[[#This Row],[Up - F3]],Tabel1[[#This Row],[Up - F4]]),"")</f>
        <v>3.5</v>
      </c>
      <c r="AZ495">
        <v>2</v>
      </c>
      <c r="BA495">
        <v>3</v>
      </c>
      <c r="BB495">
        <f>IFERROR(AVERAGE(Tabel1[[#This Row],[Up - V1a]:[Up - V1b]]),"")</f>
        <v>2.5</v>
      </c>
      <c r="BC495">
        <v>1</v>
      </c>
      <c r="BD495">
        <v>3</v>
      </c>
      <c r="BE495">
        <v>3</v>
      </c>
      <c r="BF495">
        <f>IFERROR(AVERAGE(Tabel1[[#This Row],[Up - V2a]:[Up - V2c]]),"")</f>
        <v>2.3333333333333335</v>
      </c>
      <c r="BG495">
        <v>3</v>
      </c>
      <c r="BH495">
        <v>2</v>
      </c>
      <c r="BI495">
        <f>IFERROR(AVERAGE(Tabel1[[#This Row],[Up - V3a]:[Up - V3b]]),"")</f>
        <v>2.5</v>
      </c>
      <c r="BJ495">
        <v>4</v>
      </c>
      <c r="BK495">
        <f>IFERROR(AVERAGE(Tabel1[[#This Row],[Up - V1]],Tabel1[[#This Row],[Up - V2]],Tabel1[[#This Row],[Up - V3]],Tabel1[[#This Row],[Up - V4]]),"")</f>
        <v>2.8333333333333335</v>
      </c>
      <c r="BL495">
        <v>4</v>
      </c>
      <c r="BM495">
        <v>2</v>
      </c>
      <c r="BN495">
        <v>3</v>
      </c>
      <c r="BO495">
        <v>2</v>
      </c>
      <c r="BP495">
        <f>IFERROR(AVERAGE(Tabel1[[#This Row],[Up - A1a]:[Up - A1d]]),"")</f>
        <v>2.75</v>
      </c>
      <c r="BQ495">
        <v>2</v>
      </c>
      <c r="BR495">
        <v>3</v>
      </c>
      <c r="BS495">
        <f>IFERROR(AVERAGE(Tabel1[[#This Row],[Up - A2a]:[Up - A2b]]),"")</f>
        <v>2.5</v>
      </c>
      <c r="BT495">
        <v>4</v>
      </c>
      <c r="BU495">
        <f>IFERROR(AVERAGE(Tabel1[[#This Row],[Up - A3a]:[Up - A3a]]),"")</f>
        <v>4</v>
      </c>
      <c r="BV495">
        <v>3</v>
      </c>
      <c r="BW495">
        <f>IFERROR(AVERAGE(Tabel1[[#This Row],[Up - A1]],Tabel1[[#This Row],[Up - A2]],Tabel1[[#This Row],[Up - A3]]),"")</f>
        <v>3.0833333333333335</v>
      </c>
      <c r="BX495">
        <v>5</v>
      </c>
      <c r="BY495">
        <v>5</v>
      </c>
      <c r="BZ495">
        <f>IFERROR(AVERAGE(Tabel1[[#This Row],[In - R1a]:[In - R1b]]),"")</f>
        <v>5</v>
      </c>
      <c r="CA495">
        <v>3</v>
      </c>
      <c r="CB495">
        <v>5</v>
      </c>
      <c r="CC495">
        <v>2</v>
      </c>
      <c r="CD495">
        <v>5</v>
      </c>
      <c r="CE495">
        <f>IFERROR(AVERAGE(Tabel1[[#This Row],[In - R1]:[In - R5]]),"")</f>
        <v>4</v>
      </c>
      <c r="CF495">
        <v>4</v>
      </c>
      <c r="CG495">
        <v>5</v>
      </c>
      <c r="CH495">
        <v>5</v>
      </c>
      <c r="CI495">
        <f>IFERROR(AVERAGE(Tabel1[[#This Row],[In - C1a]:[In - C1c]]),"")</f>
        <v>4.666666666666667</v>
      </c>
      <c r="CJ495">
        <v>4</v>
      </c>
      <c r="CK495">
        <v>4</v>
      </c>
      <c r="CL495">
        <v>4</v>
      </c>
      <c r="CM495">
        <f>IFERROR(AVERAGE(Tabel1[[#This Row],[In - C1]:[In - C4]]),"")</f>
        <v>4.166666666666667</v>
      </c>
      <c r="CN495">
        <v>5</v>
      </c>
      <c r="CO495">
        <v>3</v>
      </c>
      <c r="CP495">
        <v>4</v>
      </c>
      <c r="CQ495">
        <f>IFERROR(AVERAGE(Tabel1[[#This Row],[In - F1a]:[In - F1c]]),"")</f>
        <v>4</v>
      </c>
      <c r="CR495">
        <v>5</v>
      </c>
      <c r="CS495">
        <v>4</v>
      </c>
      <c r="CT495">
        <f>IFERROR(AVERAGE(Tabel1[[#This Row],[In - F2a]:[In - F2b]]),"")</f>
        <v>4.5</v>
      </c>
      <c r="CU495">
        <v>5</v>
      </c>
      <c r="CV495">
        <f>IFERROR(AVERAGE(Tabel1[[#This Row],[In - F3a]:[In - F3a]]),"")</f>
        <v>5</v>
      </c>
      <c r="CW495">
        <v>4</v>
      </c>
      <c r="CX495">
        <f>IFERROR(AVERAGE(Tabel1[[#This Row],[In - F1]],Tabel1[[#This Row],[In - F2]],Tabel1[[#This Row],[In - F3]],Tabel1[[#This Row],[In - F4]]),"")</f>
        <v>4.375</v>
      </c>
      <c r="CY495">
        <v>5</v>
      </c>
      <c r="CZ495">
        <v>5</v>
      </c>
      <c r="DA495">
        <v>2</v>
      </c>
      <c r="DB495">
        <f>IFERROR(AVERAGE(Tabel1[[#This Row],[In - V1a]:[In - V1c]]),"")</f>
        <v>4</v>
      </c>
      <c r="DC495">
        <v>4</v>
      </c>
      <c r="DD495">
        <v>3</v>
      </c>
      <c r="DE495">
        <v>3</v>
      </c>
      <c r="DF495">
        <f>IFERROR(AVERAGE(Tabel1[[#This Row],[In - V2a]:[In - V2c]]),"")</f>
        <v>3.3333333333333335</v>
      </c>
      <c r="DG495">
        <v>2</v>
      </c>
      <c r="DH495">
        <v>4</v>
      </c>
      <c r="DI495">
        <f>IFERROR(AVERAGE(Tabel1[[#This Row],[In - V3a]:[In - V3b]]),"")</f>
        <v>3</v>
      </c>
      <c r="DJ495">
        <v>3</v>
      </c>
      <c r="DK495">
        <f>IFERROR(AVERAGE(Tabel1[[#This Row],[In - V1]],Tabel1[[#This Row],[In - V2]],Tabel1[[#This Row],[In - V3]],Tabel1[[#This Row],[In - V4]]),"")</f>
        <v>3.3333333333333335</v>
      </c>
      <c r="DL495">
        <v>4</v>
      </c>
      <c r="DM495">
        <v>4</v>
      </c>
      <c r="DN495">
        <f>IFERROR(AVERAGE(Tabel1[[#This Row],[In - A1a]:[In - A1b]]),"")</f>
        <v>4</v>
      </c>
      <c r="DO495">
        <v>3</v>
      </c>
      <c r="DP495">
        <v>4</v>
      </c>
      <c r="DQ495">
        <f>IFERROR(AVERAGE(Tabel1[[#This Row],[In - A2a]:[In - A2b]]),"")</f>
        <v>3.5</v>
      </c>
      <c r="DR495">
        <v>4</v>
      </c>
      <c r="DS495">
        <v>4</v>
      </c>
      <c r="DT495">
        <f>IFERROR(AVERAGE(Tabel1[[#This Row],[In - A3a]:[In - A3a]]),"")</f>
        <v>4</v>
      </c>
      <c r="DU495">
        <v>3</v>
      </c>
      <c r="DV495">
        <f>IFERROR(AVERAGE(Tabel1[[#This Row],[In - A1]],Tabel1[[#This Row],[In - A2]],Tabel1[[#This Row],[In - A3]],Tabel1[[#This Row],[In - A4]]),"")</f>
        <v>3.625</v>
      </c>
      <c r="DW495">
        <v>3</v>
      </c>
      <c r="DX495">
        <v>4</v>
      </c>
      <c r="DY495">
        <v>3</v>
      </c>
      <c r="DZ495">
        <f>IFERROR(AVERAGE(Tabel1[[#This Row],[Do - R1a]:[Do - R1c]]),"")</f>
        <v>3.3333333333333335</v>
      </c>
      <c r="EA495">
        <v>2</v>
      </c>
      <c r="EB495">
        <v>4</v>
      </c>
      <c r="EC495">
        <v>1</v>
      </c>
      <c r="ED495">
        <v>5</v>
      </c>
      <c r="EE495">
        <f>IFERROR(AVERAGE(Tabel1[[#This Row],[Do - R1]:[Do - R5]]),"")</f>
        <v>3.0666666666666669</v>
      </c>
      <c r="EF495">
        <v>4</v>
      </c>
      <c r="EG495">
        <v>3</v>
      </c>
      <c r="EH495">
        <v>4</v>
      </c>
      <c r="EI495">
        <f>IFERROR(AVERAGE(Tabel1[[#This Row],[Do - C1a]:[Do - C1c]]),"")</f>
        <v>3.6666666666666665</v>
      </c>
      <c r="EJ495">
        <v>3</v>
      </c>
      <c r="EK495">
        <v>4</v>
      </c>
      <c r="EL495">
        <v>3</v>
      </c>
      <c r="EM495">
        <f>IFERROR(AVERAGE(Tabel1[[#This Row],[Do - C1]:[Do - C4]]),"")</f>
        <v>3.4166666666666665</v>
      </c>
      <c r="EN495">
        <v>3</v>
      </c>
      <c r="EO495">
        <v>3</v>
      </c>
      <c r="EP495">
        <v>4</v>
      </c>
      <c r="EQ495">
        <f>IFERROR(AVERAGE(Tabel1[[#This Row],[Do - F1a]:[Do - F1c]]),"")</f>
        <v>3.3333333333333335</v>
      </c>
      <c r="ER495">
        <v>3</v>
      </c>
      <c r="ES495">
        <f>IFERROR(AVERAGE(Tabel1[[#This Row],[Do - F2a]:[Do - F2a]]),"")</f>
        <v>3</v>
      </c>
      <c r="ET495">
        <v>4</v>
      </c>
      <c r="EU495">
        <v>4</v>
      </c>
      <c r="EV495">
        <f>IFERROR(AVERAGE(Tabel1[[#This Row],[Do - F3a]:[Do - F3b]]),"")</f>
        <v>4</v>
      </c>
      <c r="EW495">
        <v>2</v>
      </c>
      <c r="EX495">
        <f>IFERROR(AVERAGE(Tabel1[[#This Row],[Do - F1]],Tabel1[[#This Row],[Do - F2]],Tabel1[[#This Row],[Do - F3]],Tabel1[[#This Row],[Do - F4]]),"")</f>
        <v>3.0833333333333335</v>
      </c>
      <c r="EY495">
        <v>2</v>
      </c>
      <c r="EZ495">
        <v>3</v>
      </c>
      <c r="FA495">
        <v>3</v>
      </c>
      <c r="FB495">
        <f>IFERROR(AVERAGE(Tabel1[[#This Row],[Do - V1a]:[Do - V1c]]),"")</f>
        <v>2.6666666666666665</v>
      </c>
      <c r="FC495">
        <v>2</v>
      </c>
      <c r="FD495">
        <v>1</v>
      </c>
      <c r="FE495">
        <f>IFERROR(AVERAGE(Tabel1[[#This Row],[Do - V2a]:[Do - V2b]]),"")</f>
        <v>1.5</v>
      </c>
      <c r="FF495">
        <v>4</v>
      </c>
      <c r="FG495">
        <f>IFERROR(AVERAGE(Tabel1[[#This Row],[Do - V3a]:[Do - V3a]]),"")</f>
        <v>4</v>
      </c>
      <c r="FH495">
        <v>4</v>
      </c>
      <c r="FI495">
        <f>IFERROR(AVERAGE(Tabel1[[#This Row],[Do - V1]],Tabel1[[#This Row],[Do - V2]],Tabel1[[#This Row],[Do - V3]],Tabel1[[#This Row],[Do - V4]]),"")</f>
        <v>3.0416666666666665</v>
      </c>
      <c r="FJ495">
        <v>3</v>
      </c>
      <c r="FK495">
        <v>2</v>
      </c>
      <c r="FL495">
        <v>5</v>
      </c>
      <c r="FM495">
        <f>IFERROR(AVERAGE(Tabel1[[#This Row],[Do - A1a]:[Do - A1c]]),"")</f>
        <v>3.3333333333333335</v>
      </c>
      <c r="FN495">
        <v>5</v>
      </c>
      <c r="FO495">
        <v>4</v>
      </c>
      <c r="FP495">
        <f>IFERROR(AVERAGE(Tabel1[[#This Row],[Do - A2a]:[Do - A2b]]),"")</f>
        <v>4.5</v>
      </c>
      <c r="FQ495">
        <v>4</v>
      </c>
      <c r="FR495">
        <f>IFERROR(AVERAGE(Tabel1[[#This Row],[Do - A3a]:[Do - A3a]]),"")</f>
        <v>4</v>
      </c>
      <c r="FS495">
        <v>3</v>
      </c>
      <c r="FT495">
        <f>IFERROR(AVERAGE(Tabel1[[#This Row],[Do - A1]],Tabel1[[#This Row],[Do - A2]],Tabel1[[#This Row],[Do - A3]],Tabel1[[#This Row],[Do - A4]]),"")</f>
        <v>3.7083333333333335</v>
      </c>
      <c r="FU49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3.4544444444444449</v>
      </c>
      <c r="FV495" s="31" t="s">
        <v>2408</v>
      </c>
      <c r="FW495" t="b">
        <v>1</v>
      </c>
    </row>
    <row r="496" spans="1:179" x14ac:dyDescent="0.3">
      <c r="A496" s="13">
        <v>45765.800902777803</v>
      </c>
      <c r="B496" t="b">
        <v>0</v>
      </c>
      <c r="C496" t="s">
        <v>2409</v>
      </c>
      <c r="D496" t="s">
        <v>2410</v>
      </c>
      <c r="E496" t="s">
        <v>2411</v>
      </c>
      <c r="F496" s="14" t="s">
        <v>184</v>
      </c>
      <c r="G496" t="s">
        <v>2412</v>
      </c>
      <c r="H496" t="s">
        <v>222</v>
      </c>
      <c r="I496" t="s">
        <v>572</v>
      </c>
      <c r="J496" t="s">
        <v>573</v>
      </c>
      <c r="K496" t="s">
        <v>304</v>
      </c>
      <c r="L496" t="s">
        <v>385</v>
      </c>
      <c r="M496" t="s">
        <v>198</v>
      </c>
      <c r="N496" t="s">
        <v>316</v>
      </c>
      <c r="P496" t="s">
        <v>255</v>
      </c>
      <c r="U496" t="s">
        <v>285</v>
      </c>
      <c r="V496" t="s">
        <v>224</v>
      </c>
      <c r="W496" t="s">
        <v>306</v>
      </c>
      <c r="X496" t="s">
        <v>305</v>
      </c>
      <c r="Y496">
        <v>4</v>
      </c>
      <c r="Z496">
        <v>3</v>
      </c>
      <c r="AA496" t="s">
        <v>189</v>
      </c>
      <c r="AB496">
        <f>IFERROR(AVERAGE(Tabel1[[#This Row],[Up - R1a]:[Up - R1c]]),"")</f>
        <v>3.5</v>
      </c>
      <c r="AC496">
        <v>4</v>
      </c>
      <c r="AD496">
        <v>2</v>
      </c>
      <c r="AE496" t="s">
        <v>189</v>
      </c>
      <c r="AF496" t="s">
        <v>189</v>
      </c>
      <c r="AG496">
        <f>IFERROR(AVERAGE(Tabel1[[#This Row],[Up - R1]:[Up - R5]]),"")</f>
        <v>3.1666666666666665</v>
      </c>
      <c r="AH496">
        <v>2</v>
      </c>
      <c r="AI496">
        <v>3</v>
      </c>
      <c r="AJ496">
        <v>3</v>
      </c>
      <c r="AK496">
        <f>IFERROR(AVERAGE(Tabel1[[#This Row],[Up - C1a]:[Up - C1c]]),"")</f>
        <v>2.6666666666666665</v>
      </c>
      <c r="AL496">
        <v>3</v>
      </c>
      <c r="AM496">
        <v>2</v>
      </c>
      <c r="AN496">
        <v>3</v>
      </c>
      <c r="AO496">
        <f>IFERROR(AVERAGE(Tabel1[[#This Row],[Up - C1]:[Up - C4]]),"")</f>
        <v>2.6666666666666665</v>
      </c>
      <c r="AP496">
        <v>3</v>
      </c>
      <c r="AQ496">
        <f>IFERROR(AVERAGE(Tabel1[[#This Row],[Up - F1a]:[Up - F1a]]),"")</f>
        <v>3</v>
      </c>
      <c r="AR496">
        <v>2</v>
      </c>
      <c r="AS496" t="s">
        <v>189</v>
      </c>
      <c r="AT496">
        <f>IFERROR(AVERAGE(Tabel1[[#This Row],[Up - F2a]:[Up - F2b]]),"")</f>
        <v>2</v>
      </c>
      <c r="AU496" t="s">
        <v>189</v>
      </c>
      <c r="AV496">
        <v>1</v>
      </c>
      <c r="AW496">
        <f>IFERROR(AVERAGE(Tabel1[[#This Row],[Up - F3a]:[Up - F3b]]),"")</f>
        <v>1</v>
      </c>
      <c r="AX496">
        <v>2</v>
      </c>
      <c r="AY496">
        <f>IFERROR(AVERAGE(Tabel1[[#This Row],[Up - F1]],Tabel1[[#This Row],[Up - F2]],Tabel1[[#This Row],[Up - F3]],Tabel1[[#This Row],[Up - F4]]),"")</f>
        <v>2</v>
      </c>
      <c r="AZ496">
        <v>2</v>
      </c>
      <c r="BA496">
        <v>2</v>
      </c>
      <c r="BB496">
        <f>IFERROR(AVERAGE(Tabel1[[#This Row],[Up - V1a]:[Up - V1b]]),"")</f>
        <v>2</v>
      </c>
      <c r="BC496">
        <v>2</v>
      </c>
      <c r="BD496">
        <v>4</v>
      </c>
      <c r="BE496">
        <v>2</v>
      </c>
      <c r="BF496">
        <f>IFERROR(AVERAGE(Tabel1[[#This Row],[Up - V2a]:[Up - V2c]]),"")</f>
        <v>2.6666666666666665</v>
      </c>
      <c r="BG496">
        <v>1</v>
      </c>
      <c r="BH496" t="s">
        <v>189</v>
      </c>
      <c r="BI496">
        <f>IFERROR(AVERAGE(Tabel1[[#This Row],[Up - V3a]:[Up - V3b]]),"")</f>
        <v>1</v>
      </c>
      <c r="BJ496" t="s">
        <v>189</v>
      </c>
      <c r="BK496">
        <f>IFERROR(AVERAGE(Tabel1[[#This Row],[Up - V1]],Tabel1[[#This Row],[Up - V2]],Tabel1[[#This Row],[Up - V3]],Tabel1[[#This Row],[Up - V4]]),"")</f>
        <v>1.8888888888888886</v>
      </c>
      <c r="BL496">
        <v>4</v>
      </c>
      <c r="BM496">
        <v>4</v>
      </c>
      <c r="BN496">
        <v>2</v>
      </c>
      <c r="BO496">
        <v>3</v>
      </c>
      <c r="BP496">
        <f>IFERROR(AVERAGE(Tabel1[[#This Row],[Up - A1a]:[Up - A1d]]),"")</f>
        <v>3.25</v>
      </c>
      <c r="BQ496">
        <v>4</v>
      </c>
      <c r="BR496">
        <v>2</v>
      </c>
      <c r="BS496">
        <f>IFERROR(AVERAGE(Tabel1[[#This Row],[Up - A2a]:[Up - A2b]]),"")</f>
        <v>3</v>
      </c>
      <c r="BT496">
        <v>2</v>
      </c>
      <c r="BU496">
        <f>IFERROR(AVERAGE(Tabel1[[#This Row],[Up - A3a]:[Up - A3a]]),"")</f>
        <v>2</v>
      </c>
      <c r="BV496" t="s">
        <v>189</v>
      </c>
      <c r="BW496">
        <f>IFERROR(AVERAGE(Tabel1[[#This Row],[Up - A1]],Tabel1[[#This Row],[Up - A2]],Tabel1[[#This Row],[Up - A3]]),"")</f>
        <v>2.75</v>
      </c>
      <c r="BX496">
        <v>3</v>
      </c>
      <c r="BY496" t="s">
        <v>189</v>
      </c>
      <c r="BZ496">
        <f>IFERROR(AVERAGE(Tabel1[[#This Row],[In - R1a]:[In - R1b]]),"")</f>
        <v>3</v>
      </c>
      <c r="CA496">
        <v>4</v>
      </c>
      <c r="CB496">
        <v>3</v>
      </c>
      <c r="CC496" t="s">
        <v>189</v>
      </c>
      <c r="CD496" t="s">
        <v>189</v>
      </c>
      <c r="CE496">
        <f>IFERROR(AVERAGE(Tabel1[[#This Row],[In - R1]:[In - R5]]),"")</f>
        <v>3.3333333333333335</v>
      </c>
      <c r="CF496">
        <v>3</v>
      </c>
      <c r="CG496">
        <v>2</v>
      </c>
      <c r="CH496">
        <v>2</v>
      </c>
      <c r="CI496">
        <f>IFERROR(AVERAGE(Tabel1[[#This Row],[In - C1a]:[In - C1c]]),"")</f>
        <v>2.3333333333333335</v>
      </c>
      <c r="CJ496">
        <v>2</v>
      </c>
      <c r="CK496">
        <v>3</v>
      </c>
      <c r="CL496">
        <v>3</v>
      </c>
      <c r="CM496">
        <f>IFERROR(AVERAGE(Tabel1[[#This Row],[In - C1]:[In - C4]]),"")</f>
        <v>2.5833333333333335</v>
      </c>
      <c r="CN496">
        <v>3</v>
      </c>
      <c r="CO496">
        <v>4</v>
      </c>
      <c r="CP496">
        <v>3</v>
      </c>
      <c r="CQ496">
        <f>IFERROR(AVERAGE(Tabel1[[#This Row],[In - F1a]:[In - F1c]]),"")</f>
        <v>3.3333333333333335</v>
      </c>
      <c r="CR496">
        <v>2</v>
      </c>
      <c r="CS496">
        <v>1</v>
      </c>
      <c r="CT496">
        <f>IFERROR(AVERAGE(Tabel1[[#This Row],[In - F2a]:[In - F2b]]),"")</f>
        <v>1.5</v>
      </c>
      <c r="CU496" t="s">
        <v>189</v>
      </c>
      <c r="CV496" t="str">
        <f>IFERROR(AVERAGE(Tabel1[[#This Row],[In - F3a]:[In - F3a]]),"")</f>
        <v/>
      </c>
      <c r="CW496">
        <v>1</v>
      </c>
      <c r="CX496">
        <f>IFERROR(AVERAGE(Tabel1[[#This Row],[In - F1]],Tabel1[[#This Row],[In - F2]],Tabel1[[#This Row],[In - F3]],Tabel1[[#This Row],[In - F4]]),"")</f>
        <v>1.9444444444444446</v>
      </c>
      <c r="CY496">
        <v>4</v>
      </c>
      <c r="CZ496">
        <v>3</v>
      </c>
      <c r="DA496">
        <v>1</v>
      </c>
      <c r="DB496">
        <f>IFERROR(AVERAGE(Tabel1[[#This Row],[In - V1a]:[In - V1c]]),"")</f>
        <v>2.6666666666666665</v>
      </c>
      <c r="DC496">
        <v>1</v>
      </c>
      <c r="DD496">
        <v>3</v>
      </c>
      <c r="DE496">
        <v>1</v>
      </c>
      <c r="DF496">
        <f>IFERROR(AVERAGE(Tabel1[[#This Row],[In - V2a]:[In - V2c]]),"")</f>
        <v>1.6666666666666667</v>
      </c>
      <c r="DG496">
        <v>1</v>
      </c>
      <c r="DH496" t="s">
        <v>189</v>
      </c>
      <c r="DI496">
        <f>IFERROR(AVERAGE(Tabel1[[#This Row],[In - V3a]:[In - V3b]]),"")</f>
        <v>1</v>
      </c>
      <c r="DJ496" t="s">
        <v>189</v>
      </c>
      <c r="DK496">
        <f>IFERROR(AVERAGE(Tabel1[[#This Row],[In - V1]],Tabel1[[#This Row],[In - V2]],Tabel1[[#This Row],[In - V3]],Tabel1[[#This Row],[In - V4]]),"")</f>
        <v>1.7777777777777777</v>
      </c>
      <c r="DL496">
        <v>4</v>
      </c>
      <c r="DM496">
        <v>2</v>
      </c>
      <c r="DN496">
        <f>IFERROR(AVERAGE(Tabel1[[#This Row],[In - A1a]:[In - A1b]]),"")</f>
        <v>3</v>
      </c>
      <c r="DO496">
        <v>4</v>
      </c>
      <c r="DP496">
        <v>2</v>
      </c>
      <c r="DQ496">
        <f>IFERROR(AVERAGE(Tabel1[[#This Row],[In - A2a]:[In - A2b]]),"")</f>
        <v>3</v>
      </c>
      <c r="DR496">
        <v>2</v>
      </c>
      <c r="DS496">
        <v>2</v>
      </c>
      <c r="DT496">
        <f>IFERROR(AVERAGE(Tabel1[[#This Row],[In - A3a]:[In - A3a]]),"")</f>
        <v>2</v>
      </c>
      <c r="DU496" t="s">
        <v>189</v>
      </c>
      <c r="DV496">
        <f>IFERROR(AVERAGE(Tabel1[[#This Row],[In - A1]],Tabel1[[#This Row],[In - A2]],Tabel1[[#This Row],[In - A3]],Tabel1[[#This Row],[In - A4]]),"")</f>
        <v>2.6666666666666665</v>
      </c>
      <c r="DW496">
        <v>3</v>
      </c>
      <c r="DX496">
        <v>5</v>
      </c>
      <c r="DY496">
        <v>3</v>
      </c>
      <c r="DZ496">
        <f>IFERROR(AVERAGE(Tabel1[[#This Row],[Do - R1a]:[Do - R1c]]),"")</f>
        <v>3.6666666666666665</v>
      </c>
      <c r="EA496" t="s">
        <v>189</v>
      </c>
      <c r="EB496" t="s">
        <v>189</v>
      </c>
      <c r="EC496" t="s">
        <v>189</v>
      </c>
      <c r="ED496" t="s">
        <v>189</v>
      </c>
      <c r="EE496">
        <f>IFERROR(AVERAGE(Tabel1[[#This Row],[Do - R1]:[Do - R5]]),"")</f>
        <v>3.6666666666666665</v>
      </c>
      <c r="EF496">
        <v>2</v>
      </c>
      <c r="EG496">
        <v>3</v>
      </c>
      <c r="EH496">
        <v>3</v>
      </c>
      <c r="EI496">
        <f>IFERROR(AVERAGE(Tabel1[[#This Row],[Do - C1a]:[Do - C1c]]),"")</f>
        <v>2.6666666666666665</v>
      </c>
      <c r="EJ496">
        <v>4</v>
      </c>
      <c r="EK496">
        <v>3</v>
      </c>
      <c r="EL496">
        <v>3</v>
      </c>
      <c r="EM496">
        <f>IFERROR(AVERAGE(Tabel1[[#This Row],[Do - C1]:[Do - C4]]),"")</f>
        <v>3.1666666666666665</v>
      </c>
      <c r="EN496">
        <v>3</v>
      </c>
      <c r="EO496">
        <v>2</v>
      </c>
      <c r="EP496">
        <v>3</v>
      </c>
      <c r="EQ496">
        <f>IFERROR(AVERAGE(Tabel1[[#This Row],[Do - F1a]:[Do - F1c]]),"")</f>
        <v>2.6666666666666665</v>
      </c>
      <c r="ER496">
        <v>2</v>
      </c>
      <c r="ES496">
        <f>IFERROR(AVERAGE(Tabel1[[#This Row],[Do - F2a]:[Do - F2a]]),"")</f>
        <v>2</v>
      </c>
      <c r="ET496" t="s">
        <v>189</v>
      </c>
      <c r="EU496">
        <v>2</v>
      </c>
      <c r="EV496">
        <f>IFERROR(AVERAGE(Tabel1[[#This Row],[Do - F3a]:[Do - F3b]]),"")</f>
        <v>2</v>
      </c>
      <c r="EW496">
        <v>2</v>
      </c>
      <c r="EX496">
        <f>IFERROR(AVERAGE(Tabel1[[#This Row],[Do - F1]],Tabel1[[#This Row],[Do - F2]],Tabel1[[#This Row],[Do - F3]],Tabel1[[#This Row],[Do - F4]]),"")</f>
        <v>2.1666666666666665</v>
      </c>
      <c r="EY496">
        <v>4</v>
      </c>
      <c r="EZ496">
        <v>1</v>
      </c>
      <c r="FA496">
        <v>2</v>
      </c>
      <c r="FB496">
        <f>IFERROR(AVERAGE(Tabel1[[#This Row],[Do - V1a]:[Do - V1c]]),"")</f>
        <v>2.3333333333333335</v>
      </c>
      <c r="FC496">
        <v>2</v>
      </c>
      <c r="FD496">
        <v>4</v>
      </c>
      <c r="FE496">
        <f>IFERROR(AVERAGE(Tabel1[[#This Row],[Do - V2a]:[Do - V2b]]),"")</f>
        <v>3</v>
      </c>
      <c r="FF496">
        <v>1</v>
      </c>
      <c r="FG496">
        <f>IFERROR(AVERAGE(Tabel1[[#This Row],[Do - V3a]:[Do - V3a]]),"")</f>
        <v>1</v>
      </c>
      <c r="FH496" t="s">
        <v>189</v>
      </c>
      <c r="FI496">
        <f>IFERROR(AVERAGE(Tabel1[[#This Row],[Do - V1]],Tabel1[[#This Row],[Do - V2]],Tabel1[[#This Row],[Do - V3]],Tabel1[[#This Row],[Do - V4]]),"")</f>
        <v>2.1111111111111112</v>
      </c>
      <c r="FJ496">
        <v>4</v>
      </c>
      <c r="FK496">
        <v>1</v>
      </c>
      <c r="FL496">
        <v>1</v>
      </c>
      <c r="FM496">
        <f>IFERROR(AVERAGE(Tabel1[[#This Row],[Do - A1a]:[Do - A1c]]),"")</f>
        <v>2</v>
      </c>
      <c r="FN496">
        <v>4</v>
      </c>
      <c r="FO496">
        <v>2</v>
      </c>
      <c r="FP496">
        <f>IFERROR(AVERAGE(Tabel1[[#This Row],[Do - A2a]:[Do - A2b]]),"")</f>
        <v>3</v>
      </c>
      <c r="FQ496">
        <v>2</v>
      </c>
      <c r="FR496">
        <f>IFERROR(AVERAGE(Tabel1[[#This Row],[Do - A3a]:[Do - A3a]]),"")</f>
        <v>2</v>
      </c>
      <c r="FS496" t="s">
        <v>189</v>
      </c>
      <c r="FT496">
        <f>IFERROR(AVERAGE(Tabel1[[#This Row],[Do - A1]],Tabel1[[#This Row],[Do - A2]],Tabel1[[#This Row],[Do - A3]],Tabel1[[#This Row],[Do - A4]]),"")</f>
        <v>2.3333333333333335</v>
      </c>
      <c r="FU49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2.5481481481481492</v>
      </c>
      <c r="FV496" s="31" t="s">
        <v>2413</v>
      </c>
      <c r="FW496" t="b">
        <v>1</v>
      </c>
    </row>
    <row r="497" spans="1:179" x14ac:dyDescent="0.3">
      <c r="A497" s="13">
        <v>45767.279340277797</v>
      </c>
      <c r="B497" t="b">
        <v>0</v>
      </c>
      <c r="C497" t="s">
        <v>2414</v>
      </c>
      <c r="D497" t="s">
        <v>2415</v>
      </c>
      <c r="E497" t="s">
        <v>2416</v>
      </c>
      <c r="F497" s="14" t="s">
        <v>184</v>
      </c>
      <c r="G497" t="s">
        <v>2417</v>
      </c>
      <c r="H497" t="s">
        <v>222</v>
      </c>
      <c r="I497" t="s">
        <v>385</v>
      </c>
      <c r="J497" t="s">
        <v>261</v>
      </c>
      <c r="K497" t="s">
        <v>201</v>
      </c>
      <c r="L497" t="s">
        <v>218</v>
      </c>
      <c r="M497" t="s">
        <v>233</v>
      </c>
      <c r="N497" t="s">
        <v>199</v>
      </c>
      <c r="O497" t="s">
        <v>256</v>
      </c>
      <c r="P497" t="s">
        <v>201</v>
      </c>
      <c r="Q497" t="s">
        <v>255</v>
      </c>
      <c r="R497" t="s">
        <v>187</v>
      </c>
      <c r="S497" t="s">
        <v>203</v>
      </c>
      <c r="T497" t="s">
        <v>236</v>
      </c>
      <c r="U497" t="s">
        <v>205</v>
      </c>
      <c r="V497" t="s">
        <v>224</v>
      </c>
      <c r="W497" t="s">
        <v>306</v>
      </c>
      <c r="X497" t="s">
        <v>207</v>
      </c>
      <c r="Y497">
        <v>3</v>
      </c>
      <c r="Z497">
        <v>2</v>
      </c>
      <c r="AA497">
        <v>5</v>
      </c>
      <c r="AB497">
        <f>IFERROR(AVERAGE(Tabel1[[#This Row],[Up - R1a]:[Up - R1c]]),"")</f>
        <v>3.3333333333333335</v>
      </c>
      <c r="AC497">
        <v>5</v>
      </c>
      <c r="AD497">
        <v>4</v>
      </c>
      <c r="AE497">
        <v>5</v>
      </c>
      <c r="AF497">
        <v>4</v>
      </c>
      <c r="AG497">
        <f>IFERROR(AVERAGE(Tabel1[[#This Row],[Up - R1]:[Up - R5]]),"")</f>
        <v>4.2666666666666675</v>
      </c>
      <c r="AH497">
        <v>5</v>
      </c>
      <c r="AI497">
        <v>5</v>
      </c>
      <c r="AJ497">
        <v>5</v>
      </c>
      <c r="AK497">
        <f>IFERROR(AVERAGE(Tabel1[[#This Row],[Up - C1a]:[Up - C1c]]),"")</f>
        <v>5</v>
      </c>
      <c r="AL497">
        <v>2</v>
      </c>
      <c r="AM497">
        <v>4</v>
      </c>
      <c r="AN497">
        <v>1</v>
      </c>
      <c r="AO497">
        <f>IFERROR(AVERAGE(Tabel1[[#This Row],[Up - C1]:[Up - C4]]),"")</f>
        <v>3</v>
      </c>
      <c r="AP497">
        <v>5</v>
      </c>
      <c r="AQ497">
        <f>IFERROR(AVERAGE(Tabel1[[#This Row],[Up - F1a]:[Up - F1a]]),"")</f>
        <v>5</v>
      </c>
      <c r="AR497">
        <v>4</v>
      </c>
      <c r="AS497">
        <v>4</v>
      </c>
      <c r="AT497">
        <f>IFERROR(AVERAGE(Tabel1[[#This Row],[Up - F2a]:[Up - F2b]]),"")</f>
        <v>4</v>
      </c>
      <c r="AU497">
        <v>4</v>
      </c>
      <c r="AV497">
        <v>4</v>
      </c>
      <c r="AW497">
        <f>IFERROR(AVERAGE(Tabel1[[#This Row],[Up - F3a]:[Up - F3b]]),"")</f>
        <v>4</v>
      </c>
      <c r="AX497">
        <v>2</v>
      </c>
      <c r="AY497">
        <f>IFERROR(AVERAGE(Tabel1[[#This Row],[Up - F1]],Tabel1[[#This Row],[Up - F2]],Tabel1[[#This Row],[Up - F3]],Tabel1[[#This Row],[Up - F4]]),"")</f>
        <v>3.75</v>
      </c>
      <c r="AZ497">
        <v>1</v>
      </c>
      <c r="BA497">
        <v>3</v>
      </c>
      <c r="BB497">
        <f>IFERROR(AVERAGE(Tabel1[[#This Row],[Up - V1a]:[Up - V1b]]),"")</f>
        <v>2</v>
      </c>
      <c r="BC497">
        <v>5</v>
      </c>
      <c r="BD497">
        <v>1</v>
      </c>
      <c r="BE497">
        <v>4</v>
      </c>
      <c r="BF497">
        <f>IFERROR(AVERAGE(Tabel1[[#This Row],[Up - V2a]:[Up - V2c]]),"")</f>
        <v>3.3333333333333335</v>
      </c>
      <c r="BG497">
        <v>3</v>
      </c>
      <c r="BH497">
        <v>1</v>
      </c>
      <c r="BI497">
        <f>IFERROR(AVERAGE(Tabel1[[#This Row],[Up - V3a]:[Up - V3b]]),"")</f>
        <v>2</v>
      </c>
      <c r="BJ497">
        <v>1</v>
      </c>
      <c r="BK497">
        <f>IFERROR(AVERAGE(Tabel1[[#This Row],[Up - V1]],Tabel1[[#This Row],[Up - V2]],Tabel1[[#This Row],[Up - V3]],Tabel1[[#This Row],[Up - V4]]),"")</f>
        <v>2.0833333333333335</v>
      </c>
      <c r="BL497">
        <v>5</v>
      </c>
      <c r="BM497">
        <v>5</v>
      </c>
      <c r="BN497">
        <v>5</v>
      </c>
      <c r="BO497">
        <v>5</v>
      </c>
      <c r="BP497">
        <f>IFERROR(AVERAGE(Tabel1[[#This Row],[Up - A1a]:[Up - A1d]]),"")</f>
        <v>5</v>
      </c>
      <c r="BQ497">
        <v>5</v>
      </c>
      <c r="BR497">
        <v>4</v>
      </c>
      <c r="BS497">
        <f>IFERROR(AVERAGE(Tabel1[[#This Row],[Up - A2a]:[Up - A2b]]),"")</f>
        <v>4.5</v>
      </c>
      <c r="BT497">
        <v>5</v>
      </c>
      <c r="BU497">
        <f>IFERROR(AVERAGE(Tabel1[[#This Row],[Up - A3a]:[Up - A3a]]),"")</f>
        <v>5</v>
      </c>
      <c r="BV497">
        <v>4</v>
      </c>
      <c r="BW497">
        <f>IFERROR(AVERAGE(Tabel1[[#This Row],[Up - A1]],Tabel1[[#This Row],[Up - A2]],Tabel1[[#This Row],[Up - A3]]),"")</f>
        <v>4.833333333333333</v>
      </c>
      <c r="BX497">
        <v>3</v>
      </c>
      <c r="BY497">
        <v>1</v>
      </c>
      <c r="BZ497">
        <f>IFERROR(AVERAGE(Tabel1[[#This Row],[In - R1a]:[In - R1b]]),"")</f>
        <v>2</v>
      </c>
      <c r="CA497">
        <v>5</v>
      </c>
      <c r="CB497">
        <v>3</v>
      </c>
      <c r="CC497">
        <v>5</v>
      </c>
      <c r="CD497">
        <v>4</v>
      </c>
      <c r="CE497">
        <f>IFERROR(AVERAGE(Tabel1[[#This Row],[In - R1]:[In - R5]]),"")</f>
        <v>3.8</v>
      </c>
      <c r="CF497">
        <v>4</v>
      </c>
      <c r="CG497">
        <v>5</v>
      </c>
      <c r="CH497">
        <v>5</v>
      </c>
      <c r="CI497">
        <f>IFERROR(AVERAGE(Tabel1[[#This Row],[In - C1a]:[In - C1c]]),"")</f>
        <v>4.666666666666667</v>
      </c>
      <c r="CJ497">
        <v>5</v>
      </c>
      <c r="CK497">
        <v>5</v>
      </c>
      <c r="CL497">
        <v>5</v>
      </c>
      <c r="CM497">
        <f>IFERROR(AVERAGE(Tabel1[[#This Row],[In - C1]:[In - C4]]),"")</f>
        <v>4.916666666666667</v>
      </c>
      <c r="CN497">
        <v>2</v>
      </c>
      <c r="CO497">
        <v>5</v>
      </c>
      <c r="CP497">
        <v>3</v>
      </c>
      <c r="CQ497">
        <f>IFERROR(AVERAGE(Tabel1[[#This Row],[In - F1a]:[In - F1c]]),"")</f>
        <v>3.3333333333333335</v>
      </c>
      <c r="CR497">
        <v>5</v>
      </c>
      <c r="CS497">
        <v>5</v>
      </c>
      <c r="CT497">
        <f>IFERROR(AVERAGE(Tabel1[[#This Row],[In - F2a]:[In - F2b]]),"")</f>
        <v>5</v>
      </c>
      <c r="CU497">
        <v>3</v>
      </c>
      <c r="CV497">
        <f>IFERROR(AVERAGE(Tabel1[[#This Row],[In - F3a]:[In - F3a]]),"")</f>
        <v>3</v>
      </c>
      <c r="CW497">
        <v>4</v>
      </c>
      <c r="CX497">
        <f>IFERROR(AVERAGE(Tabel1[[#This Row],[In - F1]],Tabel1[[#This Row],[In - F2]],Tabel1[[#This Row],[In - F3]],Tabel1[[#This Row],[In - F4]]),"")</f>
        <v>3.8333333333333335</v>
      </c>
      <c r="CY497">
        <v>4</v>
      </c>
      <c r="CZ497">
        <v>5</v>
      </c>
      <c r="DA497">
        <v>3</v>
      </c>
      <c r="DB497">
        <f>IFERROR(AVERAGE(Tabel1[[#This Row],[In - V1a]:[In - V1c]]),"")</f>
        <v>4</v>
      </c>
      <c r="DC497">
        <v>3</v>
      </c>
      <c r="DD497">
        <v>3</v>
      </c>
      <c r="DE497">
        <v>5</v>
      </c>
      <c r="DF497">
        <f>IFERROR(AVERAGE(Tabel1[[#This Row],[In - V2a]:[In - V2c]]),"")</f>
        <v>3.6666666666666665</v>
      </c>
      <c r="DG497">
        <v>2</v>
      </c>
      <c r="DH497">
        <v>1</v>
      </c>
      <c r="DI497">
        <f>IFERROR(AVERAGE(Tabel1[[#This Row],[In - V3a]:[In - V3b]]),"")</f>
        <v>1.5</v>
      </c>
      <c r="DJ497">
        <v>1</v>
      </c>
      <c r="DK497">
        <f>IFERROR(AVERAGE(Tabel1[[#This Row],[In - V1]],Tabel1[[#This Row],[In - V2]],Tabel1[[#This Row],[In - V3]],Tabel1[[#This Row],[In - V4]]),"")</f>
        <v>2.5416666666666665</v>
      </c>
      <c r="DL497">
        <v>5</v>
      </c>
      <c r="DM497">
        <v>5</v>
      </c>
      <c r="DN497">
        <f>IFERROR(AVERAGE(Tabel1[[#This Row],[In - A1a]:[In - A1b]]),"")</f>
        <v>5</v>
      </c>
      <c r="DO497">
        <v>5</v>
      </c>
      <c r="DP497">
        <v>4</v>
      </c>
      <c r="DQ497">
        <f>IFERROR(AVERAGE(Tabel1[[#This Row],[In - A2a]:[In - A2b]]),"")</f>
        <v>4.5</v>
      </c>
      <c r="DR497">
        <v>5</v>
      </c>
      <c r="DS497">
        <v>5</v>
      </c>
      <c r="DT497">
        <f>IFERROR(AVERAGE(Tabel1[[#This Row],[In - A3a]:[In - A3a]]),"")</f>
        <v>5</v>
      </c>
      <c r="DU497">
        <v>5</v>
      </c>
      <c r="DV497">
        <f>IFERROR(AVERAGE(Tabel1[[#This Row],[In - A1]],Tabel1[[#This Row],[In - A2]],Tabel1[[#This Row],[In - A3]],Tabel1[[#This Row],[In - A4]]),"")</f>
        <v>4.875</v>
      </c>
      <c r="DW497">
        <v>1</v>
      </c>
      <c r="DX497">
        <v>1</v>
      </c>
      <c r="DY497">
        <v>2</v>
      </c>
      <c r="DZ497">
        <f>IFERROR(AVERAGE(Tabel1[[#This Row],[Do - R1a]:[Do - R1c]]),"")</f>
        <v>1.3333333333333333</v>
      </c>
      <c r="EA497" t="s">
        <v>189</v>
      </c>
      <c r="EB497">
        <v>4</v>
      </c>
      <c r="EC497">
        <v>5</v>
      </c>
      <c r="ED497">
        <v>5</v>
      </c>
      <c r="EE497">
        <f>IFERROR(AVERAGE(Tabel1[[#This Row],[Do - R1]:[Do - R5]]),"")</f>
        <v>3.833333333333333</v>
      </c>
      <c r="EF497">
        <v>5</v>
      </c>
      <c r="EG497">
        <v>5</v>
      </c>
      <c r="EH497">
        <v>5</v>
      </c>
      <c r="EI497">
        <f>IFERROR(AVERAGE(Tabel1[[#This Row],[Do - C1a]:[Do - C1c]]),"")</f>
        <v>5</v>
      </c>
      <c r="EJ497">
        <v>5</v>
      </c>
      <c r="EK497">
        <v>5</v>
      </c>
      <c r="EL497">
        <v>1</v>
      </c>
      <c r="EM497">
        <f>IFERROR(AVERAGE(Tabel1[[#This Row],[Do - C1]:[Do - C4]]),"")</f>
        <v>4</v>
      </c>
      <c r="EN497">
        <v>3</v>
      </c>
      <c r="EO497">
        <v>4</v>
      </c>
      <c r="EP497">
        <v>5</v>
      </c>
      <c r="EQ497">
        <f>IFERROR(AVERAGE(Tabel1[[#This Row],[Do - F1a]:[Do - F1c]]),"")</f>
        <v>4</v>
      </c>
      <c r="ER497">
        <v>2</v>
      </c>
      <c r="ES497">
        <f>IFERROR(AVERAGE(Tabel1[[#This Row],[Do - F2a]:[Do - F2a]]),"")</f>
        <v>2</v>
      </c>
      <c r="ET497">
        <v>4</v>
      </c>
      <c r="EU497">
        <v>3</v>
      </c>
      <c r="EV497">
        <f>IFERROR(AVERAGE(Tabel1[[#This Row],[Do - F3a]:[Do - F3b]]),"")</f>
        <v>3.5</v>
      </c>
      <c r="EW497">
        <v>3</v>
      </c>
      <c r="EX497">
        <f>IFERROR(AVERAGE(Tabel1[[#This Row],[Do - F1]],Tabel1[[#This Row],[Do - F2]],Tabel1[[#This Row],[Do - F3]],Tabel1[[#This Row],[Do - F4]]),"")</f>
        <v>3.125</v>
      </c>
      <c r="EY497">
        <v>4</v>
      </c>
      <c r="EZ497">
        <v>4</v>
      </c>
      <c r="FA497">
        <v>5</v>
      </c>
      <c r="FB497">
        <f>IFERROR(AVERAGE(Tabel1[[#This Row],[Do - V1a]:[Do - V1c]]),"")</f>
        <v>4.333333333333333</v>
      </c>
      <c r="FC497">
        <v>5</v>
      </c>
      <c r="FD497">
        <v>1</v>
      </c>
      <c r="FE497">
        <f>IFERROR(AVERAGE(Tabel1[[#This Row],[Do - V2a]:[Do - V2b]]),"")</f>
        <v>3</v>
      </c>
      <c r="FF497">
        <v>2</v>
      </c>
      <c r="FG497">
        <f>IFERROR(AVERAGE(Tabel1[[#This Row],[Do - V3a]:[Do - V3a]]),"")</f>
        <v>2</v>
      </c>
      <c r="FH497">
        <v>1</v>
      </c>
      <c r="FI497">
        <f>IFERROR(AVERAGE(Tabel1[[#This Row],[Do - V1]],Tabel1[[#This Row],[Do - V2]],Tabel1[[#This Row],[Do - V3]],Tabel1[[#This Row],[Do - V4]]),"")</f>
        <v>2.583333333333333</v>
      </c>
      <c r="FJ497">
        <v>5</v>
      </c>
      <c r="FK497">
        <v>5</v>
      </c>
      <c r="FL497">
        <v>4</v>
      </c>
      <c r="FM497">
        <f>IFERROR(AVERAGE(Tabel1[[#This Row],[Do - A1a]:[Do - A1c]]),"")</f>
        <v>4.666666666666667</v>
      </c>
      <c r="FN497">
        <v>3</v>
      </c>
      <c r="FO497">
        <v>4</v>
      </c>
      <c r="FP497">
        <f>IFERROR(AVERAGE(Tabel1[[#This Row],[Do - A2a]:[Do - A2b]]),"")</f>
        <v>3.5</v>
      </c>
      <c r="FQ497">
        <v>5</v>
      </c>
      <c r="FR497">
        <f>IFERROR(AVERAGE(Tabel1[[#This Row],[Do - A3a]:[Do - A3a]]),"")</f>
        <v>5</v>
      </c>
      <c r="FS497">
        <v>5</v>
      </c>
      <c r="FT497">
        <f>IFERROR(AVERAGE(Tabel1[[#This Row],[Do - A1]],Tabel1[[#This Row],[Do - A2]],Tabel1[[#This Row],[Do - A3]],Tabel1[[#This Row],[Do - A4]]),"")</f>
        <v>4.541666666666667</v>
      </c>
      <c r="FU49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3.7322222222222221</v>
      </c>
      <c r="FV497" s="31" t="s">
        <v>2418</v>
      </c>
      <c r="FW497" t="b">
        <v>1</v>
      </c>
    </row>
    <row r="498" spans="1:179" x14ac:dyDescent="0.3">
      <c r="A498" s="13">
        <v>45768.483437499999</v>
      </c>
      <c r="B498" t="b">
        <v>0</v>
      </c>
      <c r="C498" t="s">
        <v>2419</v>
      </c>
      <c r="D498" t="s">
        <v>2420</v>
      </c>
      <c r="E498" t="s">
        <v>777</v>
      </c>
      <c r="F498" s="14" t="s">
        <v>184</v>
      </c>
      <c r="G498" t="s">
        <v>2421</v>
      </c>
      <c r="H498" t="s">
        <v>194</v>
      </c>
      <c r="I498" t="s">
        <v>385</v>
      </c>
      <c r="J498" t="s">
        <v>186</v>
      </c>
      <c r="K498" t="s">
        <v>187</v>
      </c>
      <c r="L498" t="s">
        <v>218</v>
      </c>
      <c r="M498" t="s">
        <v>198</v>
      </c>
      <c r="N498" t="s">
        <v>199</v>
      </c>
      <c r="O498" t="s">
        <v>256</v>
      </c>
      <c r="P498" t="s">
        <v>255</v>
      </c>
      <c r="Q498" t="s">
        <v>235</v>
      </c>
      <c r="R498" t="s">
        <v>187</v>
      </c>
      <c r="S498" t="s">
        <v>201</v>
      </c>
      <c r="T498" t="s">
        <v>380</v>
      </c>
      <c r="U498" t="s">
        <v>237</v>
      </c>
      <c r="V498" t="s">
        <v>610</v>
      </c>
      <c r="W498" t="s">
        <v>207</v>
      </c>
      <c r="X498" t="s">
        <v>306</v>
      </c>
      <c r="Y498">
        <v>2</v>
      </c>
      <c r="Z498">
        <v>2</v>
      </c>
      <c r="AA498">
        <v>2</v>
      </c>
      <c r="AB498">
        <f>IFERROR(AVERAGE(Tabel1[[#This Row],[Up - R1a]:[Up - R1c]]),"")</f>
        <v>2</v>
      </c>
      <c r="AC498">
        <v>2</v>
      </c>
      <c r="AD498">
        <v>4</v>
      </c>
      <c r="AE498">
        <v>2</v>
      </c>
      <c r="AF498">
        <v>2</v>
      </c>
      <c r="AG498">
        <f>IFERROR(AVERAGE(Tabel1[[#This Row],[Up - R1]:[Up - R5]]),"")</f>
        <v>2.4</v>
      </c>
      <c r="AH498">
        <v>4</v>
      </c>
      <c r="AI498">
        <v>4</v>
      </c>
      <c r="AJ498">
        <v>3</v>
      </c>
      <c r="AK498">
        <f>IFERROR(AVERAGE(Tabel1[[#This Row],[Up - C1a]:[Up - C1c]]),"")</f>
        <v>3.6666666666666665</v>
      </c>
      <c r="AL498">
        <v>4</v>
      </c>
      <c r="AM498">
        <v>4</v>
      </c>
      <c r="AN498">
        <v>3</v>
      </c>
      <c r="AO498">
        <f>IFERROR(AVERAGE(Tabel1[[#This Row],[Up - C1]:[Up - C4]]),"")</f>
        <v>3.6666666666666665</v>
      </c>
      <c r="AP498">
        <v>2</v>
      </c>
      <c r="AQ498">
        <f>IFERROR(AVERAGE(Tabel1[[#This Row],[Up - F1a]:[Up - F1a]]),"")</f>
        <v>2</v>
      </c>
      <c r="AR498">
        <v>2</v>
      </c>
      <c r="AS498">
        <v>4</v>
      </c>
      <c r="AT498">
        <f>IFERROR(AVERAGE(Tabel1[[#This Row],[Up - F2a]:[Up - F2b]]),"")</f>
        <v>3</v>
      </c>
      <c r="AU498">
        <v>3</v>
      </c>
      <c r="AV498">
        <v>5</v>
      </c>
      <c r="AW498">
        <f>IFERROR(AVERAGE(Tabel1[[#This Row],[Up - F3a]:[Up - F3b]]),"")</f>
        <v>4</v>
      </c>
      <c r="AX498">
        <v>3</v>
      </c>
      <c r="AY498">
        <f>IFERROR(AVERAGE(Tabel1[[#This Row],[Up - F1]],Tabel1[[#This Row],[Up - F2]],Tabel1[[#This Row],[Up - F3]],Tabel1[[#This Row],[Up - F4]]),"")</f>
        <v>3</v>
      </c>
      <c r="AZ498">
        <v>4</v>
      </c>
      <c r="BA498">
        <v>3</v>
      </c>
      <c r="BB498">
        <f>IFERROR(AVERAGE(Tabel1[[#This Row],[Up - V1a]:[Up - V1b]]),"")</f>
        <v>3.5</v>
      </c>
      <c r="BC498">
        <v>4</v>
      </c>
      <c r="BD498">
        <v>4</v>
      </c>
      <c r="BE498">
        <v>4</v>
      </c>
      <c r="BF498">
        <f>IFERROR(AVERAGE(Tabel1[[#This Row],[Up - V2a]:[Up - V2c]]),"")</f>
        <v>4</v>
      </c>
      <c r="BG498">
        <v>4</v>
      </c>
      <c r="BH498">
        <v>3</v>
      </c>
      <c r="BI498">
        <f>IFERROR(AVERAGE(Tabel1[[#This Row],[Up - V3a]:[Up - V3b]]),"")</f>
        <v>3.5</v>
      </c>
      <c r="BJ498">
        <v>4</v>
      </c>
      <c r="BK498">
        <f>IFERROR(AVERAGE(Tabel1[[#This Row],[Up - V1]],Tabel1[[#This Row],[Up - V2]],Tabel1[[#This Row],[Up - V3]],Tabel1[[#This Row],[Up - V4]]),"")</f>
        <v>3.75</v>
      </c>
      <c r="BL498">
        <v>3</v>
      </c>
      <c r="BM498">
        <v>5</v>
      </c>
      <c r="BN498">
        <v>4</v>
      </c>
      <c r="BO498">
        <v>4</v>
      </c>
      <c r="BP498">
        <f>IFERROR(AVERAGE(Tabel1[[#This Row],[Up - A1a]:[Up - A1d]]),"")</f>
        <v>4</v>
      </c>
      <c r="BQ498">
        <v>3</v>
      </c>
      <c r="BR498">
        <v>3</v>
      </c>
      <c r="BS498">
        <f>IFERROR(AVERAGE(Tabel1[[#This Row],[Up - A2a]:[Up - A2b]]),"")</f>
        <v>3</v>
      </c>
      <c r="BT498">
        <v>4</v>
      </c>
      <c r="BU498">
        <f>IFERROR(AVERAGE(Tabel1[[#This Row],[Up - A3a]:[Up - A3a]]),"")</f>
        <v>4</v>
      </c>
      <c r="BV498">
        <v>3</v>
      </c>
      <c r="BW498">
        <f>IFERROR(AVERAGE(Tabel1[[#This Row],[Up - A1]],Tabel1[[#This Row],[Up - A2]],Tabel1[[#This Row],[Up - A3]]),"")</f>
        <v>3.6666666666666665</v>
      </c>
      <c r="BX498">
        <v>5</v>
      </c>
      <c r="BY498">
        <v>5</v>
      </c>
      <c r="BZ498">
        <f>IFERROR(AVERAGE(Tabel1[[#This Row],[In - R1a]:[In - R1b]]),"")</f>
        <v>5</v>
      </c>
      <c r="CA498">
        <v>5</v>
      </c>
      <c r="CB498">
        <v>5</v>
      </c>
      <c r="CC498">
        <v>3</v>
      </c>
      <c r="CD498">
        <v>5</v>
      </c>
      <c r="CE498">
        <f>IFERROR(AVERAGE(Tabel1[[#This Row],[In - R1]:[In - R5]]),"")</f>
        <v>4.5999999999999996</v>
      </c>
      <c r="CF498">
        <v>5</v>
      </c>
      <c r="CG498">
        <v>5</v>
      </c>
      <c r="CH498">
        <v>5</v>
      </c>
      <c r="CI498">
        <f>IFERROR(AVERAGE(Tabel1[[#This Row],[In - C1a]:[In - C1c]]),"")</f>
        <v>5</v>
      </c>
      <c r="CJ498">
        <v>4</v>
      </c>
      <c r="CK498">
        <v>4</v>
      </c>
      <c r="CL498">
        <v>5</v>
      </c>
      <c r="CM498">
        <f>IFERROR(AVERAGE(Tabel1[[#This Row],[In - C1]:[In - C4]]),"")</f>
        <v>4.5</v>
      </c>
      <c r="CN498">
        <v>5</v>
      </c>
      <c r="CO498">
        <v>4</v>
      </c>
      <c r="CP498">
        <v>5</v>
      </c>
      <c r="CQ498">
        <f>IFERROR(AVERAGE(Tabel1[[#This Row],[In - F1a]:[In - F1c]]),"")</f>
        <v>4.666666666666667</v>
      </c>
      <c r="CR498">
        <v>5</v>
      </c>
      <c r="CS498">
        <v>4</v>
      </c>
      <c r="CT498">
        <f>IFERROR(AVERAGE(Tabel1[[#This Row],[In - F2a]:[In - F2b]]),"")</f>
        <v>4.5</v>
      </c>
      <c r="CU498">
        <v>4</v>
      </c>
      <c r="CV498">
        <f>IFERROR(AVERAGE(Tabel1[[#This Row],[In - F3a]:[In - F3a]]),"")</f>
        <v>4</v>
      </c>
      <c r="CW498">
        <v>4</v>
      </c>
      <c r="CX498">
        <f>IFERROR(AVERAGE(Tabel1[[#This Row],[In - F1]],Tabel1[[#This Row],[In - F2]],Tabel1[[#This Row],[In - F3]],Tabel1[[#This Row],[In - F4]]),"")</f>
        <v>4.291666666666667</v>
      </c>
      <c r="CY498">
        <v>5</v>
      </c>
      <c r="CZ498">
        <v>5</v>
      </c>
      <c r="DA498">
        <v>4</v>
      </c>
      <c r="DB498">
        <f>IFERROR(AVERAGE(Tabel1[[#This Row],[In - V1a]:[In - V1c]]),"")</f>
        <v>4.666666666666667</v>
      </c>
      <c r="DC498">
        <v>5</v>
      </c>
      <c r="DD498">
        <v>5</v>
      </c>
      <c r="DE498">
        <v>5</v>
      </c>
      <c r="DF498">
        <f>IFERROR(AVERAGE(Tabel1[[#This Row],[In - V2a]:[In - V2c]]),"")</f>
        <v>5</v>
      </c>
      <c r="DG498">
        <v>3</v>
      </c>
      <c r="DH498">
        <v>5</v>
      </c>
      <c r="DI498">
        <f>IFERROR(AVERAGE(Tabel1[[#This Row],[In - V3a]:[In - V3b]]),"")</f>
        <v>4</v>
      </c>
      <c r="DJ498">
        <v>5</v>
      </c>
      <c r="DK498">
        <f>IFERROR(AVERAGE(Tabel1[[#This Row],[In - V1]],Tabel1[[#This Row],[In - V2]],Tabel1[[#This Row],[In - V3]],Tabel1[[#This Row],[In - V4]]),"")</f>
        <v>4.666666666666667</v>
      </c>
      <c r="DL498">
        <v>5</v>
      </c>
      <c r="DM498">
        <v>5</v>
      </c>
      <c r="DN498">
        <f>IFERROR(AVERAGE(Tabel1[[#This Row],[In - A1a]:[In - A1b]]),"")</f>
        <v>5</v>
      </c>
      <c r="DO498">
        <v>5</v>
      </c>
      <c r="DP498">
        <v>5</v>
      </c>
      <c r="DQ498">
        <f>IFERROR(AVERAGE(Tabel1[[#This Row],[In - A2a]:[In - A2b]]),"")</f>
        <v>5</v>
      </c>
      <c r="DR498">
        <v>5</v>
      </c>
      <c r="DS498">
        <v>5</v>
      </c>
      <c r="DT498">
        <f>IFERROR(AVERAGE(Tabel1[[#This Row],[In - A3a]:[In - A3a]]),"")</f>
        <v>5</v>
      </c>
      <c r="DU498">
        <v>4</v>
      </c>
      <c r="DV498">
        <f>IFERROR(AVERAGE(Tabel1[[#This Row],[In - A1]],Tabel1[[#This Row],[In - A2]],Tabel1[[#This Row],[In - A3]],Tabel1[[#This Row],[In - A4]]),"")</f>
        <v>4.75</v>
      </c>
      <c r="DW498">
        <v>3</v>
      </c>
      <c r="DX498">
        <v>3</v>
      </c>
      <c r="DY498">
        <v>2</v>
      </c>
      <c r="DZ498">
        <f>IFERROR(AVERAGE(Tabel1[[#This Row],[Do - R1a]:[Do - R1c]]),"")</f>
        <v>2.6666666666666665</v>
      </c>
      <c r="EA498">
        <v>3</v>
      </c>
      <c r="EB498">
        <v>3</v>
      </c>
      <c r="EC498">
        <v>3</v>
      </c>
      <c r="ED498">
        <v>3</v>
      </c>
      <c r="EE498">
        <f>IFERROR(AVERAGE(Tabel1[[#This Row],[Do - R1]:[Do - R5]]),"")</f>
        <v>2.9333333333333331</v>
      </c>
      <c r="EF498">
        <v>5</v>
      </c>
      <c r="EG498">
        <v>4</v>
      </c>
      <c r="EH498">
        <v>4</v>
      </c>
      <c r="EI498">
        <f>IFERROR(AVERAGE(Tabel1[[#This Row],[Do - C1a]:[Do - C1c]]),"")</f>
        <v>4.333333333333333</v>
      </c>
      <c r="EJ498">
        <v>4</v>
      </c>
      <c r="EK498">
        <v>3</v>
      </c>
      <c r="EL498">
        <v>3</v>
      </c>
      <c r="EM498">
        <f>IFERROR(AVERAGE(Tabel1[[#This Row],[Do - C1]:[Do - C4]]),"")</f>
        <v>3.583333333333333</v>
      </c>
      <c r="EN498">
        <v>4</v>
      </c>
      <c r="EO498">
        <v>4</v>
      </c>
      <c r="EP498">
        <v>5</v>
      </c>
      <c r="EQ498">
        <f>IFERROR(AVERAGE(Tabel1[[#This Row],[Do - F1a]:[Do - F1c]]),"")</f>
        <v>4.333333333333333</v>
      </c>
      <c r="ER498">
        <v>4</v>
      </c>
      <c r="ES498">
        <f>IFERROR(AVERAGE(Tabel1[[#This Row],[Do - F2a]:[Do - F2a]]),"")</f>
        <v>4</v>
      </c>
      <c r="ET498">
        <v>4</v>
      </c>
      <c r="EU498">
        <v>5</v>
      </c>
      <c r="EV498">
        <f>IFERROR(AVERAGE(Tabel1[[#This Row],[Do - F3a]:[Do - F3b]]),"")</f>
        <v>4.5</v>
      </c>
      <c r="EW498">
        <v>5</v>
      </c>
      <c r="EX498">
        <f>IFERROR(AVERAGE(Tabel1[[#This Row],[Do - F1]],Tabel1[[#This Row],[Do - F2]],Tabel1[[#This Row],[Do - F3]],Tabel1[[#This Row],[Do - F4]]),"")</f>
        <v>4.458333333333333</v>
      </c>
      <c r="EY498">
        <v>4</v>
      </c>
      <c r="EZ498">
        <v>4</v>
      </c>
      <c r="FA498">
        <v>5</v>
      </c>
      <c r="FB498">
        <f>IFERROR(AVERAGE(Tabel1[[#This Row],[Do - V1a]:[Do - V1c]]),"")</f>
        <v>4.333333333333333</v>
      </c>
      <c r="FC498">
        <v>4</v>
      </c>
      <c r="FD498">
        <v>5</v>
      </c>
      <c r="FE498">
        <f>IFERROR(AVERAGE(Tabel1[[#This Row],[Do - V2a]:[Do - V2b]]),"")</f>
        <v>4.5</v>
      </c>
      <c r="FF498">
        <v>5</v>
      </c>
      <c r="FG498">
        <f>IFERROR(AVERAGE(Tabel1[[#This Row],[Do - V3a]:[Do - V3a]]),"")</f>
        <v>5</v>
      </c>
      <c r="FH498">
        <v>5</v>
      </c>
      <c r="FI498">
        <f>IFERROR(AVERAGE(Tabel1[[#This Row],[Do - V1]],Tabel1[[#This Row],[Do - V2]],Tabel1[[#This Row],[Do - V3]],Tabel1[[#This Row],[Do - V4]]),"")</f>
        <v>4.708333333333333</v>
      </c>
      <c r="FJ498">
        <v>5</v>
      </c>
      <c r="FK498">
        <v>5</v>
      </c>
      <c r="FL498">
        <v>5</v>
      </c>
      <c r="FM498">
        <f>IFERROR(AVERAGE(Tabel1[[#This Row],[Do - A1a]:[Do - A1c]]),"")</f>
        <v>5</v>
      </c>
      <c r="FN498">
        <v>5</v>
      </c>
      <c r="FO498">
        <v>5</v>
      </c>
      <c r="FP498">
        <f>IFERROR(AVERAGE(Tabel1[[#This Row],[Do - A2a]:[Do - A2b]]),"")</f>
        <v>5</v>
      </c>
      <c r="FQ498">
        <v>5</v>
      </c>
      <c r="FR498">
        <f>IFERROR(AVERAGE(Tabel1[[#This Row],[Do - A3a]:[Do - A3a]]),"")</f>
        <v>5</v>
      </c>
      <c r="FS498">
        <v>4</v>
      </c>
      <c r="FT498">
        <f>IFERROR(AVERAGE(Tabel1[[#This Row],[Do - A1]],Tabel1[[#This Row],[Do - A2]],Tabel1[[#This Row],[Do - A3]],Tabel1[[#This Row],[Do - A4]]),"")</f>
        <v>4.75</v>
      </c>
      <c r="FU49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3.9816666666666674</v>
      </c>
      <c r="FV498" s="31" t="s">
        <v>2422</v>
      </c>
      <c r="FW498" t="b">
        <v>1</v>
      </c>
    </row>
    <row r="499" spans="1:179" x14ac:dyDescent="0.3">
      <c r="A499" s="13">
        <v>45769.124675925901</v>
      </c>
      <c r="B499" t="b">
        <v>0</v>
      </c>
      <c r="C499" t="s">
        <v>2423</v>
      </c>
      <c r="D499" t="s">
        <v>1235</v>
      </c>
      <c r="E499" t="s">
        <v>2424</v>
      </c>
      <c r="F499" s="14" t="s">
        <v>184</v>
      </c>
      <c r="G499" t="s">
        <v>2425</v>
      </c>
      <c r="H499" t="s">
        <v>222</v>
      </c>
      <c r="I499" t="s">
        <v>195</v>
      </c>
      <c r="J499" t="s">
        <v>347</v>
      </c>
      <c r="K499" t="s">
        <v>203</v>
      </c>
      <c r="L499" t="s">
        <v>197</v>
      </c>
      <c r="M499" t="s">
        <v>198</v>
      </c>
      <c r="N499" t="s">
        <v>199</v>
      </c>
      <c r="O499" t="s">
        <v>200</v>
      </c>
      <c r="P499" t="s">
        <v>304</v>
      </c>
      <c r="Q499" t="s">
        <v>201</v>
      </c>
      <c r="R499" t="s">
        <v>201</v>
      </c>
      <c r="S499" t="s">
        <v>304</v>
      </c>
      <c r="T499" t="s">
        <v>236</v>
      </c>
      <c r="U499" t="s">
        <v>285</v>
      </c>
      <c r="V499" t="s">
        <v>359</v>
      </c>
      <c r="W499" t="s">
        <v>207</v>
      </c>
      <c r="X499" t="s">
        <v>207</v>
      </c>
      <c r="Y499">
        <v>4</v>
      </c>
      <c r="Z499">
        <v>3</v>
      </c>
      <c r="AA499">
        <v>3</v>
      </c>
      <c r="AB499">
        <f>IFERROR(AVERAGE(Tabel1[[#This Row],[Up - R1a]:[Up - R1c]]),"")</f>
        <v>3.3333333333333335</v>
      </c>
      <c r="AC499">
        <v>2</v>
      </c>
      <c r="AD499">
        <v>2</v>
      </c>
      <c r="AE499">
        <v>3</v>
      </c>
      <c r="AF499">
        <v>3</v>
      </c>
      <c r="AG499">
        <f>IFERROR(AVERAGE(Tabel1[[#This Row],[Up - R1]:[Up - R5]]),"")</f>
        <v>2.666666666666667</v>
      </c>
      <c r="AH499">
        <v>4</v>
      </c>
      <c r="AI499">
        <v>3</v>
      </c>
      <c r="AJ499">
        <v>3</v>
      </c>
      <c r="AK499">
        <f>IFERROR(AVERAGE(Tabel1[[#This Row],[Up - C1a]:[Up - C1c]]),"")</f>
        <v>3.3333333333333335</v>
      </c>
      <c r="AL499">
        <v>3</v>
      </c>
      <c r="AM499">
        <v>2</v>
      </c>
      <c r="AN499">
        <v>2</v>
      </c>
      <c r="AO499">
        <f>IFERROR(AVERAGE(Tabel1[[#This Row],[Up - C1]:[Up - C4]]),"")</f>
        <v>2.5833333333333335</v>
      </c>
      <c r="AP499">
        <v>1</v>
      </c>
      <c r="AQ499">
        <f>IFERROR(AVERAGE(Tabel1[[#This Row],[Up - F1a]:[Up - F1a]]),"")</f>
        <v>1</v>
      </c>
      <c r="AR499">
        <v>1</v>
      </c>
      <c r="AS499">
        <v>3</v>
      </c>
      <c r="AT499">
        <f>IFERROR(AVERAGE(Tabel1[[#This Row],[Up - F2a]:[Up - F2b]]),"")</f>
        <v>2</v>
      </c>
      <c r="AU499">
        <v>3</v>
      </c>
      <c r="AV499">
        <v>2</v>
      </c>
      <c r="AW499">
        <f>IFERROR(AVERAGE(Tabel1[[#This Row],[Up - F3a]:[Up - F3b]]),"")</f>
        <v>2.5</v>
      </c>
      <c r="AX499">
        <v>2</v>
      </c>
      <c r="AY499">
        <f>IFERROR(AVERAGE(Tabel1[[#This Row],[Up - F1]],Tabel1[[#This Row],[Up - F2]],Tabel1[[#This Row],[Up - F3]],Tabel1[[#This Row],[Up - F4]]),"")</f>
        <v>1.875</v>
      </c>
      <c r="AZ499">
        <v>2</v>
      </c>
      <c r="BA499">
        <v>3</v>
      </c>
      <c r="BB499">
        <f>IFERROR(AVERAGE(Tabel1[[#This Row],[Up - V1a]:[Up - V1b]]),"")</f>
        <v>2.5</v>
      </c>
      <c r="BC499">
        <v>5</v>
      </c>
      <c r="BD499">
        <v>4</v>
      </c>
      <c r="BE499">
        <v>3</v>
      </c>
      <c r="BF499">
        <f>IFERROR(AVERAGE(Tabel1[[#This Row],[Up - V2a]:[Up - V2c]]),"")</f>
        <v>4</v>
      </c>
      <c r="BG499">
        <v>5</v>
      </c>
      <c r="BH499">
        <v>2</v>
      </c>
      <c r="BI499">
        <f>IFERROR(AVERAGE(Tabel1[[#This Row],[Up - V3a]:[Up - V3b]]),"")</f>
        <v>3.5</v>
      </c>
      <c r="BJ499">
        <v>3</v>
      </c>
      <c r="BK499">
        <f>IFERROR(AVERAGE(Tabel1[[#This Row],[Up - V1]],Tabel1[[#This Row],[Up - V2]],Tabel1[[#This Row],[Up - V3]],Tabel1[[#This Row],[Up - V4]]),"")</f>
        <v>3.25</v>
      </c>
      <c r="BL499">
        <v>3</v>
      </c>
      <c r="BM499">
        <v>4</v>
      </c>
      <c r="BN499">
        <v>2</v>
      </c>
      <c r="BO499">
        <v>2</v>
      </c>
      <c r="BP499">
        <f>IFERROR(AVERAGE(Tabel1[[#This Row],[Up - A1a]:[Up - A1d]]),"")</f>
        <v>2.75</v>
      </c>
      <c r="BQ499">
        <v>2</v>
      </c>
      <c r="BR499">
        <v>3</v>
      </c>
      <c r="BS499">
        <f>IFERROR(AVERAGE(Tabel1[[#This Row],[Up - A2a]:[Up - A2b]]),"")</f>
        <v>2.5</v>
      </c>
      <c r="BT499">
        <v>4</v>
      </c>
      <c r="BU499">
        <f>IFERROR(AVERAGE(Tabel1[[#This Row],[Up - A3a]:[Up - A3a]]),"")</f>
        <v>4</v>
      </c>
      <c r="BV499">
        <v>3</v>
      </c>
      <c r="BW499">
        <f>IFERROR(AVERAGE(Tabel1[[#This Row],[Up - A1]],Tabel1[[#This Row],[Up - A2]],Tabel1[[#This Row],[Up - A3]]),"")</f>
        <v>3.0833333333333335</v>
      </c>
      <c r="BX499">
        <v>1</v>
      </c>
      <c r="BY499">
        <v>2</v>
      </c>
      <c r="BZ499">
        <f>IFERROR(AVERAGE(Tabel1[[#This Row],[In - R1a]:[In - R1b]]),"")</f>
        <v>1.5</v>
      </c>
      <c r="CA499">
        <v>2</v>
      </c>
      <c r="CB499">
        <v>1</v>
      </c>
      <c r="CC499">
        <v>4</v>
      </c>
      <c r="CD499">
        <v>2</v>
      </c>
      <c r="CE499">
        <f>IFERROR(AVERAGE(Tabel1[[#This Row],[In - R1]:[In - R5]]),"")</f>
        <v>2.1</v>
      </c>
      <c r="CF499">
        <v>4</v>
      </c>
      <c r="CG499">
        <v>5</v>
      </c>
      <c r="CH499">
        <v>5</v>
      </c>
      <c r="CI499">
        <f>IFERROR(AVERAGE(Tabel1[[#This Row],[In - C1a]:[In - C1c]]),"")</f>
        <v>4.666666666666667</v>
      </c>
      <c r="CJ499">
        <v>4</v>
      </c>
      <c r="CK499">
        <v>5</v>
      </c>
      <c r="CL499">
        <v>4</v>
      </c>
      <c r="CM499">
        <f>IFERROR(AVERAGE(Tabel1[[#This Row],[In - C1]:[In - C4]]),"")</f>
        <v>4.416666666666667</v>
      </c>
      <c r="CN499">
        <v>3</v>
      </c>
      <c r="CO499">
        <v>3</v>
      </c>
      <c r="CP499">
        <v>1</v>
      </c>
      <c r="CQ499">
        <f>IFERROR(AVERAGE(Tabel1[[#This Row],[In - F1a]:[In - F1c]]),"")</f>
        <v>2.3333333333333335</v>
      </c>
      <c r="CR499">
        <v>3</v>
      </c>
      <c r="CS499">
        <v>1</v>
      </c>
      <c r="CT499">
        <f>IFERROR(AVERAGE(Tabel1[[#This Row],[In - F2a]:[In - F2b]]),"")</f>
        <v>2</v>
      </c>
      <c r="CU499">
        <v>1</v>
      </c>
      <c r="CV499">
        <f>IFERROR(AVERAGE(Tabel1[[#This Row],[In - F3a]:[In - F3a]]),"")</f>
        <v>1</v>
      </c>
      <c r="CW499">
        <v>2</v>
      </c>
      <c r="CX499">
        <f>IFERROR(AVERAGE(Tabel1[[#This Row],[In - F1]],Tabel1[[#This Row],[In - F2]],Tabel1[[#This Row],[In - F3]],Tabel1[[#This Row],[In - F4]]),"")</f>
        <v>1.8333333333333335</v>
      </c>
      <c r="CY499">
        <v>5</v>
      </c>
      <c r="CZ499">
        <v>5</v>
      </c>
      <c r="DA499">
        <v>4</v>
      </c>
      <c r="DB499">
        <f>IFERROR(AVERAGE(Tabel1[[#This Row],[In - V1a]:[In - V1c]]),"")</f>
        <v>4.666666666666667</v>
      </c>
      <c r="DC499">
        <v>5</v>
      </c>
      <c r="DD499">
        <v>5</v>
      </c>
      <c r="DE499">
        <v>3</v>
      </c>
      <c r="DF499">
        <f>IFERROR(AVERAGE(Tabel1[[#This Row],[In - V2a]:[In - V2c]]),"")</f>
        <v>4.333333333333333</v>
      </c>
      <c r="DG499">
        <v>5</v>
      </c>
      <c r="DH499">
        <v>4</v>
      </c>
      <c r="DI499">
        <f>IFERROR(AVERAGE(Tabel1[[#This Row],[In - V3a]:[In - V3b]]),"")</f>
        <v>4.5</v>
      </c>
      <c r="DJ499">
        <v>5</v>
      </c>
      <c r="DK499">
        <f>IFERROR(AVERAGE(Tabel1[[#This Row],[In - V1]],Tabel1[[#This Row],[In - V2]],Tabel1[[#This Row],[In - V3]],Tabel1[[#This Row],[In - V4]]),"")</f>
        <v>4.625</v>
      </c>
      <c r="DL499">
        <v>4</v>
      </c>
      <c r="DM499">
        <v>4</v>
      </c>
      <c r="DN499">
        <f>IFERROR(AVERAGE(Tabel1[[#This Row],[In - A1a]:[In - A1b]]),"")</f>
        <v>4</v>
      </c>
      <c r="DO499">
        <v>4</v>
      </c>
      <c r="DP499">
        <v>4</v>
      </c>
      <c r="DQ499">
        <f>IFERROR(AVERAGE(Tabel1[[#This Row],[In - A2a]:[In - A2b]]),"")</f>
        <v>4</v>
      </c>
      <c r="DR499">
        <v>5</v>
      </c>
      <c r="DS499">
        <v>4</v>
      </c>
      <c r="DT499">
        <f>IFERROR(AVERAGE(Tabel1[[#This Row],[In - A3a]:[In - A3a]]),"")</f>
        <v>5</v>
      </c>
      <c r="DU499">
        <v>2</v>
      </c>
      <c r="DV499">
        <f>IFERROR(AVERAGE(Tabel1[[#This Row],[In - A1]],Tabel1[[#This Row],[In - A2]],Tabel1[[#This Row],[In - A3]],Tabel1[[#This Row],[In - A4]]),"")</f>
        <v>3.75</v>
      </c>
      <c r="DW499">
        <v>1</v>
      </c>
      <c r="DX499">
        <v>5</v>
      </c>
      <c r="DY499">
        <v>1</v>
      </c>
      <c r="DZ499">
        <f>IFERROR(AVERAGE(Tabel1[[#This Row],[Do - R1a]:[Do - R1c]]),"")</f>
        <v>2.3333333333333335</v>
      </c>
      <c r="EA499">
        <v>1</v>
      </c>
      <c r="EB499">
        <v>2</v>
      </c>
      <c r="EC499">
        <v>1</v>
      </c>
      <c r="ED499">
        <v>1</v>
      </c>
      <c r="EE499">
        <f>IFERROR(AVERAGE(Tabel1[[#This Row],[Do - R1]:[Do - R5]]),"")</f>
        <v>1.4666666666666668</v>
      </c>
      <c r="EF499">
        <v>4</v>
      </c>
      <c r="EG499">
        <v>4</v>
      </c>
      <c r="EH499">
        <v>4</v>
      </c>
      <c r="EI499">
        <f>IFERROR(AVERAGE(Tabel1[[#This Row],[Do - C1a]:[Do - C1c]]),"")</f>
        <v>4</v>
      </c>
      <c r="EJ499">
        <v>5</v>
      </c>
      <c r="EK499">
        <v>5</v>
      </c>
      <c r="EL499">
        <v>2</v>
      </c>
      <c r="EM499">
        <f>IFERROR(AVERAGE(Tabel1[[#This Row],[Do - C1]:[Do - C4]]),"")</f>
        <v>4</v>
      </c>
      <c r="EN499">
        <v>1</v>
      </c>
      <c r="EO499">
        <v>2</v>
      </c>
      <c r="EP499">
        <v>2</v>
      </c>
      <c r="EQ499">
        <f>IFERROR(AVERAGE(Tabel1[[#This Row],[Do - F1a]:[Do - F1c]]),"")</f>
        <v>1.6666666666666667</v>
      </c>
      <c r="ER499">
        <v>2</v>
      </c>
      <c r="ES499">
        <f>IFERROR(AVERAGE(Tabel1[[#This Row],[Do - F2a]:[Do - F2a]]),"")</f>
        <v>2</v>
      </c>
      <c r="ET499">
        <v>3</v>
      </c>
      <c r="EU499">
        <v>2</v>
      </c>
      <c r="EV499">
        <f>IFERROR(AVERAGE(Tabel1[[#This Row],[Do - F3a]:[Do - F3b]]),"")</f>
        <v>2.5</v>
      </c>
      <c r="EW499">
        <v>2</v>
      </c>
      <c r="EX499">
        <f>IFERROR(AVERAGE(Tabel1[[#This Row],[Do - F1]],Tabel1[[#This Row],[Do - F2]],Tabel1[[#This Row],[Do - F3]],Tabel1[[#This Row],[Do - F4]]),"")</f>
        <v>2.041666666666667</v>
      </c>
      <c r="EY499">
        <v>3</v>
      </c>
      <c r="EZ499">
        <v>3</v>
      </c>
      <c r="FA499">
        <v>4</v>
      </c>
      <c r="FB499">
        <f>IFERROR(AVERAGE(Tabel1[[#This Row],[Do - V1a]:[Do - V1c]]),"")</f>
        <v>3.3333333333333335</v>
      </c>
      <c r="FC499">
        <v>5</v>
      </c>
      <c r="FD499">
        <v>3</v>
      </c>
      <c r="FE499">
        <f>IFERROR(AVERAGE(Tabel1[[#This Row],[Do - V2a]:[Do - V2b]]),"")</f>
        <v>4</v>
      </c>
      <c r="FF499">
        <v>2</v>
      </c>
      <c r="FG499">
        <f>IFERROR(AVERAGE(Tabel1[[#This Row],[Do - V3a]:[Do - V3a]]),"")</f>
        <v>2</v>
      </c>
      <c r="FH499">
        <v>3</v>
      </c>
      <c r="FI499">
        <f>IFERROR(AVERAGE(Tabel1[[#This Row],[Do - V1]],Tabel1[[#This Row],[Do - V2]],Tabel1[[#This Row],[Do - V3]],Tabel1[[#This Row],[Do - V4]]),"")</f>
        <v>3.0833333333333335</v>
      </c>
      <c r="FJ499">
        <v>2</v>
      </c>
      <c r="FK499">
        <v>2</v>
      </c>
      <c r="FL499">
        <v>4</v>
      </c>
      <c r="FM499">
        <f>IFERROR(AVERAGE(Tabel1[[#This Row],[Do - A1a]:[Do - A1c]]),"")</f>
        <v>2.6666666666666665</v>
      </c>
      <c r="FN499">
        <v>2</v>
      </c>
      <c r="FO499">
        <v>3</v>
      </c>
      <c r="FP499">
        <f>IFERROR(AVERAGE(Tabel1[[#This Row],[Do - A2a]:[Do - A2b]]),"")</f>
        <v>2.5</v>
      </c>
      <c r="FQ499">
        <v>2</v>
      </c>
      <c r="FR499">
        <f>IFERROR(AVERAGE(Tabel1[[#This Row],[Do - A3a]:[Do - A3a]]),"")</f>
        <v>2</v>
      </c>
      <c r="FS499">
        <v>2</v>
      </c>
      <c r="FT499">
        <f>IFERROR(AVERAGE(Tabel1[[#This Row],[Do - A1]],Tabel1[[#This Row],[Do - A2]],Tabel1[[#This Row],[Do - A3]],Tabel1[[#This Row],[Do - A4]]),"")</f>
        <v>2.2916666666666665</v>
      </c>
      <c r="FU49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2.8711111111111109</v>
      </c>
      <c r="FV499" s="31" t="s">
        <v>2426</v>
      </c>
      <c r="FW499" t="b">
        <v>1</v>
      </c>
    </row>
    <row r="500" spans="1:179" x14ac:dyDescent="0.3">
      <c r="A500" s="13">
        <v>45769.3194097222</v>
      </c>
      <c r="B500" t="b">
        <v>0</v>
      </c>
      <c r="C500" t="s">
        <v>2427</v>
      </c>
      <c r="D500" t="s">
        <v>2428</v>
      </c>
      <c r="E500" s="29" t="s">
        <v>2411</v>
      </c>
      <c r="F500" s="14" t="s">
        <v>184</v>
      </c>
      <c r="G500" t="s">
        <v>2429</v>
      </c>
      <c r="H500" t="s">
        <v>222</v>
      </c>
      <c r="I500" t="s">
        <v>572</v>
      </c>
      <c r="J500" t="s">
        <v>573</v>
      </c>
      <c r="K500" t="s">
        <v>304</v>
      </c>
      <c r="L500" t="s">
        <v>385</v>
      </c>
      <c r="M500" t="s">
        <v>198</v>
      </c>
      <c r="N500" t="s">
        <v>199</v>
      </c>
      <c r="P500" t="s">
        <v>255</v>
      </c>
      <c r="Q500" t="s">
        <v>255</v>
      </c>
      <c r="R500" t="s">
        <v>235</v>
      </c>
      <c r="S500" t="s">
        <v>304</v>
      </c>
      <c r="U500" t="s">
        <v>285</v>
      </c>
      <c r="V500" t="s">
        <v>224</v>
      </c>
      <c r="W500" t="s">
        <v>305</v>
      </c>
      <c r="X500" t="s">
        <v>305</v>
      </c>
      <c r="Y500">
        <v>5</v>
      </c>
      <c r="Z500">
        <v>3</v>
      </c>
      <c r="AA500" t="s">
        <v>189</v>
      </c>
      <c r="AB500">
        <f>IFERROR(AVERAGE(Tabel1[[#This Row],[Up - R1a]:[Up - R1c]]),"")</f>
        <v>4</v>
      </c>
      <c r="AC500">
        <v>3</v>
      </c>
      <c r="AD500">
        <v>1</v>
      </c>
      <c r="AE500" t="s">
        <v>189</v>
      </c>
      <c r="AF500" t="s">
        <v>189</v>
      </c>
      <c r="AG500">
        <f>IFERROR(AVERAGE(Tabel1[[#This Row],[Up - R1]:[Up - R5]]),"")</f>
        <v>2.6666666666666665</v>
      </c>
      <c r="AH500">
        <v>5</v>
      </c>
      <c r="AI500">
        <v>5</v>
      </c>
      <c r="AJ500">
        <v>3</v>
      </c>
      <c r="AK500">
        <f>IFERROR(AVERAGE(Tabel1[[#This Row],[Up - C1a]:[Up - C1c]]),"")</f>
        <v>4.333333333333333</v>
      </c>
      <c r="AL500" t="s">
        <v>189</v>
      </c>
      <c r="AM500" t="s">
        <v>189</v>
      </c>
      <c r="AN500" t="s">
        <v>189</v>
      </c>
      <c r="AO500">
        <f>IFERROR(AVERAGE(Tabel1[[#This Row],[Up - C1]:[Up - C4]]),"")</f>
        <v>4.333333333333333</v>
      </c>
      <c r="AP500" t="s">
        <v>189</v>
      </c>
      <c r="AQ500" t="str">
        <f>IFERROR(AVERAGE(Tabel1[[#This Row],[Up - F1a]:[Up - F1a]]),"")</f>
        <v/>
      </c>
      <c r="AR500" t="s">
        <v>189</v>
      </c>
      <c r="AS500" t="s">
        <v>189</v>
      </c>
      <c r="AT500" t="str">
        <f>IFERROR(AVERAGE(Tabel1[[#This Row],[Up - F2a]:[Up - F2b]]),"")</f>
        <v/>
      </c>
      <c r="AU500">
        <v>3</v>
      </c>
      <c r="AV500">
        <v>3</v>
      </c>
      <c r="AW500">
        <f>IFERROR(AVERAGE(Tabel1[[#This Row],[Up - F3a]:[Up - F3b]]),"")</f>
        <v>3</v>
      </c>
      <c r="AX500" t="s">
        <v>189</v>
      </c>
      <c r="AY500">
        <f>IFERROR(AVERAGE(Tabel1[[#This Row],[Up - F1]],Tabel1[[#This Row],[Up - F2]],Tabel1[[#This Row],[Up - F3]],Tabel1[[#This Row],[Up - F4]]),"")</f>
        <v>3</v>
      </c>
      <c r="AZ500" t="s">
        <v>189</v>
      </c>
      <c r="BA500">
        <v>2</v>
      </c>
      <c r="BB500">
        <f>IFERROR(AVERAGE(Tabel1[[#This Row],[Up - V1a]:[Up - V1b]]),"")</f>
        <v>2</v>
      </c>
      <c r="BC500">
        <v>5</v>
      </c>
      <c r="BD500">
        <v>5</v>
      </c>
      <c r="BE500">
        <v>4</v>
      </c>
      <c r="BF500">
        <f>IFERROR(AVERAGE(Tabel1[[#This Row],[Up - V2a]:[Up - V2c]]),"")</f>
        <v>4.666666666666667</v>
      </c>
      <c r="BG500" t="s">
        <v>189</v>
      </c>
      <c r="BH500" t="s">
        <v>189</v>
      </c>
      <c r="BI500" t="str">
        <f>IFERROR(AVERAGE(Tabel1[[#This Row],[Up - V3a]:[Up - V3b]]),"")</f>
        <v/>
      </c>
      <c r="BJ500" t="s">
        <v>189</v>
      </c>
      <c r="BK500">
        <f>IFERROR(AVERAGE(Tabel1[[#This Row],[Up - V1]],Tabel1[[#This Row],[Up - V2]],Tabel1[[#This Row],[Up - V3]],Tabel1[[#This Row],[Up - V4]]),"")</f>
        <v>3.3333333333333335</v>
      </c>
      <c r="BL500">
        <v>3</v>
      </c>
      <c r="BM500">
        <v>3</v>
      </c>
      <c r="BN500">
        <v>3</v>
      </c>
      <c r="BO500">
        <v>3</v>
      </c>
      <c r="BP500">
        <f>IFERROR(AVERAGE(Tabel1[[#This Row],[Up - A1a]:[Up - A1d]]),"")</f>
        <v>3</v>
      </c>
      <c r="BQ500">
        <v>3</v>
      </c>
      <c r="BR500" t="s">
        <v>189</v>
      </c>
      <c r="BS500">
        <f>IFERROR(AVERAGE(Tabel1[[#This Row],[Up - A2a]:[Up - A2b]]),"")</f>
        <v>3</v>
      </c>
      <c r="BT500">
        <v>3</v>
      </c>
      <c r="BU500">
        <f>IFERROR(AVERAGE(Tabel1[[#This Row],[Up - A3a]:[Up - A3a]]),"")</f>
        <v>3</v>
      </c>
      <c r="BV500">
        <v>3</v>
      </c>
      <c r="BW500">
        <f>IFERROR(AVERAGE(Tabel1[[#This Row],[Up - A1]],Tabel1[[#This Row],[Up - A2]],Tabel1[[#This Row],[Up - A3]]),"")</f>
        <v>3</v>
      </c>
      <c r="BX500">
        <v>2</v>
      </c>
      <c r="BY500">
        <v>2</v>
      </c>
      <c r="BZ500">
        <f>IFERROR(AVERAGE(Tabel1[[#This Row],[In - R1a]:[In - R1b]]),"")</f>
        <v>2</v>
      </c>
      <c r="CA500">
        <v>3</v>
      </c>
      <c r="CB500">
        <v>4</v>
      </c>
      <c r="CC500" t="s">
        <v>189</v>
      </c>
      <c r="CD500">
        <v>3</v>
      </c>
      <c r="CE500">
        <f>IFERROR(AVERAGE(Tabel1[[#This Row],[In - R1]:[In - R5]]),"")</f>
        <v>3</v>
      </c>
      <c r="CF500">
        <v>3</v>
      </c>
      <c r="CG500">
        <v>2</v>
      </c>
      <c r="CH500">
        <v>5</v>
      </c>
      <c r="CI500">
        <f>IFERROR(AVERAGE(Tabel1[[#This Row],[In - C1a]:[In - C1c]]),"")</f>
        <v>3.3333333333333335</v>
      </c>
      <c r="CJ500">
        <v>5</v>
      </c>
      <c r="CK500">
        <v>3</v>
      </c>
      <c r="CL500">
        <v>5</v>
      </c>
      <c r="CM500">
        <f>IFERROR(AVERAGE(Tabel1[[#This Row],[In - C1]:[In - C4]]),"")</f>
        <v>4.0833333333333339</v>
      </c>
      <c r="CN500">
        <v>4</v>
      </c>
      <c r="CO500">
        <v>3</v>
      </c>
      <c r="CP500">
        <v>3</v>
      </c>
      <c r="CQ500">
        <f>IFERROR(AVERAGE(Tabel1[[#This Row],[In - F1a]:[In - F1c]]),"")</f>
        <v>3.3333333333333335</v>
      </c>
      <c r="CR500">
        <v>3</v>
      </c>
      <c r="CS500" t="s">
        <v>189</v>
      </c>
      <c r="CT500">
        <f>IFERROR(AVERAGE(Tabel1[[#This Row],[In - F2a]:[In - F2b]]),"")</f>
        <v>3</v>
      </c>
      <c r="CU500">
        <v>3</v>
      </c>
      <c r="CV500">
        <f>IFERROR(AVERAGE(Tabel1[[#This Row],[In - F3a]:[In - F3a]]),"")</f>
        <v>3</v>
      </c>
      <c r="CW500" t="s">
        <v>189</v>
      </c>
      <c r="CX500">
        <f>IFERROR(AVERAGE(Tabel1[[#This Row],[In - F1]],Tabel1[[#This Row],[In - F2]],Tabel1[[#This Row],[In - F3]],Tabel1[[#This Row],[In - F4]]),"")</f>
        <v>3.1111111111111112</v>
      </c>
      <c r="CY500">
        <v>3</v>
      </c>
      <c r="CZ500" t="s">
        <v>189</v>
      </c>
      <c r="DA500" t="s">
        <v>189</v>
      </c>
      <c r="DB500">
        <f>IFERROR(AVERAGE(Tabel1[[#This Row],[In - V1a]:[In - V1c]]),"")</f>
        <v>3</v>
      </c>
      <c r="DC500" t="s">
        <v>189</v>
      </c>
      <c r="DD500">
        <v>4</v>
      </c>
      <c r="DE500">
        <v>1</v>
      </c>
      <c r="DF500">
        <f>IFERROR(AVERAGE(Tabel1[[#This Row],[In - V2a]:[In - V2c]]),"")</f>
        <v>2.5</v>
      </c>
      <c r="DG500">
        <v>2</v>
      </c>
      <c r="DH500">
        <v>2</v>
      </c>
      <c r="DI500">
        <f>IFERROR(AVERAGE(Tabel1[[#This Row],[In - V3a]:[In - V3b]]),"")</f>
        <v>2</v>
      </c>
      <c r="DJ500" t="s">
        <v>189</v>
      </c>
      <c r="DK500">
        <f>IFERROR(AVERAGE(Tabel1[[#This Row],[In - V1]],Tabel1[[#This Row],[In - V2]],Tabel1[[#This Row],[In - V3]],Tabel1[[#This Row],[In - V4]]),"")</f>
        <v>2.5</v>
      </c>
      <c r="DL500">
        <v>3</v>
      </c>
      <c r="DM500">
        <v>3</v>
      </c>
      <c r="DN500">
        <f>IFERROR(AVERAGE(Tabel1[[#This Row],[In - A1a]:[In - A1b]]),"")</f>
        <v>3</v>
      </c>
      <c r="DO500" t="s">
        <v>189</v>
      </c>
      <c r="DP500">
        <v>4</v>
      </c>
      <c r="DQ500">
        <f>IFERROR(AVERAGE(Tabel1[[#This Row],[In - A2a]:[In - A2b]]),"")</f>
        <v>4</v>
      </c>
      <c r="DR500">
        <v>3</v>
      </c>
      <c r="DS500">
        <v>3</v>
      </c>
      <c r="DT500">
        <f>IFERROR(AVERAGE(Tabel1[[#This Row],[In - A3a]:[In - A3a]]),"")</f>
        <v>3</v>
      </c>
      <c r="DU500" t="s">
        <v>189</v>
      </c>
      <c r="DV500">
        <f>IFERROR(AVERAGE(Tabel1[[#This Row],[In - A1]],Tabel1[[#This Row],[In - A2]],Tabel1[[#This Row],[In - A3]],Tabel1[[#This Row],[In - A4]]),"")</f>
        <v>3.3333333333333335</v>
      </c>
      <c r="DW500" t="s">
        <v>189</v>
      </c>
      <c r="DX500">
        <v>5</v>
      </c>
      <c r="DY500" t="s">
        <v>189</v>
      </c>
      <c r="DZ500">
        <f>IFERROR(AVERAGE(Tabel1[[#This Row],[Do - R1a]:[Do - R1c]]),"")</f>
        <v>5</v>
      </c>
      <c r="EA500" t="s">
        <v>189</v>
      </c>
      <c r="EB500">
        <v>1</v>
      </c>
      <c r="EC500" t="s">
        <v>189</v>
      </c>
      <c r="ED500">
        <v>5</v>
      </c>
      <c r="EE500">
        <f>IFERROR(AVERAGE(Tabel1[[#This Row],[Do - R1]:[Do - R5]]),"")</f>
        <v>3.6666666666666665</v>
      </c>
      <c r="EF500">
        <v>4</v>
      </c>
      <c r="EG500">
        <v>4</v>
      </c>
      <c r="EH500">
        <v>3</v>
      </c>
      <c r="EI500">
        <f>IFERROR(AVERAGE(Tabel1[[#This Row],[Do - C1a]:[Do - C1c]]),"")</f>
        <v>3.6666666666666665</v>
      </c>
      <c r="EJ500" t="s">
        <v>189</v>
      </c>
      <c r="EK500">
        <v>3</v>
      </c>
      <c r="EL500" t="s">
        <v>189</v>
      </c>
      <c r="EM500">
        <f>IFERROR(AVERAGE(Tabel1[[#This Row],[Do - C1]:[Do - C4]]),"")</f>
        <v>3.333333333333333</v>
      </c>
      <c r="EN500">
        <v>2</v>
      </c>
      <c r="EO500" t="s">
        <v>189</v>
      </c>
      <c r="EP500" t="s">
        <v>189</v>
      </c>
      <c r="EQ500">
        <f>IFERROR(AVERAGE(Tabel1[[#This Row],[Do - F1a]:[Do - F1c]]),"")</f>
        <v>2</v>
      </c>
      <c r="ER500" t="s">
        <v>189</v>
      </c>
      <c r="ES500" t="str">
        <f>IFERROR(AVERAGE(Tabel1[[#This Row],[Do - F2a]:[Do - F2a]]),"")</f>
        <v/>
      </c>
      <c r="ET500" t="s">
        <v>189</v>
      </c>
      <c r="EU500" t="s">
        <v>189</v>
      </c>
      <c r="EV500" t="str">
        <f>IFERROR(AVERAGE(Tabel1[[#This Row],[Do - F3a]:[Do - F3b]]),"")</f>
        <v/>
      </c>
      <c r="EW500" t="s">
        <v>189</v>
      </c>
      <c r="EX500">
        <f>IFERROR(AVERAGE(Tabel1[[#This Row],[Do - F1]],Tabel1[[#This Row],[Do - F2]],Tabel1[[#This Row],[Do - F3]],Tabel1[[#This Row],[Do - F4]]),"")</f>
        <v>2</v>
      </c>
      <c r="EY500">
        <v>3</v>
      </c>
      <c r="EZ500" t="s">
        <v>189</v>
      </c>
      <c r="FA500" t="s">
        <v>189</v>
      </c>
      <c r="FB500">
        <f>IFERROR(AVERAGE(Tabel1[[#This Row],[Do - V1a]:[Do - V1c]]),"")</f>
        <v>3</v>
      </c>
      <c r="FC500">
        <v>5</v>
      </c>
      <c r="FD500" t="s">
        <v>189</v>
      </c>
      <c r="FE500">
        <f>IFERROR(AVERAGE(Tabel1[[#This Row],[Do - V2a]:[Do - V2b]]),"")</f>
        <v>5</v>
      </c>
      <c r="FF500" t="s">
        <v>189</v>
      </c>
      <c r="FG500" t="str">
        <f>IFERROR(AVERAGE(Tabel1[[#This Row],[Do - V3a]:[Do - V3a]]),"")</f>
        <v/>
      </c>
      <c r="FH500" t="s">
        <v>189</v>
      </c>
      <c r="FI500">
        <f>IFERROR(AVERAGE(Tabel1[[#This Row],[Do - V1]],Tabel1[[#This Row],[Do - V2]],Tabel1[[#This Row],[Do - V3]],Tabel1[[#This Row],[Do - V4]]),"")</f>
        <v>4</v>
      </c>
      <c r="FJ500">
        <v>3</v>
      </c>
      <c r="FK500" t="s">
        <v>189</v>
      </c>
      <c r="FL500">
        <v>3</v>
      </c>
      <c r="FM500">
        <f>IFERROR(AVERAGE(Tabel1[[#This Row],[Do - A1a]:[Do - A1c]]),"")</f>
        <v>3</v>
      </c>
      <c r="FN500">
        <v>4</v>
      </c>
      <c r="FO500" t="s">
        <v>189</v>
      </c>
      <c r="FP500">
        <f>IFERROR(AVERAGE(Tabel1[[#This Row],[Do - A2a]:[Do - A2b]]),"")</f>
        <v>4</v>
      </c>
      <c r="FQ500" t="s">
        <v>189</v>
      </c>
      <c r="FR500" t="str">
        <f>IFERROR(AVERAGE(Tabel1[[#This Row],[Do - A3a]:[Do - A3a]]),"")</f>
        <v/>
      </c>
      <c r="FS500" t="s">
        <v>189</v>
      </c>
      <c r="FT500">
        <f>IFERROR(AVERAGE(Tabel1[[#This Row],[Do - A1]],Tabel1[[#This Row],[Do - A2]],Tabel1[[#This Row],[Do - A3]],Tabel1[[#This Row],[Do - A4]]),"")</f>
        <v>3.5</v>
      </c>
      <c r="FU50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3.2574074074074075</v>
      </c>
      <c r="FV500" s="31" t="s">
        <v>2430</v>
      </c>
      <c r="FW500" t="b">
        <v>1</v>
      </c>
    </row>
    <row r="501" spans="1:179" x14ac:dyDescent="0.3">
      <c r="A501" s="13">
        <v>45769.548715277801</v>
      </c>
      <c r="B501" t="b">
        <v>0</v>
      </c>
      <c r="C501" t="s">
        <v>2431</v>
      </c>
      <c r="D501" t="s">
        <v>2432</v>
      </c>
      <c r="E501" t="s">
        <v>2433</v>
      </c>
      <c r="F501" s="14" t="s">
        <v>184</v>
      </c>
      <c r="G501" t="s">
        <v>2434</v>
      </c>
      <c r="H501" t="s">
        <v>194</v>
      </c>
      <c r="I501" t="s">
        <v>322</v>
      </c>
      <c r="J501" t="s">
        <v>888</v>
      </c>
      <c r="K501" t="s">
        <v>304</v>
      </c>
      <c r="L501" t="s">
        <v>218</v>
      </c>
      <c r="M501" t="s">
        <v>188</v>
      </c>
      <c r="N501" t="s">
        <v>199</v>
      </c>
      <c r="O501" t="s">
        <v>256</v>
      </c>
      <c r="P501" t="s">
        <v>304</v>
      </c>
      <c r="Q501" t="s">
        <v>255</v>
      </c>
      <c r="R501" t="s">
        <v>202</v>
      </c>
      <c r="S501" t="s">
        <v>255</v>
      </c>
      <c r="T501" t="s">
        <v>380</v>
      </c>
      <c r="U501" t="s">
        <v>285</v>
      </c>
      <c r="V501" t="s">
        <v>224</v>
      </c>
      <c r="W501" t="s">
        <v>305</v>
      </c>
      <c r="X501" t="s">
        <v>306</v>
      </c>
      <c r="Y501">
        <v>3</v>
      </c>
      <c r="Z501">
        <v>2</v>
      </c>
      <c r="AA501" t="s">
        <v>189</v>
      </c>
      <c r="AB501">
        <f>IFERROR(AVERAGE(Tabel1[[#This Row],[Up - R1a]:[Up - R1c]]),"")</f>
        <v>2.5</v>
      </c>
      <c r="AC501">
        <v>3</v>
      </c>
      <c r="AD501">
        <v>4</v>
      </c>
      <c r="AE501">
        <v>3</v>
      </c>
      <c r="AF501">
        <v>5</v>
      </c>
      <c r="AG501">
        <f>IFERROR(AVERAGE(Tabel1[[#This Row],[Up - R1]:[Up - R5]]),"")</f>
        <v>3.5</v>
      </c>
      <c r="AH501">
        <v>1</v>
      </c>
      <c r="AI501" t="s">
        <v>189</v>
      </c>
      <c r="AJ501">
        <v>3</v>
      </c>
      <c r="AK501">
        <f>IFERROR(AVERAGE(Tabel1[[#This Row],[Up - C1a]:[Up - C1c]]),"")</f>
        <v>2</v>
      </c>
      <c r="AL501">
        <v>2</v>
      </c>
      <c r="AM501">
        <v>2</v>
      </c>
      <c r="AN501">
        <v>2</v>
      </c>
      <c r="AO501">
        <f>IFERROR(AVERAGE(Tabel1[[#This Row],[Up - C1]:[Up - C4]]),"")</f>
        <v>2</v>
      </c>
      <c r="AP501">
        <v>4</v>
      </c>
      <c r="AQ501">
        <f>IFERROR(AVERAGE(Tabel1[[#This Row],[Up - F1a]:[Up - F1a]]),"")</f>
        <v>4</v>
      </c>
      <c r="AR501">
        <v>4</v>
      </c>
      <c r="AS501">
        <v>3</v>
      </c>
      <c r="AT501">
        <f>IFERROR(AVERAGE(Tabel1[[#This Row],[Up - F2a]:[Up - F2b]]),"")</f>
        <v>3.5</v>
      </c>
      <c r="AU501">
        <v>4</v>
      </c>
      <c r="AV501">
        <v>2</v>
      </c>
      <c r="AW501">
        <f>IFERROR(AVERAGE(Tabel1[[#This Row],[Up - F3a]:[Up - F3b]]),"")</f>
        <v>3</v>
      </c>
      <c r="AX501" t="s">
        <v>189</v>
      </c>
      <c r="AY501">
        <f>IFERROR(AVERAGE(Tabel1[[#This Row],[Up - F1]],Tabel1[[#This Row],[Up - F2]],Tabel1[[#This Row],[Up - F3]],Tabel1[[#This Row],[Up - F4]]),"")</f>
        <v>3.5</v>
      </c>
      <c r="AZ501">
        <v>2</v>
      </c>
      <c r="BA501">
        <v>3</v>
      </c>
      <c r="BB501">
        <f>IFERROR(AVERAGE(Tabel1[[#This Row],[Up - V1a]:[Up - V1b]]),"")</f>
        <v>2.5</v>
      </c>
      <c r="BC501">
        <v>4</v>
      </c>
      <c r="BD501">
        <v>4</v>
      </c>
      <c r="BE501">
        <v>3</v>
      </c>
      <c r="BF501">
        <f>IFERROR(AVERAGE(Tabel1[[#This Row],[Up - V2a]:[Up - V2c]]),"")</f>
        <v>3.6666666666666665</v>
      </c>
      <c r="BG501">
        <v>2</v>
      </c>
      <c r="BH501" t="s">
        <v>189</v>
      </c>
      <c r="BI501">
        <f>IFERROR(AVERAGE(Tabel1[[#This Row],[Up - V3a]:[Up - V3b]]),"")</f>
        <v>2</v>
      </c>
      <c r="BJ501">
        <v>3</v>
      </c>
      <c r="BK501">
        <f>IFERROR(AVERAGE(Tabel1[[#This Row],[Up - V1]],Tabel1[[#This Row],[Up - V2]],Tabel1[[#This Row],[Up - V3]],Tabel1[[#This Row],[Up - V4]]),"")</f>
        <v>2.7916666666666665</v>
      </c>
      <c r="BL501">
        <v>4</v>
      </c>
      <c r="BM501">
        <v>4</v>
      </c>
      <c r="BN501">
        <v>4</v>
      </c>
      <c r="BO501">
        <v>3</v>
      </c>
      <c r="BP501">
        <f>IFERROR(AVERAGE(Tabel1[[#This Row],[Up - A1a]:[Up - A1d]]),"")</f>
        <v>3.75</v>
      </c>
      <c r="BQ501">
        <v>4</v>
      </c>
      <c r="BR501">
        <v>3</v>
      </c>
      <c r="BS501">
        <f>IFERROR(AVERAGE(Tabel1[[#This Row],[Up - A2a]:[Up - A2b]]),"")</f>
        <v>3.5</v>
      </c>
      <c r="BT501">
        <v>3</v>
      </c>
      <c r="BU501">
        <f>IFERROR(AVERAGE(Tabel1[[#This Row],[Up - A3a]:[Up - A3a]]),"")</f>
        <v>3</v>
      </c>
      <c r="BV501">
        <v>3</v>
      </c>
      <c r="BW501">
        <f>IFERROR(AVERAGE(Tabel1[[#This Row],[Up - A1]],Tabel1[[#This Row],[Up - A2]],Tabel1[[#This Row],[Up - A3]]),"")</f>
        <v>3.4166666666666665</v>
      </c>
      <c r="BX501">
        <v>1</v>
      </c>
      <c r="BY501">
        <v>1</v>
      </c>
      <c r="BZ501">
        <f>IFERROR(AVERAGE(Tabel1[[#This Row],[In - R1a]:[In - R1b]]),"")</f>
        <v>1</v>
      </c>
      <c r="CA501">
        <v>4</v>
      </c>
      <c r="CB501">
        <v>1</v>
      </c>
      <c r="CC501">
        <v>4</v>
      </c>
      <c r="CD501">
        <v>3</v>
      </c>
      <c r="CE501">
        <f>IFERROR(AVERAGE(Tabel1[[#This Row],[In - R1]:[In - R5]]),"")</f>
        <v>2.6</v>
      </c>
      <c r="CF501">
        <v>3</v>
      </c>
      <c r="CG501">
        <v>4</v>
      </c>
      <c r="CH501">
        <v>4</v>
      </c>
      <c r="CI501">
        <f>IFERROR(AVERAGE(Tabel1[[#This Row],[In - C1a]:[In - C1c]]),"")</f>
        <v>3.6666666666666665</v>
      </c>
      <c r="CJ501">
        <v>3</v>
      </c>
      <c r="CK501">
        <v>5</v>
      </c>
      <c r="CL501">
        <v>3</v>
      </c>
      <c r="CM501">
        <f>IFERROR(AVERAGE(Tabel1[[#This Row],[In - C1]:[In - C4]]),"")</f>
        <v>3.6666666666666665</v>
      </c>
      <c r="CN501">
        <v>5</v>
      </c>
      <c r="CO501">
        <v>4</v>
      </c>
      <c r="CP501">
        <v>1</v>
      </c>
      <c r="CQ501">
        <f>IFERROR(AVERAGE(Tabel1[[#This Row],[In - F1a]:[In - F1c]]),"")</f>
        <v>3.3333333333333335</v>
      </c>
      <c r="CR501">
        <v>2</v>
      </c>
      <c r="CS501">
        <v>3</v>
      </c>
      <c r="CT501">
        <f>IFERROR(AVERAGE(Tabel1[[#This Row],[In - F2a]:[In - F2b]]),"")</f>
        <v>2.5</v>
      </c>
      <c r="CU501">
        <v>2</v>
      </c>
      <c r="CV501">
        <f>IFERROR(AVERAGE(Tabel1[[#This Row],[In - F3a]:[In - F3a]]),"")</f>
        <v>2</v>
      </c>
      <c r="CW501">
        <v>2</v>
      </c>
      <c r="CX501">
        <f>IFERROR(AVERAGE(Tabel1[[#This Row],[In - F1]],Tabel1[[#This Row],[In - F2]],Tabel1[[#This Row],[In - F3]],Tabel1[[#This Row],[In - F4]]),"")</f>
        <v>2.4583333333333335</v>
      </c>
      <c r="CY501">
        <v>4</v>
      </c>
      <c r="CZ501">
        <v>3</v>
      </c>
      <c r="DA501">
        <v>4</v>
      </c>
      <c r="DB501">
        <f>IFERROR(AVERAGE(Tabel1[[#This Row],[In - V1a]:[In - V1c]]),"")</f>
        <v>3.6666666666666665</v>
      </c>
      <c r="DC501">
        <v>4</v>
      </c>
      <c r="DD501">
        <v>4</v>
      </c>
      <c r="DE501">
        <v>4</v>
      </c>
      <c r="DF501">
        <f>IFERROR(AVERAGE(Tabel1[[#This Row],[In - V2a]:[In - V2c]]),"")</f>
        <v>4</v>
      </c>
      <c r="DG501">
        <v>4</v>
      </c>
      <c r="DH501">
        <v>3</v>
      </c>
      <c r="DI501">
        <f>IFERROR(AVERAGE(Tabel1[[#This Row],[In - V3a]:[In - V3b]]),"")</f>
        <v>3.5</v>
      </c>
      <c r="DJ501">
        <v>4</v>
      </c>
      <c r="DK501">
        <f>IFERROR(AVERAGE(Tabel1[[#This Row],[In - V1]],Tabel1[[#This Row],[In - V2]],Tabel1[[#This Row],[In - V3]],Tabel1[[#This Row],[In - V4]]),"")</f>
        <v>3.7916666666666665</v>
      </c>
      <c r="DL501">
        <v>4</v>
      </c>
      <c r="DM501">
        <v>4</v>
      </c>
      <c r="DN501">
        <f>IFERROR(AVERAGE(Tabel1[[#This Row],[In - A1a]:[In - A1b]]),"")</f>
        <v>4</v>
      </c>
      <c r="DO501">
        <v>3</v>
      </c>
      <c r="DP501">
        <v>3</v>
      </c>
      <c r="DQ501">
        <f>IFERROR(AVERAGE(Tabel1[[#This Row],[In - A2a]:[In - A2b]]),"")</f>
        <v>3</v>
      </c>
      <c r="DR501">
        <v>3</v>
      </c>
      <c r="DS501">
        <v>3</v>
      </c>
      <c r="DT501">
        <f>IFERROR(AVERAGE(Tabel1[[#This Row],[In - A3a]:[In - A3a]]),"")</f>
        <v>3</v>
      </c>
      <c r="DU501">
        <v>4</v>
      </c>
      <c r="DV501">
        <f>IFERROR(AVERAGE(Tabel1[[#This Row],[In - A1]],Tabel1[[#This Row],[In - A2]],Tabel1[[#This Row],[In - A3]],Tabel1[[#This Row],[In - A4]]),"")</f>
        <v>3.5</v>
      </c>
      <c r="DW501">
        <v>4</v>
      </c>
      <c r="DX501">
        <v>3</v>
      </c>
      <c r="DY501">
        <v>3</v>
      </c>
      <c r="DZ501">
        <f>IFERROR(AVERAGE(Tabel1[[#This Row],[Do - R1a]:[Do - R1c]]),"")</f>
        <v>3.3333333333333335</v>
      </c>
      <c r="EA501">
        <v>1</v>
      </c>
      <c r="EB501">
        <v>2</v>
      </c>
      <c r="EC501">
        <v>2</v>
      </c>
      <c r="ED501">
        <v>3</v>
      </c>
      <c r="EE501">
        <f>IFERROR(AVERAGE(Tabel1[[#This Row],[Do - R1]:[Do - R5]]),"")</f>
        <v>2.2666666666666666</v>
      </c>
      <c r="EF501">
        <v>4</v>
      </c>
      <c r="EG501" t="s">
        <v>189</v>
      </c>
      <c r="EH501">
        <v>3</v>
      </c>
      <c r="EI501">
        <f>IFERROR(AVERAGE(Tabel1[[#This Row],[Do - C1a]:[Do - C1c]]),"")</f>
        <v>3.5</v>
      </c>
      <c r="EJ501">
        <v>3</v>
      </c>
      <c r="EK501">
        <v>4</v>
      </c>
      <c r="EL501">
        <v>2</v>
      </c>
      <c r="EM501">
        <f>IFERROR(AVERAGE(Tabel1[[#This Row],[Do - C1]:[Do - C4]]),"")</f>
        <v>3.125</v>
      </c>
      <c r="EN501">
        <v>2</v>
      </c>
      <c r="EO501">
        <v>2</v>
      </c>
      <c r="EP501">
        <v>5</v>
      </c>
      <c r="EQ501">
        <f>IFERROR(AVERAGE(Tabel1[[#This Row],[Do - F1a]:[Do - F1c]]),"")</f>
        <v>3</v>
      </c>
      <c r="ER501">
        <v>5</v>
      </c>
      <c r="ES501">
        <f>IFERROR(AVERAGE(Tabel1[[#This Row],[Do - F2a]:[Do - F2a]]),"")</f>
        <v>5</v>
      </c>
      <c r="ET501">
        <v>2</v>
      </c>
      <c r="EU501">
        <v>4</v>
      </c>
      <c r="EV501">
        <f>IFERROR(AVERAGE(Tabel1[[#This Row],[Do - F3a]:[Do - F3b]]),"")</f>
        <v>3</v>
      </c>
      <c r="EW501">
        <v>3</v>
      </c>
      <c r="EX501">
        <f>IFERROR(AVERAGE(Tabel1[[#This Row],[Do - F1]],Tabel1[[#This Row],[Do - F2]],Tabel1[[#This Row],[Do - F3]],Tabel1[[#This Row],[Do - F4]]),"")</f>
        <v>3.5</v>
      </c>
      <c r="EY501">
        <v>5</v>
      </c>
      <c r="EZ501" t="s">
        <v>189</v>
      </c>
      <c r="FA501">
        <v>5</v>
      </c>
      <c r="FB501">
        <f>IFERROR(AVERAGE(Tabel1[[#This Row],[Do - V1a]:[Do - V1c]]),"")</f>
        <v>5</v>
      </c>
      <c r="FC501">
        <v>4</v>
      </c>
      <c r="FD501">
        <v>4</v>
      </c>
      <c r="FE501">
        <f>IFERROR(AVERAGE(Tabel1[[#This Row],[Do - V2a]:[Do - V2b]]),"")</f>
        <v>4</v>
      </c>
      <c r="FF501">
        <v>2</v>
      </c>
      <c r="FG501">
        <f>IFERROR(AVERAGE(Tabel1[[#This Row],[Do - V3a]:[Do - V3a]]),"")</f>
        <v>2</v>
      </c>
      <c r="FH501">
        <v>2</v>
      </c>
      <c r="FI501">
        <f>IFERROR(AVERAGE(Tabel1[[#This Row],[Do - V1]],Tabel1[[#This Row],[Do - V2]],Tabel1[[#This Row],[Do - V3]],Tabel1[[#This Row],[Do - V4]]),"")</f>
        <v>3.25</v>
      </c>
      <c r="FJ501">
        <v>4</v>
      </c>
      <c r="FK501">
        <v>4</v>
      </c>
      <c r="FL501">
        <v>5</v>
      </c>
      <c r="FM501">
        <f>IFERROR(AVERAGE(Tabel1[[#This Row],[Do - A1a]:[Do - A1c]]),"")</f>
        <v>4.333333333333333</v>
      </c>
      <c r="FN501">
        <v>3</v>
      </c>
      <c r="FO501">
        <v>3</v>
      </c>
      <c r="FP501">
        <f>IFERROR(AVERAGE(Tabel1[[#This Row],[Do - A2a]:[Do - A2b]]),"")</f>
        <v>3</v>
      </c>
      <c r="FQ501">
        <v>4</v>
      </c>
      <c r="FR501">
        <f>IFERROR(AVERAGE(Tabel1[[#This Row],[Do - A3a]:[Do - A3a]]),"")</f>
        <v>4</v>
      </c>
      <c r="FS501">
        <v>4</v>
      </c>
      <c r="FT501">
        <f>IFERROR(AVERAGE(Tabel1[[#This Row],[Do - A1]],Tabel1[[#This Row],[Do - A2]],Tabel1[[#This Row],[Do - A3]],Tabel1[[#This Row],[Do - A4]]),"")</f>
        <v>3.833333333333333</v>
      </c>
      <c r="FU50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3.1466666666666669</v>
      </c>
      <c r="FV501" s="31" t="s">
        <v>2435</v>
      </c>
      <c r="FW501" t="b">
        <v>1</v>
      </c>
    </row>
    <row r="502" spans="1:179" x14ac:dyDescent="0.3">
      <c r="A502" s="13">
        <v>45769.566898148201</v>
      </c>
      <c r="B502" t="b">
        <v>0</v>
      </c>
      <c r="C502" t="s">
        <v>2436</v>
      </c>
      <c r="D502" t="s">
        <v>2437</v>
      </c>
      <c r="E502" t="s">
        <v>192</v>
      </c>
      <c r="F502" s="14" t="s">
        <v>184</v>
      </c>
      <c r="G502" t="s">
        <v>2438</v>
      </c>
      <c r="H502" t="s">
        <v>194</v>
      </c>
      <c r="I502" t="s">
        <v>186</v>
      </c>
      <c r="J502" t="s">
        <v>186</v>
      </c>
      <c r="K502" t="s">
        <v>201</v>
      </c>
      <c r="L502" t="s">
        <v>218</v>
      </c>
      <c r="M502" t="s">
        <v>233</v>
      </c>
      <c r="N502" t="s">
        <v>199</v>
      </c>
      <c r="O502" t="s">
        <v>200</v>
      </c>
      <c r="P502" t="s">
        <v>255</v>
      </c>
      <c r="Q502" t="s">
        <v>304</v>
      </c>
      <c r="R502" t="s">
        <v>203</v>
      </c>
      <c r="S502" t="s">
        <v>203</v>
      </c>
      <c r="T502" t="s">
        <v>348</v>
      </c>
      <c r="U502" t="s">
        <v>237</v>
      </c>
      <c r="V502" t="s">
        <v>206</v>
      </c>
      <c r="W502" t="s">
        <v>207</v>
      </c>
      <c r="X502" t="s">
        <v>395</v>
      </c>
      <c r="Y502">
        <v>4</v>
      </c>
      <c r="Z502">
        <v>3</v>
      </c>
      <c r="AA502" t="s">
        <v>189</v>
      </c>
      <c r="AB502">
        <f>IFERROR(AVERAGE(Tabel1[[#This Row],[Up - R1a]:[Up - R1c]]),"")</f>
        <v>3.5</v>
      </c>
      <c r="AC502">
        <v>3</v>
      </c>
      <c r="AD502">
        <v>1</v>
      </c>
      <c r="AE502">
        <v>1</v>
      </c>
      <c r="AF502">
        <v>3</v>
      </c>
      <c r="AG502">
        <f>IFERROR(AVERAGE(Tabel1[[#This Row],[Up - R1]:[Up - R5]]),"")</f>
        <v>2.2999999999999998</v>
      </c>
      <c r="AH502">
        <v>3</v>
      </c>
      <c r="AI502">
        <v>5</v>
      </c>
      <c r="AJ502">
        <v>2</v>
      </c>
      <c r="AK502">
        <f>IFERROR(AVERAGE(Tabel1[[#This Row],[Up - C1a]:[Up - C1c]]),"")</f>
        <v>3.3333333333333335</v>
      </c>
      <c r="AL502">
        <v>3</v>
      </c>
      <c r="AM502">
        <v>4</v>
      </c>
      <c r="AN502" t="s">
        <v>189</v>
      </c>
      <c r="AO502">
        <f>IFERROR(AVERAGE(Tabel1[[#This Row],[Up - C1]:[Up - C4]]),"")</f>
        <v>3.4444444444444446</v>
      </c>
      <c r="AP502">
        <v>3</v>
      </c>
      <c r="AQ502">
        <f>IFERROR(AVERAGE(Tabel1[[#This Row],[Up - F1a]:[Up - F1a]]),"")</f>
        <v>3</v>
      </c>
      <c r="AR502" t="s">
        <v>189</v>
      </c>
      <c r="AT502" t="str">
        <f>IFERROR(AVERAGE(Tabel1[[#This Row],[Up - F2a]:[Up - F2b]]),"")</f>
        <v/>
      </c>
      <c r="AU502" t="s">
        <v>189</v>
      </c>
      <c r="AV502">
        <v>1</v>
      </c>
      <c r="AW502">
        <f>IFERROR(AVERAGE(Tabel1[[#This Row],[Up - F3a]:[Up - F3b]]),"")</f>
        <v>1</v>
      </c>
      <c r="AX502">
        <v>4</v>
      </c>
      <c r="AY502">
        <f>IFERROR(AVERAGE(Tabel1[[#This Row],[Up - F1]],Tabel1[[#This Row],[Up - F2]],Tabel1[[#This Row],[Up - F3]],Tabel1[[#This Row],[Up - F4]]),"")</f>
        <v>2.6666666666666665</v>
      </c>
      <c r="AZ502">
        <v>4</v>
      </c>
      <c r="BB502">
        <f>IFERROR(AVERAGE(Tabel1[[#This Row],[Up - V1a]:[Up - V1b]]),"")</f>
        <v>4</v>
      </c>
      <c r="BC502">
        <v>3</v>
      </c>
      <c r="BD502">
        <v>4</v>
      </c>
      <c r="BF502">
        <f>IFERROR(AVERAGE(Tabel1[[#This Row],[Up - V2a]:[Up - V2c]]),"")</f>
        <v>3.5</v>
      </c>
      <c r="BG502">
        <v>1</v>
      </c>
      <c r="BH502">
        <v>3</v>
      </c>
      <c r="BI502">
        <f>IFERROR(AVERAGE(Tabel1[[#This Row],[Up - V3a]:[Up - V3b]]),"")</f>
        <v>2</v>
      </c>
      <c r="BJ502">
        <v>1</v>
      </c>
      <c r="BK502">
        <f>IFERROR(AVERAGE(Tabel1[[#This Row],[Up - V1]],Tabel1[[#This Row],[Up - V2]],Tabel1[[#This Row],[Up - V3]],Tabel1[[#This Row],[Up - V4]]),"")</f>
        <v>2.625</v>
      </c>
      <c r="BL502">
        <v>5</v>
      </c>
      <c r="BN502">
        <v>5</v>
      </c>
      <c r="BO502" t="s">
        <v>189</v>
      </c>
      <c r="BP502">
        <f>IFERROR(AVERAGE(Tabel1[[#This Row],[Up - A1a]:[Up - A1d]]),"")</f>
        <v>5</v>
      </c>
      <c r="BQ502" t="s">
        <v>189</v>
      </c>
      <c r="BR502">
        <v>5</v>
      </c>
      <c r="BS502">
        <f>IFERROR(AVERAGE(Tabel1[[#This Row],[Up - A2a]:[Up - A2b]]),"")</f>
        <v>5</v>
      </c>
      <c r="BT502">
        <v>2</v>
      </c>
      <c r="BU502">
        <f>IFERROR(AVERAGE(Tabel1[[#This Row],[Up - A3a]:[Up - A3a]]),"")</f>
        <v>2</v>
      </c>
      <c r="BV502">
        <v>5</v>
      </c>
      <c r="BW502">
        <f>IFERROR(AVERAGE(Tabel1[[#This Row],[Up - A1]],Tabel1[[#This Row],[Up - A2]],Tabel1[[#This Row],[Up - A3]]),"")</f>
        <v>4</v>
      </c>
      <c r="BX502">
        <v>1</v>
      </c>
      <c r="BY502">
        <v>1</v>
      </c>
      <c r="BZ502">
        <f>IFERROR(AVERAGE(Tabel1[[#This Row],[In - R1a]:[In - R1b]]),"")</f>
        <v>1</v>
      </c>
      <c r="CA502">
        <v>5</v>
      </c>
      <c r="CB502">
        <v>3</v>
      </c>
      <c r="CC502">
        <v>2</v>
      </c>
      <c r="CD502">
        <v>4</v>
      </c>
      <c r="CE502">
        <f>IFERROR(AVERAGE(Tabel1[[#This Row],[In - R1]:[In - R5]]),"")</f>
        <v>3</v>
      </c>
      <c r="CF502">
        <v>2</v>
      </c>
      <c r="CG502">
        <v>1</v>
      </c>
      <c r="CH502">
        <v>1</v>
      </c>
      <c r="CI502">
        <f>IFERROR(AVERAGE(Tabel1[[#This Row],[In - C1a]:[In - C1c]]),"")</f>
        <v>1.3333333333333333</v>
      </c>
      <c r="CJ502">
        <v>4</v>
      </c>
      <c r="CK502">
        <v>4</v>
      </c>
      <c r="CL502">
        <v>4</v>
      </c>
      <c r="CM502">
        <f>IFERROR(AVERAGE(Tabel1[[#This Row],[In - C1]:[In - C4]]),"")</f>
        <v>3.333333333333333</v>
      </c>
      <c r="CN502">
        <v>4</v>
      </c>
      <c r="CO502">
        <v>4</v>
      </c>
      <c r="CP502">
        <v>3</v>
      </c>
      <c r="CQ502">
        <f>IFERROR(AVERAGE(Tabel1[[#This Row],[In - F1a]:[In - F1c]]),"")</f>
        <v>3.6666666666666665</v>
      </c>
      <c r="CR502">
        <v>1</v>
      </c>
      <c r="CS502">
        <v>4</v>
      </c>
      <c r="CT502">
        <f>IFERROR(AVERAGE(Tabel1[[#This Row],[In - F2a]:[In - F2b]]),"")</f>
        <v>2.5</v>
      </c>
      <c r="CU502">
        <v>3</v>
      </c>
      <c r="CV502">
        <f>IFERROR(AVERAGE(Tabel1[[#This Row],[In - F3a]:[In - F3a]]),"")</f>
        <v>3</v>
      </c>
      <c r="CW502">
        <v>1</v>
      </c>
      <c r="CX502">
        <f>IFERROR(AVERAGE(Tabel1[[#This Row],[In - F1]],Tabel1[[#This Row],[In - F2]],Tabel1[[#This Row],[In - F3]],Tabel1[[#This Row],[In - F4]]),"")</f>
        <v>2.5416666666666665</v>
      </c>
      <c r="CY502">
        <v>2</v>
      </c>
      <c r="CZ502">
        <v>4</v>
      </c>
      <c r="DA502">
        <v>2</v>
      </c>
      <c r="DB502">
        <f>IFERROR(AVERAGE(Tabel1[[#This Row],[In - V1a]:[In - V1c]]),"")</f>
        <v>2.6666666666666665</v>
      </c>
      <c r="DC502">
        <v>3</v>
      </c>
      <c r="DD502">
        <v>3</v>
      </c>
      <c r="DE502">
        <v>3</v>
      </c>
      <c r="DF502">
        <f>IFERROR(AVERAGE(Tabel1[[#This Row],[In - V2a]:[In - V2c]]),"")</f>
        <v>3</v>
      </c>
      <c r="DG502">
        <v>4</v>
      </c>
      <c r="DH502">
        <v>2</v>
      </c>
      <c r="DI502">
        <f>IFERROR(AVERAGE(Tabel1[[#This Row],[In - V3a]:[In - V3b]]),"")</f>
        <v>3</v>
      </c>
      <c r="DJ502">
        <v>3</v>
      </c>
      <c r="DK502">
        <f>IFERROR(AVERAGE(Tabel1[[#This Row],[In - V1]],Tabel1[[#This Row],[In - V2]],Tabel1[[#This Row],[In - V3]],Tabel1[[#This Row],[In - V4]]),"")</f>
        <v>2.9166666666666665</v>
      </c>
      <c r="DL502">
        <v>4</v>
      </c>
      <c r="DN502">
        <f>IFERROR(AVERAGE(Tabel1[[#This Row],[In - A1a]:[In - A1b]]),"")</f>
        <v>4</v>
      </c>
      <c r="DO502">
        <v>4</v>
      </c>
      <c r="DP502">
        <v>5</v>
      </c>
      <c r="DQ502">
        <f>IFERROR(AVERAGE(Tabel1[[#This Row],[In - A2a]:[In - A2b]]),"")</f>
        <v>4.5</v>
      </c>
      <c r="DR502">
        <v>3</v>
      </c>
      <c r="DS502">
        <v>1</v>
      </c>
      <c r="DT502">
        <f>IFERROR(AVERAGE(Tabel1[[#This Row],[In - A3a]:[In - A3a]]),"")</f>
        <v>3</v>
      </c>
      <c r="DU502">
        <v>3</v>
      </c>
      <c r="DV502">
        <f>IFERROR(AVERAGE(Tabel1[[#This Row],[In - A1]],Tabel1[[#This Row],[In - A2]],Tabel1[[#This Row],[In - A3]],Tabel1[[#This Row],[In - A4]]),"")</f>
        <v>3.625</v>
      </c>
      <c r="DW502">
        <v>5</v>
      </c>
      <c r="DX502">
        <v>4</v>
      </c>
      <c r="DY502">
        <v>3</v>
      </c>
      <c r="DZ502">
        <f>IFERROR(AVERAGE(Tabel1[[#This Row],[Do - R1a]:[Do - R1c]]),"")</f>
        <v>4</v>
      </c>
      <c r="EA502">
        <v>1</v>
      </c>
      <c r="EB502">
        <v>2</v>
      </c>
      <c r="EC502">
        <v>5</v>
      </c>
      <c r="ED502" t="s">
        <v>189</v>
      </c>
      <c r="EE502">
        <f>IFERROR(AVERAGE(Tabel1[[#This Row],[Do - R1]:[Do - R5]]),"")</f>
        <v>3</v>
      </c>
      <c r="EF502">
        <v>3</v>
      </c>
      <c r="EG502">
        <v>5</v>
      </c>
      <c r="EH502">
        <v>2</v>
      </c>
      <c r="EI502">
        <f>IFERROR(AVERAGE(Tabel1[[#This Row],[Do - C1a]:[Do - C1c]]),"")</f>
        <v>3.3333333333333335</v>
      </c>
      <c r="EJ502">
        <v>3</v>
      </c>
      <c r="EK502">
        <v>4</v>
      </c>
      <c r="EL502" t="s">
        <v>189</v>
      </c>
      <c r="EM502">
        <f>IFERROR(AVERAGE(Tabel1[[#This Row],[Do - C1]:[Do - C4]]),"")</f>
        <v>3.4444444444444446</v>
      </c>
      <c r="EN502">
        <v>3</v>
      </c>
      <c r="EO502">
        <v>1</v>
      </c>
      <c r="EP502">
        <v>3</v>
      </c>
      <c r="EQ502">
        <f>IFERROR(AVERAGE(Tabel1[[#This Row],[Do - F1a]:[Do - F1c]]),"")</f>
        <v>2.3333333333333335</v>
      </c>
      <c r="ER502">
        <v>5</v>
      </c>
      <c r="ES502">
        <f>IFERROR(AVERAGE(Tabel1[[#This Row],[Do - F2a]:[Do - F2a]]),"")</f>
        <v>5</v>
      </c>
      <c r="ET502">
        <v>3</v>
      </c>
      <c r="EU502">
        <v>5</v>
      </c>
      <c r="EV502">
        <f>IFERROR(AVERAGE(Tabel1[[#This Row],[Do - F3a]:[Do - F3b]]),"")</f>
        <v>4</v>
      </c>
      <c r="EW502">
        <v>1</v>
      </c>
      <c r="EX502">
        <f>IFERROR(AVERAGE(Tabel1[[#This Row],[Do - F1]],Tabel1[[#This Row],[Do - F2]],Tabel1[[#This Row],[Do - F3]],Tabel1[[#This Row],[Do - F4]]),"")</f>
        <v>3.0833333333333335</v>
      </c>
      <c r="EY502">
        <v>2</v>
      </c>
      <c r="EZ502">
        <v>3</v>
      </c>
      <c r="FA502">
        <v>1</v>
      </c>
      <c r="FB502">
        <f>IFERROR(AVERAGE(Tabel1[[#This Row],[Do - V1a]:[Do - V1c]]),"")</f>
        <v>2</v>
      </c>
      <c r="FC502">
        <v>3</v>
      </c>
      <c r="FD502">
        <v>3</v>
      </c>
      <c r="FE502">
        <f>IFERROR(AVERAGE(Tabel1[[#This Row],[Do - V2a]:[Do - V2b]]),"")</f>
        <v>3</v>
      </c>
      <c r="FF502">
        <v>2</v>
      </c>
      <c r="FG502">
        <f>IFERROR(AVERAGE(Tabel1[[#This Row],[Do - V3a]:[Do - V3a]]),"")</f>
        <v>2</v>
      </c>
      <c r="FH502">
        <v>4</v>
      </c>
      <c r="FI502">
        <f>IFERROR(AVERAGE(Tabel1[[#This Row],[Do - V1]],Tabel1[[#This Row],[Do - V2]],Tabel1[[#This Row],[Do - V3]],Tabel1[[#This Row],[Do - V4]]),"")</f>
        <v>2.75</v>
      </c>
      <c r="FJ502">
        <v>3</v>
      </c>
      <c r="FK502">
        <v>2</v>
      </c>
      <c r="FL502">
        <v>2</v>
      </c>
      <c r="FM502">
        <f>IFERROR(AVERAGE(Tabel1[[#This Row],[Do - A1a]:[Do - A1c]]),"")</f>
        <v>2.3333333333333335</v>
      </c>
      <c r="FN502">
        <v>2</v>
      </c>
      <c r="FO502">
        <v>1</v>
      </c>
      <c r="FP502">
        <f>IFERROR(AVERAGE(Tabel1[[#This Row],[Do - A2a]:[Do - A2b]]),"")</f>
        <v>1.5</v>
      </c>
      <c r="FQ502">
        <v>3</v>
      </c>
      <c r="FR502">
        <f>IFERROR(AVERAGE(Tabel1[[#This Row],[Do - A3a]:[Do - A3a]]),"")</f>
        <v>3</v>
      </c>
      <c r="FS502">
        <v>3</v>
      </c>
      <c r="FT502">
        <f>IFERROR(AVERAGE(Tabel1[[#This Row],[Do - A1]],Tabel1[[#This Row],[Do - A2]],Tabel1[[#This Row],[Do - A3]],Tabel1[[#This Row],[Do - A4]]),"")</f>
        <v>2.4583333333333335</v>
      </c>
      <c r="FU50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3.0125925925925929</v>
      </c>
      <c r="FV502" s="31" t="s">
        <v>2439</v>
      </c>
      <c r="FW502" t="b">
        <v>1</v>
      </c>
    </row>
    <row r="503" spans="1:179" x14ac:dyDescent="0.3">
      <c r="A503" s="13">
        <v>45769.715613425898</v>
      </c>
      <c r="B503" t="b">
        <v>0</v>
      </c>
      <c r="C503" t="s">
        <v>2440</v>
      </c>
      <c r="D503" t="s">
        <v>2441</v>
      </c>
      <c r="E503" t="s">
        <v>2442</v>
      </c>
      <c r="F503" s="14" t="s">
        <v>184</v>
      </c>
      <c r="G503" t="s">
        <v>2443</v>
      </c>
      <c r="H503" t="s">
        <v>194</v>
      </c>
      <c r="I503" t="s">
        <v>385</v>
      </c>
      <c r="K503" t="s">
        <v>235</v>
      </c>
      <c r="L503" t="s">
        <v>385</v>
      </c>
      <c r="M503" t="s">
        <v>233</v>
      </c>
      <c r="N503" t="s">
        <v>262</v>
      </c>
      <c r="O503" t="s">
        <v>256</v>
      </c>
      <c r="P503" t="s">
        <v>255</v>
      </c>
      <c r="Q503" t="s">
        <v>304</v>
      </c>
      <c r="R503" t="s">
        <v>235</v>
      </c>
      <c r="T503" t="s">
        <v>380</v>
      </c>
      <c r="U503" t="s">
        <v>285</v>
      </c>
      <c r="V503" t="s">
        <v>610</v>
      </c>
      <c r="W503" t="s">
        <v>305</v>
      </c>
      <c r="X503" t="s">
        <v>305</v>
      </c>
      <c r="Y503">
        <v>4</v>
      </c>
      <c r="Z503">
        <v>2</v>
      </c>
      <c r="AA503">
        <v>4</v>
      </c>
      <c r="AB503">
        <f>IFERROR(AVERAGE(Tabel1[[#This Row],[Up - R1a]:[Up - R1c]]),"")</f>
        <v>3.3333333333333335</v>
      </c>
      <c r="AC503">
        <v>2</v>
      </c>
      <c r="AD503">
        <v>2</v>
      </c>
      <c r="AE503">
        <v>1</v>
      </c>
      <c r="AF503" t="s">
        <v>189</v>
      </c>
      <c r="AG503">
        <f>IFERROR(AVERAGE(Tabel1[[#This Row],[Up - R1]:[Up - R5]]),"")</f>
        <v>2.0833333333333335</v>
      </c>
      <c r="AH503">
        <v>3</v>
      </c>
      <c r="AI503">
        <v>3</v>
      </c>
      <c r="AJ503">
        <v>2</v>
      </c>
      <c r="AK503">
        <f>IFERROR(AVERAGE(Tabel1[[#This Row],[Up - C1a]:[Up - C1c]]),"")</f>
        <v>2.6666666666666665</v>
      </c>
      <c r="AL503">
        <v>4</v>
      </c>
      <c r="AM503">
        <v>3</v>
      </c>
      <c r="AN503">
        <v>2</v>
      </c>
      <c r="AO503">
        <f>IFERROR(AVERAGE(Tabel1[[#This Row],[Up - C1]:[Up - C4]]),"")</f>
        <v>2.9166666666666665</v>
      </c>
      <c r="AP503">
        <v>4</v>
      </c>
      <c r="AQ503">
        <f>IFERROR(AVERAGE(Tabel1[[#This Row],[Up - F1a]:[Up - F1a]]),"")</f>
        <v>4</v>
      </c>
      <c r="AR503">
        <v>4</v>
      </c>
      <c r="AS503">
        <v>2</v>
      </c>
      <c r="AT503">
        <f>IFERROR(AVERAGE(Tabel1[[#This Row],[Up - F2a]:[Up - F2b]]),"")</f>
        <v>3</v>
      </c>
      <c r="AU503">
        <v>1</v>
      </c>
      <c r="AV503" t="s">
        <v>189</v>
      </c>
      <c r="AW503">
        <f>IFERROR(AVERAGE(Tabel1[[#This Row],[Up - F3a]:[Up - F3b]]),"")</f>
        <v>1</v>
      </c>
      <c r="AX503">
        <v>2</v>
      </c>
      <c r="AY503">
        <f>IFERROR(AVERAGE(Tabel1[[#This Row],[Up - F1]],Tabel1[[#This Row],[Up - F2]],Tabel1[[#This Row],[Up - F3]],Tabel1[[#This Row],[Up - F4]]),"")</f>
        <v>2.5</v>
      </c>
      <c r="AZ503" t="s">
        <v>189</v>
      </c>
      <c r="BA503">
        <v>2</v>
      </c>
      <c r="BB503">
        <f>IFERROR(AVERAGE(Tabel1[[#This Row],[Up - V1a]:[Up - V1b]]),"")</f>
        <v>2</v>
      </c>
      <c r="BC503">
        <v>3</v>
      </c>
      <c r="BD503">
        <v>1</v>
      </c>
      <c r="BE503">
        <v>2</v>
      </c>
      <c r="BF503">
        <f>IFERROR(AVERAGE(Tabel1[[#This Row],[Up - V2a]:[Up - V2c]]),"")</f>
        <v>2</v>
      </c>
      <c r="BG503">
        <v>1</v>
      </c>
      <c r="BH503">
        <v>1</v>
      </c>
      <c r="BI503">
        <f>IFERROR(AVERAGE(Tabel1[[#This Row],[Up - V3a]:[Up - V3b]]),"")</f>
        <v>1</v>
      </c>
      <c r="BJ503">
        <v>1</v>
      </c>
      <c r="BK503">
        <f>IFERROR(AVERAGE(Tabel1[[#This Row],[Up - V1]],Tabel1[[#This Row],[Up - V2]],Tabel1[[#This Row],[Up - V3]],Tabel1[[#This Row],[Up - V4]]),"")</f>
        <v>1.5</v>
      </c>
      <c r="BL503">
        <v>5</v>
      </c>
      <c r="BM503">
        <v>4</v>
      </c>
      <c r="BN503">
        <v>2</v>
      </c>
      <c r="BO503">
        <v>3</v>
      </c>
      <c r="BP503">
        <f>IFERROR(AVERAGE(Tabel1[[#This Row],[Up - A1a]:[Up - A1d]]),"")</f>
        <v>3.5</v>
      </c>
      <c r="BQ503">
        <v>4</v>
      </c>
      <c r="BR503">
        <v>3</v>
      </c>
      <c r="BS503">
        <f>IFERROR(AVERAGE(Tabel1[[#This Row],[Up - A2a]:[Up - A2b]]),"")</f>
        <v>3.5</v>
      </c>
      <c r="BT503">
        <v>4</v>
      </c>
      <c r="BU503">
        <f>IFERROR(AVERAGE(Tabel1[[#This Row],[Up - A3a]:[Up - A3a]]),"")</f>
        <v>4</v>
      </c>
      <c r="BV503">
        <v>1</v>
      </c>
      <c r="BW503">
        <f>IFERROR(AVERAGE(Tabel1[[#This Row],[Up - A1]],Tabel1[[#This Row],[Up - A2]],Tabel1[[#This Row],[Up - A3]]),"")</f>
        <v>3.6666666666666665</v>
      </c>
      <c r="BX503">
        <v>3</v>
      </c>
      <c r="BY503">
        <v>2</v>
      </c>
      <c r="BZ503">
        <f>IFERROR(AVERAGE(Tabel1[[#This Row],[In - R1a]:[In - R1b]]),"")</f>
        <v>2.5</v>
      </c>
      <c r="CA503">
        <v>1</v>
      </c>
      <c r="CB503" t="s">
        <v>189</v>
      </c>
      <c r="CC503">
        <v>2</v>
      </c>
      <c r="CD503">
        <v>4</v>
      </c>
      <c r="CE503">
        <f>IFERROR(AVERAGE(Tabel1[[#This Row],[In - R1]:[In - R5]]),"")</f>
        <v>2.375</v>
      </c>
      <c r="CF503">
        <v>2</v>
      </c>
      <c r="CG503">
        <v>2</v>
      </c>
      <c r="CH503">
        <v>1</v>
      </c>
      <c r="CI503">
        <f>IFERROR(AVERAGE(Tabel1[[#This Row],[In - C1a]:[In - C1c]]),"")</f>
        <v>1.6666666666666667</v>
      </c>
      <c r="CJ503">
        <v>4</v>
      </c>
      <c r="CK503">
        <v>2</v>
      </c>
      <c r="CL503">
        <v>2</v>
      </c>
      <c r="CM503">
        <f>IFERROR(AVERAGE(Tabel1[[#This Row],[In - C1]:[In - C4]]),"")</f>
        <v>2.416666666666667</v>
      </c>
      <c r="CN503">
        <v>2</v>
      </c>
      <c r="CO503">
        <v>3</v>
      </c>
      <c r="CP503">
        <v>4</v>
      </c>
      <c r="CQ503">
        <f>IFERROR(AVERAGE(Tabel1[[#This Row],[In - F1a]:[In - F1c]]),"")</f>
        <v>3</v>
      </c>
      <c r="CR503">
        <v>4</v>
      </c>
      <c r="CS503">
        <v>4</v>
      </c>
      <c r="CT503">
        <f>IFERROR(AVERAGE(Tabel1[[#This Row],[In - F2a]:[In - F2b]]),"")</f>
        <v>4</v>
      </c>
      <c r="CU503">
        <v>3</v>
      </c>
      <c r="CV503">
        <f>IFERROR(AVERAGE(Tabel1[[#This Row],[In - F3a]:[In - F3a]]),"")</f>
        <v>3</v>
      </c>
      <c r="CW503" t="s">
        <v>189</v>
      </c>
      <c r="CX503">
        <f>IFERROR(AVERAGE(Tabel1[[#This Row],[In - F1]],Tabel1[[#This Row],[In - F2]],Tabel1[[#This Row],[In - F3]],Tabel1[[#This Row],[In - F4]]),"")</f>
        <v>3.3333333333333335</v>
      </c>
      <c r="CY503">
        <v>1</v>
      </c>
      <c r="CZ503">
        <v>2</v>
      </c>
      <c r="DA503">
        <v>3</v>
      </c>
      <c r="DB503">
        <f>IFERROR(AVERAGE(Tabel1[[#This Row],[In - V1a]:[In - V1c]]),"")</f>
        <v>2</v>
      </c>
      <c r="DC503">
        <v>1</v>
      </c>
      <c r="DD503">
        <v>2</v>
      </c>
      <c r="DE503">
        <v>2</v>
      </c>
      <c r="DF503">
        <f>IFERROR(AVERAGE(Tabel1[[#This Row],[In - V2a]:[In - V2c]]),"")</f>
        <v>1.6666666666666667</v>
      </c>
      <c r="DG503">
        <v>1</v>
      </c>
      <c r="DH503">
        <v>2</v>
      </c>
      <c r="DI503">
        <f>IFERROR(AVERAGE(Tabel1[[#This Row],[In - V3a]:[In - V3b]]),"")</f>
        <v>1.5</v>
      </c>
      <c r="DJ503">
        <v>1</v>
      </c>
      <c r="DK503">
        <f>IFERROR(AVERAGE(Tabel1[[#This Row],[In - V1]],Tabel1[[#This Row],[In - V2]],Tabel1[[#This Row],[In - V3]],Tabel1[[#This Row],[In - V4]]),"")</f>
        <v>1.5416666666666667</v>
      </c>
      <c r="DL503">
        <v>4</v>
      </c>
      <c r="DM503">
        <v>3</v>
      </c>
      <c r="DN503">
        <f>IFERROR(AVERAGE(Tabel1[[#This Row],[In - A1a]:[In - A1b]]),"")</f>
        <v>3.5</v>
      </c>
      <c r="DO503">
        <v>3</v>
      </c>
      <c r="DP503">
        <v>2</v>
      </c>
      <c r="DQ503">
        <f>IFERROR(AVERAGE(Tabel1[[#This Row],[In - A2a]:[In - A2b]]),"")</f>
        <v>2.5</v>
      </c>
      <c r="DR503">
        <v>4</v>
      </c>
      <c r="DS503">
        <v>1</v>
      </c>
      <c r="DT503">
        <f>IFERROR(AVERAGE(Tabel1[[#This Row],[In - A3a]:[In - A3a]]),"")</f>
        <v>4</v>
      </c>
      <c r="DU503">
        <v>4</v>
      </c>
      <c r="DV503">
        <f>IFERROR(AVERAGE(Tabel1[[#This Row],[In - A1]],Tabel1[[#This Row],[In - A2]],Tabel1[[#This Row],[In - A3]],Tabel1[[#This Row],[In - A4]]),"")</f>
        <v>3.5</v>
      </c>
      <c r="DW503">
        <v>1</v>
      </c>
      <c r="DX503">
        <v>1</v>
      </c>
      <c r="DY503">
        <v>1</v>
      </c>
      <c r="DZ503">
        <f>IFERROR(AVERAGE(Tabel1[[#This Row],[Do - R1a]:[Do - R1c]]),"")</f>
        <v>1</v>
      </c>
      <c r="EA503" t="s">
        <v>189</v>
      </c>
      <c r="EB503" t="s">
        <v>189</v>
      </c>
      <c r="EC503" t="s">
        <v>189</v>
      </c>
      <c r="ED503" t="s">
        <v>189</v>
      </c>
      <c r="EE503">
        <f>IFERROR(AVERAGE(Tabel1[[#This Row],[Do - R1]:[Do - R5]]),"")</f>
        <v>1</v>
      </c>
      <c r="EF503" t="s">
        <v>189</v>
      </c>
      <c r="EG503">
        <v>3</v>
      </c>
      <c r="EH503">
        <v>3</v>
      </c>
      <c r="EI503">
        <f>IFERROR(AVERAGE(Tabel1[[#This Row],[Do - C1a]:[Do - C1c]]),"")</f>
        <v>3</v>
      </c>
      <c r="EJ503">
        <v>2</v>
      </c>
      <c r="EK503">
        <v>2</v>
      </c>
      <c r="EL503" t="s">
        <v>189</v>
      </c>
      <c r="EM503">
        <f>IFERROR(AVERAGE(Tabel1[[#This Row],[Do - C1]:[Do - C4]]),"")</f>
        <v>2.3333333333333335</v>
      </c>
      <c r="EN503">
        <v>3</v>
      </c>
      <c r="EO503">
        <v>3</v>
      </c>
      <c r="EP503">
        <v>2</v>
      </c>
      <c r="EQ503">
        <f>IFERROR(AVERAGE(Tabel1[[#This Row],[Do - F1a]:[Do - F1c]]),"")</f>
        <v>2.6666666666666665</v>
      </c>
      <c r="ER503">
        <v>4</v>
      </c>
      <c r="ES503">
        <f>IFERROR(AVERAGE(Tabel1[[#This Row],[Do - F2a]:[Do - F2a]]),"")</f>
        <v>4</v>
      </c>
      <c r="ET503" t="s">
        <v>189</v>
      </c>
      <c r="EU503">
        <v>4</v>
      </c>
      <c r="EV503">
        <f>IFERROR(AVERAGE(Tabel1[[#This Row],[Do - F3a]:[Do - F3b]]),"")</f>
        <v>4</v>
      </c>
      <c r="EW503" t="s">
        <v>189</v>
      </c>
      <c r="EX503">
        <f>IFERROR(AVERAGE(Tabel1[[#This Row],[Do - F1]],Tabel1[[#This Row],[Do - F2]],Tabel1[[#This Row],[Do - F3]],Tabel1[[#This Row],[Do - F4]]),"")</f>
        <v>3.5555555555555554</v>
      </c>
      <c r="EY503">
        <v>3</v>
      </c>
      <c r="EZ503" t="s">
        <v>189</v>
      </c>
      <c r="FA503">
        <v>4</v>
      </c>
      <c r="FB503">
        <f>IFERROR(AVERAGE(Tabel1[[#This Row],[Do - V1a]:[Do - V1c]]),"")</f>
        <v>3.5</v>
      </c>
      <c r="FC503" t="s">
        <v>189</v>
      </c>
      <c r="FD503" t="s">
        <v>189</v>
      </c>
      <c r="FE503" t="str">
        <f>IFERROR(AVERAGE(Tabel1[[#This Row],[Do - V2a]:[Do - V2b]]),"")</f>
        <v/>
      </c>
      <c r="FF503">
        <v>1</v>
      </c>
      <c r="FG503">
        <f>IFERROR(AVERAGE(Tabel1[[#This Row],[Do - V3a]:[Do - V3a]]),"")</f>
        <v>1</v>
      </c>
      <c r="FH503" t="s">
        <v>189</v>
      </c>
      <c r="FI503">
        <f>IFERROR(AVERAGE(Tabel1[[#This Row],[Do - V1]],Tabel1[[#This Row],[Do - V2]],Tabel1[[#This Row],[Do - V3]],Tabel1[[#This Row],[Do - V4]]),"")</f>
        <v>2.25</v>
      </c>
      <c r="FJ503">
        <v>4</v>
      </c>
      <c r="FK503">
        <v>5</v>
      </c>
      <c r="FL503">
        <v>4</v>
      </c>
      <c r="FM503">
        <f>IFERROR(AVERAGE(Tabel1[[#This Row],[Do - A1a]:[Do - A1c]]),"")</f>
        <v>4.333333333333333</v>
      </c>
      <c r="FN503">
        <v>4</v>
      </c>
      <c r="FO503" t="s">
        <v>189</v>
      </c>
      <c r="FP503">
        <f>IFERROR(AVERAGE(Tabel1[[#This Row],[Do - A2a]:[Do - A2b]]),"")</f>
        <v>4</v>
      </c>
      <c r="FQ503">
        <v>3</v>
      </c>
      <c r="FR503">
        <f>IFERROR(AVERAGE(Tabel1[[#This Row],[Do - A3a]:[Do - A3a]]),"")</f>
        <v>3</v>
      </c>
      <c r="FS503">
        <v>4</v>
      </c>
      <c r="FT503">
        <f>IFERROR(AVERAGE(Tabel1[[#This Row],[Do - A1]],Tabel1[[#This Row],[Do - A2]],Tabel1[[#This Row],[Do - A3]],Tabel1[[#This Row],[Do - A4]]),"")</f>
        <v>3.833333333333333</v>
      </c>
      <c r="FU50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2.587037037037037</v>
      </c>
      <c r="FV503" s="31" t="s">
        <v>2444</v>
      </c>
      <c r="FW503" t="b">
        <v>1</v>
      </c>
    </row>
    <row r="504" spans="1:179" x14ac:dyDescent="0.3">
      <c r="A504" s="13">
        <v>45770.607974537001</v>
      </c>
      <c r="B504" t="b">
        <v>0</v>
      </c>
      <c r="C504" t="s">
        <v>2445</v>
      </c>
      <c r="D504" t="s">
        <v>2446</v>
      </c>
      <c r="E504" t="s">
        <v>2447</v>
      </c>
      <c r="F504" s="14" t="s">
        <v>184</v>
      </c>
      <c r="G504" t="s">
        <v>2448</v>
      </c>
      <c r="H504" t="s">
        <v>194</v>
      </c>
      <c r="I504" t="s">
        <v>322</v>
      </c>
      <c r="J504" t="s">
        <v>838</v>
      </c>
      <c r="K504" t="s">
        <v>187</v>
      </c>
      <c r="L504" t="s">
        <v>249</v>
      </c>
      <c r="M504" t="s">
        <v>281</v>
      </c>
      <c r="N504" t="s">
        <v>316</v>
      </c>
      <c r="O504" t="s">
        <v>256</v>
      </c>
      <c r="P504" t="s">
        <v>304</v>
      </c>
      <c r="Q504" t="s">
        <v>202</v>
      </c>
      <c r="R504" t="s">
        <v>202</v>
      </c>
      <c r="S504" t="s">
        <v>202</v>
      </c>
      <c r="T504" t="s">
        <v>380</v>
      </c>
      <c r="U504" t="s">
        <v>237</v>
      </c>
      <c r="V504" t="s">
        <v>206</v>
      </c>
      <c r="W504" t="s">
        <v>207</v>
      </c>
      <c r="X504" t="s">
        <v>207</v>
      </c>
      <c r="Y504">
        <v>4</v>
      </c>
      <c r="Z504">
        <v>4</v>
      </c>
      <c r="AA504">
        <v>4</v>
      </c>
      <c r="AB504">
        <f>IFERROR(AVERAGE(Tabel1[[#This Row],[Up - R1a]:[Up - R1c]]),"")</f>
        <v>4</v>
      </c>
      <c r="AC504">
        <v>4</v>
      </c>
      <c r="AD504">
        <v>4</v>
      </c>
      <c r="AE504">
        <v>4</v>
      </c>
      <c r="AF504" t="s">
        <v>189</v>
      </c>
      <c r="AG504">
        <f>IFERROR(AVERAGE(Tabel1[[#This Row],[Up - R1]:[Up - R5]]),"")</f>
        <v>4</v>
      </c>
      <c r="AH504">
        <v>4</v>
      </c>
      <c r="AI504">
        <v>4</v>
      </c>
      <c r="AJ504">
        <v>4</v>
      </c>
      <c r="AK504">
        <f>IFERROR(AVERAGE(Tabel1[[#This Row],[Up - C1a]:[Up - C1c]]),"")</f>
        <v>4</v>
      </c>
      <c r="AL504">
        <v>4</v>
      </c>
      <c r="AM504">
        <v>4</v>
      </c>
      <c r="AN504">
        <v>4</v>
      </c>
      <c r="AO504">
        <f>IFERROR(AVERAGE(Tabel1[[#This Row],[Up - C1]:[Up - C4]]),"")</f>
        <v>4</v>
      </c>
      <c r="AP504">
        <v>4</v>
      </c>
      <c r="AQ504">
        <f>IFERROR(AVERAGE(Tabel1[[#This Row],[Up - F1a]:[Up - F1a]]),"")</f>
        <v>4</v>
      </c>
      <c r="AR504">
        <v>4</v>
      </c>
      <c r="AS504">
        <v>4</v>
      </c>
      <c r="AT504">
        <f>IFERROR(AVERAGE(Tabel1[[#This Row],[Up - F2a]:[Up - F2b]]),"")</f>
        <v>4</v>
      </c>
      <c r="AU504">
        <v>4</v>
      </c>
      <c r="AV504">
        <v>4</v>
      </c>
      <c r="AW504">
        <f>IFERROR(AVERAGE(Tabel1[[#This Row],[Up - F3a]:[Up - F3b]]),"")</f>
        <v>4</v>
      </c>
      <c r="AX504">
        <v>4</v>
      </c>
      <c r="AY504">
        <f>IFERROR(AVERAGE(Tabel1[[#This Row],[Up - F1]],Tabel1[[#This Row],[Up - F2]],Tabel1[[#This Row],[Up - F3]],Tabel1[[#This Row],[Up - F4]]),"")</f>
        <v>4</v>
      </c>
      <c r="AZ504">
        <v>4</v>
      </c>
      <c r="BA504">
        <v>4</v>
      </c>
      <c r="BB504">
        <f>IFERROR(AVERAGE(Tabel1[[#This Row],[Up - V1a]:[Up - V1b]]),"")</f>
        <v>4</v>
      </c>
      <c r="BC504">
        <v>3</v>
      </c>
      <c r="BD504" t="s">
        <v>189</v>
      </c>
      <c r="BE504">
        <v>4</v>
      </c>
      <c r="BF504">
        <f>IFERROR(AVERAGE(Tabel1[[#This Row],[Up - V2a]:[Up - V2c]]),"")</f>
        <v>3.5</v>
      </c>
      <c r="BG504">
        <v>4</v>
      </c>
      <c r="BH504">
        <v>4</v>
      </c>
      <c r="BI504">
        <f>IFERROR(AVERAGE(Tabel1[[#This Row],[Up - V3a]:[Up - V3b]]),"")</f>
        <v>4</v>
      </c>
      <c r="BJ504">
        <v>4</v>
      </c>
      <c r="BK504">
        <f>IFERROR(AVERAGE(Tabel1[[#This Row],[Up - V1]],Tabel1[[#This Row],[Up - V2]],Tabel1[[#This Row],[Up - V3]],Tabel1[[#This Row],[Up - V4]]),"")</f>
        <v>3.875</v>
      </c>
      <c r="BL504">
        <v>3</v>
      </c>
      <c r="BM504">
        <v>4</v>
      </c>
      <c r="BN504">
        <v>4</v>
      </c>
      <c r="BO504">
        <v>3</v>
      </c>
      <c r="BP504">
        <f>IFERROR(AVERAGE(Tabel1[[#This Row],[Up - A1a]:[Up - A1d]]),"")</f>
        <v>3.5</v>
      </c>
      <c r="BQ504">
        <v>4</v>
      </c>
      <c r="BR504">
        <v>4</v>
      </c>
      <c r="BS504">
        <f>IFERROR(AVERAGE(Tabel1[[#This Row],[Up - A2a]:[Up - A2b]]),"")</f>
        <v>4</v>
      </c>
      <c r="BT504">
        <v>4</v>
      </c>
      <c r="BU504">
        <f>IFERROR(AVERAGE(Tabel1[[#This Row],[Up - A3a]:[Up - A3a]]),"")</f>
        <v>4</v>
      </c>
      <c r="BV504">
        <v>3</v>
      </c>
      <c r="BW504">
        <f>IFERROR(AVERAGE(Tabel1[[#This Row],[Up - A1]],Tabel1[[#This Row],[Up - A2]],Tabel1[[#This Row],[Up - A3]]),"")</f>
        <v>3.8333333333333335</v>
      </c>
      <c r="BX504">
        <v>4</v>
      </c>
      <c r="BY504">
        <v>4</v>
      </c>
      <c r="BZ504">
        <f>IFERROR(AVERAGE(Tabel1[[#This Row],[In - R1a]:[In - R1b]]),"")</f>
        <v>4</v>
      </c>
      <c r="CA504">
        <v>3</v>
      </c>
      <c r="CB504">
        <v>4</v>
      </c>
      <c r="CC504">
        <v>3</v>
      </c>
      <c r="CD504" t="s">
        <v>189</v>
      </c>
      <c r="CE504">
        <f>IFERROR(AVERAGE(Tabel1[[#This Row],[In - R1]:[In - R5]]),"")</f>
        <v>3.5</v>
      </c>
      <c r="CF504">
        <v>4</v>
      </c>
      <c r="CG504">
        <v>4</v>
      </c>
      <c r="CH504">
        <v>4</v>
      </c>
      <c r="CI504">
        <f>IFERROR(AVERAGE(Tabel1[[#This Row],[In - C1a]:[In - C1c]]),"")</f>
        <v>4</v>
      </c>
      <c r="CJ504">
        <v>3</v>
      </c>
      <c r="CK504">
        <v>3</v>
      </c>
      <c r="CL504">
        <v>4</v>
      </c>
      <c r="CM504">
        <f>IFERROR(AVERAGE(Tabel1[[#This Row],[In - C1]:[In - C4]]),"")</f>
        <v>3.5</v>
      </c>
      <c r="CN504">
        <v>4</v>
      </c>
      <c r="CO504">
        <v>4</v>
      </c>
      <c r="CP504">
        <v>3</v>
      </c>
      <c r="CQ504">
        <f>IFERROR(AVERAGE(Tabel1[[#This Row],[In - F1a]:[In - F1c]]),"")</f>
        <v>3.6666666666666665</v>
      </c>
      <c r="CR504">
        <v>4</v>
      </c>
      <c r="CS504">
        <v>4</v>
      </c>
      <c r="CT504">
        <f>IFERROR(AVERAGE(Tabel1[[#This Row],[In - F2a]:[In - F2b]]),"")</f>
        <v>4</v>
      </c>
      <c r="CU504">
        <v>4</v>
      </c>
      <c r="CV504">
        <f>IFERROR(AVERAGE(Tabel1[[#This Row],[In - F3a]:[In - F3a]]),"")</f>
        <v>4</v>
      </c>
      <c r="CW504">
        <v>4</v>
      </c>
      <c r="CX504">
        <f>IFERROR(AVERAGE(Tabel1[[#This Row],[In - F1]],Tabel1[[#This Row],[In - F2]],Tabel1[[#This Row],[In - F3]],Tabel1[[#This Row],[In - F4]]),"")</f>
        <v>3.9166666666666665</v>
      </c>
      <c r="CY504">
        <v>4</v>
      </c>
      <c r="CZ504">
        <v>4</v>
      </c>
      <c r="DA504">
        <v>4</v>
      </c>
      <c r="DB504">
        <f>IFERROR(AVERAGE(Tabel1[[#This Row],[In - V1a]:[In - V1c]]),"")</f>
        <v>4</v>
      </c>
      <c r="DC504">
        <v>4</v>
      </c>
      <c r="DD504">
        <v>4</v>
      </c>
      <c r="DE504" t="s">
        <v>189</v>
      </c>
      <c r="DF504">
        <f>IFERROR(AVERAGE(Tabel1[[#This Row],[In - V2a]:[In - V2c]]),"")</f>
        <v>4</v>
      </c>
      <c r="DG504">
        <v>4</v>
      </c>
      <c r="DH504">
        <v>4</v>
      </c>
      <c r="DI504">
        <f>IFERROR(AVERAGE(Tabel1[[#This Row],[In - V3a]:[In - V3b]]),"")</f>
        <v>4</v>
      </c>
      <c r="DJ504">
        <v>4</v>
      </c>
      <c r="DK504">
        <f>IFERROR(AVERAGE(Tabel1[[#This Row],[In - V1]],Tabel1[[#This Row],[In - V2]],Tabel1[[#This Row],[In - V3]],Tabel1[[#This Row],[In - V4]]),"")</f>
        <v>4</v>
      </c>
      <c r="DL504">
        <v>3</v>
      </c>
      <c r="DM504">
        <v>4</v>
      </c>
      <c r="DN504">
        <f>IFERROR(AVERAGE(Tabel1[[#This Row],[In - A1a]:[In - A1b]]),"")</f>
        <v>3.5</v>
      </c>
      <c r="DO504">
        <v>4</v>
      </c>
      <c r="DP504">
        <v>4</v>
      </c>
      <c r="DQ504">
        <f>IFERROR(AVERAGE(Tabel1[[#This Row],[In - A2a]:[In - A2b]]),"")</f>
        <v>4</v>
      </c>
      <c r="DR504">
        <v>4</v>
      </c>
      <c r="DS504">
        <v>4</v>
      </c>
      <c r="DT504">
        <f>IFERROR(AVERAGE(Tabel1[[#This Row],[In - A3a]:[In - A3a]]),"")</f>
        <v>4</v>
      </c>
      <c r="DU504" t="s">
        <v>189</v>
      </c>
      <c r="DV504">
        <f>IFERROR(AVERAGE(Tabel1[[#This Row],[In - A1]],Tabel1[[#This Row],[In - A2]],Tabel1[[#This Row],[In - A3]],Tabel1[[#This Row],[In - A4]]),"")</f>
        <v>3.8333333333333335</v>
      </c>
      <c r="DW504">
        <v>3</v>
      </c>
      <c r="DX504">
        <v>4</v>
      </c>
      <c r="DY504">
        <v>3</v>
      </c>
      <c r="DZ504">
        <f>IFERROR(AVERAGE(Tabel1[[#This Row],[Do - R1a]:[Do - R1c]]),"")</f>
        <v>3.3333333333333335</v>
      </c>
      <c r="EA504">
        <v>3</v>
      </c>
      <c r="EB504">
        <v>4</v>
      </c>
      <c r="EC504">
        <v>4</v>
      </c>
      <c r="ED504">
        <v>3</v>
      </c>
      <c r="EE504">
        <f>IFERROR(AVERAGE(Tabel1[[#This Row],[Do - R1]:[Do - R5]]),"")</f>
        <v>3.4666666666666672</v>
      </c>
      <c r="EF504">
        <v>4</v>
      </c>
      <c r="EG504">
        <v>4</v>
      </c>
      <c r="EH504">
        <v>4</v>
      </c>
      <c r="EI504">
        <f>IFERROR(AVERAGE(Tabel1[[#This Row],[Do - C1a]:[Do - C1c]]),"")</f>
        <v>4</v>
      </c>
      <c r="EJ504">
        <v>3</v>
      </c>
      <c r="EK504">
        <v>3</v>
      </c>
      <c r="EL504" t="s">
        <v>189</v>
      </c>
      <c r="EM504">
        <f>IFERROR(AVERAGE(Tabel1[[#This Row],[Do - C1]:[Do - C4]]),"")</f>
        <v>3.3333333333333335</v>
      </c>
      <c r="EN504">
        <v>4</v>
      </c>
      <c r="EO504">
        <v>4</v>
      </c>
      <c r="EP504">
        <v>3</v>
      </c>
      <c r="EQ504">
        <f>IFERROR(AVERAGE(Tabel1[[#This Row],[Do - F1a]:[Do - F1c]]),"")</f>
        <v>3.6666666666666665</v>
      </c>
      <c r="ER504">
        <v>4</v>
      </c>
      <c r="ES504">
        <f>IFERROR(AVERAGE(Tabel1[[#This Row],[Do - F2a]:[Do - F2a]]),"")</f>
        <v>4</v>
      </c>
      <c r="ET504">
        <v>4</v>
      </c>
      <c r="EU504">
        <v>4</v>
      </c>
      <c r="EV504">
        <f>IFERROR(AVERAGE(Tabel1[[#This Row],[Do - F3a]:[Do - F3b]]),"")</f>
        <v>4</v>
      </c>
      <c r="EW504">
        <v>4</v>
      </c>
      <c r="EX504">
        <f>IFERROR(AVERAGE(Tabel1[[#This Row],[Do - F1]],Tabel1[[#This Row],[Do - F2]],Tabel1[[#This Row],[Do - F3]],Tabel1[[#This Row],[Do - F4]]),"")</f>
        <v>3.9166666666666665</v>
      </c>
      <c r="EY504">
        <v>4</v>
      </c>
      <c r="EZ504">
        <v>4</v>
      </c>
      <c r="FA504">
        <v>3</v>
      </c>
      <c r="FB504">
        <f>IFERROR(AVERAGE(Tabel1[[#This Row],[Do - V1a]:[Do - V1c]]),"")</f>
        <v>3.6666666666666665</v>
      </c>
      <c r="FC504">
        <v>3</v>
      </c>
      <c r="FD504" t="s">
        <v>189</v>
      </c>
      <c r="FE504">
        <f>IFERROR(AVERAGE(Tabel1[[#This Row],[Do - V2a]:[Do - V2b]]),"")</f>
        <v>3</v>
      </c>
      <c r="FF504">
        <v>4</v>
      </c>
      <c r="FG504">
        <f>IFERROR(AVERAGE(Tabel1[[#This Row],[Do - V3a]:[Do - V3a]]),"")</f>
        <v>4</v>
      </c>
      <c r="FH504">
        <v>4</v>
      </c>
      <c r="FI504">
        <f>IFERROR(AVERAGE(Tabel1[[#This Row],[Do - V1]],Tabel1[[#This Row],[Do - V2]],Tabel1[[#This Row],[Do - V3]],Tabel1[[#This Row],[Do - V4]]),"")</f>
        <v>3.6666666666666665</v>
      </c>
      <c r="FJ504">
        <v>3</v>
      </c>
      <c r="FK504">
        <v>4</v>
      </c>
      <c r="FL504">
        <v>4</v>
      </c>
      <c r="FM504">
        <f>IFERROR(AVERAGE(Tabel1[[#This Row],[Do - A1a]:[Do - A1c]]),"")</f>
        <v>3.6666666666666665</v>
      </c>
      <c r="FN504">
        <v>4</v>
      </c>
      <c r="FO504">
        <v>4</v>
      </c>
      <c r="FP504">
        <f>IFERROR(AVERAGE(Tabel1[[#This Row],[Do - A2a]:[Do - A2b]]),"")</f>
        <v>4</v>
      </c>
      <c r="FQ504">
        <v>4</v>
      </c>
      <c r="FR504">
        <f>IFERROR(AVERAGE(Tabel1[[#This Row],[Do - A3a]:[Do - A3a]]),"")</f>
        <v>4</v>
      </c>
      <c r="FS504">
        <v>3</v>
      </c>
      <c r="FT504">
        <f>IFERROR(AVERAGE(Tabel1[[#This Row],[Do - A1]],Tabel1[[#This Row],[Do - A2]],Tabel1[[#This Row],[Do - A3]],Tabel1[[#This Row],[Do - A4]]),"")</f>
        <v>3.6666666666666665</v>
      </c>
      <c r="FU50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3.7672222222222222</v>
      </c>
      <c r="FV504" s="31" t="s">
        <v>2449</v>
      </c>
      <c r="FW504" t="b">
        <v>1</v>
      </c>
    </row>
    <row r="505" spans="1:179" x14ac:dyDescent="0.3">
      <c r="A505" s="13">
        <v>45782.3212152778</v>
      </c>
      <c r="B505" t="b">
        <v>0</v>
      </c>
      <c r="C505" t="s">
        <v>2450</v>
      </c>
      <c r="D505" t="s">
        <v>2451</v>
      </c>
      <c r="E505" t="s">
        <v>2452</v>
      </c>
      <c r="F505" s="14" t="s">
        <v>2278</v>
      </c>
      <c r="G505" t="s">
        <v>2453</v>
      </c>
      <c r="H505" t="s">
        <v>194</v>
      </c>
      <c r="I505" t="s">
        <v>195</v>
      </c>
      <c r="J505" t="s">
        <v>905</v>
      </c>
      <c r="K505" t="s">
        <v>203</v>
      </c>
      <c r="L505" t="s">
        <v>249</v>
      </c>
      <c r="M505" t="s">
        <v>281</v>
      </c>
      <c r="N505" t="s">
        <v>262</v>
      </c>
      <c r="O505" t="s">
        <v>200</v>
      </c>
      <c r="P505" t="s">
        <v>701</v>
      </c>
      <c r="Q505" t="s">
        <v>255</v>
      </c>
      <c r="S505" t="s">
        <v>203</v>
      </c>
      <c r="T505" t="s">
        <v>236</v>
      </c>
      <c r="U505" t="s">
        <v>237</v>
      </c>
      <c r="V505" t="s">
        <v>359</v>
      </c>
      <c r="W505" t="s">
        <v>306</v>
      </c>
      <c r="X505" t="s">
        <v>306</v>
      </c>
      <c r="Y505">
        <v>2</v>
      </c>
      <c r="Z505">
        <v>1</v>
      </c>
      <c r="AA505">
        <v>1</v>
      </c>
      <c r="AB505">
        <f>IFERROR(AVERAGE(Tabel1[[#This Row],[Up - R1a]:[Up - R1c]]),"")</f>
        <v>1.3333333333333333</v>
      </c>
      <c r="AC505">
        <v>2</v>
      </c>
      <c r="AD505">
        <v>4</v>
      </c>
      <c r="AE505">
        <v>2</v>
      </c>
      <c r="AF505">
        <v>2</v>
      </c>
      <c r="AG505">
        <f>IFERROR(AVERAGE(Tabel1[[#This Row],[Up - R1]:[Up - R5]]),"")</f>
        <v>2.2666666666666666</v>
      </c>
      <c r="AH505">
        <v>2</v>
      </c>
      <c r="AI505">
        <v>3</v>
      </c>
      <c r="AJ505">
        <v>5</v>
      </c>
      <c r="AK505">
        <f>IFERROR(AVERAGE(Tabel1[[#This Row],[Up - C1a]:[Up - C1c]]),"")</f>
        <v>3.3333333333333335</v>
      </c>
      <c r="AL505">
        <v>2</v>
      </c>
      <c r="AM505">
        <v>3</v>
      </c>
      <c r="AN505">
        <v>1</v>
      </c>
      <c r="AO505">
        <f>IFERROR(AVERAGE(Tabel1[[#This Row],[Up - C1]:[Up - C4]]),"")</f>
        <v>2.3333333333333335</v>
      </c>
      <c r="AP505">
        <v>2</v>
      </c>
      <c r="AQ505">
        <f>IFERROR(AVERAGE(Tabel1[[#This Row],[Up - F1a]:[Up - F1a]]),"")</f>
        <v>2</v>
      </c>
      <c r="AR505">
        <v>3</v>
      </c>
      <c r="AS505">
        <v>2</v>
      </c>
      <c r="AT505">
        <f>IFERROR(AVERAGE(Tabel1[[#This Row],[Up - F2a]:[Up - F2b]]),"")</f>
        <v>2.5</v>
      </c>
      <c r="AU505">
        <v>3</v>
      </c>
      <c r="AV505">
        <v>2</v>
      </c>
      <c r="AW505">
        <f>IFERROR(AVERAGE(Tabel1[[#This Row],[Up - F3a]:[Up - F3b]]),"")</f>
        <v>2.5</v>
      </c>
      <c r="AX505">
        <v>2</v>
      </c>
      <c r="AY505">
        <f>IFERROR(AVERAGE(Tabel1[[#This Row],[Up - F1]],Tabel1[[#This Row],[Up - F2]],Tabel1[[#This Row],[Up - F3]],Tabel1[[#This Row],[Up - F4]]),"")</f>
        <v>2.25</v>
      </c>
      <c r="AZ505">
        <v>2</v>
      </c>
      <c r="BA505">
        <v>2</v>
      </c>
      <c r="BB505">
        <f>IFERROR(AVERAGE(Tabel1[[#This Row],[Up - V1a]:[Up - V1b]]),"")</f>
        <v>2</v>
      </c>
      <c r="BC505">
        <v>2</v>
      </c>
      <c r="BD505">
        <v>2</v>
      </c>
      <c r="BE505">
        <v>2</v>
      </c>
      <c r="BF505">
        <f>IFERROR(AVERAGE(Tabel1[[#This Row],[Up - V2a]:[Up - V2c]]),"")</f>
        <v>2</v>
      </c>
      <c r="BG505">
        <v>2</v>
      </c>
      <c r="BH505">
        <v>2</v>
      </c>
      <c r="BI505">
        <f>IFERROR(AVERAGE(Tabel1[[#This Row],[Up - V3a]:[Up - V3b]]),"")</f>
        <v>2</v>
      </c>
      <c r="BJ505">
        <v>2</v>
      </c>
      <c r="BK505">
        <f>IFERROR(AVERAGE(Tabel1[[#This Row],[Up - V1]],Tabel1[[#This Row],[Up - V2]],Tabel1[[#This Row],[Up - V3]],Tabel1[[#This Row],[Up - V4]]),"")</f>
        <v>2</v>
      </c>
      <c r="BL505">
        <v>2</v>
      </c>
      <c r="BM505">
        <v>2</v>
      </c>
      <c r="BN505">
        <v>2</v>
      </c>
      <c r="BO505">
        <v>2</v>
      </c>
      <c r="BP505">
        <f>IFERROR(AVERAGE(Tabel1[[#This Row],[Up - A1a]:[Up - A1d]]),"")</f>
        <v>2</v>
      </c>
      <c r="BQ505">
        <v>2</v>
      </c>
      <c r="BR505">
        <v>2</v>
      </c>
      <c r="BS505">
        <f>IFERROR(AVERAGE(Tabel1[[#This Row],[Up - A2a]:[Up - A2b]]),"")</f>
        <v>2</v>
      </c>
      <c r="BT505">
        <v>2</v>
      </c>
      <c r="BU505">
        <f>IFERROR(AVERAGE(Tabel1[[#This Row],[Up - A3a]:[Up - A3a]]),"")</f>
        <v>2</v>
      </c>
      <c r="BV505">
        <v>2</v>
      </c>
      <c r="BW505">
        <f>IFERROR(AVERAGE(Tabel1[[#This Row],[Up - A1]],Tabel1[[#This Row],[Up - A2]],Tabel1[[#This Row],[Up - A3]]),"")</f>
        <v>2</v>
      </c>
      <c r="BX505">
        <v>1</v>
      </c>
      <c r="BY505">
        <v>2</v>
      </c>
      <c r="BZ505">
        <f>IFERROR(AVERAGE(Tabel1[[#This Row],[In - R1a]:[In - R1b]]),"")</f>
        <v>1.5</v>
      </c>
      <c r="CA505">
        <v>2</v>
      </c>
      <c r="CB505">
        <v>4</v>
      </c>
      <c r="CC505">
        <v>2</v>
      </c>
      <c r="CD505">
        <v>2</v>
      </c>
      <c r="CE505">
        <f>IFERROR(AVERAGE(Tabel1[[#This Row],[In - R1]:[In - R5]]),"")</f>
        <v>2.2999999999999998</v>
      </c>
      <c r="CF505">
        <v>2</v>
      </c>
      <c r="CG505">
        <v>2</v>
      </c>
      <c r="CH505">
        <v>2</v>
      </c>
      <c r="CI505">
        <f>IFERROR(AVERAGE(Tabel1[[#This Row],[In - C1a]:[In - C1c]]),"")</f>
        <v>2</v>
      </c>
      <c r="CJ505">
        <v>4</v>
      </c>
      <c r="CK505">
        <v>2</v>
      </c>
      <c r="CL505">
        <v>2</v>
      </c>
      <c r="CM505">
        <f>IFERROR(AVERAGE(Tabel1[[#This Row],[In - C1]:[In - C4]]),"")</f>
        <v>2.5</v>
      </c>
      <c r="CN505">
        <v>3</v>
      </c>
      <c r="CO505">
        <v>3</v>
      </c>
      <c r="CP505">
        <v>2</v>
      </c>
      <c r="CQ505">
        <f>IFERROR(AVERAGE(Tabel1[[#This Row],[In - F1a]:[In - F1c]]),"")</f>
        <v>2.6666666666666665</v>
      </c>
      <c r="CR505">
        <v>2</v>
      </c>
      <c r="CS505">
        <v>2</v>
      </c>
      <c r="CT505">
        <f>IFERROR(AVERAGE(Tabel1[[#This Row],[In - F2a]:[In - F2b]]),"")</f>
        <v>2</v>
      </c>
      <c r="CU505">
        <v>2</v>
      </c>
      <c r="CV505">
        <f>IFERROR(AVERAGE(Tabel1[[#This Row],[In - F3a]:[In - F3a]]),"")</f>
        <v>2</v>
      </c>
      <c r="CW505">
        <v>2</v>
      </c>
      <c r="CX505">
        <f>IFERROR(AVERAGE(Tabel1[[#This Row],[In - F1]],Tabel1[[#This Row],[In - F2]],Tabel1[[#This Row],[In - F3]],Tabel1[[#This Row],[In - F4]]),"")</f>
        <v>2.1666666666666665</v>
      </c>
      <c r="CY505">
        <v>2</v>
      </c>
      <c r="CZ505">
        <v>2</v>
      </c>
      <c r="DA505">
        <v>2</v>
      </c>
      <c r="DB505">
        <f>IFERROR(AVERAGE(Tabel1[[#This Row],[In - V1a]:[In - V1c]]),"")</f>
        <v>2</v>
      </c>
      <c r="DC505">
        <v>2</v>
      </c>
      <c r="DD505">
        <v>2</v>
      </c>
      <c r="DE505">
        <v>2</v>
      </c>
      <c r="DF505">
        <f>IFERROR(AVERAGE(Tabel1[[#This Row],[In - V2a]:[In - V2c]]),"")</f>
        <v>2</v>
      </c>
      <c r="DG505">
        <v>2</v>
      </c>
      <c r="DH505">
        <v>2</v>
      </c>
      <c r="DI505">
        <f>IFERROR(AVERAGE(Tabel1[[#This Row],[In - V3a]:[In - V3b]]),"")</f>
        <v>2</v>
      </c>
      <c r="DJ505">
        <v>2</v>
      </c>
      <c r="DK505">
        <f>IFERROR(AVERAGE(Tabel1[[#This Row],[In - V1]],Tabel1[[#This Row],[In - V2]],Tabel1[[#This Row],[In - V3]],Tabel1[[#This Row],[In - V4]]),"")</f>
        <v>2</v>
      </c>
      <c r="DL505">
        <v>2</v>
      </c>
      <c r="DM505">
        <v>2</v>
      </c>
      <c r="DN505">
        <f>IFERROR(AVERAGE(Tabel1[[#This Row],[In - A1a]:[In - A1b]]),"")</f>
        <v>2</v>
      </c>
      <c r="DO505">
        <v>2</v>
      </c>
      <c r="DP505">
        <v>2</v>
      </c>
      <c r="DQ505">
        <f>IFERROR(AVERAGE(Tabel1[[#This Row],[In - A2a]:[In - A2b]]),"")</f>
        <v>2</v>
      </c>
      <c r="DR505">
        <v>2</v>
      </c>
      <c r="DS505">
        <v>2</v>
      </c>
      <c r="DT505">
        <f>IFERROR(AVERAGE(Tabel1[[#This Row],[In - A3a]:[In - A3a]]),"")</f>
        <v>2</v>
      </c>
      <c r="DU505">
        <v>2</v>
      </c>
      <c r="DV505">
        <f>IFERROR(AVERAGE(Tabel1[[#This Row],[In - A1]],Tabel1[[#This Row],[In - A2]],Tabel1[[#This Row],[In - A3]],Tabel1[[#This Row],[In - A4]]),"")</f>
        <v>2</v>
      </c>
      <c r="DW505">
        <v>1</v>
      </c>
      <c r="DX505">
        <v>2</v>
      </c>
      <c r="DY505">
        <v>2</v>
      </c>
      <c r="DZ505">
        <f>IFERROR(AVERAGE(Tabel1[[#This Row],[Do - R1a]:[Do - R1c]]),"")</f>
        <v>1.6666666666666667</v>
      </c>
      <c r="EA505">
        <v>2</v>
      </c>
      <c r="EB505">
        <v>4</v>
      </c>
      <c r="EC505">
        <v>2</v>
      </c>
      <c r="ED505">
        <v>2</v>
      </c>
      <c r="EE505">
        <f>IFERROR(AVERAGE(Tabel1[[#This Row],[Do - R1]:[Do - R5]]),"")</f>
        <v>2.3333333333333335</v>
      </c>
      <c r="EF505">
        <v>2</v>
      </c>
      <c r="EG505">
        <v>3</v>
      </c>
      <c r="EH505">
        <v>2</v>
      </c>
      <c r="EI505">
        <f>IFERROR(AVERAGE(Tabel1[[#This Row],[Do - C1a]:[Do - C1c]]),"")</f>
        <v>2.3333333333333335</v>
      </c>
      <c r="EJ505">
        <v>4</v>
      </c>
      <c r="EK505">
        <v>3</v>
      </c>
      <c r="EL505">
        <v>3</v>
      </c>
      <c r="EM505">
        <f>IFERROR(AVERAGE(Tabel1[[#This Row],[Do - C1]:[Do - C4]]),"")</f>
        <v>3.0833333333333335</v>
      </c>
      <c r="EN505">
        <v>2</v>
      </c>
      <c r="EO505">
        <v>2</v>
      </c>
      <c r="EP505">
        <v>2</v>
      </c>
      <c r="EQ505">
        <f>IFERROR(AVERAGE(Tabel1[[#This Row],[Do - F1a]:[Do - F1c]]),"")</f>
        <v>2</v>
      </c>
      <c r="ER505">
        <v>3</v>
      </c>
      <c r="ES505">
        <f>IFERROR(AVERAGE(Tabel1[[#This Row],[Do - F2a]:[Do - F2a]]),"")</f>
        <v>3</v>
      </c>
      <c r="ET505">
        <v>2</v>
      </c>
      <c r="EU505">
        <v>2</v>
      </c>
      <c r="EV505">
        <f>IFERROR(AVERAGE(Tabel1[[#This Row],[Do - F3a]:[Do - F3b]]),"")</f>
        <v>2</v>
      </c>
      <c r="EW505">
        <v>2</v>
      </c>
      <c r="EX505">
        <f>IFERROR(AVERAGE(Tabel1[[#This Row],[Do - F1]],Tabel1[[#This Row],[Do - F2]],Tabel1[[#This Row],[Do - F3]],Tabel1[[#This Row],[Do - F4]]),"")</f>
        <v>2.25</v>
      </c>
      <c r="EY505">
        <v>2</v>
      </c>
      <c r="EZ505">
        <v>2</v>
      </c>
      <c r="FA505">
        <v>2</v>
      </c>
      <c r="FB505">
        <f>IFERROR(AVERAGE(Tabel1[[#This Row],[Do - V1a]:[Do - V1c]]),"")</f>
        <v>2</v>
      </c>
      <c r="FC505">
        <v>2</v>
      </c>
      <c r="FD505">
        <v>2</v>
      </c>
      <c r="FE505">
        <f>IFERROR(AVERAGE(Tabel1[[#This Row],[Do - V2a]:[Do - V2b]]),"")</f>
        <v>2</v>
      </c>
      <c r="FF505">
        <v>2</v>
      </c>
      <c r="FG505">
        <f>IFERROR(AVERAGE(Tabel1[[#This Row],[Do - V3a]:[Do - V3a]]),"")</f>
        <v>2</v>
      </c>
      <c r="FH505">
        <v>2</v>
      </c>
      <c r="FI505">
        <f>IFERROR(AVERAGE(Tabel1[[#This Row],[Do - V1]],Tabel1[[#This Row],[Do - V2]],Tabel1[[#This Row],[Do - V3]],Tabel1[[#This Row],[Do - V4]]),"")</f>
        <v>2</v>
      </c>
      <c r="FJ505">
        <v>2</v>
      </c>
      <c r="FK505">
        <v>2</v>
      </c>
      <c r="FL505">
        <v>2</v>
      </c>
      <c r="FM505">
        <f>IFERROR(AVERAGE(Tabel1[[#This Row],[Do - A1a]:[Do - A1c]]),"")</f>
        <v>2</v>
      </c>
      <c r="FN505">
        <v>2</v>
      </c>
      <c r="FO505">
        <v>2</v>
      </c>
      <c r="FP505">
        <f>IFERROR(AVERAGE(Tabel1[[#This Row],[Do - A2a]:[Do - A2b]]),"")</f>
        <v>2</v>
      </c>
      <c r="FQ505">
        <v>2</v>
      </c>
      <c r="FR505">
        <f>IFERROR(AVERAGE(Tabel1[[#This Row],[Do - A3a]:[Do - A3a]]),"")</f>
        <v>2</v>
      </c>
      <c r="FS505">
        <v>2</v>
      </c>
      <c r="FT505">
        <f>IFERROR(AVERAGE(Tabel1[[#This Row],[Do - A1]],Tabel1[[#This Row],[Do - A2]],Tabel1[[#This Row],[Do - A3]],Tabel1[[#This Row],[Do - A4]]),"")</f>
        <v>2</v>
      </c>
      <c r="FU50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2.2322222222222221</v>
      </c>
      <c r="FV505" s="31" t="s">
        <v>2454</v>
      </c>
      <c r="FW505" t="b">
        <v>1</v>
      </c>
    </row>
    <row r="506" spans="1:179" x14ac:dyDescent="0.3">
      <c r="A506" s="13">
        <v>45797.566377314797</v>
      </c>
      <c r="B506" t="b">
        <v>0</v>
      </c>
      <c r="C506" t="s">
        <v>2455</v>
      </c>
      <c r="D506" t="s">
        <v>2456</v>
      </c>
      <c r="E506" t="s">
        <v>2457</v>
      </c>
      <c r="F506" s="14" t="s">
        <v>184</v>
      </c>
      <c r="G506" t="s">
        <v>2458</v>
      </c>
      <c r="H506" t="s">
        <v>194</v>
      </c>
      <c r="I506" t="s">
        <v>195</v>
      </c>
      <c r="J506" t="s">
        <v>533</v>
      </c>
      <c r="K506" t="s">
        <v>187</v>
      </c>
      <c r="L506" t="s">
        <v>197</v>
      </c>
      <c r="M506" t="s">
        <v>233</v>
      </c>
      <c r="N506" t="s">
        <v>479</v>
      </c>
      <c r="O506" t="s">
        <v>200</v>
      </c>
      <c r="P506" t="s">
        <v>187</v>
      </c>
      <c r="Q506" t="s">
        <v>187</v>
      </c>
      <c r="R506" t="s">
        <v>187</v>
      </c>
      <c r="S506" t="s">
        <v>187</v>
      </c>
      <c r="T506" t="s">
        <v>236</v>
      </c>
      <c r="U506" t="s">
        <v>205</v>
      </c>
      <c r="V506" t="s">
        <v>206</v>
      </c>
      <c r="W506" t="s">
        <v>207</v>
      </c>
      <c r="X506" t="s">
        <v>207</v>
      </c>
      <c r="Y506">
        <v>4</v>
      </c>
      <c r="Z506">
        <v>5</v>
      </c>
      <c r="AA506">
        <v>2</v>
      </c>
      <c r="AB506">
        <f>IFERROR(AVERAGE(Tabel1[[#This Row],[Up - R1a]:[Up - R1c]]),"")</f>
        <v>3.6666666666666665</v>
      </c>
      <c r="AC506">
        <v>5</v>
      </c>
      <c r="AD506">
        <v>5</v>
      </c>
      <c r="AE506">
        <v>3</v>
      </c>
      <c r="AF506">
        <v>3</v>
      </c>
      <c r="AG506">
        <f>IFERROR(AVERAGE(Tabel1[[#This Row],[Up - R1]:[Up - R5]]),"")</f>
        <v>3.9333333333333327</v>
      </c>
      <c r="AH506">
        <v>5</v>
      </c>
      <c r="AI506">
        <v>3</v>
      </c>
      <c r="AJ506">
        <v>5</v>
      </c>
      <c r="AK506">
        <f>IFERROR(AVERAGE(Tabel1[[#This Row],[Up - C1a]:[Up - C1c]]),"")</f>
        <v>4.333333333333333</v>
      </c>
      <c r="AL506">
        <v>5</v>
      </c>
      <c r="AM506">
        <v>4</v>
      </c>
      <c r="AN506">
        <v>3</v>
      </c>
      <c r="AO506">
        <f>IFERROR(AVERAGE(Tabel1[[#This Row],[Up - C1]:[Up - C4]]),"")</f>
        <v>4.083333333333333</v>
      </c>
      <c r="AP506">
        <v>4</v>
      </c>
      <c r="AQ506">
        <f>IFERROR(AVERAGE(Tabel1[[#This Row],[Up - F1a]:[Up - F1a]]),"")</f>
        <v>4</v>
      </c>
      <c r="AR506">
        <v>4</v>
      </c>
      <c r="AS506">
        <v>5</v>
      </c>
      <c r="AT506">
        <f>IFERROR(AVERAGE(Tabel1[[#This Row],[Up - F2a]:[Up - F2b]]),"")</f>
        <v>4.5</v>
      </c>
      <c r="AU506">
        <v>4</v>
      </c>
      <c r="AV506">
        <v>3</v>
      </c>
      <c r="AW506">
        <f>IFERROR(AVERAGE(Tabel1[[#This Row],[Up - F3a]:[Up - F3b]]),"")</f>
        <v>3.5</v>
      </c>
      <c r="AX506">
        <v>3</v>
      </c>
      <c r="AY506">
        <f>IFERROR(AVERAGE(Tabel1[[#This Row],[Up - F1]],Tabel1[[#This Row],[Up - F2]],Tabel1[[#This Row],[Up - F3]],Tabel1[[#This Row],[Up - F4]]),"")</f>
        <v>3.75</v>
      </c>
      <c r="AZ506">
        <v>2</v>
      </c>
      <c r="BA506">
        <v>3</v>
      </c>
      <c r="BB506">
        <f>IFERROR(AVERAGE(Tabel1[[#This Row],[Up - V1a]:[Up - V1b]]),"")</f>
        <v>2.5</v>
      </c>
      <c r="BC506">
        <v>4</v>
      </c>
      <c r="BD506">
        <v>5</v>
      </c>
      <c r="BE506">
        <v>5</v>
      </c>
      <c r="BF506">
        <f>IFERROR(AVERAGE(Tabel1[[#This Row],[Up - V2a]:[Up - V2c]]),"")</f>
        <v>4.666666666666667</v>
      </c>
      <c r="BG506">
        <v>3</v>
      </c>
      <c r="BH506">
        <v>2</v>
      </c>
      <c r="BI506">
        <f>IFERROR(AVERAGE(Tabel1[[#This Row],[Up - V3a]:[Up - V3b]]),"")</f>
        <v>2.5</v>
      </c>
      <c r="BJ506" t="s">
        <v>189</v>
      </c>
      <c r="BK506">
        <f>IFERROR(AVERAGE(Tabel1[[#This Row],[Up - V1]],Tabel1[[#This Row],[Up - V2]],Tabel1[[#This Row],[Up - V3]],Tabel1[[#This Row],[Up - V4]]),"")</f>
        <v>3.2222222222222228</v>
      </c>
      <c r="BL506">
        <v>3</v>
      </c>
      <c r="BM506">
        <v>3</v>
      </c>
      <c r="BN506">
        <v>3</v>
      </c>
      <c r="BO506">
        <v>2</v>
      </c>
      <c r="BP506">
        <f>IFERROR(AVERAGE(Tabel1[[#This Row],[Up - A1a]:[Up - A1d]]),"")</f>
        <v>2.75</v>
      </c>
      <c r="BQ506">
        <v>4</v>
      </c>
      <c r="BR506">
        <v>5</v>
      </c>
      <c r="BS506">
        <f>IFERROR(AVERAGE(Tabel1[[#This Row],[Up - A2a]:[Up - A2b]]),"")</f>
        <v>4.5</v>
      </c>
      <c r="BT506">
        <v>4</v>
      </c>
      <c r="BU506">
        <f>IFERROR(AVERAGE(Tabel1[[#This Row],[Up - A3a]:[Up - A3a]]),"")</f>
        <v>4</v>
      </c>
      <c r="BV506">
        <v>3</v>
      </c>
      <c r="BW506">
        <f>IFERROR(AVERAGE(Tabel1[[#This Row],[Up - A1]],Tabel1[[#This Row],[Up - A2]],Tabel1[[#This Row],[Up - A3]]),"")</f>
        <v>3.75</v>
      </c>
      <c r="BX506">
        <v>4</v>
      </c>
      <c r="BY506">
        <v>5</v>
      </c>
      <c r="BZ506">
        <f>IFERROR(AVERAGE(Tabel1[[#This Row],[In - R1a]:[In - R1b]]),"")</f>
        <v>4.5</v>
      </c>
      <c r="CA506">
        <v>4</v>
      </c>
      <c r="CB506">
        <v>5</v>
      </c>
      <c r="CC506">
        <v>4</v>
      </c>
      <c r="CD506" t="s">
        <v>189</v>
      </c>
      <c r="CE506">
        <f>IFERROR(AVERAGE(Tabel1[[#This Row],[In - R1]:[In - R5]]),"")</f>
        <v>4.375</v>
      </c>
      <c r="CF506">
        <v>4</v>
      </c>
      <c r="CG506">
        <v>5</v>
      </c>
      <c r="CH506">
        <v>4</v>
      </c>
      <c r="CI506">
        <f>IFERROR(AVERAGE(Tabel1[[#This Row],[In - C1a]:[In - C1c]]),"")</f>
        <v>4.333333333333333</v>
      </c>
      <c r="CJ506">
        <v>4</v>
      </c>
      <c r="CK506">
        <v>4</v>
      </c>
      <c r="CL506">
        <v>5</v>
      </c>
      <c r="CM506">
        <f>IFERROR(AVERAGE(Tabel1[[#This Row],[In - C1]:[In - C4]]),"")</f>
        <v>4.333333333333333</v>
      </c>
      <c r="CN506">
        <v>4</v>
      </c>
      <c r="CO506">
        <v>5</v>
      </c>
      <c r="CP506">
        <v>3</v>
      </c>
      <c r="CQ506">
        <f>IFERROR(AVERAGE(Tabel1[[#This Row],[In - F1a]:[In - F1c]]),"")</f>
        <v>4</v>
      </c>
      <c r="CR506">
        <v>4</v>
      </c>
      <c r="CS506">
        <v>4</v>
      </c>
      <c r="CT506">
        <f>IFERROR(AVERAGE(Tabel1[[#This Row],[In - F2a]:[In - F2b]]),"")</f>
        <v>4</v>
      </c>
      <c r="CU506">
        <v>2</v>
      </c>
      <c r="CV506">
        <f>IFERROR(AVERAGE(Tabel1[[#This Row],[In - F3a]:[In - F3a]]),"")</f>
        <v>2</v>
      </c>
      <c r="CW506">
        <v>2</v>
      </c>
      <c r="CX506">
        <f>IFERROR(AVERAGE(Tabel1[[#This Row],[In - F1]],Tabel1[[#This Row],[In - F2]],Tabel1[[#This Row],[In - F3]],Tabel1[[#This Row],[In - F4]]),"")</f>
        <v>3</v>
      </c>
      <c r="CY506">
        <v>5</v>
      </c>
      <c r="CZ506">
        <v>5</v>
      </c>
      <c r="DA506">
        <v>5</v>
      </c>
      <c r="DB506">
        <f>IFERROR(AVERAGE(Tabel1[[#This Row],[In - V1a]:[In - V1c]]),"")</f>
        <v>5</v>
      </c>
      <c r="DC506">
        <v>3</v>
      </c>
      <c r="DD506">
        <v>4</v>
      </c>
      <c r="DE506">
        <v>1</v>
      </c>
      <c r="DF506">
        <f>IFERROR(AVERAGE(Tabel1[[#This Row],[In - V2a]:[In - V2c]]),"")</f>
        <v>2.6666666666666665</v>
      </c>
      <c r="DG506">
        <v>4</v>
      </c>
      <c r="DH506">
        <v>3</v>
      </c>
      <c r="DI506">
        <f>IFERROR(AVERAGE(Tabel1[[#This Row],[In - V3a]:[In - V3b]]),"")</f>
        <v>3.5</v>
      </c>
      <c r="DJ506">
        <v>1</v>
      </c>
      <c r="DK506">
        <f>IFERROR(AVERAGE(Tabel1[[#This Row],[In - V1]],Tabel1[[#This Row],[In - V2]],Tabel1[[#This Row],[In - V3]],Tabel1[[#This Row],[In - V4]]),"")</f>
        <v>3.0416666666666665</v>
      </c>
      <c r="DL506">
        <v>2</v>
      </c>
      <c r="DM506">
        <v>1</v>
      </c>
      <c r="DN506">
        <f>IFERROR(AVERAGE(Tabel1[[#This Row],[In - A1a]:[In - A1b]]),"")</f>
        <v>1.5</v>
      </c>
      <c r="DO506">
        <v>3</v>
      </c>
      <c r="DP506">
        <v>4</v>
      </c>
      <c r="DQ506">
        <f>IFERROR(AVERAGE(Tabel1[[#This Row],[In - A2a]:[In - A2b]]),"")</f>
        <v>3.5</v>
      </c>
      <c r="DR506">
        <v>4</v>
      </c>
      <c r="DS506">
        <v>2</v>
      </c>
      <c r="DT506">
        <f>IFERROR(AVERAGE(Tabel1[[#This Row],[In - A3a]:[In - A3a]]),"")</f>
        <v>4</v>
      </c>
      <c r="DU506">
        <v>3</v>
      </c>
      <c r="DV506">
        <f>IFERROR(AVERAGE(Tabel1[[#This Row],[In - A1]],Tabel1[[#This Row],[In - A2]],Tabel1[[#This Row],[In - A3]],Tabel1[[#This Row],[In - A4]]),"")</f>
        <v>3</v>
      </c>
      <c r="DW506">
        <v>2</v>
      </c>
      <c r="DX506">
        <v>5</v>
      </c>
      <c r="DY506">
        <v>4</v>
      </c>
      <c r="DZ506">
        <f>IFERROR(AVERAGE(Tabel1[[#This Row],[Do - R1a]:[Do - R1c]]),"")</f>
        <v>3.6666666666666665</v>
      </c>
      <c r="EA506">
        <v>2</v>
      </c>
      <c r="EB506">
        <v>5</v>
      </c>
      <c r="EC506">
        <v>3</v>
      </c>
      <c r="ED506">
        <v>5</v>
      </c>
      <c r="EE506">
        <f>IFERROR(AVERAGE(Tabel1[[#This Row],[Do - R1]:[Do - R5]]),"")</f>
        <v>3.7333333333333329</v>
      </c>
      <c r="EF506">
        <v>3</v>
      </c>
      <c r="EG506">
        <v>5</v>
      </c>
      <c r="EH506">
        <v>5</v>
      </c>
      <c r="EI506">
        <f>IFERROR(AVERAGE(Tabel1[[#This Row],[Do - C1a]:[Do - C1c]]),"")</f>
        <v>4.333333333333333</v>
      </c>
      <c r="EJ506">
        <v>4</v>
      </c>
      <c r="EK506">
        <v>5</v>
      </c>
      <c r="EL506">
        <v>4</v>
      </c>
      <c r="EM506">
        <f>IFERROR(AVERAGE(Tabel1[[#This Row],[Do - C1]:[Do - C4]]),"")</f>
        <v>4.333333333333333</v>
      </c>
      <c r="EN506">
        <v>4</v>
      </c>
      <c r="EO506">
        <v>5</v>
      </c>
      <c r="EP506">
        <v>4</v>
      </c>
      <c r="EQ506">
        <f>IFERROR(AVERAGE(Tabel1[[#This Row],[Do - F1a]:[Do - F1c]]),"")</f>
        <v>4.333333333333333</v>
      </c>
      <c r="ER506">
        <v>5</v>
      </c>
      <c r="ES506">
        <f>IFERROR(AVERAGE(Tabel1[[#This Row],[Do - F2a]:[Do - F2a]]),"")</f>
        <v>5</v>
      </c>
      <c r="ET506">
        <v>4</v>
      </c>
      <c r="EU506">
        <v>4</v>
      </c>
      <c r="EV506">
        <f>IFERROR(AVERAGE(Tabel1[[#This Row],[Do - F3a]:[Do - F3b]]),"")</f>
        <v>4</v>
      </c>
      <c r="EW506">
        <v>3</v>
      </c>
      <c r="EX506">
        <f>IFERROR(AVERAGE(Tabel1[[#This Row],[Do - F1]],Tabel1[[#This Row],[Do - F2]],Tabel1[[#This Row],[Do - F3]],Tabel1[[#This Row],[Do - F4]]),"")</f>
        <v>4.083333333333333</v>
      </c>
      <c r="EY506">
        <v>4</v>
      </c>
      <c r="EZ506">
        <v>3</v>
      </c>
      <c r="FA506">
        <v>2</v>
      </c>
      <c r="FB506">
        <f>IFERROR(AVERAGE(Tabel1[[#This Row],[Do - V1a]:[Do - V1c]]),"")</f>
        <v>3</v>
      </c>
      <c r="FC506">
        <v>4</v>
      </c>
      <c r="FD506">
        <v>4</v>
      </c>
      <c r="FE506">
        <f>IFERROR(AVERAGE(Tabel1[[#This Row],[Do - V2a]:[Do - V2b]]),"")</f>
        <v>4</v>
      </c>
      <c r="FF506">
        <v>4</v>
      </c>
      <c r="FG506">
        <f>IFERROR(AVERAGE(Tabel1[[#This Row],[Do - V3a]:[Do - V3a]]),"")</f>
        <v>4</v>
      </c>
      <c r="FH506">
        <v>2</v>
      </c>
      <c r="FI506">
        <f>IFERROR(AVERAGE(Tabel1[[#This Row],[Do - V1]],Tabel1[[#This Row],[Do - V2]],Tabel1[[#This Row],[Do - V3]],Tabel1[[#This Row],[Do - V4]]),"")</f>
        <v>3.25</v>
      </c>
      <c r="FJ506">
        <v>3</v>
      </c>
      <c r="FK506">
        <v>4</v>
      </c>
      <c r="FL506">
        <v>4</v>
      </c>
      <c r="FM506">
        <f>IFERROR(AVERAGE(Tabel1[[#This Row],[Do - A1a]:[Do - A1c]]),"")</f>
        <v>3.6666666666666665</v>
      </c>
      <c r="FN506">
        <v>5</v>
      </c>
      <c r="FO506">
        <v>5</v>
      </c>
      <c r="FP506">
        <f>IFERROR(AVERAGE(Tabel1[[#This Row],[Do - A2a]:[Do - A2b]]),"")</f>
        <v>5</v>
      </c>
      <c r="FQ506">
        <v>4</v>
      </c>
      <c r="FR506">
        <f>IFERROR(AVERAGE(Tabel1[[#This Row],[Do - A3a]:[Do - A3a]]),"")</f>
        <v>4</v>
      </c>
      <c r="FS506">
        <v>4</v>
      </c>
      <c r="FT506">
        <f>IFERROR(AVERAGE(Tabel1[[#This Row],[Do - A1]],Tabel1[[#This Row],[Do - A2]],Tabel1[[#This Row],[Do - A3]],Tabel1[[#This Row],[Do - A4]]),"")</f>
        <v>4.1666666666666661</v>
      </c>
      <c r="FU50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3.7370370370370369</v>
      </c>
      <c r="FV506" s="31" t="s">
        <v>2459</v>
      </c>
      <c r="FW506" t="b">
        <v>1</v>
      </c>
    </row>
    <row r="507" spans="1:179" x14ac:dyDescent="0.3">
      <c r="A507" s="13">
        <v>45798.767650463</v>
      </c>
      <c r="B507" t="b">
        <v>0</v>
      </c>
      <c r="C507" t="s">
        <v>2460</v>
      </c>
      <c r="D507" t="s">
        <v>2461</v>
      </c>
      <c r="E507" t="s">
        <v>2462</v>
      </c>
      <c r="F507" s="14" t="s">
        <v>184</v>
      </c>
      <c r="G507" t="s">
        <v>2463</v>
      </c>
      <c r="H507" t="s">
        <v>194</v>
      </c>
      <c r="I507" t="s">
        <v>385</v>
      </c>
      <c r="J507" t="s">
        <v>888</v>
      </c>
      <c r="K507" t="s">
        <v>317</v>
      </c>
      <c r="L507" t="s">
        <v>197</v>
      </c>
      <c r="M507" t="s">
        <v>198</v>
      </c>
      <c r="N507" t="s">
        <v>331</v>
      </c>
      <c r="O507" t="s">
        <v>256</v>
      </c>
      <c r="P507" t="s">
        <v>235</v>
      </c>
      <c r="Q507" t="s">
        <v>701</v>
      </c>
      <c r="R507" t="s">
        <v>187</v>
      </c>
      <c r="S507" t="s">
        <v>701</v>
      </c>
      <c r="T507" t="s">
        <v>236</v>
      </c>
      <c r="U507" t="s">
        <v>349</v>
      </c>
      <c r="V507" t="s">
        <v>484</v>
      </c>
      <c r="W507" t="s">
        <v>306</v>
      </c>
      <c r="X507" t="s">
        <v>207</v>
      </c>
      <c r="Y507">
        <v>3</v>
      </c>
      <c r="Z507" t="s">
        <v>189</v>
      </c>
      <c r="AA507" t="s">
        <v>189</v>
      </c>
      <c r="AB507">
        <f>IFERROR(AVERAGE(Tabel1[[#This Row],[Up - R1a]:[Up - R1c]]),"")</f>
        <v>3</v>
      </c>
      <c r="AC507" t="s">
        <v>189</v>
      </c>
      <c r="AD507">
        <v>2</v>
      </c>
      <c r="AE507">
        <v>3</v>
      </c>
      <c r="AF507">
        <v>2</v>
      </c>
      <c r="AG507">
        <f>IFERROR(AVERAGE(Tabel1[[#This Row],[Up - R1]:[Up - R5]]),"")</f>
        <v>2.5</v>
      </c>
      <c r="AH507" t="s">
        <v>189</v>
      </c>
      <c r="AI507" t="s">
        <v>189</v>
      </c>
      <c r="AJ507" t="s">
        <v>189</v>
      </c>
      <c r="AK507" t="str">
        <f>IFERROR(AVERAGE(Tabel1[[#This Row],[Up - C1a]:[Up - C1c]]),"")</f>
        <v/>
      </c>
      <c r="AL507" t="s">
        <v>189</v>
      </c>
      <c r="AM507">
        <v>1</v>
      </c>
      <c r="AN507" t="s">
        <v>189</v>
      </c>
      <c r="AO507">
        <f>IFERROR(AVERAGE(Tabel1[[#This Row],[Up - C1]:[Up - C4]]),"")</f>
        <v>1</v>
      </c>
      <c r="AP507" t="s">
        <v>189</v>
      </c>
      <c r="AQ507" t="str">
        <f>IFERROR(AVERAGE(Tabel1[[#This Row],[Up - F1a]:[Up - F1a]]),"")</f>
        <v/>
      </c>
      <c r="AR507" t="s">
        <v>189</v>
      </c>
      <c r="AS507" t="s">
        <v>189</v>
      </c>
      <c r="AT507" t="str">
        <f>IFERROR(AVERAGE(Tabel1[[#This Row],[Up - F2a]:[Up - F2b]]),"")</f>
        <v/>
      </c>
      <c r="AU507" t="s">
        <v>189</v>
      </c>
      <c r="AV507" t="s">
        <v>189</v>
      </c>
      <c r="AW507" t="str">
        <f>IFERROR(AVERAGE(Tabel1[[#This Row],[Up - F3a]:[Up - F3b]]),"")</f>
        <v/>
      </c>
      <c r="AX507">
        <v>3</v>
      </c>
      <c r="AY507">
        <f>IFERROR(AVERAGE(Tabel1[[#This Row],[Up - F1]],Tabel1[[#This Row],[Up - F2]],Tabel1[[#This Row],[Up - F3]],Tabel1[[#This Row],[Up - F4]]),"")</f>
        <v>3</v>
      </c>
      <c r="AZ507" t="s">
        <v>189</v>
      </c>
      <c r="BA507" t="s">
        <v>189</v>
      </c>
      <c r="BB507" t="str">
        <f>IFERROR(AVERAGE(Tabel1[[#This Row],[Up - V1a]:[Up - V1b]]),"")</f>
        <v/>
      </c>
      <c r="BC507" t="s">
        <v>189</v>
      </c>
      <c r="BD507" t="s">
        <v>189</v>
      </c>
      <c r="BE507" t="s">
        <v>189</v>
      </c>
      <c r="BF507" t="str">
        <f>IFERROR(AVERAGE(Tabel1[[#This Row],[Up - V2a]:[Up - V2c]]),"")</f>
        <v/>
      </c>
      <c r="BG507" t="s">
        <v>189</v>
      </c>
      <c r="BH507" t="s">
        <v>189</v>
      </c>
      <c r="BI507" t="str">
        <f>IFERROR(AVERAGE(Tabel1[[#This Row],[Up - V3a]:[Up - V3b]]),"")</f>
        <v/>
      </c>
      <c r="BJ507" t="s">
        <v>189</v>
      </c>
      <c r="BK507" t="str">
        <f>IFERROR(AVERAGE(Tabel1[[#This Row],[Up - V1]],Tabel1[[#This Row],[Up - V2]],Tabel1[[#This Row],[Up - V3]],Tabel1[[#This Row],[Up - V4]]),"")</f>
        <v/>
      </c>
      <c r="BL507" t="s">
        <v>189</v>
      </c>
      <c r="BM507" t="s">
        <v>189</v>
      </c>
      <c r="BN507" t="s">
        <v>189</v>
      </c>
      <c r="BP507" t="str">
        <f>IFERROR(AVERAGE(Tabel1[[#This Row],[Up - A1a]:[Up - A1d]]),"")</f>
        <v/>
      </c>
      <c r="BQ507" t="s">
        <v>189</v>
      </c>
      <c r="BR507" t="s">
        <v>189</v>
      </c>
      <c r="BS507" t="str">
        <f>IFERROR(AVERAGE(Tabel1[[#This Row],[Up - A2a]:[Up - A2b]]),"")</f>
        <v/>
      </c>
      <c r="BT507" t="s">
        <v>189</v>
      </c>
      <c r="BU507" t="str">
        <f>IFERROR(AVERAGE(Tabel1[[#This Row],[Up - A3a]:[Up - A3a]]),"")</f>
        <v/>
      </c>
      <c r="BV507" t="s">
        <v>189</v>
      </c>
      <c r="BW507" t="str">
        <f>IFERROR(AVERAGE(Tabel1[[#This Row],[Up - A1]],Tabel1[[#This Row],[Up - A2]],Tabel1[[#This Row],[Up - A3]]),"")</f>
        <v/>
      </c>
      <c r="BX507" t="s">
        <v>189</v>
      </c>
      <c r="BY507" t="s">
        <v>189</v>
      </c>
      <c r="BZ507" t="str">
        <f>IFERROR(AVERAGE(Tabel1[[#This Row],[In - R1a]:[In - R1b]]),"")</f>
        <v/>
      </c>
      <c r="CA507" t="s">
        <v>189</v>
      </c>
      <c r="CB507" t="s">
        <v>189</v>
      </c>
      <c r="CC507" t="s">
        <v>189</v>
      </c>
      <c r="CD507" t="s">
        <v>189</v>
      </c>
      <c r="CE507" t="str">
        <f>IFERROR(AVERAGE(Tabel1[[#This Row],[In - R1]:[In - R5]]),"")</f>
        <v/>
      </c>
      <c r="CF507" t="s">
        <v>189</v>
      </c>
      <c r="CG507" t="s">
        <v>189</v>
      </c>
      <c r="CH507">
        <v>3</v>
      </c>
      <c r="CI507">
        <f>IFERROR(AVERAGE(Tabel1[[#This Row],[In - C1a]:[In - C1c]]),"")</f>
        <v>3</v>
      </c>
      <c r="CJ507" t="s">
        <v>189</v>
      </c>
      <c r="CK507">
        <v>1</v>
      </c>
      <c r="CL507" t="s">
        <v>189</v>
      </c>
      <c r="CM507">
        <f>IFERROR(AVERAGE(Tabel1[[#This Row],[In - C1]:[In - C4]]),"")</f>
        <v>2</v>
      </c>
      <c r="CN507" t="s">
        <v>189</v>
      </c>
      <c r="CO507" t="s">
        <v>189</v>
      </c>
      <c r="CP507" t="s">
        <v>189</v>
      </c>
      <c r="CQ507" t="str">
        <f>IFERROR(AVERAGE(Tabel1[[#This Row],[In - F1a]:[In - F1c]]),"")</f>
        <v/>
      </c>
      <c r="CR507" t="s">
        <v>189</v>
      </c>
      <c r="CS507" t="s">
        <v>189</v>
      </c>
      <c r="CT507" t="str">
        <f>IFERROR(AVERAGE(Tabel1[[#This Row],[In - F2a]:[In - F2b]]),"")</f>
        <v/>
      </c>
      <c r="CU507">
        <v>5</v>
      </c>
      <c r="CV507">
        <f>IFERROR(AVERAGE(Tabel1[[#This Row],[In - F3a]:[In - F3a]]),"")</f>
        <v>5</v>
      </c>
      <c r="CW507" t="s">
        <v>189</v>
      </c>
      <c r="CX507">
        <f>IFERROR(AVERAGE(Tabel1[[#This Row],[In - F1]],Tabel1[[#This Row],[In - F2]],Tabel1[[#This Row],[In - F3]],Tabel1[[#This Row],[In - F4]]),"")</f>
        <v>5</v>
      </c>
      <c r="CY507" t="s">
        <v>189</v>
      </c>
      <c r="CZ507" t="s">
        <v>189</v>
      </c>
      <c r="DA507" t="s">
        <v>189</v>
      </c>
      <c r="DB507" t="str">
        <f>IFERROR(AVERAGE(Tabel1[[#This Row],[In - V1a]:[In - V1c]]),"")</f>
        <v/>
      </c>
      <c r="DC507" t="s">
        <v>189</v>
      </c>
      <c r="DD507" t="s">
        <v>189</v>
      </c>
      <c r="DE507" t="s">
        <v>189</v>
      </c>
      <c r="DF507" t="str">
        <f>IFERROR(AVERAGE(Tabel1[[#This Row],[In - V2a]:[In - V2c]]),"")</f>
        <v/>
      </c>
      <c r="DG507" t="s">
        <v>189</v>
      </c>
      <c r="DH507" t="s">
        <v>189</v>
      </c>
      <c r="DI507" t="str">
        <f>IFERROR(AVERAGE(Tabel1[[#This Row],[In - V3a]:[In - V3b]]),"")</f>
        <v/>
      </c>
      <c r="DJ507" t="s">
        <v>189</v>
      </c>
      <c r="DK507" t="str">
        <f>IFERROR(AVERAGE(Tabel1[[#This Row],[In - V1]],Tabel1[[#This Row],[In - V2]],Tabel1[[#This Row],[In - V3]],Tabel1[[#This Row],[In - V4]]),"")</f>
        <v/>
      </c>
      <c r="DL507" t="s">
        <v>189</v>
      </c>
      <c r="DM507" t="s">
        <v>189</v>
      </c>
      <c r="DN507" t="str">
        <f>IFERROR(AVERAGE(Tabel1[[#This Row],[In - A1a]:[In - A1b]]),"")</f>
        <v/>
      </c>
      <c r="DO507" t="s">
        <v>189</v>
      </c>
      <c r="DP507" t="s">
        <v>189</v>
      </c>
      <c r="DQ507" t="str">
        <f>IFERROR(AVERAGE(Tabel1[[#This Row],[In - A2a]:[In - A2b]]),"")</f>
        <v/>
      </c>
      <c r="DR507" t="s">
        <v>189</v>
      </c>
      <c r="DS507" t="s">
        <v>189</v>
      </c>
      <c r="DT507" t="str">
        <f>IFERROR(AVERAGE(Tabel1[[#This Row],[In - A3a]:[In - A3a]]),"")</f>
        <v/>
      </c>
      <c r="DU507" t="s">
        <v>189</v>
      </c>
      <c r="DV507" t="str">
        <f>IFERROR(AVERAGE(Tabel1[[#This Row],[In - A1]],Tabel1[[#This Row],[In - A2]],Tabel1[[#This Row],[In - A3]],Tabel1[[#This Row],[In - A4]]),"")</f>
        <v/>
      </c>
      <c r="DW507" t="s">
        <v>189</v>
      </c>
      <c r="DX507">
        <v>5</v>
      </c>
      <c r="DY507" t="s">
        <v>189</v>
      </c>
      <c r="DZ507">
        <f>IFERROR(AVERAGE(Tabel1[[#This Row],[Do - R1a]:[Do - R1c]]),"")</f>
        <v>5</v>
      </c>
      <c r="EA507" t="s">
        <v>189</v>
      </c>
      <c r="EB507">
        <v>1</v>
      </c>
      <c r="EC507" t="s">
        <v>189</v>
      </c>
      <c r="ED507">
        <v>1</v>
      </c>
      <c r="EE507">
        <f>IFERROR(AVERAGE(Tabel1[[#This Row],[Do - R1]:[Do - R5]]),"")</f>
        <v>2.3333333333333335</v>
      </c>
      <c r="EF507" t="s">
        <v>189</v>
      </c>
      <c r="EG507" t="s">
        <v>189</v>
      </c>
      <c r="EH507" t="s">
        <v>189</v>
      </c>
      <c r="EI507" t="str">
        <f>IFERROR(AVERAGE(Tabel1[[#This Row],[Do - C1a]:[Do - C1c]]),"")</f>
        <v/>
      </c>
      <c r="EJ507" t="s">
        <v>189</v>
      </c>
      <c r="EK507">
        <v>1</v>
      </c>
      <c r="EL507" t="s">
        <v>189</v>
      </c>
      <c r="EM507">
        <f>IFERROR(AVERAGE(Tabel1[[#This Row],[Do - C1]:[Do - C4]]),"")</f>
        <v>1</v>
      </c>
      <c r="EN507" t="s">
        <v>189</v>
      </c>
      <c r="EO507" t="s">
        <v>189</v>
      </c>
      <c r="EP507" t="s">
        <v>189</v>
      </c>
      <c r="EQ507" t="str">
        <f>IFERROR(AVERAGE(Tabel1[[#This Row],[Do - F1a]:[Do - F1c]]),"")</f>
        <v/>
      </c>
      <c r="ER507" t="s">
        <v>189</v>
      </c>
      <c r="ES507" t="str">
        <f>IFERROR(AVERAGE(Tabel1[[#This Row],[Do - F2a]:[Do - F2a]]),"")</f>
        <v/>
      </c>
      <c r="ET507" t="s">
        <v>189</v>
      </c>
      <c r="EU507" t="s">
        <v>189</v>
      </c>
      <c r="EV507" t="str">
        <f>IFERROR(AVERAGE(Tabel1[[#This Row],[Do - F3a]:[Do - F3b]]),"")</f>
        <v/>
      </c>
      <c r="EW507" t="s">
        <v>189</v>
      </c>
      <c r="EX507" t="str">
        <f>IFERROR(AVERAGE(Tabel1[[#This Row],[Do - F1]],Tabel1[[#This Row],[Do - F2]],Tabel1[[#This Row],[Do - F3]],Tabel1[[#This Row],[Do - F4]]),"")</f>
        <v/>
      </c>
      <c r="EY507" t="s">
        <v>189</v>
      </c>
      <c r="EZ507" t="s">
        <v>189</v>
      </c>
      <c r="FA507" t="s">
        <v>189</v>
      </c>
      <c r="FB507" t="str">
        <f>IFERROR(AVERAGE(Tabel1[[#This Row],[Do - V1a]:[Do - V1c]]),"")</f>
        <v/>
      </c>
      <c r="FC507" t="s">
        <v>189</v>
      </c>
      <c r="FD507" t="s">
        <v>189</v>
      </c>
      <c r="FE507" t="str">
        <f>IFERROR(AVERAGE(Tabel1[[#This Row],[Do - V2a]:[Do - V2b]]),"")</f>
        <v/>
      </c>
      <c r="FF507" t="s">
        <v>189</v>
      </c>
      <c r="FG507" t="str">
        <f>IFERROR(AVERAGE(Tabel1[[#This Row],[Do - V3a]:[Do - V3a]]),"")</f>
        <v/>
      </c>
      <c r="FH507" t="s">
        <v>189</v>
      </c>
      <c r="FI507" t="str">
        <f>IFERROR(AVERAGE(Tabel1[[#This Row],[Do - V1]],Tabel1[[#This Row],[Do - V2]],Tabel1[[#This Row],[Do - V3]],Tabel1[[#This Row],[Do - V4]]),"")</f>
        <v/>
      </c>
      <c r="FJ507" t="s">
        <v>189</v>
      </c>
      <c r="FK507" t="s">
        <v>189</v>
      </c>
      <c r="FL507" t="s">
        <v>189</v>
      </c>
      <c r="FM507" t="str">
        <f>IFERROR(AVERAGE(Tabel1[[#This Row],[Do - A1a]:[Do - A1c]]),"")</f>
        <v/>
      </c>
      <c r="FN507" t="s">
        <v>189</v>
      </c>
      <c r="FO507" t="s">
        <v>189</v>
      </c>
      <c r="FP507" t="str">
        <f>IFERROR(AVERAGE(Tabel1[[#This Row],[Do - A2a]:[Do - A2b]]),"")</f>
        <v/>
      </c>
      <c r="FQ507" t="s">
        <v>189</v>
      </c>
      <c r="FR507" t="str">
        <f>IFERROR(AVERAGE(Tabel1[[#This Row],[Do - A3a]:[Do - A3a]]),"")</f>
        <v/>
      </c>
      <c r="FS507" t="s">
        <v>189</v>
      </c>
      <c r="FT507" t="str">
        <f>IFERROR(AVERAGE(Tabel1[[#This Row],[Do - A1]],Tabel1[[#This Row],[Do - A2]],Tabel1[[#This Row],[Do - A3]],Tabel1[[#This Row],[Do - A4]]),"")</f>
        <v/>
      </c>
      <c r="FU50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2.4047619047619051</v>
      </c>
      <c r="FV507" s="31" t="s">
        <v>2464</v>
      </c>
      <c r="FW507" t="b">
        <v>1</v>
      </c>
    </row>
    <row r="508" spans="1:179" x14ac:dyDescent="0.3">
      <c r="A508" s="13">
        <v>45798.834328703699</v>
      </c>
      <c r="B508" t="b">
        <v>0</v>
      </c>
      <c r="C508" t="s">
        <v>2465</v>
      </c>
      <c r="D508" t="s">
        <v>2466</v>
      </c>
      <c r="E508" t="s">
        <v>2467</v>
      </c>
      <c r="F508" s="14" t="s">
        <v>184</v>
      </c>
      <c r="G508" t="s">
        <v>2468</v>
      </c>
      <c r="H508" t="s">
        <v>194</v>
      </c>
      <c r="I508" t="s">
        <v>322</v>
      </c>
      <c r="J508" t="s">
        <v>323</v>
      </c>
      <c r="K508" t="s">
        <v>203</v>
      </c>
      <c r="L508" t="s">
        <v>197</v>
      </c>
      <c r="M508" t="s">
        <v>188</v>
      </c>
      <c r="N508" t="s">
        <v>316</v>
      </c>
      <c r="O508" t="s">
        <v>200</v>
      </c>
      <c r="P508" t="s">
        <v>203</v>
      </c>
      <c r="Q508" t="s">
        <v>201</v>
      </c>
      <c r="R508" t="s">
        <v>201</v>
      </c>
      <c r="S508" t="s">
        <v>187</v>
      </c>
      <c r="T508" t="s">
        <v>284</v>
      </c>
      <c r="U508" t="s">
        <v>285</v>
      </c>
      <c r="V508" t="s">
        <v>224</v>
      </c>
      <c r="W508" t="s">
        <v>395</v>
      </c>
      <c r="X508" t="s">
        <v>395</v>
      </c>
      <c r="Y508">
        <v>3</v>
      </c>
      <c r="Z508">
        <v>4</v>
      </c>
      <c r="AA508">
        <v>3</v>
      </c>
      <c r="AB508">
        <f>IFERROR(AVERAGE(Tabel1[[#This Row],[Up - R1a]:[Up - R1c]]),"")</f>
        <v>3.3333333333333335</v>
      </c>
      <c r="AC508">
        <v>2</v>
      </c>
      <c r="AD508">
        <v>3</v>
      </c>
      <c r="AE508">
        <v>2</v>
      </c>
      <c r="AF508">
        <v>3</v>
      </c>
      <c r="AG508">
        <f>IFERROR(AVERAGE(Tabel1[[#This Row],[Up - R1]:[Up - R5]]),"")</f>
        <v>2.666666666666667</v>
      </c>
      <c r="AH508">
        <v>3</v>
      </c>
      <c r="AI508">
        <v>2</v>
      </c>
      <c r="AJ508">
        <v>3</v>
      </c>
      <c r="AK508">
        <f>IFERROR(AVERAGE(Tabel1[[#This Row],[Up - C1a]:[Up - C1c]]),"")</f>
        <v>2.6666666666666665</v>
      </c>
      <c r="AL508">
        <v>2</v>
      </c>
      <c r="AM508">
        <v>1</v>
      </c>
      <c r="AN508">
        <v>4</v>
      </c>
      <c r="AO508">
        <f>IFERROR(AVERAGE(Tabel1[[#This Row],[Up - C1]:[Up - C4]]),"")</f>
        <v>2.4166666666666665</v>
      </c>
      <c r="AP508">
        <v>2</v>
      </c>
      <c r="AQ508">
        <f>IFERROR(AVERAGE(Tabel1[[#This Row],[Up - F1a]:[Up - F1a]]),"")</f>
        <v>2</v>
      </c>
      <c r="AR508">
        <v>2</v>
      </c>
      <c r="AS508">
        <v>3</v>
      </c>
      <c r="AT508">
        <f>IFERROR(AVERAGE(Tabel1[[#This Row],[Up - F2a]:[Up - F2b]]),"")</f>
        <v>2.5</v>
      </c>
      <c r="AU508">
        <v>2</v>
      </c>
      <c r="AV508">
        <v>3</v>
      </c>
      <c r="AW508">
        <f>IFERROR(AVERAGE(Tabel1[[#This Row],[Up - F3a]:[Up - F3b]]),"")</f>
        <v>2.5</v>
      </c>
      <c r="AX508">
        <v>3</v>
      </c>
      <c r="AY508">
        <f>IFERROR(AVERAGE(Tabel1[[#This Row],[Up - F1]],Tabel1[[#This Row],[Up - F2]],Tabel1[[#This Row],[Up - F3]],Tabel1[[#This Row],[Up - F4]]),"")</f>
        <v>2.5</v>
      </c>
      <c r="AZ508">
        <v>1</v>
      </c>
      <c r="BA508">
        <v>2</v>
      </c>
      <c r="BB508">
        <f>IFERROR(AVERAGE(Tabel1[[#This Row],[Up - V1a]:[Up - V1b]]),"")</f>
        <v>1.5</v>
      </c>
      <c r="BC508">
        <v>2</v>
      </c>
      <c r="BD508">
        <v>2</v>
      </c>
      <c r="BE508">
        <v>3</v>
      </c>
      <c r="BF508">
        <f>IFERROR(AVERAGE(Tabel1[[#This Row],[Up - V2a]:[Up - V2c]]),"")</f>
        <v>2.3333333333333335</v>
      </c>
      <c r="BG508">
        <v>2</v>
      </c>
      <c r="BH508">
        <v>1</v>
      </c>
      <c r="BI508">
        <f>IFERROR(AVERAGE(Tabel1[[#This Row],[Up - V3a]:[Up - V3b]]),"")</f>
        <v>1.5</v>
      </c>
      <c r="BJ508">
        <v>1</v>
      </c>
      <c r="BK508">
        <f>IFERROR(AVERAGE(Tabel1[[#This Row],[Up - V1]],Tabel1[[#This Row],[Up - V2]],Tabel1[[#This Row],[Up - V3]],Tabel1[[#This Row],[Up - V4]]),"")</f>
        <v>1.5833333333333335</v>
      </c>
      <c r="BL508">
        <v>3</v>
      </c>
      <c r="BM508">
        <v>3</v>
      </c>
      <c r="BN508">
        <v>2</v>
      </c>
      <c r="BO508">
        <v>2</v>
      </c>
      <c r="BP508">
        <f>IFERROR(AVERAGE(Tabel1[[#This Row],[Up - A1a]:[Up - A1d]]),"")</f>
        <v>2.5</v>
      </c>
      <c r="BQ508">
        <v>3</v>
      </c>
      <c r="BR508">
        <v>3</v>
      </c>
      <c r="BS508">
        <f>IFERROR(AVERAGE(Tabel1[[#This Row],[Up - A2a]:[Up - A2b]]),"")</f>
        <v>3</v>
      </c>
      <c r="BT508">
        <v>3</v>
      </c>
      <c r="BU508">
        <f>IFERROR(AVERAGE(Tabel1[[#This Row],[Up - A3a]:[Up - A3a]]),"")</f>
        <v>3</v>
      </c>
      <c r="BV508">
        <v>3</v>
      </c>
      <c r="BW508">
        <f>IFERROR(AVERAGE(Tabel1[[#This Row],[Up - A1]],Tabel1[[#This Row],[Up - A2]],Tabel1[[#This Row],[Up - A3]]),"")</f>
        <v>2.8333333333333335</v>
      </c>
      <c r="BX508">
        <v>3</v>
      </c>
      <c r="BY508">
        <v>3</v>
      </c>
      <c r="BZ508">
        <f>IFERROR(AVERAGE(Tabel1[[#This Row],[In - R1a]:[In - R1b]]),"")</f>
        <v>3</v>
      </c>
      <c r="CA508">
        <v>2</v>
      </c>
      <c r="CB508">
        <v>2</v>
      </c>
      <c r="CC508">
        <v>2</v>
      </c>
      <c r="CD508">
        <v>2</v>
      </c>
      <c r="CE508">
        <f>IFERROR(AVERAGE(Tabel1[[#This Row],[In - R1]:[In - R5]]),"")</f>
        <v>2.2000000000000002</v>
      </c>
      <c r="CF508">
        <v>3</v>
      </c>
      <c r="CG508">
        <v>4</v>
      </c>
      <c r="CH508">
        <v>3</v>
      </c>
      <c r="CI508">
        <f>IFERROR(AVERAGE(Tabel1[[#This Row],[In - C1a]:[In - C1c]]),"")</f>
        <v>3.3333333333333335</v>
      </c>
      <c r="CJ508">
        <v>2</v>
      </c>
      <c r="CK508">
        <v>2</v>
      </c>
      <c r="CL508">
        <v>3</v>
      </c>
      <c r="CM508">
        <f>IFERROR(AVERAGE(Tabel1[[#This Row],[In - C1]:[In - C4]]),"")</f>
        <v>2.5833333333333335</v>
      </c>
      <c r="CN508">
        <v>3</v>
      </c>
      <c r="CO508">
        <v>2</v>
      </c>
      <c r="CP508">
        <v>2</v>
      </c>
      <c r="CQ508">
        <f>IFERROR(AVERAGE(Tabel1[[#This Row],[In - F1a]:[In - F1c]]),"")</f>
        <v>2.3333333333333335</v>
      </c>
      <c r="CR508">
        <v>2</v>
      </c>
      <c r="CS508">
        <v>1</v>
      </c>
      <c r="CT508">
        <f>IFERROR(AVERAGE(Tabel1[[#This Row],[In - F2a]:[In - F2b]]),"")</f>
        <v>1.5</v>
      </c>
      <c r="CU508">
        <v>1</v>
      </c>
      <c r="CV508">
        <f>IFERROR(AVERAGE(Tabel1[[#This Row],[In - F3a]:[In - F3a]]),"")</f>
        <v>1</v>
      </c>
      <c r="CW508">
        <v>3</v>
      </c>
      <c r="CX508">
        <f>IFERROR(AVERAGE(Tabel1[[#This Row],[In - F1]],Tabel1[[#This Row],[In - F2]],Tabel1[[#This Row],[In - F3]],Tabel1[[#This Row],[In - F4]]),"")</f>
        <v>1.9583333333333335</v>
      </c>
      <c r="CY508">
        <v>2</v>
      </c>
      <c r="CZ508">
        <v>4</v>
      </c>
      <c r="DA508">
        <v>2</v>
      </c>
      <c r="DB508">
        <f>IFERROR(AVERAGE(Tabel1[[#This Row],[In - V1a]:[In - V1c]]),"")</f>
        <v>2.6666666666666665</v>
      </c>
      <c r="DC508">
        <v>2</v>
      </c>
      <c r="DD508">
        <v>3</v>
      </c>
      <c r="DE508">
        <v>1</v>
      </c>
      <c r="DF508">
        <f>IFERROR(AVERAGE(Tabel1[[#This Row],[In - V2a]:[In - V2c]]),"")</f>
        <v>2</v>
      </c>
      <c r="DG508">
        <v>1</v>
      </c>
      <c r="DH508">
        <v>1</v>
      </c>
      <c r="DI508">
        <f>IFERROR(AVERAGE(Tabel1[[#This Row],[In - V3a]:[In - V3b]]),"")</f>
        <v>1</v>
      </c>
      <c r="DJ508">
        <v>1</v>
      </c>
      <c r="DK508">
        <f>IFERROR(AVERAGE(Tabel1[[#This Row],[In - V1]],Tabel1[[#This Row],[In - V2]],Tabel1[[#This Row],[In - V3]],Tabel1[[#This Row],[In - V4]]),"")</f>
        <v>1.6666666666666665</v>
      </c>
      <c r="DL508">
        <v>3</v>
      </c>
      <c r="DM508">
        <v>1</v>
      </c>
      <c r="DN508">
        <f>IFERROR(AVERAGE(Tabel1[[#This Row],[In - A1a]:[In - A1b]]),"")</f>
        <v>2</v>
      </c>
      <c r="DO508">
        <v>2</v>
      </c>
      <c r="DP508">
        <v>3</v>
      </c>
      <c r="DQ508">
        <f>IFERROR(AVERAGE(Tabel1[[#This Row],[In - A2a]:[In - A2b]]),"")</f>
        <v>2.5</v>
      </c>
      <c r="DR508">
        <v>2</v>
      </c>
      <c r="DS508">
        <v>2</v>
      </c>
      <c r="DT508">
        <f>IFERROR(AVERAGE(Tabel1[[#This Row],[In - A3a]:[In - A3a]]),"")</f>
        <v>2</v>
      </c>
      <c r="DU508">
        <v>3</v>
      </c>
      <c r="DV508">
        <f>IFERROR(AVERAGE(Tabel1[[#This Row],[In - A1]],Tabel1[[#This Row],[In - A2]],Tabel1[[#This Row],[In - A3]],Tabel1[[#This Row],[In - A4]]),"")</f>
        <v>2.375</v>
      </c>
      <c r="DW508">
        <v>2</v>
      </c>
      <c r="DX508">
        <v>3</v>
      </c>
      <c r="DY508">
        <v>2</v>
      </c>
      <c r="DZ508">
        <f>IFERROR(AVERAGE(Tabel1[[#This Row],[Do - R1a]:[Do - R1c]]),"")</f>
        <v>2.3333333333333335</v>
      </c>
      <c r="EA508">
        <v>2</v>
      </c>
      <c r="EB508">
        <v>4</v>
      </c>
      <c r="EC508">
        <v>2</v>
      </c>
      <c r="ED508">
        <v>2</v>
      </c>
      <c r="EE508">
        <f>IFERROR(AVERAGE(Tabel1[[#This Row],[Do - R1]:[Do - R5]]),"")</f>
        <v>2.4666666666666668</v>
      </c>
      <c r="EF508">
        <v>3</v>
      </c>
      <c r="EG508">
        <v>3</v>
      </c>
      <c r="EH508">
        <v>3</v>
      </c>
      <c r="EI508">
        <f>IFERROR(AVERAGE(Tabel1[[#This Row],[Do - C1a]:[Do - C1c]]),"")</f>
        <v>3</v>
      </c>
      <c r="EJ508">
        <v>3</v>
      </c>
      <c r="EK508">
        <v>2</v>
      </c>
      <c r="EL508">
        <v>3</v>
      </c>
      <c r="EM508">
        <f>IFERROR(AVERAGE(Tabel1[[#This Row],[Do - C1]:[Do - C4]]),"")</f>
        <v>2.75</v>
      </c>
      <c r="EN508">
        <v>3</v>
      </c>
      <c r="EO508">
        <v>3</v>
      </c>
      <c r="EP508">
        <v>2</v>
      </c>
      <c r="EQ508">
        <f>IFERROR(AVERAGE(Tabel1[[#This Row],[Do - F1a]:[Do - F1c]]),"")</f>
        <v>2.6666666666666665</v>
      </c>
      <c r="ER508">
        <v>3</v>
      </c>
      <c r="ES508">
        <f>IFERROR(AVERAGE(Tabel1[[#This Row],[Do - F2a]:[Do - F2a]]),"")</f>
        <v>3</v>
      </c>
      <c r="ET508">
        <v>2</v>
      </c>
      <c r="EU508">
        <v>3</v>
      </c>
      <c r="EV508">
        <f>IFERROR(AVERAGE(Tabel1[[#This Row],[Do - F3a]:[Do - F3b]]),"")</f>
        <v>2.5</v>
      </c>
      <c r="EW508">
        <v>3</v>
      </c>
      <c r="EX508">
        <f>IFERROR(AVERAGE(Tabel1[[#This Row],[Do - F1]],Tabel1[[#This Row],[Do - F2]],Tabel1[[#This Row],[Do - F3]],Tabel1[[#This Row],[Do - F4]]),"")</f>
        <v>2.7916666666666665</v>
      </c>
      <c r="EY508">
        <v>2</v>
      </c>
      <c r="EZ508">
        <v>2</v>
      </c>
      <c r="FA508">
        <v>2</v>
      </c>
      <c r="FB508">
        <f>IFERROR(AVERAGE(Tabel1[[#This Row],[Do - V1a]:[Do - V1c]]),"")</f>
        <v>2</v>
      </c>
      <c r="FC508">
        <v>4</v>
      </c>
      <c r="FD508">
        <v>4</v>
      </c>
      <c r="FE508">
        <f>IFERROR(AVERAGE(Tabel1[[#This Row],[Do - V2a]:[Do - V2b]]),"")</f>
        <v>4</v>
      </c>
      <c r="FF508">
        <v>3</v>
      </c>
      <c r="FG508">
        <f>IFERROR(AVERAGE(Tabel1[[#This Row],[Do - V3a]:[Do - V3a]]),"")</f>
        <v>3</v>
      </c>
      <c r="FH508">
        <v>3</v>
      </c>
      <c r="FI508">
        <f>IFERROR(AVERAGE(Tabel1[[#This Row],[Do - V1]],Tabel1[[#This Row],[Do - V2]],Tabel1[[#This Row],[Do - V3]],Tabel1[[#This Row],[Do - V4]]),"")</f>
        <v>3</v>
      </c>
      <c r="FJ508">
        <v>3</v>
      </c>
      <c r="FK508">
        <v>2</v>
      </c>
      <c r="FL508">
        <v>2</v>
      </c>
      <c r="FM508">
        <f>IFERROR(AVERAGE(Tabel1[[#This Row],[Do - A1a]:[Do - A1c]]),"")</f>
        <v>2.3333333333333335</v>
      </c>
      <c r="FN508">
        <v>2</v>
      </c>
      <c r="FO508">
        <v>2</v>
      </c>
      <c r="FP508">
        <f>IFERROR(AVERAGE(Tabel1[[#This Row],[Do - A2a]:[Do - A2b]]),"")</f>
        <v>2</v>
      </c>
      <c r="FQ508">
        <v>2</v>
      </c>
      <c r="FR508">
        <f>IFERROR(AVERAGE(Tabel1[[#This Row],[Do - A3a]:[Do - A3a]]),"")</f>
        <v>2</v>
      </c>
      <c r="FS508">
        <v>2</v>
      </c>
      <c r="FT508">
        <f>IFERROR(AVERAGE(Tabel1[[#This Row],[Do - A1]],Tabel1[[#This Row],[Do - A2]],Tabel1[[#This Row],[Do - A3]],Tabel1[[#This Row],[Do - A4]]),"")</f>
        <v>2.0833333333333335</v>
      </c>
      <c r="FU50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2.3916666666666671</v>
      </c>
      <c r="FV508" s="31" t="s">
        <v>2469</v>
      </c>
      <c r="FW508" t="b">
        <v>1</v>
      </c>
    </row>
    <row r="509" spans="1:179" x14ac:dyDescent="0.3">
      <c r="A509" s="13">
        <v>45799.412407407399</v>
      </c>
      <c r="B509" t="b">
        <v>0</v>
      </c>
      <c r="C509" t="s">
        <v>2470</v>
      </c>
      <c r="D509" t="s">
        <v>2471</v>
      </c>
      <c r="E509" t="s">
        <v>293</v>
      </c>
      <c r="F509" s="14" t="s">
        <v>184</v>
      </c>
      <c r="G509" t="s">
        <v>2472</v>
      </c>
      <c r="H509" t="s">
        <v>222</v>
      </c>
      <c r="I509" t="s">
        <v>195</v>
      </c>
      <c r="J509" t="s">
        <v>261</v>
      </c>
      <c r="K509" t="s">
        <v>235</v>
      </c>
      <c r="L509" t="s">
        <v>385</v>
      </c>
      <c r="M509" t="s">
        <v>198</v>
      </c>
      <c r="N509" t="s">
        <v>262</v>
      </c>
      <c r="O509" t="s">
        <v>200</v>
      </c>
      <c r="P509" t="s">
        <v>304</v>
      </c>
      <c r="Q509" t="s">
        <v>235</v>
      </c>
      <c r="V509" t="s">
        <v>206</v>
      </c>
      <c r="W509" t="s">
        <v>395</v>
      </c>
      <c r="X509" t="s">
        <v>207</v>
      </c>
      <c r="Y509">
        <v>5</v>
      </c>
      <c r="Z509">
        <v>5</v>
      </c>
      <c r="AA509" t="s">
        <v>189</v>
      </c>
      <c r="AB509">
        <f>IFERROR(AVERAGE(Tabel1[[#This Row],[Up - R1a]:[Up - R1c]]),"")</f>
        <v>5</v>
      </c>
      <c r="AC509">
        <v>3</v>
      </c>
      <c r="AD509">
        <v>3</v>
      </c>
      <c r="AE509" t="s">
        <v>189</v>
      </c>
      <c r="AF509" t="s">
        <v>189</v>
      </c>
      <c r="AG509">
        <f>IFERROR(AVERAGE(Tabel1[[#This Row],[Up - R1]:[Up - R5]]),"")</f>
        <v>3.6666666666666665</v>
      </c>
      <c r="AH509">
        <v>4</v>
      </c>
      <c r="AI509">
        <v>3</v>
      </c>
      <c r="AJ509">
        <v>4</v>
      </c>
      <c r="AK509">
        <f>IFERROR(AVERAGE(Tabel1[[#This Row],[Up - C1a]:[Up - C1c]]),"")</f>
        <v>3.6666666666666665</v>
      </c>
      <c r="AL509">
        <v>4</v>
      </c>
      <c r="AM509">
        <v>3</v>
      </c>
      <c r="AN509" t="s">
        <v>189</v>
      </c>
      <c r="AO509">
        <f>IFERROR(AVERAGE(Tabel1[[#This Row],[Up - C1]:[Up - C4]]),"")</f>
        <v>3.5555555555555554</v>
      </c>
      <c r="AP509" t="s">
        <v>189</v>
      </c>
      <c r="AQ509" t="str">
        <f>IFERROR(AVERAGE(Tabel1[[#This Row],[Up - F1a]:[Up - F1a]]),"")</f>
        <v/>
      </c>
      <c r="AR509">
        <v>1</v>
      </c>
      <c r="AS509" t="s">
        <v>189</v>
      </c>
      <c r="AT509">
        <f>IFERROR(AVERAGE(Tabel1[[#This Row],[Up - F2a]:[Up - F2b]]),"")</f>
        <v>1</v>
      </c>
      <c r="AU509">
        <v>2</v>
      </c>
      <c r="AV509">
        <v>2</v>
      </c>
      <c r="AW509">
        <f>IFERROR(AVERAGE(Tabel1[[#This Row],[Up - F3a]:[Up - F3b]]),"")</f>
        <v>2</v>
      </c>
      <c r="AX509">
        <v>3</v>
      </c>
      <c r="AY509">
        <f>IFERROR(AVERAGE(Tabel1[[#This Row],[Up - F1]],Tabel1[[#This Row],[Up - F2]],Tabel1[[#This Row],[Up - F3]],Tabel1[[#This Row],[Up - F4]]),"")</f>
        <v>2</v>
      </c>
      <c r="AZ509">
        <v>4</v>
      </c>
      <c r="BA509">
        <v>4</v>
      </c>
      <c r="BB509">
        <f>IFERROR(AVERAGE(Tabel1[[#This Row],[Up - V1a]:[Up - V1b]]),"")</f>
        <v>4</v>
      </c>
      <c r="BC509">
        <v>5</v>
      </c>
      <c r="BD509" t="s">
        <v>189</v>
      </c>
      <c r="BE509">
        <v>4</v>
      </c>
      <c r="BF509">
        <f>IFERROR(AVERAGE(Tabel1[[#This Row],[Up - V2a]:[Up - V2c]]),"")</f>
        <v>4.5</v>
      </c>
      <c r="BG509">
        <v>4</v>
      </c>
      <c r="BH509">
        <v>4</v>
      </c>
      <c r="BI509">
        <f>IFERROR(AVERAGE(Tabel1[[#This Row],[Up - V3a]:[Up - V3b]]),"")</f>
        <v>4</v>
      </c>
      <c r="BJ509">
        <v>3</v>
      </c>
      <c r="BK509">
        <f>IFERROR(AVERAGE(Tabel1[[#This Row],[Up - V1]],Tabel1[[#This Row],[Up - V2]],Tabel1[[#This Row],[Up - V3]],Tabel1[[#This Row],[Up - V4]]),"")</f>
        <v>3.875</v>
      </c>
      <c r="BL509">
        <v>3</v>
      </c>
      <c r="BM509">
        <v>4</v>
      </c>
      <c r="BN509">
        <v>3</v>
      </c>
      <c r="BO509">
        <v>1</v>
      </c>
      <c r="BP509">
        <f>IFERROR(AVERAGE(Tabel1[[#This Row],[Up - A1a]:[Up - A1d]]),"")</f>
        <v>2.75</v>
      </c>
      <c r="BQ509">
        <v>1</v>
      </c>
      <c r="BR509" t="s">
        <v>189</v>
      </c>
      <c r="BS509">
        <f>IFERROR(AVERAGE(Tabel1[[#This Row],[Up - A2a]:[Up - A2b]]),"")</f>
        <v>1</v>
      </c>
      <c r="BT509">
        <v>4</v>
      </c>
      <c r="BU509">
        <f>IFERROR(AVERAGE(Tabel1[[#This Row],[Up - A3a]:[Up - A3a]]),"")</f>
        <v>4</v>
      </c>
      <c r="BW509">
        <f>IFERROR(AVERAGE(Tabel1[[#This Row],[Up - A1]],Tabel1[[#This Row],[Up - A2]],Tabel1[[#This Row],[Up - A3]]),"")</f>
        <v>2.5833333333333335</v>
      </c>
      <c r="BX509" t="s">
        <v>189</v>
      </c>
      <c r="BY509">
        <v>3</v>
      </c>
      <c r="BZ509">
        <f>IFERROR(AVERAGE(Tabel1[[#This Row],[In - R1a]:[In - R1b]]),"")</f>
        <v>3</v>
      </c>
      <c r="CA509">
        <v>3</v>
      </c>
      <c r="CB509" t="s">
        <v>189</v>
      </c>
      <c r="CC509" t="s">
        <v>189</v>
      </c>
      <c r="CD509" t="s">
        <v>189</v>
      </c>
      <c r="CE509">
        <f>IFERROR(AVERAGE(Tabel1[[#This Row],[In - R1]:[In - R5]]),"")</f>
        <v>3</v>
      </c>
      <c r="CF509">
        <v>2</v>
      </c>
      <c r="CG509">
        <v>2</v>
      </c>
      <c r="CH509">
        <v>2</v>
      </c>
      <c r="CI509">
        <f>IFERROR(AVERAGE(Tabel1[[#This Row],[In - C1a]:[In - C1c]]),"")</f>
        <v>2</v>
      </c>
      <c r="CJ509">
        <v>2</v>
      </c>
      <c r="CK509">
        <v>4</v>
      </c>
      <c r="CL509">
        <v>2</v>
      </c>
      <c r="CM509">
        <f>IFERROR(AVERAGE(Tabel1[[#This Row],[In - C1]:[In - C4]]),"")</f>
        <v>2.5</v>
      </c>
      <c r="CN509" t="s">
        <v>189</v>
      </c>
      <c r="CO509">
        <v>3</v>
      </c>
      <c r="CP509">
        <v>1</v>
      </c>
      <c r="CQ509">
        <f>IFERROR(AVERAGE(Tabel1[[#This Row],[In - F1a]:[In - F1c]]),"")</f>
        <v>2</v>
      </c>
      <c r="CR509">
        <v>4</v>
      </c>
      <c r="CS509" t="s">
        <v>189</v>
      </c>
      <c r="CT509">
        <f>IFERROR(AVERAGE(Tabel1[[#This Row],[In - F2a]:[In - F2b]]),"")</f>
        <v>4</v>
      </c>
      <c r="CU509" t="s">
        <v>189</v>
      </c>
      <c r="CV509" t="str">
        <f>IFERROR(AVERAGE(Tabel1[[#This Row],[In - F3a]:[In - F3a]]),"")</f>
        <v/>
      </c>
      <c r="CW509" t="s">
        <v>189</v>
      </c>
      <c r="CX509">
        <f>IFERROR(AVERAGE(Tabel1[[#This Row],[In - F1]],Tabel1[[#This Row],[In - F2]],Tabel1[[#This Row],[In - F3]],Tabel1[[#This Row],[In - F4]]),"")</f>
        <v>3</v>
      </c>
      <c r="CY509">
        <v>3</v>
      </c>
      <c r="CZ509" t="s">
        <v>189</v>
      </c>
      <c r="DA509">
        <v>2</v>
      </c>
      <c r="DB509">
        <f>IFERROR(AVERAGE(Tabel1[[#This Row],[In - V1a]:[In - V1c]]),"")</f>
        <v>2.5</v>
      </c>
      <c r="DC509">
        <v>3</v>
      </c>
      <c r="DD509">
        <v>3</v>
      </c>
      <c r="DE509">
        <v>2</v>
      </c>
      <c r="DF509">
        <f>IFERROR(AVERAGE(Tabel1[[#This Row],[In - V2a]:[In - V2c]]),"")</f>
        <v>2.6666666666666665</v>
      </c>
      <c r="DG509">
        <v>3</v>
      </c>
      <c r="DH509">
        <v>4</v>
      </c>
      <c r="DI509">
        <f>IFERROR(AVERAGE(Tabel1[[#This Row],[In - V3a]:[In - V3b]]),"")</f>
        <v>3.5</v>
      </c>
      <c r="DJ509" t="s">
        <v>189</v>
      </c>
      <c r="DK509">
        <f>IFERROR(AVERAGE(Tabel1[[#This Row],[In - V1]],Tabel1[[#This Row],[In - V2]],Tabel1[[#This Row],[In - V3]],Tabel1[[#This Row],[In - V4]]),"")</f>
        <v>2.8888888888888888</v>
      </c>
      <c r="DL509">
        <v>2</v>
      </c>
      <c r="DM509">
        <v>3</v>
      </c>
      <c r="DN509">
        <f>IFERROR(AVERAGE(Tabel1[[#This Row],[In - A1a]:[In - A1b]]),"")</f>
        <v>2.5</v>
      </c>
      <c r="DO509" t="s">
        <v>189</v>
      </c>
      <c r="DP509">
        <v>3</v>
      </c>
      <c r="DQ509">
        <f>IFERROR(AVERAGE(Tabel1[[#This Row],[In - A2a]:[In - A2b]]),"")</f>
        <v>3</v>
      </c>
      <c r="DR509">
        <v>4</v>
      </c>
      <c r="DT509">
        <f>IFERROR(AVERAGE(Tabel1[[#This Row],[In - A3a]:[In - A3a]]),"")</f>
        <v>4</v>
      </c>
      <c r="DV509">
        <f>IFERROR(AVERAGE(Tabel1[[#This Row],[In - A1]],Tabel1[[#This Row],[In - A2]],Tabel1[[#This Row],[In - A3]],Tabel1[[#This Row],[In - A4]]),"")</f>
        <v>3.1666666666666665</v>
      </c>
      <c r="DW509">
        <v>3</v>
      </c>
      <c r="DX509" t="s">
        <v>189</v>
      </c>
      <c r="DY509" t="s">
        <v>189</v>
      </c>
      <c r="DZ509">
        <f>IFERROR(AVERAGE(Tabel1[[#This Row],[Do - R1a]:[Do - R1c]]),"")</f>
        <v>3</v>
      </c>
      <c r="EA509" t="s">
        <v>189</v>
      </c>
      <c r="EB509" t="s">
        <v>189</v>
      </c>
      <c r="EC509" t="s">
        <v>189</v>
      </c>
      <c r="ED509" t="s">
        <v>189</v>
      </c>
      <c r="EE509">
        <f>IFERROR(AVERAGE(Tabel1[[#This Row],[Do - R1]:[Do - R5]]),"")</f>
        <v>3</v>
      </c>
      <c r="EF509" t="s">
        <v>189</v>
      </c>
      <c r="EG509">
        <v>2</v>
      </c>
      <c r="EH509">
        <v>2</v>
      </c>
      <c r="EI509">
        <f>IFERROR(AVERAGE(Tabel1[[#This Row],[Do - C1a]:[Do - C1c]]),"")</f>
        <v>2</v>
      </c>
      <c r="EJ509">
        <v>3</v>
      </c>
      <c r="EK509" t="s">
        <v>189</v>
      </c>
      <c r="EL509" t="s">
        <v>189</v>
      </c>
      <c r="EM509">
        <f>IFERROR(AVERAGE(Tabel1[[#This Row],[Do - C1]:[Do - C4]]),"")</f>
        <v>2.5</v>
      </c>
      <c r="EN509" t="s">
        <v>189</v>
      </c>
      <c r="EO509" t="s">
        <v>189</v>
      </c>
      <c r="EP509" t="s">
        <v>189</v>
      </c>
      <c r="EQ509" t="str">
        <f>IFERROR(AVERAGE(Tabel1[[#This Row],[Do - F1a]:[Do - F1c]]),"")</f>
        <v/>
      </c>
      <c r="ER509" t="s">
        <v>189</v>
      </c>
      <c r="ES509" t="str">
        <f>IFERROR(AVERAGE(Tabel1[[#This Row],[Do - F2a]:[Do - F2a]]),"")</f>
        <v/>
      </c>
      <c r="ET509" t="s">
        <v>189</v>
      </c>
      <c r="EU509" t="s">
        <v>189</v>
      </c>
      <c r="EV509" t="str">
        <f>IFERROR(AVERAGE(Tabel1[[#This Row],[Do - F3a]:[Do - F3b]]),"")</f>
        <v/>
      </c>
      <c r="EW509" t="s">
        <v>189</v>
      </c>
      <c r="EX509" t="str">
        <f>IFERROR(AVERAGE(Tabel1[[#This Row],[Do - F1]],Tabel1[[#This Row],[Do - F2]],Tabel1[[#This Row],[Do - F3]],Tabel1[[#This Row],[Do - F4]]),"")</f>
        <v/>
      </c>
      <c r="EY509" t="s">
        <v>189</v>
      </c>
      <c r="EZ509" t="s">
        <v>189</v>
      </c>
      <c r="FA509">
        <v>3</v>
      </c>
      <c r="FB509">
        <f>IFERROR(AVERAGE(Tabel1[[#This Row],[Do - V1a]:[Do - V1c]]),"")</f>
        <v>3</v>
      </c>
      <c r="FC509" t="s">
        <v>189</v>
      </c>
      <c r="FD509" t="s">
        <v>189</v>
      </c>
      <c r="FE509" t="str">
        <f>IFERROR(AVERAGE(Tabel1[[#This Row],[Do - V2a]:[Do - V2b]]),"")</f>
        <v/>
      </c>
      <c r="FF509" t="s">
        <v>189</v>
      </c>
      <c r="FG509" t="str">
        <f>IFERROR(AVERAGE(Tabel1[[#This Row],[Do - V3a]:[Do - V3a]]),"")</f>
        <v/>
      </c>
      <c r="FH509" t="s">
        <v>189</v>
      </c>
      <c r="FI509">
        <f>IFERROR(AVERAGE(Tabel1[[#This Row],[Do - V1]],Tabel1[[#This Row],[Do - V2]],Tabel1[[#This Row],[Do - V3]],Tabel1[[#This Row],[Do - V4]]),"")</f>
        <v>3</v>
      </c>
      <c r="FJ509" t="s">
        <v>189</v>
      </c>
      <c r="FK509" t="s">
        <v>189</v>
      </c>
      <c r="FL509" t="s">
        <v>189</v>
      </c>
      <c r="FM509" t="str">
        <f>IFERROR(AVERAGE(Tabel1[[#This Row],[Do - A1a]:[Do - A1c]]),"")</f>
        <v/>
      </c>
      <c r="FN509" t="s">
        <v>189</v>
      </c>
      <c r="FO509" t="s">
        <v>189</v>
      </c>
      <c r="FP509" t="str">
        <f>IFERROR(AVERAGE(Tabel1[[#This Row],[Do - A2a]:[Do - A2b]]),"")</f>
        <v/>
      </c>
      <c r="FQ509" t="s">
        <v>189</v>
      </c>
      <c r="FR509" t="str">
        <f>IFERROR(AVERAGE(Tabel1[[#This Row],[Do - A3a]:[Do - A3a]]),"")</f>
        <v/>
      </c>
      <c r="FT509" t="str">
        <f>IFERROR(AVERAGE(Tabel1[[#This Row],[Do - A1]],Tabel1[[#This Row],[Do - A2]],Tabel1[[#This Row],[Do - A3]],Tabel1[[#This Row],[Do - A4]]),"")</f>
        <v/>
      </c>
      <c r="FU50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2.9797008547008548</v>
      </c>
      <c r="FV509" s="31" t="s">
        <v>2473</v>
      </c>
      <c r="FW509" t="b">
        <v>1</v>
      </c>
    </row>
    <row r="510" spans="1:179" x14ac:dyDescent="0.3">
      <c r="A510" s="13">
        <v>45804.440289351798</v>
      </c>
      <c r="B510" t="b">
        <v>0</v>
      </c>
      <c r="C510" t="s">
        <v>2474</v>
      </c>
      <c r="D510" t="s">
        <v>2475</v>
      </c>
      <c r="E510" t="s">
        <v>2476</v>
      </c>
      <c r="F510" s="14" t="s">
        <v>184</v>
      </c>
      <c r="G510" t="s">
        <v>2477</v>
      </c>
      <c r="H510" t="s">
        <v>222</v>
      </c>
      <c r="I510" t="s">
        <v>195</v>
      </c>
      <c r="J510" t="s">
        <v>905</v>
      </c>
      <c r="K510" t="s">
        <v>203</v>
      </c>
      <c r="L510" t="s">
        <v>218</v>
      </c>
      <c r="M510" t="s">
        <v>281</v>
      </c>
      <c r="N510" t="s">
        <v>199</v>
      </c>
      <c r="O510" t="s">
        <v>200</v>
      </c>
      <c r="P510" t="s">
        <v>255</v>
      </c>
      <c r="Q510" t="s">
        <v>201</v>
      </c>
      <c r="R510" t="s">
        <v>202</v>
      </c>
      <c r="S510" t="s">
        <v>235</v>
      </c>
      <c r="T510" t="s">
        <v>204</v>
      </c>
      <c r="U510" t="s">
        <v>285</v>
      </c>
      <c r="V510" t="s">
        <v>359</v>
      </c>
      <c r="W510" t="s">
        <v>207</v>
      </c>
      <c r="X510" t="s">
        <v>207</v>
      </c>
      <c r="Y510">
        <v>2</v>
      </c>
      <c r="Z510">
        <v>5</v>
      </c>
      <c r="AA510">
        <v>5</v>
      </c>
      <c r="AB510">
        <f>IFERROR(AVERAGE(Tabel1[[#This Row],[Up - R1a]:[Up - R1c]]),"")</f>
        <v>4</v>
      </c>
      <c r="AC510">
        <v>3</v>
      </c>
      <c r="AD510">
        <v>5</v>
      </c>
      <c r="AE510">
        <v>2</v>
      </c>
      <c r="AF510">
        <v>4</v>
      </c>
      <c r="AG510">
        <f>IFERROR(AVERAGE(Tabel1[[#This Row],[Up - R1]:[Up - R5]]),"")</f>
        <v>3.6</v>
      </c>
      <c r="AH510">
        <v>5</v>
      </c>
      <c r="AI510">
        <v>5</v>
      </c>
      <c r="AJ510">
        <v>3</v>
      </c>
      <c r="AK510">
        <f>IFERROR(AVERAGE(Tabel1[[#This Row],[Up - C1a]:[Up - C1c]]),"")</f>
        <v>4.333333333333333</v>
      </c>
      <c r="AL510">
        <v>2</v>
      </c>
      <c r="AM510">
        <v>2</v>
      </c>
      <c r="AN510">
        <v>3</v>
      </c>
      <c r="AO510">
        <f>IFERROR(AVERAGE(Tabel1[[#This Row],[Up - C1]:[Up - C4]]),"")</f>
        <v>2.833333333333333</v>
      </c>
      <c r="AP510">
        <v>1</v>
      </c>
      <c r="AQ510">
        <f>IFERROR(AVERAGE(Tabel1[[#This Row],[Up - F1a]:[Up - F1a]]),"")</f>
        <v>1</v>
      </c>
      <c r="AR510">
        <v>1</v>
      </c>
      <c r="AS510">
        <v>3</v>
      </c>
      <c r="AT510">
        <f>IFERROR(AVERAGE(Tabel1[[#This Row],[Up - F2a]:[Up - F2b]]),"")</f>
        <v>2</v>
      </c>
      <c r="AU510">
        <v>5</v>
      </c>
      <c r="AV510">
        <v>4</v>
      </c>
      <c r="AW510">
        <f>IFERROR(AVERAGE(Tabel1[[#This Row],[Up - F3a]:[Up - F3b]]),"")</f>
        <v>4.5</v>
      </c>
      <c r="AX510">
        <v>3</v>
      </c>
      <c r="AY510">
        <f>IFERROR(AVERAGE(Tabel1[[#This Row],[Up - F1]],Tabel1[[#This Row],[Up - F2]],Tabel1[[#This Row],[Up - F3]],Tabel1[[#This Row],[Up - F4]]),"")</f>
        <v>2.625</v>
      </c>
      <c r="AZ510">
        <v>1</v>
      </c>
      <c r="BA510">
        <v>3</v>
      </c>
      <c r="BB510">
        <f>IFERROR(AVERAGE(Tabel1[[#This Row],[Up - V1a]:[Up - V1b]]),"")</f>
        <v>2</v>
      </c>
      <c r="BC510">
        <v>4</v>
      </c>
      <c r="BD510">
        <v>4</v>
      </c>
      <c r="BE510">
        <v>3</v>
      </c>
      <c r="BF510">
        <f>IFERROR(AVERAGE(Tabel1[[#This Row],[Up - V2a]:[Up - V2c]]),"")</f>
        <v>3.6666666666666665</v>
      </c>
      <c r="BG510">
        <v>3</v>
      </c>
      <c r="BH510">
        <v>1</v>
      </c>
      <c r="BI510">
        <f>IFERROR(AVERAGE(Tabel1[[#This Row],[Up - V3a]:[Up - V3b]]),"")</f>
        <v>2</v>
      </c>
      <c r="BJ510">
        <v>2</v>
      </c>
      <c r="BK510">
        <f>IFERROR(AVERAGE(Tabel1[[#This Row],[Up - V1]],Tabel1[[#This Row],[Up - V2]],Tabel1[[#This Row],[Up - V3]],Tabel1[[#This Row],[Up - V4]]),"")</f>
        <v>2.4166666666666665</v>
      </c>
      <c r="BL510">
        <v>3</v>
      </c>
      <c r="BM510">
        <v>5</v>
      </c>
      <c r="BN510">
        <v>5</v>
      </c>
      <c r="BO510">
        <v>2</v>
      </c>
      <c r="BP510">
        <f>IFERROR(AVERAGE(Tabel1[[#This Row],[Up - A1a]:[Up - A1d]]),"")</f>
        <v>3.75</v>
      </c>
      <c r="BQ510">
        <v>2</v>
      </c>
      <c r="BR510">
        <v>5</v>
      </c>
      <c r="BS510">
        <f>IFERROR(AVERAGE(Tabel1[[#This Row],[Up - A2a]:[Up - A2b]]),"")</f>
        <v>3.5</v>
      </c>
      <c r="BT510">
        <v>4</v>
      </c>
      <c r="BU510">
        <f>IFERROR(AVERAGE(Tabel1[[#This Row],[Up - A3a]:[Up - A3a]]),"")</f>
        <v>4</v>
      </c>
      <c r="BV510">
        <v>3</v>
      </c>
      <c r="BW510">
        <f>IFERROR(AVERAGE(Tabel1[[#This Row],[Up - A1]],Tabel1[[#This Row],[Up - A2]],Tabel1[[#This Row],[Up - A3]]),"")</f>
        <v>3.75</v>
      </c>
      <c r="BX510">
        <v>3</v>
      </c>
      <c r="BY510">
        <v>1</v>
      </c>
      <c r="BZ510">
        <f>IFERROR(AVERAGE(Tabel1[[#This Row],[In - R1a]:[In - R1b]]),"")</f>
        <v>2</v>
      </c>
      <c r="CA510">
        <v>2</v>
      </c>
      <c r="CB510" t="s">
        <v>189</v>
      </c>
      <c r="CC510">
        <v>2</v>
      </c>
      <c r="CD510">
        <v>5</v>
      </c>
      <c r="CE510">
        <f>IFERROR(AVERAGE(Tabel1[[#This Row],[In - R1]:[In - R5]]),"")</f>
        <v>2.75</v>
      </c>
      <c r="CF510">
        <v>5</v>
      </c>
      <c r="CG510">
        <v>5</v>
      </c>
      <c r="CH510">
        <v>5</v>
      </c>
      <c r="CI510">
        <f>IFERROR(AVERAGE(Tabel1[[#This Row],[In - C1a]:[In - C1c]]),"")</f>
        <v>5</v>
      </c>
      <c r="CJ510">
        <v>4</v>
      </c>
      <c r="CK510">
        <v>3</v>
      </c>
      <c r="CL510">
        <v>2</v>
      </c>
      <c r="CM510">
        <f>IFERROR(AVERAGE(Tabel1[[#This Row],[In - C1]:[In - C4]]),"")</f>
        <v>3.5</v>
      </c>
      <c r="CN510">
        <v>5</v>
      </c>
      <c r="CO510">
        <v>4</v>
      </c>
      <c r="CP510">
        <v>1</v>
      </c>
      <c r="CQ510">
        <f>IFERROR(AVERAGE(Tabel1[[#This Row],[In - F1a]:[In - F1c]]),"")</f>
        <v>3.3333333333333335</v>
      </c>
      <c r="CR510">
        <v>5</v>
      </c>
      <c r="CS510">
        <v>5</v>
      </c>
      <c r="CT510">
        <f>IFERROR(AVERAGE(Tabel1[[#This Row],[In - F2a]:[In - F2b]]),"")</f>
        <v>5</v>
      </c>
      <c r="CU510">
        <v>4</v>
      </c>
      <c r="CV510">
        <f>IFERROR(AVERAGE(Tabel1[[#This Row],[In - F3a]:[In - F3a]]),"")</f>
        <v>4</v>
      </c>
      <c r="CW510">
        <v>5</v>
      </c>
      <c r="CX510">
        <f>IFERROR(AVERAGE(Tabel1[[#This Row],[In - F1]],Tabel1[[#This Row],[In - F2]],Tabel1[[#This Row],[In - F3]],Tabel1[[#This Row],[In - F4]]),"")</f>
        <v>4.3333333333333339</v>
      </c>
      <c r="CY510">
        <v>5</v>
      </c>
      <c r="CZ510">
        <v>5</v>
      </c>
      <c r="DA510">
        <v>1</v>
      </c>
      <c r="DB510">
        <f>IFERROR(AVERAGE(Tabel1[[#This Row],[In - V1a]:[In - V1c]]),"")</f>
        <v>3.6666666666666665</v>
      </c>
      <c r="DC510">
        <v>1</v>
      </c>
      <c r="DD510">
        <v>2</v>
      </c>
      <c r="DE510">
        <v>2</v>
      </c>
      <c r="DF510">
        <f>IFERROR(AVERAGE(Tabel1[[#This Row],[In - V2a]:[In - V2c]]),"")</f>
        <v>1.6666666666666667</v>
      </c>
      <c r="DG510">
        <v>2</v>
      </c>
      <c r="DH510">
        <v>5</v>
      </c>
      <c r="DI510">
        <f>IFERROR(AVERAGE(Tabel1[[#This Row],[In - V3a]:[In - V3b]]),"")</f>
        <v>3.5</v>
      </c>
      <c r="DJ510">
        <v>5</v>
      </c>
      <c r="DK510">
        <f>IFERROR(AVERAGE(Tabel1[[#This Row],[In - V1]],Tabel1[[#This Row],[In - V2]],Tabel1[[#This Row],[In - V3]],Tabel1[[#This Row],[In - V4]]),"")</f>
        <v>3.458333333333333</v>
      </c>
      <c r="DL510">
        <v>3</v>
      </c>
      <c r="DM510">
        <v>4</v>
      </c>
      <c r="DN510">
        <f>IFERROR(AVERAGE(Tabel1[[#This Row],[In - A1a]:[In - A1b]]),"")</f>
        <v>3.5</v>
      </c>
      <c r="DO510">
        <v>3</v>
      </c>
      <c r="DP510">
        <v>4</v>
      </c>
      <c r="DQ510">
        <f>IFERROR(AVERAGE(Tabel1[[#This Row],[In - A2a]:[In - A2b]]),"")</f>
        <v>3.5</v>
      </c>
      <c r="DR510">
        <v>5</v>
      </c>
      <c r="DS510">
        <v>2</v>
      </c>
      <c r="DT510">
        <f>IFERROR(AVERAGE(Tabel1[[#This Row],[In - A3a]:[In - A3a]]),"")</f>
        <v>5</v>
      </c>
      <c r="DU510">
        <v>2</v>
      </c>
      <c r="DV510">
        <f>IFERROR(AVERAGE(Tabel1[[#This Row],[In - A1]],Tabel1[[#This Row],[In - A2]],Tabel1[[#This Row],[In - A3]],Tabel1[[#This Row],[In - A4]]),"")</f>
        <v>3.5</v>
      </c>
      <c r="DW510">
        <v>2</v>
      </c>
      <c r="DX510">
        <v>5</v>
      </c>
      <c r="DY510">
        <v>2</v>
      </c>
      <c r="DZ510">
        <f>IFERROR(AVERAGE(Tabel1[[#This Row],[Do - R1a]:[Do - R1c]]),"")</f>
        <v>3</v>
      </c>
      <c r="EA510">
        <v>2</v>
      </c>
      <c r="EB510">
        <v>5</v>
      </c>
      <c r="EC510">
        <v>5</v>
      </c>
      <c r="ED510" t="s">
        <v>189</v>
      </c>
      <c r="EE510">
        <f>IFERROR(AVERAGE(Tabel1[[#This Row],[Do - R1]:[Do - R5]]),"")</f>
        <v>3.75</v>
      </c>
      <c r="EF510">
        <v>5</v>
      </c>
      <c r="EG510">
        <v>5</v>
      </c>
      <c r="EH510">
        <v>3</v>
      </c>
      <c r="EI510">
        <f>IFERROR(AVERAGE(Tabel1[[#This Row],[Do - C1a]:[Do - C1c]]),"")</f>
        <v>4.333333333333333</v>
      </c>
      <c r="EJ510">
        <v>2</v>
      </c>
      <c r="EK510">
        <v>2</v>
      </c>
      <c r="EL510">
        <v>3</v>
      </c>
      <c r="EM510">
        <f>IFERROR(AVERAGE(Tabel1[[#This Row],[Do - C1]:[Do - C4]]),"")</f>
        <v>2.833333333333333</v>
      </c>
      <c r="EN510">
        <v>2</v>
      </c>
      <c r="EO510">
        <v>4</v>
      </c>
      <c r="EP510">
        <v>3</v>
      </c>
      <c r="EQ510">
        <f>IFERROR(AVERAGE(Tabel1[[#This Row],[Do - F1a]:[Do - F1c]]),"")</f>
        <v>3</v>
      </c>
      <c r="ER510">
        <v>3</v>
      </c>
      <c r="ES510">
        <f>IFERROR(AVERAGE(Tabel1[[#This Row],[Do - F2a]:[Do - F2a]]),"")</f>
        <v>3</v>
      </c>
      <c r="ET510">
        <v>5</v>
      </c>
      <c r="EU510">
        <v>4</v>
      </c>
      <c r="EV510">
        <f>IFERROR(AVERAGE(Tabel1[[#This Row],[Do - F3a]:[Do - F3b]]),"")</f>
        <v>4.5</v>
      </c>
      <c r="EW510">
        <v>3</v>
      </c>
      <c r="EX510">
        <f>IFERROR(AVERAGE(Tabel1[[#This Row],[Do - F1]],Tabel1[[#This Row],[Do - F2]],Tabel1[[#This Row],[Do - F3]],Tabel1[[#This Row],[Do - F4]]),"")</f>
        <v>3.375</v>
      </c>
      <c r="EY510">
        <v>2</v>
      </c>
      <c r="EZ510">
        <v>3</v>
      </c>
      <c r="FA510">
        <v>3</v>
      </c>
      <c r="FB510">
        <f>IFERROR(AVERAGE(Tabel1[[#This Row],[Do - V1a]:[Do - V1c]]),"")</f>
        <v>2.6666666666666665</v>
      </c>
      <c r="FC510">
        <v>3</v>
      </c>
      <c r="FD510">
        <v>3</v>
      </c>
      <c r="FE510">
        <f>IFERROR(AVERAGE(Tabel1[[#This Row],[Do - V2a]:[Do - V2b]]),"")</f>
        <v>3</v>
      </c>
      <c r="FF510">
        <v>2</v>
      </c>
      <c r="FG510">
        <f>IFERROR(AVERAGE(Tabel1[[#This Row],[Do - V3a]:[Do - V3a]]),"")</f>
        <v>2</v>
      </c>
      <c r="FH510">
        <v>3</v>
      </c>
      <c r="FI510">
        <f>IFERROR(AVERAGE(Tabel1[[#This Row],[Do - V1]],Tabel1[[#This Row],[Do - V2]],Tabel1[[#This Row],[Do - V3]],Tabel1[[#This Row],[Do - V4]]),"")</f>
        <v>2.6666666666666665</v>
      </c>
      <c r="FJ510">
        <v>3</v>
      </c>
      <c r="FK510">
        <v>3</v>
      </c>
      <c r="FL510">
        <v>4</v>
      </c>
      <c r="FM510">
        <f>IFERROR(AVERAGE(Tabel1[[#This Row],[Do - A1a]:[Do - A1c]]),"")</f>
        <v>3.3333333333333335</v>
      </c>
      <c r="FN510" t="s">
        <v>189</v>
      </c>
      <c r="FO510">
        <v>5</v>
      </c>
      <c r="FP510">
        <f>IFERROR(AVERAGE(Tabel1[[#This Row],[Do - A2a]:[Do - A2b]]),"")</f>
        <v>5</v>
      </c>
      <c r="FQ510">
        <v>3</v>
      </c>
      <c r="FR510">
        <f>IFERROR(AVERAGE(Tabel1[[#This Row],[Do - A3a]:[Do - A3a]]),"")</f>
        <v>3</v>
      </c>
      <c r="FS510">
        <v>2</v>
      </c>
      <c r="FT510">
        <f>IFERROR(AVERAGE(Tabel1[[#This Row],[Do - A1]],Tabel1[[#This Row],[Do - A2]],Tabel1[[#This Row],[Do - A3]],Tabel1[[#This Row],[Do - A4]]),"")</f>
        <v>3.3333333333333335</v>
      </c>
      <c r="FU51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3.2483333333333335</v>
      </c>
      <c r="FV510" s="31" t="s">
        <v>2478</v>
      </c>
      <c r="FW510" t="b">
        <v>1</v>
      </c>
    </row>
    <row r="511" spans="1:179" x14ac:dyDescent="0.3">
      <c r="A511" s="13">
        <v>45804.489409722199</v>
      </c>
      <c r="B511" t="b">
        <v>0</v>
      </c>
      <c r="C511" t="s">
        <v>2479</v>
      </c>
      <c r="D511" t="s">
        <v>2480</v>
      </c>
      <c r="E511" t="s">
        <v>2481</v>
      </c>
      <c r="F511" s="14" t="s">
        <v>184</v>
      </c>
      <c r="G511" t="s">
        <v>2482</v>
      </c>
      <c r="H511" t="s">
        <v>222</v>
      </c>
      <c r="I511" t="s">
        <v>195</v>
      </c>
      <c r="J511" t="s">
        <v>273</v>
      </c>
      <c r="K511" t="s">
        <v>304</v>
      </c>
      <c r="L511" t="s">
        <v>197</v>
      </c>
      <c r="M511" t="s">
        <v>233</v>
      </c>
      <c r="N511" t="s">
        <v>199</v>
      </c>
      <c r="O511" t="s">
        <v>200</v>
      </c>
      <c r="P511" t="s">
        <v>201</v>
      </c>
      <c r="Q511" t="s">
        <v>203</v>
      </c>
      <c r="R511" t="s">
        <v>202</v>
      </c>
      <c r="S511" t="s">
        <v>187</v>
      </c>
      <c r="T511" t="s">
        <v>204</v>
      </c>
      <c r="U511" t="s">
        <v>205</v>
      </c>
      <c r="V511" t="s">
        <v>224</v>
      </c>
      <c r="W511" t="s">
        <v>207</v>
      </c>
      <c r="X511" t="s">
        <v>207</v>
      </c>
      <c r="Y511">
        <v>3</v>
      </c>
      <c r="Z511">
        <v>4</v>
      </c>
      <c r="AA511">
        <v>5</v>
      </c>
      <c r="AB511">
        <f>IFERROR(AVERAGE(Tabel1[[#This Row],[Up - R1a]:[Up - R1c]]),"")</f>
        <v>4</v>
      </c>
      <c r="AC511">
        <v>2</v>
      </c>
      <c r="AD511">
        <v>5</v>
      </c>
      <c r="AE511">
        <v>2</v>
      </c>
      <c r="AF511">
        <v>5</v>
      </c>
      <c r="AG511">
        <f>IFERROR(AVERAGE(Tabel1[[#This Row],[Up - R1]:[Up - R5]]),"")</f>
        <v>3.6</v>
      </c>
      <c r="AH511">
        <v>4</v>
      </c>
      <c r="AI511">
        <v>4</v>
      </c>
      <c r="AJ511">
        <v>5</v>
      </c>
      <c r="AK511">
        <f>IFERROR(AVERAGE(Tabel1[[#This Row],[Up - C1a]:[Up - C1c]]),"")</f>
        <v>4.333333333333333</v>
      </c>
      <c r="AL511">
        <v>3</v>
      </c>
      <c r="AM511">
        <v>4</v>
      </c>
      <c r="AN511">
        <v>3</v>
      </c>
      <c r="AO511">
        <f>IFERROR(AVERAGE(Tabel1[[#This Row],[Up - C1]:[Up - C4]]),"")</f>
        <v>3.583333333333333</v>
      </c>
      <c r="AP511">
        <v>3</v>
      </c>
      <c r="AQ511">
        <f>IFERROR(AVERAGE(Tabel1[[#This Row],[Up - F1a]:[Up - F1a]]),"")</f>
        <v>3</v>
      </c>
      <c r="AR511">
        <v>1</v>
      </c>
      <c r="AS511">
        <v>3</v>
      </c>
      <c r="AT511">
        <f>IFERROR(AVERAGE(Tabel1[[#This Row],[Up - F2a]:[Up - F2b]]),"")</f>
        <v>2</v>
      </c>
      <c r="AU511">
        <v>3</v>
      </c>
      <c r="AV511">
        <v>4</v>
      </c>
      <c r="AW511">
        <f>IFERROR(AVERAGE(Tabel1[[#This Row],[Up - F3a]:[Up - F3b]]),"")</f>
        <v>3.5</v>
      </c>
      <c r="AX511">
        <v>5</v>
      </c>
      <c r="AY511">
        <f>IFERROR(AVERAGE(Tabel1[[#This Row],[Up - F1]],Tabel1[[#This Row],[Up - F2]],Tabel1[[#This Row],[Up - F3]],Tabel1[[#This Row],[Up - F4]]),"")</f>
        <v>3.375</v>
      </c>
      <c r="AZ511" t="s">
        <v>189</v>
      </c>
      <c r="BA511">
        <v>5</v>
      </c>
      <c r="BB511">
        <f>IFERROR(AVERAGE(Tabel1[[#This Row],[Up - V1a]:[Up - V1b]]),"")</f>
        <v>5</v>
      </c>
      <c r="BC511">
        <v>5</v>
      </c>
      <c r="BD511">
        <v>5</v>
      </c>
      <c r="BE511">
        <v>3</v>
      </c>
      <c r="BF511">
        <f>IFERROR(AVERAGE(Tabel1[[#This Row],[Up - V2a]:[Up - V2c]]),"")</f>
        <v>4.333333333333333</v>
      </c>
      <c r="BG511">
        <v>4</v>
      </c>
      <c r="BH511">
        <v>5</v>
      </c>
      <c r="BI511">
        <f>IFERROR(AVERAGE(Tabel1[[#This Row],[Up - V3a]:[Up - V3b]]),"")</f>
        <v>4.5</v>
      </c>
      <c r="BJ511">
        <v>3</v>
      </c>
      <c r="BK511">
        <f>IFERROR(AVERAGE(Tabel1[[#This Row],[Up - V1]],Tabel1[[#This Row],[Up - V2]],Tabel1[[#This Row],[Up - V3]],Tabel1[[#This Row],[Up - V4]]),"")</f>
        <v>4.208333333333333</v>
      </c>
      <c r="BL511">
        <v>4</v>
      </c>
      <c r="BM511">
        <v>5</v>
      </c>
      <c r="BN511">
        <v>5</v>
      </c>
      <c r="BO511">
        <v>5</v>
      </c>
      <c r="BP511">
        <f>IFERROR(AVERAGE(Tabel1[[#This Row],[Up - A1a]:[Up - A1d]]),"")</f>
        <v>4.75</v>
      </c>
      <c r="BQ511">
        <v>2</v>
      </c>
      <c r="BR511">
        <v>5</v>
      </c>
      <c r="BS511">
        <f>IFERROR(AVERAGE(Tabel1[[#This Row],[Up - A2a]:[Up - A2b]]),"")</f>
        <v>3.5</v>
      </c>
      <c r="BT511">
        <v>3</v>
      </c>
      <c r="BU511">
        <f>IFERROR(AVERAGE(Tabel1[[#This Row],[Up - A3a]:[Up - A3a]]),"")</f>
        <v>3</v>
      </c>
      <c r="BV511">
        <v>3</v>
      </c>
      <c r="BW511">
        <f>IFERROR(AVERAGE(Tabel1[[#This Row],[Up - A1]],Tabel1[[#This Row],[Up - A2]],Tabel1[[#This Row],[Up - A3]]),"")</f>
        <v>3.75</v>
      </c>
      <c r="BX511" t="s">
        <v>189</v>
      </c>
      <c r="BY511">
        <v>4</v>
      </c>
      <c r="BZ511">
        <f>IFERROR(AVERAGE(Tabel1[[#This Row],[In - R1a]:[In - R1b]]),"")</f>
        <v>4</v>
      </c>
      <c r="CA511">
        <v>4</v>
      </c>
      <c r="CB511">
        <v>5</v>
      </c>
      <c r="CC511">
        <v>2</v>
      </c>
      <c r="CD511">
        <v>5</v>
      </c>
      <c r="CE511">
        <f>IFERROR(AVERAGE(Tabel1[[#This Row],[In - R1]:[In - R5]]),"")</f>
        <v>4</v>
      </c>
      <c r="CF511">
        <v>4</v>
      </c>
      <c r="CG511">
        <v>5</v>
      </c>
      <c r="CH511">
        <v>4</v>
      </c>
      <c r="CI511">
        <f>IFERROR(AVERAGE(Tabel1[[#This Row],[In - C1a]:[In - C1c]]),"")</f>
        <v>4.333333333333333</v>
      </c>
      <c r="CJ511">
        <v>5</v>
      </c>
      <c r="CK511">
        <v>4</v>
      </c>
      <c r="CL511">
        <v>3</v>
      </c>
      <c r="CM511">
        <f>IFERROR(AVERAGE(Tabel1[[#This Row],[In - C1]:[In - C4]]),"")</f>
        <v>4.083333333333333</v>
      </c>
      <c r="CN511">
        <v>5</v>
      </c>
      <c r="CO511">
        <v>2</v>
      </c>
      <c r="CP511">
        <v>1</v>
      </c>
      <c r="CQ511">
        <f>IFERROR(AVERAGE(Tabel1[[#This Row],[In - F1a]:[In - F1c]]),"")</f>
        <v>2.6666666666666665</v>
      </c>
      <c r="CR511">
        <v>4</v>
      </c>
      <c r="CS511">
        <v>1</v>
      </c>
      <c r="CT511">
        <f>IFERROR(AVERAGE(Tabel1[[#This Row],[In - F2a]:[In - F2b]]),"")</f>
        <v>2.5</v>
      </c>
      <c r="CU511" t="s">
        <v>189</v>
      </c>
      <c r="CV511" t="str">
        <f>IFERROR(AVERAGE(Tabel1[[#This Row],[In - F3a]:[In - F3a]]),"")</f>
        <v/>
      </c>
      <c r="CW511">
        <v>3</v>
      </c>
      <c r="CX511">
        <f>IFERROR(AVERAGE(Tabel1[[#This Row],[In - F1]],Tabel1[[#This Row],[In - F2]],Tabel1[[#This Row],[In - F3]],Tabel1[[#This Row],[In - F4]]),"")</f>
        <v>2.7222222222222219</v>
      </c>
      <c r="CY511">
        <v>5</v>
      </c>
      <c r="CZ511">
        <v>5</v>
      </c>
      <c r="DA511">
        <v>5</v>
      </c>
      <c r="DB511">
        <f>IFERROR(AVERAGE(Tabel1[[#This Row],[In - V1a]:[In - V1c]]),"")</f>
        <v>5</v>
      </c>
      <c r="DC511">
        <v>5</v>
      </c>
      <c r="DD511">
        <v>2</v>
      </c>
      <c r="DE511">
        <v>4</v>
      </c>
      <c r="DF511">
        <f>IFERROR(AVERAGE(Tabel1[[#This Row],[In - V2a]:[In - V2c]]),"")</f>
        <v>3.6666666666666665</v>
      </c>
      <c r="DG511">
        <v>4</v>
      </c>
      <c r="DH511">
        <v>5</v>
      </c>
      <c r="DI511">
        <f>IFERROR(AVERAGE(Tabel1[[#This Row],[In - V3a]:[In - V3b]]),"")</f>
        <v>4.5</v>
      </c>
      <c r="DJ511">
        <v>3</v>
      </c>
      <c r="DK511">
        <f>IFERROR(AVERAGE(Tabel1[[#This Row],[In - V1]],Tabel1[[#This Row],[In - V2]],Tabel1[[#This Row],[In - V3]],Tabel1[[#This Row],[In - V4]]),"")</f>
        <v>4.0416666666666661</v>
      </c>
      <c r="DL511">
        <v>3</v>
      </c>
      <c r="DM511">
        <v>5</v>
      </c>
      <c r="DN511">
        <f>IFERROR(AVERAGE(Tabel1[[#This Row],[In - A1a]:[In - A1b]]),"")</f>
        <v>4</v>
      </c>
      <c r="DO511">
        <v>2</v>
      </c>
      <c r="DP511">
        <v>5</v>
      </c>
      <c r="DQ511">
        <f>IFERROR(AVERAGE(Tabel1[[#This Row],[In - A2a]:[In - A2b]]),"")</f>
        <v>3.5</v>
      </c>
      <c r="DR511">
        <v>3</v>
      </c>
      <c r="DS511">
        <v>3</v>
      </c>
      <c r="DT511">
        <f>IFERROR(AVERAGE(Tabel1[[#This Row],[In - A3a]:[In - A3a]]),"")</f>
        <v>3</v>
      </c>
      <c r="DU511">
        <v>3</v>
      </c>
      <c r="DV511">
        <f>IFERROR(AVERAGE(Tabel1[[#This Row],[In - A1]],Tabel1[[#This Row],[In - A2]],Tabel1[[#This Row],[In - A3]],Tabel1[[#This Row],[In - A4]]),"")</f>
        <v>3.375</v>
      </c>
      <c r="DW511">
        <v>4</v>
      </c>
      <c r="DX511">
        <v>4</v>
      </c>
      <c r="DY511">
        <v>3</v>
      </c>
      <c r="DZ511">
        <f>IFERROR(AVERAGE(Tabel1[[#This Row],[Do - R1a]:[Do - R1c]]),"")</f>
        <v>3.6666666666666665</v>
      </c>
      <c r="EA511">
        <v>4</v>
      </c>
      <c r="EB511">
        <v>5</v>
      </c>
      <c r="EC511">
        <v>2</v>
      </c>
      <c r="ED511">
        <v>5</v>
      </c>
      <c r="EE511">
        <f>IFERROR(AVERAGE(Tabel1[[#This Row],[Do - R1]:[Do - R5]]),"")</f>
        <v>3.9333333333333327</v>
      </c>
      <c r="EF511">
        <v>4</v>
      </c>
      <c r="EG511">
        <v>4</v>
      </c>
      <c r="EH511">
        <v>5</v>
      </c>
      <c r="EI511">
        <f>IFERROR(AVERAGE(Tabel1[[#This Row],[Do - C1a]:[Do - C1c]]),"")</f>
        <v>4.333333333333333</v>
      </c>
      <c r="EJ511">
        <v>5</v>
      </c>
      <c r="EK511">
        <v>4</v>
      </c>
      <c r="EL511">
        <v>3</v>
      </c>
      <c r="EM511">
        <f>IFERROR(AVERAGE(Tabel1[[#This Row],[Do - C1]:[Do - C4]]),"")</f>
        <v>4.083333333333333</v>
      </c>
      <c r="EN511">
        <v>3</v>
      </c>
      <c r="EO511">
        <v>3</v>
      </c>
      <c r="EP511">
        <v>2</v>
      </c>
      <c r="EQ511">
        <f>IFERROR(AVERAGE(Tabel1[[#This Row],[Do - F1a]:[Do - F1c]]),"")</f>
        <v>2.6666666666666665</v>
      </c>
      <c r="ER511">
        <v>1</v>
      </c>
      <c r="ES511">
        <f>IFERROR(AVERAGE(Tabel1[[#This Row],[Do - F2a]:[Do - F2a]]),"")</f>
        <v>1</v>
      </c>
      <c r="ET511">
        <v>5</v>
      </c>
      <c r="EU511">
        <v>3</v>
      </c>
      <c r="EV511">
        <f>IFERROR(AVERAGE(Tabel1[[#This Row],[Do - F3a]:[Do - F3b]]),"")</f>
        <v>4</v>
      </c>
      <c r="EW511">
        <v>3</v>
      </c>
      <c r="EX511">
        <f>IFERROR(AVERAGE(Tabel1[[#This Row],[Do - F1]],Tabel1[[#This Row],[Do - F2]],Tabel1[[#This Row],[Do - F3]],Tabel1[[#This Row],[Do - F4]]),"")</f>
        <v>2.6666666666666665</v>
      </c>
      <c r="EY511">
        <v>5</v>
      </c>
      <c r="EZ511">
        <v>5</v>
      </c>
      <c r="FA511">
        <v>5</v>
      </c>
      <c r="FB511">
        <f>IFERROR(AVERAGE(Tabel1[[#This Row],[Do - V1a]:[Do - V1c]]),"")</f>
        <v>5</v>
      </c>
      <c r="FC511">
        <v>5</v>
      </c>
      <c r="FD511">
        <v>5</v>
      </c>
      <c r="FE511">
        <f>IFERROR(AVERAGE(Tabel1[[#This Row],[Do - V2a]:[Do - V2b]]),"")</f>
        <v>5</v>
      </c>
      <c r="FF511">
        <v>3</v>
      </c>
      <c r="FG511">
        <f>IFERROR(AVERAGE(Tabel1[[#This Row],[Do - V3a]:[Do - V3a]]),"")</f>
        <v>3</v>
      </c>
      <c r="FH511">
        <v>3</v>
      </c>
      <c r="FI511">
        <f>IFERROR(AVERAGE(Tabel1[[#This Row],[Do - V1]],Tabel1[[#This Row],[Do - V2]],Tabel1[[#This Row],[Do - V3]],Tabel1[[#This Row],[Do - V4]]),"")</f>
        <v>4</v>
      </c>
      <c r="FJ511">
        <v>5</v>
      </c>
      <c r="FK511">
        <v>5</v>
      </c>
      <c r="FL511">
        <v>5</v>
      </c>
      <c r="FM511">
        <f>IFERROR(AVERAGE(Tabel1[[#This Row],[Do - A1a]:[Do - A1c]]),"")</f>
        <v>5</v>
      </c>
      <c r="FN511">
        <v>3</v>
      </c>
      <c r="FO511">
        <v>5</v>
      </c>
      <c r="FP511">
        <f>IFERROR(AVERAGE(Tabel1[[#This Row],[Do - A2a]:[Do - A2b]]),"")</f>
        <v>4</v>
      </c>
      <c r="FQ511">
        <v>3</v>
      </c>
      <c r="FR511">
        <f>IFERROR(AVERAGE(Tabel1[[#This Row],[Do - A3a]:[Do - A3a]]),"")</f>
        <v>3</v>
      </c>
      <c r="FS511">
        <v>3</v>
      </c>
      <c r="FT511">
        <f>IFERROR(AVERAGE(Tabel1[[#This Row],[Do - A1]],Tabel1[[#This Row],[Do - A2]],Tabel1[[#This Row],[Do - A3]],Tabel1[[#This Row],[Do - A4]]),"")</f>
        <v>3.75</v>
      </c>
      <c r="FU51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3.6781481481481477</v>
      </c>
      <c r="FV511" s="31" t="s">
        <v>2483</v>
      </c>
      <c r="FW511" t="b">
        <v>1</v>
      </c>
    </row>
    <row r="512" spans="1:179" x14ac:dyDescent="0.3">
      <c r="A512" s="13">
        <v>45810.888888888898</v>
      </c>
      <c r="B512" t="b">
        <v>0</v>
      </c>
      <c r="C512" t="s">
        <v>2484</v>
      </c>
      <c r="D512" t="s">
        <v>2485</v>
      </c>
      <c r="E512" t="s">
        <v>2486</v>
      </c>
      <c r="F512" s="14" t="s">
        <v>184</v>
      </c>
      <c r="G512" t="s">
        <v>2487</v>
      </c>
      <c r="H512" t="s">
        <v>194</v>
      </c>
      <c r="I512" t="s">
        <v>243</v>
      </c>
      <c r="J512" t="s">
        <v>244</v>
      </c>
      <c r="K512" t="s">
        <v>235</v>
      </c>
      <c r="L512" t="s">
        <v>385</v>
      </c>
      <c r="M512" t="s">
        <v>198</v>
      </c>
      <c r="N512" t="s">
        <v>331</v>
      </c>
      <c r="O512" t="s">
        <v>256</v>
      </c>
      <c r="P512" t="s">
        <v>255</v>
      </c>
      <c r="R512" t="s">
        <v>187</v>
      </c>
      <c r="S512" t="s">
        <v>235</v>
      </c>
      <c r="T512" t="s">
        <v>284</v>
      </c>
      <c r="U512" t="s">
        <v>285</v>
      </c>
      <c r="V512" t="s">
        <v>224</v>
      </c>
      <c r="W512" t="s">
        <v>306</v>
      </c>
      <c r="X512" t="s">
        <v>306</v>
      </c>
      <c r="Y512">
        <v>4</v>
      </c>
      <c r="Z512">
        <v>3</v>
      </c>
      <c r="AA512">
        <v>1</v>
      </c>
      <c r="AB512">
        <f>IFERROR(AVERAGE(Tabel1[[#This Row],[Up - R1a]:[Up - R1c]]),"")</f>
        <v>2.6666666666666665</v>
      </c>
      <c r="AC512">
        <v>2</v>
      </c>
      <c r="AD512">
        <v>4</v>
      </c>
      <c r="AE512">
        <v>3</v>
      </c>
      <c r="AF512" t="s">
        <v>189</v>
      </c>
      <c r="AG512">
        <f>IFERROR(AVERAGE(Tabel1[[#This Row],[Up - R1]:[Up - R5]]),"")</f>
        <v>2.9166666666666665</v>
      </c>
      <c r="AH512">
        <v>5</v>
      </c>
      <c r="AI512">
        <v>2</v>
      </c>
      <c r="AJ512">
        <v>4</v>
      </c>
      <c r="AK512">
        <f>IFERROR(AVERAGE(Tabel1[[#This Row],[Up - C1a]:[Up - C1c]]),"")</f>
        <v>3.6666666666666665</v>
      </c>
      <c r="AL512">
        <v>2</v>
      </c>
      <c r="AM512">
        <v>2</v>
      </c>
      <c r="AN512">
        <v>3</v>
      </c>
      <c r="AO512">
        <f>IFERROR(AVERAGE(Tabel1[[#This Row],[Up - C1]:[Up - C4]]),"")</f>
        <v>2.6666666666666665</v>
      </c>
      <c r="AP512" t="s">
        <v>189</v>
      </c>
      <c r="AQ512" t="str">
        <f>IFERROR(AVERAGE(Tabel1[[#This Row],[Up - F1a]:[Up - F1a]]),"")</f>
        <v/>
      </c>
      <c r="AR512" t="s">
        <v>189</v>
      </c>
      <c r="AS512">
        <v>4</v>
      </c>
      <c r="AT512">
        <f>IFERROR(AVERAGE(Tabel1[[#This Row],[Up - F2a]:[Up - F2b]]),"")</f>
        <v>4</v>
      </c>
      <c r="AU512">
        <v>3</v>
      </c>
      <c r="AV512">
        <v>1</v>
      </c>
      <c r="AW512">
        <f>IFERROR(AVERAGE(Tabel1[[#This Row],[Up - F3a]:[Up - F3b]]),"")</f>
        <v>2</v>
      </c>
      <c r="AX512">
        <v>1</v>
      </c>
      <c r="AY512">
        <f>IFERROR(AVERAGE(Tabel1[[#This Row],[Up - F1]],Tabel1[[#This Row],[Up - F2]],Tabel1[[#This Row],[Up - F3]],Tabel1[[#This Row],[Up - F4]]),"")</f>
        <v>2.3333333333333335</v>
      </c>
      <c r="AZ512" t="s">
        <v>189</v>
      </c>
      <c r="BA512">
        <v>2</v>
      </c>
      <c r="BB512">
        <f>IFERROR(AVERAGE(Tabel1[[#This Row],[Up - V1a]:[Up - V1b]]),"")</f>
        <v>2</v>
      </c>
      <c r="BC512">
        <v>4</v>
      </c>
      <c r="BD512">
        <v>4</v>
      </c>
      <c r="BE512">
        <v>4</v>
      </c>
      <c r="BF512">
        <f>IFERROR(AVERAGE(Tabel1[[#This Row],[Up - V2a]:[Up - V2c]]),"")</f>
        <v>4</v>
      </c>
      <c r="BG512" t="s">
        <v>189</v>
      </c>
      <c r="BH512" t="s">
        <v>189</v>
      </c>
      <c r="BI512" t="str">
        <f>IFERROR(AVERAGE(Tabel1[[#This Row],[Up - V3a]:[Up - V3b]]),"")</f>
        <v/>
      </c>
      <c r="BJ512" t="s">
        <v>189</v>
      </c>
      <c r="BK512">
        <f>IFERROR(AVERAGE(Tabel1[[#This Row],[Up - V1]],Tabel1[[#This Row],[Up - V2]],Tabel1[[#This Row],[Up - V3]],Tabel1[[#This Row],[Up - V4]]),"")</f>
        <v>3</v>
      </c>
      <c r="BL512">
        <v>5</v>
      </c>
      <c r="BM512">
        <v>5</v>
      </c>
      <c r="BN512">
        <v>4</v>
      </c>
      <c r="BO512" t="s">
        <v>189</v>
      </c>
      <c r="BP512">
        <f>IFERROR(AVERAGE(Tabel1[[#This Row],[Up - A1a]:[Up - A1d]]),"")</f>
        <v>4.666666666666667</v>
      </c>
      <c r="BQ512">
        <v>4</v>
      </c>
      <c r="BR512">
        <v>3</v>
      </c>
      <c r="BS512">
        <f>IFERROR(AVERAGE(Tabel1[[#This Row],[Up - A2a]:[Up - A2b]]),"")</f>
        <v>3.5</v>
      </c>
      <c r="BT512">
        <v>4</v>
      </c>
      <c r="BU512">
        <f>IFERROR(AVERAGE(Tabel1[[#This Row],[Up - A3a]:[Up - A3a]]),"")</f>
        <v>4</v>
      </c>
      <c r="BV512">
        <v>2</v>
      </c>
      <c r="BW512">
        <f>IFERROR(AVERAGE(Tabel1[[#This Row],[Up - A1]],Tabel1[[#This Row],[Up - A2]],Tabel1[[#This Row],[Up - A3]]),"")</f>
        <v>4.0555555555555562</v>
      </c>
      <c r="BX512" t="s">
        <v>189</v>
      </c>
      <c r="BY512" t="s">
        <v>189</v>
      </c>
      <c r="BZ512" t="str">
        <f>IFERROR(AVERAGE(Tabel1[[#This Row],[In - R1a]:[In - R1b]]),"")</f>
        <v/>
      </c>
      <c r="CA512">
        <v>5</v>
      </c>
      <c r="CB512">
        <v>1</v>
      </c>
      <c r="CC512" t="s">
        <v>189</v>
      </c>
      <c r="CD512">
        <v>5</v>
      </c>
      <c r="CE512">
        <f>IFERROR(AVERAGE(Tabel1[[#This Row],[In - R1]:[In - R5]]),"")</f>
        <v>3.6666666666666665</v>
      </c>
      <c r="CF512">
        <v>3</v>
      </c>
      <c r="CG512">
        <v>2</v>
      </c>
      <c r="CH512">
        <v>2</v>
      </c>
      <c r="CI512">
        <f>IFERROR(AVERAGE(Tabel1[[#This Row],[In - C1a]:[In - C1c]]),"")</f>
        <v>2.3333333333333335</v>
      </c>
      <c r="CJ512">
        <v>2</v>
      </c>
      <c r="CK512">
        <v>3</v>
      </c>
      <c r="CL512">
        <v>4</v>
      </c>
      <c r="CM512">
        <f>IFERROR(AVERAGE(Tabel1[[#This Row],[In - C1]:[In - C4]]),"")</f>
        <v>2.8333333333333335</v>
      </c>
      <c r="CN512" t="s">
        <v>189</v>
      </c>
      <c r="CO512">
        <v>1</v>
      </c>
      <c r="CP512" t="s">
        <v>189</v>
      </c>
      <c r="CQ512">
        <f>IFERROR(AVERAGE(Tabel1[[#This Row],[In - F1a]:[In - F1c]]),"")</f>
        <v>1</v>
      </c>
      <c r="CR512" t="s">
        <v>189</v>
      </c>
      <c r="CS512" t="s">
        <v>189</v>
      </c>
      <c r="CT512" t="str">
        <f>IFERROR(AVERAGE(Tabel1[[#This Row],[In - F2a]:[In - F2b]]),"")</f>
        <v/>
      </c>
      <c r="CU512" t="s">
        <v>189</v>
      </c>
      <c r="CV512" t="str">
        <f>IFERROR(AVERAGE(Tabel1[[#This Row],[In - F3a]:[In - F3a]]),"")</f>
        <v/>
      </c>
      <c r="CW512" t="s">
        <v>189</v>
      </c>
      <c r="CX512">
        <f>IFERROR(AVERAGE(Tabel1[[#This Row],[In - F1]],Tabel1[[#This Row],[In - F2]],Tabel1[[#This Row],[In - F3]],Tabel1[[#This Row],[In - F4]]),"")</f>
        <v>1</v>
      </c>
      <c r="CY512">
        <v>5</v>
      </c>
      <c r="CZ512">
        <v>1</v>
      </c>
      <c r="DA512">
        <v>1</v>
      </c>
      <c r="DB512">
        <f>IFERROR(AVERAGE(Tabel1[[#This Row],[In - V1a]:[In - V1c]]),"")</f>
        <v>2.3333333333333335</v>
      </c>
      <c r="DC512">
        <v>3</v>
      </c>
      <c r="DD512">
        <v>2</v>
      </c>
      <c r="DE512">
        <v>2</v>
      </c>
      <c r="DF512">
        <f>IFERROR(AVERAGE(Tabel1[[#This Row],[In - V2a]:[In - V2c]]),"")</f>
        <v>2.3333333333333335</v>
      </c>
      <c r="DG512">
        <v>2</v>
      </c>
      <c r="DH512">
        <v>4</v>
      </c>
      <c r="DI512">
        <f>IFERROR(AVERAGE(Tabel1[[#This Row],[In - V3a]:[In - V3b]]),"")</f>
        <v>3</v>
      </c>
      <c r="DJ512">
        <v>4</v>
      </c>
      <c r="DK512">
        <f>IFERROR(AVERAGE(Tabel1[[#This Row],[In - V1]],Tabel1[[#This Row],[In - V2]],Tabel1[[#This Row],[In - V3]],Tabel1[[#This Row],[In - V4]]),"")</f>
        <v>2.916666666666667</v>
      </c>
      <c r="DL512">
        <v>3</v>
      </c>
      <c r="DM512" t="s">
        <v>189</v>
      </c>
      <c r="DN512">
        <f>IFERROR(AVERAGE(Tabel1[[#This Row],[In - A1a]:[In - A1b]]),"")</f>
        <v>3</v>
      </c>
      <c r="DO512" t="s">
        <v>189</v>
      </c>
      <c r="DP512">
        <v>4</v>
      </c>
      <c r="DQ512">
        <f>IFERROR(AVERAGE(Tabel1[[#This Row],[In - A2a]:[In - A2b]]),"")</f>
        <v>4</v>
      </c>
      <c r="DR512">
        <v>4</v>
      </c>
      <c r="DS512">
        <v>2</v>
      </c>
      <c r="DT512">
        <f>IFERROR(AVERAGE(Tabel1[[#This Row],[In - A3a]:[In - A3a]]),"")</f>
        <v>4</v>
      </c>
      <c r="DU512" t="s">
        <v>189</v>
      </c>
      <c r="DV512">
        <f>IFERROR(AVERAGE(Tabel1[[#This Row],[In - A1]],Tabel1[[#This Row],[In - A2]],Tabel1[[#This Row],[In - A3]],Tabel1[[#This Row],[In - A4]]),"")</f>
        <v>3.6666666666666665</v>
      </c>
      <c r="DW512">
        <v>1</v>
      </c>
      <c r="DX512">
        <v>1</v>
      </c>
      <c r="DY512">
        <v>1</v>
      </c>
      <c r="DZ512">
        <f>IFERROR(AVERAGE(Tabel1[[#This Row],[Do - R1a]:[Do - R1c]]),"")</f>
        <v>1</v>
      </c>
      <c r="EA512" t="s">
        <v>189</v>
      </c>
      <c r="EB512">
        <v>3</v>
      </c>
      <c r="EC512" t="s">
        <v>189</v>
      </c>
      <c r="ED512" t="s">
        <v>189</v>
      </c>
      <c r="EE512">
        <f>IFERROR(AVERAGE(Tabel1[[#This Row],[Do - R1]:[Do - R5]]),"")</f>
        <v>2</v>
      </c>
      <c r="EF512" t="s">
        <v>189</v>
      </c>
      <c r="EG512" t="s">
        <v>189</v>
      </c>
      <c r="EH512">
        <v>3</v>
      </c>
      <c r="EI512">
        <f>IFERROR(AVERAGE(Tabel1[[#This Row],[Do - C1a]:[Do - C1c]]),"")</f>
        <v>3</v>
      </c>
      <c r="EJ512" t="s">
        <v>189</v>
      </c>
      <c r="EK512" t="s">
        <v>189</v>
      </c>
      <c r="EL512" t="s">
        <v>189</v>
      </c>
      <c r="EM512">
        <f>IFERROR(AVERAGE(Tabel1[[#This Row],[Do - C1]:[Do - C4]]),"")</f>
        <v>3</v>
      </c>
      <c r="EN512" t="s">
        <v>189</v>
      </c>
      <c r="EO512" t="s">
        <v>189</v>
      </c>
      <c r="EP512">
        <v>3</v>
      </c>
      <c r="EQ512">
        <f>IFERROR(AVERAGE(Tabel1[[#This Row],[Do - F1a]:[Do - F1c]]),"")</f>
        <v>3</v>
      </c>
      <c r="ER512">
        <v>3</v>
      </c>
      <c r="ES512">
        <f>IFERROR(AVERAGE(Tabel1[[#This Row],[Do - F2a]:[Do - F2a]]),"")</f>
        <v>3</v>
      </c>
      <c r="ET512">
        <v>1</v>
      </c>
      <c r="EU512" t="s">
        <v>189</v>
      </c>
      <c r="EV512">
        <f>IFERROR(AVERAGE(Tabel1[[#This Row],[Do - F3a]:[Do - F3b]]),"")</f>
        <v>1</v>
      </c>
      <c r="EW512" t="s">
        <v>189</v>
      </c>
      <c r="EX512">
        <f>IFERROR(AVERAGE(Tabel1[[#This Row],[Do - F1]],Tabel1[[#This Row],[Do - F2]],Tabel1[[#This Row],[Do - F3]],Tabel1[[#This Row],[Do - F4]]),"")</f>
        <v>2.3333333333333335</v>
      </c>
      <c r="EY512" t="s">
        <v>189</v>
      </c>
      <c r="EZ512" t="s">
        <v>189</v>
      </c>
      <c r="FA512" t="s">
        <v>189</v>
      </c>
      <c r="FB512" t="str">
        <f>IFERROR(AVERAGE(Tabel1[[#This Row],[Do - V1a]:[Do - V1c]]),"")</f>
        <v/>
      </c>
      <c r="FC512">
        <v>5</v>
      </c>
      <c r="FD512">
        <v>5</v>
      </c>
      <c r="FE512">
        <f>IFERROR(AVERAGE(Tabel1[[#This Row],[Do - V2a]:[Do - V2b]]),"")</f>
        <v>5</v>
      </c>
      <c r="FF512" t="s">
        <v>189</v>
      </c>
      <c r="FG512" t="str">
        <f>IFERROR(AVERAGE(Tabel1[[#This Row],[Do - V3a]:[Do - V3a]]),"")</f>
        <v/>
      </c>
      <c r="FH512" t="s">
        <v>189</v>
      </c>
      <c r="FI512">
        <f>IFERROR(AVERAGE(Tabel1[[#This Row],[Do - V1]],Tabel1[[#This Row],[Do - V2]],Tabel1[[#This Row],[Do - V3]],Tabel1[[#This Row],[Do - V4]]),"")</f>
        <v>5</v>
      </c>
      <c r="FJ512">
        <v>4</v>
      </c>
      <c r="FK512">
        <v>5</v>
      </c>
      <c r="FL512" t="s">
        <v>189</v>
      </c>
      <c r="FM512">
        <f>IFERROR(AVERAGE(Tabel1[[#This Row],[Do - A1a]:[Do - A1c]]),"")</f>
        <v>4.5</v>
      </c>
      <c r="FN512" t="s">
        <v>189</v>
      </c>
      <c r="FO512" t="s">
        <v>189</v>
      </c>
      <c r="FP512" t="str">
        <f>IFERROR(AVERAGE(Tabel1[[#This Row],[Do - A2a]:[Do - A2b]]),"")</f>
        <v/>
      </c>
      <c r="FQ512" t="s">
        <v>189</v>
      </c>
      <c r="FR512" t="str">
        <f>IFERROR(AVERAGE(Tabel1[[#This Row],[Do - A3a]:[Do - A3a]]),"")</f>
        <v/>
      </c>
      <c r="FS512" t="s">
        <v>189</v>
      </c>
      <c r="FT512">
        <f>IFERROR(AVERAGE(Tabel1[[#This Row],[Do - A1]],Tabel1[[#This Row],[Do - A2]],Tabel1[[#This Row],[Do - A3]],Tabel1[[#This Row],[Do - A4]]),"")</f>
        <v>4.5</v>
      </c>
      <c r="FU51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3.0592592592592593</v>
      </c>
      <c r="FV512" s="31" t="s">
        <v>2488</v>
      </c>
      <c r="FW512" t="b">
        <v>1</v>
      </c>
    </row>
    <row r="513" spans="1:179" x14ac:dyDescent="0.3">
      <c r="A513" s="13">
        <v>45814.277812499997</v>
      </c>
      <c r="B513" t="b">
        <v>0</v>
      </c>
      <c r="C513" t="s">
        <v>2489</v>
      </c>
      <c r="D513" t="s">
        <v>2490</v>
      </c>
      <c r="E513" t="s">
        <v>2491</v>
      </c>
      <c r="F513" s="14" t="s">
        <v>184</v>
      </c>
      <c r="G513" t="s">
        <v>2492</v>
      </c>
      <c r="H513" t="s">
        <v>222</v>
      </c>
      <c r="I513" t="s">
        <v>195</v>
      </c>
      <c r="J513" t="s">
        <v>273</v>
      </c>
      <c r="K513" t="s">
        <v>235</v>
      </c>
      <c r="L513" t="s">
        <v>249</v>
      </c>
      <c r="M513" t="s">
        <v>233</v>
      </c>
      <c r="N513" t="s">
        <v>199</v>
      </c>
      <c r="O513" t="s">
        <v>200</v>
      </c>
      <c r="P513" t="s">
        <v>203</v>
      </c>
      <c r="Q513" t="s">
        <v>202</v>
      </c>
      <c r="R513" t="s">
        <v>235</v>
      </c>
      <c r="S513" t="s">
        <v>235</v>
      </c>
      <c r="T513" t="s">
        <v>284</v>
      </c>
      <c r="U513" t="s">
        <v>237</v>
      </c>
      <c r="V513" t="s">
        <v>224</v>
      </c>
      <c r="W513" t="s">
        <v>207</v>
      </c>
      <c r="X513" t="s">
        <v>395</v>
      </c>
      <c r="Y513">
        <v>3</v>
      </c>
      <c r="Z513">
        <v>2</v>
      </c>
      <c r="AA513">
        <v>4</v>
      </c>
      <c r="AB513">
        <f>IFERROR(AVERAGE(Tabel1[[#This Row],[Up - R1a]:[Up - R1c]]),"")</f>
        <v>3</v>
      </c>
      <c r="AC513">
        <v>3</v>
      </c>
      <c r="AD513">
        <v>5</v>
      </c>
      <c r="AE513">
        <v>4</v>
      </c>
      <c r="AF513">
        <v>4</v>
      </c>
      <c r="AG513">
        <f>IFERROR(AVERAGE(Tabel1[[#This Row],[Up - R1]:[Up - R5]]),"")</f>
        <v>3.8</v>
      </c>
      <c r="AH513">
        <v>5</v>
      </c>
      <c r="AI513">
        <v>3</v>
      </c>
      <c r="AJ513">
        <v>4</v>
      </c>
      <c r="AK513">
        <f>IFERROR(AVERAGE(Tabel1[[#This Row],[Up - C1a]:[Up - C1c]]),"")</f>
        <v>4</v>
      </c>
      <c r="AL513">
        <v>5</v>
      </c>
      <c r="AM513">
        <v>3</v>
      </c>
      <c r="AN513">
        <v>3</v>
      </c>
      <c r="AO513">
        <f>IFERROR(AVERAGE(Tabel1[[#This Row],[Up - C1]:[Up - C4]]),"")</f>
        <v>3.75</v>
      </c>
      <c r="AP513">
        <v>3</v>
      </c>
      <c r="AQ513">
        <f>IFERROR(AVERAGE(Tabel1[[#This Row],[Up - F1a]:[Up - F1a]]),"")</f>
        <v>3</v>
      </c>
      <c r="AR513">
        <v>2</v>
      </c>
      <c r="AS513">
        <v>3</v>
      </c>
      <c r="AT513">
        <f>IFERROR(AVERAGE(Tabel1[[#This Row],[Up - F2a]:[Up - F2b]]),"")</f>
        <v>2.5</v>
      </c>
      <c r="AU513">
        <v>4</v>
      </c>
      <c r="AV513">
        <v>4</v>
      </c>
      <c r="AW513">
        <f>IFERROR(AVERAGE(Tabel1[[#This Row],[Up - F3a]:[Up - F3b]]),"")</f>
        <v>4</v>
      </c>
      <c r="AX513">
        <v>2</v>
      </c>
      <c r="AY513">
        <f>IFERROR(AVERAGE(Tabel1[[#This Row],[Up - F1]],Tabel1[[#This Row],[Up - F2]],Tabel1[[#This Row],[Up - F3]],Tabel1[[#This Row],[Up - F4]]),"")</f>
        <v>2.875</v>
      </c>
      <c r="AZ513">
        <v>5</v>
      </c>
      <c r="BA513">
        <v>4</v>
      </c>
      <c r="BB513">
        <f>IFERROR(AVERAGE(Tabel1[[#This Row],[Up - V1a]:[Up - V1b]]),"")</f>
        <v>4.5</v>
      </c>
      <c r="BC513">
        <v>4</v>
      </c>
      <c r="BD513">
        <v>5</v>
      </c>
      <c r="BE513">
        <v>4</v>
      </c>
      <c r="BF513">
        <f>IFERROR(AVERAGE(Tabel1[[#This Row],[Up - V2a]:[Up - V2c]]),"")</f>
        <v>4.333333333333333</v>
      </c>
      <c r="BG513">
        <v>4</v>
      </c>
      <c r="BH513">
        <v>3</v>
      </c>
      <c r="BI513">
        <f>IFERROR(AVERAGE(Tabel1[[#This Row],[Up - V3a]:[Up - V3b]]),"")</f>
        <v>3.5</v>
      </c>
      <c r="BJ513">
        <v>5</v>
      </c>
      <c r="BK513">
        <f>IFERROR(AVERAGE(Tabel1[[#This Row],[Up - V1]],Tabel1[[#This Row],[Up - V2]],Tabel1[[#This Row],[Up - V3]],Tabel1[[#This Row],[Up - V4]]),"")</f>
        <v>4.333333333333333</v>
      </c>
      <c r="BL513">
        <v>3</v>
      </c>
      <c r="BM513">
        <v>4</v>
      </c>
      <c r="BN513">
        <v>4</v>
      </c>
      <c r="BO513">
        <v>5</v>
      </c>
      <c r="BP513">
        <f>IFERROR(AVERAGE(Tabel1[[#This Row],[Up - A1a]:[Up - A1d]]),"")</f>
        <v>4</v>
      </c>
      <c r="BQ513">
        <v>3</v>
      </c>
      <c r="BR513">
        <v>5</v>
      </c>
      <c r="BS513">
        <f>IFERROR(AVERAGE(Tabel1[[#This Row],[Up - A2a]:[Up - A2b]]),"")</f>
        <v>4</v>
      </c>
      <c r="BT513">
        <v>5</v>
      </c>
      <c r="BU513">
        <f>IFERROR(AVERAGE(Tabel1[[#This Row],[Up - A3a]:[Up - A3a]]),"")</f>
        <v>5</v>
      </c>
      <c r="BV513">
        <v>4</v>
      </c>
      <c r="BW513">
        <f>IFERROR(AVERAGE(Tabel1[[#This Row],[Up - A1]],Tabel1[[#This Row],[Up - A2]],Tabel1[[#This Row],[Up - A3]]),"")</f>
        <v>4.333333333333333</v>
      </c>
      <c r="BX513">
        <v>4</v>
      </c>
      <c r="BY513">
        <v>3</v>
      </c>
      <c r="BZ513">
        <f>IFERROR(AVERAGE(Tabel1[[#This Row],[In - R1a]:[In - R1b]]),"")</f>
        <v>3.5</v>
      </c>
      <c r="CA513">
        <v>2</v>
      </c>
      <c r="CB513">
        <v>5</v>
      </c>
      <c r="CC513">
        <v>3</v>
      </c>
      <c r="CD513">
        <v>3</v>
      </c>
      <c r="CE513">
        <f>IFERROR(AVERAGE(Tabel1[[#This Row],[In - R1]:[In - R5]]),"")</f>
        <v>3.3</v>
      </c>
      <c r="CF513">
        <v>4</v>
      </c>
      <c r="CG513">
        <v>4</v>
      </c>
      <c r="CH513">
        <v>5</v>
      </c>
      <c r="CI513">
        <f>IFERROR(AVERAGE(Tabel1[[#This Row],[In - C1a]:[In - C1c]]),"")</f>
        <v>4.333333333333333</v>
      </c>
      <c r="CJ513">
        <v>3</v>
      </c>
      <c r="CK513">
        <v>4</v>
      </c>
      <c r="CL513">
        <v>5</v>
      </c>
      <c r="CM513">
        <f>IFERROR(AVERAGE(Tabel1[[#This Row],[In - C1]:[In - C4]]),"")</f>
        <v>4.083333333333333</v>
      </c>
      <c r="CN513">
        <v>4</v>
      </c>
      <c r="CO513">
        <v>4</v>
      </c>
      <c r="CP513">
        <v>3</v>
      </c>
      <c r="CQ513">
        <f>IFERROR(AVERAGE(Tabel1[[#This Row],[In - F1a]:[In - F1c]]),"")</f>
        <v>3.6666666666666665</v>
      </c>
      <c r="CR513">
        <v>4</v>
      </c>
      <c r="CS513">
        <v>3</v>
      </c>
      <c r="CT513">
        <f>IFERROR(AVERAGE(Tabel1[[#This Row],[In - F2a]:[In - F2b]]),"")</f>
        <v>3.5</v>
      </c>
      <c r="CU513">
        <v>4</v>
      </c>
      <c r="CV513">
        <f>IFERROR(AVERAGE(Tabel1[[#This Row],[In - F3a]:[In - F3a]]),"")</f>
        <v>4</v>
      </c>
      <c r="CW513">
        <v>3</v>
      </c>
      <c r="CX513">
        <f>IFERROR(AVERAGE(Tabel1[[#This Row],[In - F1]],Tabel1[[#This Row],[In - F2]],Tabel1[[#This Row],[In - F3]],Tabel1[[#This Row],[In - F4]]),"")</f>
        <v>3.5416666666666665</v>
      </c>
      <c r="CY513">
        <v>3</v>
      </c>
      <c r="CZ513">
        <v>4</v>
      </c>
      <c r="DA513">
        <v>4</v>
      </c>
      <c r="DB513">
        <f>IFERROR(AVERAGE(Tabel1[[#This Row],[In - V1a]:[In - V1c]]),"")</f>
        <v>3.6666666666666665</v>
      </c>
      <c r="DC513">
        <v>4</v>
      </c>
      <c r="DD513">
        <v>5</v>
      </c>
      <c r="DE513">
        <v>5</v>
      </c>
      <c r="DF513">
        <f>IFERROR(AVERAGE(Tabel1[[#This Row],[In - V2a]:[In - V2c]]),"")</f>
        <v>4.666666666666667</v>
      </c>
      <c r="DG513">
        <v>3</v>
      </c>
      <c r="DH513">
        <v>3</v>
      </c>
      <c r="DI513">
        <f>IFERROR(AVERAGE(Tabel1[[#This Row],[In - V3a]:[In - V3b]]),"")</f>
        <v>3</v>
      </c>
      <c r="DJ513">
        <v>4</v>
      </c>
      <c r="DK513">
        <f>IFERROR(AVERAGE(Tabel1[[#This Row],[In - V1]],Tabel1[[#This Row],[In - V2]],Tabel1[[#This Row],[In - V3]],Tabel1[[#This Row],[In - V4]]),"")</f>
        <v>3.8333333333333335</v>
      </c>
      <c r="DL513">
        <v>4</v>
      </c>
      <c r="DM513">
        <v>4</v>
      </c>
      <c r="DN513">
        <f>IFERROR(AVERAGE(Tabel1[[#This Row],[In - A1a]:[In - A1b]]),"")</f>
        <v>4</v>
      </c>
      <c r="DO513">
        <v>4</v>
      </c>
      <c r="DP513">
        <v>4</v>
      </c>
      <c r="DQ513">
        <f>IFERROR(AVERAGE(Tabel1[[#This Row],[In - A2a]:[In - A2b]]),"")</f>
        <v>4</v>
      </c>
      <c r="DR513">
        <v>5</v>
      </c>
      <c r="DS513">
        <v>5</v>
      </c>
      <c r="DT513">
        <f>IFERROR(AVERAGE(Tabel1[[#This Row],[In - A3a]:[In - A3a]]),"")</f>
        <v>5</v>
      </c>
      <c r="DU513">
        <v>5</v>
      </c>
      <c r="DV513">
        <f>IFERROR(AVERAGE(Tabel1[[#This Row],[In - A1]],Tabel1[[#This Row],[In - A2]],Tabel1[[#This Row],[In - A3]],Tabel1[[#This Row],[In - A4]]),"")</f>
        <v>4.5</v>
      </c>
      <c r="DW513">
        <v>4</v>
      </c>
      <c r="DX513">
        <v>4</v>
      </c>
      <c r="DY513">
        <v>5</v>
      </c>
      <c r="DZ513">
        <f>IFERROR(AVERAGE(Tabel1[[#This Row],[Do - R1a]:[Do - R1c]]),"")</f>
        <v>4.333333333333333</v>
      </c>
      <c r="EA513">
        <v>3</v>
      </c>
      <c r="EB513">
        <v>4</v>
      </c>
      <c r="EC513">
        <v>4</v>
      </c>
      <c r="ED513">
        <v>3</v>
      </c>
      <c r="EE513">
        <f>IFERROR(AVERAGE(Tabel1[[#This Row],[Do - R1]:[Do - R5]]),"")</f>
        <v>3.6666666666666665</v>
      </c>
      <c r="EF513">
        <v>5</v>
      </c>
      <c r="EG513">
        <v>4</v>
      </c>
      <c r="EH513">
        <v>3</v>
      </c>
      <c r="EI513">
        <f>IFERROR(AVERAGE(Tabel1[[#This Row],[Do - C1a]:[Do - C1c]]),"")</f>
        <v>4</v>
      </c>
      <c r="EJ513">
        <v>5</v>
      </c>
      <c r="EK513">
        <v>4</v>
      </c>
      <c r="EL513">
        <v>4</v>
      </c>
      <c r="EM513">
        <f>IFERROR(AVERAGE(Tabel1[[#This Row],[Do - C1]:[Do - C4]]),"")</f>
        <v>4.25</v>
      </c>
      <c r="EN513">
        <v>5</v>
      </c>
      <c r="EO513">
        <v>5</v>
      </c>
      <c r="EP513">
        <v>4</v>
      </c>
      <c r="EQ513">
        <f>IFERROR(AVERAGE(Tabel1[[#This Row],[Do - F1a]:[Do - F1c]]),"")</f>
        <v>4.666666666666667</v>
      </c>
      <c r="ER513">
        <v>2</v>
      </c>
      <c r="ES513">
        <f>IFERROR(AVERAGE(Tabel1[[#This Row],[Do - F2a]:[Do - F2a]]),"")</f>
        <v>2</v>
      </c>
      <c r="ET513">
        <v>5</v>
      </c>
      <c r="EU513">
        <v>5</v>
      </c>
      <c r="EV513">
        <f>IFERROR(AVERAGE(Tabel1[[#This Row],[Do - F3a]:[Do - F3b]]),"")</f>
        <v>5</v>
      </c>
      <c r="EW513">
        <v>3</v>
      </c>
      <c r="EX513">
        <f>IFERROR(AVERAGE(Tabel1[[#This Row],[Do - F1]],Tabel1[[#This Row],[Do - F2]],Tabel1[[#This Row],[Do - F3]],Tabel1[[#This Row],[Do - F4]]),"")</f>
        <v>3.666666666666667</v>
      </c>
      <c r="EY513">
        <v>4</v>
      </c>
      <c r="EZ513">
        <v>3</v>
      </c>
      <c r="FA513">
        <v>4</v>
      </c>
      <c r="FB513">
        <f>IFERROR(AVERAGE(Tabel1[[#This Row],[Do - V1a]:[Do - V1c]]),"")</f>
        <v>3.6666666666666665</v>
      </c>
      <c r="FC513">
        <v>4</v>
      </c>
      <c r="FD513">
        <v>5</v>
      </c>
      <c r="FE513">
        <f>IFERROR(AVERAGE(Tabel1[[#This Row],[Do - V2a]:[Do - V2b]]),"")</f>
        <v>4.5</v>
      </c>
      <c r="FF513">
        <v>3</v>
      </c>
      <c r="FG513">
        <f>IFERROR(AVERAGE(Tabel1[[#This Row],[Do - V3a]:[Do - V3a]]),"")</f>
        <v>3</v>
      </c>
      <c r="FH513">
        <v>5</v>
      </c>
      <c r="FI513">
        <f>IFERROR(AVERAGE(Tabel1[[#This Row],[Do - V1]],Tabel1[[#This Row],[Do - V2]],Tabel1[[#This Row],[Do - V3]],Tabel1[[#This Row],[Do - V4]]),"")</f>
        <v>4.0416666666666661</v>
      </c>
      <c r="FJ513">
        <v>5</v>
      </c>
      <c r="FK513">
        <v>3</v>
      </c>
      <c r="FL513">
        <v>5</v>
      </c>
      <c r="FM513">
        <f>IFERROR(AVERAGE(Tabel1[[#This Row],[Do - A1a]:[Do - A1c]]),"")</f>
        <v>4.333333333333333</v>
      </c>
      <c r="FN513">
        <v>5</v>
      </c>
      <c r="FO513">
        <v>4</v>
      </c>
      <c r="FP513">
        <f>IFERROR(AVERAGE(Tabel1[[#This Row],[Do - A2a]:[Do - A2b]]),"")</f>
        <v>4.5</v>
      </c>
      <c r="FQ513">
        <v>5</v>
      </c>
      <c r="FR513">
        <f>IFERROR(AVERAGE(Tabel1[[#This Row],[Do - A3a]:[Do - A3a]]),"")</f>
        <v>5</v>
      </c>
      <c r="FS513">
        <v>5</v>
      </c>
      <c r="FT513">
        <f>IFERROR(AVERAGE(Tabel1[[#This Row],[Do - A1]],Tabel1[[#This Row],[Do - A2]],Tabel1[[#This Row],[Do - A3]],Tabel1[[#This Row],[Do - A4]]),"")</f>
        <v>4.708333333333333</v>
      </c>
      <c r="FU51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3.9122222222222218</v>
      </c>
      <c r="FV513" s="31" t="s">
        <v>2493</v>
      </c>
      <c r="FW513" t="b">
        <v>1</v>
      </c>
    </row>
    <row r="514" spans="1:179" x14ac:dyDescent="0.3">
      <c r="A514" s="13">
        <v>45820.522384259297</v>
      </c>
      <c r="B514" t="b">
        <v>0</v>
      </c>
      <c r="C514" t="s">
        <v>2436</v>
      </c>
      <c r="D514" t="s">
        <v>2437</v>
      </c>
      <c r="E514" t="s">
        <v>192</v>
      </c>
      <c r="F514" s="14" t="s">
        <v>184</v>
      </c>
      <c r="G514" t="s">
        <v>2438</v>
      </c>
      <c r="H514" t="s">
        <v>194</v>
      </c>
      <c r="I514" t="s">
        <v>195</v>
      </c>
      <c r="J514" t="s">
        <v>347</v>
      </c>
      <c r="K514" t="s">
        <v>201</v>
      </c>
      <c r="L514" t="s">
        <v>218</v>
      </c>
      <c r="M514" t="s">
        <v>188</v>
      </c>
      <c r="N514" t="s">
        <v>199</v>
      </c>
      <c r="O514" t="s">
        <v>256</v>
      </c>
      <c r="P514" t="s">
        <v>255</v>
      </c>
      <c r="Q514" t="s">
        <v>203</v>
      </c>
      <c r="R514" t="s">
        <v>203</v>
      </c>
      <c r="S514" t="s">
        <v>203</v>
      </c>
      <c r="T514" t="s">
        <v>348</v>
      </c>
      <c r="U514" t="s">
        <v>237</v>
      </c>
      <c r="V514" t="s">
        <v>206</v>
      </c>
      <c r="W514" t="s">
        <v>207</v>
      </c>
      <c r="X514" t="s">
        <v>395</v>
      </c>
      <c r="Y514">
        <v>2</v>
      </c>
      <c r="Z514">
        <v>4</v>
      </c>
      <c r="AA514">
        <v>2</v>
      </c>
      <c r="AB514">
        <f>IFERROR(AVERAGE(Tabel1[[#This Row],[Up - R1a]:[Up - R1c]]),"")</f>
        <v>2.6666666666666665</v>
      </c>
      <c r="AD514">
        <v>3</v>
      </c>
      <c r="AG514">
        <f>IFERROR(AVERAGE(Tabel1[[#This Row],[Up - R1]:[Up - R5]]),"")</f>
        <v>2.833333333333333</v>
      </c>
      <c r="AH514">
        <v>5</v>
      </c>
      <c r="AI514">
        <v>2</v>
      </c>
      <c r="AJ514">
        <v>2</v>
      </c>
      <c r="AK514">
        <f>IFERROR(AVERAGE(Tabel1[[#This Row],[Up - C1a]:[Up - C1c]]),"")</f>
        <v>3</v>
      </c>
      <c r="AM514">
        <v>1</v>
      </c>
      <c r="AO514">
        <f>IFERROR(AVERAGE(Tabel1[[#This Row],[Up - C1]:[Up - C4]]),"")</f>
        <v>2</v>
      </c>
      <c r="AQ514" t="str">
        <f>IFERROR(AVERAGE(Tabel1[[#This Row],[Up - F1a]:[Up - F1a]]),"")</f>
        <v/>
      </c>
      <c r="AR514">
        <v>2</v>
      </c>
      <c r="AT514">
        <f>IFERROR(AVERAGE(Tabel1[[#This Row],[Up - F2a]:[Up - F2b]]),"")</f>
        <v>2</v>
      </c>
      <c r="AU514">
        <v>2</v>
      </c>
      <c r="AW514">
        <f>IFERROR(AVERAGE(Tabel1[[#This Row],[Up - F3a]:[Up - F3b]]),"")</f>
        <v>2</v>
      </c>
      <c r="AY514">
        <f>IFERROR(AVERAGE(Tabel1[[#This Row],[Up - F1]],Tabel1[[#This Row],[Up - F2]],Tabel1[[#This Row],[Up - F3]],Tabel1[[#This Row],[Up - F4]]),"")</f>
        <v>2</v>
      </c>
      <c r="AZ514">
        <v>1</v>
      </c>
      <c r="BA514">
        <v>2</v>
      </c>
      <c r="BB514">
        <f>IFERROR(AVERAGE(Tabel1[[#This Row],[Up - V1a]:[Up - V1b]]),"")</f>
        <v>1.5</v>
      </c>
      <c r="BC514">
        <v>3</v>
      </c>
      <c r="BD514">
        <v>3</v>
      </c>
      <c r="BE514">
        <v>2</v>
      </c>
      <c r="BF514">
        <f>IFERROR(AVERAGE(Tabel1[[#This Row],[Up - V2a]:[Up - V2c]]),"")</f>
        <v>2.6666666666666665</v>
      </c>
      <c r="BG514">
        <v>1</v>
      </c>
      <c r="BH514">
        <v>1</v>
      </c>
      <c r="BI514">
        <f>IFERROR(AVERAGE(Tabel1[[#This Row],[Up - V3a]:[Up - V3b]]),"")</f>
        <v>1</v>
      </c>
      <c r="BJ514">
        <v>1</v>
      </c>
      <c r="BK514">
        <f>IFERROR(AVERAGE(Tabel1[[#This Row],[Up - V1]],Tabel1[[#This Row],[Up - V2]],Tabel1[[#This Row],[Up - V3]],Tabel1[[#This Row],[Up - V4]]),"")</f>
        <v>1.5416666666666665</v>
      </c>
      <c r="BL514">
        <v>3</v>
      </c>
      <c r="BM514">
        <v>5</v>
      </c>
      <c r="BN514">
        <v>1</v>
      </c>
      <c r="BO514">
        <v>3</v>
      </c>
      <c r="BP514">
        <f>IFERROR(AVERAGE(Tabel1[[#This Row],[Up - A1a]:[Up - A1d]]),"")</f>
        <v>3</v>
      </c>
      <c r="BQ514">
        <v>3</v>
      </c>
      <c r="BR514">
        <v>2</v>
      </c>
      <c r="BS514">
        <f>IFERROR(AVERAGE(Tabel1[[#This Row],[Up - A2a]:[Up - A2b]]),"")</f>
        <v>2.5</v>
      </c>
      <c r="BT514">
        <v>4</v>
      </c>
      <c r="BU514">
        <f>IFERROR(AVERAGE(Tabel1[[#This Row],[Up - A3a]:[Up - A3a]]),"")</f>
        <v>4</v>
      </c>
      <c r="BV514">
        <v>3</v>
      </c>
      <c r="BW514">
        <f>IFERROR(AVERAGE(Tabel1[[#This Row],[Up - A1]],Tabel1[[#This Row],[Up - A2]],Tabel1[[#This Row],[Up - A3]]),"")</f>
        <v>3.1666666666666665</v>
      </c>
      <c r="BZ514" t="str">
        <f>IFERROR(AVERAGE(Tabel1[[#This Row],[In - R1a]:[In - R1b]]),"")</f>
        <v/>
      </c>
      <c r="CE514" t="str">
        <f>IFERROR(AVERAGE(Tabel1[[#This Row],[In - R1]:[In - R5]]),"")</f>
        <v/>
      </c>
      <c r="CI514" t="str">
        <f>IFERROR(AVERAGE(Tabel1[[#This Row],[In - C1a]:[In - C1c]]),"")</f>
        <v/>
      </c>
      <c r="CM514" t="str">
        <f>IFERROR(AVERAGE(Tabel1[[#This Row],[In - C1]:[In - C4]]),"")</f>
        <v/>
      </c>
      <c r="CQ514" t="str">
        <f>IFERROR(AVERAGE(Tabel1[[#This Row],[In - F1a]:[In - F1c]]),"")</f>
        <v/>
      </c>
      <c r="CT514" t="str">
        <f>IFERROR(AVERAGE(Tabel1[[#This Row],[In - F2a]:[In - F2b]]),"")</f>
        <v/>
      </c>
      <c r="CV514" t="str">
        <f>IFERROR(AVERAGE(Tabel1[[#This Row],[In - F3a]:[In - F3a]]),"")</f>
        <v/>
      </c>
      <c r="CX514" t="str">
        <f>IFERROR(AVERAGE(Tabel1[[#This Row],[In - F1]],Tabel1[[#This Row],[In - F2]],Tabel1[[#This Row],[In - F3]],Tabel1[[#This Row],[In - F4]]),"")</f>
        <v/>
      </c>
      <c r="DB514" t="str">
        <f>IFERROR(AVERAGE(Tabel1[[#This Row],[In - V1a]:[In - V1c]]),"")</f>
        <v/>
      </c>
      <c r="DF514" t="str">
        <f>IFERROR(AVERAGE(Tabel1[[#This Row],[In - V2a]:[In - V2c]]),"")</f>
        <v/>
      </c>
      <c r="DI514" t="str">
        <f>IFERROR(AVERAGE(Tabel1[[#This Row],[In - V3a]:[In - V3b]]),"")</f>
        <v/>
      </c>
      <c r="DK514" t="str">
        <f>IFERROR(AVERAGE(Tabel1[[#This Row],[In - V1]],Tabel1[[#This Row],[In - V2]],Tabel1[[#This Row],[In - V3]],Tabel1[[#This Row],[In - V4]]),"")</f>
        <v/>
      </c>
      <c r="DN514" t="str">
        <f>IFERROR(AVERAGE(Tabel1[[#This Row],[In - A1a]:[In - A1b]]),"")</f>
        <v/>
      </c>
      <c r="DQ514" t="str">
        <f>IFERROR(AVERAGE(Tabel1[[#This Row],[In - A2a]:[In - A2b]]),"")</f>
        <v/>
      </c>
      <c r="DT514" t="str">
        <f>IFERROR(AVERAGE(Tabel1[[#This Row],[In - A3a]:[In - A3a]]),"")</f>
        <v/>
      </c>
      <c r="DV514" t="str">
        <f>IFERROR(AVERAGE(Tabel1[[#This Row],[In - A1]],Tabel1[[#This Row],[In - A2]],Tabel1[[#This Row],[In - A3]],Tabel1[[#This Row],[In - A4]]),"")</f>
        <v/>
      </c>
      <c r="DZ514" t="str">
        <f>IFERROR(AVERAGE(Tabel1[[#This Row],[Do - R1a]:[Do - R1c]]),"")</f>
        <v/>
      </c>
      <c r="EE514" t="str">
        <f>IFERROR(AVERAGE(Tabel1[[#This Row],[Do - R1]:[Do - R5]]),"")</f>
        <v/>
      </c>
      <c r="EI514" t="str">
        <f>IFERROR(AVERAGE(Tabel1[[#This Row],[Do - C1a]:[Do - C1c]]),"")</f>
        <v/>
      </c>
      <c r="EM514" t="str">
        <f>IFERROR(AVERAGE(Tabel1[[#This Row],[Do - C1]:[Do - C4]]),"")</f>
        <v/>
      </c>
      <c r="EQ514" t="str">
        <f>IFERROR(AVERAGE(Tabel1[[#This Row],[Do - F1a]:[Do - F1c]]),"")</f>
        <v/>
      </c>
      <c r="ES514" t="str">
        <f>IFERROR(AVERAGE(Tabel1[[#This Row],[Do - F2a]:[Do - F2a]]),"")</f>
        <v/>
      </c>
      <c r="EV514" t="str">
        <f>IFERROR(AVERAGE(Tabel1[[#This Row],[Do - F3a]:[Do - F3b]]),"")</f>
        <v/>
      </c>
      <c r="EX514" t="str">
        <f>IFERROR(AVERAGE(Tabel1[[#This Row],[Do - F1]],Tabel1[[#This Row],[Do - F2]],Tabel1[[#This Row],[Do - F3]],Tabel1[[#This Row],[Do - F4]]),"")</f>
        <v/>
      </c>
      <c r="FB514" t="str">
        <f>IFERROR(AVERAGE(Tabel1[[#This Row],[Do - V1a]:[Do - V1c]]),"")</f>
        <v/>
      </c>
      <c r="FE514" t="str">
        <f>IFERROR(AVERAGE(Tabel1[[#This Row],[Do - V2a]:[Do - V2b]]),"")</f>
        <v/>
      </c>
      <c r="FG514" t="str">
        <f>IFERROR(AVERAGE(Tabel1[[#This Row],[Do - V3a]:[Do - V3a]]),"")</f>
        <v/>
      </c>
      <c r="FI514" t="str">
        <f>IFERROR(AVERAGE(Tabel1[[#This Row],[Do - V1]],Tabel1[[#This Row],[Do - V2]],Tabel1[[#This Row],[Do - V3]],Tabel1[[#This Row],[Do - V4]]),"")</f>
        <v/>
      </c>
      <c r="FM514" t="str">
        <f>IFERROR(AVERAGE(Tabel1[[#This Row],[Do - A1a]:[Do - A1c]]),"")</f>
        <v/>
      </c>
      <c r="FP514" t="str">
        <f>IFERROR(AVERAGE(Tabel1[[#This Row],[Do - A2a]:[Do - A2b]]),"")</f>
        <v/>
      </c>
      <c r="FR514" t="str">
        <f>IFERROR(AVERAGE(Tabel1[[#This Row],[Do - A3a]:[Do - A3a]]),"")</f>
        <v/>
      </c>
      <c r="FT514" t="str">
        <f>IFERROR(AVERAGE(Tabel1[[#This Row],[Do - A1]],Tabel1[[#This Row],[Do - A2]],Tabel1[[#This Row],[Do - A3]],Tabel1[[#This Row],[Do - A4]]),"")</f>
        <v/>
      </c>
      <c r="FU51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2.3083333333333331</v>
      </c>
      <c r="FV514" s="31" t="s">
        <v>2494</v>
      </c>
      <c r="FW514" t="b">
        <v>1</v>
      </c>
    </row>
    <row r="515" spans="1:179" x14ac:dyDescent="0.3">
      <c r="A515" s="13">
        <v>45825.408969907403</v>
      </c>
      <c r="B515" t="b">
        <v>0</v>
      </c>
      <c r="C515" t="s">
        <v>2495</v>
      </c>
      <c r="D515" t="s">
        <v>2496</v>
      </c>
      <c r="E515" s="29" t="s">
        <v>293</v>
      </c>
      <c r="F515" s="14" t="s">
        <v>184</v>
      </c>
      <c r="G515" t="s">
        <v>2497</v>
      </c>
      <c r="H515" t="s">
        <v>222</v>
      </c>
      <c r="I515" t="s">
        <v>195</v>
      </c>
      <c r="J515" t="s">
        <v>261</v>
      </c>
      <c r="K515" t="s">
        <v>235</v>
      </c>
      <c r="L515" t="s">
        <v>218</v>
      </c>
      <c r="M515" t="s">
        <v>233</v>
      </c>
      <c r="N515" t="s">
        <v>262</v>
      </c>
      <c r="O515" t="s">
        <v>200</v>
      </c>
      <c r="P515" t="s">
        <v>304</v>
      </c>
      <c r="Q515" t="s">
        <v>235</v>
      </c>
      <c r="R515" t="s">
        <v>235</v>
      </c>
      <c r="S515" t="s">
        <v>202</v>
      </c>
      <c r="T515" t="s">
        <v>204</v>
      </c>
      <c r="U515" t="s">
        <v>237</v>
      </c>
      <c r="V515" t="s">
        <v>206</v>
      </c>
      <c r="W515" t="s">
        <v>395</v>
      </c>
      <c r="X515" t="s">
        <v>207</v>
      </c>
      <c r="Y515">
        <v>4</v>
      </c>
      <c r="Z515">
        <v>3</v>
      </c>
      <c r="AA515">
        <v>4</v>
      </c>
      <c r="AB515">
        <f>IFERROR(AVERAGE(Tabel1[[#This Row],[Up - R1a]:[Up - R1c]]),"")</f>
        <v>3.6666666666666665</v>
      </c>
      <c r="AC515">
        <v>4</v>
      </c>
      <c r="AD515">
        <v>2</v>
      </c>
      <c r="AE515">
        <v>1</v>
      </c>
      <c r="AF515">
        <v>3</v>
      </c>
      <c r="AG515">
        <f>IFERROR(AVERAGE(Tabel1[[#This Row],[Up - R1]:[Up - R5]]),"")</f>
        <v>2.7333333333333334</v>
      </c>
      <c r="AH515">
        <v>4</v>
      </c>
      <c r="AI515">
        <v>2</v>
      </c>
      <c r="AJ515">
        <v>3</v>
      </c>
      <c r="AK515">
        <f>IFERROR(AVERAGE(Tabel1[[#This Row],[Up - C1a]:[Up - C1c]]),"")</f>
        <v>3</v>
      </c>
      <c r="AL515">
        <v>2</v>
      </c>
      <c r="AM515">
        <v>1</v>
      </c>
      <c r="AN515">
        <v>3</v>
      </c>
      <c r="AO515">
        <f>IFERROR(AVERAGE(Tabel1[[#This Row],[Up - C1]:[Up - C4]]),"")</f>
        <v>2.25</v>
      </c>
      <c r="AP515">
        <v>4</v>
      </c>
      <c r="AQ515">
        <f>IFERROR(AVERAGE(Tabel1[[#This Row],[Up - F1a]:[Up - F1a]]),"")</f>
        <v>4</v>
      </c>
      <c r="AR515">
        <v>2</v>
      </c>
      <c r="AS515">
        <v>4</v>
      </c>
      <c r="AT515">
        <f>IFERROR(AVERAGE(Tabel1[[#This Row],[Up - F2a]:[Up - F2b]]),"")</f>
        <v>3</v>
      </c>
      <c r="AU515">
        <v>3</v>
      </c>
      <c r="AV515">
        <v>1</v>
      </c>
      <c r="AW515">
        <f>IFERROR(AVERAGE(Tabel1[[#This Row],[Up - F3a]:[Up - F3b]]),"")</f>
        <v>2</v>
      </c>
      <c r="AX515">
        <v>2</v>
      </c>
      <c r="AY515">
        <f>IFERROR(AVERAGE(Tabel1[[#This Row],[Up - F1]],Tabel1[[#This Row],[Up - F2]],Tabel1[[#This Row],[Up - F3]],Tabel1[[#This Row],[Up - F4]]),"")</f>
        <v>2.75</v>
      </c>
      <c r="AZ515">
        <v>2</v>
      </c>
      <c r="BA515">
        <v>4</v>
      </c>
      <c r="BB515">
        <f>IFERROR(AVERAGE(Tabel1[[#This Row],[Up - V1a]:[Up - V1b]]),"")</f>
        <v>3</v>
      </c>
      <c r="BC515">
        <v>4</v>
      </c>
      <c r="BD515">
        <v>2</v>
      </c>
      <c r="BE515">
        <v>4</v>
      </c>
      <c r="BF515">
        <f>IFERROR(AVERAGE(Tabel1[[#This Row],[Up - V2a]:[Up - V2c]]),"")</f>
        <v>3.3333333333333335</v>
      </c>
      <c r="BG515">
        <v>4</v>
      </c>
      <c r="BH515">
        <v>4</v>
      </c>
      <c r="BI515">
        <f>IFERROR(AVERAGE(Tabel1[[#This Row],[Up - V3a]:[Up - V3b]]),"")</f>
        <v>4</v>
      </c>
      <c r="BJ515">
        <v>3</v>
      </c>
      <c r="BK515">
        <f>IFERROR(AVERAGE(Tabel1[[#This Row],[Up - V1]],Tabel1[[#This Row],[Up - V2]],Tabel1[[#This Row],[Up - V3]],Tabel1[[#This Row],[Up - V4]]),"")</f>
        <v>3.3333333333333335</v>
      </c>
      <c r="BL515">
        <v>4</v>
      </c>
      <c r="BM515">
        <v>3</v>
      </c>
      <c r="BN515">
        <v>4</v>
      </c>
      <c r="BO515">
        <v>4</v>
      </c>
      <c r="BP515">
        <f>IFERROR(AVERAGE(Tabel1[[#This Row],[Up - A1a]:[Up - A1d]]),"")</f>
        <v>3.75</v>
      </c>
      <c r="BQ515">
        <v>4</v>
      </c>
      <c r="BR515">
        <v>2</v>
      </c>
      <c r="BS515">
        <f>IFERROR(AVERAGE(Tabel1[[#This Row],[Up - A2a]:[Up - A2b]]),"")</f>
        <v>3</v>
      </c>
      <c r="BT515">
        <v>4</v>
      </c>
      <c r="BU515">
        <f>IFERROR(AVERAGE(Tabel1[[#This Row],[Up - A3a]:[Up - A3a]]),"")</f>
        <v>4</v>
      </c>
      <c r="BV515">
        <v>4</v>
      </c>
      <c r="BW515">
        <f>IFERROR(AVERAGE(Tabel1[[#This Row],[Up - A1]],Tabel1[[#This Row],[Up - A2]],Tabel1[[#This Row],[Up - A3]]),"")</f>
        <v>3.5833333333333335</v>
      </c>
      <c r="BX515">
        <v>2</v>
      </c>
      <c r="BY515">
        <v>4</v>
      </c>
      <c r="BZ515">
        <f>IFERROR(AVERAGE(Tabel1[[#This Row],[In - R1a]:[In - R1b]]),"")</f>
        <v>3</v>
      </c>
      <c r="CA515">
        <v>4</v>
      </c>
      <c r="CB515">
        <v>5</v>
      </c>
      <c r="CC515">
        <v>1</v>
      </c>
      <c r="CD515">
        <v>3</v>
      </c>
      <c r="CE515">
        <f>IFERROR(AVERAGE(Tabel1[[#This Row],[In - R1]:[In - R5]]),"")</f>
        <v>3.2</v>
      </c>
      <c r="CF515">
        <v>4</v>
      </c>
      <c r="CG515">
        <v>4</v>
      </c>
      <c r="CH515">
        <v>4</v>
      </c>
      <c r="CI515">
        <f>IFERROR(AVERAGE(Tabel1[[#This Row],[In - C1a]:[In - C1c]]),"")</f>
        <v>4</v>
      </c>
      <c r="CJ515">
        <v>5</v>
      </c>
      <c r="CK515">
        <v>3</v>
      </c>
      <c r="CL515">
        <v>5</v>
      </c>
      <c r="CM515">
        <f>IFERROR(AVERAGE(Tabel1[[#This Row],[In - C1]:[In - C4]]),"")</f>
        <v>4.25</v>
      </c>
      <c r="CN515">
        <v>2</v>
      </c>
      <c r="CO515">
        <v>4</v>
      </c>
      <c r="CP515">
        <v>2</v>
      </c>
      <c r="CQ515">
        <f>IFERROR(AVERAGE(Tabel1[[#This Row],[In - F1a]:[In - F1c]]),"")</f>
        <v>2.6666666666666665</v>
      </c>
      <c r="CR515">
        <v>5</v>
      </c>
      <c r="CS515">
        <v>1</v>
      </c>
      <c r="CT515">
        <f>IFERROR(AVERAGE(Tabel1[[#This Row],[In - F2a]:[In - F2b]]),"")</f>
        <v>3</v>
      </c>
      <c r="CU515">
        <v>1</v>
      </c>
      <c r="CV515">
        <f>IFERROR(AVERAGE(Tabel1[[#This Row],[In - F3a]:[In - F3a]]),"")</f>
        <v>1</v>
      </c>
      <c r="CW515">
        <v>2</v>
      </c>
      <c r="CX515">
        <f>IFERROR(AVERAGE(Tabel1[[#This Row],[In - F1]],Tabel1[[#This Row],[In - F2]],Tabel1[[#This Row],[In - F3]],Tabel1[[#This Row],[In - F4]]),"")</f>
        <v>2.1666666666666665</v>
      </c>
      <c r="CY515">
        <v>4</v>
      </c>
      <c r="CZ515">
        <v>2</v>
      </c>
      <c r="DA515">
        <v>4</v>
      </c>
      <c r="DB515">
        <f>IFERROR(AVERAGE(Tabel1[[#This Row],[In - V1a]:[In - V1c]]),"")</f>
        <v>3.3333333333333335</v>
      </c>
      <c r="DC515">
        <v>3</v>
      </c>
      <c r="DD515">
        <v>4</v>
      </c>
      <c r="DE515">
        <v>5</v>
      </c>
      <c r="DF515">
        <f>IFERROR(AVERAGE(Tabel1[[#This Row],[In - V2a]:[In - V2c]]),"")</f>
        <v>4</v>
      </c>
      <c r="DG515">
        <v>5</v>
      </c>
      <c r="DH515">
        <v>5</v>
      </c>
      <c r="DI515">
        <f>IFERROR(AVERAGE(Tabel1[[#This Row],[In - V3a]:[In - V3b]]),"")</f>
        <v>5</v>
      </c>
      <c r="DJ515">
        <v>4</v>
      </c>
      <c r="DK515">
        <f>IFERROR(AVERAGE(Tabel1[[#This Row],[In - V1]],Tabel1[[#This Row],[In - V2]],Tabel1[[#This Row],[In - V3]],Tabel1[[#This Row],[In - V4]]),"")</f>
        <v>4.0833333333333339</v>
      </c>
      <c r="DL515">
        <v>3</v>
      </c>
      <c r="DM515">
        <v>3</v>
      </c>
      <c r="DN515">
        <f>IFERROR(AVERAGE(Tabel1[[#This Row],[In - A1a]:[In - A1b]]),"")</f>
        <v>3</v>
      </c>
      <c r="DO515">
        <v>4</v>
      </c>
      <c r="DP515">
        <v>2</v>
      </c>
      <c r="DQ515">
        <f>IFERROR(AVERAGE(Tabel1[[#This Row],[In - A2a]:[In - A2b]]),"")</f>
        <v>3</v>
      </c>
      <c r="DR515">
        <v>4</v>
      </c>
      <c r="DS515">
        <v>2</v>
      </c>
      <c r="DT515">
        <f>IFERROR(AVERAGE(Tabel1[[#This Row],[In - A3a]:[In - A3a]]),"")</f>
        <v>4</v>
      </c>
      <c r="DU515">
        <v>2</v>
      </c>
      <c r="DV515">
        <f>IFERROR(AVERAGE(Tabel1[[#This Row],[In - A1]],Tabel1[[#This Row],[In - A2]],Tabel1[[#This Row],[In - A3]],Tabel1[[#This Row],[In - A4]]),"")</f>
        <v>3</v>
      </c>
      <c r="DW515">
        <v>2</v>
      </c>
      <c r="DX515">
        <v>5</v>
      </c>
      <c r="DY515">
        <v>4</v>
      </c>
      <c r="DZ515">
        <f>IFERROR(AVERAGE(Tabel1[[#This Row],[Do - R1a]:[Do - R1c]]),"")</f>
        <v>3.6666666666666665</v>
      </c>
      <c r="EA515">
        <v>4</v>
      </c>
      <c r="EB515">
        <v>3</v>
      </c>
      <c r="EC515">
        <v>1</v>
      </c>
      <c r="ED515">
        <v>4</v>
      </c>
      <c r="EE515">
        <f>IFERROR(AVERAGE(Tabel1[[#This Row],[Do - R1]:[Do - R5]]),"")</f>
        <v>3.1333333333333333</v>
      </c>
      <c r="EF515">
        <v>4</v>
      </c>
      <c r="EG515">
        <v>2</v>
      </c>
      <c r="EH515">
        <v>4</v>
      </c>
      <c r="EI515">
        <f>IFERROR(AVERAGE(Tabel1[[#This Row],[Do - C1a]:[Do - C1c]]),"")</f>
        <v>3.3333333333333335</v>
      </c>
      <c r="EJ515">
        <v>3</v>
      </c>
      <c r="EK515">
        <v>1</v>
      </c>
      <c r="EL515">
        <v>4</v>
      </c>
      <c r="EM515">
        <f>IFERROR(AVERAGE(Tabel1[[#This Row],[Do - C1]:[Do - C4]]),"")</f>
        <v>2.8333333333333335</v>
      </c>
      <c r="EN515">
        <v>2</v>
      </c>
      <c r="EO515">
        <v>2</v>
      </c>
      <c r="EP515">
        <v>1</v>
      </c>
      <c r="EQ515">
        <f>IFERROR(AVERAGE(Tabel1[[#This Row],[Do - F1a]:[Do - F1c]]),"")</f>
        <v>1.6666666666666667</v>
      </c>
      <c r="ER515">
        <v>2</v>
      </c>
      <c r="ES515">
        <f>IFERROR(AVERAGE(Tabel1[[#This Row],[Do - F2a]:[Do - F2a]]),"")</f>
        <v>2</v>
      </c>
      <c r="ET515">
        <v>3</v>
      </c>
      <c r="EU515">
        <v>4</v>
      </c>
      <c r="EV515">
        <f>IFERROR(AVERAGE(Tabel1[[#This Row],[Do - F3a]:[Do - F3b]]),"")</f>
        <v>3.5</v>
      </c>
      <c r="EW515">
        <v>3</v>
      </c>
      <c r="EX515">
        <f>IFERROR(AVERAGE(Tabel1[[#This Row],[Do - F1]],Tabel1[[#This Row],[Do - F2]],Tabel1[[#This Row],[Do - F3]],Tabel1[[#This Row],[Do - F4]]),"")</f>
        <v>2.541666666666667</v>
      </c>
      <c r="EY515">
        <v>3</v>
      </c>
      <c r="EZ515">
        <v>3</v>
      </c>
      <c r="FA515">
        <v>4</v>
      </c>
      <c r="FB515">
        <f>IFERROR(AVERAGE(Tabel1[[#This Row],[Do - V1a]:[Do - V1c]]),"")</f>
        <v>3.3333333333333335</v>
      </c>
      <c r="FC515">
        <v>3</v>
      </c>
      <c r="FD515">
        <v>4</v>
      </c>
      <c r="FE515">
        <f>IFERROR(AVERAGE(Tabel1[[#This Row],[Do - V2a]:[Do - V2b]]),"")</f>
        <v>3.5</v>
      </c>
      <c r="FF515">
        <v>4</v>
      </c>
      <c r="FG515">
        <f>IFERROR(AVERAGE(Tabel1[[#This Row],[Do - V3a]:[Do - V3a]]),"")</f>
        <v>4</v>
      </c>
      <c r="FH515">
        <v>4</v>
      </c>
      <c r="FI515">
        <f>IFERROR(AVERAGE(Tabel1[[#This Row],[Do - V1]],Tabel1[[#This Row],[Do - V2]],Tabel1[[#This Row],[Do - V3]],Tabel1[[#This Row],[Do - V4]]),"")</f>
        <v>3.7083333333333335</v>
      </c>
      <c r="FJ515">
        <v>4</v>
      </c>
      <c r="FK515">
        <v>2</v>
      </c>
      <c r="FL515">
        <v>4</v>
      </c>
      <c r="FM515">
        <f>IFERROR(AVERAGE(Tabel1[[#This Row],[Do - A1a]:[Do - A1c]]),"")</f>
        <v>3.3333333333333335</v>
      </c>
      <c r="FN515">
        <v>4</v>
      </c>
      <c r="FO515">
        <v>4</v>
      </c>
      <c r="FP515">
        <f>IFERROR(AVERAGE(Tabel1[[#This Row],[Do - A2a]:[Do - A2b]]),"")</f>
        <v>4</v>
      </c>
      <c r="FQ515">
        <v>4</v>
      </c>
      <c r="FR515">
        <f>IFERROR(AVERAGE(Tabel1[[#This Row],[Do - A3a]:[Do - A3a]]),"")</f>
        <v>4</v>
      </c>
      <c r="FS515">
        <v>4</v>
      </c>
      <c r="FT515">
        <f>IFERROR(AVERAGE(Tabel1[[#This Row],[Do - A1]],Tabel1[[#This Row],[Do - A2]],Tabel1[[#This Row],[Do - A3]],Tabel1[[#This Row],[Do - A4]]),"")</f>
        <v>3.8333333333333335</v>
      </c>
      <c r="FU51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3.1600000000000006</v>
      </c>
      <c r="FV515" s="31" t="s">
        <v>2498</v>
      </c>
      <c r="FW515" t="b">
        <v>1</v>
      </c>
    </row>
    <row r="516" spans="1:179" x14ac:dyDescent="0.3">
      <c r="A516" s="13">
        <v>45827.602395833303</v>
      </c>
      <c r="B516" t="b">
        <v>0</v>
      </c>
      <c r="C516" t="s">
        <v>2499</v>
      </c>
      <c r="D516" t="s">
        <v>2496</v>
      </c>
      <c r="E516" s="29" t="s">
        <v>293</v>
      </c>
      <c r="F516" s="14" t="s">
        <v>184</v>
      </c>
      <c r="G516" t="s">
        <v>2497</v>
      </c>
      <c r="H516" t="s">
        <v>222</v>
      </c>
      <c r="I516" t="s">
        <v>195</v>
      </c>
      <c r="J516" t="s">
        <v>261</v>
      </c>
      <c r="K516" t="s">
        <v>235</v>
      </c>
      <c r="L516" t="s">
        <v>218</v>
      </c>
      <c r="M516" t="s">
        <v>281</v>
      </c>
      <c r="N516" t="s">
        <v>262</v>
      </c>
      <c r="O516" t="s">
        <v>200</v>
      </c>
      <c r="P516" t="s">
        <v>304</v>
      </c>
      <c r="Q516" t="s">
        <v>235</v>
      </c>
      <c r="R516" t="s">
        <v>235</v>
      </c>
      <c r="S516" t="s">
        <v>235</v>
      </c>
      <c r="T516" t="s">
        <v>204</v>
      </c>
      <c r="U516" t="s">
        <v>237</v>
      </c>
      <c r="V516" t="s">
        <v>206</v>
      </c>
      <c r="W516" t="s">
        <v>395</v>
      </c>
      <c r="X516" t="s">
        <v>207</v>
      </c>
      <c r="Y516">
        <v>5</v>
      </c>
      <c r="Z516">
        <v>5</v>
      </c>
      <c r="AA516">
        <v>4</v>
      </c>
      <c r="AB516">
        <f>IFERROR(AVERAGE(Tabel1[[#This Row],[Up - R1a]:[Up - R1c]]),"")</f>
        <v>4.666666666666667</v>
      </c>
      <c r="AC516">
        <v>4</v>
      </c>
      <c r="AD516">
        <v>1</v>
      </c>
      <c r="AE516">
        <v>1</v>
      </c>
      <c r="AF516">
        <v>4</v>
      </c>
      <c r="AG516">
        <f>IFERROR(AVERAGE(Tabel1[[#This Row],[Up - R1]:[Up - R5]]),"")</f>
        <v>2.9333333333333336</v>
      </c>
      <c r="AH516">
        <v>4</v>
      </c>
      <c r="AI516">
        <v>4</v>
      </c>
      <c r="AJ516">
        <v>4</v>
      </c>
      <c r="AK516">
        <f>IFERROR(AVERAGE(Tabel1[[#This Row],[Up - C1a]:[Up - C1c]]),"")</f>
        <v>4</v>
      </c>
      <c r="AL516">
        <v>3</v>
      </c>
      <c r="AM516">
        <v>1</v>
      </c>
      <c r="AN516">
        <v>1</v>
      </c>
      <c r="AO516">
        <f>IFERROR(AVERAGE(Tabel1[[#This Row],[Up - C1]:[Up - C4]]),"")</f>
        <v>2.25</v>
      </c>
      <c r="AP516">
        <v>4</v>
      </c>
      <c r="AQ516">
        <f>IFERROR(AVERAGE(Tabel1[[#This Row],[Up - F1a]:[Up - F1a]]),"")</f>
        <v>4</v>
      </c>
      <c r="AR516">
        <v>1</v>
      </c>
      <c r="AS516">
        <v>2</v>
      </c>
      <c r="AT516">
        <f>IFERROR(AVERAGE(Tabel1[[#This Row],[Up - F2a]:[Up - F2b]]),"")</f>
        <v>1.5</v>
      </c>
      <c r="AU516">
        <v>2</v>
      </c>
      <c r="AW516">
        <f>IFERROR(AVERAGE(Tabel1[[#This Row],[Up - F3a]:[Up - F3b]]),"")</f>
        <v>2</v>
      </c>
      <c r="AX516">
        <v>1</v>
      </c>
      <c r="AY516">
        <f>IFERROR(AVERAGE(Tabel1[[#This Row],[Up - F1]],Tabel1[[#This Row],[Up - F2]],Tabel1[[#This Row],[Up - F3]],Tabel1[[#This Row],[Up - F4]]),"")</f>
        <v>2.125</v>
      </c>
      <c r="AZ516">
        <v>3</v>
      </c>
      <c r="BA516">
        <v>4</v>
      </c>
      <c r="BB516">
        <f>IFERROR(AVERAGE(Tabel1[[#This Row],[Up - V1a]:[Up - V1b]]),"")</f>
        <v>3.5</v>
      </c>
      <c r="BC516">
        <v>5</v>
      </c>
      <c r="BD516">
        <v>3</v>
      </c>
      <c r="BE516">
        <v>4</v>
      </c>
      <c r="BF516">
        <f>IFERROR(AVERAGE(Tabel1[[#This Row],[Up - V2a]:[Up - V2c]]),"")</f>
        <v>4</v>
      </c>
      <c r="BG516">
        <v>2</v>
      </c>
      <c r="BH516">
        <v>2</v>
      </c>
      <c r="BI516">
        <f>IFERROR(AVERAGE(Tabel1[[#This Row],[Up - V3a]:[Up - V3b]]),"")</f>
        <v>2</v>
      </c>
      <c r="BJ516">
        <v>3</v>
      </c>
      <c r="BK516">
        <f>IFERROR(AVERAGE(Tabel1[[#This Row],[Up - V1]],Tabel1[[#This Row],[Up - V2]],Tabel1[[#This Row],[Up - V3]],Tabel1[[#This Row],[Up - V4]]),"")</f>
        <v>3.125</v>
      </c>
      <c r="BL516">
        <v>5</v>
      </c>
      <c r="BM516">
        <v>4</v>
      </c>
      <c r="BN516">
        <v>1</v>
      </c>
      <c r="BO516">
        <v>3</v>
      </c>
      <c r="BP516">
        <f>IFERROR(AVERAGE(Tabel1[[#This Row],[Up - A1a]:[Up - A1d]]),"")</f>
        <v>3.25</v>
      </c>
      <c r="BQ516">
        <v>2</v>
      </c>
      <c r="BR516">
        <v>1</v>
      </c>
      <c r="BS516">
        <f>IFERROR(AVERAGE(Tabel1[[#This Row],[Up - A2a]:[Up - A2b]]),"")</f>
        <v>1.5</v>
      </c>
      <c r="BT516">
        <v>4</v>
      </c>
      <c r="BU516">
        <f>IFERROR(AVERAGE(Tabel1[[#This Row],[Up - A3a]:[Up - A3a]]),"")</f>
        <v>4</v>
      </c>
      <c r="BV516">
        <v>4</v>
      </c>
      <c r="BW516">
        <f>IFERROR(AVERAGE(Tabel1[[#This Row],[Up - A1]],Tabel1[[#This Row],[Up - A2]],Tabel1[[#This Row],[Up - A3]]),"")</f>
        <v>2.9166666666666665</v>
      </c>
      <c r="BX516">
        <v>5</v>
      </c>
      <c r="BY516">
        <v>5</v>
      </c>
      <c r="BZ516">
        <f>IFERROR(AVERAGE(Tabel1[[#This Row],[In - R1a]:[In - R1b]]),"")</f>
        <v>5</v>
      </c>
      <c r="CA516">
        <v>1</v>
      </c>
      <c r="CB516">
        <v>5</v>
      </c>
      <c r="CC516">
        <v>4</v>
      </c>
      <c r="CD516">
        <v>4</v>
      </c>
      <c r="CE516">
        <f>IFERROR(AVERAGE(Tabel1[[#This Row],[In - R1]:[In - R5]]),"")</f>
        <v>3.8</v>
      </c>
      <c r="CF516">
        <v>4</v>
      </c>
      <c r="CG516">
        <v>3</v>
      </c>
      <c r="CH516">
        <v>3</v>
      </c>
      <c r="CI516">
        <f>IFERROR(AVERAGE(Tabel1[[#This Row],[In - C1a]:[In - C1c]]),"")</f>
        <v>3.3333333333333335</v>
      </c>
      <c r="CJ516">
        <v>5</v>
      </c>
      <c r="CK516">
        <v>4</v>
      </c>
      <c r="CL516">
        <v>5</v>
      </c>
      <c r="CM516">
        <f>IFERROR(AVERAGE(Tabel1[[#This Row],[In - C1]:[In - C4]]),"")</f>
        <v>4.3333333333333339</v>
      </c>
      <c r="CN516">
        <v>2</v>
      </c>
      <c r="CO516">
        <v>2</v>
      </c>
      <c r="CP516">
        <v>3</v>
      </c>
      <c r="CQ516">
        <f>IFERROR(AVERAGE(Tabel1[[#This Row],[In - F1a]:[In - F1c]]),"")</f>
        <v>2.3333333333333335</v>
      </c>
      <c r="CR516">
        <v>2</v>
      </c>
      <c r="CS516">
        <v>1</v>
      </c>
      <c r="CT516">
        <f>IFERROR(AVERAGE(Tabel1[[#This Row],[In - F2a]:[In - F2b]]),"")</f>
        <v>1.5</v>
      </c>
      <c r="CU516">
        <v>1</v>
      </c>
      <c r="CV516">
        <f>IFERROR(AVERAGE(Tabel1[[#This Row],[In - F3a]:[In - F3a]]),"")</f>
        <v>1</v>
      </c>
      <c r="CW516">
        <v>2</v>
      </c>
      <c r="CX516">
        <f>IFERROR(AVERAGE(Tabel1[[#This Row],[In - F1]],Tabel1[[#This Row],[In - F2]],Tabel1[[#This Row],[In - F3]],Tabel1[[#This Row],[In - F4]]),"")</f>
        <v>1.7083333333333335</v>
      </c>
      <c r="CY516">
        <v>5</v>
      </c>
      <c r="CZ516">
        <v>4</v>
      </c>
      <c r="DA516">
        <v>4</v>
      </c>
      <c r="DB516">
        <f>IFERROR(AVERAGE(Tabel1[[#This Row],[In - V1a]:[In - V1c]]),"")</f>
        <v>4.333333333333333</v>
      </c>
      <c r="DC516">
        <v>4</v>
      </c>
      <c r="DD516">
        <v>4</v>
      </c>
      <c r="DE516">
        <v>5</v>
      </c>
      <c r="DF516">
        <f>IFERROR(AVERAGE(Tabel1[[#This Row],[In - V2a]:[In - V2c]]),"")</f>
        <v>4.333333333333333</v>
      </c>
      <c r="DG516">
        <v>5</v>
      </c>
      <c r="DH516">
        <v>5</v>
      </c>
      <c r="DI516">
        <f>IFERROR(AVERAGE(Tabel1[[#This Row],[In - V3a]:[In - V3b]]),"")</f>
        <v>5</v>
      </c>
      <c r="DJ516">
        <v>3</v>
      </c>
      <c r="DK516">
        <f>IFERROR(AVERAGE(Tabel1[[#This Row],[In - V1]],Tabel1[[#This Row],[In - V2]],Tabel1[[#This Row],[In - V3]],Tabel1[[#This Row],[In - V4]]),"")</f>
        <v>4.1666666666666661</v>
      </c>
      <c r="DL516">
        <v>4</v>
      </c>
      <c r="DM516">
        <v>4</v>
      </c>
      <c r="DN516">
        <f>IFERROR(AVERAGE(Tabel1[[#This Row],[In - A1a]:[In - A1b]]),"")</f>
        <v>4</v>
      </c>
      <c r="DO516">
        <v>3</v>
      </c>
      <c r="DP516">
        <v>2</v>
      </c>
      <c r="DQ516">
        <f>IFERROR(AVERAGE(Tabel1[[#This Row],[In - A2a]:[In - A2b]]),"")</f>
        <v>2.5</v>
      </c>
      <c r="DR516">
        <v>4</v>
      </c>
      <c r="DS516">
        <v>3</v>
      </c>
      <c r="DT516">
        <f>IFERROR(AVERAGE(Tabel1[[#This Row],[In - A3a]:[In - A3a]]),"")</f>
        <v>4</v>
      </c>
      <c r="DU516">
        <v>1</v>
      </c>
      <c r="DV516">
        <f>IFERROR(AVERAGE(Tabel1[[#This Row],[In - A1]],Tabel1[[#This Row],[In - A2]],Tabel1[[#This Row],[In - A3]],Tabel1[[#This Row],[In - A4]]),"")</f>
        <v>2.875</v>
      </c>
      <c r="DW516">
        <v>4</v>
      </c>
      <c r="DX516">
        <v>5</v>
      </c>
      <c r="DY516">
        <v>5</v>
      </c>
      <c r="DZ516">
        <f>IFERROR(AVERAGE(Tabel1[[#This Row],[Do - R1a]:[Do - R1c]]),"")</f>
        <v>4.666666666666667</v>
      </c>
      <c r="EA516">
        <v>5</v>
      </c>
      <c r="EB516">
        <v>1</v>
      </c>
      <c r="EC516">
        <v>2</v>
      </c>
      <c r="ED516">
        <v>4</v>
      </c>
      <c r="EE516">
        <f>IFERROR(AVERAGE(Tabel1[[#This Row],[Do - R1]:[Do - R5]]),"")</f>
        <v>3.3333333333333335</v>
      </c>
      <c r="EF516">
        <v>4</v>
      </c>
      <c r="EG516">
        <v>4</v>
      </c>
      <c r="EH516">
        <v>4</v>
      </c>
      <c r="EI516">
        <f>IFERROR(AVERAGE(Tabel1[[#This Row],[Do - C1a]:[Do - C1c]]),"")</f>
        <v>4</v>
      </c>
      <c r="EJ516">
        <v>4</v>
      </c>
      <c r="EK516">
        <v>5</v>
      </c>
      <c r="EM516">
        <f>IFERROR(AVERAGE(Tabel1[[#This Row],[Do - C1]:[Do - C4]]),"")</f>
        <v>4.333333333333333</v>
      </c>
      <c r="EN516">
        <v>4</v>
      </c>
      <c r="EO516">
        <v>2</v>
      </c>
      <c r="EP516">
        <v>1</v>
      </c>
      <c r="EQ516">
        <f>IFERROR(AVERAGE(Tabel1[[#This Row],[Do - F1a]:[Do - F1c]]),"")</f>
        <v>2.3333333333333335</v>
      </c>
      <c r="ER516">
        <v>1</v>
      </c>
      <c r="ES516">
        <f>IFERROR(AVERAGE(Tabel1[[#This Row],[Do - F2a]:[Do - F2a]]),"")</f>
        <v>1</v>
      </c>
      <c r="ET516">
        <v>1</v>
      </c>
      <c r="EU516">
        <v>2</v>
      </c>
      <c r="EV516">
        <f>IFERROR(AVERAGE(Tabel1[[#This Row],[Do - F3a]:[Do - F3b]]),"")</f>
        <v>1.5</v>
      </c>
      <c r="EX516">
        <f>IFERROR(AVERAGE(Tabel1[[#This Row],[Do - F1]],Tabel1[[#This Row],[Do - F2]],Tabel1[[#This Row],[Do - F3]],Tabel1[[#This Row],[Do - F4]]),"")</f>
        <v>1.6111111111111114</v>
      </c>
      <c r="EY516">
        <v>3</v>
      </c>
      <c r="EZ516">
        <v>2</v>
      </c>
      <c r="FA516">
        <v>4</v>
      </c>
      <c r="FB516">
        <f>IFERROR(AVERAGE(Tabel1[[#This Row],[Do - V1a]:[Do - V1c]]),"")</f>
        <v>3</v>
      </c>
      <c r="FC516">
        <v>5</v>
      </c>
      <c r="FD516">
        <v>3</v>
      </c>
      <c r="FE516">
        <f>IFERROR(AVERAGE(Tabel1[[#This Row],[Do - V2a]:[Do - V2b]]),"")</f>
        <v>4</v>
      </c>
      <c r="FF516">
        <v>4</v>
      </c>
      <c r="FG516">
        <f>IFERROR(AVERAGE(Tabel1[[#This Row],[Do - V3a]:[Do - V3a]]),"")</f>
        <v>4</v>
      </c>
      <c r="FI516">
        <f>IFERROR(AVERAGE(Tabel1[[#This Row],[Do - V1]],Tabel1[[#This Row],[Do - V2]],Tabel1[[#This Row],[Do - V3]],Tabel1[[#This Row],[Do - V4]]),"")</f>
        <v>3.6666666666666665</v>
      </c>
      <c r="FJ516">
        <v>4</v>
      </c>
      <c r="FK516">
        <v>2</v>
      </c>
      <c r="FL516">
        <v>3</v>
      </c>
      <c r="FM516">
        <f>IFERROR(AVERAGE(Tabel1[[#This Row],[Do - A1a]:[Do - A1c]]),"")</f>
        <v>3</v>
      </c>
      <c r="FN516">
        <v>3</v>
      </c>
      <c r="FO516">
        <v>1</v>
      </c>
      <c r="FP516">
        <f>IFERROR(AVERAGE(Tabel1[[#This Row],[Do - A2a]:[Do - A2b]]),"")</f>
        <v>2</v>
      </c>
      <c r="FQ516">
        <v>2</v>
      </c>
      <c r="FR516">
        <f>IFERROR(AVERAGE(Tabel1[[#This Row],[Do - A3a]:[Do - A3a]]),"")</f>
        <v>2</v>
      </c>
      <c r="FS516">
        <v>4</v>
      </c>
      <c r="FT516">
        <f>IFERROR(AVERAGE(Tabel1[[#This Row],[Do - A1]],Tabel1[[#This Row],[Do - A2]],Tabel1[[#This Row],[Do - A3]],Tabel1[[#This Row],[Do - A4]]),"")</f>
        <v>2.75</v>
      </c>
      <c r="FU51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3.0618518518518525</v>
      </c>
      <c r="FV516" s="31" t="s">
        <v>2500</v>
      </c>
      <c r="FW516" t="b">
        <v>1</v>
      </c>
    </row>
    <row r="517" spans="1:179" x14ac:dyDescent="0.3">
      <c r="A517" s="13">
        <v>45845.476365740702</v>
      </c>
      <c r="B517" t="b">
        <v>0</v>
      </c>
      <c r="C517" t="s">
        <v>2501</v>
      </c>
      <c r="D517" t="s">
        <v>2502</v>
      </c>
      <c r="E517" t="s">
        <v>2503</v>
      </c>
      <c r="F517" s="14" t="s">
        <v>184</v>
      </c>
      <c r="G517" t="s">
        <v>2504</v>
      </c>
      <c r="H517" t="s">
        <v>222</v>
      </c>
      <c r="I517" t="s">
        <v>186</v>
      </c>
      <c r="K517" t="s">
        <v>203</v>
      </c>
      <c r="L517" t="s">
        <v>385</v>
      </c>
      <c r="M517" t="s">
        <v>198</v>
      </c>
      <c r="N517" t="s">
        <v>199</v>
      </c>
      <c r="O517" t="s">
        <v>256</v>
      </c>
      <c r="P517" t="s">
        <v>304</v>
      </c>
      <c r="Q517" t="s">
        <v>203</v>
      </c>
      <c r="R517" t="s">
        <v>187</v>
      </c>
      <c r="S517" t="s">
        <v>202</v>
      </c>
      <c r="V517" t="s">
        <v>224</v>
      </c>
      <c r="W517" t="s">
        <v>207</v>
      </c>
      <c r="X517" t="s">
        <v>306</v>
      </c>
      <c r="Y517">
        <v>3</v>
      </c>
      <c r="Z517">
        <v>3</v>
      </c>
      <c r="AA517">
        <v>5</v>
      </c>
      <c r="AB517">
        <f>IFERROR(AVERAGE(Tabel1[[#This Row],[Up - R1a]:[Up - R1c]]),"")</f>
        <v>3.6666666666666665</v>
      </c>
      <c r="AC517">
        <v>3</v>
      </c>
      <c r="AD517">
        <v>2</v>
      </c>
      <c r="AE517">
        <v>3</v>
      </c>
      <c r="AF517">
        <v>3</v>
      </c>
      <c r="AG517">
        <f>IFERROR(AVERAGE(Tabel1[[#This Row],[Up - R1]:[Up - R5]]),"")</f>
        <v>2.9333333333333331</v>
      </c>
      <c r="AH517">
        <v>5</v>
      </c>
      <c r="AI517">
        <v>5</v>
      </c>
      <c r="AJ517">
        <v>3</v>
      </c>
      <c r="AK517">
        <f>IFERROR(AVERAGE(Tabel1[[#This Row],[Up - C1a]:[Up - C1c]]),"")</f>
        <v>4.333333333333333</v>
      </c>
      <c r="AL517">
        <v>2</v>
      </c>
      <c r="AM517">
        <v>3</v>
      </c>
      <c r="AN517" t="s">
        <v>189</v>
      </c>
      <c r="AO517">
        <f>IFERROR(AVERAGE(Tabel1[[#This Row],[Up - C1]:[Up - C4]]),"")</f>
        <v>3.1111111111111107</v>
      </c>
      <c r="AP517" t="s">
        <v>189</v>
      </c>
      <c r="AQ517" t="str">
        <f>IFERROR(AVERAGE(Tabel1[[#This Row],[Up - F1a]:[Up - F1a]]),"")</f>
        <v/>
      </c>
      <c r="AR517">
        <v>2</v>
      </c>
      <c r="AS517">
        <v>5</v>
      </c>
      <c r="AT517">
        <f>IFERROR(AVERAGE(Tabel1[[#This Row],[Up - F2a]:[Up - F2b]]),"")</f>
        <v>3.5</v>
      </c>
      <c r="AU517">
        <v>3</v>
      </c>
      <c r="AV517">
        <v>2</v>
      </c>
      <c r="AW517">
        <f>IFERROR(AVERAGE(Tabel1[[#This Row],[Up - F3a]:[Up - F3b]]),"")</f>
        <v>2.5</v>
      </c>
      <c r="AX517" t="s">
        <v>189</v>
      </c>
      <c r="AY517">
        <f>IFERROR(AVERAGE(Tabel1[[#This Row],[Up - F1]],Tabel1[[#This Row],[Up - F2]],Tabel1[[#This Row],[Up - F3]],Tabel1[[#This Row],[Up - F4]]),"")</f>
        <v>3</v>
      </c>
      <c r="AZ517">
        <v>4</v>
      </c>
      <c r="BA517">
        <v>2</v>
      </c>
      <c r="BB517">
        <f>IFERROR(AVERAGE(Tabel1[[#This Row],[Up - V1a]:[Up - V1b]]),"")</f>
        <v>3</v>
      </c>
      <c r="BC517">
        <v>2</v>
      </c>
      <c r="BD517">
        <v>2</v>
      </c>
      <c r="BE517">
        <v>4</v>
      </c>
      <c r="BF517">
        <f>IFERROR(AVERAGE(Tabel1[[#This Row],[Up - V2a]:[Up - V2c]]),"")</f>
        <v>2.6666666666666665</v>
      </c>
      <c r="BG517">
        <v>3</v>
      </c>
      <c r="BH517" t="s">
        <v>189</v>
      </c>
      <c r="BI517">
        <f>IFERROR(AVERAGE(Tabel1[[#This Row],[Up - V3a]:[Up - V3b]]),"")</f>
        <v>3</v>
      </c>
      <c r="BJ517">
        <v>4</v>
      </c>
      <c r="BK517">
        <f>IFERROR(AVERAGE(Tabel1[[#This Row],[Up - V1]],Tabel1[[#This Row],[Up - V2]],Tabel1[[#This Row],[Up - V3]],Tabel1[[#This Row],[Up - V4]]),"")</f>
        <v>3.1666666666666665</v>
      </c>
      <c r="BL517">
        <v>3</v>
      </c>
      <c r="BM517">
        <v>3</v>
      </c>
      <c r="BN517">
        <v>5</v>
      </c>
      <c r="BO517">
        <v>5</v>
      </c>
      <c r="BP517">
        <f>IFERROR(AVERAGE(Tabel1[[#This Row],[Up - A1a]:[Up - A1d]]),"")</f>
        <v>4</v>
      </c>
      <c r="BQ517">
        <v>4</v>
      </c>
      <c r="BR517">
        <v>4</v>
      </c>
      <c r="BS517">
        <f>IFERROR(AVERAGE(Tabel1[[#This Row],[Up - A2a]:[Up - A2b]]),"")</f>
        <v>4</v>
      </c>
      <c r="BT517">
        <v>4</v>
      </c>
      <c r="BU517">
        <f>IFERROR(AVERAGE(Tabel1[[#This Row],[Up - A3a]:[Up - A3a]]),"")</f>
        <v>4</v>
      </c>
      <c r="BV517">
        <v>2</v>
      </c>
      <c r="BW517">
        <f>IFERROR(AVERAGE(Tabel1[[#This Row],[Up - A1]],Tabel1[[#This Row],[Up - A2]],Tabel1[[#This Row],[Up - A3]]),"")</f>
        <v>4</v>
      </c>
      <c r="BX517">
        <v>1</v>
      </c>
      <c r="BY517" t="s">
        <v>189</v>
      </c>
      <c r="BZ517">
        <f>IFERROR(AVERAGE(Tabel1[[#This Row],[In - R1a]:[In - R1b]]),"")</f>
        <v>1</v>
      </c>
      <c r="CA517">
        <v>4</v>
      </c>
      <c r="CB517" t="s">
        <v>189</v>
      </c>
      <c r="CC517">
        <v>1</v>
      </c>
      <c r="CD517">
        <v>2</v>
      </c>
      <c r="CE517">
        <f>IFERROR(AVERAGE(Tabel1[[#This Row],[In - R1]:[In - R5]]),"")</f>
        <v>2</v>
      </c>
      <c r="CF517">
        <v>2</v>
      </c>
      <c r="CG517">
        <v>3</v>
      </c>
      <c r="CH517">
        <v>5</v>
      </c>
      <c r="CI517">
        <f>IFERROR(AVERAGE(Tabel1[[#This Row],[In - C1a]:[In - C1c]]),"")</f>
        <v>3.3333333333333335</v>
      </c>
      <c r="CJ517">
        <v>2</v>
      </c>
      <c r="CK517">
        <v>2</v>
      </c>
      <c r="CL517" t="s">
        <v>189</v>
      </c>
      <c r="CM517">
        <f>IFERROR(AVERAGE(Tabel1[[#This Row],[In - C1]:[In - C4]]),"")</f>
        <v>2.4444444444444446</v>
      </c>
      <c r="CN517">
        <v>5</v>
      </c>
      <c r="CO517">
        <v>2</v>
      </c>
      <c r="CP517">
        <v>1</v>
      </c>
      <c r="CQ517">
        <f>IFERROR(AVERAGE(Tabel1[[#This Row],[In - F1a]:[In - F1c]]),"")</f>
        <v>2.6666666666666665</v>
      </c>
      <c r="CR517">
        <v>3</v>
      </c>
      <c r="CS517">
        <v>5</v>
      </c>
      <c r="CT517">
        <f>IFERROR(AVERAGE(Tabel1[[#This Row],[In - F2a]:[In - F2b]]),"")</f>
        <v>4</v>
      </c>
      <c r="CU517">
        <v>5</v>
      </c>
      <c r="CV517">
        <f>IFERROR(AVERAGE(Tabel1[[#This Row],[In - F3a]:[In - F3a]]),"")</f>
        <v>5</v>
      </c>
      <c r="CW517">
        <v>5</v>
      </c>
      <c r="CX517">
        <f>IFERROR(AVERAGE(Tabel1[[#This Row],[In - F1]],Tabel1[[#This Row],[In - F2]],Tabel1[[#This Row],[In - F3]],Tabel1[[#This Row],[In - F4]]),"")</f>
        <v>4.1666666666666661</v>
      </c>
      <c r="CY517">
        <v>3</v>
      </c>
      <c r="CZ517">
        <v>3</v>
      </c>
      <c r="DA517">
        <v>1</v>
      </c>
      <c r="DB517">
        <f>IFERROR(AVERAGE(Tabel1[[#This Row],[In - V1a]:[In - V1c]]),"")</f>
        <v>2.3333333333333335</v>
      </c>
      <c r="DC517">
        <v>1</v>
      </c>
      <c r="DD517">
        <v>1</v>
      </c>
      <c r="DE517">
        <v>1</v>
      </c>
      <c r="DF517">
        <f>IFERROR(AVERAGE(Tabel1[[#This Row],[In - V2a]:[In - V2c]]),"")</f>
        <v>1</v>
      </c>
      <c r="DG517">
        <v>5</v>
      </c>
      <c r="DH517" t="s">
        <v>189</v>
      </c>
      <c r="DI517">
        <f>IFERROR(AVERAGE(Tabel1[[#This Row],[In - V3a]:[In - V3b]]),"")</f>
        <v>5</v>
      </c>
      <c r="DJ517">
        <v>4</v>
      </c>
      <c r="DK517">
        <f>IFERROR(AVERAGE(Tabel1[[#This Row],[In - V1]],Tabel1[[#This Row],[In - V2]],Tabel1[[#This Row],[In - V3]],Tabel1[[#This Row],[In - V4]]),"")</f>
        <v>3.0833333333333335</v>
      </c>
      <c r="DL517">
        <v>3</v>
      </c>
      <c r="DM517">
        <v>3</v>
      </c>
      <c r="DN517">
        <f>IFERROR(AVERAGE(Tabel1[[#This Row],[In - A1a]:[In - A1b]]),"")</f>
        <v>3</v>
      </c>
      <c r="DO517">
        <v>4</v>
      </c>
      <c r="DP517">
        <v>4</v>
      </c>
      <c r="DQ517">
        <f>IFERROR(AVERAGE(Tabel1[[#This Row],[In - A2a]:[In - A2b]]),"")</f>
        <v>4</v>
      </c>
      <c r="DR517">
        <v>5</v>
      </c>
      <c r="DS517" t="s">
        <v>189</v>
      </c>
      <c r="DT517">
        <f>IFERROR(AVERAGE(Tabel1[[#This Row],[In - A3a]:[In - A3a]]),"")</f>
        <v>5</v>
      </c>
      <c r="DU517" t="s">
        <v>189</v>
      </c>
      <c r="DV517">
        <f>IFERROR(AVERAGE(Tabel1[[#This Row],[In - A1]],Tabel1[[#This Row],[In - A2]],Tabel1[[#This Row],[In - A3]],Tabel1[[#This Row],[In - A4]]),"")</f>
        <v>4</v>
      </c>
      <c r="DX517">
        <v>5</v>
      </c>
      <c r="DY517">
        <v>1</v>
      </c>
      <c r="DZ517">
        <f>IFERROR(AVERAGE(Tabel1[[#This Row],[Do - R1a]:[Do - R1c]]),"")</f>
        <v>3</v>
      </c>
      <c r="EA517" t="s">
        <v>189</v>
      </c>
      <c r="EB517">
        <v>5</v>
      </c>
      <c r="EC517">
        <v>3</v>
      </c>
      <c r="ED517" t="s">
        <v>189</v>
      </c>
      <c r="EE517">
        <f>IFERROR(AVERAGE(Tabel1[[#This Row],[Do - R1]:[Do - R5]]),"")</f>
        <v>3.6666666666666665</v>
      </c>
      <c r="EF517">
        <v>4</v>
      </c>
      <c r="EG517">
        <v>5</v>
      </c>
      <c r="EH517">
        <v>2</v>
      </c>
      <c r="EI517">
        <f>IFERROR(AVERAGE(Tabel1[[#This Row],[Do - C1a]:[Do - C1c]]),"")</f>
        <v>3.6666666666666665</v>
      </c>
      <c r="EJ517">
        <v>1</v>
      </c>
      <c r="EK517">
        <v>5</v>
      </c>
      <c r="EL517" t="s">
        <v>189</v>
      </c>
      <c r="EM517">
        <f>IFERROR(AVERAGE(Tabel1[[#This Row],[Do - C1]:[Do - C4]]),"")</f>
        <v>3.2222222222222219</v>
      </c>
      <c r="EN517">
        <v>5</v>
      </c>
      <c r="EO517">
        <v>3</v>
      </c>
      <c r="EP517" t="s">
        <v>189</v>
      </c>
      <c r="EQ517">
        <f>IFERROR(AVERAGE(Tabel1[[#This Row],[Do - F1a]:[Do - F1c]]),"")</f>
        <v>4</v>
      </c>
      <c r="ER517">
        <v>4</v>
      </c>
      <c r="ES517">
        <f>IFERROR(AVERAGE(Tabel1[[#This Row],[Do - F2a]:[Do - F2a]]),"")</f>
        <v>4</v>
      </c>
      <c r="ET517">
        <v>5</v>
      </c>
      <c r="EU517">
        <v>4</v>
      </c>
      <c r="EV517">
        <f>IFERROR(AVERAGE(Tabel1[[#This Row],[Do - F3a]:[Do - F3b]]),"")</f>
        <v>4.5</v>
      </c>
      <c r="EW517">
        <v>4</v>
      </c>
      <c r="EX517">
        <f>IFERROR(AVERAGE(Tabel1[[#This Row],[Do - F1]],Tabel1[[#This Row],[Do - F2]],Tabel1[[#This Row],[Do - F3]],Tabel1[[#This Row],[Do - F4]]),"")</f>
        <v>4.125</v>
      </c>
      <c r="EY517">
        <v>4</v>
      </c>
      <c r="EZ517">
        <v>1</v>
      </c>
      <c r="FA517">
        <v>4</v>
      </c>
      <c r="FB517">
        <f>IFERROR(AVERAGE(Tabel1[[#This Row],[Do - V1a]:[Do - V1c]]),"")</f>
        <v>3</v>
      </c>
      <c r="FC517">
        <v>2</v>
      </c>
      <c r="FD517">
        <v>4</v>
      </c>
      <c r="FE517">
        <f>IFERROR(AVERAGE(Tabel1[[#This Row],[Do - V2a]:[Do - V2b]]),"")</f>
        <v>3</v>
      </c>
      <c r="FF517">
        <v>4</v>
      </c>
      <c r="FG517">
        <f>IFERROR(AVERAGE(Tabel1[[#This Row],[Do - V3a]:[Do - V3a]]),"")</f>
        <v>4</v>
      </c>
      <c r="FH517" t="s">
        <v>189</v>
      </c>
      <c r="FI517">
        <f>IFERROR(AVERAGE(Tabel1[[#This Row],[Do - V1]],Tabel1[[#This Row],[Do - V2]],Tabel1[[#This Row],[Do - V3]],Tabel1[[#This Row],[Do - V4]]),"")</f>
        <v>3.3333333333333335</v>
      </c>
      <c r="FJ517" t="s">
        <v>189</v>
      </c>
      <c r="FK517">
        <v>4</v>
      </c>
      <c r="FL517" t="s">
        <v>189</v>
      </c>
      <c r="FM517">
        <f>IFERROR(AVERAGE(Tabel1[[#This Row],[Do - A1a]:[Do - A1c]]),"")</f>
        <v>4</v>
      </c>
      <c r="FN517" t="s">
        <v>189</v>
      </c>
      <c r="FO517">
        <v>5</v>
      </c>
      <c r="FP517">
        <f>IFERROR(AVERAGE(Tabel1[[#This Row],[Do - A2a]:[Do - A2b]]),"")</f>
        <v>5</v>
      </c>
      <c r="FQ517">
        <v>5</v>
      </c>
      <c r="FR517">
        <f>IFERROR(AVERAGE(Tabel1[[#This Row],[Do - A3a]:[Do - A3a]]),"")</f>
        <v>5</v>
      </c>
      <c r="FS517">
        <v>3</v>
      </c>
      <c r="FT517">
        <f>IFERROR(AVERAGE(Tabel1[[#This Row],[Do - A1]],Tabel1[[#This Row],[Do - A2]],Tabel1[[#This Row],[Do - A3]],Tabel1[[#This Row],[Do - A4]]),"")</f>
        <v>4.25</v>
      </c>
      <c r="FU51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3.3668518518518513</v>
      </c>
      <c r="FV517" s="31" t="s">
        <v>2505</v>
      </c>
      <c r="FW517" t="b">
        <v>1</v>
      </c>
    </row>
    <row r="518" spans="1:179" x14ac:dyDescent="0.3">
      <c r="A518" s="13">
        <v>45859.367245370398</v>
      </c>
      <c r="B518" t="b">
        <v>0</v>
      </c>
      <c r="C518" t="s">
        <v>2506</v>
      </c>
      <c r="D518" t="s">
        <v>2507</v>
      </c>
      <c r="E518" s="29" t="s">
        <v>2508</v>
      </c>
      <c r="F518" s="14" t="s">
        <v>184</v>
      </c>
      <c r="G518" t="s">
        <v>2509</v>
      </c>
      <c r="H518" t="s">
        <v>222</v>
      </c>
      <c r="I518" t="s">
        <v>195</v>
      </c>
      <c r="J518" t="s">
        <v>347</v>
      </c>
      <c r="K518" t="s">
        <v>201</v>
      </c>
      <c r="L518" t="s">
        <v>249</v>
      </c>
      <c r="M518" t="s">
        <v>198</v>
      </c>
      <c r="N518" t="s">
        <v>316</v>
      </c>
      <c r="O518" t="s">
        <v>200</v>
      </c>
      <c r="P518" t="s">
        <v>255</v>
      </c>
      <c r="Q518" t="s">
        <v>203</v>
      </c>
      <c r="R518" t="s">
        <v>203</v>
      </c>
      <c r="S518" t="s">
        <v>304</v>
      </c>
      <c r="T518" t="s">
        <v>236</v>
      </c>
      <c r="U518" t="s">
        <v>285</v>
      </c>
      <c r="V518" t="s">
        <v>224</v>
      </c>
      <c r="W518" t="s">
        <v>395</v>
      </c>
      <c r="X518" t="s">
        <v>395</v>
      </c>
      <c r="Y518">
        <v>1</v>
      </c>
      <c r="Z518">
        <v>3</v>
      </c>
      <c r="AA518">
        <v>5</v>
      </c>
      <c r="AB518">
        <f>IFERROR(AVERAGE(Tabel1[[#This Row],[Up - R1a]:[Up - R1c]]),"")</f>
        <v>3</v>
      </c>
      <c r="AC518">
        <v>4</v>
      </c>
      <c r="AD518">
        <v>4</v>
      </c>
      <c r="AE518">
        <v>3</v>
      </c>
      <c r="AF518">
        <v>3</v>
      </c>
      <c r="AG518">
        <f>IFERROR(AVERAGE(Tabel1[[#This Row],[Up - R1]:[Up - R5]]),"")</f>
        <v>3.4</v>
      </c>
      <c r="AH518">
        <v>4</v>
      </c>
      <c r="AI518">
        <v>4</v>
      </c>
      <c r="AJ518">
        <v>5</v>
      </c>
      <c r="AK518">
        <f>IFERROR(AVERAGE(Tabel1[[#This Row],[Up - C1a]:[Up - C1c]]),"")</f>
        <v>4.333333333333333</v>
      </c>
      <c r="AL518">
        <v>5</v>
      </c>
      <c r="AM518">
        <v>2</v>
      </c>
      <c r="AN518">
        <v>4</v>
      </c>
      <c r="AO518">
        <f>IFERROR(AVERAGE(Tabel1[[#This Row],[Up - C1]:[Up - C4]]),"")</f>
        <v>3.833333333333333</v>
      </c>
      <c r="AP518">
        <v>2</v>
      </c>
      <c r="AQ518">
        <f>IFERROR(AVERAGE(Tabel1[[#This Row],[Up - F1a]:[Up - F1a]]),"")</f>
        <v>2</v>
      </c>
      <c r="AR518">
        <v>2</v>
      </c>
      <c r="AS518">
        <v>4</v>
      </c>
      <c r="AT518">
        <f>IFERROR(AVERAGE(Tabel1[[#This Row],[Up - F2a]:[Up - F2b]]),"")</f>
        <v>3</v>
      </c>
      <c r="AU518">
        <v>4</v>
      </c>
      <c r="AV518">
        <v>3</v>
      </c>
      <c r="AW518">
        <f>IFERROR(AVERAGE(Tabel1[[#This Row],[Up - F3a]:[Up - F3b]]),"")</f>
        <v>3.5</v>
      </c>
      <c r="AX518">
        <v>5</v>
      </c>
      <c r="AY518">
        <f>IFERROR(AVERAGE(Tabel1[[#This Row],[Up - F1]],Tabel1[[#This Row],[Up - F2]],Tabel1[[#This Row],[Up - F3]],Tabel1[[#This Row],[Up - F4]]),"")</f>
        <v>3.375</v>
      </c>
      <c r="AZ518">
        <v>3</v>
      </c>
      <c r="BA518">
        <v>5</v>
      </c>
      <c r="BB518">
        <f>IFERROR(AVERAGE(Tabel1[[#This Row],[Up - V1a]:[Up - V1b]]),"")</f>
        <v>4</v>
      </c>
      <c r="BC518">
        <v>5</v>
      </c>
      <c r="BD518">
        <v>5</v>
      </c>
      <c r="BE518">
        <v>5</v>
      </c>
      <c r="BF518">
        <f>IFERROR(AVERAGE(Tabel1[[#This Row],[Up - V2a]:[Up - V2c]]),"")</f>
        <v>5</v>
      </c>
      <c r="BG518">
        <v>4</v>
      </c>
      <c r="BH518">
        <v>5</v>
      </c>
      <c r="BI518">
        <f>IFERROR(AVERAGE(Tabel1[[#This Row],[Up - V3a]:[Up - V3b]]),"")</f>
        <v>4.5</v>
      </c>
      <c r="BJ518">
        <v>5</v>
      </c>
      <c r="BK518">
        <f>IFERROR(AVERAGE(Tabel1[[#This Row],[Up - V1]],Tabel1[[#This Row],[Up - V2]],Tabel1[[#This Row],[Up - V3]],Tabel1[[#This Row],[Up - V4]]),"")</f>
        <v>4.625</v>
      </c>
      <c r="BL518">
        <v>5</v>
      </c>
      <c r="BM518">
        <v>5</v>
      </c>
      <c r="BN518">
        <v>2</v>
      </c>
      <c r="BO518">
        <v>2</v>
      </c>
      <c r="BP518">
        <f>IFERROR(AVERAGE(Tabel1[[#This Row],[Up - A1a]:[Up - A1d]]),"")</f>
        <v>3.5</v>
      </c>
      <c r="BQ518">
        <v>3</v>
      </c>
      <c r="BR518">
        <v>4</v>
      </c>
      <c r="BS518">
        <f>IFERROR(AVERAGE(Tabel1[[#This Row],[Up - A2a]:[Up - A2b]]),"")</f>
        <v>3.5</v>
      </c>
      <c r="BT518">
        <v>5</v>
      </c>
      <c r="BU518">
        <f>IFERROR(AVERAGE(Tabel1[[#This Row],[Up - A3a]:[Up - A3a]]),"")</f>
        <v>5</v>
      </c>
      <c r="BV518">
        <v>5</v>
      </c>
      <c r="BW518">
        <f>IFERROR(AVERAGE(Tabel1[[#This Row],[Up - A1]],Tabel1[[#This Row],[Up - A2]],Tabel1[[#This Row],[Up - A3]]),"")</f>
        <v>4</v>
      </c>
      <c r="BX518">
        <v>2</v>
      </c>
      <c r="BY518">
        <v>5</v>
      </c>
      <c r="BZ518">
        <f>IFERROR(AVERAGE(Tabel1[[#This Row],[In - R1a]:[In - R1b]]),"")</f>
        <v>3.5</v>
      </c>
      <c r="CA518">
        <v>5</v>
      </c>
      <c r="CB518">
        <v>4</v>
      </c>
      <c r="CC518">
        <v>2</v>
      </c>
      <c r="CD518">
        <v>5</v>
      </c>
      <c r="CE518">
        <f>IFERROR(AVERAGE(Tabel1[[#This Row],[In - R1]:[In - R5]]),"")</f>
        <v>3.9</v>
      </c>
      <c r="CF518">
        <v>3</v>
      </c>
      <c r="CG518">
        <v>3</v>
      </c>
      <c r="CH518">
        <v>4</v>
      </c>
      <c r="CI518">
        <f>IFERROR(AVERAGE(Tabel1[[#This Row],[In - C1a]:[In - C1c]]),"")</f>
        <v>3.3333333333333335</v>
      </c>
      <c r="CJ518">
        <v>3</v>
      </c>
      <c r="CK518">
        <v>4</v>
      </c>
      <c r="CL518">
        <v>4</v>
      </c>
      <c r="CM518">
        <f>IFERROR(AVERAGE(Tabel1[[#This Row],[In - C1]:[In - C4]]),"")</f>
        <v>3.5833333333333335</v>
      </c>
      <c r="CN518">
        <v>3</v>
      </c>
      <c r="CO518">
        <v>4</v>
      </c>
      <c r="CP518">
        <v>2</v>
      </c>
      <c r="CQ518">
        <f>IFERROR(AVERAGE(Tabel1[[#This Row],[In - F1a]:[In - F1c]]),"")</f>
        <v>3</v>
      </c>
      <c r="CR518">
        <v>2</v>
      </c>
      <c r="CS518">
        <v>3</v>
      </c>
      <c r="CT518">
        <f>IFERROR(AVERAGE(Tabel1[[#This Row],[In - F2a]:[In - F2b]]),"")</f>
        <v>2.5</v>
      </c>
      <c r="CU518">
        <v>4</v>
      </c>
      <c r="CV518">
        <f>IFERROR(AVERAGE(Tabel1[[#This Row],[In - F3a]:[In - F3a]]),"")</f>
        <v>4</v>
      </c>
      <c r="CW518">
        <v>3</v>
      </c>
      <c r="CX518">
        <f>IFERROR(AVERAGE(Tabel1[[#This Row],[In - F1]],Tabel1[[#This Row],[In - F2]],Tabel1[[#This Row],[In - F3]],Tabel1[[#This Row],[In - F4]]),"")</f>
        <v>3.125</v>
      </c>
      <c r="CY518">
        <v>5</v>
      </c>
      <c r="CZ518">
        <v>5</v>
      </c>
      <c r="DA518">
        <v>3</v>
      </c>
      <c r="DB518">
        <f>IFERROR(AVERAGE(Tabel1[[#This Row],[In - V1a]:[In - V1c]]),"")</f>
        <v>4.333333333333333</v>
      </c>
      <c r="DC518">
        <v>4</v>
      </c>
      <c r="DD518">
        <v>3</v>
      </c>
      <c r="DE518">
        <v>3</v>
      </c>
      <c r="DF518">
        <f>IFERROR(AVERAGE(Tabel1[[#This Row],[In - V2a]:[In - V2c]]),"")</f>
        <v>3.3333333333333335</v>
      </c>
      <c r="DG518">
        <v>3</v>
      </c>
      <c r="DH518">
        <v>5</v>
      </c>
      <c r="DI518">
        <f>IFERROR(AVERAGE(Tabel1[[#This Row],[In - V3a]:[In - V3b]]),"")</f>
        <v>4</v>
      </c>
      <c r="DJ518">
        <v>4</v>
      </c>
      <c r="DK518">
        <f>IFERROR(AVERAGE(Tabel1[[#This Row],[In - V1]],Tabel1[[#This Row],[In - V2]],Tabel1[[#This Row],[In - V3]],Tabel1[[#This Row],[In - V4]]),"")</f>
        <v>3.9166666666666665</v>
      </c>
      <c r="DL518">
        <v>4</v>
      </c>
      <c r="DM518">
        <v>5</v>
      </c>
      <c r="DN518">
        <f>IFERROR(AVERAGE(Tabel1[[#This Row],[In - A1a]:[In - A1b]]),"")</f>
        <v>4.5</v>
      </c>
      <c r="DO518">
        <v>4</v>
      </c>
      <c r="DP518">
        <v>2</v>
      </c>
      <c r="DQ518">
        <f>IFERROR(AVERAGE(Tabel1[[#This Row],[In - A2a]:[In - A2b]]),"")</f>
        <v>3</v>
      </c>
      <c r="DR518">
        <v>3</v>
      </c>
      <c r="DS518">
        <v>3</v>
      </c>
      <c r="DT518">
        <f>IFERROR(AVERAGE(Tabel1[[#This Row],[In - A3a]:[In - A3a]]),"")</f>
        <v>3</v>
      </c>
      <c r="DU518">
        <v>4</v>
      </c>
      <c r="DV518">
        <f>IFERROR(AVERAGE(Tabel1[[#This Row],[In - A1]],Tabel1[[#This Row],[In - A2]],Tabel1[[#This Row],[In - A3]],Tabel1[[#This Row],[In - A4]]),"")</f>
        <v>3.625</v>
      </c>
      <c r="DW518">
        <v>2</v>
      </c>
      <c r="DX518">
        <v>5</v>
      </c>
      <c r="DY518">
        <v>2</v>
      </c>
      <c r="DZ518">
        <f>IFERROR(AVERAGE(Tabel1[[#This Row],[Do - R1a]:[Do - R1c]]),"")</f>
        <v>3</v>
      </c>
      <c r="EA518">
        <v>2</v>
      </c>
      <c r="EB518">
        <v>3</v>
      </c>
      <c r="EC518">
        <v>2</v>
      </c>
      <c r="ED518">
        <v>3</v>
      </c>
      <c r="EE518">
        <f>IFERROR(AVERAGE(Tabel1[[#This Row],[Do - R1]:[Do - R5]]),"")</f>
        <v>2.6</v>
      </c>
      <c r="EF518">
        <v>4</v>
      </c>
      <c r="EG518">
        <v>4</v>
      </c>
      <c r="EH518">
        <v>2</v>
      </c>
      <c r="EI518">
        <f>IFERROR(AVERAGE(Tabel1[[#This Row],[Do - C1a]:[Do - C1c]]),"")</f>
        <v>3.3333333333333335</v>
      </c>
      <c r="EJ518">
        <v>3</v>
      </c>
      <c r="EK518">
        <v>2</v>
      </c>
      <c r="EL518">
        <v>4</v>
      </c>
      <c r="EM518">
        <f>IFERROR(AVERAGE(Tabel1[[#This Row],[Do - C1]:[Do - C4]]),"")</f>
        <v>3.0833333333333335</v>
      </c>
      <c r="EN518">
        <v>4</v>
      </c>
      <c r="EO518">
        <v>3</v>
      </c>
      <c r="EP518">
        <v>4</v>
      </c>
      <c r="EQ518">
        <f>IFERROR(AVERAGE(Tabel1[[#This Row],[Do - F1a]:[Do - F1c]]),"")</f>
        <v>3.6666666666666665</v>
      </c>
      <c r="ER518">
        <v>4</v>
      </c>
      <c r="ES518">
        <f>IFERROR(AVERAGE(Tabel1[[#This Row],[Do - F2a]:[Do - F2a]]),"")</f>
        <v>4</v>
      </c>
      <c r="ET518">
        <v>4</v>
      </c>
      <c r="EU518">
        <v>4</v>
      </c>
      <c r="EV518">
        <f>IFERROR(AVERAGE(Tabel1[[#This Row],[Do - F3a]:[Do - F3b]]),"")</f>
        <v>4</v>
      </c>
      <c r="EW518">
        <v>5</v>
      </c>
      <c r="EX518">
        <f>IFERROR(AVERAGE(Tabel1[[#This Row],[Do - F1]],Tabel1[[#This Row],[Do - F2]],Tabel1[[#This Row],[Do - F3]],Tabel1[[#This Row],[Do - F4]]),"")</f>
        <v>4.1666666666666661</v>
      </c>
      <c r="EY518">
        <v>3</v>
      </c>
      <c r="EZ518">
        <v>3</v>
      </c>
      <c r="FA518">
        <v>4</v>
      </c>
      <c r="FB518">
        <f>IFERROR(AVERAGE(Tabel1[[#This Row],[Do - V1a]:[Do - V1c]]),"")</f>
        <v>3.3333333333333335</v>
      </c>
      <c r="FC518">
        <v>4</v>
      </c>
      <c r="FD518">
        <v>3</v>
      </c>
      <c r="FE518">
        <f>IFERROR(AVERAGE(Tabel1[[#This Row],[Do - V2a]:[Do - V2b]]),"")</f>
        <v>3.5</v>
      </c>
      <c r="FF518">
        <v>3</v>
      </c>
      <c r="FG518">
        <f>IFERROR(AVERAGE(Tabel1[[#This Row],[Do - V3a]:[Do - V3a]]),"")</f>
        <v>3</v>
      </c>
      <c r="FH518">
        <v>4</v>
      </c>
      <c r="FI518">
        <f>IFERROR(AVERAGE(Tabel1[[#This Row],[Do - V1]],Tabel1[[#This Row],[Do - V2]],Tabel1[[#This Row],[Do - V3]],Tabel1[[#This Row],[Do - V4]]),"")</f>
        <v>3.4583333333333335</v>
      </c>
      <c r="FJ518">
        <v>4</v>
      </c>
      <c r="FK518">
        <v>2</v>
      </c>
      <c r="FL518">
        <v>4</v>
      </c>
      <c r="FM518">
        <f>IFERROR(AVERAGE(Tabel1[[#This Row],[Do - A1a]:[Do - A1c]]),"")</f>
        <v>3.3333333333333335</v>
      </c>
      <c r="FN518">
        <v>3</v>
      </c>
      <c r="FO518">
        <v>4</v>
      </c>
      <c r="FP518">
        <f>IFERROR(AVERAGE(Tabel1[[#This Row],[Do - A2a]:[Do - A2b]]),"")</f>
        <v>3.5</v>
      </c>
      <c r="FQ518">
        <v>3</v>
      </c>
      <c r="FR518">
        <f>IFERROR(AVERAGE(Tabel1[[#This Row],[Do - A3a]:[Do - A3a]]),"")</f>
        <v>3</v>
      </c>
      <c r="FS518">
        <v>3</v>
      </c>
      <c r="FT518">
        <f>IFERROR(AVERAGE(Tabel1[[#This Row],[Do - A1]],Tabel1[[#This Row],[Do - A2]],Tabel1[[#This Row],[Do - A3]],Tabel1[[#This Row],[Do - A4]]),"")</f>
        <v>3.2083333333333335</v>
      </c>
      <c r="FU51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3.5933333333333337</v>
      </c>
      <c r="FV518" s="31" t="s">
        <v>2510</v>
      </c>
      <c r="FW518" t="b">
        <v>1</v>
      </c>
    </row>
    <row r="519" spans="1:179" x14ac:dyDescent="0.3">
      <c r="A519" s="13">
        <v>45859.513923611099</v>
      </c>
      <c r="B519" t="b">
        <v>0</v>
      </c>
      <c r="C519" t="s">
        <v>2511</v>
      </c>
      <c r="D519" t="s">
        <v>2512</v>
      </c>
      <c r="E519" s="29" t="s">
        <v>2508</v>
      </c>
      <c r="F519" s="14" t="s">
        <v>184</v>
      </c>
      <c r="G519" t="s">
        <v>2513</v>
      </c>
      <c r="H519" t="s">
        <v>222</v>
      </c>
      <c r="I519" t="s">
        <v>195</v>
      </c>
      <c r="J519" t="s">
        <v>273</v>
      </c>
      <c r="K519" t="s">
        <v>235</v>
      </c>
      <c r="L519" t="s">
        <v>197</v>
      </c>
      <c r="M519" t="s">
        <v>233</v>
      </c>
      <c r="N519" t="s">
        <v>199</v>
      </c>
      <c r="O519" t="s">
        <v>200</v>
      </c>
      <c r="P519" t="s">
        <v>304</v>
      </c>
      <c r="Q519" t="s">
        <v>201</v>
      </c>
      <c r="R519" t="s">
        <v>202</v>
      </c>
      <c r="S519" t="s">
        <v>235</v>
      </c>
      <c r="T519" t="s">
        <v>204</v>
      </c>
      <c r="U519" t="s">
        <v>237</v>
      </c>
      <c r="V519" t="s">
        <v>224</v>
      </c>
      <c r="W519" t="s">
        <v>207</v>
      </c>
      <c r="X519" t="s">
        <v>207</v>
      </c>
      <c r="Y519">
        <v>3</v>
      </c>
      <c r="Z519">
        <v>3</v>
      </c>
      <c r="AA519">
        <v>3</v>
      </c>
      <c r="AB519">
        <f>IFERROR(AVERAGE(Tabel1[[#This Row],[Up - R1a]:[Up - R1c]]),"")</f>
        <v>3</v>
      </c>
      <c r="AC519">
        <v>2</v>
      </c>
      <c r="AD519">
        <v>3</v>
      </c>
      <c r="AE519">
        <v>2</v>
      </c>
      <c r="AF519">
        <v>4</v>
      </c>
      <c r="AG519">
        <f>IFERROR(AVERAGE(Tabel1[[#This Row],[Up - R1]:[Up - R5]]),"")</f>
        <v>2.8</v>
      </c>
      <c r="AH519">
        <v>4</v>
      </c>
      <c r="AI519">
        <v>4</v>
      </c>
      <c r="AJ519">
        <v>3</v>
      </c>
      <c r="AK519">
        <f>IFERROR(AVERAGE(Tabel1[[#This Row],[Up - C1a]:[Up - C1c]]),"")</f>
        <v>3.6666666666666665</v>
      </c>
      <c r="AL519">
        <v>3</v>
      </c>
      <c r="AM519">
        <v>3</v>
      </c>
      <c r="AN519">
        <v>3</v>
      </c>
      <c r="AO519">
        <f>IFERROR(AVERAGE(Tabel1[[#This Row],[Up - C1]:[Up - C4]]),"")</f>
        <v>3.1666666666666665</v>
      </c>
      <c r="AP519">
        <v>2</v>
      </c>
      <c r="AQ519">
        <f>IFERROR(AVERAGE(Tabel1[[#This Row],[Up - F1a]:[Up - F1a]]),"")</f>
        <v>2</v>
      </c>
      <c r="AR519">
        <v>3</v>
      </c>
      <c r="AS519">
        <v>4</v>
      </c>
      <c r="AT519">
        <f>IFERROR(AVERAGE(Tabel1[[#This Row],[Up - F2a]:[Up - F2b]]),"")</f>
        <v>3.5</v>
      </c>
      <c r="AU519">
        <v>4</v>
      </c>
      <c r="AV519">
        <v>2</v>
      </c>
      <c r="AW519">
        <f>IFERROR(AVERAGE(Tabel1[[#This Row],[Up - F3a]:[Up - F3b]]),"")</f>
        <v>3</v>
      </c>
      <c r="AX519">
        <v>4</v>
      </c>
      <c r="AY519">
        <f>IFERROR(AVERAGE(Tabel1[[#This Row],[Up - F1]],Tabel1[[#This Row],[Up - F2]],Tabel1[[#This Row],[Up - F3]],Tabel1[[#This Row],[Up - F4]]),"")</f>
        <v>3.125</v>
      </c>
      <c r="AZ519">
        <v>2</v>
      </c>
      <c r="BA519">
        <v>4</v>
      </c>
      <c r="BB519">
        <f>IFERROR(AVERAGE(Tabel1[[#This Row],[Up - V1a]:[Up - V1b]]),"")</f>
        <v>3</v>
      </c>
      <c r="BC519">
        <v>2</v>
      </c>
      <c r="BD519">
        <v>2</v>
      </c>
      <c r="BE519">
        <v>4</v>
      </c>
      <c r="BF519">
        <f>IFERROR(AVERAGE(Tabel1[[#This Row],[Up - V2a]:[Up - V2c]]),"")</f>
        <v>2.6666666666666665</v>
      </c>
      <c r="BG519">
        <v>3</v>
      </c>
      <c r="BH519">
        <v>4</v>
      </c>
      <c r="BI519">
        <f>IFERROR(AVERAGE(Tabel1[[#This Row],[Up - V3a]:[Up - V3b]]),"")</f>
        <v>3.5</v>
      </c>
      <c r="BJ519">
        <v>3</v>
      </c>
      <c r="BK519">
        <f>IFERROR(AVERAGE(Tabel1[[#This Row],[Up - V1]],Tabel1[[#This Row],[Up - V2]],Tabel1[[#This Row],[Up - V3]],Tabel1[[#This Row],[Up - V4]]),"")</f>
        <v>3.0416666666666665</v>
      </c>
      <c r="BL519">
        <v>4</v>
      </c>
      <c r="BM519">
        <v>3</v>
      </c>
      <c r="BN519">
        <v>2</v>
      </c>
      <c r="BO519">
        <v>4</v>
      </c>
      <c r="BP519">
        <f>IFERROR(AVERAGE(Tabel1[[#This Row],[Up - A1a]:[Up - A1d]]),"")</f>
        <v>3.25</v>
      </c>
      <c r="BQ519">
        <v>3</v>
      </c>
      <c r="BR519">
        <v>3</v>
      </c>
      <c r="BS519">
        <f>IFERROR(AVERAGE(Tabel1[[#This Row],[Up - A2a]:[Up - A2b]]),"")</f>
        <v>3</v>
      </c>
      <c r="BT519">
        <v>4</v>
      </c>
      <c r="BU519">
        <f>IFERROR(AVERAGE(Tabel1[[#This Row],[Up - A3a]:[Up - A3a]]),"")</f>
        <v>4</v>
      </c>
      <c r="BV519">
        <v>3</v>
      </c>
      <c r="BW519">
        <f>IFERROR(AVERAGE(Tabel1[[#This Row],[Up - A1]],Tabel1[[#This Row],[Up - A2]],Tabel1[[#This Row],[Up - A3]]),"")</f>
        <v>3.4166666666666665</v>
      </c>
      <c r="BZ519" t="str">
        <f>IFERROR(AVERAGE(Tabel1[[#This Row],[In - R1a]:[In - R1b]]),"")</f>
        <v/>
      </c>
      <c r="CE519" t="str">
        <f>IFERROR(AVERAGE(Tabel1[[#This Row],[In - R1]:[In - R5]]),"")</f>
        <v/>
      </c>
      <c r="CI519" t="str">
        <f>IFERROR(AVERAGE(Tabel1[[#This Row],[In - C1a]:[In - C1c]]),"")</f>
        <v/>
      </c>
      <c r="CM519" t="str">
        <f>IFERROR(AVERAGE(Tabel1[[#This Row],[In - C1]:[In - C4]]),"")</f>
        <v/>
      </c>
      <c r="CQ519" t="str">
        <f>IFERROR(AVERAGE(Tabel1[[#This Row],[In - F1a]:[In - F1c]]),"")</f>
        <v/>
      </c>
      <c r="CT519" t="str">
        <f>IFERROR(AVERAGE(Tabel1[[#This Row],[In - F2a]:[In - F2b]]),"")</f>
        <v/>
      </c>
      <c r="CV519" t="str">
        <f>IFERROR(AVERAGE(Tabel1[[#This Row],[In - F3a]:[In - F3a]]),"")</f>
        <v/>
      </c>
      <c r="CX519" t="str">
        <f>IFERROR(AVERAGE(Tabel1[[#This Row],[In - F1]],Tabel1[[#This Row],[In - F2]],Tabel1[[#This Row],[In - F3]],Tabel1[[#This Row],[In - F4]]),"")</f>
        <v/>
      </c>
      <c r="DB519" t="str">
        <f>IFERROR(AVERAGE(Tabel1[[#This Row],[In - V1a]:[In - V1c]]),"")</f>
        <v/>
      </c>
      <c r="DF519" t="str">
        <f>IFERROR(AVERAGE(Tabel1[[#This Row],[In - V2a]:[In - V2c]]),"")</f>
        <v/>
      </c>
      <c r="DI519" t="str">
        <f>IFERROR(AVERAGE(Tabel1[[#This Row],[In - V3a]:[In - V3b]]),"")</f>
        <v/>
      </c>
      <c r="DK519" t="str">
        <f>IFERROR(AVERAGE(Tabel1[[#This Row],[In - V1]],Tabel1[[#This Row],[In - V2]],Tabel1[[#This Row],[In - V3]],Tabel1[[#This Row],[In - V4]]),"")</f>
        <v/>
      </c>
      <c r="DN519" t="str">
        <f>IFERROR(AVERAGE(Tabel1[[#This Row],[In - A1a]:[In - A1b]]),"")</f>
        <v/>
      </c>
      <c r="DQ519" t="str">
        <f>IFERROR(AVERAGE(Tabel1[[#This Row],[In - A2a]:[In - A2b]]),"")</f>
        <v/>
      </c>
      <c r="DT519" t="str">
        <f>IFERROR(AVERAGE(Tabel1[[#This Row],[In - A3a]:[In - A3a]]),"")</f>
        <v/>
      </c>
      <c r="DV519" t="str">
        <f>IFERROR(AVERAGE(Tabel1[[#This Row],[In - A1]],Tabel1[[#This Row],[In - A2]],Tabel1[[#This Row],[In - A3]],Tabel1[[#This Row],[In - A4]]),"")</f>
        <v/>
      </c>
      <c r="DZ519" t="str">
        <f>IFERROR(AVERAGE(Tabel1[[#This Row],[Do - R1a]:[Do - R1c]]),"")</f>
        <v/>
      </c>
      <c r="EE519" t="str">
        <f>IFERROR(AVERAGE(Tabel1[[#This Row],[Do - R1]:[Do - R5]]),"")</f>
        <v/>
      </c>
      <c r="EI519" t="str">
        <f>IFERROR(AVERAGE(Tabel1[[#This Row],[Do - C1a]:[Do - C1c]]),"")</f>
        <v/>
      </c>
      <c r="EM519" t="str">
        <f>IFERROR(AVERAGE(Tabel1[[#This Row],[Do - C1]:[Do - C4]]),"")</f>
        <v/>
      </c>
      <c r="EQ519" t="str">
        <f>IFERROR(AVERAGE(Tabel1[[#This Row],[Do - F1a]:[Do - F1c]]),"")</f>
        <v/>
      </c>
      <c r="ES519" t="str">
        <f>IFERROR(AVERAGE(Tabel1[[#This Row],[Do - F2a]:[Do - F2a]]),"")</f>
        <v/>
      </c>
      <c r="EV519" t="str">
        <f>IFERROR(AVERAGE(Tabel1[[#This Row],[Do - F3a]:[Do - F3b]]),"")</f>
        <v/>
      </c>
      <c r="EX519" t="str">
        <f>IFERROR(AVERAGE(Tabel1[[#This Row],[Do - F1]],Tabel1[[#This Row],[Do - F2]],Tabel1[[#This Row],[Do - F3]],Tabel1[[#This Row],[Do - F4]]),"")</f>
        <v/>
      </c>
      <c r="FB519" t="str">
        <f>IFERROR(AVERAGE(Tabel1[[#This Row],[Do - V1a]:[Do - V1c]]),"")</f>
        <v/>
      </c>
      <c r="FE519" t="str">
        <f>IFERROR(AVERAGE(Tabel1[[#This Row],[Do - V2a]:[Do - V2b]]),"")</f>
        <v/>
      </c>
      <c r="FG519" t="str">
        <f>IFERROR(AVERAGE(Tabel1[[#This Row],[Do - V3a]:[Do - V3a]]),"")</f>
        <v/>
      </c>
      <c r="FI519" t="str">
        <f>IFERROR(AVERAGE(Tabel1[[#This Row],[Do - V1]],Tabel1[[#This Row],[Do - V2]],Tabel1[[#This Row],[Do - V3]],Tabel1[[#This Row],[Do - V4]]),"")</f>
        <v/>
      </c>
      <c r="FM519" t="str">
        <f>IFERROR(AVERAGE(Tabel1[[#This Row],[Do - A1a]:[Do - A1c]]),"")</f>
        <v/>
      </c>
      <c r="FP519" t="str">
        <f>IFERROR(AVERAGE(Tabel1[[#This Row],[Do - A2a]:[Do - A2b]]),"")</f>
        <v/>
      </c>
      <c r="FR519" t="str">
        <f>IFERROR(AVERAGE(Tabel1[[#This Row],[Do - A3a]:[Do - A3a]]),"")</f>
        <v/>
      </c>
      <c r="FT519" t="str">
        <f>IFERROR(AVERAGE(Tabel1[[#This Row],[Do - A1]],Tabel1[[#This Row],[Do - A2]],Tabel1[[#This Row],[Do - A3]],Tabel1[[#This Row],[Do - A4]]),"")</f>
        <v/>
      </c>
      <c r="FU51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3.11</v>
      </c>
      <c r="FV519" s="31" t="s">
        <v>2514</v>
      </c>
      <c r="FW519" t="b">
        <v>1</v>
      </c>
    </row>
    <row r="520" spans="1:179" x14ac:dyDescent="0.3">
      <c r="A520" s="13">
        <v>45863.500196759298</v>
      </c>
      <c r="B520" t="b">
        <v>0</v>
      </c>
      <c r="C520" t="s">
        <v>2515</v>
      </c>
      <c r="D520" t="s">
        <v>215</v>
      </c>
      <c r="E520" s="29" t="s">
        <v>2508</v>
      </c>
      <c r="F520" s="14" t="s">
        <v>184</v>
      </c>
      <c r="G520" t="s">
        <v>2516</v>
      </c>
      <c r="H520" t="s">
        <v>222</v>
      </c>
      <c r="I520" t="s">
        <v>195</v>
      </c>
      <c r="J520" t="s">
        <v>347</v>
      </c>
      <c r="K520" t="s">
        <v>201</v>
      </c>
      <c r="L520" t="s">
        <v>197</v>
      </c>
      <c r="M520" t="s">
        <v>188</v>
      </c>
      <c r="N520" t="s">
        <v>262</v>
      </c>
      <c r="O520" t="s">
        <v>200</v>
      </c>
      <c r="P520" t="s">
        <v>255</v>
      </c>
      <c r="Q520" t="s">
        <v>201</v>
      </c>
      <c r="R520" t="s">
        <v>201</v>
      </c>
      <c r="S520" t="s">
        <v>235</v>
      </c>
      <c r="T520" t="s">
        <v>236</v>
      </c>
      <c r="U520" t="s">
        <v>205</v>
      </c>
      <c r="V520" t="s">
        <v>224</v>
      </c>
      <c r="W520" t="s">
        <v>395</v>
      </c>
      <c r="X520" t="s">
        <v>395</v>
      </c>
      <c r="Y520">
        <v>1</v>
      </c>
      <c r="Z520">
        <v>2</v>
      </c>
      <c r="AA520">
        <v>2</v>
      </c>
      <c r="AB520">
        <f>IFERROR(AVERAGE(Tabel1[[#This Row],[Up - R1a]:[Up - R1c]]),"")</f>
        <v>1.6666666666666667</v>
      </c>
      <c r="AC520">
        <v>3</v>
      </c>
      <c r="AD520">
        <v>1</v>
      </c>
      <c r="AE520">
        <v>2</v>
      </c>
      <c r="AF520">
        <v>2</v>
      </c>
      <c r="AG520">
        <f>IFERROR(AVERAGE(Tabel1[[#This Row],[Up - R1]:[Up - R5]]),"")</f>
        <v>1.9333333333333336</v>
      </c>
      <c r="AH520">
        <v>3</v>
      </c>
      <c r="AI520">
        <v>2</v>
      </c>
      <c r="AJ520">
        <v>4</v>
      </c>
      <c r="AK520">
        <f>IFERROR(AVERAGE(Tabel1[[#This Row],[Up - C1a]:[Up - C1c]]),"")</f>
        <v>3</v>
      </c>
      <c r="AL520">
        <v>2</v>
      </c>
      <c r="AM520">
        <v>2</v>
      </c>
      <c r="AN520">
        <v>2</v>
      </c>
      <c r="AO520">
        <f>IFERROR(AVERAGE(Tabel1[[#This Row],[Up - C1]:[Up - C4]]),"")</f>
        <v>2.25</v>
      </c>
      <c r="AP520">
        <v>2</v>
      </c>
      <c r="AQ520">
        <f>IFERROR(AVERAGE(Tabel1[[#This Row],[Up - F1a]:[Up - F1a]]),"")</f>
        <v>2</v>
      </c>
      <c r="AR520">
        <v>2</v>
      </c>
      <c r="AS520">
        <v>2</v>
      </c>
      <c r="AT520">
        <f>IFERROR(AVERAGE(Tabel1[[#This Row],[Up - F2a]:[Up - F2b]]),"")</f>
        <v>2</v>
      </c>
      <c r="AU520">
        <v>1</v>
      </c>
      <c r="AV520">
        <v>2</v>
      </c>
      <c r="AW520">
        <f>IFERROR(AVERAGE(Tabel1[[#This Row],[Up - F3a]:[Up - F3b]]),"")</f>
        <v>1.5</v>
      </c>
      <c r="AX520">
        <v>2</v>
      </c>
      <c r="AY520">
        <f>IFERROR(AVERAGE(Tabel1[[#This Row],[Up - F1]],Tabel1[[#This Row],[Up - F2]],Tabel1[[#This Row],[Up - F3]],Tabel1[[#This Row],[Up - F4]]),"")</f>
        <v>1.875</v>
      </c>
      <c r="AZ520">
        <v>2</v>
      </c>
      <c r="BA520">
        <v>2</v>
      </c>
      <c r="BB520">
        <f>IFERROR(AVERAGE(Tabel1[[#This Row],[Up - V1a]:[Up - V1b]]),"")</f>
        <v>2</v>
      </c>
      <c r="BC520">
        <v>5</v>
      </c>
      <c r="BD520">
        <v>2</v>
      </c>
      <c r="BE520">
        <v>4</v>
      </c>
      <c r="BF520">
        <f>IFERROR(AVERAGE(Tabel1[[#This Row],[Up - V2a]:[Up - V2c]]),"")</f>
        <v>3.6666666666666665</v>
      </c>
      <c r="BG520">
        <v>2</v>
      </c>
      <c r="BH520">
        <v>4</v>
      </c>
      <c r="BI520">
        <f>IFERROR(AVERAGE(Tabel1[[#This Row],[Up - V3a]:[Up - V3b]]),"")</f>
        <v>3</v>
      </c>
      <c r="BJ520">
        <v>3</v>
      </c>
      <c r="BK520">
        <f>IFERROR(AVERAGE(Tabel1[[#This Row],[Up - V1]],Tabel1[[#This Row],[Up - V2]],Tabel1[[#This Row],[Up - V3]],Tabel1[[#This Row],[Up - V4]]),"")</f>
        <v>2.9166666666666665</v>
      </c>
      <c r="BL520">
        <v>3</v>
      </c>
      <c r="BM520">
        <v>4</v>
      </c>
      <c r="BN520">
        <v>2</v>
      </c>
      <c r="BO520">
        <v>2</v>
      </c>
      <c r="BP520">
        <f>IFERROR(AVERAGE(Tabel1[[#This Row],[Up - A1a]:[Up - A1d]]),"")</f>
        <v>2.75</v>
      </c>
      <c r="BQ520">
        <v>2</v>
      </c>
      <c r="BR520">
        <v>2</v>
      </c>
      <c r="BS520">
        <f>IFERROR(AVERAGE(Tabel1[[#This Row],[Up - A2a]:[Up - A2b]]),"")</f>
        <v>2</v>
      </c>
      <c r="BT520">
        <v>3</v>
      </c>
      <c r="BU520">
        <f>IFERROR(AVERAGE(Tabel1[[#This Row],[Up - A3a]:[Up - A3a]]),"")</f>
        <v>3</v>
      </c>
      <c r="BV520">
        <v>3</v>
      </c>
      <c r="BW520">
        <f>IFERROR(AVERAGE(Tabel1[[#This Row],[Up - A1]],Tabel1[[#This Row],[Up - A2]],Tabel1[[#This Row],[Up - A3]]),"")</f>
        <v>2.5833333333333335</v>
      </c>
      <c r="BX520">
        <v>1</v>
      </c>
      <c r="BY520">
        <v>1</v>
      </c>
      <c r="BZ520">
        <f>IFERROR(AVERAGE(Tabel1[[#This Row],[In - R1a]:[In - R1b]]),"")</f>
        <v>1</v>
      </c>
      <c r="CA520">
        <v>3</v>
      </c>
      <c r="CB520">
        <v>2</v>
      </c>
      <c r="CC520">
        <v>3</v>
      </c>
      <c r="CD520">
        <v>4</v>
      </c>
      <c r="CE520">
        <f>IFERROR(AVERAGE(Tabel1[[#This Row],[In - R1]:[In - R5]]),"")</f>
        <v>2.6</v>
      </c>
      <c r="CF520">
        <v>4</v>
      </c>
      <c r="CG520">
        <v>4</v>
      </c>
      <c r="CH520">
        <v>4</v>
      </c>
      <c r="CI520">
        <f>IFERROR(AVERAGE(Tabel1[[#This Row],[In - C1a]:[In - C1c]]),"")</f>
        <v>4</v>
      </c>
      <c r="CJ520">
        <v>2</v>
      </c>
      <c r="CK520">
        <v>4</v>
      </c>
      <c r="CL520">
        <v>1</v>
      </c>
      <c r="CM520">
        <f>IFERROR(AVERAGE(Tabel1[[#This Row],[In - C1]:[In - C4]]),"")</f>
        <v>2.75</v>
      </c>
      <c r="CN520">
        <v>3</v>
      </c>
      <c r="CO520">
        <v>4</v>
      </c>
      <c r="CP520">
        <v>3</v>
      </c>
      <c r="CQ520">
        <f>IFERROR(AVERAGE(Tabel1[[#This Row],[In - F1a]:[In - F1c]]),"")</f>
        <v>3.3333333333333335</v>
      </c>
      <c r="CR520">
        <v>2</v>
      </c>
      <c r="CS520">
        <v>1</v>
      </c>
      <c r="CT520">
        <f>IFERROR(AVERAGE(Tabel1[[#This Row],[In - F2a]:[In - F2b]]),"")</f>
        <v>1.5</v>
      </c>
      <c r="CU520">
        <v>3</v>
      </c>
      <c r="CV520">
        <f>IFERROR(AVERAGE(Tabel1[[#This Row],[In - F3a]:[In - F3a]]),"")</f>
        <v>3</v>
      </c>
      <c r="CW520">
        <v>3</v>
      </c>
      <c r="CX520">
        <f>IFERROR(AVERAGE(Tabel1[[#This Row],[In - F1]],Tabel1[[#This Row],[In - F2]],Tabel1[[#This Row],[In - F3]],Tabel1[[#This Row],[In - F4]]),"")</f>
        <v>2.7083333333333335</v>
      </c>
      <c r="CY520">
        <v>4</v>
      </c>
      <c r="CZ520">
        <v>4</v>
      </c>
      <c r="DA520">
        <v>3</v>
      </c>
      <c r="DB520">
        <f>IFERROR(AVERAGE(Tabel1[[#This Row],[In - V1a]:[In - V1c]]),"")</f>
        <v>3.6666666666666665</v>
      </c>
      <c r="DC520">
        <v>3</v>
      </c>
      <c r="DD520">
        <v>3</v>
      </c>
      <c r="DE520">
        <v>3</v>
      </c>
      <c r="DF520">
        <f>IFERROR(AVERAGE(Tabel1[[#This Row],[In - V2a]:[In - V2c]]),"")</f>
        <v>3</v>
      </c>
      <c r="DG520">
        <v>2</v>
      </c>
      <c r="DH520">
        <v>3</v>
      </c>
      <c r="DI520">
        <f>IFERROR(AVERAGE(Tabel1[[#This Row],[In - V3a]:[In - V3b]]),"")</f>
        <v>2.5</v>
      </c>
      <c r="DJ520">
        <v>3</v>
      </c>
      <c r="DK520">
        <f>IFERROR(AVERAGE(Tabel1[[#This Row],[In - V1]],Tabel1[[#This Row],[In - V2]],Tabel1[[#This Row],[In - V3]],Tabel1[[#This Row],[In - V4]]),"")</f>
        <v>3.0416666666666665</v>
      </c>
      <c r="DL520">
        <v>4</v>
      </c>
      <c r="DM520">
        <v>4</v>
      </c>
      <c r="DN520">
        <f>IFERROR(AVERAGE(Tabel1[[#This Row],[In - A1a]:[In - A1b]]),"")</f>
        <v>4</v>
      </c>
      <c r="DO520">
        <v>4</v>
      </c>
      <c r="DP520">
        <v>4</v>
      </c>
      <c r="DQ520">
        <f>IFERROR(AVERAGE(Tabel1[[#This Row],[In - A2a]:[In - A2b]]),"")</f>
        <v>4</v>
      </c>
      <c r="DR520">
        <v>4</v>
      </c>
      <c r="DS520">
        <v>2</v>
      </c>
      <c r="DT520">
        <f>IFERROR(AVERAGE(Tabel1[[#This Row],[In - A3a]:[In - A3a]]),"")</f>
        <v>4</v>
      </c>
      <c r="DU520">
        <v>3</v>
      </c>
      <c r="DV520">
        <f>IFERROR(AVERAGE(Tabel1[[#This Row],[In - A1]],Tabel1[[#This Row],[In - A2]],Tabel1[[#This Row],[In - A3]],Tabel1[[#This Row],[In - A4]]),"")</f>
        <v>3.75</v>
      </c>
      <c r="DW520">
        <v>2</v>
      </c>
      <c r="DX520">
        <v>4</v>
      </c>
      <c r="DY520">
        <v>2</v>
      </c>
      <c r="DZ520">
        <f>IFERROR(AVERAGE(Tabel1[[#This Row],[Do - R1a]:[Do - R1c]]),"")</f>
        <v>2.6666666666666665</v>
      </c>
      <c r="EA520">
        <v>2</v>
      </c>
      <c r="EB520">
        <v>1</v>
      </c>
      <c r="EC520">
        <v>1</v>
      </c>
      <c r="ED520">
        <v>3</v>
      </c>
      <c r="EE520">
        <f>IFERROR(AVERAGE(Tabel1[[#This Row],[Do - R1]:[Do - R5]]),"")</f>
        <v>1.9333333333333331</v>
      </c>
      <c r="EF520">
        <v>3</v>
      </c>
      <c r="EG520">
        <v>2</v>
      </c>
      <c r="EH520">
        <v>3</v>
      </c>
      <c r="EI520">
        <f>IFERROR(AVERAGE(Tabel1[[#This Row],[Do - C1a]:[Do - C1c]]),"")</f>
        <v>2.6666666666666665</v>
      </c>
      <c r="EJ520">
        <v>2</v>
      </c>
      <c r="EK520">
        <v>2</v>
      </c>
      <c r="EL520">
        <v>2</v>
      </c>
      <c r="EM520">
        <f>IFERROR(AVERAGE(Tabel1[[#This Row],[Do - C1]:[Do - C4]]),"")</f>
        <v>2.1666666666666665</v>
      </c>
      <c r="EN520">
        <v>2</v>
      </c>
      <c r="EO520">
        <v>2</v>
      </c>
      <c r="EP520">
        <v>3</v>
      </c>
      <c r="EQ520">
        <f>IFERROR(AVERAGE(Tabel1[[#This Row],[Do - F1a]:[Do - F1c]]),"")</f>
        <v>2.3333333333333335</v>
      </c>
      <c r="ER520">
        <v>2</v>
      </c>
      <c r="ES520">
        <f>IFERROR(AVERAGE(Tabel1[[#This Row],[Do - F2a]:[Do - F2a]]),"")</f>
        <v>2</v>
      </c>
      <c r="ET520">
        <v>2</v>
      </c>
      <c r="EU520">
        <v>2</v>
      </c>
      <c r="EV520">
        <f>IFERROR(AVERAGE(Tabel1[[#This Row],[Do - F3a]:[Do - F3b]]),"")</f>
        <v>2</v>
      </c>
      <c r="EW520">
        <v>2</v>
      </c>
      <c r="EX520">
        <f>IFERROR(AVERAGE(Tabel1[[#This Row],[Do - F1]],Tabel1[[#This Row],[Do - F2]],Tabel1[[#This Row],[Do - F3]],Tabel1[[#This Row],[Do - F4]]),"")</f>
        <v>2.0833333333333335</v>
      </c>
      <c r="EY520">
        <v>2</v>
      </c>
      <c r="EZ520">
        <v>1</v>
      </c>
      <c r="FA520">
        <v>2</v>
      </c>
      <c r="FB520">
        <f>IFERROR(AVERAGE(Tabel1[[#This Row],[Do - V1a]:[Do - V1c]]),"")</f>
        <v>1.6666666666666667</v>
      </c>
      <c r="FC520">
        <v>5</v>
      </c>
      <c r="FD520">
        <v>4</v>
      </c>
      <c r="FE520">
        <f>IFERROR(AVERAGE(Tabel1[[#This Row],[Do - V2a]:[Do - V2b]]),"")</f>
        <v>4.5</v>
      </c>
      <c r="FF520">
        <v>2</v>
      </c>
      <c r="FG520">
        <f>IFERROR(AVERAGE(Tabel1[[#This Row],[Do - V3a]:[Do - V3a]]),"")</f>
        <v>2</v>
      </c>
      <c r="FH520">
        <v>3</v>
      </c>
      <c r="FI520">
        <f>IFERROR(AVERAGE(Tabel1[[#This Row],[Do - V1]],Tabel1[[#This Row],[Do - V2]],Tabel1[[#This Row],[Do - V3]],Tabel1[[#This Row],[Do - V4]]),"")</f>
        <v>2.791666666666667</v>
      </c>
      <c r="FJ520">
        <v>4</v>
      </c>
      <c r="FK520">
        <v>1</v>
      </c>
      <c r="FL520">
        <v>3</v>
      </c>
      <c r="FM520">
        <f>IFERROR(AVERAGE(Tabel1[[#This Row],[Do - A1a]:[Do - A1c]]),"")</f>
        <v>2.6666666666666665</v>
      </c>
      <c r="FN520">
        <v>4</v>
      </c>
      <c r="FO520">
        <v>2</v>
      </c>
      <c r="FP520">
        <f>IFERROR(AVERAGE(Tabel1[[#This Row],[Do - A2a]:[Do - A2b]]),"")</f>
        <v>3</v>
      </c>
      <c r="FQ520">
        <v>3</v>
      </c>
      <c r="FR520">
        <f>IFERROR(AVERAGE(Tabel1[[#This Row],[Do - A3a]:[Do - A3a]]),"")</f>
        <v>3</v>
      </c>
      <c r="FS520">
        <v>3</v>
      </c>
      <c r="FT520">
        <f>IFERROR(AVERAGE(Tabel1[[#This Row],[Do - A1]],Tabel1[[#This Row],[Do - A2]],Tabel1[[#This Row],[Do - A3]],Tabel1[[#This Row],[Do - A4]]),"")</f>
        <v>2.9166666666666665</v>
      </c>
      <c r="FU52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2.5533333333333332</v>
      </c>
      <c r="FV520" s="31" t="s">
        <v>2517</v>
      </c>
      <c r="FW520" t="b">
        <v>1</v>
      </c>
    </row>
    <row r="521" spans="1:179" x14ac:dyDescent="0.3">
      <c r="A521" s="13">
        <v>45866.3066666667</v>
      </c>
      <c r="B521" t="b">
        <v>0</v>
      </c>
      <c r="C521" t="s">
        <v>2518</v>
      </c>
      <c r="D521" t="s">
        <v>2519</v>
      </c>
      <c r="E521" s="29" t="s">
        <v>2508</v>
      </c>
      <c r="F521" s="14" t="s">
        <v>184</v>
      </c>
      <c r="G521" t="s">
        <v>2520</v>
      </c>
      <c r="H521" t="s">
        <v>222</v>
      </c>
      <c r="I521" t="s">
        <v>195</v>
      </c>
      <c r="J521" t="s">
        <v>347</v>
      </c>
      <c r="K521" t="s">
        <v>201</v>
      </c>
      <c r="L521" t="s">
        <v>249</v>
      </c>
      <c r="M521" t="s">
        <v>281</v>
      </c>
      <c r="N521" t="s">
        <v>199</v>
      </c>
      <c r="P521" t="s">
        <v>255</v>
      </c>
      <c r="Q521" t="s">
        <v>201</v>
      </c>
      <c r="R521" t="s">
        <v>202</v>
      </c>
      <c r="S521" t="s">
        <v>187</v>
      </c>
      <c r="T521" t="s">
        <v>204</v>
      </c>
      <c r="U521" t="s">
        <v>237</v>
      </c>
      <c r="V521" t="s">
        <v>359</v>
      </c>
      <c r="W521" t="s">
        <v>207</v>
      </c>
      <c r="X521" t="s">
        <v>395</v>
      </c>
      <c r="Y521">
        <v>2</v>
      </c>
      <c r="Z521">
        <v>3</v>
      </c>
      <c r="AA521" t="s">
        <v>189</v>
      </c>
      <c r="AB521">
        <f>IFERROR(AVERAGE(Tabel1[[#This Row],[Up - R1a]:[Up - R1c]]),"")</f>
        <v>2.5</v>
      </c>
      <c r="AC521">
        <v>4</v>
      </c>
      <c r="AD521" t="s">
        <v>189</v>
      </c>
      <c r="AE521" t="s">
        <v>189</v>
      </c>
      <c r="AF521" t="s">
        <v>189</v>
      </c>
      <c r="AG521">
        <f>IFERROR(AVERAGE(Tabel1[[#This Row],[Up - R1]:[Up - R5]]),"")</f>
        <v>3.25</v>
      </c>
      <c r="AH521">
        <v>1</v>
      </c>
      <c r="AI521">
        <v>2</v>
      </c>
      <c r="AJ521">
        <v>3</v>
      </c>
      <c r="AK521">
        <f>IFERROR(AVERAGE(Tabel1[[#This Row],[Up - C1a]:[Up - C1c]]),"")</f>
        <v>2</v>
      </c>
      <c r="AL521">
        <v>4</v>
      </c>
      <c r="AM521">
        <v>2</v>
      </c>
      <c r="AN521">
        <v>2</v>
      </c>
      <c r="AO521">
        <f>IFERROR(AVERAGE(Tabel1[[#This Row],[Up - C1]:[Up - C4]]),"")</f>
        <v>2.5</v>
      </c>
      <c r="AP521">
        <v>3</v>
      </c>
      <c r="AQ521">
        <f>IFERROR(AVERAGE(Tabel1[[#This Row],[Up - F1a]:[Up - F1a]]),"")</f>
        <v>3</v>
      </c>
      <c r="AR521">
        <v>2</v>
      </c>
      <c r="AS521">
        <v>5</v>
      </c>
      <c r="AT521">
        <f>IFERROR(AVERAGE(Tabel1[[#This Row],[Up - F2a]:[Up - F2b]]),"")</f>
        <v>3.5</v>
      </c>
      <c r="AU521">
        <v>3</v>
      </c>
      <c r="AV521">
        <v>3</v>
      </c>
      <c r="AW521">
        <f>IFERROR(AVERAGE(Tabel1[[#This Row],[Up - F3a]:[Up - F3b]]),"")</f>
        <v>3</v>
      </c>
      <c r="AX521">
        <v>4</v>
      </c>
      <c r="AY521">
        <f>IFERROR(AVERAGE(Tabel1[[#This Row],[Up - F1]],Tabel1[[#This Row],[Up - F2]],Tabel1[[#This Row],[Up - F3]],Tabel1[[#This Row],[Up - F4]]),"")</f>
        <v>3.375</v>
      </c>
      <c r="AZ521">
        <v>4</v>
      </c>
      <c r="BA521">
        <v>4</v>
      </c>
      <c r="BB521">
        <f>IFERROR(AVERAGE(Tabel1[[#This Row],[Up - V1a]:[Up - V1b]]),"")</f>
        <v>4</v>
      </c>
      <c r="BC521">
        <v>5</v>
      </c>
      <c r="BD521" t="s">
        <v>189</v>
      </c>
      <c r="BE521">
        <v>4</v>
      </c>
      <c r="BF521">
        <f>IFERROR(AVERAGE(Tabel1[[#This Row],[Up - V2a]:[Up - V2c]]),"")</f>
        <v>4.5</v>
      </c>
      <c r="BG521">
        <v>3</v>
      </c>
      <c r="BH521">
        <v>4</v>
      </c>
      <c r="BI521">
        <f>IFERROR(AVERAGE(Tabel1[[#This Row],[Up - V3a]:[Up - V3b]]),"")</f>
        <v>3.5</v>
      </c>
      <c r="BJ521">
        <v>4</v>
      </c>
      <c r="BK521">
        <f>IFERROR(AVERAGE(Tabel1[[#This Row],[Up - V1]],Tabel1[[#This Row],[Up - V2]],Tabel1[[#This Row],[Up - V3]],Tabel1[[#This Row],[Up - V4]]),"")</f>
        <v>4</v>
      </c>
      <c r="BL521" t="s">
        <v>189</v>
      </c>
      <c r="BM521" t="s">
        <v>189</v>
      </c>
      <c r="BN521">
        <v>2</v>
      </c>
      <c r="BO521" t="s">
        <v>189</v>
      </c>
      <c r="BP521">
        <f>IFERROR(AVERAGE(Tabel1[[#This Row],[Up - A1a]:[Up - A1d]]),"")</f>
        <v>2</v>
      </c>
      <c r="BQ521">
        <v>2</v>
      </c>
      <c r="BR521" t="s">
        <v>189</v>
      </c>
      <c r="BS521">
        <f>IFERROR(AVERAGE(Tabel1[[#This Row],[Up - A2a]:[Up - A2b]]),"")</f>
        <v>2</v>
      </c>
      <c r="BT521">
        <v>4</v>
      </c>
      <c r="BU521">
        <f>IFERROR(AVERAGE(Tabel1[[#This Row],[Up - A3a]:[Up - A3a]]),"")</f>
        <v>4</v>
      </c>
      <c r="BV521" t="s">
        <v>189</v>
      </c>
      <c r="BW521">
        <f>IFERROR(AVERAGE(Tabel1[[#This Row],[Up - A1]],Tabel1[[#This Row],[Up - A2]],Tabel1[[#This Row],[Up - A3]]),"")</f>
        <v>2.6666666666666665</v>
      </c>
      <c r="BX521">
        <v>2</v>
      </c>
      <c r="BY521">
        <v>1</v>
      </c>
      <c r="BZ521">
        <f>IFERROR(AVERAGE(Tabel1[[#This Row],[In - R1a]:[In - R1b]]),"")</f>
        <v>1.5</v>
      </c>
      <c r="CE521">
        <f>IFERROR(AVERAGE(Tabel1[[#This Row],[In - R1]:[In - R5]]),"")</f>
        <v>1.5</v>
      </c>
      <c r="CF521">
        <v>5</v>
      </c>
      <c r="CG521">
        <v>4</v>
      </c>
      <c r="CH521">
        <v>1</v>
      </c>
      <c r="CI521">
        <f>IFERROR(AVERAGE(Tabel1[[#This Row],[In - C1a]:[In - C1c]]),"")</f>
        <v>3.3333333333333335</v>
      </c>
      <c r="CJ521">
        <v>3</v>
      </c>
      <c r="CM521">
        <f>IFERROR(AVERAGE(Tabel1[[#This Row],[In - C1]:[In - C4]]),"")</f>
        <v>3.166666666666667</v>
      </c>
      <c r="CQ521" t="str">
        <f>IFERROR(AVERAGE(Tabel1[[#This Row],[In - F1a]:[In - F1c]]),"")</f>
        <v/>
      </c>
      <c r="CT521" t="str">
        <f>IFERROR(AVERAGE(Tabel1[[#This Row],[In - F2a]:[In - F2b]]),"")</f>
        <v/>
      </c>
      <c r="CV521" t="str">
        <f>IFERROR(AVERAGE(Tabel1[[#This Row],[In - F3a]:[In - F3a]]),"")</f>
        <v/>
      </c>
      <c r="CX521" t="str">
        <f>IFERROR(AVERAGE(Tabel1[[#This Row],[In - F1]],Tabel1[[#This Row],[In - F2]],Tabel1[[#This Row],[In - F3]],Tabel1[[#This Row],[In - F4]]),"")</f>
        <v/>
      </c>
      <c r="DB521" t="str">
        <f>IFERROR(AVERAGE(Tabel1[[#This Row],[In - V1a]:[In - V1c]]),"")</f>
        <v/>
      </c>
      <c r="DF521" t="str">
        <f>IFERROR(AVERAGE(Tabel1[[#This Row],[In - V2a]:[In - V2c]]),"")</f>
        <v/>
      </c>
      <c r="DI521" t="str">
        <f>IFERROR(AVERAGE(Tabel1[[#This Row],[In - V3a]:[In - V3b]]),"")</f>
        <v/>
      </c>
      <c r="DK521" t="str">
        <f>IFERROR(AVERAGE(Tabel1[[#This Row],[In - V1]],Tabel1[[#This Row],[In - V2]],Tabel1[[#This Row],[In - V3]],Tabel1[[#This Row],[In - V4]]),"")</f>
        <v/>
      </c>
      <c r="DN521" t="str">
        <f>IFERROR(AVERAGE(Tabel1[[#This Row],[In - A1a]:[In - A1b]]),"")</f>
        <v/>
      </c>
      <c r="DQ521" t="str">
        <f>IFERROR(AVERAGE(Tabel1[[#This Row],[In - A2a]:[In - A2b]]),"")</f>
        <v/>
      </c>
      <c r="DT521" t="str">
        <f>IFERROR(AVERAGE(Tabel1[[#This Row],[In - A3a]:[In - A3a]]),"")</f>
        <v/>
      </c>
      <c r="DV521" t="str">
        <f>IFERROR(AVERAGE(Tabel1[[#This Row],[In - A1]],Tabel1[[#This Row],[In - A2]],Tabel1[[#This Row],[In - A3]],Tabel1[[#This Row],[In - A4]]),"")</f>
        <v/>
      </c>
      <c r="DZ521" t="str">
        <f>IFERROR(AVERAGE(Tabel1[[#This Row],[Do - R1a]:[Do - R1c]]),"")</f>
        <v/>
      </c>
      <c r="EE521" t="str">
        <f>IFERROR(AVERAGE(Tabel1[[#This Row],[Do - R1]:[Do - R5]]),"")</f>
        <v/>
      </c>
      <c r="EI521" t="str">
        <f>IFERROR(AVERAGE(Tabel1[[#This Row],[Do - C1a]:[Do - C1c]]),"")</f>
        <v/>
      </c>
      <c r="EM521" t="str">
        <f>IFERROR(AVERAGE(Tabel1[[#This Row],[Do - C1]:[Do - C4]]),"")</f>
        <v/>
      </c>
      <c r="EQ521" t="str">
        <f>IFERROR(AVERAGE(Tabel1[[#This Row],[Do - F1a]:[Do - F1c]]),"")</f>
        <v/>
      </c>
      <c r="ES521" t="str">
        <f>IFERROR(AVERAGE(Tabel1[[#This Row],[Do - F2a]:[Do - F2a]]),"")</f>
        <v/>
      </c>
      <c r="EV521" t="str">
        <f>IFERROR(AVERAGE(Tabel1[[#This Row],[Do - F3a]:[Do - F3b]]),"")</f>
        <v/>
      </c>
      <c r="EX521" t="str">
        <f>IFERROR(AVERAGE(Tabel1[[#This Row],[Do - F1]],Tabel1[[#This Row],[Do - F2]],Tabel1[[#This Row],[Do - F3]],Tabel1[[#This Row],[Do - F4]]),"")</f>
        <v/>
      </c>
      <c r="FB521" t="str">
        <f>IFERROR(AVERAGE(Tabel1[[#This Row],[Do - V1a]:[Do - V1c]]),"")</f>
        <v/>
      </c>
      <c r="FE521" t="str">
        <f>IFERROR(AVERAGE(Tabel1[[#This Row],[Do - V2a]:[Do - V2b]]),"")</f>
        <v/>
      </c>
      <c r="FG521" t="str">
        <f>IFERROR(AVERAGE(Tabel1[[#This Row],[Do - V3a]:[Do - V3a]]),"")</f>
        <v/>
      </c>
      <c r="FI521" t="str">
        <f>IFERROR(AVERAGE(Tabel1[[#This Row],[Do - V1]],Tabel1[[#This Row],[Do - V2]],Tabel1[[#This Row],[Do - V3]],Tabel1[[#This Row],[Do - V4]]),"")</f>
        <v/>
      </c>
      <c r="FM521" t="str">
        <f>IFERROR(AVERAGE(Tabel1[[#This Row],[Do - A1a]:[Do - A1c]]),"")</f>
        <v/>
      </c>
      <c r="FP521" t="str">
        <f>IFERROR(AVERAGE(Tabel1[[#This Row],[Do - A2a]:[Do - A2b]]),"")</f>
        <v/>
      </c>
      <c r="FR521" t="str">
        <f>IFERROR(AVERAGE(Tabel1[[#This Row],[Do - A3a]:[Do - A3a]]),"")</f>
        <v/>
      </c>
      <c r="FT521" t="str">
        <f>IFERROR(AVERAGE(Tabel1[[#This Row],[Do - A1]],Tabel1[[#This Row],[Do - A2]],Tabel1[[#This Row],[Do - A3]],Tabel1[[#This Row],[Do - A4]]),"")</f>
        <v/>
      </c>
      <c r="FU52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2.9226190476190474</v>
      </c>
      <c r="FV521" s="31" t="s">
        <v>2521</v>
      </c>
      <c r="FW521" t="b">
        <v>1</v>
      </c>
    </row>
    <row r="522" spans="1:179" x14ac:dyDescent="0.3">
      <c r="A522" s="13">
        <v>45868.3817361111</v>
      </c>
      <c r="B522" t="b">
        <v>0</v>
      </c>
      <c r="C522" t="s">
        <v>2522</v>
      </c>
      <c r="D522" t="s">
        <v>2523</v>
      </c>
      <c r="E522" t="s">
        <v>2524</v>
      </c>
      <c r="F522" s="14" t="s">
        <v>184</v>
      </c>
      <c r="G522" t="s">
        <v>2525</v>
      </c>
      <c r="H522" t="s">
        <v>194</v>
      </c>
      <c r="AB522" t="str">
        <f>IFERROR(AVERAGE(Tabel1[[#This Row],[Up - R1a]:[Up - R1c]]),"")</f>
        <v/>
      </c>
      <c r="AG522" t="str">
        <f>IFERROR(AVERAGE(Tabel1[[#This Row],[Up - R1]:[Up - R5]]),"")</f>
        <v/>
      </c>
      <c r="AK522" t="str">
        <f>IFERROR(AVERAGE(Tabel1[[#This Row],[Up - C1a]:[Up - C1c]]),"")</f>
        <v/>
      </c>
      <c r="AO522" t="str">
        <f>IFERROR(AVERAGE(Tabel1[[#This Row],[Up - C1]:[Up - C4]]),"")</f>
        <v/>
      </c>
      <c r="AQ522" t="str">
        <f>IFERROR(AVERAGE(Tabel1[[#This Row],[Up - F1a]:[Up - F1a]]),"")</f>
        <v/>
      </c>
      <c r="AT522" t="str">
        <f>IFERROR(AVERAGE(Tabel1[[#This Row],[Up - F2a]:[Up - F2b]]),"")</f>
        <v/>
      </c>
      <c r="AW522" t="str">
        <f>IFERROR(AVERAGE(Tabel1[[#This Row],[Up - F3a]:[Up - F3b]]),"")</f>
        <v/>
      </c>
      <c r="AY522" t="str">
        <f>IFERROR(AVERAGE(Tabel1[[#This Row],[Up - F1]],Tabel1[[#This Row],[Up - F2]],Tabel1[[#This Row],[Up - F3]],Tabel1[[#This Row],[Up - F4]]),"")</f>
        <v/>
      </c>
      <c r="BB522" t="str">
        <f>IFERROR(AVERAGE(Tabel1[[#This Row],[Up - V1a]:[Up - V1b]]),"")</f>
        <v/>
      </c>
      <c r="BF522" t="str">
        <f>IFERROR(AVERAGE(Tabel1[[#This Row],[Up - V2a]:[Up - V2c]]),"")</f>
        <v/>
      </c>
      <c r="BI522" t="str">
        <f>IFERROR(AVERAGE(Tabel1[[#This Row],[Up - V3a]:[Up - V3b]]),"")</f>
        <v/>
      </c>
      <c r="BK522" t="str">
        <f>IFERROR(AVERAGE(Tabel1[[#This Row],[Up - V1]],Tabel1[[#This Row],[Up - V2]],Tabel1[[#This Row],[Up - V3]],Tabel1[[#This Row],[Up - V4]]),"")</f>
        <v/>
      </c>
      <c r="BP522" t="str">
        <f>IFERROR(AVERAGE(Tabel1[[#This Row],[Up - A1a]:[Up - A1d]]),"")</f>
        <v/>
      </c>
      <c r="BS522" t="str">
        <f>IFERROR(AVERAGE(Tabel1[[#This Row],[Up - A2a]:[Up - A2b]]),"")</f>
        <v/>
      </c>
      <c r="BU522" t="str">
        <f>IFERROR(AVERAGE(Tabel1[[#This Row],[Up - A3a]:[Up - A3a]]),"")</f>
        <v/>
      </c>
      <c r="BW522" t="str">
        <f>IFERROR(AVERAGE(Tabel1[[#This Row],[Up - A1]],Tabel1[[#This Row],[Up - A2]],Tabel1[[#This Row],[Up - A3]]),"")</f>
        <v/>
      </c>
      <c r="BZ522" t="str">
        <f>IFERROR(AVERAGE(Tabel1[[#This Row],[In - R1a]:[In - R1b]]),"")</f>
        <v/>
      </c>
      <c r="CE522" t="str">
        <f>IFERROR(AVERAGE(Tabel1[[#This Row],[In - R1]:[In - R5]]),"")</f>
        <v/>
      </c>
      <c r="CI522" t="str">
        <f>IFERROR(AVERAGE(Tabel1[[#This Row],[In - C1a]:[In - C1c]]),"")</f>
        <v/>
      </c>
      <c r="CM522" t="str">
        <f>IFERROR(AVERAGE(Tabel1[[#This Row],[In - C1]:[In - C4]]),"")</f>
        <v/>
      </c>
      <c r="CQ522" t="str">
        <f>IFERROR(AVERAGE(Tabel1[[#This Row],[In - F1a]:[In - F1c]]),"")</f>
        <v/>
      </c>
      <c r="CT522" t="str">
        <f>IFERROR(AVERAGE(Tabel1[[#This Row],[In - F2a]:[In - F2b]]),"")</f>
        <v/>
      </c>
      <c r="CV522" t="str">
        <f>IFERROR(AVERAGE(Tabel1[[#This Row],[In - F3a]:[In - F3a]]),"")</f>
        <v/>
      </c>
      <c r="CX522" t="str">
        <f>IFERROR(AVERAGE(Tabel1[[#This Row],[In - F1]],Tabel1[[#This Row],[In - F2]],Tabel1[[#This Row],[In - F3]],Tabel1[[#This Row],[In - F4]]),"")</f>
        <v/>
      </c>
      <c r="DB522" t="str">
        <f>IFERROR(AVERAGE(Tabel1[[#This Row],[In - V1a]:[In - V1c]]),"")</f>
        <v/>
      </c>
      <c r="DF522" t="str">
        <f>IFERROR(AVERAGE(Tabel1[[#This Row],[In - V2a]:[In - V2c]]),"")</f>
        <v/>
      </c>
      <c r="DI522" t="str">
        <f>IFERROR(AVERAGE(Tabel1[[#This Row],[In - V3a]:[In - V3b]]),"")</f>
        <v/>
      </c>
      <c r="DK522" t="str">
        <f>IFERROR(AVERAGE(Tabel1[[#This Row],[In - V1]],Tabel1[[#This Row],[In - V2]],Tabel1[[#This Row],[In - V3]],Tabel1[[#This Row],[In - V4]]),"")</f>
        <v/>
      </c>
      <c r="DN522" t="str">
        <f>IFERROR(AVERAGE(Tabel1[[#This Row],[In - A1a]:[In - A1b]]),"")</f>
        <v/>
      </c>
      <c r="DQ522" t="str">
        <f>IFERROR(AVERAGE(Tabel1[[#This Row],[In - A2a]:[In - A2b]]),"")</f>
        <v/>
      </c>
      <c r="DT522" t="str">
        <f>IFERROR(AVERAGE(Tabel1[[#This Row],[In - A3a]:[In - A3a]]),"")</f>
        <v/>
      </c>
      <c r="DV522" t="str">
        <f>IFERROR(AVERAGE(Tabel1[[#This Row],[In - A1]],Tabel1[[#This Row],[In - A2]],Tabel1[[#This Row],[In - A3]],Tabel1[[#This Row],[In - A4]]),"")</f>
        <v/>
      </c>
      <c r="DZ522" t="str">
        <f>IFERROR(AVERAGE(Tabel1[[#This Row],[Do - R1a]:[Do - R1c]]),"")</f>
        <v/>
      </c>
      <c r="EE522" t="str">
        <f>IFERROR(AVERAGE(Tabel1[[#This Row],[Do - R1]:[Do - R5]]),"")</f>
        <v/>
      </c>
      <c r="EI522" t="str">
        <f>IFERROR(AVERAGE(Tabel1[[#This Row],[Do - C1a]:[Do - C1c]]),"")</f>
        <v/>
      </c>
      <c r="EM522" t="str">
        <f>IFERROR(AVERAGE(Tabel1[[#This Row],[Do - C1]:[Do - C4]]),"")</f>
        <v/>
      </c>
      <c r="EQ522" t="str">
        <f>IFERROR(AVERAGE(Tabel1[[#This Row],[Do - F1a]:[Do - F1c]]),"")</f>
        <v/>
      </c>
      <c r="ES522" t="str">
        <f>IFERROR(AVERAGE(Tabel1[[#This Row],[Do - F2a]:[Do - F2a]]),"")</f>
        <v/>
      </c>
      <c r="EV522" t="str">
        <f>IFERROR(AVERAGE(Tabel1[[#This Row],[Do - F3a]:[Do - F3b]]),"")</f>
        <v/>
      </c>
      <c r="EX522" t="str">
        <f>IFERROR(AVERAGE(Tabel1[[#This Row],[Do - F1]],Tabel1[[#This Row],[Do - F2]],Tabel1[[#This Row],[Do - F3]],Tabel1[[#This Row],[Do - F4]]),"")</f>
        <v/>
      </c>
      <c r="FB522" t="str">
        <f>IFERROR(AVERAGE(Tabel1[[#This Row],[Do - V1a]:[Do - V1c]]),"")</f>
        <v/>
      </c>
      <c r="FE522" t="str">
        <f>IFERROR(AVERAGE(Tabel1[[#This Row],[Do - V2a]:[Do - V2b]]),"")</f>
        <v/>
      </c>
      <c r="FG522" t="str">
        <f>IFERROR(AVERAGE(Tabel1[[#This Row],[Do - V3a]:[Do - V3a]]),"")</f>
        <v/>
      </c>
      <c r="FI522" t="str">
        <f>IFERROR(AVERAGE(Tabel1[[#This Row],[Do - V1]],Tabel1[[#This Row],[Do - V2]],Tabel1[[#This Row],[Do - V3]],Tabel1[[#This Row],[Do - V4]]),"")</f>
        <v/>
      </c>
      <c r="FM522" t="str">
        <f>IFERROR(AVERAGE(Tabel1[[#This Row],[Do - A1a]:[Do - A1c]]),"")</f>
        <v/>
      </c>
      <c r="FP522" t="str">
        <f>IFERROR(AVERAGE(Tabel1[[#This Row],[Do - A2a]:[Do - A2b]]),"")</f>
        <v/>
      </c>
      <c r="FR522" t="str">
        <f>IFERROR(AVERAGE(Tabel1[[#This Row],[Do - A3a]:[Do - A3a]]),"")</f>
        <v/>
      </c>
      <c r="FT522" t="str">
        <f>IFERROR(AVERAGE(Tabel1[[#This Row],[Do - A1]],Tabel1[[#This Row],[Do - A2]],Tabel1[[#This Row],[Do - A3]],Tabel1[[#This Row],[Do - A4]]),"")</f>
        <v/>
      </c>
      <c r="FU522" t="str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/>
      </c>
      <c r="FV522" s="31" t="s">
        <v>2526</v>
      </c>
      <c r="FW522" t="b">
        <v>1</v>
      </c>
    </row>
    <row r="523" spans="1:179" x14ac:dyDescent="0.3">
      <c r="A523" s="13">
        <v>45868.507754629602</v>
      </c>
      <c r="B523" t="b">
        <v>0</v>
      </c>
      <c r="C523" t="s">
        <v>2527</v>
      </c>
      <c r="D523" t="s">
        <v>288</v>
      </c>
      <c r="E523" t="s">
        <v>2528</v>
      </c>
      <c r="F523" s="14" t="s">
        <v>184</v>
      </c>
      <c r="G523" t="s">
        <v>2529</v>
      </c>
      <c r="H523" t="s">
        <v>222</v>
      </c>
      <c r="AB523" t="str">
        <f>IFERROR(AVERAGE(Tabel1[[#This Row],[Up - R1a]:[Up - R1c]]),"")</f>
        <v/>
      </c>
      <c r="AG523" t="str">
        <f>IFERROR(AVERAGE(Tabel1[[#This Row],[Up - R1]:[Up - R5]]),"")</f>
        <v/>
      </c>
      <c r="AK523" t="str">
        <f>IFERROR(AVERAGE(Tabel1[[#This Row],[Up - C1a]:[Up - C1c]]),"")</f>
        <v/>
      </c>
      <c r="AO523" t="str">
        <f>IFERROR(AVERAGE(Tabel1[[#This Row],[Up - C1]:[Up - C4]]),"")</f>
        <v/>
      </c>
      <c r="AQ523" t="str">
        <f>IFERROR(AVERAGE(Tabel1[[#This Row],[Up - F1a]:[Up - F1a]]),"")</f>
        <v/>
      </c>
      <c r="AT523" t="str">
        <f>IFERROR(AVERAGE(Tabel1[[#This Row],[Up - F2a]:[Up - F2b]]),"")</f>
        <v/>
      </c>
      <c r="AW523" t="str">
        <f>IFERROR(AVERAGE(Tabel1[[#This Row],[Up - F3a]:[Up - F3b]]),"")</f>
        <v/>
      </c>
      <c r="AY523" t="str">
        <f>IFERROR(AVERAGE(Tabel1[[#This Row],[Up - F1]],Tabel1[[#This Row],[Up - F2]],Tabel1[[#This Row],[Up - F3]],Tabel1[[#This Row],[Up - F4]]),"")</f>
        <v/>
      </c>
      <c r="BB523" t="str">
        <f>IFERROR(AVERAGE(Tabel1[[#This Row],[Up - V1a]:[Up - V1b]]),"")</f>
        <v/>
      </c>
      <c r="BF523" t="str">
        <f>IFERROR(AVERAGE(Tabel1[[#This Row],[Up - V2a]:[Up - V2c]]),"")</f>
        <v/>
      </c>
      <c r="BI523" t="str">
        <f>IFERROR(AVERAGE(Tabel1[[#This Row],[Up - V3a]:[Up - V3b]]),"")</f>
        <v/>
      </c>
      <c r="BK523" t="str">
        <f>IFERROR(AVERAGE(Tabel1[[#This Row],[Up - V1]],Tabel1[[#This Row],[Up - V2]],Tabel1[[#This Row],[Up - V3]],Tabel1[[#This Row],[Up - V4]]),"")</f>
        <v/>
      </c>
      <c r="BP523" t="str">
        <f>IFERROR(AVERAGE(Tabel1[[#This Row],[Up - A1a]:[Up - A1d]]),"")</f>
        <v/>
      </c>
      <c r="BS523" t="str">
        <f>IFERROR(AVERAGE(Tabel1[[#This Row],[Up - A2a]:[Up - A2b]]),"")</f>
        <v/>
      </c>
      <c r="BU523" t="str">
        <f>IFERROR(AVERAGE(Tabel1[[#This Row],[Up - A3a]:[Up - A3a]]),"")</f>
        <v/>
      </c>
      <c r="BW523" t="str">
        <f>IFERROR(AVERAGE(Tabel1[[#This Row],[Up - A1]],Tabel1[[#This Row],[Up - A2]],Tabel1[[#This Row],[Up - A3]]),"")</f>
        <v/>
      </c>
      <c r="BZ523" t="str">
        <f>IFERROR(AVERAGE(Tabel1[[#This Row],[In - R1a]:[In - R1b]]),"")</f>
        <v/>
      </c>
      <c r="CE523" t="str">
        <f>IFERROR(AVERAGE(Tabel1[[#This Row],[In - R1]:[In - R5]]),"")</f>
        <v/>
      </c>
      <c r="CI523" t="str">
        <f>IFERROR(AVERAGE(Tabel1[[#This Row],[In - C1a]:[In - C1c]]),"")</f>
        <v/>
      </c>
      <c r="CM523" t="str">
        <f>IFERROR(AVERAGE(Tabel1[[#This Row],[In - C1]:[In - C4]]),"")</f>
        <v/>
      </c>
      <c r="CQ523" t="str">
        <f>IFERROR(AVERAGE(Tabel1[[#This Row],[In - F1a]:[In - F1c]]),"")</f>
        <v/>
      </c>
      <c r="CT523" t="str">
        <f>IFERROR(AVERAGE(Tabel1[[#This Row],[In - F2a]:[In - F2b]]),"")</f>
        <v/>
      </c>
      <c r="CV523" t="str">
        <f>IFERROR(AVERAGE(Tabel1[[#This Row],[In - F3a]:[In - F3a]]),"")</f>
        <v/>
      </c>
      <c r="CX523" t="str">
        <f>IFERROR(AVERAGE(Tabel1[[#This Row],[In - F1]],Tabel1[[#This Row],[In - F2]],Tabel1[[#This Row],[In - F3]],Tabel1[[#This Row],[In - F4]]),"")</f>
        <v/>
      </c>
      <c r="DB523" t="str">
        <f>IFERROR(AVERAGE(Tabel1[[#This Row],[In - V1a]:[In - V1c]]),"")</f>
        <v/>
      </c>
      <c r="DF523" t="str">
        <f>IFERROR(AVERAGE(Tabel1[[#This Row],[In - V2a]:[In - V2c]]),"")</f>
        <v/>
      </c>
      <c r="DI523" t="str">
        <f>IFERROR(AVERAGE(Tabel1[[#This Row],[In - V3a]:[In - V3b]]),"")</f>
        <v/>
      </c>
      <c r="DK523" t="str">
        <f>IFERROR(AVERAGE(Tabel1[[#This Row],[In - V1]],Tabel1[[#This Row],[In - V2]],Tabel1[[#This Row],[In - V3]],Tabel1[[#This Row],[In - V4]]),"")</f>
        <v/>
      </c>
      <c r="DN523" t="str">
        <f>IFERROR(AVERAGE(Tabel1[[#This Row],[In - A1a]:[In - A1b]]),"")</f>
        <v/>
      </c>
      <c r="DQ523" t="str">
        <f>IFERROR(AVERAGE(Tabel1[[#This Row],[In - A2a]:[In - A2b]]),"")</f>
        <v/>
      </c>
      <c r="DT523" t="str">
        <f>IFERROR(AVERAGE(Tabel1[[#This Row],[In - A3a]:[In - A3a]]),"")</f>
        <v/>
      </c>
      <c r="DV523" t="str">
        <f>IFERROR(AVERAGE(Tabel1[[#This Row],[In - A1]],Tabel1[[#This Row],[In - A2]],Tabel1[[#This Row],[In - A3]],Tabel1[[#This Row],[In - A4]]),"")</f>
        <v/>
      </c>
      <c r="DZ523" t="str">
        <f>IFERROR(AVERAGE(Tabel1[[#This Row],[Do - R1a]:[Do - R1c]]),"")</f>
        <v/>
      </c>
      <c r="EE523" t="str">
        <f>IFERROR(AVERAGE(Tabel1[[#This Row],[Do - R1]:[Do - R5]]),"")</f>
        <v/>
      </c>
      <c r="EI523" t="str">
        <f>IFERROR(AVERAGE(Tabel1[[#This Row],[Do - C1a]:[Do - C1c]]),"")</f>
        <v/>
      </c>
      <c r="EM523" t="str">
        <f>IFERROR(AVERAGE(Tabel1[[#This Row],[Do - C1]:[Do - C4]]),"")</f>
        <v/>
      </c>
      <c r="EQ523" t="str">
        <f>IFERROR(AVERAGE(Tabel1[[#This Row],[Do - F1a]:[Do - F1c]]),"")</f>
        <v/>
      </c>
      <c r="ES523" t="str">
        <f>IFERROR(AVERAGE(Tabel1[[#This Row],[Do - F2a]:[Do - F2a]]),"")</f>
        <v/>
      </c>
      <c r="EV523" t="str">
        <f>IFERROR(AVERAGE(Tabel1[[#This Row],[Do - F3a]:[Do - F3b]]),"")</f>
        <v/>
      </c>
      <c r="EX523" t="str">
        <f>IFERROR(AVERAGE(Tabel1[[#This Row],[Do - F1]],Tabel1[[#This Row],[Do - F2]],Tabel1[[#This Row],[Do - F3]],Tabel1[[#This Row],[Do - F4]]),"")</f>
        <v/>
      </c>
      <c r="FB523" t="str">
        <f>IFERROR(AVERAGE(Tabel1[[#This Row],[Do - V1a]:[Do - V1c]]),"")</f>
        <v/>
      </c>
      <c r="FE523" t="str">
        <f>IFERROR(AVERAGE(Tabel1[[#This Row],[Do - V2a]:[Do - V2b]]),"")</f>
        <v/>
      </c>
      <c r="FG523" t="str">
        <f>IFERROR(AVERAGE(Tabel1[[#This Row],[Do - V3a]:[Do - V3a]]),"")</f>
        <v/>
      </c>
      <c r="FI523" t="str">
        <f>IFERROR(AVERAGE(Tabel1[[#This Row],[Do - V1]],Tabel1[[#This Row],[Do - V2]],Tabel1[[#This Row],[Do - V3]],Tabel1[[#This Row],[Do - V4]]),"")</f>
        <v/>
      </c>
      <c r="FM523" t="str">
        <f>IFERROR(AVERAGE(Tabel1[[#This Row],[Do - A1a]:[Do - A1c]]),"")</f>
        <v/>
      </c>
      <c r="FP523" t="str">
        <f>IFERROR(AVERAGE(Tabel1[[#This Row],[Do - A2a]:[Do - A2b]]),"")</f>
        <v/>
      </c>
      <c r="FR523" t="str">
        <f>IFERROR(AVERAGE(Tabel1[[#This Row],[Do - A3a]:[Do - A3a]]),"")</f>
        <v/>
      </c>
      <c r="FT523" t="str">
        <f>IFERROR(AVERAGE(Tabel1[[#This Row],[Do - A1]],Tabel1[[#This Row],[Do - A2]],Tabel1[[#This Row],[Do - A3]],Tabel1[[#This Row],[Do - A4]]),"")</f>
        <v/>
      </c>
      <c r="FU523" t="str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/>
      </c>
      <c r="FV523" s="31" t="s">
        <v>2530</v>
      </c>
      <c r="FW523" t="b">
        <v>1</v>
      </c>
    </row>
    <row r="524" spans="1:179" x14ac:dyDescent="0.3">
      <c r="A524" s="13">
        <v>45872.440972222197</v>
      </c>
      <c r="B524" t="b">
        <v>0</v>
      </c>
      <c r="C524" t="s">
        <v>2531</v>
      </c>
      <c r="D524" t="s">
        <v>2532</v>
      </c>
      <c r="E524" t="s">
        <v>2533</v>
      </c>
      <c r="F524" s="14" t="s">
        <v>184</v>
      </c>
      <c r="G524" t="s">
        <v>2534</v>
      </c>
      <c r="H524" t="s">
        <v>222</v>
      </c>
      <c r="I524" t="s">
        <v>572</v>
      </c>
      <c r="J524" t="s">
        <v>573</v>
      </c>
      <c r="K524" t="s">
        <v>187</v>
      </c>
      <c r="L524" t="s">
        <v>385</v>
      </c>
      <c r="M524" t="s">
        <v>281</v>
      </c>
      <c r="N524" t="s">
        <v>331</v>
      </c>
      <c r="O524" t="s">
        <v>256</v>
      </c>
      <c r="P524" t="s">
        <v>304</v>
      </c>
      <c r="Q524" t="s">
        <v>201</v>
      </c>
      <c r="R524" t="s">
        <v>235</v>
      </c>
      <c r="S524" t="s">
        <v>235</v>
      </c>
      <c r="T524" t="s">
        <v>284</v>
      </c>
      <c r="U524" t="s">
        <v>237</v>
      </c>
      <c r="V524" t="s">
        <v>484</v>
      </c>
      <c r="W524" t="s">
        <v>207</v>
      </c>
      <c r="X524" t="s">
        <v>305</v>
      </c>
      <c r="Y524">
        <v>3</v>
      </c>
      <c r="Z524">
        <v>2</v>
      </c>
      <c r="AA524">
        <v>5</v>
      </c>
      <c r="AB524">
        <f>IFERROR(AVERAGE(Tabel1[[#This Row],[Up - R1a]:[Up - R1c]]),"")</f>
        <v>3.3333333333333335</v>
      </c>
      <c r="AC524">
        <v>2</v>
      </c>
      <c r="AD524">
        <v>3</v>
      </c>
      <c r="AE524">
        <v>2</v>
      </c>
      <c r="AF524">
        <v>3</v>
      </c>
      <c r="AG524">
        <f>IFERROR(AVERAGE(Tabel1[[#This Row],[Up - R1]:[Up - R5]]),"")</f>
        <v>2.666666666666667</v>
      </c>
      <c r="AH524">
        <v>3</v>
      </c>
      <c r="AI524">
        <v>1</v>
      </c>
      <c r="AJ524">
        <v>2</v>
      </c>
      <c r="AK524">
        <f>IFERROR(AVERAGE(Tabel1[[#This Row],[Up - C1a]:[Up - C1c]]),"")</f>
        <v>2</v>
      </c>
      <c r="AL524">
        <v>1</v>
      </c>
      <c r="AM524">
        <v>2</v>
      </c>
      <c r="AN524">
        <v>2</v>
      </c>
      <c r="AO524">
        <f>IFERROR(AVERAGE(Tabel1[[#This Row],[Up - C1]:[Up - C4]]),"")</f>
        <v>1.75</v>
      </c>
      <c r="AP524">
        <v>3</v>
      </c>
      <c r="AQ524">
        <f>IFERROR(AVERAGE(Tabel1[[#This Row],[Up - F1a]:[Up - F1a]]),"")</f>
        <v>3</v>
      </c>
      <c r="AR524">
        <v>3</v>
      </c>
      <c r="AS524">
        <v>1</v>
      </c>
      <c r="AT524">
        <f>IFERROR(AVERAGE(Tabel1[[#This Row],[Up - F2a]:[Up - F2b]]),"")</f>
        <v>2</v>
      </c>
      <c r="AU524">
        <v>2</v>
      </c>
      <c r="AV524" t="s">
        <v>189</v>
      </c>
      <c r="AW524">
        <f>IFERROR(AVERAGE(Tabel1[[#This Row],[Up - F3a]:[Up - F3b]]),"")</f>
        <v>2</v>
      </c>
      <c r="AX524">
        <v>1</v>
      </c>
      <c r="AY524">
        <f>IFERROR(AVERAGE(Tabel1[[#This Row],[Up - F1]],Tabel1[[#This Row],[Up - F2]],Tabel1[[#This Row],[Up - F3]],Tabel1[[#This Row],[Up - F4]]),"")</f>
        <v>2</v>
      </c>
      <c r="AZ524">
        <v>1</v>
      </c>
      <c r="BA524">
        <v>4</v>
      </c>
      <c r="BB524">
        <f>IFERROR(AVERAGE(Tabel1[[#This Row],[Up - V1a]:[Up - V1b]]),"")</f>
        <v>2.5</v>
      </c>
      <c r="BC524">
        <v>5</v>
      </c>
      <c r="BD524">
        <v>1</v>
      </c>
      <c r="BE524">
        <v>1</v>
      </c>
      <c r="BF524">
        <f>IFERROR(AVERAGE(Tabel1[[#This Row],[Up - V2a]:[Up - V2c]]),"")</f>
        <v>2.3333333333333335</v>
      </c>
      <c r="BG524" t="s">
        <v>189</v>
      </c>
      <c r="BH524">
        <v>3</v>
      </c>
      <c r="BI524">
        <f>IFERROR(AVERAGE(Tabel1[[#This Row],[Up - V3a]:[Up - V3b]]),"")</f>
        <v>3</v>
      </c>
      <c r="BJ524">
        <v>5</v>
      </c>
      <c r="BK524">
        <f>IFERROR(AVERAGE(Tabel1[[#This Row],[Up - V1]],Tabel1[[#This Row],[Up - V2]],Tabel1[[#This Row],[Up - V3]],Tabel1[[#This Row],[Up - V4]]),"")</f>
        <v>3.2083333333333335</v>
      </c>
      <c r="BL524">
        <v>3</v>
      </c>
      <c r="BM524">
        <v>5</v>
      </c>
      <c r="BN524">
        <v>3</v>
      </c>
      <c r="BO524">
        <v>1</v>
      </c>
      <c r="BP524">
        <f>IFERROR(AVERAGE(Tabel1[[#This Row],[Up - A1a]:[Up - A1d]]),"")</f>
        <v>3</v>
      </c>
      <c r="BQ524">
        <v>3</v>
      </c>
      <c r="BR524">
        <v>1</v>
      </c>
      <c r="BS524">
        <f>IFERROR(AVERAGE(Tabel1[[#This Row],[Up - A2a]:[Up - A2b]]),"")</f>
        <v>2</v>
      </c>
      <c r="BT524">
        <v>4</v>
      </c>
      <c r="BU524">
        <f>IFERROR(AVERAGE(Tabel1[[#This Row],[Up - A3a]:[Up - A3a]]),"")</f>
        <v>4</v>
      </c>
      <c r="BV524">
        <v>3</v>
      </c>
      <c r="BW524">
        <f>IFERROR(AVERAGE(Tabel1[[#This Row],[Up - A1]],Tabel1[[#This Row],[Up - A2]],Tabel1[[#This Row],[Up - A3]]),"")</f>
        <v>3</v>
      </c>
      <c r="BX524">
        <v>3</v>
      </c>
      <c r="BY524">
        <v>5</v>
      </c>
      <c r="BZ524">
        <f>IFERROR(AVERAGE(Tabel1[[#This Row],[In - R1a]:[In - R1b]]),"")</f>
        <v>4</v>
      </c>
      <c r="CA524">
        <v>2</v>
      </c>
      <c r="CB524">
        <v>3</v>
      </c>
      <c r="CC524">
        <v>2</v>
      </c>
      <c r="CD524">
        <v>3</v>
      </c>
      <c r="CE524">
        <f>IFERROR(AVERAGE(Tabel1[[#This Row],[In - R1]:[In - R5]]),"")</f>
        <v>2.8</v>
      </c>
      <c r="CF524">
        <v>1</v>
      </c>
      <c r="CG524">
        <v>1</v>
      </c>
      <c r="CH524">
        <v>4</v>
      </c>
      <c r="CI524">
        <f>IFERROR(AVERAGE(Tabel1[[#This Row],[In - C1a]:[In - C1c]]),"")</f>
        <v>2</v>
      </c>
      <c r="CJ524">
        <v>2</v>
      </c>
      <c r="CK524">
        <v>1</v>
      </c>
      <c r="CL524">
        <v>3</v>
      </c>
      <c r="CM524">
        <f>IFERROR(AVERAGE(Tabel1[[#This Row],[In - C1]:[In - C4]]),"")</f>
        <v>2</v>
      </c>
      <c r="CN524">
        <v>1</v>
      </c>
      <c r="CO524">
        <v>3</v>
      </c>
      <c r="CP524">
        <v>1</v>
      </c>
      <c r="CQ524">
        <f>IFERROR(AVERAGE(Tabel1[[#This Row],[In - F1a]:[In - F1c]]),"")</f>
        <v>1.6666666666666667</v>
      </c>
      <c r="CR524" t="s">
        <v>189</v>
      </c>
      <c r="CS524">
        <v>1</v>
      </c>
      <c r="CT524">
        <f>IFERROR(AVERAGE(Tabel1[[#This Row],[In - F2a]:[In - F2b]]),"")</f>
        <v>1</v>
      </c>
      <c r="CU524">
        <v>2</v>
      </c>
      <c r="CV524">
        <f>IFERROR(AVERAGE(Tabel1[[#This Row],[In - F3a]:[In - F3a]]),"")</f>
        <v>2</v>
      </c>
      <c r="CW524">
        <v>2</v>
      </c>
      <c r="CX524">
        <f>IFERROR(AVERAGE(Tabel1[[#This Row],[In - F1]],Tabel1[[#This Row],[In - F2]],Tabel1[[#This Row],[In - F3]],Tabel1[[#This Row],[In - F4]]),"")</f>
        <v>1.6666666666666667</v>
      </c>
      <c r="CY524">
        <v>2</v>
      </c>
      <c r="CZ524">
        <v>1</v>
      </c>
      <c r="DA524">
        <v>3</v>
      </c>
      <c r="DB524">
        <f>IFERROR(AVERAGE(Tabel1[[#This Row],[In - V1a]:[In - V1c]]),"")</f>
        <v>2</v>
      </c>
      <c r="DC524">
        <v>4</v>
      </c>
      <c r="DD524">
        <v>2</v>
      </c>
      <c r="DE524">
        <v>1</v>
      </c>
      <c r="DF524">
        <f>IFERROR(AVERAGE(Tabel1[[#This Row],[In - V2a]:[In - V2c]]),"")</f>
        <v>2.3333333333333335</v>
      </c>
      <c r="DG524">
        <v>2</v>
      </c>
      <c r="DH524">
        <v>4</v>
      </c>
      <c r="DI524">
        <f>IFERROR(AVERAGE(Tabel1[[#This Row],[In - V3a]:[In - V3b]]),"")</f>
        <v>3</v>
      </c>
      <c r="DJ524">
        <v>5</v>
      </c>
      <c r="DK524">
        <f>IFERROR(AVERAGE(Tabel1[[#This Row],[In - V1]],Tabel1[[#This Row],[In - V2]],Tabel1[[#This Row],[In - V3]],Tabel1[[#This Row],[In - V4]]),"")</f>
        <v>3.0833333333333335</v>
      </c>
      <c r="DL524">
        <v>3</v>
      </c>
      <c r="DM524">
        <v>2</v>
      </c>
      <c r="DN524">
        <f>IFERROR(AVERAGE(Tabel1[[#This Row],[In - A1a]:[In - A1b]]),"")</f>
        <v>2.5</v>
      </c>
      <c r="DO524">
        <v>2</v>
      </c>
      <c r="DP524">
        <v>1</v>
      </c>
      <c r="DQ524">
        <f>IFERROR(AVERAGE(Tabel1[[#This Row],[In - A2a]:[In - A2b]]),"")</f>
        <v>1.5</v>
      </c>
      <c r="DR524">
        <v>4</v>
      </c>
      <c r="DS524">
        <v>2</v>
      </c>
      <c r="DT524">
        <f>IFERROR(AVERAGE(Tabel1[[#This Row],[In - A3a]:[In - A3a]]),"")</f>
        <v>4</v>
      </c>
      <c r="DU524">
        <v>2</v>
      </c>
      <c r="DV524">
        <f>IFERROR(AVERAGE(Tabel1[[#This Row],[In - A1]],Tabel1[[#This Row],[In - A2]],Tabel1[[#This Row],[In - A3]],Tabel1[[#This Row],[In - A4]]),"")</f>
        <v>2.5</v>
      </c>
      <c r="DW524">
        <v>4</v>
      </c>
      <c r="DX524">
        <v>1</v>
      </c>
      <c r="DY524">
        <v>4</v>
      </c>
      <c r="DZ524">
        <f>IFERROR(AVERAGE(Tabel1[[#This Row],[Do - R1a]:[Do - R1c]]),"")</f>
        <v>3</v>
      </c>
      <c r="EA524">
        <v>4</v>
      </c>
      <c r="EB524">
        <v>1</v>
      </c>
      <c r="EC524">
        <v>3</v>
      </c>
      <c r="ED524">
        <v>3</v>
      </c>
      <c r="EE524">
        <f>IFERROR(AVERAGE(Tabel1[[#This Row],[Do - R1]:[Do - R5]]),"")</f>
        <v>2.8</v>
      </c>
      <c r="EF524">
        <v>4</v>
      </c>
      <c r="EG524">
        <v>3</v>
      </c>
      <c r="EH524">
        <v>2</v>
      </c>
      <c r="EI524">
        <f>IFERROR(AVERAGE(Tabel1[[#This Row],[Do - C1a]:[Do - C1c]]),"")</f>
        <v>3</v>
      </c>
      <c r="EJ524">
        <v>1</v>
      </c>
      <c r="EK524">
        <v>3</v>
      </c>
      <c r="EL524">
        <v>3</v>
      </c>
      <c r="EM524">
        <f>IFERROR(AVERAGE(Tabel1[[#This Row],[Do - C1]:[Do - C4]]),"")</f>
        <v>2.5</v>
      </c>
      <c r="EN524">
        <v>1</v>
      </c>
      <c r="EO524">
        <v>2</v>
      </c>
      <c r="EP524">
        <v>1</v>
      </c>
      <c r="EQ524">
        <f>IFERROR(AVERAGE(Tabel1[[#This Row],[Do - F1a]:[Do - F1c]]),"")</f>
        <v>1.3333333333333333</v>
      </c>
      <c r="ER524">
        <v>3</v>
      </c>
      <c r="ES524">
        <f>IFERROR(AVERAGE(Tabel1[[#This Row],[Do - F2a]:[Do - F2a]]),"")</f>
        <v>3</v>
      </c>
      <c r="ET524">
        <v>2</v>
      </c>
      <c r="EU524">
        <v>2</v>
      </c>
      <c r="EV524">
        <f>IFERROR(AVERAGE(Tabel1[[#This Row],[Do - F3a]:[Do - F3b]]),"")</f>
        <v>2</v>
      </c>
      <c r="EW524">
        <v>2</v>
      </c>
      <c r="EX524">
        <f>IFERROR(AVERAGE(Tabel1[[#This Row],[Do - F1]],Tabel1[[#This Row],[Do - F2]],Tabel1[[#This Row],[Do - F3]],Tabel1[[#This Row],[Do - F4]]),"")</f>
        <v>2.083333333333333</v>
      </c>
      <c r="EY524">
        <v>2</v>
      </c>
      <c r="EZ524">
        <v>2</v>
      </c>
      <c r="FA524">
        <v>3</v>
      </c>
      <c r="FB524">
        <f>IFERROR(AVERAGE(Tabel1[[#This Row],[Do - V1a]:[Do - V1c]]),"")</f>
        <v>2.3333333333333335</v>
      </c>
      <c r="FC524">
        <v>4</v>
      </c>
      <c r="FD524">
        <v>2</v>
      </c>
      <c r="FE524">
        <f>IFERROR(AVERAGE(Tabel1[[#This Row],[Do - V2a]:[Do - V2b]]),"")</f>
        <v>3</v>
      </c>
      <c r="FF524">
        <v>2</v>
      </c>
      <c r="FG524">
        <f>IFERROR(AVERAGE(Tabel1[[#This Row],[Do - V3a]:[Do - V3a]]),"")</f>
        <v>2</v>
      </c>
      <c r="FH524">
        <v>5</v>
      </c>
      <c r="FI524">
        <f>IFERROR(AVERAGE(Tabel1[[#This Row],[Do - V1]],Tabel1[[#This Row],[Do - V2]],Tabel1[[#This Row],[Do - V3]],Tabel1[[#This Row],[Do - V4]]),"")</f>
        <v>3.0833333333333335</v>
      </c>
      <c r="FJ524">
        <v>3</v>
      </c>
      <c r="FK524">
        <v>4</v>
      </c>
      <c r="FL524">
        <v>4</v>
      </c>
      <c r="FM524">
        <f>IFERROR(AVERAGE(Tabel1[[#This Row],[Do - A1a]:[Do - A1c]]),"")</f>
        <v>3.6666666666666665</v>
      </c>
      <c r="FN524">
        <v>4</v>
      </c>
      <c r="FO524">
        <v>1</v>
      </c>
      <c r="FP524">
        <f>IFERROR(AVERAGE(Tabel1[[#This Row],[Do - A2a]:[Do - A2b]]),"")</f>
        <v>2.5</v>
      </c>
      <c r="FQ524">
        <v>4</v>
      </c>
      <c r="FR524">
        <f>IFERROR(AVERAGE(Tabel1[[#This Row],[Do - A3a]:[Do - A3a]]),"")</f>
        <v>4</v>
      </c>
      <c r="FS524">
        <v>2</v>
      </c>
      <c r="FT524">
        <f>IFERROR(AVERAGE(Tabel1[[#This Row],[Do - A1]],Tabel1[[#This Row],[Do - A2]],Tabel1[[#This Row],[Do - A3]],Tabel1[[#This Row],[Do - A4]]),"")</f>
        <v>3.0416666666666665</v>
      </c>
      <c r="FU52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2.545555555555556</v>
      </c>
      <c r="FV524" s="31" t="s">
        <v>2535</v>
      </c>
      <c r="FW524" t="b">
        <v>1</v>
      </c>
    </row>
    <row r="525" spans="1:179" x14ac:dyDescent="0.3">
      <c r="A525" s="13">
        <v>45874.550543981502</v>
      </c>
      <c r="B525" t="b">
        <v>0</v>
      </c>
      <c r="C525" t="s">
        <v>2536</v>
      </c>
      <c r="D525" t="s">
        <v>2537</v>
      </c>
      <c r="E525" s="29" t="s">
        <v>2508</v>
      </c>
      <c r="F525" s="14" t="s">
        <v>184</v>
      </c>
      <c r="G525" t="s">
        <v>2538</v>
      </c>
      <c r="H525" t="s">
        <v>222</v>
      </c>
      <c r="I525" t="s">
        <v>195</v>
      </c>
      <c r="J525" t="s">
        <v>347</v>
      </c>
      <c r="K525" t="s">
        <v>201</v>
      </c>
      <c r="L525" t="s">
        <v>197</v>
      </c>
      <c r="M525" t="s">
        <v>198</v>
      </c>
      <c r="N525" t="s">
        <v>199</v>
      </c>
      <c r="O525" t="s">
        <v>200</v>
      </c>
      <c r="P525" t="s">
        <v>255</v>
      </c>
      <c r="Q525" t="s">
        <v>201</v>
      </c>
      <c r="R525" t="s">
        <v>201</v>
      </c>
      <c r="S525" t="s">
        <v>201</v>
      </c>
      <c r="T525" t="s">
        <v>236</v>
      </c>
      <c r="U525" t="s">
        <v>237</v>
      </c>
      <c r="V525" t="s">
        <v>224</v>
      </c>
      <c r="W525" t="s">
        <v>395</v>
      </c>
      <c r="X525" t="s">
        <v>395</v>
      </c>
      <c r="Y525">
        <v>4</v>
      </c>
      <c r="Z525">
        <v>3</v>
      </c>
      <c r="AA525">
        <v>4</v>
      </c>
      <c r="AB525">
        <f>IFERROR(AVERAGE(Tabel1[[#This Row],[Up - R1a]:[Up - R1c]]),"")</f>
        <v>3.6666666666666665</v>
      </c>
      <c r="AC525">
        <v>3</v>
      </c>
      <c r="AD525">
        <v>1</v>
      </c>
      <c r="AE525">
        <v>2</v>
      </c>
      <c r="AF525">
        <v>4</v>
      </c>
      <c r="AG525">
        <f>IFERROR(AVERAGE(Tabel1[[#This Row],[Up - R1]:[Up - R5]]),"")</f>
        <v>2.7333333333333334</v>
      </c>
      <c r="AH525">
        <v>4</v>
      </c>
      <c r="AI525">
        <v>4</v>
      </c>
      <c r="AJ525">
        <v>3</v>
      </c>
      <c r="AK525">
        <f>IFERROR(AVERAGE(Tabel1[[#This Row],[Up - C1a]:[Up - C1c]]),"")</f>
        <v>3.6666666666666665</v>
      </c>
      <c r="AL525">
        <v>2</v>
      </c>
      <c r="AM525">
        <v>2</v>
      </c>
      <c r="AN525">
        <v>2</v>
      </c>
      <c r="AO525">
        <f>IFERROR(AVERAGE(Tabel1[[#This Row],[Up - C1]:[Up - C4]]),"")</f>
        <v>2.4166666666666665</v>
      </c>
      <c r="AP525" t="s">
        <v>189</v>
      </c>
      <c r="AQ525" t="str">
        <f>IFERROR(AVERAGE(Tabel1[[#This Row],[Up - F1a]:[Up - F1a]]),"")</f>
        <v/>
      </c>
      <c r="AR525">
        <v>3</v>
      </c>
      <c r="AS525">
        <v>2</v>
      </c>
      <c r="AT525">
        <f>IFERROR(AVERAGE(Tabel1[[#This Row],[Up - F2a]:[Up - F2b]]),"")</f>
        <v>2.5</v>
      </c>
      <c r="AU525">
        <v>3</v>
      </c>
      <c r="AV525">
        <v>2</v>
      </c>
      <c r="AW525">
        <f>IFERROR(AVERAGE(Tabel1[[#This Row],[Up - F3a]:[Up - F3b]]),"")</f>
        <v>2.5</v>
      </c>
      <c r="AX525" t="s">
        <v>189</v>
      </c>
      <c r="AY525">
        <f>IFERROR(AVERAGE(Tabel1[[#This Row],[Up - F1]],Tabel1[[#This Row],[Up - F2]],Tabel1[[#This Row],[Up - F3]],Tabel1[[#This Row],[Up - F4]]),"")</f>
        <v>2.5</v>
      </c>
      <c r="AZ525">
        <v>4</v>
      </c>
      <c r="BA525">
        <v>3</v>
      </c>
      <c r="BB525">
        <f>IFERROR(AVERAGE(Tabel1[[#This Row],[Up - V1a]:[Up - V1b]]),"")</f>
        <v>3.5</v>
      </c>
      <c r="BC525">
        <v>4</v>
      </c>
      <c r="BD525" t="s">
        <v>189</v>
      </c>
      <c r="BE525">
        <v>3</v>
      </c>
      <c r="BF525">
        <f>IFERROR(AVERAGE(Tabel1[[#This Row],[Up - V2a]:[Up - V2c]]),"")</f>
        <v>3.5</v>
      </c>
      <c r="BG525">
        <v>4</v>
      </c>
      <c r="BH525">
        <v>4</v>
      </c>
      <c r="BI525">
        <f>IFERROR(AVERAGE(Tabel1[[#This Row],[Up - V3a]:[Up - V3b]]),"")</f>
        <v>4</v>
      </c>
      <c r="BJ525">
        <v>3</v>
      </c>
      <c r="BK525">
        <f>IFERROR(AVERAGE(Tabel1[[#This Row],[Up - V1]],Tabel1[[#This Row],[Up - V2]],Tabel1[[#This Row],[Up - V3]],Tabel1[[#This Row],[Up - V4]]),"")</f>
        <v>3.5</v>
      </c>
      <c r="BL525">
        <v>4</v>
      </c>
      <c r="BM525">
        <v>3</v>
      </c>
      <c r="BN525">
        <v>2</v>
      </c>
      <c r="BO525" t="s">
        <v>189</v>
      </c>
      <c r="BP525">
        <f>IFERROR(AVERAGE(Tabel1[[#This Row],[Up - A1a]:[Up - A1d]]),"")</f>
        <v>3</v>
      </c>
      <c r="BQ525">
        <v>4</v>
      </c>
      <c r="BR525">
        <v>2</v>
      </c>
      <c r="BS525">
        <f>IFERROR(AVERAGE(Tabel1[[#This Row],[Up - A2a]:[Up - A2b]]),"")</f>
        <v>3</v>
      </c>
      <c r="BT525">
        <v>4</v>
      </c>
      <c r="BU525">
        <f>IFERROR(AVERAGE(Tabel1[[#This Row],[Up - A3a]:[Up - A3a]]),"")</f>
        <v>4</v>
      </c>
      <c r="BV525">
        <v>2</v>
      </c>
      <c r="BW525">
        <f>IFERROR(AVERAGE(Tabel1[[#This Row],[Up - A1]],Tabel1[[#This Row],[Up - A2]],Tabel1[[#This Row],[Up - A3]]),"")</f>
        <v>3.3333333333333335</v>
      </c>
      <c r="BZ525" t="str">
        <f>IFERROR(AVERAGE(Tabel1[[#This Row],[In - R1a]:[In - R1b]]),"")</f>
        <v/>
      </c>
      <c r="CE525" t="str">
        <f>IFERROR(AVERAGE(Tabel1[[#This Row],[In - R1]:[In - R5]]),"")</f>
        <v/>
      </c>
      <c r="CI525" t="str">
        <f>IFERROR(AVERAGE(Tabel1[[#This Row],[In - C1a]:[In - C1c]]),"")</f>
        <v/>
      </c>
      <c r="CM525" t="str">
        <f>IFERROR(AVERAGE(Tabel1[[#This Row],[In - C1]:[In - C4]]),"")</f>
        <v/>
      </c>
      <c r="CQ525" t="str">
        <f>IFERROR(AVERAGE(Tabel1[[#This Row],[In - F1a]:[In - F1c]]),"")</f>
        <v/>
      </c>
      <c r="CT525" t="str">
        <f>IFERROR(AVERAGE(Tabel1[[#This Row],[In - F2a]:[In - F2b]]),"")</f>
        <v/>
      </c>
      <c r="CV525" t="str">
        <f>IFERROR(AVERAGE(Tabel1[[#This Row],[In - F3a]:[In - F3a]]),"")</f>
        <v/>
      </c>
      <c r="CX525" t="str">
        <f>IFERROR(AVERAGE(Tabel1[[#This Row],[In - F1]],Tabel1[[#This Row],[In - F2]],Tabel1[[#This Row],[In - F3]],Tabel1[[#This Row],[In - F4]]),"")</f>
        <v/>
      </c>
      <c r="DB525" t="str">
        <f>IFERROR(AVERAGE(Tabel1[[#This Row],[In - V1a]:[In - V1c]]),"")</f>
        <v/>
      </c>
      <c r="DF525" t="str">
        <f>IFERROR(AVERAGE(Tabel1[[#This Row],[In - V2a]:[In - V2c]]),"")</f>
        <v/>
      </c>
      <c r="DI525" t="str">
        <f>IFERROR(AVERAGE(Tabel1[[#This Row],[In - V3a]:[In - V3b]]),"")</f>
        <v/>
      </c>
      <c r="DK525" t="str">
        <f>IFERROR(AVERAGE(Tabel1[[#This Row],[In - V1]],Tabel1[[#This Row],[In - V2]],Tabel1[[#This Row],[In - V3]],Tabel1[[#This Row],[In - V4]]),"")</f>
        <v/>
      </c>
      <c r="DN525" t="str">
        <f>IFERROR(AVERAGE(Tabel1[[#This Row],[In - A1a]:[In - A1b]]),"")</f>
        <v/>
      </c>
      <c r="DQ525" t="str">
        <f>IFERROR(AVERAGE(Tabel1[[#This Row],[In - A2a]:[In - A2b]]),"")</f>
        <v/>
      </c>
      <c r="DT525" t="str">
        <f>IFERROR(AVERAGE(Tabel1[[#This Row],[In - A3a]:[In - A3a]]),"")</f>
        <v/>
      </c>
      <c r="DV525" t="str">
        <f>IFERROR(AVERAGE(Tabel1[[#This Row],[In - A1]],Tabel1[[#This Row],[In - A2]],Tabel1[[#This Row],[In - A3]],Tabel1[[#This Row],[In - A4]]),"")</f>
        <v/>
      </c>
      <c r="DZ525" t="str">
        <f>IFERROR(AVERAGE(Tabel1[[#This Row],[Do - R1a]:[Do - R1c]]),"")</f>
        <v/>
      </c>
      <c r="EE525" t="str">
        <f>IFERROR(AVERAGE(Tabel1[[#This Row],[Do - R1]:[Do - R5]]),"")</f>
        <v/>
      </c>
      <c r="EI525" t="str">
        <f>IFERROR(AVERAGE(Tabel1[[#This Row],[Do - C1a]:[Do - C1c]]),"")</f>
        <v/>
      </c>
      <c r="EM525" t="str">
        <f>IFERROR(AVERAGE(Tabel1[[#This Row],[Do - C1]:[Do - C4]]),"")</f>
        <v/>
      </c>
      <c r="EQ525" t="str">
        <f>IFERROR(AVERAGE(Tabel1[[#This Row],[Do - F1a]:[Do - F1c]]),"")</f>
        <v/>
      </c>
      <c r="ES525" t="str">
        <f>IFERROR(AVERAGE(Tabel1[[#This Row],[Do - F2a]:[Do - F2a]]),"")</f>
        <v/>
      </c>
      <c r="EV525" t="str">
        <f>IFERROR(AVERAGE(Tabel1[[#This Row],[Do - F3a]:[Do - F3b]]),"")</f>
        <v/>
      </c>
      <c r="EX525" t="str">
        <f>IFERROR(AVERAGE(Tabel1[[#This Row],[Do - F1]],Tabel1[[#This Row],[Do - F2]],Tabel1[[#This Row],[Do - F3]],Tabel1[[#This Row],[Do - F4]]),"")</f>
        <v/>
      </c>
      <c r="FB525" t="str">
        <f>IFERROR(AVERAGE(Tabel1[[#This Row],[Do - V1a]:[Do - V1c]]),"")</f>
        <v/>
      </c>
      <c r="FE525" t="str">
        <f>IFERROR(AVERAGE(Tabel1[[#This Row],[Do - V2a]:[Do - V2b]]),"")</f>
        <v/>
      </c>
      <c r="FG525" t="str">
        <f>IFERROR(AVERAGE(Tabel1[[#This Row],[Do - V3a]:[Do - V3a]]),"")</f>
        <v/>
      </c>
      <c r="FI525" t="str">
        <f>IFERROR(AVERAGE(Tabel1[[#This Row],[Do - V1]],Tabel1[[#This Row],[Do - V2]],Tabel1[[#This Row],[Do - V3]],Tabel1[[#This Row],[Do - V4]]),"")</f>
        <v/>
      </c>
      <c r="FM525" t="str">
        <f>IFERROR(AVERAGE(Tabel1[[#This Row],[Do - A1a]:[Do - A1c]]),"")</f>
        <v/>
      </c>
      <c r="FP525" t="str">
        <f>IFERROR(AVERAGE(Tabel1[[#This Row],[Do - A2a]:[Do - A2b]]),"")</f>
        <v/>
      </c>
      <c r="FR525" t="str">
        <f>IFERROR(AVERAGE(Tabel1[[#This Row],[Do - A3a]:[Do - A3a]]),"")</f>
        <v/>
      </c>
      <c r="FT525" t="str">
        <f>IFERROR(AVERAGE(Tabel1[[#This Row],[Do - A1]],Tabel1[[#This Row],[Do - A2]],Tabel1[[#This Row],[Do - A3]],Tabel1[[#This Row],[Do - A4]]),"")</f>
        <v/>
      </c>
      <c r="FU52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2.8966666666666669</v>
      </c>
      <c r="FV525" s="31" t="s">
        <v>2539</v>
      </c>
      <c r="FW525" t="b">
        <v>1</v>
      </c>
    </row>
    <row r="526" spans="1:179" x14ac:dyDescent="0.3">
      <c r="A526" s="13">
        <v>45876.470659722203</v>
      </c>
      <c r="B526" t="b">
        <v>0</v>
      </c>
      <c r="C526" t="s">
        <v>2540</v>
      </c>
      <c r="D526" t="s">
        <v>2541</v>
      </c>
      <c r="E526" s="29" t="s">
        <v>2508</v>
      </c>
      <c r="F526" s="14" t="s">
        <v>184</v>
      </c>
      <c r="G526" t="s">
        <v>2542</v>
      </c>
      <c r="H526" t="s">
        <v>222</v>
      </c>
      <c r="I526" t="s">
        <v>195</v>
      </c>
      <c r="J526" t="s">
        <v>273</v>
      </c>
      <c r="K526" t="s">
        <v>201</v>
      </c>
      <c r="L526" t="s">
        <v>218</v>
      </c>
      <c r="M526" t="s">
        <v>233</v>
      </c>
      <c r="N526" t="s">
        <v>199</v>
      </c>
      <c r="O526" t="s">
        <v>200</v>
      </c>
      <c r="P526" t="s">
        <v>304</v>
      </c>
      <c r="Q526" t="s">
        <v>203</v>
      </c>
      <c r="R526" t="s">
        <v>202</v>
      </c>
      <c r="S526" t="s">
        <v>304</v>
      </c>
      <c r="T526" t="s">
        <v>236</v>
      </c>
      <c r="U526" t="s">
        <v>285</v>
      </c>
      <c r="V526" t="s">
        <v>359</v>
      </c>
      <c r="W526" t="s">
        <v>395</v>
      </c>
      <c r="X526" t="s">
        <v>395</v>
      </c>
      <c r="Y526">
        <v>3</v>
      </c>
      <c r="Z526">
        <v>2</v>
      </c>
      <c r="AA526">
        <v>3</v>
      </c>
      <c r="AB526">
        <f>IFERROR(AVERAGE(Tabel1[[#This Row],[Up - R1a]:[Up - R1c]]),"")</f>
        <v>2.6666666666666665</v>
      </c>
      <c r="AC526">
        <v>4</v>
      </c>
      <c r="AD526">
        <v>1</v>
      </c>
      <c r="AE526">
        <v>2</v>
      </c>
      <c r="AF526">
        <v>3</v>
      </c>
      <c r="AG526">
        <f>IFERROR(AVERAGE(Tabel1[[#This Row],[Up - R1]:[Up - R5]]),"")</f>
        <v>2.5333333333333332</v>
      </c>
      <c r="AH526">
        <v>4</v>
      </c>
      <c r="AI526">
        <v>4</v>
      </c>
      <c r="AJ526">
        <v>3</v>
      </c>
      <c r="AK526">
        <f>IFERROR(AVERAGE(Tabel1[[#This Row],[Up - C1a]:[Up - C1c]]),"")</f>
        <v>3.6666666666666665</v>
      </c>
      <c r="AL526">
        <v>2</v>
      </c>
      <c r="AM526">
        <v>4</v>
      </c>
      <c r="AN526" t="s">
        <v>189</v>
      </c>
      <c r="AO526">
        <f>IFERROR(AVERAGE(Tabel1[[#This Row],[Up - C1]:[Up - C4]]),"")</f>
        <v>3.2222222222222219</v>
      </c>
      <c r="AP526">
        <v>2</v>
      </c>
      <c r="AQ526">
        <f>IFERROR(AVERAGE(Tabel1[[#This Row],[Up - F1a]:[Up - F1a]]),"")</f>
        <v>2</v>
      </c>
      <c r="AR526">
        <v>1</v>
      </c>
      <c r="AS526">
        <v>2</v>
      </c>
      <c r="AT526">
        <f>IFERROR(AVERAGE(Tabel1[[#This Row],[Up - F2a]:[Up - F2b]]),"")</f>
        <v>1.5</v>
      </c>
      <c r="AU526">
        <v>2</v>
      </c>
      <c r="AV526">
        <v>4</v>
      </c>
      <c r="AW526">
        <f>IFERROR(AVERAGE(Tabel1[[#This Row],[Up - F3a]:[Up - F3b]]),"")</f>
        <v>3</v>
      </c>
      <c r="AX526">
        <v>2</v>
      </c>
      <c r="AY526">
        <f>IFERROR(AVERAGE(Tabel1[[#This Row],[Up - F1]],Tabel1[[#This Row],[Up - F2]],Tabel1[[#This Row],[Up - F3]],Tabel1[[#This Row],[Up - F4]]),"")</f>
        <v>2.125</v>
      </c>
      <c r="AZ526" t="s">
        <v>189</v>
      </c>
      <c r="BA526">
        <v>3</v>
      </c>
      <c r="BB526">
        <f>IFERROR(AVERAGE(Tabel1[[#This Row],[Up - V1a]:[Up - V1b]]),"")</f>
        <v>3</v>
      </c>
      <c r="BC526">
        <v>5</v>
      </c>
      <c r="BD526">
        <v>2</v>
      </c>
      <c r="BE526">
        <v>4</v>
      </c>
      <c r="BF526">
        <f>IFERROR(AVERAGE(Tabel1[[#This Row],[Up - V2a]:[Up - V2c]]),"")</f>
        <v>3.6666666666666665</v>
      </c>
      <c r="BG526">
        <v>4</v>
      </c>
      <c r="BH526">
        <v>4</v>
      </c>
      <c r="BI526">
        <f>IFERROR(AVERAGE(Tabel1[[#This Row],[Up - V3a]:[Up - V3b]]),"")</f>
        <v>4</v>
      </c>
      <c r="BJ526">
        <v>3</v>
      </c>
      <c r="BK526">
        <f>IFERROR(AVERAGE(Tabel1[[#This Row],[Up - V1]],Tabel1[[#This Row],[Up - V2]],Tabel1[[#This Row],[Up - V3]],Tabel1[[#This Row],[Up - V4]]),"")</f>
        <v>3.4166666666666665</v>
      </c>
      <c r="BL526">
        <v>4</v>
      </c>
      <c r="BM526">
        <v>5</v>
      </c>
      <c r="BN526">
        <v>2</v>
      </c>
      <c r="BO526">
        <v>2</v>
      </c>
      <c r="BP526">
        <f>IFERROR(AVERAGE(Tabel1[[#This Row],[Up - A1a]:[Up - A1d]]),"")</f>
        <v>3.25</v>
      </c>
      <c r="BQ526">
        <v>2</v>
      </c>
      <c r="BR526">
        <v>3</v>
      </c>
      <c r="BS526">
        <f>IFERROR(AVERAGE(Tabel1[[#This Row],[Up - A2a]:[Up - A2b]]),"")</f>
        <v>2.5</v>
      </c>
      <c r="BT526">
        <v>4</v>
      </c>
      <c r="BU526">
        <f>IFERROR(AVERAGE(Tabel1[[#This Row],[Up - A3a]:[Up - A3a]]),"")</f>
        <v>4</v>
      </c>
      <c r="BV526">
        <v>5</v>
      </c>
      <c r="BW526">
        <f>IFERROR(AVERAGE(Tabel1[[#This Row],[Up - A1]],Tabel1[[#This Row],[Up - A2]],Tabel1[[#This Row],[Up - A3]]),"")</f>
        <v>3.25</v>
      </c>
      <c r="BZ526" t="str">
        <f>IFERROR(AVERAGE(Tabel1[[#This Row],[In - R1a]:[In - R1b]]),"")</f>
        <v/>
      </c>
      <c r="CE526" t="str">
        <f>IFERROR(AVERAGE(Tabel1[[#This Row],[In - R1]:[In - R5]]),"")</f>
        <v/>
      </c>
      <c r="CI526" t="str">
        <f>IFERROR(AVERAGE(Tabel1[[#This Row],[In - C1a]:[In - C1c]]),"")</f>
        <v/>
      </c>
      <c r="CM526" t="str">
        <f>IFERROR(AVERAGE(Tabel1[[#This Row],[In - C1]:[In - C4]]),"")</f>
        <v/>
      </c>
      <c r="CQ526" t="str">
        <f>IFERROR(AVERAGE(Tabel1[[#This Row],[In - F1a]:[In - F1c]]),"")</f>
        <v/>
      </c>
      <c r="CT526" t="str">
        <f>IFERROR(AVERAGE(Tabel1[[#This Row],[In - F2a]:[In - F2b]]),"")</f>
        <v/>
      </c>
      <c r="CV526" t="str">
        <f>IFERROR(AVERAGE(Tabel1[[#This Row],[In - F3a]:[In - F3a]]),"")</f>
        <v/>
      </c>
      <c r="CX526" t="str">
        <f>IFERROR(AVERAGE(Tabel1[[#This Row],[In - F1]],Tabel1[[#This Row],[In - F2]],Tabel1[[#This Row],[In - F3]],Tabel1[[#This Row],[In - F4]]),"")</f>
        <v/>
      </c>
      <c r="DB526" t="str">
        <f>IFERROR(AVERAGE(Tabel1[[#This Row],[In - V1a]:[In - V1c]]),"")</f>
        <v/>
      </c>
      <c r="DF526" t="str">
        <f>IFERROR(AVERAGE(Tabel1[[#This Row],[In - V2a]:[In - V2c]]),"")</f>
        <v/>
      </c>
      <c r="DI526" t="str">
        <f>IFERROR(AVERAGE(Tabel1[[#This Row],[In - V3a]:[In - V3b]]),"")</f>
        <v/>
      </c>
      <c r="DK526" t="str">
        <f>IFERROR(AVERAGE(Tabel1[[#This Row],[In - V1]],Tabel1[[#This Row],[In - V2]],Tabel1[[#This Row],[In - V3]],Tabel1[[#This Row],[In - V4]]),"")</f>
        <v/>
      </c>
      <c r="DN526" t="str">
        <f>IFERROR(AVERAGE(Tabel1[[#This Row],[In - A1a]:[In - A1b]]),"")</f>
        <v/>
      </c>
      <c r="DQ526" t="str">
        <f>IFERROR(AVERAGE(Tabel1[[#This Row],[In - A2a]:[In - A2b]]),"")</f>
        <v/>
      </c>
      <c r="DT526" t="str">
        <f>IFERROR(AVERAGE(Tabel1[[#This Row],[In - A3a]:[In - A3a]]),"")</f>
        <v/>
      </c>
      <c r="DV526" t="str">
        <f>IFERROR(AVERAGE(Tabel1[[#This Row],[In - A1]],Tabel1[[#This Row],[In - A2]],Tabel1[[#This Row],[In - A3]],Tabel1[[#This Row],[In - A4]]),"")</f>
        <v/>
      </c>
      <c r="DZ526" t="str">
        <f>IFERROR(AVERAGE(Tabel1[[#This Row],[Do - R1a]:[Do - R1c]]),"")</f>
        <v/>
      </c>
      <c r="EE526" t="str">
        <f>IFERROR(AVERAGE(Tabel1[[#This Row],[Do - R1]:[Do - R5]]),"")</f>
        <v/>
      </c>
      <c r="EI526" t="str">
        <f>IFERROR(AVERAGE(Tabel1[[#This Row],[Do - C1a]:[Do - C1c]]),"")</f>
        <v/>
      </c>
      <c r="EM526" t="str">
        <f>IFERROR(AVERAGE(Tabel1[[#This Row],[Do - C1]:[Do - C4]]),"")</f>
        <v/>
      </c>
      <c r="EQ526" t="str">
        <f>IFERROR(AVERAGE(Tabel1[[#This Row],[Do - F1a]:[Do - F1c]]),"")</f>
        <v/>
      </c>
      <c r="ES526" t="str">
        <f>IFERROR(AVERAGE(Tabel1[[#This Row],[Do - F2a]:[Do - F2a]]),"")</f>
        <v/>
      </c>
      <c r="EV526" t="str">
        <f>IFERROR(AVERAGE(Tabel1[[#This Row],[Do - F3a]:[Do - F3b]]),"")</f>
        <v/>
      </c>
      <c r="EX526" t="str">
        <f>IFERROR(AVERAGE(Tabel1[[#This Row],[Do - F1]],Tabel1[[#This Row],[Do - F2]],Tabel1[[#This Row],[Do - F3]],Tabel1[[#This Row],[Do - F4]]),"")</f>
        <v/>
      </c>
      <c r="FB526" t="str">
        <f>IFERROR(AVERAGE(Tabel1[[#This Row],[Do - V1a]:[Do - V1c]]),"")</f>
        <v/>
      </c>
      <c r="FE526" t="str">
        <f>IFERROR(AVERAGE(Tabel1[[#This Row],[Do - V2a]:[Do - V2b]]),"")</f>
        <v/>
      </c>
      <c r="FG526" t="str">
        <f>IFERROR(AVERAGE(Tabel1[[#This Row],[Do - V3a]:[Do - V3a]]),"")</f>
        <v/>
      </c>
      <c r="FI526" t="str">
        <f>IFERROR(AVERAGE(Tabel1[[#This Row],[Do - V1]],Tabel1[[#This Row],[Do - V2]],Tabel1[[#This Row],[Do - V3]],Tabel1[[#This Row],[Do - V4]]),"")</f>
        <v/>
      </c>
      <c r="FM526" t="str">
        <f>IFERROR(AVERAGE(Tabel1[[#This Row],[Do - A1a]:[Do - A1c]]),"")</f>
        <v/>
      </c>
      <c r="FP526" t="str">
        <f>IFERROR(AVERAGE(Tabel1[[#This Row],[Do - A2a]:[Do - A2b]]),"")</f>
        <v/>
      </c>
      <c r="FR526" t="str">
        <f>IFERROR(AVERAGE(Tabel1[[#This Row],[Do - A3a]:[Do - A3a]]),"")</f>
        <v/>
      </c>
      <c r="FT526" t="str">
        <f>IFERROR(AVERAGE(Tabel1[[#This Row],[Do - A1]],Tabel1[[#This Row],[Do - A2]],Tabel1[[#This Row],[Do - A3]],Tabel1[[#This Row],[Do - A4]]),"")</f>
        <v/>
      </c>
      <c r="FU52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2.9094444444444441</v>
      </c>
      <c r="FV526" s="31" t="s">
        <v>2543</v>
      </c>
      <c r="FW526" t="b">
        <v>1</v>
      </c>
    </row>
    <row r="527" spans="1:179" x14ac:dyDescent="0.3">
      <c r="A527" s="13">
        <v>45877.624467592599</v>
      </c>
      <c r="B527" t="b">
        <v>0</v>
      </c>
      <c r="C527" t="s">
        <v>2544</v>
      </c>
      <c r="D527" t="s">
        <v>2545</v>
      </c>
      <c r="E527" s="29" t="s">
        <v>2508</v>
      </c>
      <c r="F527" s="14" t="s">
        <v>184</v>
      </c>
      <c r="G527" t="s">
        <v>2546</v>
      </c>
      <c r="H527" t="s">
        <v>222</v>
      </c>
      <c r="Y527">
        <v>2</v>
      </c>
      <c r="Z527">
        <v>4</v>
      </c>
      <c r="AA527">
        <v>2</v>
      </c>
      <c r="AB527">
        <f>IFERROR(AVERAGE(Tabel1[[#This Row],[Up - R1a]:[Up - R1c]]),"")</f>
        <v>2.6666666666666665</v>
      </c>
      <c r="AC527">
        <v>4</v>
      </c>
      <c r="AD527">
        <v>4</v>
      </c>
      <c r="AE527">
        <v>2</v>
      </c>
      <c r="AF527">
        <v>2</v>
      </c>
      <c r="AG527">
        <f>IFERROR(AVERAGE(Tabel1[[#This Row],[Up - R1]:[Up - R5]]),"")</f>
        <v>2.9333333333333331</v>
      </c>
      <c r="AH527">
        <v>3</v>
      </c>
      <c r="AI527">
        <v>3</v>
      </c>
      <c r="AJ527">
        <v>3</v>
      </c>
      <c r="AK527">
        <f>IFERROR(AVERAGE(Tabel1[[#This Row],[Up - C1a]:[Up - C1c]]),"")</f>
        <v>3</v>
      </c>
      <c r="AL527">
        <v>2</v>
      </c>
      <c r="AM527">
        <v>3</v>
      </c>
      <c r="AN527">
        <v>2</v>
      </c>
      <c r="AO527">
        <f>IFERROR(AVERAGE(Tabel1[[#This Row],[Up - C1]:[Up - C4]]),"")</f>
        <v>2.5</v>
      </c>
      <c r="AP527">
        <v>3</v>
      </c>
      <c r="AQ527">
        <f>IFERROR(AVERAGE(Tabel1[[#This Row],[Up - F1a]:[Up - F1a]]),"")</f>
        <v>3</v>
      </c>
      <c r="AR527">
        <v>3</v>
      </c>
      <c r="AS527">
        <v>2</v>
      </c>
      <c r="AT527">
        <f>IFERROR(AVERAGE(Tabel1[[#This Row],[Up - F2a]:[Up - F2b]]),"")</f>
        <v>2.5</v>
      </c>
      <c r="AU527">
        <v>2</v>
      </c>
      <c r="AV527">
        <v>2</v>
      </c>
      <c r="AW527">
        <f>IFERROR(AVERAGE(Tabel1[[#This Row],[Up - F3a]:[Up - F3b]]),"")</f>
        <v>2</v>
      </c>
      <c r="AX527">
        <v>2</v>
      </c>
      <c r="AY527">
        <f>IFERROR(AVERAGE(Tabel1[[#This Row],[Up - F1]],Tabel1[[#This Row],[Up - F2]],Tabel1[[#This Row],[Up - F3]],Tabel1[[#This Row],[Up - F4]]),"")</f>
        <v>2.375</v>
      </c>
      <c r="AZ527">
        <v>2</v>
      </c>
      <c r="BA527">
        <v>3</v>
      </c>
      <c r="BB527">
        <f>IFERROR(AVERAGE(Tabel1[[#This Row],[Up - V1a]:[Up - V1b]]),"")</f>
        <v>2.5</v>
      </c>
      <c r="BC527">
        <v>4</v>
      </c>
      <c r="BD527">
        <v>4</v>
      </c>
      <c r="BE527">
        <v>4</v>
      </c>
      <c r="BF527">
        <f>IFERROR(AVERAGE(Tabel1[[#This Row],[Up - V2a]:[Up - V2c]]),"")</f>
        <v>4</v>
      </c>
      <c r="BG527">
        <v>4</v>
      </c>
      <c r="BH527">
        <v>4</v>
      </c>
      <c r="BI527">
        <f>IFERROR(AVERAGE(Tabel1[[#This Row],[Up - V3a]:[Up - V3b]]),"")</f>
        <v>4</v>
      </c>
      <c r="BJ527">
        <v>3</v>
      </c>
      <c r="BK527">
        <f>IFERROR(AVERAGE(Tabel1[[#This Row],[Up - V1]],Tabel1[[#This Row],[Up - V2]],Tabel1[[#This Row],[Up - V3]],Tabel1[[#This Row],[Up - V4]]),"")</f>
        <v>3.375</v>
      </c>
      <c r="BL527">
        <v>3</v>
      </c>
      <c r="BM527">
        <v>3</v>
      </c>
      <c r="BN527">
        <v>2</v>
      </c>
      <c r="BO527">
        <v>2</v>
      </c>
      <c r="BP527">
        <f>IFERROR(AVERAGE(Tabel1[[#This Row],[Up - A1a]:[Up - A1d]]),"")</f>
        <v>2.5</v>
      </c>
      <c r="BQ527" t="s">
        <v>189</v>
      </c>
      <c r="BS527" t="str">
        <f>IFERROR(AVERAGE(Tabel1[[#This Row],[Up - A2a]:[Up - A2b]]),"")</f>
        <v/>
      </c>
      <c r="BT527">
        <v>4</v>
      </c>
      <c r="BU527">
        <f>IFERROR(AVERAGE(Tabel1[[#This Row],[Up - A3a]:[Up - A3a]]),"")</f>
        <v>4</v>
      </c>
      <c r="BV527">
        <v>3</v>
      </c>
      <c r="BW527">
        <f>IFERROR(AVERAGE(Tabel1[[#This Row],[Up - A1]],Tabel1[[#This Row],[Up - A2]],Tabel1[[#This Row],[Up - A3]]),"")</f>
        <v>3.25</v>
      </c>
      <c r="BZ527" t="str">
        <f>IFERROR(AVERAGE(Tabel1[[#This Row],[In - R1a]:[In - R1b]]),"")</f>
        <v/>
      </c>
      <c r="CE527" t="str">
        <f>IFERROR(AVERAGE(Tabel1[[#This Row],[In - R1]:[In - R5]]),"")</f>
        <v/>
      </c>
      <c r="CI527" t="str">
        <f>IFERROR(AVERAGE(Tabel1[[#This Row],[In - C1a]:[In - C1c]]),"")</f>
        <v/>
      </c>
      <c r="CM527" t="str">
        <f>IFERROR(AVERAGE(Tabel1[[#This Row],[In - C1]:[In - C4]]),"")</f>
        <v/>
      </c>
      <c r="CQ527" t="str">
        <f>IFERROR(AVERAGE(Tabel1[[#This Row],[In - F1a]:[In - F1c]]),"")</f>
        <v/>
      </c>
      <c r="CT527" t="str">
        <f>IFERROR(AVERAGE(Tabel1[[#This Row],[In - F2a]:[In - F2b]]),"")</f>
        <v/>
      </c>
      <c r="CV527" t="str">
        <f>IFERROR(AVERAGE(Tabel1[[#This Row],[In - F3a]:[In - F3a]]),"")</f>
        <v/>
      </c>
      <c r="CX527" t="str">
        <f>IFERROR(AVERAGE(Tabel1[[#This Row],[In - F1]],Tabel1[[#This Row],[In - F2]],Tabel1[[#This Row],[In - F3]],Tabel1[[#This Row],[In - F4]]),"")</f>
        <v/>
      </c>
      <c r="DB527" t="str">
        <f>IFERROR(AVERAGE(Tabel1[[#This Row],[In - V1a]:[In - V1c]]),"")</f>
        <v/>
      </c>
      <c r="DF527" t="str">
        <f>IFERROR(AVERAGE(Tabel1[[#This Row],[In - V2a]:[In - V2c]]),"")</f>
        <v/>
      </c>
      <c r="DI527" t="str">
        <f>IFERROR(AVERAGE(Tabel1[[#This Row],[In - V3a]:[In - V3b]]),"")</f>
        <v/>
      </c>
      <c r="DK527" t="str">
        <f>IFERROR(AVERAGE(Tabel1[[#This Row],[In - V1]],Tabel1[[#This Row],[In - V2]],Tabel1[[#This Row],[In - V3]],Tabel1[[#This Row],[In - V4]]),"")</f>
        <v/>
      </c>
      <c r="DN527" t="str">
        <f>IFERROR(AVERAGE(Tabel1[[#This Row],[In - A1a]:[In - A1b]]),"")</f>
        <v/>
      </c>
      <c r="DQ527" t="str">
        <f>IFERROR(AVERAGE(Tabel1[[#This Row],[In - A2a]:[In - A2b]]),"")</f>
        <v/>
      </c>
      <c r="DT527" t="str">
        <f>IFERROR(AVERAGE(Tabel1[[#This Row],[In - A3a]:[In - A3a]]),"")</f>
        <v/>
      </c>
      <c r="DV527" t="str">
        <f>IFERROR(AVERAGE(Tabel1[[#This Row],[In - A1]],Tabel1[[#This Row],[In - A2]],Tabel1[[#This Row],[In - A3]],Tabel1[[#This Row],[In - A4]]),"")</f>
        <v/>
      </c>
      <c r="DZ527" t="str">
        <f>IFERROR(AVERAGE(Tabel1[[#This Row],[Do - R1a]:[Do - R1c]]),"")</f>
        <v/>
      </c>
      <c r="EE527" t="str">
        <f>IFERROR(AVERAGE(Tabel1[[#This Row],[Do - R1]:[Do - R5]]),"")</f>
        <v/>
      </c>
      <c r="EI527" t="str">
        <f>IFERROR(AVERAGE(Tabel1[[#This Row],[Do - C1a]:[Do - C1c]]),"")</f>
        <v/>
      </c>
      <c r="EM527" t="str">
        <f>IFERROR(AVERAGE(Tabel1[[#This Row],[Do - C1]:[Do - C4]]),"")</f>
        <v/>
      </c>
      <c r="EQ527" t="str">
        <f>IFERROR(AVERAGE(Tabel1[[#This Row],[Do - F1a]:[Do - F1c]]),"")</f>
        <v/>
      </c>
      <c r="ES527" t="str">
        <f>IFERROR(AVERAGE(Tabel1[[#This Row],[Do - F2a]:[Do - F2a]]),"")</f>
        <v/>
      </c>
      <c r="EV527" t="str">
        <f>IFERROR(AVERAGE(Tabel1[[#This Row],[Do - F3a]:[Do - F3b]]),"")</f>
        <v/>
      </c>
      <c r="EX527" t="str">
        <f>IFERROR(AVERAGE(Tabel1[[#This Row],[Do - F1]],Tabel1[[#This Row],[Do - F2]],Tabel1[[#This Row],[Do - F3]],Tabel1[[#This Row],[Do - F4]]),"")</f>
        <v/>
      </c>
      <c r="FB527" t="str">
        <f>IFERROR(AVERAGE(Tabel1[[#This Row],[Do - V1a]:[Do - V1c]]),"")</f>
        <v/>
      </c>
      <c r="FE527" t="str">
        <f>IFERROR(AVERAGE(Tabel1[[#This Row],[Do - V2a]:[Do - V2b]]),"")</f>
        <v/>
      </c>
      <c r="FG527" t="str">
        <f>IFERROR(AVERAGE(Tabel1[[#This Row],[Do - V3a]:[Do - V3a]]),"")</f>
        <v/>
      </c>
      <c r="FI527" t="str">
        <f>IFERROR(AVERAGE(Tabel1[[#This Row],[Do - V1]],Tabel1[[#This Row],[Do - V2]],Tabel1[[#This Row],[Do - V3]],Tabel1[[#This Row],[Do - V4]]),"")</f>
        <v/>
      </c>
      <c r="FM527" t="str">
        <f>IFERROR(AVERAGE(Tabel1[[#This Row],[Do - A1a]:[Do - A1c]]),"")</f>
        <v/>
      </c>
      <c r="FP527" t="str">
        <f>IFERROR(AVERAGE(Tabel1[[#This Row],[Do - A2a]:[Do - A2b]]),"")</f>
        <v/>
      </c>
      <c r="FR527" t="str">
        <f>IFERROR(AVERAGE(Tabel1[[#This Row],[Do - A3a]:[Do - A3a]]),"")</f>
        <v/>
      </c>
      <c r="FT527" t="str">
        <f>IFERROR(AVERAGE(Tabel1[[#This Row],[Do - A1]],Tabel1[[#This Row],[Do - A2]],Tabel1[[#This Row],[Do - A3]],Tabel1[[#This Row],[Do - A4]]),"")</f>
        <v/>
      </c>
      <c r="FU52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2.8866666666666667</v>
      </c>
      <c r="FV527" s="31" t="s">
        <v>2547</v>
      </c>
      <c r="FW527" t="b">
        <v>1</v>
      </c>
    </row>
    <row r="528" spans="1:179" x14ac:dyDescent="0.3">
      <c r="A528" s="13">
        <v>45880.4921875</v>
      </c>
      <c r="B528" t="b">
        <v>0</v>
      </c>
      <c r="C528" t="s">
        <v>2548</v>
      </c>
      <c r="D528" t="s">
        <v>2549</v>
      </c>
      <c r="E528" s="29" t="s">
        <v>2508</v>
      </c>
      <c r="F528" s="14" t="s">
        <v>184</v>
      </c>
      <c r="G528" t="s">
        <v>2550</v>
      </c>
      <c r="H528" t="s">
        <v>222</v>
      </c>
      <c r="I528" t="s">
        <v>195</v>
      </c>
      <c r="J528" t="s">
        <v>347</v>
      </c>
      <c r="K528" t="s">
        <v>201</v>
      </c>
      <c r="L528" t="s">
        <v>197</v>
      </c>
      <c r="M528" t="s">
        <v>233</v>
      </c>
      <c r="N528" t="s">
        <v>199</v>
      </c>
      <c r="O528" t="s">
        <v>200</v>
      </c>
      <c r="P528" t="s">
        <v>255</v>
      </c>
      <c r="T528" t="s">
        <v>204</v>
      </c>
      <c r="U528" t="s">
        <v>285</v>
      </c>
      <c r="V528" t="s">
        <v>224</v>
      </c>
      <c r="W528" t="s">
        <v>207</v>
      </c>
      <c r="X528" t="s">
        <v>395</v>
      </c>
      <c r="Y528">
        <v>2</v>
      </c>
      <c r="Z528">
        <v>2</v>
      </c>
      <c r="AA528" t="s">
        <v>189</v>
      </c>
      <c r="AB528">
        <f>IFERROR(AVERAGE(Tabel1[[#This Row],[Up - R1a]:[Up - R1c]]),"")</f>
        <v>2</v>
      </c>
      <c r="AC528" t="s">
        <v>189</v>
      </c>
      <c r="AD528">
        <v>4</v>
      </c>
      <c r="AE528" t="s">
        <v>189</v>
      </c>
      <c r="AF528" t="s">
        <v>189</v>
      </c>
      <c r="AG528">
        <f>IFERROR(AVERAGE(Tabel1[[#This Row],[Up - R1]:[Up - R5]]),"")</f>
        <v>3</v>
      </c>
      <c r="AH528">
        <v>4</v>
      </c>
      <c r="AI528">
        <v>4</v>
      </c>
      <c r="AJ528">
        <v>3</v>
      </c>
      <c r="AK528">
        <f>IFERROR(AVERAGE(Tabel1[[#This Row],[Up - C1a]:[Up - C1c]]),"")</f>
        <v>3.6666666666666665</v>
      </c>
      <c r="AL528">
        <v>2</v>
      </c>
      <c r="AM528" t="s">
        <v>189</v>
      </c>
      <c r="AN528" t="s">
        <v>189</v>
      </c>
      <c r="AO528">
        <f>IFERROR(AVERAGE(Tabel1[[#This Row],[Up - C1]:[Up - C4]]),"")</f>
        <v>2.833333333333333</v>
      </c>
      <c r="AP528" t="s">
        <v>189</v>
      </c>
      <c r="AQ528" t="str">
        <f>IFERROR(AVERAGE(Tabel1[[#This Row],[Up - F1a]:[Up - F1a]]),"")</f>
        <v/>
      </c>
      <c r="AR528">
        <v>3</v>
      </c>
      <c r="AS528">
        <v>4</v>
      </c>
      <c r="AT528">
        <f>IFERROR(AVERAGE(Tabel1[[#This Row],[Up - F2a]:[Up - F2b]]),"")</f>
        <v>3.5</v>
      </c>
      <c r="AU528">
        <v>2</v>
      </c>
      <c r="AV528">
        <v>1</v>
      </c>
      <c r="AW528">
        <f>IFERROR(AVERAGE(Tabel1[[#This Row],[Up - F3a]:[Up - F3b]]),"")</f>
        <v>1.5</v>
      </c>
      <c r="AX528" t="s">
        <v>189</v>
      </c>
      <c r="AY528">
        <f>IFERROR(AVERAGE(Tabel1[[#This Row],[Up - F1]],Tabel1[[#This Row],[Up - F2]],Tabel1[[#This Row],[Up - F3]],Tabel1[[#This Row],[Up - F4]]),"")</f>
        <v>2.5</v>
      </c>
      <c r="AZ528" t="s">
        <v>189</v>
      </c>
      <c r="BA528">
        <v>3</v>
      </c>
      <c r="BB528">
        <f>IFERROR(AVERAGE(Tabel1[[#This Row],[Up - V1a]:[Up - V1b]]),"")</f>
        <v>3</v>
      </c>
      <c r="BC528">
        <v>4</v>
      </c>
      <c r="BD528" t="s">
        <v>189</v>
      </c>
      <c r="BE528" t="s">
        <v>189</v>
      </c>
      <c r="BF528">
        <f>IFERROR(AVERAGE(Tabel1[[#This Row],[Up - V2a]:[Up - V2c]]),"")</f>
        <v>4</v>
      </c>
      <c r="BG528" t="s">
        <v>189</v>
      </c>
      <c r="BH528">
        <v>5</v>
      </c>
      <c r="BI528">
        <f>IFERROR(AVERAGE(Tabel1[[#This Row],[Up - V3a]:[Up - V3b]]),"")</f>
        <v>5</v>
      </c>
      <c r="BJ528">
        <v>5</v>
      </c>
      <c r="BK528">
        <f>IFERROR(AVERAGE(Tabel1[[#This Row],[Up - V1]],Tabel1[[#This Row],[Up - V2]],Tabel1[[#This Row],[Up - V3]],Tabel1[[#This Row],[Up - V4]]),"")</f>
        <v>4.25</v>
      </c>
      <c r="BL528">
        <v>3</v>
      </c>
      <c r="BM528">
        <v>5</v>
      </c>
      <c r="BN528">
        <v>4</v>
      </c>
      <c r="BO528" t="s">
        <v>189</v>
      </c>
      <c r="BP528">
        <f>IFERROR(AVERAGE(Tabel1[[#This Row],[Up - A1a]:[Up - A1d]]),"")</f>
        <v>4</v>
      </c>
      <c r="BQ528" t="s">
        <v>189</v>
      </c>
      <c r="BR528" t="s">
        <v>189</v>
      </c>
      <c r="BS528" t="str">
        <f>IFERROR(AVERAGE(Tabel1[[#This Row],[Up - A2a]:[Up - A2b]]),"")</f>
        <v/>
      </c>
      <c r="BT528">
        <v>5</v>
      </c>
      <c r="BU528">
        <f>IFERROR(AVERAGE(Tabel1[[#This Row],[Up - A3a]:[Up - A3a]]),"")</f>
        <v>5</v>
      </c>
      <c r="BV528" t="s">
        <v>189</v>
      </c>
      <c r="BW528">
        <f>IFERROR(AVERAGE(Tabel1[[#This Row],[Up - A1]],Tabel1[[#This Row],[Up - A2]],Tabel1[[#This Row],[Up - A3]]),"")</f>
        <v>4.5</v>
      </c>
      <c r="BZ528" t="str">
        <f>IFERROR(AVERAGE(Tabel1[[#This Row],[In - R1a]:[In - R1b]]),"")</f>
        <v/>
      </c>
      <c r="CE528" t="str">
        <f>IFERROR(AVERAGE(Tabel1[[#This Row],[In - R1]:[In - R5]]),"")</f>
        <v/>
      </c>
      <c r="CI528" t="str">
        <f>IFERROR(AVERAGE(Tabel1[[#This Row],[In - C1a]:[In - C1c]]),"")</f>
        <v/>
      </c>
      <c r="CM528" t="str">
        <f>IFERROR(AVERAGE(Tabel1[[#This Row],[In - C1]:[In - C4]]),"")</f>
        <v/>
      </c>
      <c r="CQ528" t="str">
        <f>IFERROR(AVERAGE(Tabel1[[#This Row],[In - F1a]:[In - F1c]]),"")</f>
        <v/>
      </c>
      <c r="CT528" t="str">
        <f>IFERROR(AVERAGE(Tabel1[[#This Row],[In - F2a]:[In - F2b]]),"")</f>
        <v/>
      </c>
      <c r="CV528" t="str">
        <f>IFERROR(AVERAGE(Tabel1[[#This Row],[In - F3a]:[In - F3a]]),"")</f>
        <v/>
      </c>
      <c r="CX528" t="str">
        <f>IFERROR(AVERAGE(Tabel1[[#This Row],[In - F1]],Tabel1[[#This Row],[In - F2]],Tabel1[[#This Row],[In - F3]],Tabel1[[#This Row],[In - F4]]),"")</f>
        <v/>
      </c>
      <c r="DB528" t="str">
        <f>IFERROR(AVERAGE(Tabel1[[#This Row],[In - V1a]:[In - V1c]]),"")</f>
        <v/>
      </c>
      <c r="DF528" t="str">
        <f>IFERROR(AVERAGE(Tabel1[[#This Row],[In - V2a]:[In - V2c]]),"")</f>
        <v/>
      </c>
      <c r="DI528" t="str">
        <f>IFERROR(AVERAGE(Tabel1[[#This Row],[In - V3a]:[In - V3b]]),"")</f>
        <v/>
      </c>
      <c r="DK528" t="str">
        <f>IFERROR(AVERAGE(Tabel1[[#This Row],[In - V1]],Tabel1[[#This Row],[In - V2]],Tabel1[[#This Row],[In - V3]],Tabel1[[#This Row],[In - V4]]),"")</f>
        <v/>
      </c>
      <c r="DN528" t="str">
        <f>IFERROR(AVERAGE(Tabel1[[#This Row],[In - A1a]:[In - A1b]]),"")</f>
        <v/>
      </c>
      <c r="DQ528" t="str">
        <f>IFERROR(AVERAGE(Tabel1[[#This Row],[In - A2a]:[In - A2b]]),"")</f>
        <v/>
      </c>
      <c r="DT528" t="str">
        <f>IFERROR(AVERAGE(Tabel1[[#This Row],[In - A3a]:[In - A3a]]),"")</f>
        <v/>
      </c>
      <c r="DV528" t="str">
        <f>IFERROR(AVERAGE(Tabel1[[#This Row],[In - A1]],Tabel1[[#This Row],[In - A2]],Tabel1[[#This Row],[In - A3]],Tabel1[[#This Row],[In - A4]]),"")</f>
        <v/>
      </c>
      <c r="DZ528" t="str">
        <f>IFERROR(AVERAGE(Tabel1[[#This Row],[Do - R1a]:[Do - R1c]]),"")</f>
        <v/>
      </c>
      <c r="EE528" t="str">
        <f>IFERROR(AVERAGE(Tabel1[[#This Row],[Do - R1]:[Do - R5]]),"")</f>
        <v/>
      </c>
      <c r="EI528" t="str">
        <f>IFERROR(AVERAGE(Tabel1[[#This Row],[Do - C1a]:[Do - C1c]]),"")</f>
        <v/>
      </c>
      <c r="EM528" t="str">
        <f>IFERROR(AVERAGE(Tabel1[[#This Row],[Do - C1]:[Do - C4]]),"")</f>
        <v/>
      </c>
      <c r="EQ528" t="str">
        <f>IFERROR(AVERAGE(Tabel1[[#This Row],[Do - F1a]:[Do - F1c]]),"")</f>
        <v/>
      </c>
      <c r="ES528" t="str">
        <f>IFERROR(AVERAGE(Tabel1[[#This Row],[Do - F2a]:[Do - F2a]]),"")</f>
        <v/>
      </c>
      <c r="EV528" t="str">
        <f>IFERROR(AVERAGE(Tabel1[[#This Row],[Do - F3a]:[Do - F3b]]),"")</f>
        <v/>
      </c>
      <c r="EX528" t="str">
        <f>IFERROR(AVERAGE(Tabel1[[#This Row],[Do - F1]],Tabel1[[#This Row],[Do - F2]],Tabel1[[#This Row],[Do - F3]],Tabel1[[#This Row],[Do - F4]]),"")</f>
        <v/>
      </c>
      <c r="FB528" t="str">
        <f>IFERROR(AVERAGE(Tabel1[[#This Row],[Do - V1a]:[Do - V1c]]),"")</f>
        <v/>
      </c>
      <c r="FE528" t="str">
        <f>IFERROR(AVERAGE(Tabel1[[#This Row],[Do - V2a]:[Do - V2b]]),"")</f>
        <v/>
      </c>
      <c r="FG528" t="str">
        <f>IFERROR(AVERAGE(Tabel1[[#This Row],[Do - V3a]:[Do - V3a]]),"")</f>
        <v/>
      </c>
      <c r="FI528" t="str">
        <f>IFERROR(AVERAGE(Tabel1[[#This Row],[Do - V1]],Tabel1[[#This Row],[Do - V2]],Tabel1[[#This Row],[Do - V3]],Tabel1[[#This Row],[Do - V4]]),"")</f>
        <v/>
      </c>
      <c r="FM528" t="str">
        <f>IFERROR(AVERAGE(Tabel1[[#This Row],[Do - A1a]:[Do - A1c]]),"")</f>
        <v/>
      </c>
      <c r="FP528" t="str">
        <f>IFERROR(AVERAGE(Tabel1[[#This Row],[Do - A2a]:[Do - A2b]]),"")</f>
        <v/>
      </c>
      <c r="FR528" t="str">
        <f>IFERROR(AVERAGE(Tabel1[[#This Row],[Do - A3a]:[Do - A3a]]),"")</f>
        <v/>
      </c>
      <c r="FT528" t="str">
        <f>IFERROR(AVERAGE(Tabel1[[#This Row],[Do - A1]],Tabel1[[#This Row],[Do - A2]],Tabel1[[#This Row],[Do - A3]],Tabel1[[#This Row],[Do - A4]]),"")</f>
        <v/>
      </c>
      <c r="FU52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3.4166666666666665</v>
      </c>
      <c r="FV528" s="31" t="s">
        <v>2551</v>
      </c>
      <c r="FW528" t="b">
        <v>1</v>
      </c>
    </row>
    <row r="529" spans="1:179" x14ac:dyDescent="0.3">
      <c r="A529" s="13">
        <v>45880.540891203702</v>
      </c>
      <c r="B529" t="b">
        <v>0</v>
      </c>
      <c r="C529" t="s">
        <v>2552</v>
      </c>
      <c r="D529" t="s">
        <v>2553</v>
      </c>
      <c r="E529" s="29" t="s">
        <v>2508</v>
      </c>
      <c r="F529" s="14" t="s">
        <v>184</v>
      </c>
      <c r="G529" t="s">
        <v>2554</v>
      </c>
      <c r="H529" t="s">
        <v>222</v>
      </c>
      <c r="I529" t="s">
        <v>195</v>
      </c>
      <c r="J529" t="s">
        <v>533</v>
      </c>
      <c r="K529" t="s">
        <v>201</v>
      </c>
      <c r="L529" t="s">
        <v>249</v>
      </c>
      <c r="M529" t="s">
        <v>198</v>
      </c>
      <c r="N529" t="s">
        <v>316</v>
      </c>
      <c r="O529" t="s">
        <v>200</v>
      </c>
      <c r="P529" t="s">
        <v>255</v>
      </c>
      <c r="Q529" t="s">
        <v>202</v>
      </c>
      <c r="R529" t="s">
        <v>201</v>
      </c>
      <c r="S529" t="s">
        <v>235</v>
      </c>
      <c r="T529" t="s">
        <v>204</v>
      </c>
      <c r="U529" t="s">
        <v>285</v>
      </c>
      <c r="V529" t="s">
        <v>224</v>
      </c>
      <c r="W529" t="s">
        <v>395</v>
      </c>
      <c r="X529" t="s">
        <v>395</v>
      </c>
      <c r="Y529">
        <v>1</v>
      </c>
      <c r="Z529">
        <v>2</v>
      </c>
      <c r="AA529">
        <v>3</v>
      </c>
      <c r="AB529">
        <f>IFERROR(AVERAGE(Tabel1[[#This Row],[Up - R1a]:[Up - R1c]]),"")</f>
        <v>2</v>
      </c>
      <c r="AC529">
        <v>3</v>
      </c>
      <c r="AD529">
        <v>1</v>
      </c>
      <c r="AE529">
        <v>1</v>
      </c>
      <c r="AF529">
        <v>3</v>
      </c>
      <c r="AG529">
        <f>IFERROR(AVERAGE(Tabel1[[#This Row],[Up - R1]:[Up - R5]]),"")</f>
        <v>2</v>
      </c>
      <c r="AH529">
        <v>4</v>
      </c>
      <c r="AI529">
        <v>3</v>
      </c>
      <c r="AJ529">
        <v>2</v>
      </c>
      <c r="AK529">
        <f>IFERROR(AVERAGE(Tabel1[[#This Row],[Up - C1a]:[Up - C1c]]),"")</f>
        <v>3</v>
      </c>
      <c r="AL529">
        <v>4</v>
      </c>
      <c r="AM529">
        <v>2</v>
      </c>
      <c r="AN529">
        <v>1</v>
      </c>
      <c r="AO529">
        <f>IFERROR(AVERAGE(Tabel1[[#This Row],[Up - C1]:[Up - C4]]),"")</f>
        <v>2.5</v>
      </c>
      <c r="AP529">
        <v>2</v>
      </c>
      <c r="AQ529">
        <f>IFERROR(AVERAGE(Tabel1[[#This Row],[Up - F1a]:[Up - F1a]]),"")</f>
        <v>2</v>
      </c>
      <c r="AR529">
        <v>2</v>
      </c>
      <c r="AS529">
        <v>4</v>
      </c>
      <c r="AT529">
        <f>IFERROR(AVERAGE(Tabel1[[#This Row],[Up - F2a]:[Up - F2b]]),"")</f>
        <v>3</v>
      </c>
      <c r="AV529">
        <v>1</v>
      </c>
      <c r="AW529">
        <f>IFERROR(AVERAGE(Tabel1[[#This Row],[Up - F3a]:[Up - F3b]]),"")</f>
        <v>1</v>
      </c>
      <c r="AX529">
        <v>2</v>
      </c>
      <c r="AY529">
        <f>IFERROR(AVERAGE(Tabel1[[#This Row],[Up - F1]],Tabel1[[#This Row],[Up - F2]],Tabel1[[#This Row],[Up - F3]],Tabel1[[#This Row],[Up - F4]]),"")</f>
        <v>2</v>
      </c>
      <c r="AZ529">
        <v>3</v>
      </c>
      <c r="BA529">
        <v>4</v>
      </c>
      <c r="BB529">
        <f>IFERROR(AVERAGE(Tabel1[[#This Row],[Up - V1a]:[Up - V1b]]),"")</f>
        <v>3.5</v>
      </c>
      <c r="BC529">
        <v>5</v>
      </c>
      <c r="BE529">
        <v>4</v>
      </c>
      <c r="BF529">
        <f>IFERROR(AVERAGE(Tabel1[[#This Row],[Up - V2a]:[Up - V2c]]),"")</f>
        <v>4.5</v>
      </c>
      <c r="BG529">
        <v>2</v>
      </c>
      <c r="BH529">
        <v>2</v>
      </c>
      <c r="BI529">
        <f>IFERROR(AVERAGE(Tabel1[[#This Row],[Up - V3a]:[Up - V3b]]),"")</f>
        <v>2</v>
      </c>
      <c r="BJ529">
        <v>3</v>
      </c>
      <c r="BK529">
        <f>IFERROR(AVERAGE(Tabel1[[#This Row],[Up - V1]],Tabel1[[#This Row],[Up - V2]],Tabel1[[#This Row],[Up - V3]],Tabel1[[#This Row],[Up - V4]]),"")</f>
        <v>3.25</v>
      </c>
      <c r="BL529">
        <v>4</v>
      </c>
      <c r="BM529">
        <v>4</v>
      </c>
      <c r="BN529">
        <v>1</v>
      </c>
      <c r="BO529">
        <v>2</v>
      </c>
      <c r="BP529">
        <f>IFERROR(AVERAGE(Tabel1[[#This Row],[Up - A1a]:[Up - A1d]]),"")</f>
        <v>2.75</v>
      </c>
      <c r="BQ529">
        <v>3</v>
      </c>
      <c r="BR529">
        <v>3</v>
      </c>
      <c r="BS529">
        <f>IFERROR(AVERAGE(Tabel1[[#This Row],[Up - A2a]:[Up - A2b]]),"")</f>
        <v>3</v>
      </c>
      <c r="BT529">
        <v>4</v>
      </c>
      <c r="BU529">
        <f>IFERROR(AVERAGE(Tabel1[[#This Row],[Up - A3a]:[Up - A3a]]),"")</f>
        <v>4</v>
      </c>
      <c r="BV529">
        <v>3</v>
      </c>
      <c r="BW529">
        <f>IFERROR(AVERAGE(Tabel1[[#This Row],[Up - A1]],Tabel1[[#This Row],[Up - A2]],Tabel1[[#This Row],[Up - A3]]),"")</f>
        <v>3.25</v>
      </c>
      <c r="BZ529" t="str">
        <f>IFERROR(AVERAGE(Tabel1[[#This Row],[In - R1a]:[In - R1b]]),"")</f>
        <v/>
      </c>
      <c r="CE529" t="str">
        <f>IFERROR(AVERAGE(Tabel1[[#This Row],[In - R1]:[In - R5]]),"")</f>
        <v/>
      </c>
      <c r="CI529" t="str">
        <f>IFERROR(AVERAGE(Tabel1[[#This Row],[In - C1a]:[In - C1c]]),"")</f>
        <v/>
      </c>
      <c r="CM529" t="str">
        <f>IFERROR(AVERAGE(Tabel1[[#This Row],[In - C1]:[In - C4]]),"")</f>
        <v/>
      </c>
      <c r="CQ529" t="str">
        <f>IFERROR(AVERAGE(Tabel1[[#This Row],[In - F1a]:[In - F1c]]),"")</f>
        <v/>
      </c>
      <c r="CT529" t="str">
        <f>IFERROR(AVERAGE(Tabel1[[#This Row],[In - F2a]:[In - F2b]]),"")</f>
        <v/>
      </c>
      <c r="CV529" t="str">
        <f>IFERROR(AVERAGE(Tabel1[[#This Row],[In - F3a]:[In - F3a]]),"")</f>
        <v/>
      </c>
      <c r="CX529" t="str">
        <f>IFERROR(AVERAGE(Tabel1[[#This Row],[In - F1]],Tabel1[[#This Row],[In - F2]],Tabel1[[#This Row],[In - F3]],Tabel1[[#This Row],[In - F4]]),"")</f>
        <v/>
      </c>
      <c r="DB529" t="str">
        <f>IFERROR(AVERAGE(Tabel1[[#This Row],[In - V1a]:[In - V1c]]),"")</f>
        <v/>
      </c>
      <c r="DF529" t="str">
        <f>IFERROR(AVERAGE(Tabel1[[#This Row],[In - V2a]:[In - V2c]]),"")</f>
        <v/>
      </c>
      <c r="DI529" t="str">
        <f>IFERROR(AVERAGE(Tabel1[[#This Row],[In - V3a]:[In - V3b]]),"")</f>
        <v/>
      </c>
      <c r="DK529" t="str">
        <f>IFERROR(AVERAGE(Tabel1[[#This Row],[In - V1]],Tabel1[[#This Row],[In - V2]],Tabel1[[#This Row],[In - V3]],Tabel1[[#This Row],[In - V4]]),"")</f>
        <v/>
      </c>
      <c r="DN529" t="str">
        <f>IFERROR(AVERAGE(Tabel1[[#This Row],[In - A1a]:[In - A1b]]),"")</f>
        <v/>
      </c>
      <c r="DQ529" t="str">
        <f>IFERROR(AVERAGE(Tabel1[[#This Row],[In - A2a]:[In - A2b]]),"")</f>
        <v/>
      </c>
      <c r="DT529" t="str">
        <f>IFERROR(AVERAGE(Tabel1[[#This Row],[In - A3a]:[In - A3a]]),"")</f>
        <v/>
      </c>
      <c r="DV529" t="str">
        <f>IFERROR(AVERAGE(Tabel1[[#This Row],[In - A1]],Tabel1[[#This Row],[In - A2]],Tabel1[[#This Row],[In - A3]],Tabel1[[#This Row],[In - A4]]),"")</f>
        <v/>
      </c>
      <c r="DZ529" t="str">
        <f>IFERROR(AVERAGE(Tabel1[[#This Row],[Do - R1a]:[Do - R1c]]),"")</f>
        <v/>
      </c>
      <c r="EE529" t="str">
        <f>IFERROR(AVERAGE(Tabel1[[#This Row],[Do - R1]:[Do - R5]]),"")</f>
        <v/>
      </c>
      <c r="EI529" t="str">
        <f>IFERROR(AVERAGE(Tabel1[[#This Row],[Do - C1a]:[Do - C1c]]),"")</f>
        <v/>
      </c>
      <c r="EM529" t="str">
        <f>IFERROR(AVERAGE(Tabel1[[#This Row],[Do - C1]:[Do - C4]]),"")</f>
        <v/>
      </c>
      <c r="EQ529" t="str">
        <f>IFERROR(AVERAGE(Tabel1[[#This Row],[Do - F1a]:[Do - F1c]]),"")</f>
        <v/>
      </c>
      <c r="ES529" t="str">
        <f>IFERROR(AVERAGE(Tabel1[[#This Row],[Do - F2a]:[Do - F2a]]),"")</f>
        <v/>
      </c>
      <c r="EV529" t="str">
        <f>IFERROR(AVERAGE(Tabel1[[#This Row],[Do - F3a]:[Do - F3b]]),"")</f>
        <v/>
      </c>
      <c r="EX529" t="str">
        <f>IFERROR(AVERAGE(Tabel1[[#This Row],[Do - F1]],Tabel1[[#This Row],[Do - F2]],Tabel1[[#This Row],[Do - F3]],Tabel1[[#This Row],[Do - F4]]),"")</f>
        <v/>
      </c>
      <c r="FB529" t="str">
        <f>IFERROR(AVERAGE(Tabel1[[#This Row],[Do - V1a]:[Do - V1c]]),"")</f>
        <v/>
      </c>
      <c r="FE529" t="str">
        <f>IFERROR(AVERAGE(Tabel1[[#This Row],[Do - V2a]:[Do - V2b]]),"")</f>
        <v/>
      </c>
      <c r="FG529" t="str">
        <f>IFERROR(AVERAGE(Tabel1[[#This Row],[Do - V3a]:[Do - V3a]]),"")</f>
        <v/>
      </c>
      <c r="FI529" t="str">
        <f>IFERROR(AVERAGE(Tabel1[[#This Row],[Do - V1]],Tabel1[[#This Row],[Do - V2]],Tabel1[[#This Row],[Do - V3]],Tabel1[[#This Row],[Do - V4]]),"")</f>
        <v/>
      </c>
      <c r="FM529" t="str">
        <f>IFERROR(AVERAGE(Tabel1[[#This Row],[Do - A1a]:[Do - A1c]]),"")</f>
        <v/>
      </c>
      <c r="FP529" t="str">
        <f>IFERROR(AVERAGE(Tabel1[[#This Row],[Do - A2a]:[Do - A2b]]),"")</f>
        <v/>
      </c>
      <c r="FR529" t="str">
        <f>IFERROR(AVERAGE(Tabel1[[#This Row],[Do - A3a]:[Do - A3a]]),"")</f>
        <v/>
      </c>
      <c r="FT529" t="str">
        <f>IFERROR(AVERAGE(Tabel1[[#This Row],[Do - A1]],Tabel1[[#This Row],[Do - A2]],Tabel1[[#This Row],[Do - A3]],Tabel1[[#This Row],[Do - A4]]),"")</f>
        <v/>
      </c>
      <c r="FU52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</v>
      </c>
      <c r="FV529" s="31" t="s">
        <v>2555</v>
      </c>
      <c r="FW529" t="b">
        <v>1</v>
      </c>
    </row>
    <row r="530" spans="1:179" x14ac:dyDescent="0.3">
      <c r="A530" s="13">
        <v>45881.334664351903</v>
      </c>
      <c r="B530" t="b">
        <v>0</v>
      </c>
      <c r="C530" t="s">
        <v>2556</v>
      </c>
      <c r="D530" t="s">
        <v>403</v>
      </c>
      <c r="E530" s="29" t="s">
        <v>2508</v>
      </c>
      <c r="F530" s="14" t="s">
        <v>184</v>
      </c>
      <c r="G530" t="s">
        <v>2557</v>
      </c>
      <c r="H530" t="s">
        <v>222</v>
      </c>
      <c r="I530" t="s">
        <v>195</v>
      </c>
      <c r="J530" t="s">
        <v>347</v>
      </c>
      <c r="K530" t="s">
        <v>201</v>
      </c>
      <c r="L530" t="s">
        <v>197</v>
      </c>
      <c r="M530" t="s">
        <v>198</v>
      </c>
      <c r="N530" t="s">
        <v>199</v>
      </c>
      <c r="O530" t="s">
        <v>200</v>
      </c>
      <c r="P530" t="s">
        <v>304</v>
      </c>
      <c r="Q530" t="s">
        <v>235</v>
      </c>
      <c r="S530" t="s">
        <v>304</v>
      </c>
      <c r="T530" t="s">
        <v>348</v>
      </c>
      <c r="U530" t="s">
        <v>285</v>
      </c>
      <c r="V530" t="s">
        <v>224</v>
      </c>
      <c r="W530" t="s">
        <v>207</v>
      </c>
      <c r="X530" t="s">
        <v>207</v>
      </c>
      <c r="Y530">
        <v>1</v>
      </c>
      <c r="Z530">
        <v>1</v>
      </c>
      <c r="AA530">
        <v>1</v>
      </c>
      <c r="AB530">
        <f>IFERROR(AVERAGE(Tabel1[[#This Row],[Up - R1a]:[Up - R1c]]),"")</f>
        <v>1</v>
      </c>
      <c r="AC530">
        <v>1</v>
      </c>
      <c r="AD530">
        <v>2</v>
      </c>
      <c r="AE530">
        <v>1</v>
      </c>
      <c r="AF530">
        <v>1</v>
      </c>
      <c r="AG530">
        <f>IFERROR(AVERAGE(Tabel1[[#This Row],[Up - R1]:[Up - R5]]),"")</f>
        <v>1.2</v>
      </c>
      <c r="AH530">
        <v>4</v>
      </c>
      <c r="AI530">
        <v>5</v>
      </c>
      <c r="AJ530">
        <v>3</v>
      </c>
      <c r="AK530">
        <f>IFERROR(AVERAGE(Tabel1[[#This Row],[Up - C1a]:[Up - C1c]]),"")</f>
        <v>4</v>
      </c>
      <c r="AL530">
        <v>2</v>
      </c>
      <c r="AM530">
        <v>1</v>
      </c>
      <c r="AN530">
        <v>4</v>
      </c>
      <c r="AO530">
        <f>IFERROR(AVERAGE(Tabel1[[#This Row],[Up - C1]:[Up - C4]]),"")</f>
        <v>2.75</v>
      </c>
      <c r="AP530">
        <v>1</v>
      </c>
      <c r="AQ530">
        <f>IFERROR(AVERAGE(Tabel1[[#This Row],[Up - F1a]:[Up - F1a]]),"")</f>
        <v>1</v>
      </c>
      <c r="AR530">
        <v>1</v>
      </c>
      <c r="AS530">
        <v>4</v>
      </c>
      <c r="AT530">
        <f>IFERROR(AVERAGE(Tabel1[[#This Row],[Up - F2a]:[Up - F2b]]),"")</f>
        <v>2.5</v>
      </c>
      <c r="AV530">
        <v>2</v>
      </c>
      <c r="AW530">
        <f>IFERROR(AVERAGE(Tabel1[[#This Row],[Up - F3a]:[Up - F3b]]),"")</f>
        <v>2</v>
      </c>
      <c r="AX530">
        <v>3</v>
      </c>
      <c r="AY530">
        <f>IFERROR(AVERAGE(Tabel1[[#This Row],[Up - F1]],Tabel1[[#This Row],[Up - F2]],Tabel1[[#This Row],[Up - F3]],Tabel1[[#This Row],[Up - F4]]),"")</f>
        <v>2.125</v>
      </c>
      <c r="AZ530">
        <v>1</v>
      </c>
      <c r="BA530">
        <v>3</v>
      </c>
      <c r="BB530">
        <f>IFERROR(AVERAGE(Tabel1[[#This Row],[Up - V1a]:[Up - V1b]]),"")</f>
        <v>2</v>
      </c>
      <c r="BC530">
        <v>3</v>
      </c>
      <c r="BD530" t="s">
        <v>189</v>
      </c>
      <c r="BE530">
        <v>1</v>
      </c>
      <c r="BF530">
        <f>IFERROR(AVERAGE(Tabel1[[#This Row],[Up - V2a]:[Up - V2c]]),"")</f>
        <v>2</v>
      </c>
      <c r="BG530">
        <v>2</v>
      </c>
      <c r="BH530">
        <v>3</v>
      </c>
      <c r="BI530">
        <f>IFERROR(AVERAGE(Tabel1[[#This Row],[Up - V3a]:[Up - V3b]]),"")</f>
        <v>2.5</v>
      </c>
      <c r="BJ530">
        <v>2</v>
      </c>
      <c r="BK530">
        <f>IFERROR(AVERAGE(Tabel1[[#This Row],[Up - V1]],Tabel1[[#This Row],[Up - V2]],Tabel1[[#This Row],[Up - V3]],Tabel1[[#This Row],[Up - V4]]),"")</f>
        <v>2.125</v>
      </c>
      <c r="BL530">
        <v>2</v>
      </c>
      <c r="BM530">
        <v>2</v>
      </c>
      <c r="BN530">
        <v>3</v>
      </c>
      <c r="BO530">
        <v>1</v>
      </c>
      <c r="BP530">
        <f>IFERROR(AVERAGE(Tabel1[[#This Row],[Up - A1a]:[Up - A1d]]),"")</f>
        <v>2</v>
      </c>
      <c r="BQ530">
        <v>1</v>
      </c>
      <c r="BR530">
        <v>1</v>
      </c>
      <c r="BS530">
        <f>IFERROR(AVERAGE(Tabel1[[#This Row],[Up - A2a]:[Up - A2b]]),"")</f>
        <v>1</v>
      </c>
      <c r="BT530">
        <v>2</v>
      </c>
      <c r="BU530">
        <f>IFERROR(AVERAGE(Tabel1[[#This Row],[Up - A3a]:[Up - A3a]]),"")</f>
        <v>2</v>
      </c>
      <c r="BV530">
        <v>1</v>
      </c>
      <c r="BW530">
        <f>IFERROR(AVERAGE(Tabel1[[#This Row],[Up - A1]],Tabel1[[#This Row],[Up - A2]],Tabel1[[#This Row],[Up - A3]]),"")</f>
        <v>1.6666666666666667</v>
      </c>
      <c r="BZ530" t="str">
        <f>IFERROR(AVERAGE(Tabel1[[#This Row],[In - R1a]:[In - R1b]]),"")</f>
        <v/>
      </c>
      <c r="CE530" t="str">
        <f>IFERROR(AVERAGE(Tabel1[[#This Row],[In - R1]:[In - R5]]),"")</f>
        <v/>
      </c>
      <c r="CI530" t="str">
        <f>IFERROR(AVERAGE(Tabel1[[#This Row],[In - C1a]:[In - C1c]]),"")</f>
        <v/>
      </c>
      <c r="CM530" t="str">
        <f>IFERROR(AVERAGE(Tabel1[[#This Row],[In - C1]:[In - C4]]),"")</f>
        <v/>
      </c>
      <c r="CQ530" t="str">
        <f>IFERROR(AVERAGE(Tabel1[[#This Row],[In - F1a]:[In - F1c]]),"")</f>
        <v/>
      </c>
      <c r="CT530" t="str">
        <f>IFERROR(AVERAGE(Tabel1[[#This Row],[In - F2a]:[In - F2b]]),"")</f>
        <v/>
      </c>
      <c r="CV530" t="str">
        <f>IFERROR(AVERAGE(Tabel1[[#This Row],[In - F3a]:[In - F3a]]),"")</f>
        <v/>
      </c>
      <c r="CX530" t="str">
        <f>IFERROR(AVERAGE(Tabel1[[#This Row],[In - F1]],Tabel1[[#This Row],[In - F2]],Tabel1[[#This Row],[In - F3]],Tabel1[[#This Row],[In - F4]]),"")</f>
        <v/>
      </c>
      <c r="DB530" t="str">
        <f>IFERROR(AVERAGE(Tabel1[[#This Row],[In - V1a]:[In - V1c]]),"")</f>
        <v/>
      </c>
      <c r="DF530" t="str">
        <f>IFERROR(AVERAGE(Tabel1[[#This Row],[In - V2a]:[In - V2c]]),"")</f>
        <v/>
      </c>
      <c r="DI530" t="str">
        <f>IFERROR(AVERAGE(Tabel1[[#This Row],[In - V3a]:[In - V3b]]),"")</f>
        <v/>
      </c>
      <c r="DK530" t="str">
        <f>IFERROR(AVERAGE(Tabel1[[#This Row],[In - V1]],Tabel1[[#This Row],[In - V2]],Tabel1[[#This Row],[In - V3]],Tabel1[[#This Row],[In - V4]]),"")</f>
        <v/>
      </c>
      <c r="DN530" t="str">
        <f>IFERROR(AVERAGE(Tabel1[[#This Row],[In - A1a]:[In - A1b]]),"")</f>
        <v/>
      </c>
      <c r="DQ530" t="str">
        <f>IFERROR(AVERAGE(Tabel1[[#This Row],[In - A2a]:[In - A2b]]),"")</f>
        <v/>
      </c>
      <c r="DT530" t="str">
        <f>IFERROR(AVERAGE(Tabel1[[#This Row],[In - A3a]:[In - A3a]]),"")</f>
        <v/>
      </c>
      <c r="DV530" t="str">
        <f>IFERROR(AVERAGE(Tabel1[[#This Row],[In - A1]],Tabel1[[#This Row],[In - A2]],Tabel1[[#This Row],[In - A3]],Tabel1[[#This Row],[In - A4]]),"")</f>
        <v/>
      </c>
      <c r="DZ530" t="str">
        <f>IFERROR(AVERAGE(Tabel1[[#This Row],[Do - R1a]:[Do - R1c]]),"")</f>
        <v/>
      </c>
      <c r="EE530" t="str">
        <f>IFERROR(AVERAGE(Tabel1[[#This Row],[Do - R1]:[Do - R5]]),"")</f>
        <v/>
      </c>
      <c r="EI530" t="str">
        <f>IFERROR(AVERAGE(Tabel1[[#This Row],[Do - C1a]:[Do - C1c]]),"")</f>
        <v/>
      </c>
      <c r="EM530" t="str">
        <f>IFERROR(AVERAGE(Tabel1[[#This Row],[Do - C1]:[Do - C4]]),"")</f>
        <v/>
      </c>
      <c r="EQ530" t="str">
        <f>IFERROR(AVERAGE(Tabel1[[#This Row],[Do - F1a]:[Do - F1c]]),"")</f>
        <v/>
      </c>
      <c r="ES530" t="str">
        <f>IFERROR(AVERAGE(Tabel1[[#This Row],[Do - F2a]:[Do - F2a]]),"")</f>
        <v/>
      </c>
      <c r="EV530" t="str">
        <f>IFERROR(AVERAGE(Tabel1[[#This Row],[Do - F3a]:[Do - F3b]]),"")</f>
        <v/>
      </c>
      <c r="EX530" t="str">
        <f>IFERROR(AVERAGE(Tabel1[[#This Row],[Do - F1]],Tabel1[[#This Row],[Do - F2]],Tabel1[[#This Row],[Do - F3]],Tabel1[[#This Row],[Do - F4]]),"")</f>
        <v/>
      </c>
      <c r="FB530" t="str">
        <f>IFERROR(AVERAGE(Tabel1[[#This Row],[Do - V1a]:[Do - V1c]]),"")</f>
        <v/>
      </c>
      <c r="FE530" t="str">
        <f>IFERROR(AVERAGE(Tabel1[[#This Row],[Do - V2a]:[Do - V2b]]),"")</f>
        <v/>
      </c>
      <c r="FG530" t="str">
        <f>IFERROR(AVERAGE(Tabel1[[#This Row],[Do - V3a]:[Do - V3a]]),"")</f>
        <v/>
      </c>
      <c r="FI530" t="str">
        <f>IFERROR(AVERAGE(Tabel1[[#This Row],[Do - V1]],Tabel1[[#This Row],[Do - V2]],Tabel1[[#This Row],[Do - V3]],Tabel1[[#This Row],[Do - V4]]),"")</f>
        <v/>
      </c>
      <c r="FM530" t="str">
        <f>IFERROR(AVERAGE(Tabel1[[#This Row],[Do - A1a]:[Do - A1c]]),"")</f>
        <v/>
      </c>
      <c r="FP530" t="str">
        <f>IFERROR(AVERAGE(Tabel1[[#This Row],[Do - A2a]:[Do - A2b]]),"")</f>
        <v/>
      </c>
      <c r="FR530" t="str">
        <f>IFERROR(AVERAGE(Tabel1[[#This Row],[Do - A3a]:[Do - A3a]]),"")</f>
        <v/>
      </c>
      <c r="FT530" t="str">
        <f>IFERROR(AVERAGE(Tabel1[[#This Row],[Do - A1]],Tabel1[[#This Row],[Do - A2]],Tabel1[[#This Row],[Do - A3]],Tabel1[[#This Row],[Do - A4]]),"")</f>
        <v/>
      </c>
      <c r="FU53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1.9733333333333332</v>
      </c>
      <c r="FV530" s="31" t="s">
        <v>2558</v>
      </c>
      <c r="FW530" t="b">
        <v>1</v>
      </c>
    </row>
    <row r="531" spans="1:179" x14ac:dyDescent="0.3">
      <c r="A531" s="13">
        <v>45891.5776273148</v>
      </c>
      <c r="B531" t="b">
        <v>0</v>
      </c>
      <c r="C531" t="s">
        <v>2559</v>
      </c>
      <c r="D531" t="s">
        <v>2560</v>
      </c>
      <c r="E531" s="29" t="s">
        <v>2508</v>
      </c>
      <c r="F531" s="14" t="s">
        <v>184</v>
      </c>
      <c r="G531" t="s">
        <v>2561</v>
      </c>
      <c r="H531" t="s">
        <v>222</v>
      </c>
      <c r="I531" t="s">
        <v>195</v>
      </c>
      <c r="J531" t="s">
        <v>273</v>
      </c>
      <c r="K531" t="s">
        <v>201</v>
      </c>
      <c r="L531" t="s">
        <v>249</v>
      </c>
      <c r="M531" t="s">
        <v>198</v>
      </c>
      <c r="N531" t="s">
        <v>199</v>
      </c>
      <c r="O531" t="s">
        <v>200</v>
      </c>
      <c r="P531" t="s">
        <v>304</v>
      </c>
      <c r="Q531" t="s">
        <v>203</v>
      </c>
      <c r="R531" t="s">
        <v>202</v>
      </c>
      <c r="S531" t="s">
        <v>201</v>
      </c>
      <c r="T531" t="s">
        <v>204</v>
      </c>
      <c r="U531" t="s">
        <v>285</v>
      </c>
      <c r="V531" t="s">
        <v>224</v>
      </c>
      <c r="W531" t="s">
        <v>207</v>
      </c>
      <c r="X531" t="s">
        <v>207</v>
      </c>
      <c r="Y531">
        <v>2</v>
      </c>
      <c r="Z531">
        <v>3</v>
      </c>
      <c r="AA531">
        <v>2</v>
      </c>
      <c r="AB531">
        <f>IFERROR(AVERAGE(Tabel1[[#This Row],[Up - R1a]:[Up - R1c]]),"")</f>
        <v>2.3333333333333335</v>
      </c>
      <c r="AC531">
        <v>2</v>
      </c>
      <c r="AD531">
        <v>4</v>
      </c>
      <c r="AE531">
        <v>2</v>
      </c>
      <c r="AF531">
        <v>3</v>
      </c>
      <c r="AG531">
        <f>IFERROR(AVERAGE(Tabel1[[#This Row],[Up - R1]:[Up - R5]]),"")</f>
        <v>2.666666666666667</v>
      </c>
      <c r="AH531">
        <v>4</v>
      </c>
      <c r="AI531">
        <v>4</v>
      </c>
      <c r="AJ531">
        <v>5</v>
      </c>
      <c r="AK531">
        <f>IFERROR(AVERAGE(Tabel1[[#This Row],[Up - C1a]:[Up - C1c]]),"")</f>
        <v>4.333333333333333</v>
      </c>
      <c r="AL531">
        <v>3</v>
      </c>
      <c r="AM531">
        <v>2</v>
      </c>
      <c r="AN531">
        <v>4</v>
      </c>
      <c r="AO531">
        <f>IFERROR(AVERAGE(Tabel1[[#This Row],[Up - C1]:[Up - C4]]),"")</f>
        <v>3.333333333333333</v>
      </c>
      <c r="AP531">
        <v>2</v>
      </c>
      <c r="AQ531">
        <f>IFERROR(AVERAGE(Tabel1[[#This Row],[Up - F1a]:[Up - F1a]]),"")</f>
        <v>2</v>
      </c>
      <c r="AR531">
        <v>2</v>
      </c>
      <c r="AS531">
        <v>4</v>
      </c>
      <c r="AT531">
        <f>IFERROR(AVERAGE(Tabel1[[#This Row],[Up - F2a]:[Up - F2b]]),"")</f>
        <v>3</v>
      </c>
      <c r="AU531">
        <v>3</v>
      </c>
      <c r="AV531">
        <v>2</v>
      </c>
      <c r="AW531">
        <f>IFERROR(AVERAGE(Tabel1[[#This Row],[Up - F3a]:[Up - F3b]]),"")</f>
        <v>2.5</v>
      </c>
      <c r="AX531" t="s">
        <v>189</v>
      </c>
      <c r="AY531">
        <f>IFERROR(AVERAGE(Tabel1[[#This Row],[Up - F1]],Tabel1[[#This Row],[Up - F2]],Tabel1[[#This Row],[Up - F3]],Tabel1[[#This Row],[Up - F4]]),"")</f>
        <v>2.5</v>
      </c>
      <c r="AZ531" t="s">
        <v>189</v>
      </c>
      <c r="BA531">
        <v>4</v>
      </c>
      <c r="BB531">
        <f>IFERROR(AVERAGE(Tabel1[[#This Row],[Up - V1a]:[Up - V1b]]),"")</f>
        <v>4</v>
      </c>
      <c r="BC531">
        <v>4</v>
      </c>
      <c r="BD531" t="s">
        <v>189</v>
      </c>
      <c r="BE531">
        <v>4</v>
      </c>
      <c r="BF531">
        <f>IFERROR(AVERAGE(Tabel1[[#This Row],[Up - V2a]:[Up - V2c]]),"")</f>
        <v>4</v>
      </c>
      <c r="BG531">
        <v>2</v>
      </c>
      <c r="BH531">
        <v>3</v>
      </c>
      <c r="BI531">
        <f>IFERROR(AVERAGE(Tabel1[[#This Row],[Up - V3a]:[Up - V3b]]),"")</f>
        <v>2.5</v>
      </c>
      <c r="BJ531">
        <v>4</v>
      </c>
      <c r="BK531">
        <f>IFERROR(AVERAGE(Tabel1[[#This Row],[Up - V1]],Tabel1[[#This Row],[Up - V2]],Tabel1[[#This Row],[Up - V3]],Tabel1[[#This Row],[Up - V4]]),"")</f>
        <v>3.625</v>
      </c>
      <c r="BL531">
        <v>4</v>
      </c>
      <c r="BM531">
        <v>4</v>
      </c>
      <c r="BN531">
        <v>1</v>
      </c>
      <c r="BP531">
        <f>IFERROR(AVERAGE(Tabel1[[#This Row],[Up - A1a]:[Up - A1d]]),"")</f>
        <v>3</v>
      </c>
      <c r="BQ531">
        <v>2</v>
      </c>
      <c r="BR531">
        <v>5</v>
      </c>
      <c r="BS531">
        <f>IFERROR(AVERAGE(Tabel1[[#This Row],[Up - A2a]:[Up - A2b]]),"")</f>
        <v>3.5</v>
      </c>
      <c r="BT531">
        <v>4</v>
      </c>
      <c r="BU531">
        <f>IFERROR(AVERAGE(Tabel1[[#This Row],[Up - A3a]:[Up - A3a]]),"")</f>
        <v>4</v>
      </c>
      <c r="BV531">
        <v>4</v>
      </c>
      <c r="BW531">
        <f>IFERROR(AVERAGE(Tabel1[[#This Row],[Up - A1]],Tabel1[[#This Row],[Up - A2]],Tabel1[[#This Row],[Up - A3]]),"")</f>
        <v>3.5</v>
      </c>
      <c r="BZ531" t="str">
        <f>IFERROR(AVERAGE(Tabel1[[#This Row],[In - R1a]:[In - R1b]]),"")</f>
        <v/>
      </c>
      <c r="CE531" t="str">
        <f>IFERROR(AVERAGE(Tabel1[[#This Row],[In - R1]:[In - R5]]),"")</f>
        <v/>
      </c>
      <c r="CI531" t="str">
        <f>IFERROR(AVERAGE(Tabel1[[#This Row],[In - C1a]:[In - C1c]]),"")</f>
        <v/>
      </c>
      <c r="CM531" t="str">
        <f>IFERROR(AVERAGE(Tabel1[[#This Row],[In - C1]:[In - C4]]),"")</f>
        <v/>
      </c>
      <c r="CQ531" t="str">
        <f>IFERROR(AVERAGE(Tabel1[[#This Row],[In - F1a]:[In - F1c]]),"")</f>
        <v/>
      </c>
      <c r="CT531" t="str">
        <f>IFERROR(AVERAGE(Tabel1[[#This Row],[In - F2a]:[In - F2b]]),"")</f>
        <v/>
      </c>
      <c r="CV531" t="str">
        <f>IFERROR(AVERAGE(Tabel1[[#This Row],[In - F3a]:[In - F3a]]),"")</f>
        <v/>
      </c>
      <c r="CX531" t="str">
        <f>IFERROR(AVERAGE(Tabel1[[#This Row],[In - F1]],Tabel1[[#This Row],[In - F2]],Tabel1[[#This Row],[In - F3]],Tabel1[[#This Row],[In - F4]]),"")</f>
        <v/>
      </c>
      <c r="DB531" t="str">
        <f>IFERROR(AVERAGE(Tabel1[[#This Row],[In - V1a]:[In - V1c]]),"")</f>
        <v/>
      </c>
      <c r="DF531" t="str">
        <f>IFERROR(AVERAGE(Tabel1[[#This Row],[In - V2a]:[In - V2c]]),"")</f>
        <v/>
      </c>
      <c r="DI531" t="str">
        <f>IFERROR(AVERAGE(Tabel1[[#This Row],[In - V3a]:[In - V3b]]),"")</f>
        <v/>
      </c>
      <c r="DK531" t="str">
        <f>IFERROR(AVERAGE(Tabel1[[#This Row],[In - V1]],Tabel1[[#This Row],[In - V2]],Tabel1[[#This Row],[In - V3]],Tabel1[[#This Row],[In - V4]]),"")</f>
        <v/>
      </c>
      <c r="DN531" t="str">
        <f>IFERROR(AVERAGE(Tabel1[[#This Row],[In - A1a]:[In - A1b]]),"")</f>
        <v/>
      </c>
      <c r="DQ531" t="str">
        <f>IFERROR(AVERAGE(Tabel1[[#This Row],[In - A2a]:[In - A2b]]),"")</f>
        <v/>
      </c>
      <c r="DT531" t="str">
        <f>IFERROR(AVERAGE(Tabel1[[#This Row],[In - A3a]:[In - A3a]]),"")</f>
        <v/>
      </c>
      <c r="DV531" t="str">
        <f>IFERROR(AVERAGE(Tabel1[[#This Row],[In - A1]],Tabel1[[#This Row],[In - A2]],Tabel1[[#This Row],[In - A3]],Tabel1[[#This Row],[In - A4]]),"")</f>
        <v/>
      </c>
      <c r="DZ531" t="str">
        <f>IFERROR(AVERAGE(Tabel1[[#This Row],[Do - R1a]:[Do - R1c]]),"")</f>
        <v/>
      </c>
      <c r="EE531" t="str">
        <f>IFERROR(AVERAGE(Tabel1[[#This Row],[Do - R1]:[Do - R5]]),"")</f>
        <v/>
      </c>
      <c r="EI531" t="str">
        <f>IFERROR(AVERAGE(Tabel1[[#This Row],[Do - C1a]:[Do - C1c]]),"")</f>
        <v/>
      </c>
      <c r="EM531" t="str">
        <f>IFERROR(AVERAGE(Tabel1[[#This Row],[Do - C1]:[Do - C4]]),"")</f>
        <v/>
      </c>
      <c r="EQ531" t="str">
        <f>IFERROR(AVERAGE(Tabel1[[#This Row],[Do - F1a]:[Do - F1c]]),"")</f>
        <v/>
      </c>
      <c r="ES531" t="str">
        <f>IFERROR(AVERAGE(Tabel1[[#This Row],[Do - F2a]:[Do - F2a]]),"")</f>
        <v/>
      </c>
      <c r="EV531" t="str">
        <f>IFERROR(AVERAGE(Tabel1[[#This Row],[Do - F3a]:[Do - F3b]]),"")</f>
        <v/>
      </c>
      <c r="EX531" t="str">
        <f>IFERROR(AVERAGE(Tabel1[[#This Row],[Do - F1]],Tabel1[[#This Row],[Do - F2]],Tabel1[[#This Row],[Do - F3]],Tabel1[[#This Row],[Do - F4]]),"")</f>
        <v/>
      </c>
      <c r="FB531" t="str">
        <f>IFERROR(AVERAGE(Tabel1[[#This Row],[Do - V1a]:[Do - V1c]]),"")</f>
        <v/>
      </c>
      <c r="FE531" t="str">
        <f>IFERROR(AVERAGE(Tabel1[[#This Row],[Do - V2a]:[Do - V2b]]),"")</f>
        <v/>
      </c>
      <c r="FG531" t="str">
        <f>IFERROR(AVERAGE(Tabel1[[#This Row],[Do - V3a]:[Do - V3a]]),"")</f>
        <v/>
      </c>
      <c r="FI531" t="str">
        <f>IFERROR(AVERAGE(Tabel1[[#This Row],[Do - V1]],Tabel1[[#This Row],[Do - V2]],Tabel1[[#This Row],[Do - V3]],Tabel1[[#This Row],[Do - V4]]),"")</f>
        <v/>
      </c>
      <c r="FM531" t="str">
        <f>IFERROR(AVERAGE(Tabel1[[#This Row],[Do - A1a]:[Do - A1c]]),"")</f>
        <v/>
      </c>
      <c r="FP531" t="str">
        <f>IFERROR(AVERAGE(Tabel1[[#This Row],[Do - A2a]:[Do - A2b]]),"")</f>
        <v/>
      </c>
      <c r="FR531" t="str">
        <f>IFERROR(AVERAGE(Tabel1[[#This Row],[Do - A3a]:[Do - A3a]]),"")</f>
        <v/>
      </c>
      <c r="FT531" t="str">
        <f>IFERROR(AVERAGE(Tabel1[[#This Row],[Do - A1]],Tabel1[[#This Row],[Do - A2]],Tabel1[[#This Row],[Do - A3]],Tabel1[[#This Row],[Do - A4]]),"")</f>
        <v/>
      </c>
      <c r="FU53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3.125</v>
      </c>
      <c r="FV531" s="31" t="s">
        <v>2562</v>
      </c>
      <c r="FW531" t="b">
        <v>1</v>
      </c>
    </row>
    <row r="532" spans="1:179" x14ac:dyDescent="0.3">
      <c r="A532" s="13">
        <v>45894.600370370397</v>
      </c>
      <c r="B532" t="b">
        <v>0</v>
      </c>
      <c r="C532" t="s">
        <v>2563</v>
      </c>
      <c r="D532" t="s">
        <v>2564</v>
      </c>
      <c r="E532" t="s">
        <v>2503</v>
      </c>
      <c r="F532" s="14" t="s">
        <v>184</v>
      </c>
      <c r="G532" t="s">
        <v>2504</v>
      </c>
      <c r="H532" t="s">
        <v>222</v>
      </c>
      <c r="I532" t="s">
        <v>385</v>
      </c>
      <c r="K532" t="s">
        <v>304</v>
      </c>
      <c r="L532" t="s">
        <v>385</v>
      </c>
      <c r="M532" t="s">
        <v>198</v>
      </c>
      <c r="N532" t="s">
        <v>199</v>
      </c>
      <c r="O532" t="s">
        <v>256</v>
      </c>
      <c r="Y532">
        <v>3</v>
      </c>
      <c r="Z532">
        <v>4</v>
      </c>
      <c r="AA532">
        <v>3</v>
      </c>
      <c r="AB532">
        <f>IFERROR(AVERAGE(Tabel1[[#This Row],[Up - R1a]:[Up - R1c]]),"")</f>
        <v>3.3333333333333335</v>
      </c>
      <c r="AC532">
        <v>3</v>
      </c>
      <c r="AD532">
        <v>4</v>
      </c>
      <c r="AE532">
        <v>2</v>
      </c>
      <c r="AF532" t="s">
        <v>189</v>
      </c>
      <c r="AG532">
        <f>IFERROR(AVERAGE(Tabel1[[#This Row],[Up - R1]:[Up - R5]]),"")</f>
        <v>3.0833333333333335</v>
      </c>
      <c r="AH532">
        <v>4</v>
      </c>
      <c r="AI532">
        <v>4</v>
      </c>
      <c r="AJ532">
        <v>3</v>
      </c>
      <c r="AK532">
        <f>IFERROR(AVERAGE(Tabel1[[#This Row],[Up - C1a]:[Up - C1c]]),"")</f>
        <v>3.6666666666666665</v>
      </c>
      <c r="AL532">
        <v>3</v>
      </c>
      <c r="AM532">
        <v>2</v>
      </c>
      <c r="AN532" t="s">
        <v>189</v>
      </c>
      <c r="AO532">
        <f>IFERROR(AVERAGE(Tabel1[[#This Row],[Up - C1]:[Up - C4]]),"")</f>
        <v>2.8888888888888888</v>
      </c>
      <c r="AP532" t="s">
        <v>189</v>
      </c>
      <c r="AQ532" t="str">
        <f>IFERROR(AVERAGE(Tabel1[[#This Row],[Up - F1a]:[Up - F1a]]),"")</f>
        <v/>
      </c>
      <c r="AR532">
        <v>2</v>
      </c>
      <c r="AS532">
        <v>4</v>
      </c>
      <c r="AT532">
        <f>IFERROR(AVERAGE(Tabel1[[#This Row],[Up - F2a]:[Up - F2b]]),"")</f>
        <v>3</v>
      </c>
      <c r="AU532">
        <v>3</v>
      </c>
      <c r="AV532" t="s">
        <v>189</v>
      </c>
      <c r="AW532">
        <f>IFERROR(AVERAGE(Tabel1[[#This Row],[Up - F3a]:[Up - F3b]]),"")</f>
        <v>3</v>
      </c>
      <c r="AX532" t="s">
        <v>189</v>
      </c>
      <c r="AY532">
        <f>IFERROR(AVERAGE(Tabel1[[#This Row],[Up - F1]],Tabel1[[#This Row],[Up - F2]],Tabel1[[#This Row],[Up - F3]],Tabel1[[#This Row],[Up - F4]]),"")</f>
        <v>3</v>
      </c>
      <c r="AZ532" t="s">
        <v>189</v>
      </c>
      <c r="BA532">
        <v>3</v>
      </c>
      <c r="BB532">
        <f>IFERROR(AVERAGE(Tabel1[[#This Row],[Up - V1a]:[Up - V1b]]),"")</f>
        <v>3</v>
      </c>
      <c r="BC532">
        <v>3</v>
      </c>
      <c r="BD532">
        <v>4</v>
      </c>
      <c r="BE532">
        <v>3</v>
      </c>
      <c r="BF532">
        <f>IFERROR(AVERAGE(Tabel1[[#This Row],[Up - V2a]:[Up - V2c]]),"")</f>
        <v>3.3333333333333335</v>
      </c>
      <c r="BG532">
        <v>3</v>
      </c>
      <c r="BH532" t="s">
        <v>189</v>
      </c>
      <c r="BI532">
        <f>IFERROR(AVERAGE(Tabel1[[#This Row],[Up - V3a]:[Up - V3b]]),"")</f>
        <v>3</v>
      </c>
      <c r="BJ532" t="s">
        <v>189</v>
      </c>
      <c r="BK532">
        <f>IFERROR(AVERAGE(Tabel1[[#This Row],[Up - V1]],Tabel1[[#This Row],[Up - V2]],Tabel1[[#This Row],[Up - V3]],Tabel1[[#This Row],[Up - V4]]),"")</f>
        <v>3.1111111111111112</v>
      </c>
      <c r="BL532">
        <v>3</v>
      </c>
      <c r="BM532">
        <v>3</v>
      </c>
      <c r="BN532">
        <v>3</v>
      </c>
      <c r="BO532" t="s">
        <v>189</v>
      </c>
      <c r="BP532">
        <f>IFERROR(AVERAGE(Tabel1[[#This Row],[Up - A1a]:[Up - A1d]]),"")</f>
        <v>3</v>
      </c>
      <c r="BQ532">
        <v>4</v>
      </c>
      <c r="BR532">
        <v>3</v>
      </c>
      <c r="BS532">
        <f>IFERROR(AVERAGE(Tabel1[[#This Row],[Up - A2a]:[Up - A2b]]),"")</f>
        <v>3.5</v>
      </c>
      <c r="BT532">
        <v>4</v>
      </c>
      <c r="BU532">
        <f>IFERROR(AVERAGE(Tabel1[[#This Row],[Up - A3a]:[Up - A3a]]),"")</f>
        <v>4</v>
      </c>
      <c r="BV532" t="s">
        <v>189</v>
      </c>
      <c r="BW532">
        <f>IFERROR(AVERAGE(Tabel1[[#This Row],[Up - A1]],Tabel1[[#This Row],[Up - A2]],Tabel1[[#This Row],[Up - A3]]),"")</f>
        <v>3.5</v>
      </c>
      <c r="BX532" t="s">
        <v>189</v>
      </c>
      <c r="BY532" t="s">
        <v>189</v>
      </c>
      <c r="BZ532" t="str">
        <f>IFERROR(AVERAGE(Tabel1[[#This Row],[In - R1a]:[In - R1b]]),"")</f>
        <v/>
      </c>
      <c r="CA532">
        <v>2</v>
      </c>
      <c r="CB532" t="s">
        <v>189</v>
      </c>
      <c r="CC532">
        <v>1</v>
      </c>
      <c r="CD532">
        <v>1</v>
      </c>
      <c r="CE532">
        <f>IFERROR(AVERAGE(Tabel1[[#This Row],[In - R1]:[In - R5]]),"")</f>
        <v>1.3333333333333333</v>
      </c>
      <c r="CF532">
        <v>4</v>
      </c>
      <c r="CG532">
        <v>3</v>
      </c>
      <c r="CH532">
        <v>3</v>
      </c>
      <c r="CI532">
        <f>IFERROR(AVERAGE(Tabel1[[#This Row],[In - C1a]:[In - C1c]]),"")</f>
        <v>3.3333333333333335</v>
      </c>
      <c r="CJ532" t="s">
        <v>189</v>
      </c>
      <c r="CK532" t="s">
        <v>189</v>
      </c>
      <c r="CL532" t="s">
        <v>189</v>
      </c>
      <c r="CM532">
        <f>IFERROR(AVERAGE(Tabel1[[#This Row],[In - C1]:[In - C4]]),"")</f>
        <v>3.3333333333333335</v>
      </c>
      <c r="CN532">
        <v>3</v>
      </c>
      <c r="CP532">
        <v>3</v>
      </c>
      <c r="CQ532">
        <f>IFERROR(AVERAGE(Tabel1[[#This Row],[In - F1a]:[In - F1c]]),"")</f>
        <v>3</v>
      </c>
      <c r="CR532">
        <v>3</v>
      </c>
      <c r="CS532">
        <v>3</v>
      </c>
      <c r="CT532">
        <f>IFERROR(AVERAGE(Tabel1[[#This Row],[In - F2a]:[In - F2b]]),"")</f>
        <v>3</v>
      </c>
      <c r="CU532">
        <v>1</v>
      </c>
      <c r="CV532">
        <f>IFERROR(AVERAGE(Tabel1[[#This Row],[In - F3a]:[In - F3a]]),"")</f>
        <v>1</v>
      </c>
      <c r="CW532">
        <v>3</v>
      </c>
      <c r="CX532">
        <f>IFERROR(AVERAGE(Tabel1[[#This Row],[In - F1]],Tabel1[[#This Row],[In - F2]],Tabel1[[#This Row],[In - F3]],Tabel1[[#This Row],[In - F4]]),"")</f>
        <v>2.5</v>
      </c>
      <c r="CY532">
        <v>3</v>
      </c>
      <c r="CZ532" t="s">
        <v>189</v>
      </c>
      <c r="DA532" t="s">
        <v>189</v>
      </c>
      <c r="DB532">
        <f>IFERROR(AVERAGE(Tabel1[[#This Row],[In - V1a]:[In - V1c]]),"")</f>
        <v>3</v>
      </c>
      <c r="DC532">
        <v>3</v>
      </c>
      <c r="DD532">
        <v>3</v>
      </c>
      <c r="DE532">
        <v>3</v>
      </c>
      <c r="DF532">
        <f>IFERROR(AVERAGE(Tabel1[[#This Row],[In - V2a]:[In - V2c]]),"")</f>
        <v>3</v>
      </c>
      <c r="DG532">
        <v>3</v>
      </c>
      <c r="DH532">
        <v>1</v>
      </c>
      <c r="DI532">
        <f>IFERROR(AVERAGE(Tabel1[[#This Row],[In - V3a]:[In - V3b]]),"")</f>
        <v>2</v>
      </c>
      <c r="DJ532" t="s">
        <v>189</v>
      </c>
      <c r="DK532">
        <f>IFERROR(AVERAGE(Tabel1[[#This Row],[In - V1]],Tabel1[[#This Row],[In - V2]],Tabel1[[#This Row],[In - V3]],Tabel1[[#This Row],[In - V4]]),"")</f>
        <v>2.6666666666666665</v>
      </c>
      <c r="DL532">
        <v>3</v>
      </c>
      <c r="DM532" t="s">
        <v>189</v>
      </c>
      <c r="DN532">
        <f>IFERROR(AVERAGE(Tabel1[[#This Row],[In - A1a]:[In - A1b]]),"")</f>
        <v>3</v>
      </c>
      <c r="DO532">
        <v>3</v>
      </c>
      <c r="DP532">
        <v>3</v>
      </c>
      <c r="DQ532">
        <f>IFERROR(AVERAGE(Tabel1[[#This Row],[In - A2a]:[In - A2b]]),"")</f>
        <v>3</v>
      </c>
      <c r="DR532">
        <v>4</v>
      </c>
      <c r="DS532">
        <v>3</v>
      </c>
      <c r="DT532">
        <f>IFERROR(AVERAGE(Tabel1[[#This Row],[In - A3a]:[In - A3a]]),"")</f>
        <v>4</v>
      </c>
      <c r="DU532" t="s">
        <v>189</v>
      </c>
      <c r="DV532">
        <f>IFERROR(AVERAGE(Tabel1[[#This Row],[In - A1]],Tabel1[[#This Row],[In - A2]],Tabel1[[#This Row],[In - A3]],Tabel1[[#This Row],[In - A4]]),"")</f>
        <v>3.3333333333333335</v>
      </c>
      <c r="DW532">
        <v>3</v>
      </c>
      <c r="DX532">
        <v>4</v>
      </c>
      <c r="DY532" t="s">
        <v>189</v>
      </c>
      <c r="DZ532">
        <f>IFERROR(AVERAGE(Tabel1[[#This Row],[Do - R1a]:[Do - R1c]]),"")</f>
        <v>3.5</v>
      </c>
      <c r="EA532" t="s">
        <v>189</v>
      </c>
      <c r="EB532">
        <v>3</v>
      </c>
      <c r="EC532" t="s">
        <v>189</v>
      </c>
      <c r="ED532" t="s">
        <v>189</v>
      </c>
      <c r="EE532">
        <f>IFERROR(AVERAGE(Tabel1[[#This Row],[Do - R1]:[Do - R5]]),"")</f>
        <v>3.25</v>
      </c>
      <c r="EF532" t="s">
        <v>189</v>
      </c>
      <c r="EG532" t="s">
        <v>189</v>
      </c>
      <c r="EH532" t="s">
        <v>189</v>
      </c>
      <c r="EI532" t="str">
        <f>IFERROR(AVERAGE(Tabel1[[#This Row],[Do - C1a]:[Do - C1c]]),"")</f>
        <v/>
      </c>
      <c r="EJ532" t="s">
        <v>189</v>
      </c>
      <c r="EK532" t="s">
        <v>189</v>
      </c>
      <c r="EL532" t="s">
        <v>189</v>
      </c>
      <c r="EM532" t="str">
        <f>IFERROR(AVERAGE(Tabel1[[#This Row],[Do - C1]:[Do - C4]]),"")</f>
        <v/>
      </c>
      <c r="EN532">
        <v>2</v>
      </c>
      <c r="EO532" t="s">
        <v>189</v>
      </c>
      <c r="EP532" t="s">
        <v>189</v>
      </c>
      <c r="EQ532">
        <f>IFERROR(AVERAGE(Tabel1[[#This Row],[Do - F1a]:[Do - F1c]]),"")</f>
        <v>2</v>
      </c>
      <c r="ER532">
        <v>2</v>
      </c>
      <c r="ES532">
        <f>IFERROR(AVERAGE(Tabel1[[#This Row],[Do - F2a]:[Do - F2a]]),"")</f>
        <v>2</v>
      </c>
      <c r="ET532">
        <v>3</v>
      </c>
      <c r="EU532" t="s">
        <v>189</v>
      </c>
      <c r="EV532">
        <f>IFERROR(AVERAGE(Tabel1[[#This Row],[Do - F3a]:[Do - F3b]]),"")</f>
        <v>3</v>
      </c>
      <c r="EW532" t="s">
        <v>189</v>
      </c>
      <c r="EX532">
        <f>IFERROR(AVERAGE(Tabel1[[#This Row],[Do - F1]],Tabel1[[#This Row],[Do - F2]],Tabel1[[#This Row],[Do - F3]],Tabel1[[#This Row],[Do - F4]]),"")</f>
        <v>2.3333333333333335</v>
      </c>
      <c r="EY532">
        <v>5</v>
      </c>
      <c r="EZ532">
        <v>3</v>
      </c>
      <c r="FA532">
        <v>4</v>
      </c>
      <c r="FB532">
        <f>IFERROR(AVERAGE(Tabel1[[#This Row],[Do - V1a]:[Do - V1c]]),"")</f>
        <v>4</v>
      </c>
      <c r="FC532" t="s">
        <v>189</v>
      </c>
      <c r="FD532" t="s">
        <v>189</v>
      </c>
      <c r="FE532" t="str">
        <f>IFERROR(AVERAGE(Tabel1[[#This Row],[Do - V2a]:[Do - V2b]]),"")</f>
        <v/>
      </c>
      <c r="FF532" t="s">
        <v>189</v>
      </c>
      <c r="FG532" t="str">
        <f>IFERROR(AVERAGE(Tabel1[[#This Row],[Do - V3a]:[Do - V3a]]),"")</f>
        <v/>
      </c>
      <c r="FH532" t="s">
        <v>189</v>
      </c>
      <c r="FI532">
        <f>IFERROR(AVERAGE(Tabel1[[#This Row],[Do - V1]],Tabel1[[#This Row],[Do - V2]],Tabel1[[#This Row],[Do - V3]],Tabel1[[#This Row],[Do - V4]]),"")</f>
        <v>4</v>
      </c>
      <c r="FJ532" t="s">
        <v>189</v>
      </c>
      <c r="FK532">
        <v>2</v>
      </c>
      <c r="FL532">
        <v>3</v>
      </c>
      <c r="FM532">
        <f>IFERROR(AVERAGE(Tabel1[[#This Row],[Do - A1a]:[Do - A1c]]),"")</f>
        <v>2.5</v>
      </c>
      <c r="FN532" t="s">
        <v>189</v>
      </c>
      <c r="FO532">
        <v>3</v>
      </c>
      <c r="FP532">
        <f>IFERROR(AVERAGE(Tabel1[[#This Row],[Do - A2a]:[Do - A2b]]),"")</f>
        <v>3</v>
      </c>
      <c r="FQ532">
        <v>3</v>
      </c>
      <c r="FR532">
        <f>IFERROR(AVERAGE(Tabel1[[#This Row],[Do - A3a]:[Do - A3a]]),"")</f>
        <v>3</v>
      </c>
      <c r="FS532" t="s">
        <v>189</v>
      </c>
      <c r="FT532">
        <f>IFERROR(AVERAGE(Tabel1[[#This Row],[Do - A1]],Tabel1[[#This Row],[Do - A2]],Tabel1[[#This Row],[Do - A3]],Tabel1[[#This Row],[Do - A4]]),"")</f>
        <v>2.8333333333333335</v>
      </c>
      <c r="FU53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2.9404761904761902</v>
      </c>
      <c r="FV532" s="31" t="s">
        <v>2565</v>
      </c>
      <c r="FW532" t="b">
        <v>1</v>
      </c>
    </row>
    <row r="533" spans="1:179" x14ac:dyDescent="0.3">
      <c r="A533" s="13">
        <v>45903.352569444403</v>
      </c>
      <c r="B533" t="b">
        <v>0</v>
      </c>
      <c r="C533" t="s">
        <v>2566</v>
      </c>
      <c r="D533" t="s">
        <v>2567</v>
      </c>
      <c r="E533" t="s">
        <v>2568</v>
      </c>
      <c r="F533" s="14" t="s">
        <v>2091</v>
      </c>
      <c r="G533" t="s">
        <v>2569</v>
      </c>
      <c r="H533" t="s">
        <v>222</v>
      </c>
      <c r="I533" t="s">
        <v>542</v>
      </c>
      <c r="J533" t="s">
        <v>2570</v>
      </c>
      <c r="K533" t="s">
        <v>187</v>
      </c>
      <c r="L533" t="s">
        <v>218</v>
      </c>
      <c r="M533" t="s">
        <v>198</v>
      </c>
      <c r="N533" t="s">
        <v>479</v>
      </c>
      <c r="O533" t="s">
        <v>256</v>
      </c>
      <c r="P533" t="s">
        <v>255</v>
      </c>
      <c r="Q533" t="s">
        <v>203</v>
      </c>
      <c r="R533" t="s">
        <v>235</v>
      </c>
      <c r="S533" t="s">
        <v>203</v>
      </c>
      <c r="T533" t="s">
        <v>204</v>
      </c>
      <c r="U533" t="s">
        <v>237</v>
      </c>
      <c r="V533" t="s">
        <v>224</v>
      </c>
      <c r="W533" t="s">
        <v>395</v>
      </c>
      <c r="X533" t="s">
        <v>207</v>
      </c>
      <c r="Y533">
        <v>2</v>
      </c>
      <c r="Z533">
        <v>3</v>
      </c>
      <c r="AA533" t="s">
        <v>189</v>
      </c>
      <c r="AB533">
        <f>IFERROR(AVERAGE(Tabel1[[#This Row],[Up - R1a]:[Up - R1c]]),"")</f>
        <v>2.5</v>
      </c>
      <c r="AC533" t="s">
        <v>189</v>
      </c>
      <c r="AD533">
        <v>4</v>
      </c>
      <c r="AE533" t="s">
        <v>189</v>
      </c>
      <c r="AF533" t="s">
        <v>189</v>
      </c>
      <c r="AG533">
        <f>IFERROR(AVERAGE(Tabel1[[#This Row],[Up - R1]:[Up - R5]]),"")</f>
        <v>3.25</v>
      </c>
      <c r="AH533">
        <v>1</v>
      </c>
      <c r="AI533">
        <v>2</v>
      </c>
      <c r="AJ533">
        <v>2</v>
      </c>
      <c r="AK533">
        <f>IFERROR(AVERAGE(Tabel1[[#This Row],[Up - C1a]:[Up - C1c]]),"")</f>
        <v>1.6666666666666667</v>
      </c>
      <c r="AL533">
        <v>1</v>
      </c>
      <c r="AM533">
        <v>2</v>
      </c>
      <c r="AN533" t="s">
        <v>189</v>
      </c>
      <c r="AO533">
        <f>IFERROR(AVERAGE(Tabel1[[#This Row],[Up - C1]:[Up - C4]]),"")</f>
        <v>1.5555555555555556</v>
      </c>
      <c r="AP533">
        <v>2</v>
      </c>
      <c r="AQ533">
        <f>IFERROR(AVERAGE(Tabel1[[#This Row],[Up - F1a]:[Up - F1a]]),"")</f>
        <v>2</v>
      </c>
      <c r="AR533">
        <v>1</v>
      </c>
      <c r="AS533">
        <v>2</v>
      </c>
      <c r="AT533">
        <f>IFERROR(AVERAGE(Tabel1[[#This Row],[Up - F2a]:[Up - F2b]]),"")</f>
        <v>1.5</v>
      </c>
      <c r="AU533">
        <v>2</v>
      </c>
      <c r="AV533">
        <v>3</v>
      </c>
      <c r="AW533">
        <f>IFERROR(AVERAGE(Tabel1[[#This Row],[Up - F3a]:[Up - F3b]]),"")</f>
        <v>2.5</v>
      </c>
      <c r="AX533">
        <v>3</v>
      </c>
      <c r="AY533">
        <f>IFERROR(AVERAGE(Tabel1[[#This Row],[Up - F1]],Tabel1[[#This Row],[Up - F2]],Tabel1[[#This Row],[Up - F3]],Tabel1[[#This Row],[Up - F4]]),"")</f>
        <v>2.25</v>
      </c>
      <c r="AZ533">
        <v>2</v>
      </c>
      <c r="BA533">
        <v>2</v>
      </c>
      <c r="BB533">
        <f>IFERROR(AVERAGE(Tabel1[[#This Row],[Up - V1a]:[Up - V1b]]),"")</f>
        <v>2</v>
      </c>
      <c r="BC533">
        <v>1</v>
      </c>
      <c r="BD533">
        <v>1</v>
      </c>
      <c r="BE533">
        <v>2</v>
      </c>
      <c r="BF533">
        <f>IFERROR(AVERAGE(Tabel1[[#This Row],[Up - V2a]:[Up - V2c]]),"")</f>
        <v>1.3333333333333333</v>
      </c>
      <c r="BG533">
        <v>3</v>
      </c>
      <c r="BH533" t="s">
        <v>189</v>
      </c>
      <c r="BI533">
        <f>IFERROR(AVERAGE(Tabel1[[#This Row],[Up - V3a]:[Up - V3b]]),"")</f>
        <v>3</v>
      </c>
      <c r="BJ533" t="s">
        <v>189</v>
      </c>
      <c r="BK533">
        <f>IFERROR(AVERAGE(Tabel1[[#This Row],[Up - V1]],Tabel1[[#This Row],[Up - V2]],Tabel1[[#This Row],[Up - V3]],Tabel1[[#This Row],[Up - V4]]),"")</f>
        <v>2.1111111111111112</v>
      </c>
      <c r="BL533">
        <v>4</v>
      </c>
      <c r="BM533">
        <v>3</v>
      </c>
      <c r="BN533">
        <v>3</v>
      </c>
      <c r="BO533">
        <v>3</v>
      </c>
      <c r="BP533">
        <f>IFERROR(AVERAGE(Tabel1[[#This Row],[Up - A1a]:[Up - A1d]]),"")</f>
        <v>3.25</v>
      </c>
      <c r="BQ533">
        <v>4</v>
      </c>
      <c r="BR533">
        <v>3</v>
      </c>
      <c r="BS533">
        <f>IFERROR(AVERAGE(Tabel1[[#This Row],[Up - A2a]:[Up - A2b]]),"")</f>
        <v>3.5</v>
      </c>
      <c r="BT533" t="s">
        <v>189</v>
      </c>
      <c r="BU533" t="str">
        <f>IFERROR(AVERAGE(Tabel1[[#This Row],[Up - A3a]:[Up - A3a]]),"")</f>
        <v/>
      </c>
      <c r="BV533" t="s">
        <v>189</v>
      </c>
      <c r="BW533">
        <f>IFERROR(AVERAGE(Tabel1[[#This Row],[Up - A1]],Tabel1[[#This Row],[Up - A2]],Tabel1[[#This Row],[Up - A3]]),"")</f>
        <v>3.375</v>
      </c>
      <c r="BX533">
        <v>3</v>
      </c>
      <c r="BY533">
        <v>4</v>
      </c>
      <c r="BZ533">
        <f>IFERROR(AVERAGE(Tabel1[[#This Row],[In - R1a]:[In - R1b]]),"")</f>
        <v>3.5</v>
      </c>
      <c r="CA533">
        <v>3</v>
      </c>
      <c r="CB533">
        <v>4</v>
      </c>
      <c r="CC533">
        <v>2</v>
      </c>
      <c r="CD533" t="s">
        <v>189</v>
      </c>
      <c r="CE533">
        <f>IFERROR(AVERAGE(Tabel1[[#This Row],[In - R1]:[In - R5]]),"")</f>
        <v>3.125</v>
      </c>
      <c r="CF533">
        <v>2</v>
      </c>
      <c r="CG533">
        <v>2</v>
      </c>
      <c r="CH533">
        <v>2</v>
      </c>
      <c r="CI533">
        <f>IFERROR(AVERAGE(Tabel1[[#This Row],[In - C1a]:[In - C1c]]),"")</f>
        <v>2</v>
      </c>
      <c r="CJ533">
        <v>1</v>
      </c>
      <c r="CK533">
        <v>2</v>
      </c>
      <c r="CL533" t="s">
        <v>189</v>
      </c>
      <c r="CM533">
        <f>IFERROR(AVERAGE(Tabel1[[#This Row],[In - C1]:[In - C4]]),"")</f>
        <v>1.6666666666666667</v>
      </c>
      <c r="CN533">
        <v>4</v>
      </c>
      <c r="CO533">
        <v>4</v>
      </c>
      <c r="CP533">
        <v>2</v>
      </c>
      <c r="CQ533">
        <f>IFERROR(AVERAGE(Tabel1[[#This Row],[In - F1a]:[In - F1c]]),"")</f>
        <v>3.3333333333333335</v>
      </c>
      <c r="CR533">
        <v>2</v>
      </c>
      <c r="CS533">
        <v>1</v>
      </c>
      <c r="CT533">
        <f>IFERROR(AVERAGE(Tabel1[[#This Row],[In - F2a]:[In - F2b]]),"")</f>
        <v>1.5</v>
      </c>
      <c r="CU533">
        <v>2</v>
      </c>
      <c r="CV533">
        <f>IFERROR(AVERAGE(Tabel1[[#This Row],[In - F3a]:[In - F3a]]),"")</f>
        <v>2</v>
      </c>
      <c r="CW533" t="s">
        <v>189</v>
      </c>
      <c r="CX533">
        <f>IFERROR(AVERAGE(Tabel1[[#This Row],[In - F1]],Tabel1[[#This Row],[In - F2]],Tabel1[[#This Row],[In - F3]],Tabel1[[#This Row],[In - F4]]),"")</f>
        <v>2.2777777777777781</v>
      </c>
      <c r="CY533">
        <v>2</v>
      </c>
      <c r="CZ533">
        <v>2</v>
      </c>
      <c r="DA533">
        <v>2</v>
      </c>
      <c r="DB533">
        <f>IFERROR(AVERAGE(Tabel1[[#This Row],[In - V1a]:[In - V1c]]),"")</f>
        <v>2</v>
      </c>
      <c r="DC533">
        <v>1</v>
      </c>
      <c r="DD533">
        <v>3</v>
      </c>
      <c r="DE533">
        <v>3</v>
      </c>
      <c r="DF533">
        <f>IFERROR(AVERAGE(Tabel1[[#This Row],[In - V2a]:[In - V2c]]),"")</f>
        <v>2.3333333333333335</v>
      </c>
      <c r="DG533">
        <v>3</v>
      </c>
      <c r="DH533" t="s">
        <v>189</v>
      </c>
      <c r="DI533">
        <f>IFERROR(AVERAGE(Tabel1[[#This Row],[In - V3a]:[In - V3b]]),"")</f>
        <v>3</v>
      </c>
      <c r="DJ533" t="s">
        <v>189</v>
      </c>
      <c r="DK533">
        <f>IFERROR(AVERAGE(Tabel1[[#This Row],[In - V1]],Tabel1[[#This Row],[In - V2]],Tabel1[[#This Row],[In - V3]],Tabel1[[#This Row],[In - V4]]),"")</f>
        <v>2.4444444444444446</v>
      </c>
      <c r="DL533">
        <v>3</v>
      </c>
      <c r="DM533" t="s">
        <v>189</v>
      </c>
      <c r="DN533">
        <f>IFERROR(AVERAGE(Tabel1[[#This Row],[In - A1a]:[In - A1b]]),"")</f>
        <v>3</v>
      </c>
      <c r="DO533">
        <v>3</v>
      </c>
      <c r="DP533">
        <v>2</v>
      </c>
      <c r="DQ533">
        <f>IFERROR(AVERAGE(Tabel1[[#This Row],[In - A2a]:[In - A2b]]),"")</f>
        <v>2.5</v>
      </c>
      <c r="DR533">
        <v>3</v>
      </c>
      <c r="DS533">
        <v>2</v>
      </c>
      <c r="DT533">
        <f>IFERROR(AVERAGE(Tabel1[[#This Row],[In - A3a]:[In - A3a]]),"")</f>
        <v>3</v>
      </c>
      <c r="DU533" t="s">
        <v>189</v>
      </c>
      <c r="DV533">
        <f>IFERROR(AVERAGE(Tabel1[[#This Row],[In - A1]],Tabel1[[#This Row],[In - A2]],Tabel1[[#This Row],[In - A3]],Tabel1[[#This Row],[In - A4]]),"")</f>
        <v>2.8333333333333335</v>
      </c>
      <c r="DW533">
        <v>1</v>
      </c>
      <c r="DX533">
        <v>5</v>
      </c>
      <c r="DY533">
        <v>3</v>
      </c>
      <c r="DZ533">
        <f>IFERROR(AVERAGE(Tabel1[[#This Row],[Do - R1a]:[Do - R1c]]),"")</f>
        <v>3</v>
      </c>
      <c r="EA533">
        <v>2</v>
      </c>
      <c r="EB533">
        <v>3</v>
      </c>
      <c r="EC533">
        <v>1</v>
      </c>
      <c r="ED533" t="s">
        <v>189</v>
      </c>
      <c r="EE533">
        <f>IFERROR(AVERAGE(Tabel1[[#This Row],[Do - R1]:[Do - R5]]),"")</f>
        <v>2.25</v>
      </c>
      <c r="EF533">
        <v>2</v>
      </c>
      <c r="EG533">
        <v>2</v>
      </c>
      <c r="EH533">
        <v>2</v>
      </c>
      <c r="EI533">
        <f>IFERROR(AVERAGE(Tabel1[[#This Row],[Do - C1a]:[Do - C1c]]),"")</f>
        <v>2</v>
      </c>
      <c r="EJ533">
        <v>3</v>
      </c>
      <c r="EK533">
        <v>3</v>
      </c>
      <c r="EL533" t="s">
        <v>189</v>
      </c>
      <c r="EM533">
        <f>IFERROR(AVERAGE(Tabel1[[#This Row],[Do - C1]:[Do - C4]]),"")</f>
        <v>2.6666666666666665</v>
      </c>
      <c r="EN533">
        <v>4</v>
      </c>
      <c r="EO533">
        <v>5</v>
      </c>
      <c r="EP533" t="s">
        <v>189</v>
      </c>
      <c r="EQ533">
        <f>IFERROR(AVERAGE(Tabel1[[#This Row],[Do - F1a]:[Do - F1c]]),"")</f>
        <v>4.5</v>
      </c>
      <c r="ER533">
        <v>1</v>
      </c>
      <c r="ES533">
        <f>IFERROR(AVERAGE(Tabel1[[#This Row],[Do - F2a]:[Do - F2a]]),"")</f>
        <v>1</v>
      </c>
      <c r="ET533">
        <v>4</v>
      </c>
      <c r="EU533">
        <v>3</v>
      </c>
      <c r="EV533">
        <f>IFERROR(AVERAGE(Tabel1[[#This Row],[Do - F3a]:[Do - F3b]]),"")</f>
        <v>3.5</v>
      </c>
      <c r="EW533" t="s">
        <v>189</v>
      </c>
      <c r="EX533">
        <f>IFERROR(AVERAGE(Tabel1[[#This Row],[Do - F1]],Tabel1[[#This Row],[Do - F2]],Tabel1[[#This Row],[Do - F3]],Tabel1[[#This Row],[Do - F4]]),"")</f>
        <v>3</v>
      </c>
      <c r="EY533">
        <v>4</v>
      </c>
      <c r="EZ533">
        <v>2</v>
      </c>
      <c r="FA533">
        <v>4</v>
      </c>
      <c r="FB533">
        <f>IFERROR(AVERAGE(Tabel1[[#This Row],[Do - V1a]:[Do - V1c]]),"")</f>
        <v>3.3333333333333335</v>
      </c>
      <c r="FC533">
        <v>2</v>
      </c>
      <c r="FD533">
        <v>3</v>
      </c>
      <c r="FE533">
        <f>IFERROR(AVERAGE(Tabel1[[#This Row],[Do - V2a]:[Do - V2b]]),"")</f>
        <v>2.5</v>
      </c>
      <c r="FF533">
        <v>2</v>
      </c>
      <c r="FG533">
        <f>IFERROR(AVERAGE(Tabel1[[#This Row],[Do - V3a]:[Do - V3a]]),"")</f>
        <v>2</v>
      </c>
      <c r="FH533" t="s">
        <v>189</v>
      </c>
      <c r="FI533">
        <f>IFERROR(AVERAGE(Tabel1[[#This Row],[Do - V1]],Tabel1[[#This Row],[Do - V2]],Tabel1[[#This Row],[Do - V3]],Tabel1[[#This Row],[Do - V4]]),"")</f>
        <v>2.6111111111111112</v>
      </c>
      <c r="FJ533">
        <v>4</v>
      </c>
      <c r="FK533">
        <v>3</v>
      </c>
      <c r="FL533">
        <v>4</v>
      </c>
      <c r="FM533">
        <f>IFERROR(AVERAGE(Tabel1[[#This Row],[Do - A1a]:[Do - A1c]]),"")</f>
        <v>3.6666666666666665</v>
      </c>
      <c r="FN533">
        <v>4</v>
      </c>
      <c r="FO533">
        <v>4</v>
      </c>
      <c r="FP533">
        <f>IFERROR(AVERAGE(Tabel1[[#This Row],[Do - A2a]:[Do - A2b]]),"")</f>
        <v>4</v>
      </c>
      <c r="FQ533">
        <v>3</v>
      </c>
      <c r="FR533">
        <f>IFERROR(AVERAGE(Tabel1[[#This Row],[Do - A3a]:[Do - A3a]]),"")</f>
        <v>3</v>
      </c>
      <c r="FS533" t="s">
        <v>189</v>
      </c>
      <c r="FT533">
        <f>IFERROR(AVERAGE(Tabel1[[#This Row],[Do - A1]],Tabel1[[#This Row],[Do - A2]],Tabel1[[#This Row],[Do - A3]],Tabel1[[#This Row],[Do - A4]]),"")</f>
        <v>3.5555555555555554</v>
      </c>
      <c r="FU53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2.5981481481481485</v>
      </c>
      <c r="FV533" s="31" t="s">
        <v>2571</v>
      </c>
      <c r="FW533" t="b">
        <v>1</v>
      </c>
    </row>
    <row r="534" spans="1:179" x14ac:dyDescent="0.3">
      <c r="A534" s="13">
        <v>45905.389733796299</v>
      </c>
      <c r="B534" t="b">
        <v>0</v>
      </c>
      <c r="C534" t="s">
        <v>2572</v>
      </c>
      <c r="D534" t="s">
        <v>192</v>
      </c>
      <c r="E534" t="s">
        <v>2573</v>
      </c>
      <c r="F534" s="14" t="s">
        <v>184</v>
      </c>
      <c r="G534" t="s">
        <v>2574</v>
      </c>
      <c r="H534" t="s">
        <v>222</v>
      </c>
      <c r="I534" t="s">
        <v>542</v>
      </c>
      <c r="J534" t="s">
        <v>543</v>
      </c>
      <c r="K534" t="s">
        <v>304</v>
      </c>
      <c r="L534" t="s">
        <v>197</v>
      </c>
      <c r="M534" t="s">
        <v>188</v>
      </c>
      <c r="N534" t="s">
        <v>262</v>
      </c>
      <c r="O534" t="s">
        <v>200</v>
      </c>
      <c r="P534" t="s">
        <v>255</v>
      </c>
      <c r="Q534" t="s">
        <v>203</v>
      </c>
      <c r="R534" t="s">
        <v>202</v>
      </c>
      <c r="S534" t="s">
        <v>201</v>
      </c>
      <c r="T534" t="s">
        <v>236</v>
      </c>
      <c r="U534" t="s">
        <v>285</v>
      </c>
      <c r="V534" t="s">
        <v>224</v>
      </c>
      <c r="W534" t="s">
        <v>395</v>
      </c>
      <c r="X534" t="s">
        <v>207</v>
      </c>
      <c r="Y534">
        <v>3</v>
      </c>
      <c r="Z534">
        <v>3</v>
      </c>
      <c r="AA534" t="s">
        <v>189</v>
      </c>
      <c r="AB534">
        <f>IFERROR(AVERAGE(Tabel1[[#This Row],[Up - R1a]:[Up - R1c]]),"")</f>
        <v>3</v>
      </c>
      <c r="AC534" t="s">
        <v>189</v>
      </c>
      <c r="AD534" t="s">
        <v>189</v>
      </c>
      <c r="AE534" t="s">
        <v>189</v>
      </c>
      <c r="AF534" t="s">
        <v>189</v>
      </c>
      <c r="AG534">
        <f>IFERROR(AVERAGE(Tabel1[[#This Row],[Up - R1]:[Up - R5]]),"")</f>
        <v>3</v>
      </c>
      <c r="AH534">
        <v>4</v>
      </c>
      <c r="AI534">
        <v>3</v>
      </c>
      <c r="AJ534">
        <v>3</v>
      </c>
      <c r="AK534">
        <f>IFERROR(AVERAGE(Tabel1[[#This Row],[Up - C1a]:[Up - C1c]]),"")</f>
        <v>3.3333333333333335</v>
      </c>
      <c r="AL534">
        <v>2</v>
      </c>
      <c r="AM534">
        <v>2</v>
      </c>
      <c r="AN534">
        <v>3</v>
      </c>
      <c r="AO534">
        <f>IFERROR(AVERAGE(Tabel1[[#This Row],[Up - C1]:[Up - C4]]),"")</f>
        <v>2.5833333333333335</v>
      </c>
      <c r="AP534">
        <v>3</v>
      </c>
      <c r="AQ534">
        <f>IFERROR(AVERAGE(Tabel1[[#This Row],[Up - F1a]:[Up - F1a]]),"")</f>
        <v>3</v>
      </c>
      <c r="AR534">
        <v>2</v>
      </c>
      <c r="AS534">
        <v>2</v>
      </c>
      <c r="AT534">
        <f>IFERROR(AVERAGE(Tabel1[[#This Row],[Up - F2a]:[Up - F2b]]),"")</f>
        <v>2</v>
      </c>
      <c r="AU534">
        <v>2</v>
      </c>
      <c r="AV534">
        <v>3</v>
      </c>
      <c r="AW534">
        <f>IFERROR(AVERAGE(Tabel1[[#This Row],[Up - F3a]:[Up - F3b]]),"")</f>
        <v>2.5</v>
      </c>
      <c r="AX534">
        <v>3</v>
      </c>
      <c r="AY534">
        <f>IFERROR(AVERAGE(Tabel1[[#This Row],[Up - F1]],Tabel1[[#This Row],[Up - F2]],Tabel1[[#This Row],[Up - F3]],Tabel1[[#This Row],[Up - F4]]),"")</f>
        <v>2.625</v>
      </c>
      <c r="AZ534">
        <v>3</v>
      </c>
      <c r="BA534">
        <v>2</v>
      </c>
      <c r="BB534">
        <f>IFERROR(AVERAGE(Tabel1[[#This Row],[Up - V1a]:[Up - V1b]]),"")</f>
        <v>2.5</v>
      </c>
      <c r="BC534">
        <v>4</v>
      </c>
      <c r="BD534">
        <v>2</v>
      </c>
      <c r="BE534" t="s">
        <v>189</v>
      </c>
      <c r="BF534">
        <f>IFERROR(AVERAGE(Tabel1[[#This Row],[Up - V2a]:[Up - V2c]]),"")</f>
        <v>3</v>
      </c>
      <c r="BG534">
        <v>2</v>
      </c>
      <c r="BH534" t="s">
        <v>189</v>
      </c>
      <c r="BI534">
        <f>IFERROR(AVERAGE(Tabel1[[#This Row],[Up - V3a]:[Up - V3b]]),"")</f>
        <v>2</v>
      </c>
      <c r="BJ534" t="s">
        <v>189</v>
      </c>
      <c r="BK534">
        <f>IFERROR(AVERAGE(Tabel1[[#This Row],[Up - V1]],Tabel1[[#This Row],[Up - V2]],Tabel1[[#This Row],[Up - V3]],Tabel1[[#This Row],[Up - V4]]),"")</f>
        <v>2.5</v>
      </c>
      <c r="BL534">
        <v>3</v>
      </c>
      <c r="BM534">
        <v>3</v>
      </c>
      <c r="BN534">
        <v>3</v>
      </c>
      <c r="BO534" t="s">
        <v>189</v>
      </c>
      <c r="BP534">
        <f>IFERROR(AVERAGE(Tabel1[[#This Row],[Up - A1a]:[Up - A1d]]),"")</f>
        <v>3</v>
      </c>
      <c r="BQ534">
        <v>3</v>
      </c>
      <c r="BR534">
        <v>3</v>
      </c>
      <c r="BS534">
        <f>IFERROR(AVERAGE(Tabel1[[#This Row],[Up - A2a]:[Up - A2b]]),"")</f>
        <v>3</v>
      </c>
      <c r="BT534">
        <v>4</v>
      </c>
      <c r="BU534">
        <f>IFERROR(AVERAGE(Tabel1[[#This Row],[Up - A3a]:[Up - A3a]]),"")</f>
        <v>4</v>
      </c>
      <c r="BV534" t="s">
        <v>189</v>
      </c>
      <c r="BW534">
        <f>IFERROR(AVERAGE(Tabel1[[#This Row],[Up - A1]],Tabel1[[#This Row],[Up - A2]],Tabel1[[#This Row],[Up - A3]]),"")</f>
        <v>3.3333333333333335</v>
      </c>
      <c r="BX534">
        <v>3</v>
      </c>
      <c r="BY534">
        <v>2</v>
      </c>
      <c r="BZ534">
        <f>IFERROR(AVERAGE(Tabel1[[#This Row],[In - R1a]:[In - R1b]]),"")</f>
        <v>2.5</v>
      </c>
      <c r="CA534">
        <v>3</v>
      </c>
      <c r="CB534" t="s">
        <v>189</v>
      </c>
      <c r="CC534">
        <v>3</v>
      </c>
      <c r="CD534">
        <v>3</v>
      </c>
      <c r="CE534">
        <f>IFERROR(AVERAGE(Tabel1[[#This Row],[In - R1]:[In - R5]]),"")</f>
        <v>2.875</v>
      </c>
      <c r="CF534">
        <v>3</v>
      </c>
      <c r="CG534">
        <v>3</v>
      </c>
      <c r="CH534">
        <v>4</v>
      </c>
      <c r="CI534">
        <f>IFERROR(AVERAGE(Tabel1[[#This Row],[In - C1a]:[In - C1c]]),"")</f>
        <v>3.3333333333333335</v>
      </c>
      <c r="CJ534">
        <v>3</v>
      </c>
      <c r="CK534">
        <v>3</v>
      </c>
      <c r="CL534">
        <v>2</v>
      </c>
      <c r="CM534">
        <f>IFERROR(AVERAGE(Tabel1[[#This Row],[In - C1]:[In - C4]]),"")</f>
        <v>2.8333333333333335</v>
      </c>
      <c r="CN534">
        <v>4</v>
      </c>
      <c r="CO534">
        <v>4</v>
      </c>
      <c r="CP534">
        <v>4</v>
      </c>
      <c r="CQ534">
        <f>IFERROR(AVERAGE(Tabel1[[#This Row],[In - F1a]:[In - F1c]]),"")</f>
        <v>4</v>
      </c>
      <c r="CR534">
        <v>4</v>
      </c>
      <c r="CS534">
        <v>2</v>
      </c>
      <c r="CT534">
        <f>IFERROR(AVERAGE(Tabel1[[#This Row],[In - F2a]:[In - F2b]]),"")</f>
        <v>3</v>
      </c>
      <c r="CU534">
        <v>4</v>
      </c>
      <c r="CV534">
        <f>IFERROR(AVERAGE(Tabel1[[#This Row],[In - F3a]:[In - F3a]]),"")</f>
        <v>4</v>
      </c>
      <c r="CW534" t="s">
        <v>189</v>
      </c>
      <c r="CX534">
        <f>IFERROR(AVERAGE(Tabel1[[#This Row],[In - F1]],Tabel1[[#This Row],[In - F2]],Tabel1[[#This Row],[In - F3]],Tabel1[[#This Row],[In - F4]]),"")</f>
        <v>3.6666666666666665</v>
      </c>
      <c r="CY534">
        <v>3</v>
      </c>
      <c r="CZ534">
        <v>3</v>
      </c>
      <c r="DA534">
        <v>2</v>
      </c>
      <c r="DB534">
        <f>IFERROR(AVERAGE(Tabel1[[#This Row],[In - V1a]:[In - V1c]]),"")</f>
        <v>2.6666666666666665</v>
      </c>
      <c r="DC534">
        <v>3</v>
      </c>
      <c r="DD534">
        <v>2</v>
      </c>
      <c r="DE534">
        <v>3</v>
      </c>
      <c r="DF534">
        <f>IFERROR(AVERAGE(Tabel1[[#This Row],[In - V2a]:[In - V2c]]),"")</f>
        <v>2.6666666666666665</v>
      </c>
      <c r="DG534">
        <v>2</v>
      </c>
      <c r="DH534" t="s">
        <v>189</v>
      </c>
      <c r="DI534">
        <f>IFERROR(AVERAGE(Tabel1[[#This Row],[In - V3a]:[In - V3b]]),"")</f>
        <v>2</v>
      </c>
      <c r="DJ534" t="s">
        <v>189</v>
      </c>
      <c r="DK534">
        <f>IFERROR(AVERAGE(Tabel1[[#This Row],[In - V1]],Tabel1[[#This Row],[In - V2]],Tabel1[[#This Row],[In - V3]],Tabel1[[#This Row],[In - V4]]),"")</f>
        <v>2.4444444444444442</v>
      </c>
      <c r="DL534">
        <v>3</v>
      </c>
      <c r="DM534">
        <v>4</v>
      </c>
      <c r="DN534">
        <f>IFERROR(AVERAGE(Tabel1[[#This Row],[In - A1a]:[In - A1b]]),"")</f>
        <v>3.5</v>
      </c>
      <c r="DO534">
        <v>3</v>
      </c>
      <c r="DP534">
        <v>4</v>
      </c>
      <c r="DQ534">
        <f>IFERROR(AVERAGE(Tabel1[[#This Row],[In - A2a]:[In - A2b]]),"")</f>
        <v>3.5</v>
      </c>
      <c r="DR534">
        <v>5</v>
      </c>
      <c r="DS534">
        <v>3</v>
      </c>
      <c r="DT534">
        <f>IFERROR(AVERAGE(Tabel1[[#This Row],[In - A3a]:[In - A3a]]),"")</f>
        <v>5</v>
      </c>
      <c r="DU534">
        <v>2</v>
      </c>
      <c r="DV534">
        <f>IFERROR(AVERAGE(Tabel1[[#This Row],[In - A1]],Tabel1[[#This Row],[In - A2]],Tabel1[[#This Row],[In - A3]],Tabel1[[#This Row],[In - A4]]),"")</f>
        <v>3.5</v>
      </c>
      <c r="DW534">
        <v>2</v>
      </c>
      <c r="DX534">
        <v>5</v>
      </c>
      <c r="DY534">
        <v>3</v>
      </c>
      <c r="DZ534">
        <f>IFERROR(AVERAGE(Tabel1[[#This Row],[Do - R1a]:[Do - R1c]]),"")</f>
        <v>3.3333333333333335</v>
      </c>
      <c r="EA534" t="s">
        <v>189</v>
      </c>
      <c r="EB534">
        <v>3</v>
      </c>
      <c r="EC534">
        <v>4</v>
      </c>
      <c r="ED534">
        <v>3</v>
      </c>
      <c r="EE534">
        <f>IFERROR(AVERAGE(Tabel1[[#This Row],[Do - R1]:[Do - R5]]),"")</f>
        <v>3.3333333333333335</v>
      </c>
      <c r="EF534">
        <v>4</v>
      </c>
      <c r="EG534">
        <v>4</v>
      </c>
      <c r="EH534">
        <v>3</v>
      </c>
      <c r="EI534">
        <f>IFERROR(AVERAGE(Tabel1[[#This Row],[Do - C1a]:[Do - C1c]]),"")</f>
        <v>3.6666666666666665</v>
      </c>
      <c r="EJ534">
        <v>4</v>
      </c>
      <c r="EK534">
        <v>3</v>
      </c>
      <c r="EL534">
        <v>3</v>
      </c>
      <c r="EM534">
        <f>IFERROR(AVERAGE(Tabel1[[#This Row],[Do - C1]:[Do - C4]]),"")</f>
        <v>3.4166666666666665</v>
      </c>
      <c r="EN534">
        <v>4</v>
      </c>
      <c r="EO534">
        <v>2</v>
      </c>
      <c r="EP534">
        <v>3</v>
      </c>
      <c r="EQ534">
        <f>IFERROR(AVERAGE(Tabel1[[#This Row],[Do - F1a]:[Do - F1c]]),"")</f>
        <v>3</v>
      </c>
      <c r="ER534">
        <v>3</v>
      </c>
      <c r="ES534">
        <f>IFERROR(AVERAGE(Tabel1[[#This Row],[Do - F2a]:[Do - F2a]]),"")</f>
        <v>3</v>
      </c>
      <c r="ET534">
        <v>3</v>
      </c>
      <c r="EU534">
        <v>2</v>
      </c>
      <c r="EV534">
        <f>IFERROR(AVERAGE(Tabel1[[#This Row],[Do - F3a]:[Do - F3b]]),"")</f>
        <v>2.5</v>
      </c>
      <c r="EW534">
        <v>3</v>
      </c>
      <c r="EX534">
        <f>IFERROR(AVERAGE(Tabel1[[#This Row],[Do - F1]],Tabel1[[#This Row],[Do - F2]],Tabel1[[#This Row],[Do - F3]],Tabel1[[#This Row],[Do - F4]]),"")</f>
        <v>2.875</v>
      </c>
      <c r="EY534">
        <v>4</v>
      </c>
      <c r="EZ534">
        <v>2</v>
      </c>
      <c r="FA534">
        <v>5</v>
      </c>
      <c r="FB534">
        <f>IFERROR(AVERAGE(Tabel1[[#This Row],[Do - V1a]:[Do - V1c]]),"")</f>
        <v>3.6666666666666665</v>
      </c>
      <c r="FC534">
        <v>4</v>
      </c>
      <c r="FD534">
        <v>3</v>
      </c>
      <c r="FE534">
        <f>IFERROR(AVERAGE(Tabel1[[#This Row],[Do - V2a]:[Do - V2b]]),"")</f>
        <v>3.5</v>
      </c>
      <c r="FF534">
        <v>3</v>
      </c>
      <c r="FG534">
        <f>IFERROR(AVERAGE(Tabel1[[#This Row],[Do - V3a]:[Do - V3a]]),"")</f>
        <v>3</v>
      </c>
      <c r="FH534">
        <v>2</v>
      </c>
      <c r="FI534">
        <f>IFERROR(AVERAGE(Tabel1[[#This Row],[Do - V1]],Tabel1[[#This Row],[Do - V2]],Tabel1[[#This Row],[Do - V3]],Tabel1[[#This Row],[Do - V4]]),"")</f>
        <v>3.0416666666666665</v>
      </c>
      <c r="FJ534" t="s">
        <v>189</v>
      </c>
      <c r="FK534">
        <v>3</v>
      </c>
      <c r="FL534">
        <v>3</v>
      </c>
      <c r="FM534">
        <f>IFERROR(AVERAGE(Tabel1[[#This Row],[Do - A1a]:[Do - A1c]]),"")</f>
        <v>3</v>
      </c>
      <c r="FN534">
        <v>3</v>
      </c>
      <c r="FO534">
        <v>4</v>
      </c>
      <c r="FP534">
        <f>IFERROR(AVERAGE(Tabel1[[#This Row],[Do - A2a]:[Do - A2b]]),"")</f>
        <v>3.5</v>
      </c>
      <c r="FQ534">
        <v>4</v>
      </c>
      <c r="FR534">
        <f>IFERROR(AVERAGE(Tabel1[[#This Row],[Do - A3a]:[Do - A3a]]),"")</f>
        <v>4</v>
      </c>
      <c r="FS534" t="s">
        <v>189</v>
      </c>
      <c r="FT534">
        <f>IFERROR(AVERAGE(Tabel1[[#This Row],[Do - A1]],Tabel1[[#This Row],[Do - A2]],Tabel1[[#This Row],[Do - A3]],Tabel1[[#This Row],[Do - A4]]),"")</f>
        <v>3.5</v>
      </c>
      <c r="FU53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3.0351851851851848</v>
      </c>
      <c r="FV534" s="31" t="s">
        <v>2575</v>
      </c>
      <c r="FW534" t="b">
        <v>1</v>
      </c>
    </row>
    <row r="535" spans="1:179" x14ac:dyDescent="0.3">
      <c r="A535" s="13">
        <v>45923.551562499997</v>
      </c>
      <c r="B535" t="b">
        <v>0</v>
      </c>
      <c r="C535" t="s">
        <v>2576</v>
      </c>
      <c r="D535" t="s">
        <v>2577</v>
      </c>
      <c r="E535" t="s">
        <v>2578</v>
      </c>
      <c r="F535" s="14" t="s">
        <v>184</v>
      </c>
      <c r="G535" t="s">
        <v>2579</v>
      </c>
      <c r="H535" t="s">
        <v>222</v>
      </c>
      <c r="I535" t="s">
        <v>195</v>
      </c>
      <c r="J535" t="s">
        <v>533</v>
      </c>
      <c r="K535" t="s">
        <v>201</v>
      </c>
      <c r="M535" t="s">
        <v>198</v>
      </c>
      <c r="N535" t="s">
        <v>262</v>
      </c>
      <c r="O535" t="s">
        <v>200</v>
      </c>
      <c r="P535" t="s">
        <v>304</v>
      </c>
      <c r="Q535" t="s">
        <v>255</v>
      </c>
      <c r="R535" t="s">
        <v>187</v>
      </c>
      <c r="S535" t="s">
        <v>235</v>
      </c>
      <c r="T535" t="s">
        <v>236</v>
      </c>
      <c r="U535" t="s">
        <v>285</v>
      </c>
      <c r="V535" t="s">
        <v>224</v>
      </c>
      <c r="W535" t="s">
        <v>207</v>
      </c>
      <c r="X535" t="s">
        <v>395</v>
      </c>
      <c r="Y535">
        <v>3</v>
      </c>
      <c r="Z535">
        <v>4</v>
      </c>
      <c r="AA535">
        <v>5</v>
      </c>
      <c r="AB535">
        <f>IFERROR(AVERAGE(Tabel1[[#This Row],[Up - R1a]:[Up - R1c]]),"")</f>
        <v>4</v>
      </c>
      <c r="AC535" t="s">
        <v>189</v>
      </c>
      <c r="AD535">
        <v>4</v>
      </c>
      <c r="AE535">
        <v>3</v>
      </c>
      <c r="AF535">
        <v>5</v>
      </c>
      <c r="AG535">
        <f>IFERROR(AVERAGE(Tabel1[[#This Row],[Up - R1]:[Up - R5]]),"")</f>
        <v>4</v>
      </c>
      <c r="AH535">
        <v>5</v>
      </c>
      <c r="AI535">
        <v>4</v>
      </c>
      <c r="AJ535">
        <v>4</v>
      </c>
      <c r="AK535">
        <f>IFERROR(AVERAGE(Tabel1[[#This Row],[Up - C1a]:[Up - C1c]]),"")</f>
        <v>4.333333333333333</v>
      </c>
      <c r="AL535">
        <v>1</v>
      </c>
      <c r="AM535">
        <v>4</v>
      </c>
      <c r="AN535">
        <v>5</v>
      </c>
      <c r="AO535">
        <f>IFERROR(AVERAGE(Tabel1[[#This Row],[Up - C1]:[Up - C4]]),"")</f>
        <v>3.583333333333333</v>
      </c>
      <c r="AP535">
        <v>5</v>
      </c>
      <c r="AQ535">
        <f>IFERROR(AVERAGE(Tabel1[[#This Row],[Up - F1a]:[Up - F1a]]),"")</f>
        <v>5</v>
      </c>
      <c r="AR535">
        <v>2</v>
      </c>
      <c r="AS535">
        <v>5</v>
      </c>
      <c r="AT535">
        <f>IFERROR(AVERAGE(Tabel1[[#This Row],[Up - F2a]:[Up - F2b]]),"")</f>
        <v>3.5</v>
      </c>
      <c r="AU535">
        <v>1</v>
      </c>
      <c r="AV535">
        <v>1</v>
      </c>
      <c r="AW535">
        <f>IFERROR(AVERAGE(Tabel1[[#This Row],[Up - F3a]:[Up - F3b]]),"")</f>
        <v>1</v>
      </c>
      <c r="AX535">
        <v>3</v>
      </c>
      <c r="AY535">
        <f>IFERROR(AVERAGE(Tabel1[[#This Row],[Up - F1]],Tabel1[[#This Row],[Up - F2]],Tabel1[[#This Row],[Up - F3]],Tabel1[[#This Row],[Up - F4]]),"")</f>
        <v>3.125</v>
      </c>
      <c r="AZ535">
        <v>1</v>
      </c>
      <c r="BA535">
        <v>5</v>
      </c>
      <c r="BB535">
        <f>IFERROR(AVERAGE(Tabel1[[#This Row],[Up - V1a]:[Up - V1b]]),"")</f>
        <v>3</v>
      </c>
      <c r="BC535">
        <v>3</v>
      </c>
      <c r="BD535">
        <v>5</v>
      </c>
      <c r="BE535">
        <v>5</v>
      </c>
      <c r="BF535">
        <f>IFERROR(AVERAGE(Tabel1[[#This Row],[Up - V2a]:[Up - V2c]]),"")</f>
        <v>4.333333333333333</v>
      </c>
      <c r="BG535">
        <v>3</v>
      </c>
      <c r="BH535" t="s">
        <v>189</v>
      </c>
      <c r="BI535">
        <f>IFERROR(AVERAGE(Tabel1[[#This Row],[Up - V3a]:[Up - V3b]]),"")</f>
        <v>3</v>
      </c>
      <c r="BJ535">
        <v>5</v>
      </c>
      <c r="BK535">
        <f>IFERROR(AVERAGE(Tabel1[[#This Row],[Up - V1]],Tabel1[[#This Row],[Up - V2]],Tabel1[[#This Row],[Up - V3]],Tabel1[[#This Row],[Up - V4]]),"")</f>
        <v>3.833333333333333</v>
      </c>
      <c r="BL535">
        <v>3</v>
      </c>
      <c r="BM535">
        <v>3</v>
      </c>
      <c r="BN535">
        <v>1</v>
      </c>
      <c r="BO535" t="s">
        <v>189</v>
      </c>
      <c r="BP535">
        <f>IFERROR(AVERAGE(Tabel1[[#This Row],[Up - A1a]:[Up - A1d]]),"")</f>
        <v>2.3333333333333335</v>
      </c>
      <c r="BQ535" t="s">
        <v>189</v>
      </c>
      <c r="BR535">
        <v>3</v>
      </c>
      <c r="BS535">
        <f>IFERROR(AVERAGE(Tabel1[[#This Row],[Up - A2a]:[Up - A2b]]),"")</f>
        <v>3</v>
      </c>
      <c r="BT535">
        <v>5</v>
      </c>
      <c r="BU535">
        <f>IFERROR(AVERAGE(Tabel1[[#This Row],[Up - A3a]:[Up - A3a]]),"")</f>
        <v>5</v>
      </c>
      <c r="BV535" t="s">
        <v>189</v>
      </c>
      <c r="BW535">
        <f>IFERROR(AVERAGE(Tabel1[[#This Row],[Up - A1]],Tabel1[[#This Row],[Up - A2]],Tabel1[[#This Row],[Up - A3]]),"")</f>
        <v>3.4444444444444446</v>
      </c>
      <c r="BX535">
        <v>5</v>
      </c>
      <c r="BY535">
        <v>5</v>
      </c>
      <c r="BZ535">
        <f>IFERROR(AVERAGE(Tabel1[[#This Row],[In - R1a]:[In - R1b]]),"")</f>
        <v>5</v>
      </c>
      <c r="CA535">
        <v>5</v>
      </c>
      <c r="CB535">
        <v>5</v>
      </c>
      <c r="CC535">
        <v>1</v>
      </c>
      <c r="CD535">
        <v>3</v>
      </c>
      <c r="CE535">
        <f>IFERROR(AVERAGE(Tabel1[[#This Row],[In - R1]:[In - R5]]),"")</f>
        <v>3.8</v>
      </c>
      <c r="CF535">
        <v>1</v>
      </c>
      <c r="CG535">
        <v>1</v>
      </c>
      <c r="CH535">
        <v>4</v>
      </c>
      <c r="CI535">
        <f>IFERROR(AVERAGE(Tabel1[[#This Row],[In - C1a]:[In - C1c]]),"")</f>
        <v>2</v>
      </c>
      <c r="CJ535">
        <v>1</v>
      </c>
      <c r="CK535">
        <v>1</v>
      </c>
      <c r="CL535">
        <v>3</v>
      </c>
      <c r="CM535">
        <f>IFERROR(AVERAGE(Tabel1[[#This Row],[In - C1]:[In - C4]]),"")</f>
        <v>1.75</v>
      </c>
      <c r="CN535">
        <v>4</v>
      </c>
      <c r="CO535">
        <v>1</v>
      </c>
      <c r="CP535">
        <v>3</v>
      </c>
      <c r="CQ535">
        <f>IFERROR(AVERAGE(Tabel1[[#This Row],[In - F1a]:[In - F1c]]),"")</f>
        <v>2.6666666666666665</v>
      </c>
      <c r="CR535">
        <v>3</v>
      </c>
      <c r="CS535">
        <v>4</v>
      </c>
      <c r="CT535">
        <f>IFERROR(AVERAGE(Tabel1[[#This Row],[In - F2a]:[In - F2b]]),"")</f>
        <v>3.5</v>
      </c>
      <c r="CU535">
        <v>3</v>
      </c>
      <c r="CV535">
        <f>IFERROR(AVERAGE(Tabel1[[#This Row],[In - F3a]:[In - F3a]]),"")</f>
        <v>3</v>
      </c>
      <c r="CW535">
        <v>2</v>
      </c>
      <c r="CX535">
        <f>IFERROR(AVERAGE(Tabel1[[#This Row],[In - F1]],Tabel1[[#This Row],[In - F2]],Tabel1[[#This Row],[In - F3]],Tabel1[[#This Row],[In - F4]]),"")</f>
        <v>2.7916666666666665</v>
      </c>
      <c r="CY535">
        <v>4</v>
      </c>
      <c r="CZ535" t="s">
        <v>189</v>
      </c>
      <c r="DA535" t="s">
        <v>189</v>
      </c>
      <c r="DB535">
        <f>IFERROR(AVERAGE(Tabel1[[#This Row],[In - V1a]:[In - V1c]]),"")</f>
        <v>4</v>
      </c>
      <c r="DC535">
        <v>3</v>
      </c>
      <c r="DD535" t="s">
        <v>189</v>
      </c>
      <c r="DE535">
        <v>1</v>
      </c>
      <c r="DF535">
        <f>IFERROR(AVERAGE(Tabel1[[#This Row],[In - V2a]:[In - V2c]]),"")</f>
        <v>2</v>
      </c>
      <c r="DG535" t="s">
        <v>189</v>
      </c>
      <c r="DH535">
        <v>3</v>
      </c>
      <c r="DI535">
        <f>IFERROR(AVERAGE(Tabel1[[#This Row],[In - V3a]:[In - V3b]]),"")</f>
        <v>3</v>
      </c>
      <c r="DJ535">
        <v>4</v>
      </c>
      <c r="DK535">
        <f>IFERROR(AVERAGE(Tabel1[[#This Row],[In - V1]],Tabel1[[#This Row],[In - V2]],Tabel1[[#This Row],[In - V3]],Tabel1[[#This Row],[In - V4]]),"")</f>
        <v>3.25</v>
      </c>
      <c r="DL535">
        <v>1</v>
      </c>
      <c r="DM535" t="s">
        <v>189</v>
      </c>
      <c r="DN535">
        <f>IFERROR(AVERAGE(Tabel1[[#This Row],[In - A1a]:[In - A1b]]),"")</f>
        <v>1</v>
      </c>
      <c r="DO535">
        <v>5</v>
      </c>
      <c r="DP535">
        <v>3</v>
      </c>
      <c r="DQ535">
        <f>IFERROR(AVERAGE(Tabel1[[#This Row],[In - A2a]:[In - A2b]]),"")</f>
        <v>4</v>
      </c>
      <c r="DR535">
        <v>5</v>
      </c>
      <c r="DS535">
        <v>5</v>
      </c>
      <c r="DT535">
        <f>IFERROR(AVERAGE(Tabel1[[#This Row],[In - A3a]:[In - A3a]]),"")</f>
        <v>5</v>
      </c>
      <c r="DU535">
        <v>1</v>
      </c>
      <c r="DV535">
        <f>IFERROR(AVERAGE(Tabel1[[#This Row],[In - A1]],Tabel1[[#This Row],[In - A2]],Tabel1[[#This Row],[In - A3]],Tabel1[[#This Row],[In - A4]]),"")</f>
        <v>2.75</v>
      </c>
      <c r="DW535">
        <v>2</v>
      </c>
      <c r="DX535">
        <v>5</v>
      </c>
      <c r="DY535">
        <v>3</v>
      </c>
      <c r="DZ535">
        <f>IFERROR(AVERAGE(Tabel1[[#This Row],[Do - R1a]:[Do - R1c]]),"")</f>
        <v>3.3333333333333335</v>
      </c>
      <c r="EA535">
        <v>4</v>
      </c>
      <c r="EB535">
        <v>4</v>
      </c>
      <c r="EC535" t="s">
        <v>189</v>
      </c>
      <c r="ED535" t="s">
        <v>189</v>
      </c>
      <c r="EE535">
        <f>IFERROR(AVERAGE(Tabel1[[#This Row],[Do - R1]:[Do - R5]]),"")</f>
        <v>3.7777777777777781</v>
      </c>
      <c r="EF535">
        <v>5</v>
      </c>
      <c r="EG535">
        <v>1</v>
      </c>
      <c r="EH535">
        <v>2</v>
      </c>
      <c r="EI535">
        <f>IFERROR(AVERAGE(Tabel1[[#This Row],[Do - C1a]:[Do - C1c]]),"")</f>
        <v>2.6666666666666665</v>
      </c>
      <c r="EJ535">
        <v>3</v>
      </c>
      <c r="EK535">
        <v>1</v>
      </c>
      <c r="EL535">
        <v>1</v>
      </c>
      <c r="EM535">
        <f>IFERROR(AVERAGE(Tabel1[[#This Row],[Do - C1]:[Do - C4]]),"")</f>
        <v>1.9166666666666665</v>
      </c>
      <c r="EN535">
        <v>5</v>
      </c>
      <c r="EO535">
        <v>1</v>
      </c>
      <c r="EP535" t="s">
        <v>189</v>
      </c>
      <c r="EQ535">
        <f>IFERROR(AVERAGE(Tabel1[[#This Row],[Do - F1a]:[Do - F1c]]),"")</f>
        <v>3</v>
      </c>
      <c r="ER535">
        <v>2</v>
      </c>
      <c r="ES535">
        <f>IFERROR(AVERAGE(Tabel1[[#This Row],[Do - F2a]:[Do - F2a]]),"")</f>
        <v>2</v>
      </c>
      <c r="ET535">
        <v>2</v>
      </c>
      <c r="EU535">
        <v>4</v>
      </c>
      <c r="EV535">
        <f>IFERROR(AVERAGE(Tabel1[[#This Row],[Do - F3a]:[Do - F3b]]),"")</f>
        <v>3</v>
      </c>
      <c r="EW535">
        <v>4</v>
      </c>
      <c r="EX535">
        <f>IFERROR(AVERAGE(Tabel1[[#This Row],[Do - F1]],Tabel1[[#This Row],[Do - F2]],Tabel1[[#This Row],[Do - F3]],Tabel1[[#This Row],[Do - F4]]),"")</f>
        <v>3</v>
      </c>
      <c r="EY535" t="s">
        <v>189</v>
      </c>
      <c r="EZ535" t="s">
        <v>189</v>
      </c>
      <c r="FA535">
        <v>5</v>
      </c>
      <c r="FB535">
        <f>IFERROR(AVERAGE(Tabel1[[#This Row],[Do - V1a]:[Do - V1c]]),"")</f>
        <v>5</v>
      </c>
      <c r="FC535" t="s">
        <v>189</v>
      </c>
      <c r="FD535" t="s">
        <v>189</v>
      </c>
      <c r="FE535" t="str">
        <f>IFERROR(AVERAGE(Tabel1[[#This Row],[Do - V2a]:[Do - V2b]]),"")</f>
        <v/>
      </c>
      <c r="FF535" t="s">
        <v>189</v>
      </c>
      <c r="FG535" t="str">
        <f>IFERROR(AVERAGE(Tabel1[[#This Row],[Do - V3a]:[Do - V3a]]),"")</f>
        <v/>
      </c>
      <c r="FH535">
        <v>2</v>
      </c>
      <c r="FI535">
        <f>IFERROR(AVERAGE(Tabel1[[#This Row],[Do - V1]],Tabel1[[#This Row],[Do - V2]],Tabel1[[#This Row],[Do - V3]],Tabel1[[#This Row],[Do - V4]]),"")</f>
        <v>3.5</v>
      </c>
      <c r="FJ535">
        <v>5</v>
      </c>
      <c r="FK535">
        <v>3</v>
      </c>
      <c r="FL535">
        <v>5</v>
      </c>
      <c r="FM535">
        <f>IFERROR(AVERAGE(Tabel1[[#This Row],[Do - A1a]:[Do - A1c]]),"")</f>
        <v>4.333333333333333</v>
      </c>
      <c r="FN535">
        <v>5</v>
      </c>
      <c r="FO535">
        <v>5</v>
      </c>
      <c r="FP535">
        <f>IFERROR(AVERAGE(Tabel1[[#This Row],[Do - A2a]:[Do - A2b]]),"")</f>
        <v>5</v>
      </c>
      <c r="FQ535">
        <v>5</v>
      </c>
      <c r="FR535">
        <f>IFERROR(AVERAGE(Tabel1[[#This Row],[Do - A3a]:[Do - A3a]]),"")</f>
        <v>5</v>
      </c>
      <c r="FS535">
        <v>2</v>
      </c>
      <c r="FT535">
        <f>IFERROR(AVERAGE(Tabel1[[#This Row],[Do - A1]],Tabel1[[#This Row],[Do - A2]],Tabel1[[#This Row],[Do - A3]],Tabel1[[#This Row],[Do - A4]]),"")</f>
        <v>4.083333333333333</v>
      </c>
      <c r="FU53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3.2403703703703703</v>
      </c>
      <c r="FV535" s="31" t="s">
        <v>2580</v>
      </c>
      <c r="FW535" t="b">
        <v>1</v>
      </c>
    </row>
    <row r="536" spans="1:179" x14ac:dyDescent="0.3">
      <c r="A536" s="13">
        <v>45924.301134259302</v>
      </c>
      <c r="B536" t="b">
        <v>0</v>
      </c>
      <c r="C536" t="s">
        <v>2581</v>
      </c>
      <c r="D536" t="s">
        <v>1368</v>
      </c>
      <c r="E536" t="s">
        <v>2582</v>
      </c>
      <c r="F536" s="14" t="s">
        <v>184</v>
      </c>
      <c r="G536" t="s">
        <v>2583</v>
      </c>
      <c r="H536" t="s">
        <v>222</v>
      </c>
      <c r="I536" t="s">
        <v>195</v>
      </c>
      <c r="J536" t="s">
        <v>589</v>
      </c>
      <c r="K536" t="s">
        <v>201</v>
      </c>
      <c r="L536" t="s">
        <v>218</v>
      </c>
      <c r="M536" t="s">
        <v>233</v>
      </c>
      <c r="N536" t="s">
        <v>262</v>
      </c>
      <c r="O536" t="s">
        <v>256</v>
      </c>
      <c r="P536" t="s">
        <v>304</v>
      </c>
      <c r="Q536" t="s">
        <v>304</v>
      </c>
      <c r="R536" t="s">
        <v>235</v>
      </c>
      <c r="S536" t="s">
        <v>202</v>
      </c>
      <c r="T536" t="s">
        <v>236</v>
      </c>
      <c r="U536" t="s">
        <v>285</v>
      </c>
      <c r="V536" t="s">
        <v>224</v>
      </c>
      <c r="W536" t="s">
        <v>207</v>
      </c>
      <c r="X536" t="s">
        <v>395</v>
      </c>
      <c r="Y536">
        <v>4</v>
      </c>
      <c r="Z536">
        <v>2</v>
      </c>
      <c r="AA536" t="s">
        <v>189</v>
      </c>
      <c r="AB536">
        <f>IFERROR(AVERAGE(Tabel1[[#This Row],[Up - R1a]:[Up - R1c]]),"")</f>
        <v>3</v>
      </c>
      <c r="AC536">
        <v>2</v>
      </c>
      <c r="AD536">
        <v>1</v>
      </c>
      <c r="AE536">
        <v>3</v>
      </c>
      <c r="AF536" t="s">
        <v>189</v>
      </c>
      <c r="AG536">
        <f>IFERROR(AVERAGE(Tabel1[[#This Row],[Up - R1]:[Up - R5]]),"")</f>
        <v>2.25</v>
      </c>
      <c r="AH536">
        <v>3</v>
      </c>
      <c r="AI536">
        <v>3</v>
      </c>
      <c r="AJ536">
        <v>2</v>
      </c>
      <c r="AK536">
        <f>IFERROR(AVERAGE(Tabel1[[#This Row],[Up - C1a]:[Up - C1c]]),"")</f>
        <v>2.6666666666666665</v>
      </c>
      <c r="AL536">
        <v>3</v>
      </c>
      <c r="AM536">
        <v>2</v>
      </c>
      <c r="AN536" t="s">
        <v>189</v>
      </c>
      <c r="AO536">
        <f>IFERROR(AVERAGE(Tabel1[[#This Row],[Up - C1]:[Up - C4]]),"")</f>
        <v>2.5555555555555554</v>
      </c>
      <c r="AP536">
        <v>1</v>
      </c>
      <c r="AQ536">
        <f>IFERROR(AVERAGE(Tabel1[[#This Row],[Up - F1a]:[Up - F1a]]),"")</f>
        <v>1</v>
      </c>
      <c r="AR536">
        <v>1</v>
      </c>
      <c r="AS536">
        <v>3</v>
      </c>
      <c r="AT536">
        <f>IFERROR(AVERAGE(Tabel1[[#This Row],[Up - F2a]:[Up - F2b]]),"")</f>
        <v>2</v>
      </c>
      <c r="AU536">
        <v>1</v>
      </c>
      <c r="AV536">
        <v>1</v>
      </c>
      <c r="AW536">
        <f>IFERROR(AVERAGE(Tabel1[[#This Row],[Up - F3a]:[Up - F3b]]),"")</f>
        <v>1</v>
      </c>
      <c r="AX536">
        <v>2</v>
      </c>
      <c r="AY536">
        <f>IFERROR(AVERAGE(Tabel1[[#This Row],[Up - F1]],Tabel1[[#This Row],[Up - F2]],Tabel1[[#This Row],[Up - F3]],Tabel1[[#This Row],[Up - F4]]),"")</f>
        <v>1.5</v>
      </c>
      <c r="AZ536">
        <v>1</v>
      </c>
      <c r="BA536">
        <v>3</v>
      </c>
      <c r="BB536">
        <f>IFERROR(AVERAGE(Tabel1[[#This Row],[Up - V1a]:[Up - V1b]]),"")</f>
        <v>2</v>
      </c>
      <c r="BC536">
        <v>3</v>
      </c>
      <c r="BD536">
        <v>3</v>
      </c>
      <c r="BE536">
        <v>2</v>
      </c>
      <c r="BF536">
        <f>IFERROR(AVERAGE(Tabel1[[#This Row],[Up - V2a]:[Up - V2c]]),"")</f>
        <v>2.6666666666666665</v>
      </c>
      <c r="BG536">
        <v>3</v>
      </c>
      <c r="BH536">
        <v>1</v>
      </c>
      <c r="BI536">
        <f>IFERROR(AVERAGE(Tabel1[[#This Row],[Up - V3a]:[Up - V3b]]),"")</f>
        <v>2</v>
      </c>
      <c r="BJ536">
        <v>2</v>
      </c>
      <c r="BK536">
        <f>IFERROR(AVERAGE(Tabel1[[#This Row],[Up - V1]],Tabel1[[#This Row],[Up - V2]],Tabel1[[#This Row],[Up - V3]],Tabel1[[#This Row],[Up - V4]]),"")</f>
        <v>2.1666666666666665</v>
      </c>
      <c r="BL536">
        <v>2</v>
      </c>
      <c r="BM536">
        <v>4</v>
      </c>
      <c r="BN536">
        <v>2</v>
      </c>
      <c r="BO536">
        <v>2</v>
      </c>
      <c r="BP536">
        <f>IFERROR(AVERAGE(Tabel1[[#This Row],[Up - A1a]:[Up - A1d]]),"")</f>
        <v>2.5</v>
      </c>
      <c r="BQ536">
        <v>2</v>
      </c>
      <c r="BR536">
        <v>1</v>
      </c>
      <c r="BS536">
        <f>IFERROR(AVERAGE(Tabel1[[#This Row],[Up - A2a]:[Up - A2b]]),"")</f>
        <v>1.5</v>
      </c>
      <c r="BT536">
        <v>4</v>
      </c>
      <c r="BU536">
        <f>IFERROR(AVERAGE(Tabel1[[#This Row],[Up - A3a]:[Up - A3a]]),"")</f>
        <v>4</v>
      </c>
      <c r="BV536" t="s">
        <v>189</v>
      </c>
      <c r="BW536">
        <f>IFERROR(AVERAGE(Tabel1[[#This Row],[Up - A1]],Tabel1[[#This Row],[Up - A2]],Tabel1[[#This Row],[Up - A3]]),"")</f>
        <v>2.6666666666666665</v>
      </c>
      <c r="BX536">
        <v>4</v>
      </c>
      <c r="BY536">
        <v>4</v>
      </c>
      <c r="BZ536">
        <f>IFERROR(AVERAGE(Tabel1[[#This Row],[In - R1a]:[In - R1b]]),"")</f>
        <v>4</v>
      </c>
      <c r="CA536">
        <v>3</v>
      </c>
      <c r="CB536">
        <v>1</v>
      </c>
      <c r="CC536">
        <v>1</v>
      </c>
      <c r="CD536">
        <v>4</v>
      </c>
      <c r="CE536">
        <f>IFERROR(AVERAGE(Tabel1[[#This Row],[In - R1]:[In - R5]]),"")</f>
        <v>2.6</v>
      </c>
      <c r="CF536">
        <v>4</v>
      </c>
      <c r="CG536">
        <v>3</v>
      </c>
      <c r="CH536">
        <v>4</v>
      </c>
      <c r="CI536">
        <f>IFERROR(AVERAGE(Tabel1[[#This Row],[In - C1a]:[In - C1c]]),"")</f>
        <v>3.6666666666666665</v>
      </c>
      <c r="CJ536">
        <v>3</v>
      </c>
      <c r="CK536">
        <v>2</v>
      </c>
      <c r="CL536">
        <v>4</v>
      </c>
      <c r="CM536">
        <f>IFERROR(AVERAGE(Tabel1[[#This Row],[In - C1]:[In - C4]]),"")</f>
        <v>3.1666666666666665</v>
      </c>
      <c r="CN536">
        <v>4</v>
      </c>
      <c r="CO536">
        <v>2</v>
      </c>
      <c r="CP536">
        <v>2</v>
      </c>
      <c r="CQ536">
        <f>IFERROR(AVERAGE(Tabel1[[#This Row],[In - F1a]:[In - F1c]]),"")</f>
        <v>2.6666666666666665</v>
      </c>
      <c r="CR536">
        <v>4</v>
      </c>
      <c r="CS536">
        <v>3</v>
      </c>
      <c r="CT536">
        <f>IFERROR(AVERAGE(Tabel1[[#This Row],[In - F2a]:[In - F2b]]),"")</f>
        <v>3.5</v>
      </c>
      <c r="CU536">
        <v>2</v>
      </c>
      <c r="CV536">
        <f>IFERROR(AVERAGE(Tabel1[[#This Row],[In - F3a]:[In - F3a]]),"")</f>
        <v>2</v>
      </c>
      <c r="CW536">
        <v>3</v>
      </c>
      <c r="CX536">
        <f>IFERROR(AVERAGE(Tabel1[[#This Row],[In - F1]],Tabel1[[#This Row],[In - F2]],Tabel1[[#This Row],[In - F3]],Tabel1[[#This Row],[In - F4]]),"")</f>
        <v>2.7916666666666665</v>
      </c>
      <c r="CY536">
        <v>3</v>
      </c>
      <c r="CZ536">
        <v>3</v>
      </c>
      <c r="DA536">
        <v>1</v>
      </c>
      <c r="DB536">
        <f>IFERROR(AVERAGE(Tabel1[[#This Row],[In - V1a]:[In - V1c]]),"")</f>
        <v>2.3333333333333335</v>
      </c>
      <c r="DC536" t="s">
        <v>189</v>
      </c>
      <c r="DD536" t="s">
        <v>189</v>
      </c>
      <c r="DE536">
        <v>1</v>
      </c>
      <c r="DF536">
        <f>IFERROR(AVERAGE(Tabel1[[#This Row],[In - V2a]:[In - V2c]]),"")</f>
        <v>1</v>
      </c>
      <c r="DG536">
        <v>2</v>
      </c>
      <c r="DH536">
        <v>3</v>
      </c>
      <c r="DI536">
        <f>IFERROR(AVERAGE(Tabel1[[#This Row],[In - V3a]:[In - V3b]]),"")</f>
        <v>2.5</v>
      </c>
      <c r="DJ536">
        <v>2</v>
      </c>
      <c r="DK536">
        <f>IFERROR(AVERAGE(Tabel1[[#This Row],[In - V1]],Tabel1[[#This Row],[In - V2]],Tabel1[[#This Row],[In - V3]],Tabel1[[#This Row],[In - V4]]),"")</f>
        <v>1.9583333333333335</v>
      </c>
      <c r="DL536">
        <v>3</v>
      </c>
      <c r="DM536">
        <v>3</v>
      </c>
      <c r="DN536">
        <f>IFERROR(AVERAGE(Tabel1[[#This Row],[In - A1a]:[In - A1b]]),"")</f>
        <v>3</v>
      </c>
      <c r="DO536" t="s">
        <v>189</v>
      </c>
      <c r="DP536">
        <v>1</v>
      </c>
      <c r="DQ536">
        <f>IFERROR(AVERAGE(Tabel1[[#This Row],[In - A2a]:[In - A2b]]),"")</f>
        <v>1</v>
      </c>
      <c r="DR536">
        <v>5</v>
      </c>
      <c r="DS536">
        <v>3</v>
      </c>
      <c r="DT536">
        <f>IFERROR(AVERAGE(Tabel1[[#This Row],[In - A3a]:[In - A3a]]),"")</f>
        <v>5</v>
      </c>
      <c r="DU536">
        <v>2</v>
      </c>
      <c r="DV536">
        <f>IFERROR(AVERAGE(Tabel1[[#This Row],[In - A1]],Tabel1[[#This Row],[In - A2]],Tabel1[[#This Row],[In - A3]],Tabel1[[#This Row],[In - A4]]),"")</f>
        <v>2.75</v>
      </c>
      <c r="DW536">
        <v>3</v>
      </c>
      <c r="DX536">
        <v>5</v>
      </c>
      <c r="DY536">
        <v>3</v>
      </c>
      <c r="DZ536">
        <f>IFERROR(AVERAGE(Tabel1[[#This Row],[Do - R1a]:[Do - R1c]]),"")</f>
        <v>3.6666666666666665</v>
      </c>
      <c r="EA536">
        <v>2</v>
      </c>
      <c r="EB536">
        <v>1</v>
      </c>
      <c r="EC536">
        <v>1</v>
      </c>
      <c r="ED536" t="s">
        <v>189</v>
      </c>
      <c r="EE536">
        <f>IFERROR(AVERAGE(Tabel1[[#This Row],[Do - R1]:[Do - R5]]),"")</f>
        <v>1.9166666666666665</v>
      </c>
      <c r="EF536">
        <v>4</v>
      </c>
      <c r="EG536">
        <v>3</v>
      </c>
      <c r="EH536">
        <v>2</v>
      </c>
      <c r="EI536">
        <f>IFERROR(AVERAGE(Tabel1[[#This Row],[Do - C1a]:[Do - C1c]]),"")</f>
        <v>3</v>
      </c>
      <c r="EJ536">
        <v>2</v>
      </c>
      <c r="EK536">
        <v>1</v>
      </c>
      <c r="EL536" t="s">
        <v>189</v>
      </c>
      <c r="EM536">
        <f>IFERROR(AVERAGE(Tabel1[[#This Row],[Do - C1]:[Do - C4]]),"")</f>
        <v>2</v>
      </c>
      <c r="EN536">
        <v>2</v>
      </c>
      <c r="EO536">
        <v>1</v>
      </c>
      <c r="EP536">
        <v>2</v>
      </c>
      <c r="EQ536">
        <f>IFERROR(AVERAGE(Tabel1[[#This Row],[Do - F1a]:[Do - F1c]]),"")</f>
        <v>1.6666666666666667</v>
      </c>
      <c r="ER536">
        <v>1</v>
      </c>
      <c r="ES536">
        <f>IFERROR(AVERAGE(Tabel1[[#This Row],[Do - F2a]:[Do - F2a]]),"")</f>
        <v>1</v>
      </c>
      <c r="ET536">
        <v>1</v>
      </c>
      <c r="EU536" t="s">
        <v>189</v>
      </c>
      <c r="EV536">
        <f>IFERROR(AVERAGE(Tabel1[[#This Row],[Do - F3a]:[Do - F3b]]),"")</f>
        <v>1</v>
      </c>
      <c r="EW536">
        <v>1</v>
      </c>
      <c r="EX536">
        <f>IFERROR(AVERAGE(Tabel1[[#This Row],[Do - F1]],Tabel1[[#This Row],[Do - F2]],Tabel1[[#This Row],[Do - F3]],Tabel1[[#This Row],[Do - F4]]),"")</f>
        <v>1.1666666666666667</v>
      </c>
      <c r="EY536">
        <v>4</v>
      </c>
      <c r="EZ536">
        <v>2</v>
      </c>
      <c r="FA536">
        <v>4</v>
      </c>
      <c r="FB536">
        <f>IFERROR(AVERAGE(Tabel1[[#This Row],[Do - V1a]:[Do - V1c]]),"")</f>
        <v>3.3333333333333335</v>
      </c>
      <c r="FC536">
        <v>4</v>
      </c>
      <c r="FD536">
        <v>3</v>
      </c>
      <c r="FE536">
        <f>IFERROR(AVERAGE(Tabel1[[#This Row],[Do - V2a]:[Do - V2b]]),"")</f>
        <v>3.5</v>
      </c>
      <c r="FF536">
        <v>3</v>
      </c>
      <c r="FG536">
        <f>IFERROR(AVERAGE(Tabel1[[#This Row],[Do - V3a]:[Do - V3a]]),"")</f>
        <v>3</v>
      </c>
      <c r="FH536">
        <v>2</v>
      </c>
      <c r="FI536">
        <f>IFERROR(AVERAGE(Tabel1[[#This Row],[Do - V1]],Tabel1[[#This Row],[Do - V2]],Tabel1[[#This Row],[Do - V3]],Tabel1[[#This Row],[Do - V4]]),"")</f>
        <v>2.9583333333333335</v>
      </c>
      <c r="FJ536">
        <v>3</v>
      </c>
      <c r="FK536">
        <v>2</v>
      </c>
      <c r="FL536">
        <v>4</v>
      </c>
      <c r="FM536">
        <f>IFERROR(AVERAGE(Tabel1[[#This Row],[Do - A1a]:[Do - A1c]]),"")</f>
        <v>3</v>
      </c>
      <c r="FN536">
        <v>1</v>
      </c>
      <c r="FO536">
        <v>1</v>
      </c>
      <c r="FP536">
        <f>IFERROR(AVERAGE(Tabel1[[#This Row],[Do - A2a]:[Do - A2b]]),"")</f>
        <v>1</v>
      </c>
      <c r="FQ536">
        <v>4</v>
      </c>
      <c r="FR536">
        <f>IFERROR(AVERAGE(Tabel1[[#This Row],[Do - A3a]:[Do - A3a]]),"")</f>
        <v>4</v>
      </c>
      <c r="FS536" t="s">
        <v>189</v>
      </c>
      <c r="FT536">
        <f>IFERROR(AVERAGE(Tabel1[[#This Row],[Do - A1]],Tabel1[[#This Row],[Do - A2]],Tabel1[[#This Row],[Do - A3]],Tabel1[[#This Row],[Do - A4]]),"")</f>
        <v>2.6666666666666665</v>
      </c>
      <c r="FU53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2.3409259259259256</v>
      </c>
      <c r="FV536" s="31" t="s">
        <v>2584</v>
      </c>
      <c r="FW536" t="b">
        <v>1</v>
      </c>
    </row>
    <row r="537" spans="1:179" x14ac:dyDescent="0.3">
      <c r="A537" s="13">
        <v>45924.306770833296</v>
      </c>
      <c r="B537" t="b">
        <v>0</v>
      </c>
      <c r="C537" t="s">
        <v>2585</v>
      </c>
      <c r="D537" t="s">
        <v>2586</v>
      </c>
      <c r="E537" t="s">
        <v>2582</v>
      </c>
      <c r="F537" s="14" t="s">
        <v>184</v>
      </c>
      <c r="G537" t="s">
        <v>2587</v>
      </c>
      <c r="H537" t="s">
        <v>222</v>
      </c>
      <c r="I537" t="s">
        <v>385</v>
      </c>
      <c r="J537" t="s">
        <v>533</v>
      </c>
      <c r="K537" t="s">
        <v>201</v>
      </c>
      <c r="L537" t="s">
        <v>218</v>
      </c>
      <c r="M537" t="s">
        <v>198</v>
      </c>
      <c r="N537" t="s">
        <v>199</v>
      </c>
      <c r="O537" t="s">
        <v>200</v>
      </c>
      <c r="S537" t="s">
        <v>235</v>
      </c>
      <c r="T537" t="s">
        <v>236</v>
      </c>
      <c r="U537" t="s">
        <v>285</v>
      </c>
      <c r="V537" t="s">
        <v>224</v>
      </c>
      <c r="W537" t="s">
        <v>207</v>
      </c>
      <c r="X537" t="s">
        <v>207</v>
      </c>
      <c r="Y537">
        <v>3</v>
      </c>
      <c r="Z537" t="s">
        <v>189</v>
      </c>
      <c r="AA537" t="s">
        <v>189</v>
      </c>
      <c r="AB537">
        <f>IFERROR(AVERAGE(Tabel1[[#This Row],[Up - R1a]:[Up - R1c]]),"")</f>
        <v>3</v>
      </c>
      <c r="AC537" t="s">
        <v>189</v>
      </c>
      <c r="AD537">
        <v>2</v>
      </c>
      <c r="AE537">
        <v>1</v>
      </c>
      <c r="AF537" t="s">
        <v>189</v>
      </c>
      <c r="AG537">
        <f>IFERROR(AVERAGE(Tabel1[[#This Row],[Up - R1]:[Up - R5]]),"")</f>
        <v>2</v>
      </c>
      <c r="AH537">
        <v>4</v>
      </c>
      <c r="AI537">
        <v>3</v>
      </c>
      <c r="AJ537">
        <v>3</v>
      </c>
      <c r="AK537">
        <f>IFERROR(AVERAGE(Tabel1[[#This Row],[Up - C1a]:[Up - C1c]]),"")</f>
        <v>3.3333333333333335</v>
      </c>
      <c r="AL537">
        <v>3</v>
      </c>
      <c r="AM537">
        <v>2</v>
      </c>
      <c r="AN537" t="s">
        <v>189</v>
      </c>
      <c r="AO537">
        <f>IFERROR(AVERAGE(Tabel1[[#This Row],[Up - C1]:[Up - C4]]),"")</f>
        <v>2.7777777777777781</v>
      </c>
      <c r="AP537" t="s">
        <v>189</v>
      </c>
      <c r="AQ537" t="str">
        <f>IFERROR(AVERAGE(Tabel1[[#This Row],[Up - F1a]:[Up - F1a]]),"")</f>
        <v/>
      </c>
      <c r="AR537">
        <v>2</v>
      </c>
      <c r="AS537">
        <v>4</v>
      </c>
      <c r="AT537">
        <f>IFERROR(AVERAGE(Tabel1[[#This Row],[Up - F2a]:[Up - F2b]]),"")</f>
        <v>3</v>
      </c>
      <c r="AU537">
        <v>2</v>
      </c>
      <c r="AV537">
        <v>1</v>
      </c>
      <c r="AW537">
        <f>IFERROR(AVERAGE(Tabel1[[#This Row],[Up - F3a]:[Up - F3b]]),"")</f>
        <v>1.5</v>
      </c>
      <c r="AX537">
        <v>3</v>
      </c>
      <c r="AY537">
        <f>IFERROR(AVERAGE(Tabel1[[#This Row],[Up - F1]],Tabel1[[#This Row],[Up - F2]],Tabel1[[#This Row],[Up - F3]],Tabel1[[#This Row],[Up - F4]]),"")</f>
        <v>2.5</v>
      </c>
      <c r="AZ537" t="s">
        <v>189</v>
      </c>
      <c r="BA537" t="s">
        <v>189</v>
      </c>
      <c r="BB537" t="str">
        <f>IFERROR(AVERAGE(Tabel1[[#This Row],[Up - V1a]:[Up - V1b]]),"")</f>
        <v/>
      </c>
      <c r="BC537" t="s">
        <v>189</v>
      </c>
      <c r="BD537" t="s">
        <v>189</v>
      </c>
      <c r="BE537" t="s">
        <v>189</v>
      </c>
      <c r="BF537" t="str">
        <f>IFERROR(AVERAGE(Tabel1[[#This Row],[Up - V2a]:[Up - V2c]]),"")</f>
        <v/>
      </c>
      <c r="BG537" t="s">
        <v>189</v>
      </c>
      <c r="BH537">
        <v>1</v>
      </c>
      <c r="BI537">
        <f>IFERROR(AVERAGE(Tabel1[[#This Row],[Up - V3a]:[Up - V3b]]),"")</f>
        <v>1</v>
      </c>
      <c r="BJ537" t="s">
        <v>189</v>
      </c>
      <c r="BK537">
        <f>IFERROR(AVERAGE(Tabel1[[#This Row],[Up - V1]],Tabel1[[#This Row],[Up - V2]],Tabel1[[#This Row],[Up - V3]],Tabel1[[#This Row],[Up - V4]]),"")</f>
        <v>1</v>
      </c>
      <c r="BL537">
        <v>3</v>
      </c>
      <c r="BM537">
        <v>3</v>
      </c>
      <c r="BN537">
        <v>4</v>
      </c>
      <c r="BO537">
        <v>3</v>
      </c>
      <c r="BP537">
        <f>IFERROR(AVERAGE(Tabel1[[#This Row],[Up - A1a]:[Up - A1d]]),"")</f>
        <v>3.25</v>
      </c>
      <c r="BQ537">
        <v>3</v>
      </c>
      <c r="BR537" t="s">
        <v>189</v>
      </c>
      <c r="BS537">
        <f>IFERROR(AVERAGE(Tabel1[[#This Row],[Up - A2a]:[Up - A2b]]),"")</f>
        <v>3</v>
      </c>
      <c r="BT537" t="s">
        <v>189</v>
      </c>
      <c r="BU537" t="str">
        <f>IFERROR(AVERAGE(Tabel1[[#This Row],[Up - A3a]:[Up - A3a]]),"")</f>
        <v/>
      </c>
      <c r="BV537" t="s">
        <v>189</v>
      </c>
      <c r="BW537">
        <f>IFERROR(AVERAGE(Tabel1[[#This Row],[Up - A1]],Tabel1[[#This Row],[Up - A2]],Tabel1[[#This Row],[Up - A3]]),"")</f>
        <v>3.125</v>
      </c>
      <c r="BX537">
        <v>4</v>
      </c>
      <c r="BY537">
        <v>4</v>
      </c>
      <c r="BZ537">
        <f>IFERROR(AVERAGE(Tabel1[[#This Row],[In - R1a]:[In - R1b]]),"")</f>
        <v>4</v>
      </c>
      <c r="CA537">
        <v>3</v>
      </c>
      <c r="CB537" t="s">
        <v>189</v>
      </c>
      <c r="CC537">
        <v>1</v>
      </c>
      <c r="CD537" t="s">
        <v>189</v>
      </c>
      <c r="CE537">
        <f>IFERROR(AVERAGE(Tabel1[[#This Row],[In - R1]:[In - R5]]),"")</f>
        <v>2.6666666666666665</v>
      </c>
      <c r="CF537">
        <v>2</v>
      </c>
      <c r="CG537" t="s">
        <v>189</v>
      </c>
      <c r="CH537">
        <v>3</v>
      </c>
      <c r="CI537">
        <f>IFERROR(AVERAGE(Tabel1[[#This Row],[In - C1a]:[In - C1c]]),"")</f>
        <v>2.5</v>
      </c>
      <c r="CJ537">
        <v>2</v>
      </c>
      <c r="CK537">
        <v>3</v>
      </c>
      <c r="CL537" t="s">
        <v>189</v>
      </c>
      <c r="CM537">
        <f>IFERROR(AVERAGE(Tabel1[[#This Row],[In - C1]:[In - C4]]),"")</f>
        <v>2.5</v>
      </c>
      <c r="CN537">
        <v>4</v>
      </c>
      <c r="CO537">
        <v>1</v>
      </c>
      <c r="CP537">
        <v>1</v>
      </c>
      <c r="CQ537">
        <f>IFERROR(AVERAGE(Tabel1[[#This Row],[In - F1a]:[In - F1c]]),"")</f>
        <v>2</v>
      </c>
      <c r="CR537">
        <v>4</v>
      </c>
      <c r="CS537">
        <v>2</v>
      </c>
      <c r="CT537">
        <f>IFERROR(AVERAGE(Tabel1[[#This Row],[In - F2a]:[In - F2b]]),"")</f>
        <v>3</v>
      </c>
      <c r="CU537">
        <v>3</v>
      </c>
      <c r="CV537">
        <f>IFERROR(AVERAGE(Tabel1[[#This Row],[In - F3a]:[In - F3a]]),"")</f>
        <v>3</v>
      </c>
      <c r="CW537" t="s">
        <v>189</v>
      </c>
      <c r="CX537">
        <f>IFERROR(AVERAGE(Tabel1[[#This Row],[In - F1]],Tabel1[[#This Row],[In - F2]],Tabel1[[#This Row],[In - F3]],Tabel1[[#This Row],[In - F4]]),"")</f>
        <v>2.6666666666666665</v>
      </c>
      <c r="CY537">
        <v>2</v>
      </c>
      <c r="CZ537">
        <v>2</v>
      </c>
      <c r="DA537">
        <v>2</v>
      </c>
      <c r="DB537">
        <f>IFERROR(AVERAGE(Tabel1[[#This Row],[In - V1a]:[In - V1c]]),"")</f>
        <v>2</v>
      </c>
      <c r="DC537" t="s">
        <v>189</v>
      </c>
      <c r="DD537" t="s">
        <v>189</v>
      </c>
      <c r="DE537">
        <v>2</v>
      </c>
      <c r="DF537">
        <f>IFERROR(AVERAGE(Tabel1[[#This Row],[In - V2a]:[In - V2c]]),"")</f>
        <v>2</v>
      </c>
      <c r="DG537">
        <v>2</v>
      </c>
      <c r="DH537">
        <v>3</v>
      </c>
      <c r="DI537">
        <f>IFERROR(AVERAGE(Tabel1[[#This Row],[In - V3a]:[In - V3b]]),"")</f>
        <v>2.5</v>
      </c>
      <c r="DJ537" t="s">
        <v>189</v>
      </c>
      <c r="DK537">
        <f>IFERROR(AVERAGE(Tabel1[[#This Row],[In - V1]],Tabel1[[#This Row],[In - V2]],Tabel1[[#This Row],[In - V3]],Tabel1[[#This Row],[In - V4]]),"")</f>
        <v>2.1666666666666665</v>
      </c>
      <c r="DL537">
        <v>3</v>
      </c>
      <c r="DM537">
        <v>2</v>
      </c>
      <c r="DN537">
        <f>IFERROR(AVERAGE(Tabel1[[#This Row],[In - A1a]:[In - A1b]]),"")</f>
        <v>2.5</v>
      </c>
      <c r="DO537" t="s">
        <v>189</v>
      </c>
      <c r="DP537">
        <v>3</v>
      </c>
      <c r="DQ537">
        <f>IFERROR(AVERAGE(Tabel1[[#This Row],[In - A2a]:[In - A2b]]),"")</f>
        <v>3</v>
      </c>
      <c r="DR537">
        <v>4</v>
      </c>
      <c r="DS537" t="s">
        <v>189</v>
      </c>
      <c r="DT537">
        <f>IFERROR(AVERAGE(Tabel1[[#This Row],[In - A3a]:[In - A3a]]),"")</f>
        <v>4</v>
      </c>
      <c r="DU537" t="s">
        <v>189</v>
      </c>
      <c r="DV537">
        <f>IFERROR(AVERAGE(Tabel1[[#This Row],[In - A1]],Tabel1[[#This Row],[In - A2]],Tabel1[[#This Row],[In - A3]],Tabel1[[#This Row],[In - A4]]),"")</f>
        <v>3.1666666666666665</v>
      </c>
      <c r="DW537">
        <v>3</v>
      </c>
      <c r="DX537">
        <v>5</v>
      </c>
      <c r="DY537">
        <v>3</v>
      </c>
      <c r="DZ537">
        <f>IFERROR(AVERAGE(Tabel1[[#This Row],[Do - R1a]:[Do - R1c]]),"")</f>
        <v>3.6666666666666665</v>
      </c>
      <c r="EA537" t="s">
        <v>189</v>
      </c>
      <c r="EB537">
        <v>1</v>
      </c>
      <c r="EC537" t="s">
        <v>189</v>
      </c>
      <c r="ED537" t="s">
        <v>189</v>
      </c>
      <c r="EE537">
        <f>IFERROR(AVERAGE(Tabel1[[#This Row],[Do - R1]:[Do - R5]]),"")</f>
        <v>2.333333333333333</v>
      </c>
      <c r="EF537">
        <v>4</v>
      </c>
      <c r="EG537">
        <v>3</v>
      </c>
      <c r="EH537">
        <v>3</v>
      </c>
      <c r="EI537">
        <f>IFERROR(AVERAGE(Tabel1[[#This Row],[Do - C1a]:[Do - C1c]]),"")</f>
        <v>3.3333333333333335</v>
      </c>
      <c r="EJ537" t="s">
        <v>189</v>
      </c>
      <c r="EK537" t="s">
        <v>189</v>
      </c>
      <c r="EL537" t="s">
        <v>189</v>
      </c>
      <c r="EM537">
        <f>IFERROR(AVERAGE(Tabel1[[#This Row],[Do - C1]:[Do - C4]]),"")</f>
        <v>3.3333333333333335</v>
      </c>
      <c r="EN537">
        <v>2</v>
      </c>
      <c r="EO537" t="s">
        <v>189</v>
      </c>
      <c r="EP537" t="s">
        <v>189</v>
      </c>
      <c r="EQ537">
        <f>IFERROR(AVERAGE(Tabel1[[#This Row],[Do - F1a]:[Do - F1c]]),"")</f>
        <v>2</v>
      </c>
      <c r="ER537">
        <v>2</v>
      </c>
      <c r="ES537">
        <f>IFERROR(AVERAGE(Tabel1[[#This Row],[Do - F2a]:[Do - F2a]]),"")</f>
        <v>2</v>
      </c>
      <c r="ET537" t="s">
        <v>189</v>
      </c>
      <c r="EU537" t="s">
        <v>189</v>
      </c>
      <c r="EV537" t="str">
        <f>IFERROR(AVERAGE(Tabel1[[#This Row],[Do - F3a]:[Do - F3b]]),"")</f>
        <v/>
      </c>
      <c r="EW537" t="s">
        <v>189</v>
      </c>
      <c r="EX537">
        <f>IFERROR(AVERAGE(Tabel1[[#This Row],[Do - F1]],Tabel1[[#This Row],[Do - F2]],Tabel1[[#This Row],[Do - F3]],Tabel1[[#This Row],[Do - F4]]),"")</f>
        <v>2</v>
      </c>
      <c r="EY537">
        <v>2</v>
      </c>
      <c r="EZ537" t="s">
        <v>189</v>
      </c>
      <c r="FA537" t="s">
        <v>189</v>
      </c>
      <c r="FB537">
        <f>IFERROR(AVERAGE(Tabel1[[#This Row],[Do - V1a]:[Do - V1c]]),"")</f>
        <v>2</v>
      </c>
      <c r="FC537" t="s">
        <v>189</v>
      </c>
      <c r="FD537">
        <v>3</v>
      </c>
      <c r="FE537">
        <f>IFERROR(AVERAGE(Tabel1[[#This Row],[Do - V2a]:[Do - V2b]]),"")</f>
        <v>3</v>
      </c>
      <c r="FF537" t="s">
        <v>189</v>
      </c>
      <c r="FG537" t="str">
        <f>IFERROR(AVERAGE(Tabel1[[#This Row],[Do - V3a]:[Do - V3a]]),"")</f>
        <v/>
      </c>
      <c r="FH537" t="s">
        <v>189</v>
      </c>
      <c r="FI537">
        <f>IFERROR(AVERAGE(Tabel1[[#This Row],[Do - V1]],Tabel1[[#This Row],[Do - V2]],Tabel1[[#This Row],[Do - V3]],Tabel1[[#This Row],[Do - V4]]),"")</f>
        <v>2.5</v>
      </c>
      <c r="FJ537">
        <v>3</v>
      </c>
      <c r="FK537">
        <v>4</v>
      </c>
      <c r="FL537">
        <v>4</v>
      </c>
      <c r="FM537">
        <f>IFERROR(AVERAGE(Tabel1[[#This Row],[Do - A1a]:[Do - A1c]]),"")</f>
        <v>3.6666666666666665</v>
      </c>
      <c r="FN537">
        <v>5</v>
      </c>
      <c r="FO537" t="s">
        <v>189</v>
      </c>
      <c r="FP537">
        <f>IFERROR(AVERAGE(Tabel1[[#This Row],[Do - A2a]:[Do - A2b]]),"")</f>
        <v>5</v>
      </c>
      <c r="FQ537" t="s">
        <v>189</v>
      </c>
      <c r="FR537" t="str">
        <f>IFERROR(AVERAGE(Tabel1[[#This Row],[Do - A3a]:[Do - A3a]]),"")</f>
        <v/>
      </c>
      <c r="FS537" t="s">
        <v>189</v>
      </c>
      <c r="FT537">
        <f>IFERROR(AVERAGE(Tabel1[[#This Row],[Do - A1]],Tabel1[[#This Row],[Do - A2]],Tabel1[[#This Row],[Do - A3]],Tabel1[[#This Row],[Do - A4]]),"")</f>
        <v>4.333333333333333</v>
      </c>
      <c r="FU53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2.6046296296296299</v>
      </c>
      <c r="FV537" s="31" t="s">
        <v>2588</v>
      </c>
      <c r="FW537" t="b">
        <v>1</v>
      </c>
    </row>
    <row r="538" spans="1:179" x14ac:dyDescent="0.3">
      <c r="A538" s="13">
        <v>45925.591493055603</v>
      </c>
      <c r="B538" t="b">
        <v>0</v>
      </c>
      <c r="C538" t="s">
        <v>2589</v>
      </c>
      <c r="D538" t="s">
        <v>2590</v>
      </c>
      <c r="E538" t="s">
        <v>2591</v>
      </c>
      <c r="F538" s="14" t="s">
        <v>2091</v>
      </c>
      <c r="G538" t="s">
        <v>2592</v>
      </c>
      <c r="H538" t="s">
        <v>222</v>
      </c>
      <c r="I538" t="s">
        <v>195</v>
      </c>
      <c r="J538" t="s">
        <v>261</v>
      </c>
      <c r="K538" t="s">
        <v>235</v>
      </c>
      <c r="L538" t="s">
        <v>197</v>
      </c>
      <c r="M538" t="s">
        <v>188</v>
      </c>
      <c r="N538" t="s">
        <v>199</v>
      </c>
      <c r="O538" t="s">
        <v>200</v>
      </c>
      <c r="P538" t="s">
        <v>255</v>
      </c>
      <c r="Q538" t="s">
        <v>201</v>
      </c>
      <c r="R538" t="s">
        <v>202</v>
      </c>
      <c r="S538" t="s">
        <v>235</v>
      </c>
      <c r="T538" t="s">
        <v>204</v>
      </c>
      <c r="U538" t="s">
        <v>285</v>
      </c>
      <c r="V538" t="s">
        <v>359</v>
      </c>
      <c r="W538" t="s">
        <v>207</v>
      </c>
      <c r="X538" t="s">
        <v>207</v>
      </c>
      <c r="Y538">
        <v>4</v>
      </c>
      <c r="Z538">
        <v>2</v>
      </c>
      <c r="AB538">
        <f>IFERROR(AVERAGE(Tabel1[[#This Row],[Up - R1a]:[Up - R1c]]),"")</f>
        <v>3</v>
      </c>
      <c r="AC538">
        <v>2</v>
      </c>
      <c r="AD538">
        <v>2</v>
      </c>
      <c r="AE538">
        <v>2</v>
      </c>
      <c r="AF538">
        <v>4</v>
      </c>
      <c r="AG538">
        <f>IFERROR(AVERAGE(Tabel1[[#This Row],[Up - R1]:[Up - R5]]),"")</f>
        <v>2.6</v>
      </c>
      <c r="AH538">
        <v>4</v>
      </c>
      <c r="AI538">
        <v>4</v>
      </c>
      <c r="AJ538">
        <v>3</v>
      </c>
      <c r="AK538">
        <f>IFERROR(AVERAGE(Tabel1[[#This Row],[Up - C1a]:[Up - C1c]]),"")</f>
        <v>3.6666666666666665</v>
      </c>
      <c r="AL538">
        <v>2</v>
      </c>
      <c r="AM538">
        <v>3</v>
      </c>
      <c r="AN538">
        <v>3</v>
      </c>
      <c r="AO538">
        <f>IFERROR(AVERAGE(Tabel1[[#This Row],[Up - C1]:[Up - C4]]),"")</f>
        <v>2.9166666666666665</v>
      </c>
      <c r="AP538">
        <v>2</v>
      </c>
      <c r="AQ538">
        <f>IFERROR(AVERAGE(Tabel1[[#This Row],[Up - F1a]:[Up - F1a]]),"")</f>
        <v>2</v>
      </c>
      <c r="AR538">
        <v>2</v>
      </c>
      <c r="AS538">
        <v>3</v>
      </c>
      <c r="AT538">
        <f>IFERROR(AVERAGE(Tabel1[[#This Row],[Up - F2a]:[Up - F2b]]),"")</f>
        <v>2.5</v>
      </c>
      <c r="AU538">
        <v>4</v>
      </c>
      <c r="AV538">
        <v>3</v>
      </c>
      <c r="AW538">
        <f>IFERROR(AVERAGE(Tabel1[[#This Row],[Up - F3a]:[Up - F3b]]),"")</f>
        <v>3.5</v>
      </c>
      <c r="AX538">
        <v>2</v>
      </c>
      <c r="AY538">
        <f>IFERROR(AVERAGE(Tabel1[[#This Row],[Up - F1]],Tabel1[[#This Row],[Up - F2]],Tabel1[[#This Row],[Up - F3]],Tabel1[[#This Row],[Up - F4]]),"")</f>
        <v>2.5</v>
      </c>
      <c r="AZ538">
        <v>1</v>
      </c>
      <c r="BA538">
        <v>2</v>
      </c>
      <c r="BB538">
        <f>IFERROR(AVERAGE(Tabel1[[#This Row],[Up - V1a]:[Up - V1b]]),"")</f>
        <v>1.5</v>
      </c>
      <c r="BC538">
        <v>3</v>
      </c>
      <c r="BD538">
        <v>4</v>
      </c>
      <c r="BE538">
        <v>2</v>
      </c>
      <c r="BF538">
        <f>IFERROR(AVERAGE(Tabel1[[#This Row],[Up - V2a]:[Up - V2c]]),"")</f>
        <v>3</v>
      </c>
      <c r="BG538">
        <v>2</v>
      </c>
      <c r="BH538">
        <v>3</v>
      </c>
      <c r="BI538">
        <f>IFERROR(AVERAGE(Tabel1[[#This Row],[Up - V3a]:[Up - V3b]]),"")</f>
        <v>2.5</v>
      </c>
      <c r="BJ538">
        <v>3</v>
      </c>
      <c r="BK538">
        <f>IFERROR(AVERAGE(Tabel1[[#This Row],[Up - V1]],Tabel1[[#This Row],[Up - V2]],Tabel1[[#This Row],[Up - V3]],Tabel1[[#This Row],[Up - V4]]),"")</f>
        <v>2.5</v>
      </c>
      <c r="BL538">
        <v>3</v>
      </c>
      <c r="BM538">
        <v>3</v>
      </c>
      <c r="BN538">
        <v>2</v>
      </c>
      <c r="BO538">
        <v>2</v>
      </c>
      <c r="BP538">
        <f>IFERROR(AVERAGE(Tabel1[[#This Row],[Up - A1a]:[Up - A1d]]),"")</f>
        <v>2.5</v>
      </c>
      <c r="BQ538">
        <v>3</v>
      </c>
      <c r="BR538">
        <v>3</v>
      </c>
      <c r="BS538">
        <f>IFERROR(AVERAGE(Tabel1[[#This Row],[Up - A2a]:[Up - A2b]]),"")</f>
        <v>3</v>
      </c>
      <c r="BT538">
        <v>4</v>
      </c>
      <c r="BU538">
        <f>IFERROR(AVERAGE(Tabel1[[#This Row],[Up - A3a]:[Up - A3a]]),"")</f>
        <v>4</v>
      </c>
      <c r="BV538">
        <v>3</v>
      </c>
      <c r="BW538">
        <f>IFERROR(AVERAGE(Tabel1[[#This Row],[Up - A1]],Tabel1[[#This Row],[Up - A2]],Tabel1[[#This Row],[Up - A3]]),"")</f>
        <v>3.1666666666666665</v>
      </c>
      <c r="BX538">
        <v>4</v>
      </c>
      <c r="BY538">
        <v>4</v>
      </c>
      <c r="BZ538">
        <f>IFERROR(AVERAGE(Tabel1[[#This Row],[In - R1a]:[In - R1b]]),"")</f>
        <v>4</v>
      </c>
      <c r="CA538">
        <v>4</v>
      </c>
      <c r="CB538">
        <v>2</v>
      </c>
      <c r="CC538">
        <v>1</v>
      </c>
      <c r="CD538">
        <v>4</v>
      </c>
      <c r="CE538">
        <f>IFERROR(AVERAGE(Tabel1[[#This Row],[In - R1]:[In - R5]]),"")</f>
        <v>3</v>
      </c>
      <c r="CF538">
        <v>4</v>
      </c>
      <c r="CG538">
        <v>3</v>
      </c>
      <c r="CH538">
        <v>3</v>
      </c>
      <c r="CI538">
        <f>IFERROR(AVERAGE(Tabel1[[#This Row],[In - C1a]:[In - C1c]]),"")</f>
        <v>3.3333333333333335</v>
      </c>
      <c r="CJ538">
        <v>3</v>
      </c>
      <c r="CK538">
        <v>3</v>
      </c>
      <c r="CL538">
        <v>3</v>
      </c>
      <c r="CM538">
        <f>IFERROR(AVERAGE(Tabel1[[#This Row],[In - C1]:[In - C4]]),"")</f>
        <v>3.0833333333333335</v>
      </c>
      <c r="CN538">
        <v>3</v>
      </c>
      <c r="CO538">
        <v>3</v>
      </c>
      <c r="CP538">
        <v>1</v>
      </c>
      <c r="CQ538">
        <f>IFERROR(AVERAGE(Tabel1[[#This Row],[In - F1a]:[In - F1c]]),"")</f>
        <v>2.3333333333333335</v>
      </c>
      <c r="CR538">
        <v>4</v>
      </c>
      <c r="CS538">
        <v>2</v>
      </c>
      <c r="CT538">
        <f>IFERROR(AVERAGE(Tabel1[[#This Row],[In - F2a]:[In - F2b]]),"")</f>
        <v>3</v>
      </c>
      <c r="CU538">
        <v>2</v>
      </c>
      <c r="CV538">
        <f>IFERROR(AVERAGE(Tabel1[[#This Row],[In - F3a]:[In - F3a]]),"")</f>
        <v>2</v>
      </c>
      <c r="CW538">
        <v>3</v>
      </c>
      <c r="CX538">
        <f>IFERROR(AVERAGE(Tabel1[[#This Row],[In - F1]],Tabel1[[#This Row],[In - F2]],Tabel1[[#This Row],[In - F3]],Tabel1[[#This Row],[In - F4]]),"")</f>
        <v>2.5833333333333335</v>
      </c>
      <c r="CY538">
        <v>5</v>
      </c>
      <c r="CZ538">
        <v>3</v>
      </c>
      <c r="DA538">
        <v>3</v>
      </c>
      <c r="DB538">
        <f>IFERROR(AVERAGE(Tabel1[[#This Row],[In - V1a]:[In - V1c]]),"")</f>
        <v>3.6666666666666665</v>
      </c>
      <c r="DC538">
        <v>3</v>
      </c>
      <c r="DD538">
        <v>3</v>
      </c>
      <c r="DE538">
        <v>3</v>
      </c>
      <c r="DF538">
        <f>IFERROR(AVERAGE(Tabel1[[#This Row],[In - V2a]:[In - V2c]]),"")</f>
        <v>3</v>
      </c>
      <c r="DG538">
        <v>4</v>
      </c>
      <c r="DH538">
        <v>4</v>
      </c>
      <c r="DI538">
        <f>IFERROR(AVERAGE(Tabel1[[#This Row],[In - V3a]:[In - V3b]]),"")</f>
        <v>4</v>
      </c>
      <c r="DJ538">
        <v>3</v>
      </c>
      <c r="DK538">
        <f>IFERROR(AVERAGE(Tabel1[[#This Row],[In - V1]],Tabel1[[#This Row],[In - V2]],Tabel1[[#This Row],[In - V3]],Tabel1[[#This Row],[In - V4]]),"")</f>
        <v>3.4166666666666665</v>
      </c>
      <c r="DL538">
        <v>3</v>
      </c>
      <c r="DM538">
        <v>3</v>
      </c>
      <c r="DN538">
        <f>IFERROR(AVERAGE(Tabel1[[#This Row],[In - A1a]:[In - A1b]]),"")</f>
        <v>3</v>
      </c>
      <c r="DO538">
        <v>3</v>
      </c>
      <c r="DP538">
        <v>2</v>
      </c>
      <c r="DQ538">
        <f>IFERROR(AVERAGE(Tabel1[[#This Row],[In - A2a]:[In - A2b]]),"")</f>
        <v>2.5</v>
      </c>
      <c r="DR538">
        <v>4</v>
      </c>
      <c r="DS538">
        <v>3</v>
      </c>
      <c r="DT538">
        <f>IFERROR(AVERAGE(Tabel1[[#This Row],[In - A3a]:[In - A3a]]),"")</f>
        <v>4</v>
      </c>
      <c r="DU538">
        <v>4</v>
      </c>
      <c r="DV538">
        <f>IFERROR(AVERAGE(Tabel1[[#This Row],[In - A1]],Tabel1[[#This Row],[In - A2]],Tabel1[[#This Row],[In - A3]],Tabel1[[#This Row],[In - A4]]),"")</f>
        <v>3.375</v>
      </c>
      <c r="DW538">
        <v>1</v>
      </c>
      <c r="DX538">
        <v>5</v>
      </c>
      <c r="DY538">
        <v>1</v>
      </c>
      <c r="DZ538">
        <f>IFERROR(AVERAGE(Tabel1[[#This Row],[Do - R1a]:[Do - R1c]]),"")</f>
        <v>2.3333333333333335</v>
      </c>
      <c r="EA538">
        <v>2</v>
      </c>
      <c r="EB538">
        <v>3</v>
      </c>
      <c r="EC538">
        <v>2</v>
      </c>
      <c r="ED538">
        <v>4</v>
      </c>
      <c r="EE538">
        <f>IFERROR(AVERAGE(Tabel1[[#This Row],[Do - R1]:[Do - R5]]),"")</f>
        <v>2.666666666666667</v>
      </c>
      <c r="EF538">
        <v>3</v>
      </c>
      <c r="EG538">
        <v>2</v>
      </c>
      <c r="EH538">
        <v>3</v>
      </c>
      <c r="EI538">
        <f>IFERROR(AVERAGE(Tabel1[[#This Row],[Do - C1a]:[Do - C1c]]),"")</f>
        <v>2.6666666666666665</v>
      </c>
      <c r="EJ538">
        <v>2</v>
      </c>
      <c r="EK538">
        <v>2</v>
      </c>
      <c r="EL538">
        <v>3</v>
      </c>
      <c r="EM538">
        <f>IFERROR(AVERAGE(Tabel1[[#This Row],[Do - C1]:[Do - C4]]),"")</f>
        <v>2.4166666666666665</v>
      </c>
      <c r="EN538">
        <v>2</v>
      </c>
      <c r="EO538">
        <v>1</v>
      </c>
      <c r="EP538">
        <v>3</v>
      </c>
      <c r="EQ538">
        <f>IFERROR(AVERAGE(Tabel1[[#This Row],[Do - F1a]:[Do - F1c]]),"")</f>
        <v>2</v>
      </c>
      <c r="ER538">
        <v>2</v>
      </c>
      <c r="ES538">
        <f>IFERROR(AVERAGE(Tabel1[[#This Row],[Do - F2a]:[Do - F2a]]),"")</f>
        <v>2</v>
      </c>
      <c r="ET538">
        <v>3</v>
      </c>
      <c r="EU538">
        <v>2</v>
      </c>
      <c r="EV538">
        <f>IFERROR(AVERAGE(Tabel1[[#This Row],[Do - F3a]:[Do - F3b]]),"")</f>
        <v>2.5</v>
      </c>
      <c r="EW538">
        <v>1</v>
      </c>
      <c r="EX538">
        <f>IFERROR(AVERAGE(Tabel1[[#This Row],[Do - F1]],Tabel1[[#This Row],[Do - F2]],Tabel1[[#This Row],[Do - F3]],Tabel1[[#This Row],[Do - F4]]),"")</f>
        <v>1.875</v>
      </c>
      <c r="EY538">
        <v>3</v>
      </c>
      <c r="EZ538">
        <v>2</v>
      </c>
      <c r="FA538">
        <v>3</v>
      </c>
      <c r="FB538">
        <f>IFERROR(AVERAGE(Tabel1[[#This Row],[Do - V1a]:[Do - V1c]]),"")</f>
        <v>2.6666666666666665</v>
      </c>
      <c r="FC538">
        <v>4</v>
      </c>
      <c r="FD538">
        <v>1</v>
      </c>
      <c r="FE538">
        <f>IFERROR(AVERAGE(Tabel1[[#This Row],[Do - V2a]:[Do - V2b]]),"")</f>
        <v>2.5</v>
      </c>
      <c r="FF538">
        <v>2</v>
      </c>
      <c r="FG538">
        <f>IFERROR(AVERAGE(Tabel1[[#This Row],[Do - V3a]:[Do - V3a]]),"")</f>
        <v>2</v>
      </c>
      <c r="FH538">
        <v>3</v>
      </c>
      <c r="FI538">
        <f>IFERROR(AVERAGE(Tabel1[[#This Row],[Do - V1]],Tabel1[[#This Row],[Do - V2]],Tabel1[[#This Row],[Do - V3]],Tabel1[[#This Row],[Do - V4]]),"")</f>
        <v>2.5416666666666665</v>
      </c>
      <c r="FJ538">
        <v>4</v>
      </c>
      <c r="FK538">
        <v>2</v>
      </c>
      <c r="FL538">
        <v>3</v>
      </c>
      <c r="FM538">
        <f>IFERROR(AVERAGE(Tabel1[[#This Row],[Do - A1a]:[Do - A1c]]),"")</f>
        <v>3</v>
      </c>
      <c r="FN538">
        <v>3</v>
      </c>
      <c r="FO538">
        <v>3</v>
      </c>
      <c r="FP538">
        <f>IFERROR(AVERAGE(Tabel1[[#This Row],[Do - A2a]:[Do - A2b]]),"")</f>
        <v>3</v>
      </c>
      <c r="FQ538">
        <v>3</v>
      </c>
      <c r="FR538">
        <f>IFERROR(AVERAGE(Tabel1[[#This Row],[Do - A3a]:[Do - A3a]]),"")</f>
        <v>3</v>
      </c>
      <c r="FS538">
        <v>4</v>
      </c>
      <c r="FT538">
        <f>IFERROR(AVERAGE(Tabel1[[#This Row],[Do - A1]],Tabel1[[#This Row],[Do - A2]],Tabel1[[#This Row],[Do - A3]],Tabel1[[#This Row],[Do - A4]]),"")</f>
        <v>3.25</v>
      </c>
      <c r="FU53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2.7927777777777774</v>
      </c>
      <c r="FV538" s="31" t="s">
        <v>2593</v>
      </c>
      <c r="FW538" t="b">
        <v>1</v>
      </c>
    </row>
    <row r="539" spans="1:179" x14ac:dyDescent="0.3">
      <c r="A539" s="13">
        <v>45929.334733796299</v>
      </c>
      <c r="B539" t="b">
        <v>0</v>
      </c>
      <c r="C539" t="s">
        <v>2594</v>
      </c>
      <c r="D539" t="s">
        <v>215</v>
      </c>
      <c r="E539" t="s">
        <v>2595</v>
      </c>
      <c r="F539" s="14" t="s">
        <v>2091</v>
      </c>
      <c r="G539" t="s">
        <v>2596</v>
      </c>
      <c r="H539" t="s">
        <v>222</v>
      </c>
      <c r="I539" t="s">
        <v>195</v>
      </c>
      <c r="J539" t="s">
        <v>261</v>
      </c>
      <c r="K539" t="s">
        <v>235</v>
      </c>
      <c r="L539" t="s">
        <v>249</v>
      </c>
      <c r="M539" t="s">
        <v>198</v>
      </c>
      <c r="N539" t="s">
        <v>199</v>
      </c>
      <c r="O539" t="s">
        <v>256</v>
      </c>
      <c r="P539" t="s">
        <v>255</v>
      </c>
      <c r="Q539" t="s">
        <v>203</v>
      </c>
      <c r="R539" t="s">
        <v>235</v>
      </c>
      <c r="S539" t="s">
        <v>235</v>
      </c>
      <c r="T539" t="s">
        <v>204</v>
      </c>
      <c r="U539" t="s">
        <v>205</v>
      </c>
      <c r="V539" t="s">
        <v>359</v>
      </c>
      <c r="W539" t="s">
        <v>395</v>
      </c>
      <c r="X539" t="s">
        <v>207</v>
      </c>
      <c r="Y539" t="s">
        <v>189</v>
      </c>
      <c r="Z539" t="s">
        <v>189</v>
      </c>
      <c r="AA539" t="s">
        <v>189</v>
      </c>
      <c r="AB539" t="str">
        <f>IFERROR(AVERAGE(Tabel1[[#This Row],[Up - R1a]:[Up - R1c]]),"")</f>
        <v/>
      </c>
      <c r="AC539">
        <v>2</v>
      </c>
      <c r="AD539">
        <v>3</v>
      </c>
      <c r="AE539" t="s">
        <v>189</v>
      </c>
      <c r="AF539" t="s">
        <v>189</v>
      </c>
      <c r="AG539">
        <f>IFERROR(AVERAGE(Tabel1[[#This Row],[Up - R1]:[Up - R5]]),"")</f>
        <v>2.5</v>
      </c>
      <c r="AH539">
        <v>3</v>
      </c>
      <c r="AI539" t="s">
        <v>189</v>
      </c>
      <c r="AJ539">
        <v>2</v>
      </c>
      <c r="AK539">
        <f>IFERROR(AVERAGE(Tabel1[[#This Row],[Up - C1a]:[Up - C1c]]),"")</f>
        <v>2.5</v>
      </c>
      <c r="AL539" t="s">
        <v>189</v>
      </c>
      <c r="AM539" t="s">
        <v>189</v>
      </c>
      <c r="AN539" t="s">
        <v>189</v>
      </c>
      <c r="AO539">
        <f>IFERROR(AVERAGE(Tabel1[[#This Row],[Up - C1]:[Up - C4]]),"")</f>
        <v>2.5</v>
      </c>
      <c r="AP539" t="s">
        <v>189</v>
      </c>
      <c r="AQ539" t="str">
        <f>IFERROR(AVERAGE(Tabel1[[#This Row],[Up - F1a]:[Up - F1a]]),"")</f>
        <v/>
      </c>
      <c r="AR539" t="s">
        <v>189</v>
      </c>
      <c r="AS539" t="s">
        <v>189</v>
      </c>
      <c r="AT539" t="str">
        <f>IFERROR(AVERAGE(Tabel1[[#This Row],[Up - F2a]:[Up - F2b]]),"")</f>
        <v/>
      </c>
      <c r="AU539" t="s">
        <v>189</v>
      </c>
      <c r="AV539" t="s">
        <v>189</v>
      </c>
      <c r="AW539" t="str">
        <f>IFERROR(AVERAGE(Tabel1[[#This Row],[Up - F3a]:[Up - F3b]]),"")</f>
        <v/>
      </c>
      <c r="AX539" t="s">
        <v>189</v>
      </c>
      <c r="AY539" t="str">
        <f>IFERROR(AVERAGE(Tabel1[[#This Row],[Up - F1]],Tabel1[[#This Row],[Up - F2]],Tabel1[[#This Row],[Up - F3]],Tabel1[[#This Row],[Up - F4]]),"")</f>
        <v/>
      </c>
      <c r="AZ539" t="s">
        <v>189</v>
      </c>
      <c r="BA539">
        <v>3</v>
      </c>
      <c r="BB539">
        <f>IFERROR(AVERAGE(Tabel1[[#This Row],[Up - V1a]:[Up - V1b]]),"")</f>
        <v>3</v>
      </c>
      <c r="BC539">
        <v>4</v>
      </c>
      <c r="BD539" t="s">
        <v>189</v>
      </c>
      <c r="BE539" t="s">
        <v>189</v>
      </c>
      <c r="BF539">
        <f>IFERROR(AVERAGE(Tabel1[[#This Row],[Up - V2a]:[Up - V2c]]),"")</f>
        <v>4</v>
      </c>
      <c r="BG539" t="s">
        <v>189</v>
      </c>
      <c r="BH539">
        <v>3</v>
      </c>
      <c r="BI539">
        <f>IFERROR(AVERAGE(Tabel1[[#This Row],[Up - V3a]:[Up - V3b]]),"")</f>
        <v>3</v>
      </c>
      <c r="BJ539" t="s">
        <v>189</v>
      </c>
      <c r="BK539">
        <f>IFERROR(AVERAGE(Tabel1[[#This Row],[Up - V1]],Tabel1[[#This Row],[Up - V2]],Tabel1[[#This Row],[Up - V3]],Tabel1[[#This Row],[Up - V4]]),"")</f>
        <v>3.3333333333333335</v>
      </c>
      <c r="BL539">
        <v>3</v>
      </c>
      <c r="BM539" t="s">
        <v>189</v>
      </c>
      <c r="BN539" t="s">
        <v>189</v>
      </c>
      <c r="BO539" t="s">
        <v>189</v>
      </c>
      <c r="BP539">
        <f>IFERROR(AVERAGE(Tabel1[[#This Row],[Up - A1a]:[Up - A1d]]),"")</f>
        <v>3</v>
      </c>
      <c r="BQ539" t="s">
        <v>189</v>
      </c>
      <c r="BR539" t="s">
        <v>189</v>
      </c>
      <c r="BS539" t="str">
        <f>IFERROR(AVERAGE(Tabel1[[#This Row],[Up - A2a]:[Up - A2b]]),"")</f>
        <v/>
      </c>
      <c r="BT539" t="s">
        <v>189</v>
      </c>
      <c r="BU539" t="str">
        <f>IFERROR(AVERAGE(Tabel1[[#This Row],[Up - A3a]:[Up - A3a]]),"")</f>
        <v/>
      </c>
      <c r="BV539" t="s">
        <v>189</v>
      </c>
      <c r="BW539">
        <f>IFERROR(AVERAGE(Tabel1[[#This Row],[Up - A1]],Tabel1[[#This Row],[Up - A2]],Tabel1[[#This Row],[Up - A3]]),"")</f>
        <v>3</v>
      </c>
      <c r="BX539">
        <v>3</v>
      </c>
      <c r="BY539">
        <v>3</v>
      </c>
      <c r="BZ539">
        <f>IFERROR(AVERAGE(Tabel1[[#This Row],[In - R1a]:[In - R1b]]),"")</f>
        <v>3</v>
      </c>
      <c r="CA539">
        <v>2</v>
      </c>
      <c r="CB539">
        <v>4</v>
      </c>
      <c r="CC539">
        <v>1</v>
      </c>
      <c r="CD539">
        <v>5</v>
      </c>
      <c r="CE539">
        <f>IFERROR(AVERAGE(Tabel1[[#This Row],[In - R1]:[In - R5]]),"")</f>
        <v>3</v>
      </c>
      <c r="CF539">
        <v>3</v>
      </c>
      <c r="CG539">
        <v>1</v>
      </c>
      <c r="CH539">
        <v>3</v>
      </c>
      <c r="CI539">
        <f>IFERROR(AVERAGE(Tabel1[[#This Row],[In - C1a]:[In - C1c]]),"")</f>
        <v>2.3333333333333335</v>
      </c>
      <c r="CJ539">
        <v>2</v>
      </c>
      <c r="CK539">
        <v>2</v>
      </c>
      <c r="CL539">
        <v>1</v>
      </c>
      <c r="CM539">
        <f>IFERROR(AVERAGE(Tabel1[[#This Row],[In - C1]:[In - C4]]),"")</f>
        <v>1.8333333333333335</v>
      </c>
      <c r="CN539">
        <v>4</v>
      </c>
      <c r="CO539">
        <v>3</v>
      </c>
      <c r="CP539">
        <v>2</v>
      </c>
      <c r="CQ539">
        <f>IFERROR(AVERAGE(Tabel1[[#This Row],[In - F1a]:[In - F1c]]),"")</f>
        <v>3</v>
      </c>
      <c r="CR539" t="s">
        <v>189</v>
      </c>
      <c r="CS539">
        <v>2</v>
      </c>
      <c r="CT539">
        <f>IFERROR(AVERAGE(Tabel1[[#This Row],[In - F2a]:[In - F2b]]),"")</f>
        <v>2</v>
      </c>
      <c r="CU539" t="s">
        <v>189</v>
      </c>
      <c r="CV539" t="str">
        <f>IFERROR(AVERAGE(Tabel1[[#This Row],[In - F3a]:[In - F3a]]),"")</f>
        <v/>
      </c>
      <c r="CW539" t="s">
        <v>189</v>
      </c>
      <c r="CX539">
        <f>IFERROR(AVERAGE(Tabel1[[#This Row],[In - F1]],Tabel1[[#This Row],[In - F2]],Tabel1[[#This Row],[In - F3]],Tabel1[[#This Row],[In - F4]]),"")</f>
        <v>2.5</v>
      </c>
      <c r="CY539">
        <v>1</v>
      </c>
      <c r="CZ539">
        <v>1</v>
      </c>
      <c r="DA539">
        <v>1</v>
      </c>
      <c r="DB539">
        <f>IFERROR(AVERAGE(Tabel1[[#This Row],[In - V1a]:[In - V1c]]),"")</f>
        <v>1</v>
      </c>
      <c r="DC539">
        <v>2</v>
      </c>
      <c r="DD539">
        <v>3</v>
      </c>
      <c r="DE539">
        <v>2</v>
      </c>
      <c r="DF539">
        <f>IFERROR(AVERAGE(Tabel1[[#This Row],[In - V2a]:[In - V2c]]),"")</f>
        <v>2.3333333333333335</v>
      </c>
      <c r="DG539">
        <v>2</v>
      </c>
      <c r="DH539">
        <v>4</v>
      </c>
      <c r="DI539">
        <f>IFERROR(AVERAGE(Tabel1[[#This Row],[In - V3a]:[In - V3b]]),"")</f>
        <v>3</v>
      </c>
      <c r="DJ539" t="s">
        <v>189</v>
      </c>
      <c r="DK539">
        <f>IFERROR(AVERAGE(Tabel1[[#This Row],[In - V1]],Tabel1[[#This Row],[In - V2]],Tabel1[[#This Row],[In - V3]],Tabel1[[#This Row],[In - V4]]),"")</f>
        <v>2.1111111111111112</v>
      </c>
      <c r="DL539">
        <v>3</v>
      </c>
      <c r="DM539">
        <v>2</v>
      </c>
      <c r="DN539">
        <f>IFERROR(AVERAGE(Tabel1[[#This Row],[In - A1a]:[In - A1b]]),"")</f>
        <v>2.5</v>
      </c>
      <c r="DO539">
        <v>2</v>
      </c>
      <c r="DP539">
        <v>3</v>
      </c>
      <c r="DQ539">
        <f>IFERROR(AVERAGE(Tabel1[[#This Row],[In - A2a]:[In - A2b]]),"")</f>
        <v>2.5</v>
      </c>
      <c r="DR539">
        <v>3</v>
      </c>
      <c r="DS539">
        <v>1</v>
      </c>
      <c r="DT539">
        <f>IFERROR(AVERAGE(Tabel1[[#This Row],[In - A3a]:[In - A3a]]),"")</f>
        <v>3</v>
      </c>
      <c r="DU539">
        <v>3</v>
      </c>
      <c r="DV539">
        <f>IFERROR(AVERAGE(Tabel1[[#This Row],[In - A1]],Tabel1[[#This Row],[In - A2]],Tabel1[[#This Row],[In - A3]],Tabel1[[#This Row],[In - A4]]),"")</f>
        <v>2.75</v>
      </c>
      <c r="DW539">
        <v>4</v>
      </c>
      <c r="DX539">
        <v>3</v>
      </c>
      <c r="DY539">
        <v>3</v>
      </c>
      <c r="DZ539">
        <f>IFERROR(AVERAGE(Tabel1[[#This Row],[Do - R1a]:[Do - R1c]]),"")</f>
        <v>3.3333333333333335</v>
      </c>
      <c r="EA539">
        <v>2</v>
      </c>
      <c r="EB539">
        <v>2</v>
      </c>
      <c r="EC539">
        <v>3</v>
      </c>
      <c r="ED539" t="s">
        <v>189</v>
      </c>
      <c r="EE539">
        <f>IFERROR(AVERAGE(Tabel1[[#This Row],[Do - R1]:[Do - R5]]),"")</f>
        <v>2.5833333333333335</v>
      </c>
      <c r="EF539">
        <v>2</v>
      </c>
      <c r="EG539">
        <v>2</v>
      </c>
      <c r="EH539">
        <v>2</v>
      </c>
      <c r="EI539">
        <f>IFERROR(AVERAGE(Tabel1[[#This Row],[Do - C1a]:[Do - C1c]]),"")</f>
        <v>2</v>
      </c>
      <c r="EJ539">
        <v>2</v>
      </c>
      <c r="EK539">
        <v>2</v>
      </c>
      <c r="EL539">
        <v>3</v>
      </c>
      <c r="EM539">
        <f>IFERROR(AVERAGE(Tabel1[[#This Row],[Do - C1]:[Do - C4]]),"")</f>
        <v>2.25</v>
      </c>
      <c r="EN539">
        <v>4</v>
      </c>
      <c r="EO539">
        <v>2</v>
      </c>
      <c r="EP539">
        <v>4</v>
      </c>
      <c r="EQ539">
        <f>IFERROR(AVERAGE(Tabel1[[#This Row],[Do - F1a]:[Do - F1c]]),"")</f>
        <v>3.3333333333333335</v>
      </c>
      <c r="ER539" t="s">
        <v>189</v>
      </c>
      <c r="ES539" t="str">
        <f>IFERROR(AVERAGE(Tabel1[[#This Row],[Do - F2a]:[Do - F2a]]),"")</f>
        <v/>
      </c>
      <c r="ET539">
        <v>2</v>
      </c>
      <c r="EU539">
        <v>2</v>
      </c>
      <c r="EV539">
        <f>IFERROR(AVERAGE(Tabel1[[#This Row],[Do - F3a]:[Do - F3b]]),"")</f>
        <v>2</v>
      </c>
      <c r="EW539" t="s">
        <v>189</v>
      </c>
      <c r="EX539">
        <f>IFERROR(AVERAGE(Tabel1[[#This Row],[Do - F1]],Tabel1[[#This Row],[Do - F2]],Tabel1[[#This Row],[Do - F3]],Tabel1[[#This Row],[Do - F4]]),"")</f>
        <v>2.666666666666667</v>
      </c>
      <c r="EY539">
        <v>3</v>
      </c>
      <c r="EZ539">
        <v>3</v>
      </c>
      <c r="FA539" t="s">
        <v>189</v>
      </c>
      <c r="FB539">
        <f>IFERROR(AVERAGE(Tabel1[[#This Row],[Do - V1a]:[Do - V1c]]),"")</f>
        <v>3</v>
      </c>
      <c r="FC539">
        <v>4</v>
      </c>
      <c r="FD539" t="s">
        <v>189</v>
      </c>
      <c r="FE539">
        <f>IFERROR(AVERAGE(Tabel1[[#This Row],[Do - V2a]:[Do - V2b]]),"")</f>
        <v>4</v>
      </c>
      <c r="FF539" t="s">
        <v>189</v>
      </c>
      <c r="FG539" t="str">
        <f>IFERROR(AVERAGE(Tabel1[[#This Row],[Do - V3a]:[Do - V3a]]),"")</f>
        <v/>
      </c>
      <c r="FH539" t="s">
        <v>189</v>
      </c>
      <c r="FI539">
        <f>IFERROR(AVERAGE(Tabel1[[#This Row],[Do - V1]],Tabel1[[#This Row],[Do - V2]],Tabel1[[#This Row],[Do - V3]],Tabel1[[#This Row],[Do - V4]]),"")</f>
        <v>3.5</v>
      </c>
      <c r="FJ539">
        <v>5</v>
      </c>
      <c r="FK539">
        <v>3</v>
      </c>
      <c r="FL539">
        <v>4</v>
      </c>
      <c r="FM539">
        <f>IFERROR(AVERAGE(Tabel1[[#This Row],[Do - A1a]:[Do - A1c]]),"")</f>
        <v>4</v>
      </c>
      <c r="FN539">
        <v>4</v>
      </c>
      <c r="FO539">
        <v>3</v>
      </c>
      <c r="FP539">
        <f>IFERROR(AVERAGE(Tabel1[[#This Row],[Do - A2a]:[Do - A2b]]),"")</f>
        <v>3.5</v>
      </c>
      <c r="FQ539">
        <v>4</v>
      </c>
      <c r="FR539">
        <f>IFERROR(AVERAGE(Tabel1[[#This Row],[Do - A3a]:[Do - A3a]]),"")</f>
        <v>4</v>
      </c>
      <c r="FS539">
        <v>3</v>
      </c>
      <c r="FT539">
        <f>IFERROR(AVERAGE(Tabel1[[#This Row],[Do - A1]],Tabel1[[#This Row],[Do - A2]],Tabel1[[#This Row],[Do - A3]],Tabel1[[#This Row],[Do - A4]]),"")</f>
        <v>3.625</v>
      </c>
      <c r="FU53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2.7251984126984126</v>
      </c>
      <c r="FV539" s="31" t="s">
        <v>2597</v>
      </c>
      <c r="FW539" t="b">
        <v>1</v>
      </c>
    </row>
    <row r="540" spans="1:179" x14ac:dyDescent="0.3">
      <c r="A540" s="13">
        <v>45931.320902777799</v>
      </c>
      <c r="B540" t="b">
        <v>0</v>
      </c>
      <c r="C540" t="s">
        <v>2598</v>
      </c>
      <c r="D540" t="s">
        <v>2599</v>
      </c>
      <c r="E540" t="s">
        <v>2600</v>
      </c>
      <c r="F540" s="14" t="s">
        <v>2091</v>
      </c>
      <c r="G540" t="s">
        <v>2601</v>
      </c>
      <c r="H540" t="s">
        <v>222</v>
      </c>
      <c r="I540" t="s">
        <v>195</v>
      </c>
      <c r="J540" t="s">
        <v>261</v>
      </c>
      <c r="K540" t="s">
        <v>235</v>
      </c>
      <c r="L540" t="s">
        <v>385</v>
      </c>
      <c r="M540" t="s">
        <v>233</v>
      </c>
      <c r="N540" t="s">
        <v>262</v>
      </c>
      <c r="O540" t="s">
        <v>200</v>
      </c>
      <c r="P540" t="s">
        <v>255</v>
      </c>
      <c r="Q540" t="s">
        <v>203</v>
      </c>
      <c r="R540" t="s">
        <v>235</v>
      </c>
      <c r="T540" t="s">
        <v>236</v>
      </c>
      <c r="U540" t="s">
        <v>285</v>
      </c>
      <c r="V540" t="s">
        <v>359</v>
      </c>
      <c r="W540" t="s">
        <v>207</v>
      </c>
      <c r="X540" t="s">
        <v>207</v>
      </c>
      <c r="Y540">
        <v>1</v>
      </c>
      <c r="Z540">
        <v>4</v>
      </c>
      <c r="AA540">
        <v>2</v>
      </c>
      <c r="AB540">
        <f>IFERROR(AVERAGE(Tabel1[[#This Row],[Up - R1a]:[Up - R1c]]),"")</f>
        <v>2.3333333333333335</v>
      </c>
      <c r="AC540">
        <v>3</v>
      </c>
      <c r="AD540">
        <v>5</v>
      </c>
      <c r="AE540">
        <v>2</v>
      </c>
      <c r="AF540">
        <v>2</v>
      </c>
      <c r="AG540">
        <f>IFERROR(AVERAGE(Tabel1[[#This Row],[Up - R1]:[Up - R5]]),"")</f>
        <v>2.8666666666666667</v>
      </c>
      <c r="AH540">
        <v>4</v>
      </c>
      <c r="AI540">
        <v>4</v>
      </c>
      <c r="AJ540">
        <v>4</v>
      </c>
      <c r="AK540">
        <f>IFERROR(AVERAGE(Tabel1[[#This Row],[Up - C1a]:[Up - C1c]]),"")</f>
        <v>4</v>
      </c>
      <c r="AL540">
        <v>2</v>
      </c>
      <c r="AM540">
        <v>1</v>
      </c>
      <c r="AN540">
        <v>3</v>
      </c>
      <c r="AO540">
        <f>IFERROR(AVERAGE(Tabel1[[#This Row],[Up - C1]:[Up - C4]]),"")</f>
        <v>2.5</v>
      </c>
      <c r="AP540">
        <v>3</v>
      </c>
      <c r="AQ540">
        <f>IFERROR(AVERAGE(Tabel1[[#This Row],[Up - F1a]:[Up - F1a]]),"")</f>
        <v>3</v>
      </c>
      <c r="AR540">
        <v>2</v>
      </c>
      <c r="AS540">
        <v>4</v>
      </c>
      <c r="AT540">
        <f>IFERROR(AVERAGE(Tabel1[[#This Row],[Up - F2a]:[Up - F2b]]),"")</f>
        <v>3</v>
      </c>
      <c r="AU540">
        <v>3</v>
      </c>
      <c r="AV540" t="s">
        <v>189</v>
      </c>
      <c r="AW540">
        <f>IFERROR(AVERAGE(Tabel1[[#This Row],[Up - F3a]:[Up - F3b]]),"")</f>
        <v>3</v>
      </c>
      <c r="AX540">
        <v>3</v>
      </c>
      <c r="AY540">
        <f>IFERROR(AVERAGE(Tabel1[[#This Row],[Up - F1]],Tabel1[[#This Row],[Up - F2]],Tabel1[[#This Row],[Up - F3]],Tabel1[[#This Row],[Up - F4]]),"")</f>
        <v>3</v>
      </c>
      <c r="AZ540">
        <v>3</v>
      </c>
      <c r="BA540">
        <v>4</v>
      </c>
      <c r="BB540">
        <f>IFERROR(AVERAGE(Tabel1[[#This Row],[Up - V1a]:[Up - V1b]]),"")</f>
        <v>3.5</v>
      </c>
      <c r="BC540">
        <v>2</v>
      </c>
      <c r="BD540">
        <v>2</v>
      </c>
      <c r="BE540">
        <v>3</v>
      </c>
      <c r="BF540">
        <f>IFERROR(AVERAGE(Tabel1[[#This Row],[Up - V2a]:[Up - V2c]]),"")</f>
        <v>2.3333333333333335</v>
      </c>
      <c r="BG540">
        <v>2</v>
      </c>
      <c r="BH540">
        <v>1</v>
      </c>
      <c r="BI540">
        <f>IFERROR(AVERAGE(Tabel1[[#This Row],[Up - V3a]:[Up - V3b]]),"")</f>
        <v>1.5</v>
      </c>
      <c r="BJ540">
        <v>5</v>
      </c>
      <c r="BK540">
        <f>IFERROR(AVERAGE(Tabel1[[#This Row],[Up - V1]],Tabel1[[#This Row],[Up - V2]],Tabel1[[#This Row],[Up - V3]],Tabel1[[#This Row],[Up - V4]]),"")</f>
        <v>3.0833333333333335</v>
      </c>
      <c r="BL540">
        <v>5</v>
      </c>
      <c r="BM540">
        <v>3</v>
      </c>
      <c r="BN540">
        <v>3</v>
      </c>
      <c r="BO540">
        <v>4</v>
      </c>
      <c r="BP540">
        <f>IFERROR(AVERAGE(Tabel1[[#This Row],[Up - A1a]:[Up - A1d]]),"")</f>
        <v>3.75</v>
      </c>
      <c r="BQ540">
        <v>3</v>
      </c>
      <c r="BR540">
        <v>2</v>
      </c>
      <c r="BS540">
        <f>IFERROR(AVERAGE(Tabel1[[#This Row],[Up - A2a]:[Up - A2b]]),"")</f>
        <v>2.5</v>
      </c>
      <c r="BT540">
        <v>5</v>
      </c>
      <c r="BU540">
        <f>IFERROR(AVERAGE(Tabel1[[#This Row],[Up - A3a]:[Up - A3a]]),"")</f>
        <v>5</v>
      </c>
      <c r="BV540">
        <v>2</v>
      </c>
      <c r="BW540">
        <f>IFERROR(AVERAGE(Tabel1[[#This Row],[Up - A1]],Tabel1[[#This Row],[Up - A2]],Tabel1[[#This Row],[Up - A3]]),"")</f>
        <v>3.75</v>
      </c>
      <c r="BX540">
        <v>3</v>
      </c>
      <c r="BY540">
        <v>4</v>
      </c>
      <c r="BZ540">
        <f>IFERROR(AVERAGE(Tabel1[[#This Row],[In - R1a]:[In - R1b]]),"")</f>
        <v>3.5</v>
      </c>
      <c r="CA540">
        <v>3</v>
      </c>
      <c r="CB540">
        <v>4</v>
      </c>
      <c r="CC540">
        <v>4</v>
      </c>
      <c r="CD540">
        <v>4</v>
      </c>
      <c r="CE540">
        <f>IFERROR(AVERAGE(Tabel1[[#This Row],[In - R1]:[In - R5]]),"")</f>
        <v>3.7</v>
      </c>
      <c r="CF540">
        <v>4</v>
      </c>
      <c r="CG540">
        <v>2</v>
      </c>
      <c r="CH540">
        <v>3</v>
      </c>
      <c r="CI540">
        <f>IFERROR(AVERAGE(Tabel1[[#This Row],[In - C1a]:[In - C1c]]),"")</f>
        <v>3</v>
      </c>
      <c r="CJ540">
        <v>2</v>
      </c>
      <c r="CK540">
        <v>2</v>
      </c>
      <c r="CL540">
        <v>2</v>
      </c>
      <c r="CM540">
        <f>IFERROR(AVERAGE(Tabel1[[#This Row],[In - C1]:[In - C4]]),"")</f>
        <v>2.25</v>
      </c>
      <c r="CN540">
        <v>4</v>
      </c>
      <c r="CO540">
        <v>5</v>
      </c>
      <c r="CP540">
        <v>4</v>
      </c>
      <c r="CQ540">
        <f>IFERROR(AVERAGE(Tabel1[[#This Row],[In - F1a]:[In - F1c]]),"")</f>
        <v>4.333333333333333</v>
      </c>
      <c r="CR540">
        <v>5</v>
      </c>
      <c r="CS540">
        <v>3</v>
      </c>
      <c r="CT540">
        <f>IFERROR(AVERAGE(Tabel1[[#This Row],[In - F2a]:[In - F2b]]),"")</f>
        <v>4</v>
      </c>
      <c r="CU540">
        <v>3</v>
      </c>
      <c r="CV540">
        <f>IFERROR(AVERAGE(Tabel1[[#This Row],[In - F3a]:[In - F3a]]),"")</f>
        <v>3</v>
      </c>
      <c r="CW540">
        <v>4</v>
      </c>
      <c r="CX540">
        <f>IFERROR(AVERAGE(Tabel1[[#This Row],[In - F1]],Tabel1[[#This Row],[In - F2]],Tabel1[[#This Row],[In - F3]],Tabel1[[#This Row],[In - F4]]),"")</f>
        <v>3.833333333333333</v>
      </c>
      <c r="CY540">
        <v>2</v>
      </c>
      <c r="CZ540">
        <v>1</v>
      </c>
      <c r="DA540">
        <v>2</v>
      </c>
      <c r="DB540">
        <f>IFERROR(AVERAGE(Tabel1[[#This Row],[In - V1a]:[In - V1c]]),"")</f>
        <v>1.6666666666666667</v>
      </c>
      <c r="DC540">
        <v>1</v>
      </c>
      <c r="DD540">
        <v>1</v>
      </c>
      <c r="DE540">
        <v>2</v>
      </c>
      <c r="DF540">
        <f>IFERROR(AVERAGE(Tabel1[[#This Row],[In - V2a]:[In - V2c]]),"")</f>
        <v>1.3333333333333333</v>
      </c>
      <c r="DG540">
        <v>1</v>
      </c>
      <c r="DH540">
        <v>1</v>
      </c>
      <c r="DI540">
        <f>IFERROR(AVERAGE(Tabel1[[#This Row],[In - V3a]:[In - V3b]]),"")</f>
        <v>1</v>
      </c>
      <c r="DJ540">
        <v>3</v>
      </c>
      <c r="DK540">
        <f>IFERROR(AVERAGE(Tabel1[[#This Row],[In - V1]],Tabel1[[#This Row],[In - V2]],Tabel1[[#This Row],[In - V3]],Tabel1[[#This Row],[In - V4]]),"")</f>
        <v>1.75</v>
      </c>
      <c r="DL540">
        <v>3</v>
      </c>
      <c r="DM540">
        <v>2</v>
      </c>
      <c r="DN540">
        <f>IFERROR(AVERAGE(Tabel1[[#This Row],[In - A1a]:[In - A1b]]),"")</f>
        <v>2.5</v>
      </c>
      <c r="DO540">
        <v>3</v>
      </c>
      <c r="DP540">
        <v>2</v>
      </c>
      <c r="DQ540">
        <f>IFERROR(AVERAGE(Tabel1[[#This Row],[In - A2a]:[In - A2b]]),"")</f>
        <v>2.5</v>
      </c>
      <c r="DR540">
        <v>4</v>
      </c>
      <c r="DS540">
        <v>3</v>
      </c>
      <c r="DT540">
        <f>IFERROR(AVERAGE(Tabel1[[#This Row],[In - A3a]:[In - A3a]]),"")</f>
        <v>4</v>
      </c>
      <c r="DU540">
        <v>2</v>
      </c>
      <c r="DV540">
        <f>IFERROR(AVERAGE(Tabel1[[#This Row],[In - A1]],Tabel1[[#This Row],[In - A2]],Tabel1[[#This Row],[In - A3]],Tabel1[[#This Row],[In - A4]]),"")</f>
        <v>2.75</v>
      </c>
      <c r="DW540">
        <v>3</v>
      </c>
      <c r="DX540">
        <v>4</v>
      </c>
      <c r="DY540">
        <v>2</v>
      </c>
      <c r="DZ540">
        <f>IFERROR(AVERAGE(Tabel1[[#This Row],[Do - R1a]:[Do - R1c]]),"")</f>
        <v>3</v>
      </c>
      <c r="EA540" t="s">
        <v>189</v>
      </c>
      <c r="EB540">
        <v>3</v>
      </c>
      <c r="EC540">
        <v>2</v>
      </c>
      <c r="ED540">
        <v>4</v>
      </c>
      <c r="EE540">
        <f>IFERROR(AVERAGE(Tabel1[[#This Row],[Do - R1]:[Do - R5]]),"")</f>
        <v>3</v>
      </c>
      <c r="EF540">
        <v>3</v>
      </c>
      <c r="EG540">
        <v>3</v>
      </c>
      <c r="EH540">
        <v>3</v>
      </c>
      <c r="EI540">
        <f>IFERROR(AVERAGE(Tabel1[[#This Row],[Do - C1a]:[Do - C1c]]),"")</f>
        <v>3</v>
      </c>
      <c r="EJ540">
        <v>2</v>
      </c>
      <c r="EK540">
        <v>2</v>
      </c>
      <c r="EL540">
        <v>2</v>
      </c>
      <c r="EM540">
        <f>IFERROR(AVERAGE(Tabel1[[#This Row],[Do - C1]:[Do - C4]]),"")</f>
        <v>2.25</v>
      </c>
      <c r="EN540">
        <v>2</v>
      </c>
      <c r="EO540">
        <v>3</v>
      </c>
      <c r="EP540">
        <v>4</v>
      </c>
      <c r="EQ540">
        <f>IFERROR(AVERAGE(Tabel1[[#This Row],[Do - F1a]:[Do - F1c]]),"")</f>
        <v>3</v>
      </c>
      <c r="ER540">
        <v>3</v>
      </c>
      <c r="ES540">
        <f>IFERROR(AVERAGE(Tabel1[[#This Row],[Do - F2a]:[Do - F2a]]),"")</f>
        <v>3</v>
      </c>
      <c r="ET540">
        <v>3</v>
      </c>
      <c r="EU540">
        <v>3</v>
      </c>
      <c r="EV540">
        <f>IFERROR(AVERAGE(Tabel1[[#This Row],[Do - F3a]:[Do - F3b]]),"")</f>
        <v>3</v>
      </c>
      <c r="EW540">
        <v>4</v>
      </c>
      <c r="EX540">
        <f>IFERROR(AVERAGE(Tabel1[[#This Row],[Do - F1]],Tabel1[[#This Row],[Do - F2]],Tabel1[[#This Row],[Do - F3]],Tabel1[[#This Row],[Do - F4]]),"")</f>
        <v>3.25</v>
      </c>
      <c r="EY540">
        <v>2</v>
      </c>
      <c r="EZ540">
        <v>2</v>
      </c>
      <c r="FA540">
        <v>4</v>
      </c>
      <c r="FB540">
        <f>IFERROR(AVERAGE(Tabel1[[#This Row],[Do - V1a]:[Do - V1c]]),"")</f>
        <v>2.6666666666666665</v>
      </c>
      <c r="FC540">
        <v>1</v>
      </c>
      <c r="FD540">
        <v>3</v>
      </c>
      <c r="FE540">
        <f>IFERROR(AVERAGE(Tabel1[[#This Row],[Do - V2a]:[Do - V2b]]),"")</f>
        <v>2</v>
      </c>
      <c r="FF540">
        <v>3</v>
      </c>
      <c r="FG540">
        <f>IFERROR(AVERAGE(Tabel1[[#This Row],[Do - V3a]:[Do - V3a]]),"")</f>
        <v>3</v>
      </c>
      <c r="FH540">
        <v>5</v>
      </c>
      <c r="FI540">
        <f>IFERROR(AVERAGE(Tabel1[[#This Row],[Do - V1]],Tabel1[[#This Row],[Do - V2]],Tabel1[[#This Row],[Do - V3]],Tabel1[[#This Row],[Do - V4]]),"")</f>
        <v>3.1666666666666665</v>
      </c>
      <c r="FJ540">
        <v>4</v>
      </c>
      <c r="FK540">
        <v>3</v>
      </c>
      <c r="FL540">
        <v>2</v>
      </c>
      <c r="FM540">
        <f>IFERROR(AVERAGE(Tabel1[[#This Row],[Do - A1a]:[Do - A1c]]),"")</f>
        <v>3</v>
      </c>
      <c r="FN540">
        <v>3</v>
      </c>
      <c r="FO540">
        <v>4</v>
      </c>
      <c r="FP540">
        <f>IFERROR(AVERAGE(Tabel1[[#This Row],[Do - A2a]:[Do - A2b]]),"")</f>
        <v>3.5</v>
      </c>
      <c r="FQ540">
        <v>3</v>
      </c>
      <c r="FR540">
        <f>IFERROR(AVERAGE(Tabel1[[#This Row],[Do - A3a]:[Do - A3a]]),"")</f>
        <v>3</v>
      </c>
      <c r="FS540">
        <v>3</v>
      </c>
      <c r="FT540">
        <f>IFERROR(AVERAGE(Tabel1[[#This Row],[Do - A1]],Tabel1[[#This Row],[Do - A2]],Tabel1[[#This Row],[Do - A3]],Tabel1[[#This Row],[Do - A4]]),"")</f>
        <v>3.125</v>
      </c>
      <c r="FU54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2.9516666666666667</v>
      </c>
      <c r="FV540" s="31" t="s">
        <v>2602</v>
      </c>
      <c r="FW540" t="b">
        <v>1</v>
      </c>
    </row>
    <row r="541" spans="1:179" x14ac:dyDescent="0.3">
      <c r="A541" s="13">
        <v>45931.460694444402</v>
      </c>
      <c r="B541" t="b">
        <v>0</v>
      </c>
      <c r="C541" t="s">
        <v>2603</v>
      </c>
      <c r="D541" t="s">
        <v>2604</v>
      </c>
      <c r="E541" t="s">
        <v>2605</v>
      </c>
      <c r="F541" s="14" t="s">
        <v>2091</v>
      </c>
      <c r="G541" t="s">
        <v>2606</v>
      </c>
      <c r="H541" t="s">
        <v>222</v>
      </c>
      <c r="I541" t="s">
        <v>195</v>
      </c>
      <c r="J541" t="s">
        <v>261</v>
      </c>
      <c r="K541" t="s">
        <v>235</v>
      </c>
      <c r="L541" t="s">
        <v>197</v>
      </c>
      <c r="M541" t="s">
        <v>198</v>
      </c>
      <c r="N541" t="s">
        <v>199</v>
      </c>
      <c r="O541" t="s">
        <v>200</v>
      </c>
      <c r="P541" t="s">
        <v>255</v>
      </c>
      <c r="Q541" t="s">
        <v>202</v>
      </c>
      <c r="R541" t="s">
        <v>202</v>
      </c>
      <c r="S541" t="s">
        <v>235</v>
      </c>
      <c r="T541" t="s">
        <v>204</v>
      </c>
      <c r="U541" t="s">
        <v>285</v>
      </c>
      <c r="V541" t="s">
        <v>359</v>
      </c>
      <c r="W541" t="s">
        <v>395</v>
      </c>
      <c r="X541" t="s">
        <v>207</v>
      </c>
      <c r="Y541">
        <v>3</v>
      </c>
      <c r="Z541">
        <v>2</v>
      </c>
      <c r="AA541">
        <v>3</v>
      </c>
      <c r="AB541">
        <f>IFERROR(AVERAGE(Tabel1[[#This Row],[Up - R1a]:[Up - R1c]]),"")</f>
        <v>2.6666666666666665</v>
      </c>
      <c r="AC541">
        <v>4</v>
      </c>
      <c r="AD541">
        <v>3</v>
      </c>
      <c r="AE541">
        <v>1</v>
      </c>
      <c r="AF541">
        <v>4</v>
      </c>
      <c r="AG541">
        <f>IFERROR(AVERAGE(Tabel1[[#This Row],[Up - R1]:[Up - R5]]),"")</f>
        <v>2.9333333333333331</v>
      </c>
      <c r="AH541">
        <v>5</v>
      </c>
      <c r="AI541">
        <v>5</v>
      </c>
      <c r="AJ541">
        <v>4</v>
      </c>
      <c r="AK541">
        <f>IFERROR(AVERAGE(Tabel1[[#This Row],[Up - C1a]:[Up - C1c]]),"")</f>
        <v>4.666666666666667</v>
      </c>
      <c r="AL541">
        <v>1</v>
      </c>
      <c r="AM541">
        <v>4</v>
      </c>
      <c r="AN541">
        <v>3</v>
      </c>
      <c r="AO541">
        <f>IFERROR(AVERAGE(Tabel1[[#This Row],[Up - C1]:[Up - C4]]),"")</f>
        <v>3.166666666666667</v>
      </c>
      <c r="AP541">
        <v>3</v>
      </c>
      <c r="AQ541">
        <f>IFERROR(AVERAGE(Tabel1[[#This Row],[Up - F1a]:[Up - F1a]]),"")</f>
        <v>3</v>
      </c>
      <c r="AR541">
        <v>3</v>
      </c>
      <c r="AS541">
        <v>4</v>
      </c>
      <c r="AT541">
        <f>IFERROR(AVERAGE(Tabel1[[#This Row],[Up - F2a]:[Up - F2b]]),"")</f>
        <v>3.5</v>
      </c>
      <c r="AU541">
        <v>4</v>
      </c>
      <c r="AV541">
        <v>1</v>
      </c>
      <c r="AW541">
        <f>IFERROR(AVERAGE(Tabel1[[#This Row],[Up - F3a]:[Up - F3b]]),"")</f>
        <v>2.5</v>
      </c>
      <c r="AX541">
        <v>3</v>
      </c>
      <c r="AY541">
        <f>IFERROR(AVERAGE(Tabel1[[#This Row],[Up - F1]],Tabel1[[#This Row],[Up - F2]],Tabel1[[#This Row],[Up - F3]],Tabel1[[#This Row],[Up - F4]]),"")</f>
        <v>3</v>
      </c>
      <c r="AZ541">
        <v>2</v>
      </c>
      <c r="BA541">
        <v>3</v>
      </c>
      <c r="BB541">
        <f>IFERROR(AVERAGE(Tabel1[[#This Row],[Up - V1a]:[Up - V1b]]),"")</f>
        <v>2.5</v>
      </c>
      <c r="BC541">
        <v>3</v>
      </c>
      <c r="BD541">
        <v>1</v>
      </c>
      <c r="BE541">
        <v>3</v>
      </c>
      <c r="BF541">
        <f>IFERROR(AVERAGE(Tabel1[[#This Row],[Up - V2a]:[Up - V2c]]),"")</f>
        <v>2.3333333333333335</v>
      </c>
      <c r="BG541">
        <v>3</v>
      </c>
      <c r="BH541">
        <v>4</v>
      </c>
      <c r="BI541">
        <f>IFERROR(AVERAGE(Tabel1[[#This Row],[Up - V3a]:[Up - V3b]]),"")</f>
        <v>3.5</v>
      </c>
      <c r="BJ541">
        <v>3</v>
      </c>
      <c r="BK541">
        <f>IFERROR(AVERAGE(Tabel1[[#This Row],[Up - V1]],Tabel1[[#This Row],[Up - V2]],Tabel1[[#This Row],[Up - V3]],Tabel1[[#This Row],[Up - V4]]),"")</f>
        <v>2.8333333333333335</v>
      </c>
      <c r="BL541">
        <v>4</v>
      </c>
      <c r="BM541">
        <v>3</v>
      </c>
      <c r="BN541">
        <v>3</v>
      </c>
      <c r="BO541">
        <v>3</v>
      </c>
      <c r="BP541">
        <f>IFERROR(AVERAGE(Tabel1[[#This Row],[Up - A1a]:[Up - A1d]]),"")</f>
        <v>3.25</v>
      </c>
      <c r="BQ541">
        <v>4</v>
      </c>
      <c r="BR541">
        <v>3</v>
      </c>
      <c r="BS541">
        <f>IFERROR(AVERAGE(Tabel1[[#This Row],[Up - A2a]:[Up - A2b]]),"")</f>
        <v>3.5</v>
      </c>
      <c r="BT541">
        <v>5</v>
      </c>
      <c r="BU541">
        <f>IFERROR(AVERAGE(Tabel1[[#This Row],[Up - A3a]:[Up - A3a]]),"")</f>
        <v>5</v>
      </c>
      <c r="BW541">
        <f>IFERROR(AVERAGE(Tabel1[[#This Row],[Up - A1]],Tabel1[[#This Row],[Up - A2]],Tabel1[[#This Row],[Up - A3]]),"")</f>
        <v>3.9166666666666665</v>
      </c>
      <c r="BX541">
        <v>5</v>
      </c>
      <c r="BY541">
        <v>3</v>
      </c>
      <c r="BZ541">
        <f>IFERROR(AVERAGE(Tabel1[[#This Row],[In - R1a]:[In - R1b]]),"")</f>
        <v>4</v>
      </c>
      <c r="CA541">
        <v>4</v>
      </c>
      <c r="CB541">
        <v>4</v>
      </c>
      <c r="CC541">
        <v>1</v>
      </c>
      <c r="CD541">
        <v>5</v>
      </c>
      <c r="CE541">
        <f>IFERROR(AVERAGE(Tabel1[[#This Row],[In - R1]:[In - R5]]),"")</f>
        <v>3.6</v>
      </c>
      <c r="CF541">
        <v>4</v>
      </c>
      <c r="CG541">
        <v>2</v>
      </c>
      <c r="CH541">
        <v>4</v>
      </c>
      <c r="CI541">
        <f>IFERROR(AVERAGE(Tabel1[[#This Row],[In - C1a]:[In - C1c]]),"")</f>
        <v>3.3333333333333335</v>
      </c>
      <c r="CJ541">
        <v>2</v>
      </c>
      <c r="CK541">
        <v>2</v>
      </c>
      <c r="CL541">
        <v>1</v>
      </c>
      <c r="CM541">
        <f>IFERROR(AVERAGE(Tabel1[[#This Row],[In - C1]:[In - C4]]),"")</f>
        <v>2.0833333333333335</v>
      </c>
      <c r="CN541">
        <v>4</v>
      </c>
      <c r="CO541">
        <v>4</v>
      </c>
      <c r="CP541">
        <v>3</v>
      </c>
      <c r="CQ541">
        <f>IFERROR(AVERAGE(Tabel1[[#This Row],[In - F1a]:[In - F1c]]),"")</f>
        <v>3.6666666666666665</v>
      </c>
      <c r="CR541">
        <v>4</v>
      </c>
      <c r="CS541">
        <v>5</v>
      </c>
      <c r="CT541">
        <f>IFERROR(AVERAGE(Tabel1[[#This Row],[In - F2a]:[In - F2b]]),"")</f>
        <v>4.5</v>
      </c>
      <c r="CU541">
        <v>3</v>
      </c>
      <c r="CV541">
        <f>IFERROR(AVERAGE(Tabel1[[#This Row],[In - F3a]:[In - F3a]]),"")</f>
        <v>3</v>
      </c>
      <c r="CW541">
        <v>3</v>
      </c>
      <c r="CX541">
        <f>IFERROR(AVERAGE(Tabel1[[#This Row],[In - F1]],Tabel1[[#This Row],[In - F2]],Tabel1[[#This Row],[In - F3]],Tabel1[[#This Row],[In - F4]]),"")</f>
        <v>3.5416666666666665</v>
      </c>
      <c r="CY541">
        <v>3</v>
      </c>
      <c r="CZ541">
        <v>3</v>
      </c>
      <c r="DA541">
        <v>2</v>
      </c>
      <c r="DB541">
        <f>IFERROR(AVERAGE(Tabel1[[#This Row],[In - V1a]:[In - V1c]]),"")</f>
        <v>2.6666666666666665</v>
      </c>
      <c r="DC541">
        <v>4</v>
      </c>
      <c r="DD541">
        <v>4</v>
      </c>
      <c r="DE541">
        <v>3</v>
      </c>
      <c r="DF541">
        <f>IFERROR(AVERAGE(Tabel1[[#This Row],[In - V2a]:[In - V2c]]),"")</f>
        <v>3.6666666666666665</v>
      </c>
      <c r="DG541">
        <v>3</v>
      </c>
      <c r="DH541">
        <v>4</v>
      </c>
      <c r="DI541">
        <f>IFERROR(AVERAGE(Tabel1[[#This Row],[In - V3a]:[In - V3b]]),"")</f>
        <v>3.5</v>
      </c>
      <c r="DJ541">
        <v>3</v>
      </c>
      <c r="DK541">
        <f>IFERROR(AVERAGE(Tabel1[[#This Row],[In - V1]],Tabel1[[#This Row],[In - V2]],Tabel1[[#This Row],[In - V3]],Tabel1[[#This Row],[In - V4]]),"")</f>
        <v>3.208333333333333</v>
      </c>
      <c r="DL541">
        <v>4</v>
      </c>
      <c r="DM541">
        <v>4</v>
      </c>
      <c r="DN541">
        <f>IFERROR(AVERAGE(Tabel1[[#This Row],[In - A1a]:[In - A1b]]),"")</f>
        <v>4</v>
      </c>
      <c r="DO541">
        <v>3</v>
      </c>
      <c r="DP541">
        <v>4</v>
      </c>
      <c r="DQ541">
        <f>IFERROR(AVERAGE(Tabel1[[#This Row],[In - A2a]:[In - A2b]]),"")</f>
        <v>3.5</v>
      </c>
      <c r="DR541">
        <v>4</v>
      </c>
      <c r="DS541">
        <v>2</v>
      </c>
      <c r="DT541">
        <f>IFERROR(AVERAGE(Tabel1[[#This Row],[In - A3a]:[In - A3a]]),"")</f>
        <v>4</v>
      </c>
      <c r="DU541">
        <v>3</v>
      </c>
      <c r="DV541">
        <f>IFERROR(AVERAGE(Tabel1[[#This Row],[In - A1]],Tabel1[[#This Row],[In - A2]],Tabel1[[#This Row],[In - A3]],Tabel1[[#This Row],[In - A4]]),"")</f>
        <v>3.625</v>
      </c>
      <c r="DW541">
        <v>4</v>
      </c>
      <c r="DX541">
        <v>3</v>
      </c>
      <c r="DY541">
        <v>4</v>
      </c>
      <c r="DZ541">
        <f>IFERROR(AVERAGE(Tabel1[[#This Row],[Do - R1a]:[Do - R1c]]),"")</f>
        <v>3.6666666666666665</v>
      </c>
      <c r="EA541">
        <v>3</v>
      </c>
      <c r="EB541">
        <v>2</v>
      </c>
      <c r="EC541">
        <v>5</v>
      </c>
      <c r="ED541">
        <v>4</v>
      </c>
      <c r="EE541">
        <f>IFERROR(AVERAGE(Tabel1[[#This Row],[Do - R1]:[Do - R5]]),"")</f>
        <v>3.5333333333333328</v>
      </c>
      <c r="EF541">
        <v>4</v>
      </c>
      <c r="EG541">
        <v>4</v>
      </c>
      <c r="EH541">
        <v>3</v>
      </c>
      <c r="EI541">
        <f>IFERROR(AVERAGE(Tabel1[[#This Row],[Do - C1a]:[Do - C1c]]),"")</f>
        <v>3.6666666666666665</v>
      </c>
      <c r="EJ541">
        <v>3</v>
      </c>
      <c r="EK541">
        <v>4</v>
      </c>
      <c r="EL541">
        <v>3</v>
      </c>
      <c r="EM541">
        <f>IFERROR(AVERAGE(Tabel1[[#This Row],[Do - C1]:[Do - C4]]),"")</f>
        <v>3.4166666666666665</v>
      </c>
      <c r="EN541">
        <v>4</v>
      </c>
      <c r="EO541">
        <v>4</v>
      </c>
      <c r="EP541">
        <v>4</v>
      </c>
      <c r="EQ541">
        <f>IFERROR(AVERAGE(Tabel1[[#This Row],[Do - F1a]:[Do - F1c]]),"")</f>
        <v>4</v>
      </c>
      <c r="ER541">
        <v>4</v>
      </c>
      <c r="ES541">
        <f>IFERROR(AVERAGE(Tabel1[[#This Row],[Do - F2a]:[Do - F2a]]),"")</f>
        <v>4</v>
      </c>
      <c r="ET541">
        <v>3</v>
      </c>
      <c r="EU541">
        <v>3</v>
      </c>
      <c r="EV541">
        <f>IFERROR(AVERAGE(Tabel1[[#This Row],[Do - F3a]:[Do - F3b]]),"")</f>
        <v>3</v>
      </c>
      <c r="EW541">
        <v>3</v>
      </c>
      <c r="EX541">
        <f>IFERROR(AVERAGE(Tabel1[[#This Row],[Do - F1]],Tabel1[[#This Row],[Do - F2]],Tabel1[[#This Row],[Do - F3]],Tabel1[[#This Row],[Do - F4]]),"")</f>
        <v>3.5</v>
      </c>
      <c r="EY541">
        <v>4</v>
      </c>
      <c r="EZ541">
        <v>2</v>
      </c>
      <c r="FA541">
        <v>2</v>
      </c>
      <c r="FB541">
        <f>IFERROR(AVERAGE(Tabel1[[#This Row],[Do - V1a]:[Do - V1c]]),"")</f>
        <v>2.6666666666666665</v>
      </c>
      <c r="FC541">
        <v>4</v>
      </c>
      <c r="FD541">
        <v>1</v>
      </c>
      <c r="FE541">
        <f>IFERROR(AVERAGE(Tabel1[[#This Row],[Do - V2a]:[Do - V2b]]),"")</f>
        <v>2.5</v>
      </c>
      <c r="FF541">
        <v>3</v>
      </c>
      <c r="FG541">
        <f>IFERROR(AVERAGE(Tabel1[[#This Row],[Do - V3a]:[Do - V3a]]),"")</f>
        <v>3</v>
      </c>
      <c r="FH541">
        <v>3</v>
      </c>
      <c r="FI541">
        <f>IFERROR(AVERAGE(Tabel1[[#This Row],[Do - V1]],Tabel1[[#This Row],[Do - V2]],Tabel1[[#This Row],[Do - V3]],Tabel1[[#This Row],[Do - V4]]),"")</f>
        <v>2.7916666666666665</v>
      </c>
      <c r="FJ541">
        <v>4</v>
      </c>
      <c r="FK541">
        <v>4</v>
      </c>
      <c r="FL541">
        <v>4</v>
      </c>
      <c r="FM541">
        <f>IFERROR(AVERAGE(Tabel1[[#This Row],[Do - A1a]:[Do - A1c]]),"")</f>
        <v>4</v>
      </c>
      <c r="FN541">
        <v>3</v>
      </c>
      <c r="FO541">
        <v>3</v>
      </c>
      <c r="FP541">
        <f>IFERROR(AVERAGE(Tabel1[[#This Row],[Do - A2a]:[Do - A2b]]),"")</f>
        <v>3</v>
      </c>
      <c r="FQ541">
        <v>4</v>
      </c>
      <c r="FR541">
        <f>IFERROR(AVERAGE(Tabel1[[#This Row],[Do - A3a]:[Do - A3a]]),"")</f>
        <v>4</v>
      </c>
      <c r="FS541">
        <v>3</v>
      </c>
      <c r="FT541">
        <f>IFERROR(AVERAGE(Tabel1[[#This Row],[Do - A1]],Tabel1[[#This Row],[Do - A2]],Tabel1[[#This Row],[Do - A3]],Tabel1[[#This Row],[Do - A4]]),"")</f>
        <v>3.5</v>
      </c>
      <c r="FU54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3.2433333333333327</v>
      </c>
      <c r="FV541" s="31" t="s">
        <v>2607</v>
      </c>
      <c r="FW541" t="b">
        <v>1</v>
      </c>
    </row>
    <row r="542" spans="1:179" x14ac:dyDescent="0.3">
      <c r="A542" s="13">
        <v>45933.407164351898</v>
      </c>
      <c r="B542" t="b">
        <v>0</v>
      </c>
      <c r="C542" t="s">
        <v>2608</v>
      </c>
      <c r="D542" t="s">
        <v>2609</v>
      </c>
      <c r="E542" t="s">
        <v>2610</v>
      </c>
      <c r="F542" s="14" t="s">
        <v>2091</v>
      </c>
      <c r="G542" t="s">
        <v>2611</v>
      </c>
      <c r="H542" t="s">
        <v>222</v>
      </c>
      <c r="I542" t="s">
        <v>195</v>
      </c>
      <c r="J542" t="s">
        <v>261</v>
      </c>
      <c r="K542" t="s">
        <v>235</v>
      </c>
      <c r="L542" t="s">
        <v>197</v>
      </c>
      <c r="M542" t="s">
        <v>188</v>
      </c>
      <c r="N542" t="s">
        <v>199</v>
      </c>
      <c r="O542" t="s">
        <v>200</v>
      </c>
      <c r="P542" t="s">
        <v>304</v>
      </c>
      <c r="Q542" t="s">
        <v>201</v>
      </c>
      <c r="R542" t="s">
        <v>235</v>
      </c>
      <c r="S542" t="s">
        <v>235</v>
      </c>
      <c r="T542" t="s">
        <v>204</v>
      </c>
      <c r="U542" t="s">
        <v>285</v>
      </c>
      <c r="V542" t="s">
        <v>484</v>
      </c>
      <c r="W542" t="s">
        <v>395</v>
      </c>
      <c r="X542" t="s">
        <v>395</v>
      </c>
      <c r="Y542">
        <v>4</v>
      </c>
      <c r="Z542">
        <v>3</v>
      </c>
      <c r="AA542">
        <v>3</v>
      </c>
      <c r="AB542">
        <f>IFERROR(AVERAGE(Tabel1[[#This Row],[Up - R1a]:[Up - R1c]]),"")</f>
        <v>3.3333333333333335</v>
      </c>
      <c r="AC542">
        <v>4</v>
      </c>
      <c r="AD542">
        <v>2</v>
      </c>
      <c r="AE542">
        <v>2</v>
      </c>
      <c r="AF542">
        <v>4</v>
      </c>
      <c r="AG542">
        <f>IFERROR(AVERAGE(Tabel1[[#This Row],[Up - R1]:[Up - R5]]),"")</f>
        <v>3.0666666666666669</v>
      </c>
      <c r="AH542">
        <v>4</v>
      </c>
      <c r="AI542">
        <v>4</v>
      </c>
      <c r="AJ542">
        <v>3</v>
      </c>
      <c r="AK542">
        <f>IFERROR(AVERAGE(Tabel1[[#This Row],[Up - C1a]:[Up - C1c]]),"")</f>
        <v>3.6666666666666665</v>
      </c>
      <c r="AL542">
        <v>4</v>
      </c>
      <c r="AM542">
        <v>3</v>
      </c>
      <c r="AN542">
        <v>3</v>
      </c>
      <c r="AO542">
        <f>IFERROR(AVERAGE(Tabel1[[#This Row],[Up - C1]:[Up - C4]]),"")</f>
        <v>3.4166666666666665</v>
      </c>
      <c r="AP542">
        <v>3</v>
      </c>
      <c r="AQ542">
        <f>IFERROR(AVERAGE(Tabel1[[#This Row],[Up - F1a]:[Up - F1a]]),"")</f>
        <v>3</v>
      </c>
      <c r="AR542">
        <v>2</v>
      </c>
      <c r="AS542">
        <v>2</v>
      </c>
      <c r="AT542">
        <f>IFERROR(AVERAGE(Tabel1[[#This Row],[Up - F2a]:[Up - F2b]]),"")</f>
        <v>2</v>
      </c>
      <c r="AU542">
        <v>2</v>
      </c>
      <c r="AV542">
        <v>3</v>
      </c>
      <c r="AW542">
        <f>IFERROR(AVERAGE(Tabel1[[#This Row],[Up - F3a]:[Up - F3b]]),"")</f>
        <v>2.5</v>
      </c>
      <c r="AX542">
        <v>3</v>
      </c>
      <c r="AY542">
        <f>IFERROR(AVERAGE(Tabel1[[#This Row],[Up - F1]],Tabel1[[#This Row],[Up - F2]],Tabel1[[#This Row],[Up - F3]],Tabel1[[#This Row],[Up - F4]]),"")</f>
        <v>2.625</v>
      </c>
      <c r="AZ542">
        <v>2</v>
      </c>
      <c r="BA542">
        <v>4</v>
      </c>
      <c r="BB542">
        <f>IFERROR(AVERAGE(Tabel1[[#This Row],[Up - V1a]:[Up - V1b]]),"")</f>
        <v>3</v>
      </c>
      <c r="BC542">
        <v>4</v>
      </c>
      <c r="BD542">
        <v>2</v>
      </c>
      <c r="BE542">
        <v>4</v>
      </c>
      <c r="BF542">
        <f>IFERROR(AVERAGE(Tabel1[[#This Row],[Up - V2a]:[Up - V2c]]),"")</f>
        <v>3.3333333333333335</v>
      </c>
      <c r="BG542">
        <v>2</v>
      </c>
      <c r="BH542">
        <v>2</v>
      </c>
      <c r="BI542">
        <f>IFERROR(AVERAGE(Tabel1[[#This Row],[Up - V3a]:[Up - V3b]]),"")</f>
        <v>2</v>
      </c>
      <c r="BJ542">
        <v>4</v>
      </c>
      <c r="BK542">
        <f>IFERROR(AVERAGE(Tabel1[[#This Row],[Up - V1]],Tabel1[[#This Row],[Up - V2]],Tabel1[[#This Row],[Up - V3]],Tabel1[[#This Row],[Up - V4]]),"")</f>
        <v>3.0833333333333335</v>
      </c>
      <c r="BL542">
        <v>4</v>
      </c>
      <c r="BM542">
        <v>4</v>
      </c>
      <c r="BN542">
        <v>3</v>
      </c>
      <c r="BO542">
        <v>3</v>
      </c>
      <c r="BP542">
        <f>IFERROR(AVERAGE(Tabel1[[#This Row],[Up - A1a]:[Up - A1d]]),"")</f>
        <v>3.5</v>
      </c>
      <c r="BQ542">
        <v>3</v>
      </c>
      <c r="BR542">
        <v>2</v>
      </c>
      <c r="BS542">
        <f>IFERROR(AVERAGE(Tabel1[[#This Row],[Up - A2a]:[Up - A2b]]),"")</f>
        <v>2.5</v>
      </c>
      <c r="BT542">
        <v>3</v>
      </c>
      <c r="BU542">
        <f>IFERROR(AVERAGE(Tabel1[[#This Row],[Up - A3a]:[Up - A3a]]),"")</f>
        <v>3</v>
      </c>
      <c r="BV542" t="s">
        <v>189</v>
      </c>
      <c r="BW542">
        <f>IFERROR(AVERAGE(Tabel1[[#This Row],[Up - A1]],Tabel1[[#This Row],[Up - A2]],Tabel1[[#This Row],[Up - A3]]),"")</f>
        <v>3</v>
      </c>
      <c r="BX542">
        <v>4</v>
      </c>
      <c r="BY542">
        <v>5</v>
      </c>
      <c r="BZ542">
        <f>IFERROR(AVERAGE(Tabel1[[#This Row],[In - R1a]:[In - R1b]]),"")</f>
        <v>4.5</v>
      </c>
      <c r="CA542">
        <v>4</v>
      </c>
      <c r="CB542">
        <v>4</v>
      </c>
      <c r="CC542">
        <v>2</v>
      </c>
      <c r="CD542">
        <v>4</v>
      </c>
      <c r="CE542">
        <f>IFERROR(AVERAGE(Tabel1[[#This Row],[In - R1]:[In - R5]]),"")</f>
        <v>3.7</v>
      </c>
      <c r="CF542">
        <v>5</v>
      </c>
      <c r="CG542">
        <v>5</v>
      </c>
      <c r="CH542">
        <v>5</v>
      </c>
      <c r="CI542">
        <f>IFERROR(AVERAGE(Tabel1[[#This Row],[In - C1a]:[In - C1c]]),"")</f>
        <v>5</v>
      </c>
      <c r="CJ542">
        <v>5</v>
      </c>
      <c r="CK542">
        <v>4</v>
      </c>
      <c r="CL542">
        <v>3</v>
      </c>
      <c r="CM542">
        <f>IFERROR(AVERAGE(Tabel1[[#This Row],[In - C1]:[In - C4]]),"")</f>
        <v>4.25</v>
      </c>
      <c r="CN542">
        <v>1</v>
      </c>
      <c r="CO542">
        <v>2</v>
      </c>
      <c r="CP542">
        <v>2</v>
      </c>
      <c r="CQ542">
        <f>IFERROR(AVERAGE(Tabel1[[#This Row],[In - F1a]:[In - F1c]]),"")</f>
        <v>1.6666666666666667</v>
      </c>
      <c r="CR542">
        <v>5</v>
      </c>
      <c r="CS542">
        <v>2</v>
      </c>
      <c r="CT542">
        <f>IFERROR(AVERAGE(Tabel1[[#This Row],[In - F2a]:[In - F2b]]),"")</f>
        <v>3.5</v>
      </c>
      <c r="CU542">
        <v>2</v>
      </c>
      <c r="CV542">
        <f>IFERROR(AVERAGE(Tabel1[[#This Row],[In - F3a]:[In - F3a]]),"")</f>
        <v>2</v>
      </c>
      <c r="CW542" t="s">
        <v>189</v>
      </c>
      <c r="CX542">
        <f>IFERROR(AVERAGE(Tabel1[[#This Row],[In - F1]],Tabel1[[#This Row],[In - F2]],Tabel1[[#This Row],[In - F3]],Tabel1[[#This Row],[In - F4]]),"")</f>
        <v>2.3888888888888888</v>
      </c>
      <c r="CY542">
        <v>5</v>
      </c>
      <c r="CZ542">
        <v>5</v>
      </c>
      <c r="DA542">
        <v>3</v>
      </c>
      <c r="DB542">
        <f>IFERROR(AVERAGE(Tabel1[[#This Row],[In - V1a]:[In - V1c]]),"")</f>
        <v>4.333333333333333</v>
      </c>
      <c r="DC542">
        <v>4</v>
      </c>
      <c r="DD542">
        <v>4</v>
      </c>
      <c r="DE542">
        <v>4</v>
      </c>
      <c r="DF542">
        <f>IFERROR(AVERAGE(Tabel1[[#This Row],[In - V2a]:[In - V2c]]),"")</f>
        <v>4</v>
      </c>
      <c r="DG542">
        <v>4</v>
      </c>
      <c r="DH542">
        <v>4</v>
      </c>
      <c r="DI542">
        <f>IFERROR(AVERAGE(Tabel1[[#This Row],[In - V3a]:[In - V3b]]),"")</f>
        <v>4</v>
      </c>
      <c r="DJ542">
        <v>3</v>
      </c>
      <c r="DK542">
        <f>IFERROR(AVERAGE(Tabel1[[#This Row],[In - V1]],Tabel1[[#This Row],[In - V2]],Tabel1[[#This Row],[In - V3]],Tabel1[[#This Row],[In - V4]]),"")</f>
        <v>3.833333333333333</v>
      </c>
      <c r="DL542">
        <v>4</v>
      </c>
      <c r="DM542">
        <v>4</v>
      </c>
      <c r="DN542">
        <f>IFERROR(AVERAGE(Tabel1[[#This Row],[In - A1a]:[In - A1b]]),"")</f>
        <v>4</v>
      </c>
      <c r="DO542">
        <v>4</v>
      </c>
      <c r="DP542">
        <v>4</v>
      </c>
      <c r="DQ542">
        <f>IFERROR(AVERAGE(Tabel1[[#This Row],[In - A2a]:[In - A2b]]),"")</f>
        <v>4</v>
      </c>
      <c r="DR542">
        <v>5</v>
      </c>
      <c r="DS542">
        <v>3</v>
      </c>
      <c r="DT542">
        <f>IFERROR(AVERAGE(Tabel1[[#This Row],[In - A3a]:[In - A3a]]),"")</f>
        <v>5</v>
      </c>
      <c r="DU542">
        <v>4</v>
      </c>
      <c r="DV542">
        <f>IFERROR(AVERAGE(Tabel1[[#This Row],[In - A1]],Tabel1[[#This Row],[In - A2]],Tabel1[[#This Row],[In - A3]],Tabel1[[#This Row],[In - A4]]),"")</f>
        <v>4.25</v>
      </c>
      <c r="DW542">
        <v>2</v>
      </c>
      <c r="DX542">
        <v>4</v>
      </c>
      <c r="DY542">
        <v>2</v>
      </c>
      <c r="DZ542">
        <f>IFERROR(AVERAGE(Tabel1[[#This Row],[Do - R1a]:[Do - R1c]]),"")</f>
        <v>2.6666666666666665</v>
      </c>
      <c r="EA542">
        <v>2</v>
      </c>
      <c r="EB542">
        <v>2</v>
      </c>
      <c r="EC542">
        <v>2</v>
      </c>
      <c r="ED542">
        <v>4</v>
      </c>
      <c r="EE542">
        <f>IFERROR(AVERAGE(Tabel1[[#This Row],[Do - R1]:[Do - R5]]),"")</f>
        <v>2.5333333333333332</v>
      </c>
      <c r="EF542">
        <v>4</v>
      </c>
      <c r="EG542">
        <v>4</v>
      </c>
      <c r="EH542">
        <v>4</v>
      </c>
      <c r="EI542">
        <f>IFERROR(AVERAGE(Tabel1[[#This Row],[Do - C1a]:[Do - C1c]]),"")</f>
        <v>4</v>
      </c>
      <c r="EJ542">
        <v>4</v>
      </c>
      <c r="EK542">
        <v>3</v>
      </c>
      <c r="EL542">
        <v>2</v>
      </c>
      <c r="EM542">
        <f>IFERROR(AVERAGE(Tabel1[[#This Row],[Do - C1]:[Do - C4]]),"")</f>
        <v>3.25</v>
      </c>
      <c r="EN542">
        <v>1</v>
      </c>
      <c r="EO542">
        <v>2</v>
      </c>
      <c r="EP542">
        <v>2</v>
      </c>
      <c r="EQ542">
        <f>IFERROR(AVERAGE(Tabel1[[#This Row],[Do - F1a]:[Do - F1c]]),"")</f>
        <v>1.6666666666666667</v>
      </c>
      <c r="ER542">
        <v>2</v>
      </c>
      <c r="ES542">
        <f>IFERROR(AVERAGE(Tabel1[[#This Row],[Do - F2a]:[Do - F2a]]),"")</f>
        <v>2</v>
      </c>
      <c r="ET542">
        <v>2</v>
      </c>
      <c r="EU542">
        <v>2</v>
      </c>
      <c r="EV542">
        <f>IFERROR(AVERAGE(Tabel1[[#This Row],[Do - F3a]:[Do - F3b]]),"")</f>
        <v>2</v>
      </c>
      <c r="EW542">
        <v>2</v>
      </c>
      <c r="EX542">
        <f>IFERROR(AVERAGE(Tabel1[[#This Row],[Do - F1]],Tabel1[[#This Row],[Do - F2]],Tabel1[[#This Row],[Do - F3]],Tabel1[[#This Row],[Do - F4]]),"")</f>
        <v>1.9166666666666667</v>
      </c>
      <c r="EY542">
        <v>4</v>
      </c>
      <c r="EZ542">
        <v>3</v>
      </c>
      <c r="FA542">
        <v>3</v>
      </c>
      <c r="FB542">
        <f>IFERROR(AVERAGE(Tabel1[[#This Row],[Do - V1a]:[Do - V1c]]),"")</f>
        <v>3.3333333333333335</v>
      </c>
      <c r="FC542">
        <v>4</v>
      </c>
      <c r="FD542">
        <v>2</v>
      </c>
      <c r="FE542">
        <f>IFERROR(AVERAGE(Tabel1[[#This Row],[Do - V2a]:[Do - V2b]]),"")</f>
        <v>3</v>
      </c>
      <c r="FF542">
        <v>4</v>
      </c>
      <c r="FG542">
        <f>IFERROR(AVERAGE(Tabel1[[#This Row],[Do - V3a]:[Do - V3a]]),"")</f>
        <v>4</v>
      </c>
      <c r="FH542">
        <v>4</v>
      </c>
      <c r="FI542">
        <f>IFERROR(AVERAGE(Tabel1[[#This Row],[Do - V1]],Tabel1[[#This Row],[Do - V2]],Tabel1[[#This Row],[Do - V3]],Tabel1[[#This Row],[Do - V4]]),"")</f>
        <v>3.5833333333333335</v>
      </c>
      <c r="FJ542">
        <v>4</v>
      </c>
      <c r="FK542">
        <v>3</v>
      </c>
      <c r="FL542">
        <v>3</v>
      </c>
      <c r="FM542">
        <f>IFERROR(AVERAGE(Tabel1[[#This Row],[Do - A1a]:[Do - A1c]]),"")</f>
        <v>3.3333333333333335</v>
      </c>
      <c r="FN542">
        <v>4</v>
      </c>
      <c r="FO542">
        <v>2</v>
      </c>
      <c r="FP542">
        <f>IFERROR(AVERAGE(Tabel1[[#This Row],[Do - A2a]:[Do - A2b]]),"")</f>
        <v>3</v>
      </c>
      <c r="FQ542">
        <v>4</v>
      </c>
      <c r="FR542">
        <f>IFERROR(AVERAGE(Tabel1[[#This Row],[Do - A3a]:[Do - A3a]]),"")</f>
        <v>4</v>
      </c>
      <c r="FS542">
        <v>4</v>
      </c>
      <c r="FT542">
        <f>IFERROR(AVERAGE(Tabel1[[#This Row],[Do - A1]],Tabel1[[#This Row],[Do - A2]],Tabel1[[#This Row],[Do - A3]],Tabel1[[#This Row],[Do - A4]]),"")</f>
        <v>3.5833333333333335</v>
      </c>
      <c r="FU54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3.2320370370370375</v>
      </c>
      <c r="FV542" s="31" t="s">
        <v>2612</v>
      </c>
      <c r="FW542" t="b">
        <v>1</v>
      </c>
    </row>
    <row r="543" spans="1:179" x14ac:dyDescent="0.3">
      <c r="A543" s="13">
        <v>45933.595497685201</v>
      </c>
      <c r="B543" t="b">
        <v>0</v>
      </c>
      <c r="C543" t="s">
        <v>2613</v>
      </c>
      <c r="D543" t="s">
        <v>2614</v>
      </c>
      <c r="E543" t="s">
        <v>2615</v>
      </c>
      <c r="F543" s="14" t="s">
        <v>2091</v>
      </c>
      <c r="G543" t="s">
        <v>2616</v>
      </c>
      <c r="H543" t="s">
        <v>222</v>
      </c>
      <c r="I543" t="s">
        <v>385</v>
      </c>
      <c r="K543" t="s">
        <v>235</v>
      </c>
      <c r="L543" t="s">
        <v>197</v>
      </c>
      <c r="M543" t="s">
        <v>233</v>
      </c>
      <c r="N543" t="s">
        <v>199</v>
      </c>
      <c r="O543" t="s">
        <v>200</v>
      </c>
      <c r="P543" t="s">
        <v>304</v>
      </c>
      <c r="Q543" t="s">
        <v>202</v>
      </c>
      <c r="R543" t="s">
        <v>202</v>
      </c>
      <c r="S543" t="s">
        <v>235</v>
      </c>
      <c r="T543" t="s">
        <v>204</v>
      </c>
      <c r="U543" t="s">
        <v>285</v>
      </c>
      <c r="V543" t="s">
        <v>359</v>
      </c>
      <c r="W543" t="s">
        <v>395</v>
      </c>
      <c r="X543" t="s">
        <v>306</v>
      </c>
      <c r="Y543">
        <v>4</v>
      </c>
      <c r="Z543">
        <v>3</v>
      </c>
      <c r="AA543">
        <v>3</v>
      </c>
      <c r="AB543">
        <f>IFERROR(AVERAGE(Tabel1[[#This Row],[Up - R1a]:[Up - R1c]]),"")</f>
        <v>3.3333333333333335</v>
      </c>
      <c r="AC543">
        <v>3</v>
      </c>
      <c r="AD543">
        <v>2</v>
      </c>
      <c r="AE543">
        <v>1</v>
      </c>
      <c r="AF543" t="s">
        <v>189</v>
      </c>
      <c r="AG543">
        <f>IFERROR(AVERAGE(Tabel1[[#This Row],[Up - R1]:[Up - R5]]),"")</f>
        <v>2.3333333333333335</v>
      </c>
      <c r="AH543">
        <v>3</v>
      </c>
      <c r="AI543">
        <v>3</v>
      </c>
      <c r="AJ543">
        <v>3</v>
      </c>
      <c r="AK543">
        <f>IFERROR(AVERAGE(Tabel1[[#This Row],[Up - C1a]:[Up - C1c]]),"")</f>
        <v>3</v>
      </c>
      <c r="AL543">
        <v>3</v>
      </c>
      <c r="AM543">
        <v>2</v>
      </c>
      <c r="AN543">
        <v>2</v>
      </c>
      <c r="AO543">
        <f>IFERROR(AVERAGE(Tabel1[[#This Row],[Up - C1]:[Up - C4]]),"")</f>
        <v>2.5</v>
      </c>
      <c r="AP543">
        <v>3</v>
      </c>
      <c r="AQ543">
        <f>IFERROR(AVERAGE(Tabel1[[#This Row],[Up - F1a]:[Up - F1a]]),"")</f>
        <v>3</v>
      </c>
      <c r="AR543">
        <v>2</v>
      </c>
      <c r="AS543">
        <v>3</v>
      </c>
      <c r="AT543">
        <f>IFERROR(AVERAGE(Tabel1[[#This Row],[Up - F2a]:[Up - F2b]]),"")</f>
        <v>2.5</v>
      </c>
      <c r="AU543">
        <v>3</v>
      </c>
      <c r="AV543">
        <v>1</v>
      </c>
      <c r="AW543">
        <f>IFERROR(AVERAGE(Tabel1[[#This Row],[Up - F3a]:[Up - F3b]]),"")</f>
        <v>2</v>
      </c>
      <c r="AX543" t="s">
        <v>189</v>
      </c>
      <c r="AY543">
        <f>IFERROR(AVERAGE(Tabel1[[#This Row],[Up - F1]],Tabel1[[#This Row],[Up - F2]],Tabel1[[#This Row],[Up - F3]],Tabel1[[#This Row],[Up - F4]]),"")</f>
        <v>2.5</v>
      </c>
      <c r="AZ543">
        <v>2</v>
      </c>
      <c r="BA543">
        <v>3</v>
      </c>
      <c r="BB543">
        <f>IFERROR(AVERAGE(Tabel1[[#This Row],[Up - V1a]:[Up - V1b]]),"")</f>
        <v>2.5</v>
      </c>
      <c r="BC543">
        <v>2</v>
      </c>
      <c r="BD543">
        <v>2</v>
      </c>
      <c r="BE543">
        <v>3</v>
      </c>
      <c r="BF543">
        <f>IFERROR(AVERAGE(Tabel1[[#This Row],[Up - V2a]:[Up - V2c]]),"")</f>
        <v>2.3333333333333335</v>
      </c>
      <c r="BG543">
        <v>2</v>
      </c>
      <c r="BH543">
        <v>3</v>
      </c>
      <c r="BI543">
        <f>IFERROR(AVERAGE(Tabel1[[#This Row],[Up - V3a]:[Up - V3b]]),"")</f>
        <v>2.5</v>
      </c>
      <c r="BJ543" t="s">
        <v>189</v>
      </c>
      <c r="BK543">
        <f>IFERROR(AVERAGE(Tabel1[[#This Row],[Up - V1]],Tabel1[[#This Row],[Up - V2]],Tabel1[[#This Row],[Up - V3]],Tabel1[[#This Row],[Up - V4]]),"")</f>
        <v>2.4444444444444446</v>
      </c>
      <c r="BL543">
        <v>3</v>
      </c>
      <c r="BM543">
        <v>3</v>
      </c>
      <c r="BN543">
        <v>3</v>
      </c>
      <c r="BO543">
        <v>3</v>
      </c>
      <c r="BP543">
        <f>IFERROR(AVERAGE(Tabel1[[#This Row],[Up - A1a]:[Up - A1d]]),"")</f>
        <v>3</v>
      </c>
      <c r="BQ543">
        <v>3</v>
      </c>
      <c r="BR543">
        <v>3</v>
      </c>
      <c r="BS543">
        <f>IFERROR(AVERAGE(Tabel1[[#This Row],[Up - A2a]:[Up - A2b]]),"")</f>
        <v>3</v>
      </c>
      <c r="BT543">
        <v>4</v>
      </c>
      <c r="BU543">
        <f>IFERROR(AVERAGE(Tabel1[[#This Row],[Up - A3a]:[Up - A3a]]),"")</f>
        <v>4</v>
      </c>
      <c r="BV543" t="s">
        <v>189</v>
      </c>
      <c r="BW543">
        <f>IFERROR(AVERAGE(Tabel1[[#This Row],[Up - A1]],Tabel1[[#This Row],[Up - A2]],Tabel1[[#This Row],[Up - A3]]),"")</f>
        <v>3.3333333333333335</v>
      </c>
      <c r="BX543">
        <v>4</v>
      </c>
      <c r="BY543">
        <v>3</v>
      </c>
      <c r="BZ543">
        <f>IFERROR(AVERAGE(Tabel1[[#This Row],[In - R1a]:[In - R1b]]),"")</f>
        <v>3.5</v>
      </c>
      <c r="CA543">
        <v>2</v>
      </c>
      <c r="CB543">
        <v>3</v>
      </c>
      <c r="CC543">
        <v>1</v>
      </c>
      <c r="CD543">
        <v>4</v>
      </c>
      <c r="CE543">
        <f>IFERROR(AVERAGE(Tabel1[[#This Row],[In - R1]:[In - R5]]),"")</f>
        <v>2.7</v>
      </c>
      <c r="CF543">
        <v>4</v>
      </c>
      <c r="CG543">
        <v>3</v>
      </c>
      <c r="CH543">
        <v>3</v>
      </c>
      <c r="CI543">
        <f>IFERROR(AVERAGE(Tabel1[[#This Row],[In - C1a]:[In - C1c]]),"")</f>
        <v>3.3333333333333335</v>
      </c>
      <c r="CJ543">
        <v>4</v>
      </c>
      <c r="CK543">
        <v>2</v>
      </c>
      <c r="CL543">
        <v>4</v>
      </c>
      <c r="CM543">
        <f>IFERROR(AVERAGE(Tabel1[[#This Row],[In - C1]:[In - C4]]),"")</f>
        <v>3.3333333333333335</v>
      </c>
      <c r="CN543">
        <v>3</v>
      </c>
      <c r="CO543">
        <v>3</v>
      </c>
      <c r="CP543">
        <v>2</v>
      </c>
      <c r="CQ543">
        <f>IFERROR(AVERAGE(Tabel1[[#This Row],[In - F1a]:[In - F1c]]),"")</f>
        <v>2.6666666666666665</v>
      </c>
      <c r="CR543">
        <v>4</v>
      </c>
      <c r="CS543">
        <v>2</v>
      </c>
      <c r="CT543">
        <f>IFERROR(AVERAGE(Tabel1[[#This Row],[In - F2a]:[In - F2b]]),"")</f>
        <v>3</v>
      </c>
      <c r="CU543">
        <v>1</v>
      </c>
      <c r="CV543">
        <f>IFERROR(AVERAGE(Tabel1[[#This Row],[In - F3a]:[In - F3a]]),"")</f>
        <v>1</v>
      </c>
      <c r="CW543" t="s">
        <v>189</v>
      </c>
      <c r="CX543">
        <f>IFERROR(AVERAGE(Tabel1[[#This Row],[In - F1]],Tabel1[[#This Row],[In - F2]],Tabel1[[#This Row],[In - F3]],Tabel1[[#This Row],[In - F4]]),"")</f>
        <v>2.2222222222222219</v>
      </c>
      <c r="CY543">
        <v>4</v>
      </c>
      <c r="CZ543">
        <v>2</v>
      </c>
      <c r="DA543">
        <v>2</v>
      </c>
      <c r="DB543">
        <f>IFERROR(AVERAGE(Tabel1[[#This Row],[In - V1a]:[In - V1c]]),"")</f>
        <v>2.6666666666666665</v>
      </c>
      <c r="DC543">
        <v>3</v>
      </c>
      <c r="DD543">
        <v>3</v>
      </c>
      <c r="DE543">
        <v>2</v>
      </c>
      <c r="DF543">
        <f>IFERROR(AVERAGE(Tabel1[[#This Row],[In - V2a]:[In - V2c]]),"")</f>
        <v>2.6666666666666665</v>
      </c>
      <c r="DG543">
        <v>2</v>
      </c>
      <c r="DH543">
        <v>3</v>
      </c>
      <c r="DI543">
        <f>IFERROR(AVERAGE(Tabel1[[#This Row],[In - V3a]:[In - V3b]]),"")</f>
        <v>2.5</v>
      </c>
      <c r="DJ543" t="s">
        <v>189</v>
      </c>
      <c r="DK543">
        <f>IFERROR(AVERAGE(Tabel1[[#This Row],[In - V1]],Tabel1[[#This Row],[In - V2]],Tabel1[[#This Row],[In - V3]],Tabel1[[#This Row],[In - V4]]),"")</f>
        <v>2.6111111111111112</v>
      </c>
      <c r="DL543">
        <v>3</v>
      </c>
      <c r="DM543">
        <v>2</v>
      </c>
      <c r="DN543">
        <f>IFERROR(AVERAGE(Tabel1[[#This Row],[In - A1a]:[In - A1b]]),"")</f>
        <v>2.5</v>
      </c>
      <c r="DO543">
        <v>4</v>
      </c>
      <c r="DP543">
        <v>2</v>
      </c>
      <c r="DQ543">
        <f>IFERROR(AVERAGE(Tabel1[[#This Row],[In - A2a]:[In - A2b]]),"")</f>
        <v>3</v>
      </c>
      <c r="DR543">
        <v>4</v>
      </c>
      <c r="DS543">
        <v>3</v>
      </c>
      <c r="DT543">
        <f>IFERROR(AVERAGE(Tabel1[[#This Row],[In - A3a]:[In - A3a]]),"")</f>
        <v>4</v>
      </c>
      <c r="DU543">
        <v>3</v>
      </c>
      <c r="DV543">
        <f>IFERROR(AVERAGE(Tabel1[[#This Row],[In - A1]],Tabel1[[#This Row],[In - A2]],Tabel1[[#This Row],[In - A3]],Tabel1[[#This Row],[In - A4]]),"")</f>
        <v>3.125</v>
      </c>
      <c r="DW543">
        <v>2</v>
      </c>
      <c r="DX543">
        <v>3</v>
      </c>
      <c r="DY543">
        <v>3</v>
      </c>
      <c r="DZ543">
        <f>IFERROR(AVERAGE(Tabel1[[#This Row],[Do - R1a]:[Do - R1c]]),"")</f>
        <v>2.6666666666666665</v>
      </c>
      <c r="EA543">
        <v>2</v>
      </c>
      <c r="EB543">
        <v>2</v>
      </c>
      <c r="EC543">
        <v>1</v>
      </c>
      <c r="ED543">
        <v>3</v>
      </c>
      <c r="EE543">
        <f>IFERROR(AVERAGE(Tabel1[[#This Row],[Do - R1]:[Do - R5]]),"")</f>
        <v>2.1333333333333333</v>
      </c>
      <c r="EF543">
        <v>3</v>
      </c>
      <c r="EG543">
        <v>2</v>
      </c>
      <c r="EH543">
        <v>3</v>
      </c>
      <c r="EI543">
        <f>IFERROR(AVERAGE(Tabel1[[#This Row],[Do - C1a]:[Do - C1c]]),"")</f>
        <v>2.6666666666666665</v>
      </c>
      <c r="EJ543">
        <v>3</v>
      </c>
      <c r="EK543">
        <v>2</v>
      </c>
      <c r="EL543">
        <v>3</v>
      </c>
      <c r="EM543">
        <f>IFERROR(AVERAGE(Tabel1[[#This Row],[Do - C1]:[Do - C4]]),"")</f>
        <v>2.6666666666666665</v>
      </c>
      <c r="EN543">
        <v>3</v>
      </c>
      <c r="EO543">
        <v>2</v>
      </c>
      <c r="EP543">
        <v>3</v>
      </c>
      <c r="EQ543">
        <f>IFERROR(AVERAGE(Tabel1[[#This Row],[Do - F1a]:[Do - F1c]]),"")</f>
        <v>2.6666666666666665</v>
      </c>
      <c r="ER543">
        <v>3</v>
      </c>
      <c r="ES543">
        <f>IFERROR(AVERAGE(Tabel1[[#This Row],[Do - F2a]:[Do - F2a]]),"")</f>
        <v>3</v>
      </c>
      <c r="ET543">
        <v>1</v>
      </c>
      <c r="EU543" t="s">
        <v>189</v>
      </c>
      <c r="EV543">
        <f>IFERROR(AVERAGE(Tabel1[[#This Row],[Do - F3a]:[Do - F3b]]),"")</f>
        <v>1</v>
      </c>
      <c r="EW543" t="s">
        <v>189</v>
      </c>
      <c r="EX543">
        <f>IFERROR(AVERAGE(Tabel1[[#This Row],[Do - F1]],Tabel1[[#This Row],[Do - F2]],Tabel1[[#This Row],[Do - F3]],Tabel1[[#This Row],[Do - F4]]),"")</f>
        <v>2.2222222222222219</v>
      </c>
      <c r="EY543">
        <v>4</v>
      </c>
      <c r="EZ543">
        <v>1</v>
      </c>
      <c r="FA543">
        <v>3</v>
      </c>
      <c r="FB543">
        <f>IFERROR(AVERAGE(Tabel1[[#This Row],[Do - V1a]:[Do - V1c]]),"")</f>
        <v>2.6666666666666665</v>
      </c>
      <c r="FC543">
        <v>3</v>
      </c>
      <c r="FD543">
        <v>2</v>
      </c>
      <c r="FE543">
        <f>IFERROR(AVERAGE(Tabel1[[#This Row],[Do - V2a]:[Do - V2b]]),"")</f>
        <v>2.5</v>
      </c>
      <c r="FF543">
        <v>2</v>
      </c>
      <c r="FG543">
        <f>IFERROR(AVERAGE(Tabel1[[#This Row],[Do - V3a]:[Do - V3a]]),"")</f>
        <v>2</v>
      </c>
      <c r="FH543" t="s">
        <v>189</v>
      </c>
      <c r="FI543">
        <f>IFERROR(AVERAGE(Tabel1[[#This Row],[Do - V1]],Tabel1[[#This Row],[Do - V2]],Tabel1[[#This Row],[Do - V3]],Tabel1[[#This Row],[Do - V4]]),"")</f>
        <v>2.3888888888888888</v>
      </c>
      <c r="FJ543">
        <v>4</v>
      </c>
      <c r="FK543">
        <v>2</v>
      </c>
      <c r="FL543">
        <v>3</v>
      </c>
      <c r="FM543">
        <f>IFERROR(AVERAGE(Tabel1[[#This Row],[Do - A1a]:[Do - A1c]]),"")</f>
        <v>3</v>
      </c>
      <c r="FN543">
        <v>4</v>
      </c>
      <c r="FO543">
        <v>1</v>
      </c>
      <c r="FP543">
        <f>IFERROR(AVERAGE(Tabel1[[#This Row],[Do - A2a]:[Do - A2b]]),"")</f>
        <v>2.5</v>
      </c>
      <c r="FQ543">
        <v>3</v>
      </c>
      <c r="FR543">
        <f>IFERROR(AVERAGE(Tabel1[[#This Row],[Do - A3a]:[Do - A3a]]),"")</f>
        <v>3</v>
      </c>
      <c r="FS543" t="s">
        <v>189</v>
      </c>
      <c r="FT543">
        <f>IFERROR(AVERAGE(Tabel1[[#This Row],[Do - A1]],Tabel1[[#This Row],[Do - A2]],Tabel1[[#This Row],[Do - A3]],Tabel1[[#This Row],[Do - A4]]),"")</f>
        <v>2.8333333333333335</v>
      </c>
      <c r="FU54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2.623148148148148</v>
      </c>
      <c r="FV543" s="31" t="s">
        <v>2617</v>
      </c>
      <c r="FW543" t="b">
        <v>1</v>
      </c>
    </row>
    <row r="544" spans="1:179" x14ac:dyDescent="0.3">
      <c r="A544" s="13">
        <v>45966.915462962999</v>
      </c>
      <c r="B544" t="b">
        <v>0</v>
      </c>
      <c r="C544" t="s">
        <v>2618</v>
      </c>
      <c r="D544" t="s">
        <v>1965</v>
      </c>
      <c r="E544" t="s">
        <v>193</v>
      </c>
      <c r="F544" s="14"/>
      <c r="G544" t="s">
        <v>2619</v>
      </c>
      <c r="H544" t="s">
        <v>194</v>
      </c>
      <c r="I544" t="s">
        <v>195</v>
      </c>
      <c r="J544" t="s">
        <v>196</v>
      </c>
      <c r="K544" t="s">
        <v>187</v>
      </c>
      <c r="L544" t="s">
        <v>249</v>
      </c>
      <c r="M544" t="s">
        <v>233</v>
      </c>
      <c r="N544" t="s">
        <v>199</v>
      </c>
      <c r="O544" t="s">
        <v>256</v>
      </c>
      <c r="P544" t="s">
        <v>187</v>
      </c>
      <c r="Q544" t="s">
        <v>187</v>
      </c>
      <c r="R544" t="s">
        <v>187</v>
      </c>
      <c r="S544" t="s">
        <v>187</v>
      </c>
      <c r="T544" t="s">
        <v>204</v>
      </c>
      <c r="U544" t="s">
        <v>205</v>
      </c>
      <c r="V544" t="s">
        <v>206</v>
      </c>
      <c r="W544" t="s">
        <v>207</v>
      </c>
      <c r="X544" t="s">
        <v>207</v>
      </c>
      <c r="Y544">
        <v>4</v>
      </c>
      <c r="Z544">
        <v>5</v>
      </c>
      <c r="AA544">
        <v>3</v>
      </c>
      <c r="AB544">
        <f>IFERROR(AVERAGE(Tabel1[[#This Row],[Up - R1a]:[Up - R1c]]),"")</f>
        <v>4</v>
      </c>
      <c r="AC544">
        <v>3</v>
      </c>
      <c r="AD544">
        <v>2</v>
      </c>
      <c r="AE544">
        <v>1</v>
      </c>
      <c r="AF544">
        <v>2</v>
      </c>
      <c r="AG544">
        <f>IFERROR(AVERAGE(Tabel1[[#This Row],[Up - R1]:[Up - R5]]),"")</f>
        <v>2.4</v>
      </c>
      <c r="AH544">
        <v>5</v>
      </c>
      <c r="AI544">
        <v>4</v>
      </c>
      <c r="AJ544">
        <v>3</v>
      </c>
      <c r="AK544">
        <f>IFERROR(AVERAGE(Tabel1[[#This Row],[Up - C1a]:[Up - C1c]]),"")</f>
        <v>4</v>
      </c>
      <c r="AL544">
        <v>2</v>
      </c>
      <c r="AM544">
        <v>2</v>
      </c>
      <c r="AN544">
        <v>5</v>
      </c>
      <c r="AO544">
        <f>IFERROR(AVERAGE(Tabel1[[#This Row],[Up - C1]:[Up - C4]]),"")</f>
        <v>3.25</v>
      </c>
      <c r="AP544">
        <v>2</v>
      </c>
      <c r="AQ544">
        <f>IFERROR(AVERAGE(Tabel1[[#This Row],[Up - F1a]:[Up - F1a]]),"")</f>
        <v>2</v>
      </c>
      <c r="AR544">
        <v>3</v>
      </c>
      <c r="AS544">
        <v>3</v>
      </c>
      <c r="AT544">
        <f>IFERROR(AVERAGE(Tabel1[[#This Row],[Up - F2a]:[Up - F2b]]),"")</f>
        <v>3</v>
      </c>
      <c r="AU544">
        <v>2</v>
      </c>
      <c r="AV544">
        <v>4</v>
      </c>
      <c r="AW544">
        <f>IFERROR(AVERAGE(Tabel1[[#This Row],[Up - F3a]:[Up - F3b]]),"")</f>
        <v>3</v>
      </c>
      <c r="AX544">
        <v>1</v>
      </c>
      <c r="AY544">
        <f>IFERROR(AVERAGE(Tabel1[[#This Row],[Up - F1]],Tabel1[[#This Row],[Up - F2]],Tabel1[[#This Row],[Up - F3]],Tabel1[[#This Row],[Up - F4]]),"")</f>
        <v>2.25</v>
      </c>
      <c r="AZ544">
        <v>2</v>
      </c>
      <c r="BA544">
        <v>4</v>
      </c>
      <c r="BB544">
        <f>IFERROR(AVERAGE(Tabel1[[#This Row],[Up - V1a]:[Up - V1b]]),"")</f>
        <v>3</v>
      </c>
      <c r="BC544">
        <v>5</v>
      </c>
      <c r="BD544">
        <v>4</v>
      </c>
      <c r="BE544">
        <v>3</v>
      </c>
      <c r="BF544">
        <f>IFERROR(AVERAGE(Tabel1[[#This Row],[Up - V2a]:[Up - V2c]]),"")</f>
        <v>4</v>
      </c>
      <c r="BG544">
        <v>5</v>
      </c>
      <c r="BH544">
        <v>5</v>
      </c>
      <c r="BI544">
        <f>IFERROR(AVERAGE(Tabel1[[#This Row],[Up - V3a]:[Up - V3b]]),"")</f>
        <v>5</v>
      </c>
      <c r="BJ544">
        <v>5</v>
      </c>
      <c r="BK544">
        <f>IFERROR(AVERAGE(Tabel1[[#This Row],[Up - V1]],Tabel1[[#This Row],[Up - V2]],Tabel1[[#This Row],[Up - V3]],Tabel1[[#This Row],[Up - V4]]),"")</f>
        <v>4.25</v>
      </c>
      <c r="BL544">
        <v>3</v>
      </c>
      <c r="BM544">
        <v>5</v>
      </c>
      <c r="BN544">
        <v>1</v>
      </c>
      <c r="BO544">
        <v>1</v>
      </c>
      <c r="BP544">
        <f>IFERROR(AVERAGE(Tabel1[[#This Row],[Up - A1a]:[Up - A1d]]),"")</f>
        <v>2.5</v>
      </c>
      <c r="BQ544">
        <v>2</v>
      </c>
      <c r="BR544">
        <v>2</v>
      </c>
      <c r="BS544">
        <f>IFERROR(AVERAGE(Tabel1[[#This Row],[Up - A2a]:[Up - A2b]]),"")</f>
        <v>2</v>
      </c>
      <c r="BT544">
        <v>2</v>
      </c>
      <c r="BU544">
        <f>IFERROR(AVERAGE(Tabel1[[#This Row],[Up - A3a]:[Up - A3a]]),"")</f>
        <v>2</v>
      </c>
      <c r="BV544">
        <v>5</v>
      </c>
      <c r="BW544">
        <f>IFERROR(AVERAGE(Tabel1[[#This Row],[Up - A1]],Tabel1[[#This Row],[Up - A2]],Tabel1[[#This Row],[Up - A3]]),"")</f>
        <v>2.1666666666666665</v>
      </c>
      <c r="BX544">
        <v>5</v>
      </c>
      <c r="BY544">
        <v>5</v>
      </c>
      <c r="BZ544">
        <f>IFERROR(AVERAGE(Tabel1[[#This Row],[In - R1a]:[In - R1b]]),"")</f>
        <v>5</v>
      </c>
      <c r="CA544">
        <v>3</v>
      </c>
      <c r="CB544">
        <v>5</v>
      </c>
      <c r="CC544">
        <v>3</v>
      </c>
      <c r="CD544">
        <v>4</v>
      </c>
      <c r="CE544">
        <f>IFERROR(AVERAGE(Tabel1[[#This Row],[In - R1]:[In - R5]]),"")</f>
        <v>4</v>
      </c>
      <c r="CF544">
        <v>5</v>
      </c>
      <c r="CG544">
        <v>2</v>
      </c>
      <c r="CH544">
        <v>4</v>
      </c>
      <c r="CI544">
        <f>IFERROR(AVERAGE(Tabel1[[#This Row],[In - C1a]:[In - C1c]]),"")</f>
        <v>3.6666666666666665</v>
      </c>
      <c r="CJ544" t="s">
        <v>189</v>
      </c>
      <c r="CK544">
        <v>3</v>
      </c>
      <c r="CL544">
        <v>5</v>
      </c>
      <c r="CM544">
        <f>IFERROR(AVERAGE(Tabel1[[#This Row],[In - C1]:[In - C4]]),"")</f>
        <v>3.8888888888888888</v>
      </c>
      <c r="CN544">
        <v>3</v>
      </c>
      <c r="CO544">
        <v>3</v>
      </c>
      <c r="CP544">
        <v>1</v>
      </c>
      <c r="CQ544">
        <f>IFERROR(AVERAGE(Tabel1[[#This Row],[In - F1a]:[In - F1c]]),"")</f>
        <v>2.3333333333333335</v>
      </c>
      <c r="CR544">
        <v>4</v>
      </c>
      <c r="CS544">
        <v>2</v>
      </c>
      <c r="CT544">
        <f>IFERROR(AVERAGE(Tabel1[[#This Row],[In - F2a]:[In - F2b]]),"")</f>
        <v>3</v>
      </c>
      <c r="CU544">
        <v>3</v>
      </c>
      <c r="CV544">
        <f>IFERROR(AVERAGE(Tabel1[[#This Row],[In - F3a]:[In - F3a]]),"")</f>
        <v>3</v>
      </c>
      <c r="CW544">
        <v>4</v>
      </c>
      <c r="CX544">
        <f>IFERROR(AVERAGE(Tabel1[[#This Row],[In - F1]],Tabel1[[#This Row],[In - F2]],Tabel1[[#This Row],[In - F3]],Tabel1[[#This Row],[In - F4]]),"")</f>
        <v>3.0833333333333335</v>
      </c>
      <c r="CY544">
        <v>2</v>
      </c>
      <c r="CZ544">
        <v>2</v>
      </c>
      <c r="DA544">
        <v>2</v>
      </c>
      <c r="DB544">
        <f>IFERROR(AVERAGE(Tabel1[[#This Row],[In - V1a]:[In - V1c]]),"")</f>
        <v>2</v>
      </c>
      <c r="DC544">
        <v>2</v>
      </c>
      <c r="DD544">
        <v>4</v>
      </c>
      <c r="DE544">
        <v>2</v>
      </c>
      <c r="DF544">
        <f>IFERROR(AVERAGE(Tabel1[[#This Row],[In - V2a]:[In - V2c]]),"")</f>
        <v>2.6666666666666665</v>
      </c>
      <c r="DG544">
        <v>3</v>
      </c>
      <c r="DH544">
        <v>5</v>
      </c>
      <c r="DI544">
        <f>IFERROR(AVERAGE(Tabel1[[#This Row],[In - V3a]:[In - V3b]]),"")</f>
        <v>4</v>
      </c>
      <c r="DJ544">
        <v>5</v>
      </c>
      <c r="DK544">
        <f>IFERROR(AVERAGE(Tabel1[[#This Row],[In - V1]],Tabel1[[#This Row],[In - V2]],Tabel1[[#This Row],[In - V3]],Tabel1[[#This Row],[In - V4]]),"")</f>
        <v>3.4166666666666665</v>
      </c>
      <c r="DL544" t="s">
        <v>189</v>
      </c>
      <c r="DM544">
        <v>5</v>
      </c>
      <c r="DN544">
        <f>IFERROR(AVERAGE(Tabel1[[#This Row],[In - A1a]:[In - A1b]]),"")</f>
        <v>5</v>
      </c>
      <c r="DO544">
        <v>4</v>
      </c>
      <c r="DP544">
        <v>3</v>
      </c>
      <c r="DQ544">
        <f>IFERROR(AVERAGE(Tabel1[[#This Row],[In - A2a]:[In - A2b]]),"")</f>
        <v>3.5</v>
      </c>
      <c r="DR544">
        <v>5</v>
      </c>
      <c r="DS544">
        <v>4</v>
      </c>
      <c r="DT544">
        <f>IFERROR(AVERAGE(Tabel1[[#This Row],[In - A3a]:[In - A3a]]),"")</f>
        <v>5</v>
      </c>
      <c r="DU544">
        <v>5</v>
      </c>
      <c r="DV544">
        <f>IFERROR(AVERAGE(Tabel1[[#This Row],[In - A1]],Tabel1[[#This Row],[In - A2]],Tabel1[[#This Row],[In - A3]],Tabel1[[#This Row],[In - A4]]),"")</f>
        <v>4.625</v>
      </c>
      <c r="DW544">
        <v>4</v>
      </c>
      <c r="DX544">
        <v>4</v>
      </c>
      <c r="DY544">
        <v>3</v>
      </c>
      <c r="DZ544">
        <f>IFERROR(AVERAGE(Tabel1[[#This Row],[Do - R1a]:[Do - R1c]]),"")</f>
        <v>3.6666666666666665</v>
      </c>
      <c r="EA544">
        <v>4</v>
      </c>
      <c r="EB544">
        <v>2</v>
      </c>
      <c r="EC544" t="s">
        <v>189</v>
      </c>
      <c r="ED544" t="s">
        <v>189</v>
      </c>
      <c r="EE544">
        <f>IFERROR(AVERAGE(Tabel1[[#This Row],[Do - R1]:[Do - R5]]),"")</f>
        <v>3.2222222222222219</v>
      </c>
      <c r="EF544">
        <v>5</v>
      </c>
      <c r="EG544">
        <v>4</v>
      </c>
      <c r="EH544">
        <v>5</v>
      </c>
      <c r="EI544">
        <f>IFERROR(AVERAGE(Tabel1[[#This Row],[Do - C1a]:[Do - C1c]]),"")</f>
        <v>4.666666666666667</v>
      </c>
      <c r="EJ544">
        <v>5</v>
      </c>
      <c r="EK544">
        <v>2</v>
      </c>
      <c r="EL544">
        <v>4</v>
      </c>
      <c r="EM544">
        <f>IFERROR(AVERAGE(Tabel1[[#This Row],[Do - C1]:[Do - C4]]),"")</f>
        <v>3.916666666666667</v>
      </c>
      <c r="EN544">
        <v>2</v>
      </c>
      <c r="EO544">
        <v>2</v>
      </c>
      <c r="EP544">
        <v>4</v>
      </c>
      <c r="EQ544">
        <f>IFERROR(AVERAGE(Tabel1[[#This Row],[Do - F1a]:[Do - F1c]]),"")</f>
        <v>2.6666666666666665</v>
      </c>
      <c r="ER544">
        <v>1</v>
      </c>
      <c r="ES544">
        <f>IFERROR(AVERAGE(Tabel1[[#This Row],[Do - F2a]:[Do - F2a]]),"")</f>
        <v>1</v>
      </c>
      <c r="ET544">
        <v>4</v>
      </c>
      <c r="EU544">
        <v>1</v>
      </c>
      <c r="EV544">
        <f>IFERROR(AVERAGE(Tabel1[[#This Row],[Do - F3a]:[Do - F3b]]),"")</f>
        <v>2.5</v>
      </c>
      <c r="EW544" t="s">
        <v>189</v>
      </c>
      <c r="EX544">
        <f>IFERROR(AVERAGE(Tabel1[[#This Row],[Do - F1]],Tabel1[[#This Row],[Do - F2]],Tabel1[[#This Row],[Do - F3]],Tabel1[[#This Row],[Do - F4]]),"")</f>
        <v>2.0555555555555554</v>
      </c>
      <c r="EY544">
        <v>2</v>
      </c>
      <c r="EZ544">
        <v>4</v>
      </c>
      <c r="FA544">
        <v>4</v>
      </c>
      <c r="FB544">
        <f>IFERROR(AVERAGE(Tabel1[[#This Row],[Do - V1a]:[Do - V1c]]),"")</f>
        <v>3.3333333333333335</v>
      </c>
      <c r="FC544">
        <v>5</v>
      </c>
      <c r="FD544">
        <v>5</v>
      </c>
      <c r="FE544">
        <f>IFERROR(AVERAGE(Tabel1[[#This Row],[Do - V2a]:[Do - V2b]]),"")</f>
        <v>5</v>
      </c>
      <c r="FF544">
        <v>2</v>
      </c>
      <c r="FG544">
        <f>IFERROR(AVERAGE(Tabel1[[#This Row],[Do - V3a]:[Do - V3a]]),"")</f>
        <v>2</v>
      </c>
      <c r="FH544">
        <v>5</v>
      </c>
      <c r="FI544">
        <f>IFERROR(AVERAGE(Tabel1[[#This Row],[Do - V1]],Tabel1[[#This Row],[Do - V2]],Tabel1[[#This Row],[Do - V3]],Tabel1[[#This Row],[Do - V4]]),"")</f>
        <v>3.8333333333333335</v>
      </c>
      <c r="FJ544">
        <v>5</v>
      </c>
      <c r="FK544">
        <v>3</v>
      </c>
      <c r="FL544">
        <v>4</v>
      </c>
      <c r="FM544">
        <f>IFERROR(AVERAGE(Tabel1[[#This Row],[Do - A1a]:[Do - A1c]]),"")</f>
        <v>4</v>
      </c>
      <c r="FN544" t="s">
        <v>189</v>
      </c>
      <c r="FO544">
        <v>5</v>
      </c>
      <c r="FP544">
        <f>IFERROR(AVERAGE(Tabel1[[#This Row],[Do - A2a]:[Do - A2b]]),"")</f>
        <v>5</v>
      </c>
      <c r="FQ544" t="s">
        <v>189</v>
      </c>
      <c r="FR544" t="str">
        <f>IFERROR(AVERAGE(Tabel1[[#This Row],[Do - A3a]:[Do - A3a]]),"")</f>
        <v/>
      </c>
      <c r="FS544">
        <v>5</v>
      </c>
      <c r="FT544">
        <f>IFERROR(AVERAGE(Tabel1[[#This Row],[Do - A1]],Tabel1[[#This Row],[Do - A2]],Tabel1[[#This Row],[Do - A3]],Tabel1[[#This Row],[Do - A4]]),"")</f>
        <v>4.666666666666667</v>
      </c>
      <c r="FU54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3.4016666666666664</v>
      </c>
      <c r="FV544" s="31" t="s">
        <v>2620</v>
      </c>
      <c r="FW544" t="b">
        <v>1</v>
      </c>
    </row>
    <row r="545" spans="1:179" x14ac:dyDescent="0.3">
      <c r="A545" s="13">
        <v>45967.741354166697</v>
      </c>
      <c r="B545" t="b">
        <v>0</v>
      </c>
      <c r="C545" t="s">
        <v>2621</v>
      </c>
      <c r="D545" t="s">
        <v>864</v>
      </c>
      <c r="E545" t="s">
        <v>2622</v>
      </c>
      <c r="F545" s="14"/>
      <c r="G545" t="s">
        <v>2623</v>
      </c>
      <c r="H545" t="s">
        <v>222</v>
      </c>
      <c r="I545" t="s">
        <v>195</v>
      </c>
      <c r="J545" t="s">
        <v>196</v>
      </c>
      <c r="K545" t="s">
        <v>187</v>
      </c>
      <c r="L545" t="s">
        <v>249</v>
      </c>
      <c r="M545" t="s">
        <v>188</v>
      </c>
      <c r="N545" t="s">
        <v>262</v>
      </c>
      <c r="O545" t="s">
        <v>200</v>
      </c>
      <c r="P545" t="s">
        <v>317</v>
      </c>
      <c r="Q545" t="s">
        <v>187</v>
      </c>
      <c r="R545" t="s">
        <v>201</v>
      </c>
      <c r="S545" t="s">
        <v>202</v>
      </c>
      <c r="T545" t="s">
        <v>380</v>
      </c>
      <c r="U545" t="s">
        <v>237</v>
      </c>
      <c r="V545" t="s">
        <v>484</v>
      </c>
      <c r="W545" t="s">
        <v>207</v>
      </c>
      <c r="X545" t="s">
        <v>305</v>
      </c>
      <c r="Y545">
        <v>5</v>
      </c>
      <c r="Z545">
        <v>4</v>
      </c>
      <c r="AA545">
        <v>3</v>
      </c>
      <c r="AB545">
        <f>IFERROR(AVERAGE(Tabel1[[#This Row],[Up - R1a]:[Up - R1c]]),"")</f>
        <v>4</v>
      </c>
      <c r="AC545">
        <v>4</v>
      </c>
      <c r="AD545">
        <v>3</v>
      </c>
      <c r="AE545">
        <v>2</v>
      </c>
      <c r="AF545">
        <v>4</v>
      </c>
      <c r="AG545">
        <f>IFERROR(AVERAGE(Tabel1[[#This Row],[Up - R1]:[Up - R5]]),"")</f>
        <v>3.4</v>
      </c>
      <c r="AH545">
        <v>5</v>
      </c>
      <c r="AI545">
        <v>4</v>
      </c>
      <c r="AJ545">
        <v>4</v>
      </c>
      <c r="AK545">
        <f>IFERROR(AVERAGE(Tabel1[[#This Row],[Up - C1a]:[Up - C1c]]),"")</f>
        <v>4.333333333333333</v>
      </c>
      <c r="AL545">
        <v>4</v>
      </c>
      <c r="AM545">
        <v>4</v>
      </c>
      <c r="AN545">
        <v>4</v>
      </c>
      <c r="AO545">
        <f>IFERROR(AVERAGE(Tabel1[[#This Row],[Up - C1]:[Up - C4]]),"")</f>
        <v>4.083333333333333</v>
      </c>
      <c r="AP545">
        <v>5</v>
      </c>
      <c r="AQ545">
        <f>IFERROR(AVERAGE(Tabel1[[#This Row],[Up - F1a]:[Up - F1a]]),"")</f>
        <v>5</v>
      </c>
      <c r="AR545">
        <v>1</v>
      </c>
      <c r="AS545">
        <v>2</v>
      </c>
      <c r="AT545">
        <f>IFERROR(AVERAGE(Tabel1[[#This Row],[Up - F2a]:[Up - F2b]]),"")</f>
        <v>1.5</v>
      </c>
      <c r="AU545">
        <v>3</v>
      </c>
      <c r="AV545">
        <v>3</v>
      </c>
      <c r="AW545">
        <f>IFERROR(AVERAGE(Tabel1[[#This Row],[Up - F3a]:[Up - F3b]]),"")</f>
        <v>3</v>
      </c>
      <c r="AX545">
        <v>1</v>
      </c>
      <c r="AY545">
        <f>IFERROR(AVERAGE(Tabel1[[#This Row],[Up - F1]],Tabel1[[#This Row],[Up - F2]],Tabel1[[#This Row],[Up - F3]],Tabel1[[#This Row],[Up - F4]]),"")</f>
        <v>2.625</v>
      </c>
      <c r="AZ545">
        <v>4</v>
      </c>
      <c r="BA545">
        <v>4</v>
      </c>
      <c r="BB545">
        <f>IFERROR(AVERAGE(Tabel1[[#This Row],[Up - V1a]:[Up - V1b]]),"")</f>
        <v>4</v>
      </c>
      <c r="BC545">
        <v>4</v>
      </c>
      <c r="BD545">
        <v>4</v>
      </c>
      <c r="BE545">
        <v>3</v>
      </c>
      <c r="BF545">
        <f>IFERROR(AVERAGE(Tabel1[[#This Row],[Up - V2a]:[Up - V2c]]),"")</f>
        <v>3.6666666666666665</v>
      </c>
      <c r="BG545">
        <v>3</v>
      </c>
      <c r="BH545">
        <v>3</v>
      </c>
      <c r="BI545">
        <f>IFERROR(AVERAGE(Tabel1[[#This Row],[Up - V3a]:[Up - V3b]]),"")</f>
        <v>3</v>
      </c>
      <c r="BJ545">
        <v>3</v>
      </c>
      <c r="BK545">
        <f>IFERROR(AVERAGE(Tabel1[[#This Row],[Up - V1]],Tabel1[[#This Row],[Up - V2]],Tabel1[[#This Row],[Up - V3]],Tabel1[[#This Row],[Up - V4]]),"")</f>
        <v>3.4166666666666665</v>
      </c>
      <c r="BL545">
        <v>3</v>
      </c>
      <c r="BM545">
        <v>4</v>
      </c>
      <c r="BN545">
        <v>2</v>
      </c>
      <c r="BO545">
        <v>3</v>
      </c>
      <c r="BP545">
        <f>IFERROR(AVERAGE(Tabel1[[#This Row],[Up - A1a]:[Up - A1d]]),"")</f>
        <v>3</v>
      </c>
      <c r="BQ545">
        <v>2</v>
      </c>
      <c r="BR545">
        <v>4</v>
      </c>
      <c r="BS545">
        <f>IFERROR(AVERAGE(Tabel1[[#This Row],[Up - A2a]:[Up - A2b]]),"")</f>
        <v>3</v>
      </c>
      <c r="BT545">
        <v>3</v>
      </c>
      <c r="BU545">
        <f>IFERROR(AVERAGE(Tabel1[[#This Row],[Up - A3a]:[Up - A3a]]),"")</f>
        <v>3</v>
      </c>
      <c r="BV545">
        <v>3</v>
      </c>
      <c r="BW545">
        <f>IFERROR(AVERAGE(Tabel1[[#This Row],[Up - A1]],Tabel1[[#This Row],[Up - A2]],Tabel1[[#This Row],[Up - A3]]),"")</f>
        <v>3</v>
      </c>
      <c r="BX545">
        <v>3</v>
      </c>
      <c r="BY545">
        <v>5</v>
      </c>
      <c r="BZ545">
        <f>IFERROR(AVERAGE(Tabel1[[#This Row],[In - R1a]:[In - R1b]]),"")</f>
        <v>4</v>
      </c>
      <c r="CA545">
        <v>3</v>
      </c>
      <c r="CB545">
        <v>4</v>
      </c>
      <c r="CC545">
        <v>1</v>
      </c>
      <c r="CD545">
        <v>3</v>
      </c>
      <c r="CE545">
        <f>IFERROR(AVERAGE(Tabel1[[#This Row],[In - R1]:[In - R5]]),"")</f>
        <v>3</v>
      </c>
      <c r="CF545">
        <v>5</v>
      </c>
      <c r="CG545">
        <v>4</v>
      </c>
      <c r="CH545">
        <v>4</v>
      </c>
      <c r="CI545">
        <f>IFERROR(AVERAGE(Tabel1[[#This Row],[In - C1a]:[In - C1c]]),"")</f>
        <v>4.333333333333333</v>
      </c>
      <c r="CJ545">
        <v>3</v>
      </c>
      <c r="CK545">
        <v>4</v>
      </c>
      <c r="CL545">
        <v>5</v>
      </c>
      <c r="CM545">
        <f>IFERROR(AVERAGE(Tabel1[[#This Row],[In - C1]:[In - C4]]),"")</f>
        <v>4.083333333333333</v>
      </c>
      <c r="CN545">
        <v>2</v>
      </c>
      <c r="CO545">
        <v>2</v>
      </c>
      <c r="CP545">
        <v>2</v>
      </c>
      <c r="CQ545">
        <f>IFERROR(AVERAGE(Tabel1[[#This Row],[In - F1a]:[In - F1c]]),"")</f>
        <v>2</v>
      </c>
      <c r="CR545">
        <v>3</v>
      </c>
      <c r="CS545">
        <v>1</v>
      </c>
      <c r="CT545">
        <f>IFERROR(AVERAGE(Tabel1[[#This Row],[In - F2a]:[In - F2b]]),"")</f>
        <v>2</v>
      </c>
      <c r="CU545">
        <v>1</v>
      </c>
      <c r="CV545">
        <f>IFERROR(AVERAGE(Tabel1[[#This Row],[In - F3a]:[In - F3a]]),"")</f>
        <v>1</v>
      </c>
      <c r="CW545">
        <v>2</v>
      </c>
      <c r="CX545">
        <f>IFERROR(AVERAGE(Tabel1[[#This Row],[In - F1]],Tabel1[[#This Row],[In - F2]],Tabel1[[#This Row],[In - F3]],Tabel1[[#This Row],[In - F4]]),"")</f>
        <v>1.75</v>
      </c>
      <c r="CY545">
        <v>5</v>
      </c>
      <c r="CZ545">
        <v>4</v>
      </c>
      <c r="DA545">
        <v>5</v>
      </c>
      <c r="DB545">
        <f>IFERROR(AVERAGE(Tabel1[[#This Row],[In - V1a]:[In - V1c]]),"")</f>
        <v>4.666666666666667</v>
      </c>
      <c r="DC545">
        <v>5</v>
      </c>
      <c r="DD545">
        <v>3</v>
      </c>
      <c r="DE545">
        <v>4</v>
      </c>
      <c r="DF545">
        <f>IFERROR(AVERAGE(Tabel1[[#This Row],[In - V2a]:[In - V2c]]),"")</f>
        <v>4</v>
      </c>
      <c r="DG545">
        <v>5</v>
      </c>
      <c r="DH545">
        <v>5</v>
      </c>
      <c r="DI545">
        <f>IFERROR(AVERAGE(Tabel1[[#This Row],[In - V3a]:[In - V3b]]),"")</f>
        <v>5</v>
      </c>
      <c r="DJ545">
        <v>4</v>
      </c>
      <c r="DK545">
        <f>IFERROR(AVERAGE(Tabel1[[#This Row],[In - V1]],Tabel1[[#This Row],[In - V2]],Tabel1[[#This Row],[In - V3]],Tabel1[[#This Row],[In - V4]]),"")</f>
        <v>4.416666666666667</v>
      </c>
      <c r="DL545">
        <v>4</v>
      </c>
      <c r="DM545">
        <v>4</v>
      </c>
      <c r="DN545">
        <f>IFERROR(AVERAGE(Tabel1[[#This Row],[In - A1a]:[In - A1b]]),"")</f>
        <v>4</v>
      </c>
      <c r="DO545">
        <v>4</v>
      </c>
      <c r="DP545">
        <v>3</v>
      </c>
      <c r="DQ545">
        <f>IFERROR(AVERAGE(Tabel1[[#This Row],[In - A2a]:[In - A2b]]),"")</f>
        <v>3.5</v>
      </c>
      <c r="DR545">
        <v>3</v>
      </c>
      <c r="DS545">
        <v>2</v>
      </c>
      <c r="DT545">
        <f>IFERROR(AVERAGE(Tabel1[[#This Row],[In - A3a]:[In - A3a]]),"")</f>
        <v>3</v>
      </c>
      <c r="DU545">
        <v>3</v>
      </c>
      <c r="DV545">
        <f>IFERROR(AVERAGE(Tabel1[[#This Row],[In - A1]],Tabel1[[#This Row],[In - A2]],Tabel1[[#This Row],[In - A3]],Tabel1[[#This Row],[In - A4]]),"")</f>
        <v>3.375</v>
      </c>
      <c r="DW545">
        <v>4</v>
      </c>
      <c r="DX545">
        <v>5</v>
      </c>
      <c r="DY545">
        <v>1</v>
      </c>
      <c r="DZ545">
        <f>IFERROR(AVERAGE(Tabel1[[#This Row],[Do - R1a]:[Do - R1c]]),"")</f>
        <v>3.3333333333333335</v>
      </c>
      <c r="EA545">
        <v>2</v>
      </c>
      <c r="EB545">
        <v>3</v>
      </c>
      <c r="EC545">
        <v>2</v>
      </c>
      <c r="ED545" t="s">
        <v>189</v>
      </c>
      <c r="EE545">
        <f>IFERROR(AVERAGE(Tabel1[[#This Row],[Do - R1]:[Do - R5]]),"")</f>
        <v>2.5833333333333335</v>
      </c>
      <c r="EF545">
        <v>5</v>
      </c>
      <c r="EG545">
        <v>5</v>
      </c>
      <c r="EH545">
        <v>3</v>
      </c>
      <c r="EI545">
        <f>IFERROR(AVERAGE(Tabel1[[#This Row],[Do - C1a]:[Do - C1c]]),"")</f>
        <v>4.333333333333333</v>
      </c>
      <c r="EJ545">
        <v>5</v>
      </c>
      <c r="EK545">
        <v>5</v>
      </c>
      <c r="EL545">
        <v>1</v>
      </c>
      <c r="EM545">
        <f>IFERROR(AVERAGE(Tabel1[[#This Row],[Do - C1]:[Do - C4]]),"")</f>
        <v>3.833333333333333</v>
      </c>
      <c r="EN545">
        <v>2</v>
      </c>
      <c r="EO545">
        <v>1</v>
      </c>
      <c r="EP545">
        <v>1</v>
      </c>
      <c r="EQ545">
        <f>IFERROR(AVERAGE(Tabel1[[#This Row],[Do - F1a]:[Do - F1c]]),"")</f>
        <v>1.3333333333333333</v>
      </c>
      <c r="ER545">
        <v>1</v>
      </c>
      <c r="ES545">
        <f>IFERROR(AVERAGE(Tabel1[[#This Row],[Do - F2a]:[Do - F2a]]),"")</f>
        <v>1</v>
      </c>
      <c r="ET545">
        <v>1</v>
      </c>
      <c r="EU545">
        <v>1</v>
      </c>
      <c r="EV545">
        <f>IFERROR(AVERAGE(Tabel1[[#This Row],[Do - F3a]:[Do - F3b]]),"")</f>
        <v>1</v>
      </c>
      <c r="EW545">
        <v>1</v>
      </c>
      <c r="EX545">
        <f>IFERROR(AVERAGE(Tabel1[[#This Row],[Do - F1]],Tabel1[[#This Row],[Do - F2]],Tabel1[[#This Row],[Do - F3]],Tabel1[[#This Row],[Do - F4]]),"")</f>
        <v>1.0833333333333333</v>
      </c>
      <c r="EY545">
        <v>3</v>
      </c>
      <c r="EZ545">
        <v>3</v>
      </c>
      <c r="FA545">
        <v>4</v>
      </c>
      <c r="FB545">
        <f>IFERROR(AVERAGE(Tabel1[[#This Row],[Do - V1a]:[Do - V1c]]),"")</f>
        <v>3.3333333333333335</v>
      </c>
      <c r="FC545">
        <v>5</v>
      </c>
      <c r="FD545">
        <v>5</v>
      </c>
      <c r="FE545">
        <f>IFERROR(AVERAGE(Tabel1[[#This Row],[Do - V2a]:[Do - V2b]]),"")</f>
        <v>5</v>
      </c>
      <c r="FF545">
        <v>3</v>
      </c>
      <c r="FG545">
        <f>IFERROR(AVERAGE(Tabel1[[#This Row],[Do - V3a]:[Do - V3a]]),"")</f>
        <v>3</v>
      </c>
      <c r="FH545">
        <v>4</v>
      </c>
      <c r="FI545">
        <f>IFERROR(AVERAGE(Tabel1[[#This Row],[Do - V1]],Tabel1[[#This Row],[Do - V2]],Tabel1[[#This Row],[Do - V3]],Tabel1[[#This Row],[Do - V4]]),"")</f>
        <v>3.8333333333333335</v>
      </c>
      <c r="FJ545">
        <v>4</v>
      </c>
      <c r="FK545">
        <v>2</v>
      </c>
      <c r="FL545">
        <v>3</v>
      </c>
      <c r="FM545">
        <f>IFERROR(AVERAGE(Tabel1[[#This Row],[Do - A1a]:[Do - A1c]]),"")</f>
        <v>3</v>
      </c>
      <c r="FN545">
        <v>3</v>
      </c>
      <c r="FO545">
        <v>3</v>
      </c>
      <c r="FP545">
        <f>IFERROR(AVERAGE(Tabel1[[#This Row],[Do - A2a]:[Do - A2b]]),"")</f>
        <v>3</v>
      </c>
      <c r="FQ545">
        <v>3</v>
      </c>
      <c r="FR545">
        <f>IFERROR(AVERAGE(Tabel1[[#This Row],[Do - A3a]:[Do - A3a]]),"")</f>
        <v>3</v>
      </c>
      <c r="FS545">
        <v>4</v>
      </c>
      <c r="FT545">
        <f>IFERROR(AVERAGE(Tabel1[[#This Row],[Do - A1]],Tabel1[[#This Row],[Do - A2]],Tabel1[[#This Row],[Do - A3]],Tabel1[[#This Row],[Do - A4]]),"")</f>
        <v>3.25</v>
      </c>
      <c r="FU54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3.1822222222222227</v>
      </c>
      <c r="FV545" s="31" t="s">
        <v>2624</v>
      </c>
      <c r="FW545" t="b">
        <v>1</v>
      </c>
    </row>
    <row r="546" spans="1:179" x14ac:dyDescent="0.3">
      <c r="A546" s="13">
        <v>45968.4822569444</v>
      </c>
      <c r="B546" t="b">
        <v>0</v>
      </c>
      <c r="C546" t="s">
        <v>2625</v>
      </c>
      <c r="D546" t="s">
        <v>2626</v>
      </c>
      <c r="E546" t="s">
        <v>2627</v>
      </c>
      <c r="F546" s="14"/>
      <c r="G546" t="s">
        <v>2628</v>
      </c>
      <c r="H546" t="s">
        <v>194</v>
      </c>
      <c r="I546" t="s">
        <v>195</v>
      </c>
      <c r="J546" t="s">
        <v>196</v>
      </c>
      <c r="K546" t="s">
        <v>235</v>
      </c>
      <c r="L546" t="s">
        <v>249</v>
      </c>
      <c r="M546" t="s">
        <v>281</v>
      </c>
      <c r="N546" t="s">
        <v>199</v>
      </c>
      <c r="O546" t="s">
        <v>256</v>
      </c>
      <c r="P546" t="s">
        <v>255</v>
      </c>
      <c r="Q546" t="s">
        <v>201</v>
      </c>
      <c r="R546" t="s">
        <v>235</v>
      </c>
      <c r="S546" t="s">
        <v>201</v>
      </c>
      <c r="T546" t="s">
        <v>204</v>
      </c>
      <c r="U546" t="s">
        <v>285</v>
      </c>
      <c r="V546" t="s">
        <v>610</v>
      </c>
      <c r="W546" t="s">
        <v>305</v>
      </c>
      <c r="X546" t="s">
        <v>306</v>
      </c>
      <c r="Y546">
        <v>5</v>
      </c>
      <c r="Z546">
        <v>2</v>
      </c>
      <c r="AA546" t="s">
        <v>189</v>
      </c>
      <c r="AB546">
        <f>IFERROR(AVERAGE(Tabel1[[#This Row],[Up - R1a]:[Up - R1c]]),"")</f>
        <v>3.5</v>
      </c>
      <c r="AC546">
        <v>5</v>
      </c>
      <c r="AD546">
        <v>1</v>
      </c>
      <c r="AE546">
        <v>1</v>
      </c>
      <c r="AF546">
        <v>4</v>
      </c>
      <c r="AG546">
        <f>IFERROR(AVERAGE(Tabel1[[#This Row],[Up - R1]:[Up - R5]]),"")</f>
        <v>2.9</v>
      </c>
      <c r="AH546">
        <v>5</v>
      </c>
      <c r="AI546">
        <v>3</v>
      </c>
      <c r="AJ546">
        <v>4</v>
      </c>
      <c r="AK546">
        <f>IFERROR(AVERAGE(Tabel1[[#This Row],[Up - C1a]:[Up - C1c]]),"")</f>
        <v>4</v>
      </c>
      <c r="AL546">
        <v>4</v>
      </c>
      <c r="AM546">
        <v>5</v>
      </c>
      <c r="AN546" t="s">
        <v>189</v>
      </c>
      <c r="AO546">
        <f>IFERROR(AVERAGE(Tabel1[[#This Row],[Up - C1]:[Up - C4]]),"")</f>
        <v>4.333333333333333</v>
      </c>
      <c r="AP546">
        <v>4</v>
      </c>
      <c r="AQ546">
        <f>IFERROR(AVERAGE(Tabel1[[#This Row],[Up - F1a]:[Up - F1a]]),"")</f>
        <v>4</v>
      </c>
      <c r="AR546">
        <v>1</v>
      </c>
      <c r="AS546">
        <v>3</v>
      </c>
      <c r="AT546">
        <f>IFERROR(AVERAGE(Tabel1[[#This Row],[Up - F2a]:[Up - F2b]]),"")</f>
        <v>2</v>
      </c>
      <c r="AU546">
        <v>1</v>
      </c>
      <c r="AV546">
        <v>1</v>
      </c>
      <c r="AW546">
        <f>IFERROR(AVERAGE(Tabel1[[#This Row],[Up - F3a]:[Up - F3b]]),"")</f>
        <v>1</v>
      </c>
      <c r="AX546">
        <v>1</v>
      </c>
      <c r="AY546">
        <f>IFERROR(AVERAGE(Tabel1[[#This Row],[Up - F1]],Tabel1[[#This Row],[Up - F2]],Tabel1[[#This Row],[Up - F3]],Tabel1[[#This Row],[Up - F4]]),"")</f>
        <v>2</v>
      </c>
      <c r="AZ546">
        <v>4</v>
      </c>
      <c r="BA546">
        <v>4</v>
      </c>
      <c r="BB546">
        <f>IFERROR(AVERAGE(Tabel1[[#This Row],[Up - V1a]:[Up - V1b]]),"")</f>
        <v>4</v>
      </c>
      <c r="BC546">
        <v>3</v>
      </c>
      <c r="BD546" t="s">
        <v>189</v>
      </c>
      <c r="BE546">
        <v>4</v>
      </c>
      <c r="BF546">
        <f>IFERROR(AVERAGE(Tabel1[[#This Row],[Up - V2a]:[Up - V2c]]),"")</f>
        <v>3.5</v>
      </c>
      <c r="BG546" t="s">
        <v>189</v>
      </c>
      <c r="BH546">
        <v>4</v>
      </c>
      <c r="BI546">
        <f>IFERROR(AVERAGE(Tabel1[[#This Row],[Up - V3a]:[Up - V3b]]),"")</f>
        <v>4</v>
      </c>
      <c r="BJ546" t="s">
        <v>189</v>
      </c>
      <c r="BK546">
        <f>IFERROR(AVERAGE(Tabel1[[#This Row],[Up - V1]],Tabel1[[#This Row],[Up - V2]],Tabel1[[#This Row],[Up - V3]],Tabel1[[#This Row],[Up - V4]]),"")</f>
        <v>3.8333333333333335</v>
      </c>
      <c r="BL546">
        <v>2</v>
      </c>
      <c r="BM546">
        <v>5</v>
      </c>
      <c r="BN546">
        <v>1</v>
      </c>
      <c r="BO546">
        <v>1</v>
      </c>
      <c r="BP546">
        <f>IFERROR(AVERAGE(Tabel1[[#This Row],[Up - A1a]:[Up - A1d]]),"")</f>
        <v>2.25</v>
      </c>
      <c r="BQ546">
        <v>1</v>
      </c>
      <c r="BR546">
        <v>1</v>
      </c>
      <c r="BS546">
        <f>IFERROR(AVERAGE(Tabel1[[#This Row],[Up - A2a]:[Up - A2b]]),"")</f>
        <v>1</v>
      </c>
      <c r="BT546">
        <v>2</v>
      </c>
      <c r="BU546">
        <f>IFERROR(AVERAGE(Tabel1[[#This Row],[Up - A3a]:[Up - A3a]]),"")</f>
        <v>2</v>
      </c>
      <c r="BV546" t="s">
        <v>189</v>
      </c>
      <c r="BW546">
        <f>IFERROR(AVERAGE(Tabel1[[#This Row],[Up - A1]],Tabel1[[#This Row],[Up - A2]],Tabel1[[#This Row],[Up - A3]]),"")</f>
        <v>1.75</v>
      </c>
      <c r="BX546">
        <v>3</v>
      </c>
      <c r="BY546">
        <v>4</v>
      </c>
      <c r="BZ546">
        <f>IFERROR(AVERAGE(Tabel1[[#This Row],[In - R1a]:[In - R1b]]),"")</f>
        <v>3.5</v>
      </c>
      <c r="CA546">
        <v>2</v>
      </c>
      <c r="CB546">
        <v>5</v>
      </c>
      <c r="CC546">
        <v>2</v>
      </c>
      <c r="CD546" t="s">
        <v>189</v>
      </c>
      <c r="CE546">
        <f>IFERROR(AVERAGE(Tabel1[[#This Row],[In - R1]:[In - R5]]),"")</f>
        <v>3.125</v>
      </c>
      <c r="CF546">
        <v>5</v>
      </c>
      <c r="CG546">
        <v>3</v>
      </c>
      <c r="CH546">
        <v>4</v>
      </c>
      <c r="CI546">
        <f>IFERROR(AVERAGE(Tabel1[[#This Row],[In - C1a]:[In - C1c]]),"")</f>
        <v>4</v>
      </c>
      <c r="CJ546">
        <v>3</v>
      </c>
      <c r="CK546">
        <v>4</v>
      </c>
      <c r="CL546" t="s">
        <v>189</v>
      </c>
      <c r="CM546">
        <f>IFERROR(AVERAGE(Tabel1[[#This Row],[In - C1]:[In - C4]]),"")</f>
        <v>3.6666666666666665</v>
      </c>
      <c r="CN546">
        <v>5</v>
      </c>
      <c r="CO546">
        <v>4</v>
      </c>
      <c r="CP546">
        <v>3</v>
      </c>
      <c r="CQ546">
        <f>IFERROR(AVERAGE(Tabel1[[#This Row],[In - F1a]:[In - F1c]]),"")</f>
        <v>4</v>
      </c>
      <c r="CR546">
        <v>2</v>
      </c>
      <c r="CS546">
        <v>1</v>
      </c>
      <c r="CT546">
        <f>IFERROR(AVERAGE(Tabel1[[#This Row],[In - F2a]:[In - F2b]]),"")</f>
        <v>1.5</v>
      </c>
      <c r="CU546">
        <v>1</v>
      </c>
      <c r="CV546">
        <f>IFERROR(AVERAGE(Tabel1[[#This Row],[In - F3a]:[In - F3a]]),"")</f>
        <v>1</v>
      </c>
      <c r="CW546" t="s">
        <v>189</v>
      </c>
      <c r="CX546">
        <f>IFERROR(AVERAGE(Tabel1[[#This Row],[In - F1]],Tabel1[[#This Row],[In - F2]],Tabel1[[#This Row],[In - F3]],Tabel1[[#This Row],[In - F4]]),"")</f>
        <v>2.1666666666666665</v>
      </c>
      <c r="CY546">
        <v>4</v>
      </c>
      <c r="CZ546">
        <v>3</v>
      </c>
      <c r="DA546">
        <v>4</v>
      </c>
      <c r="DB546">
        <f>IFERROR(AVERAGE(Tabel1[[#This Row],[In - V1a]:[In - V1c]]),"")</f>
        <v>3.6666666666666665</v>
      </c>
      <c r="DC546">
        <v>3</v>
      </c>
      <c r="DD546">
        <v>4</v>
      </c>
      <c r="DE546">
        <v>2</v>
      </c>
      <c r="DF546">
        <f>IFERROR(AVERAGE(Tabel1[[#This Row],[In - V2a]:[In - V2c]]),"")</f>
        <v>3</v>
      </c>
      <c r="DG546">
        <v>4</v>
      </c>
      <c r="DH546">
        <v>2</v>
      </c>
      <c r="DI546">
        <f>IFERROR(AVERAGE(Tabel1[[#This Row],[In - V3a]:[In - V3b]]),"")</f>
        <v>3</v>
      </c>
      <c r="DJ546" t="s">
        <v>189</v>
      </c>
      <c r="DK546">
        <f>IFERROR(AVERAGE(Tabel1[[#This Row],[In - V1]],Tabel1[[#This Row],[In - V2]],Tabel1[[#This Row],[In - V3]],Tabel1[[#This Row],[In - V4]]),"")</f>
        <v>3.2222222222222219</v>
      </c>
      <c r="DL546">
        <v>3</v>
      </c>
      <c r="DM546">
        <v>4</v>
      </c>
      <c r="DN546">
        <f>IFERROR(AVERAGE(Tabel1[[#This Row],[In - A1a]:[In - A1b]]),"")</f>
        <v>3.5</v>
      </c>
      <c r="DO546">
        <v>3</v>
      </c>
      <c r="DP546">
        <v>3</v>
      </c>
      <c r="DQ546">
        <f>IFERROR(AVERAGE(Tabel1[[#This Row],[In - A2a]:[In - A2b]]),"")</f>
        <v>3</v>
      </c>
      <c r="DR546">
        <v>3</v>
      </c>
      <c r="DS546">
        <v>1</v>
      </c>
      <c r="DT546">
        <f>IFERROR(AVERAGE(Tabel1[[#This Row],[In - A3a]:[In - A3a]]),"")</f>
        <v>3</v>
      </c>
      <c r="DU546" t="s">
        <v>189</v>
      </c>
      <c r="DV546">
        <f>IFERROR(AVERAGE(Tabel1[[#This Row],[In - A1]],Tabel1[[#This Row],[In - A2]],Tabel1[[#This Row],[In - A3]],Tabel1[[#This Row],[In - A4]]),"")</f>
        <v>3.1666666666666665</v>
      </c>
      <c r="DW546">
        <v>3</v>
      </c>
      <c r="DX546">
        <v>4</v>
      </c>
      <c r="DY546">
        <v>3</v>
      </c>
      <c r="DZ546">
        <f>IFERROR(AVERAGE(Tabel1[[#This Row],[Do - R1a]:[Do - R1c]]),"")</f>
        <v>3.3333333333333335</v>
      </c>
      <c r="EA546">
        <v>2</v>
      </c>
      <c r="EB546">
        <v>1</v>
      </c>
      <c r="EC546" t="s">
        <v>189</v>
      </c>
      <c r="ED546">
        <v>4</v>
      </c>
      <c r="EE546">
        <f>IFERROR(AVERAGE(Tabel1[[#This Row],[Do - R1]:[Do - R5]]),"")</f>
        <v>2.5833333333333335</v>
      </c>
      <c r="EF546">
        <v>5</v>
      </c>
      <c r="EG546">
        <v>5</v>
      </c>
      <c r="EH546">
        <v>4</v>
      </c>
      <c r="EI546">
        <f>IFERROR(AVERAGE(Tabel1[[#This Row],[Do - C1a]:[Do - C1c]]),"")</f>
        <v>4.666666666666667</v>
      </c>
      <c r="EJ546">
        <v>4</v>
      </c>
      <c r="EK546">
        <v>5</v>
      </c>
      <c r="EL546" t="s">
        <v>189</v>
      </c>
      <c r="EM546">
        <f>IFERROR(AVERAGE(Tabel1[[#This Row],[Do - C1]:[Do - C4]]),"")</f>
        <v>4.5555555555555562</v>
      </c>
      <c r="EN546">
        <v>4</v>
      </c>
      <c r="EO546">
        <v>1</v>
      </c>
      <c r="EP546">
        <v>5</v>
      </c>
      <c r="EQ546">
        <f>IFERROR(AVERAGE(Tabel1[[#This Row],[Do - F1a]:[Do - F1c]]),"")</f>
        <v>3.3333333333333335</v>
      </c>
      <c r="ER546">
        <v>1</v>
      </c>
      <c r="ES546">
        <f>IFERROR(AVERAGE(Tabel1[[#This Row],[Do - F2a]:[Do - F2a]]),"")</f>
        <v>1</v>
      </c>
      <c r="ET546">
        <v>1</v>
      </c>
      <c r="EU546">
        <v>3</v>
      </c>
      <c r="EV546">
        <f>IFERROR(AVERAGE(Tabel1[[#This Row],[Do - F3a]:[Do - F3b]]),"")</f>
        <v>2</v>
      </c>
      <c r="EW546" t="s">
        <v>189</v>
      </c>
      <c r="EX546">
        <f>IFERROR(AVERAGE(Tabel1[[#This Row],[Do - F1]],Tabel1[[#This Row],[Do - F2]],Tabel1[[#This Row],[Do - F3]],Tabel1[[#This Row],[Do - F4]]),"")</f>
        <v>2.1111111111111112</v>
      </c>
      <c r="EY546">
        <v>3</v>
      </c>
      <c r="EZ546">
        <v>3</v>
      </c>
      <c r="FA546">
        <v>5</v>
      </c>
      <c r="FB546">
        <f>IFERROR(AVERAGE(Tabel1[[#This Row],[Do - V1a]:[Do - V1c]]),"")</f>
        <v>3.6666666666666665</v>
      </c>
      <c r="FC546">
        <v>3</v>
      </c>
      <c r="FD546">
        <v>5</v>
      </c>
      <c r="FE546">
        <f>IFERROR(AVERAGE(Tabel1[[#This Row],[Do - V2a]:[Do - V2b]]),"")</f>
        <v>4</v>
      </c>
      <c r="FF546">
        <v>3</v>
      </c>
      <c r="FG546">
        <f>IFERROR(AVERAGE(Tabel1[[#This Row],[Do - V3a]:[Do - V3a]]),"")</f>
        <v>3</v>
      </c>
      <c r="FH546" t="s">
        <v>189</v>
      </c>
      <c r="FI546">
        <f>IFERROR(AVERAGE(Tabel1[[#This Row],[Do - V1]],Tabel1[[#This Row],[Do - V2]],Tabel1[[#This Row],[Do - V3]],Tabel1[[#This Row],[Do - V4]]),"")</f>
        <v>3.5555555555555554</v>
      </c>
      <c r="FJ546">
        <v>4</v>
      </c>
      <c r="FK546">
        <v>4</v>
      </c>
      <c r="FL546">
        <v>3</v>
      </c>
      <c r="FM546">
        <f>IFERROR(AVERAGE(Tabel1[[#This Row],[Do - A1a]:[Do - A1c]]),"")</f>
        <v>3.6666666666666665</v>
      </c>
      <c r="FN546">
        <v>4</v>
      </c>
      <c r="FO546">
        <v>3</v>
      </c>
      <c r="FP546">
        <f>IFERROR(AVERAGE(Tabel1[[#This Row],[Do - A2a]:[Do - A2b]]),"")</f>
        <v>3.5</v>
      </c>
      <c r="FQ546">
        <v>3</v>
      </c>
      <c r="FR546">
        <f>IFERROR(AVERAGE(Tabel1[[#This Row],[Do - A3a]:[Do - A3a]]),"")</f>
        <v>3</v>
      </c>
      <c r="FS546" t="s">
        <v>189</v>
      </c>
      <c r="FT546">
        <f>IFERROR(AVERAGE(Tabel1[[#This Row],[Do - A1]],Tabel1[[#This Row],[Do - A2]],Tabel1[[#This Row],[Do - A3]],Tabel1[[#This Row],[Do - A4]]),"")</f>
        <v>3.3888888888888888</v>
      </c>
      <c r="FU54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3.0905555555555559</v>
      </c>
      <c r="FV546" s="31" t="s">
        <v>2629</v>
      </c>
      <c r="FW546" t="b">
        <v>1</v>
      </c>
    </row>
    <row r="547" spans="1:179" x14ac:dyDescent="0.3">
      <c r="A547" s="13">
        <v>45968.562210648102</v>
      </c>
      <c r="B547" t="b">
        <v>0</v>
      </c>
      <c r="C547" t="s">
        <v>2630</v>
      </c>
      <c r="D547" t="s">
        <v>2631</v>
      </c>
      <c r="E547" t="s">
        <v>2632</v>
      </c>
      <c r="F547" s="14"/>
      <c r="G547" t="s">
        <v>2633</v>
      </c>
      <c r="H547" t="s">
        <v>194</v>
      </c>
      <c r="I547" t="s">
        <v>195</v>
      </c>
      <c r="J547" t="s">
        <v>196</v>
      </c>
      <c r="K547" t="s">
        <v>202</v>
      </c>
      <c r="L547" t="s">
        <v>197</v>
      </c>
      <c r="M547" t="s">
        <v>198</v>
      </c>
      <c r="N547" t="s">
        <v>199</v>
      </c>
      <c r="O547" t="s">
        <v>200</v>
      </c>
      <c r="P547" t="s">
        <v>304</v>
      </c>
      <c r="S547" t="s">
        <v>235</v>
      </c>
      <c r="T547" t="s">
        <v>204</v>
      </c>
      <c r="U547" t="s">
        <v>285</v>
      </c>
      <c r="V547" t="s">
        <v>206</v>
      </c>
      <c r="W547" t="s">
        <v>207</v>
      </c>
      <c r="X547" t="s">
        <v>207</v>
      </c>
      <c r="Y547">
        <v>5</v>
      </c>
      <c r="Z547">
        <v>4</v>
      </c>
      <c r="AA547" t="s">
        <v>189</v>
      </c>
      <c r="AB547">
        <f>IFERROR(AVERAGE(Tabel1[[#This Row],[Up - R1a]:[Up - R1c]]),"")</f>
        <v>4.5</v>
      </c>
      <c r="AC547">
        <v>5</v>
      </c>
      <c r="AD547">
        <v>3</v>
      </c>
      <c r="AE547" t="s">
        <v>189</v>
      </c>
      <c r="AF547" t="s">
        <v>189</v>
      </c>
      <c r="AG547">
        <f>IFERROR(AVERAGE(Tabel1[[#This Row],[Up - R1]:[Up - R5]]),"")</f>
        <v>4.166666666666667</v>
      </c>
      <c r="AH547">
        <v>5</v>
      </c>
      <c r="AI547">
        <v>5</v>
      </c>
      <c r="AJ547">
        <v>5</v>
      </c>
      <c r="AK547">
        <f>IFERROR(AVERAGE(Tabel1[[#This Row],[Up - C1a]:[Up - C1c]]),"")</f>
        <v>5</v>
      </c>
      <c r="AL547">
        <v>3</v>
      </c>
      <c r="AM547">
        <v>4</v>
      </c>
      <c r="AN547" t="s">
        <v>189</v>
      </c>
      <c r="AO547">
        <f>IFERROR(AVERAGE(Tabel1[[#This Row],[Up - C1]:[Up - C4]]),"")</f>
        <v>4</v>
      </c>
      <c r="AP547">
        <v>4</v>
      </c>
      <c r="AQ547">
        <f>IFERROR(AVERAGE(Tabel1[[#This Row],[Up - F1a]:[Up - F1a]]),"")</f>
        <v>4</v>
      </c>
      <c r="AR547">
        <v>1</v>
      </c>
      <c r="AS547">
        <v>4</v>
      </c>
      <c r="AT547">
        <f>IFERROR(AVERAGE(Tabel1[[#This Row],[Up - F2a]:[Up - F2b]]),"")</f>
        <v>2.5</v>
      </c>
      <c r="AU547">
        <v>4</v>
      </c>
      <c r="AV547">
        <v>3</v>
      </c>
      <c r="AW547">
        <f>IFERROR(AVERAGE(Tabel1[[#This Row],[Up - F3a]:[Up - F3b]]),"")</f>
        <v>3.5</v>
      </c>
      <c r="AX547">
        <v>2</v>
      </c>
      <c r="AY547">
        <f>IFERROR(AVERAGE(Tabel1[[#This Row],[Up - F1]],Tabel1[[#This Row],[Up - F2]],Tabel1[[#This Row],[Up - F3]],Tabel1[[#This Row],[Up - F4]]),"")</f>
        <v>3</v>
      </c>
      <c r="AZ547" t="s">
        <v>189</v>
      </c>
      <c r="BA547">
        <v>3</v>
      </c>
      <c r="BB547">
        <f>IFERROR(AVERAGE(Tabel1[[#This Row],[Up - V1a]:[Up - V1b]]),"")</f>
        <v>3</v>
      </c>
      <c r="BC547">
        <v>5</v>
      </c>
      <c r="BD547">
        <v>5</v>
      </c>
      <c r="BE547">
        <v>4</v>
      </c>
      <c r="BF547">
        <f>IFERROR(AVERAGE(Tabel1[[#This Row],[Up - V2a]:[Up - V2c]]),"")</f>
        <v>4.666666666666667</v>
      </c>
      <c r="BG547" t="s">
        <v>189</v>
      </c>
      <c r="BH547">
        <v>5</v>
      </c>
      <c r="BI547">
        <f>IFERROR(AVERAGE(Tabel1[[#This Row],[Up - V3a]:[Up - V3b]]),"")</f>
        <v>5</v>
      </c>
      <c r="BJ547">
        <v>5</v>
      </c>
      <c r="BK547">
        <f>IFERROR(AVERAGE(Tabel1[[#This Row],[Up - V1]],Tabel1[[#This Row],[Up - V2]],Tabel1[[#This Row],[Up - V3]],Tabel1[[#This Row],[Up - V4]]),"")</f>
        <v>4.416666666666667</v>
      </c>
      <c r="BL547">
        <v>5</v>
      </c>
      <c r="BM547">
        <v>5</v>
      </c>
      <c r="BN547">
        <v>4</v>
      </c>
      <c r="BO547">
        <v>3</v>
      </c>
      <c r="BP547">
        <f>IFERROR(AVERAGE(Tabel1[[#This Row],[Up - A1a]:[Up - A1d]]),"")</f>
        <v>4.25</v>
      </c>
      <c r="BQ547">
        <v>5</v>
      </c>
      <c r="BR547">
        <v>3</v>
      </c>
      <c r="BS547">
        <f>IFERROR(AVERAGE(Tabel1[[#This Row],[Up - A2a]:[Up - A2b]]),"")</f>
        <v>4</v>
      </c>
      <c r="BT547">
        <v>4</v>
      </c>
      <c r="BU547">
        <f>IFERROR(AVERAGE(Tabel1[[#This Row],[Up - A3a]:[Up - A3a]]),"")</f>
        <v>4</v>
      </c>
      <c r="BV547" t="s">
        <v>189</v>
      </c>
      <c r="BW547">
        <f>IFERROR(AVERAGE(Tabel1[[#This Row],[Up - A1]],Tabel1[[#This Row],[Up - A2]],Tabel1[[#This Row],[Up - A3]]),"")</f>
        <v>4.083333333333333</v>
      </c>
      <c r="BX547">
        <v>5</v>
      </c>
      <c r="BY547">
        <v>5</v>
      </c>
      <c r="BZ547">
        <f>IFERROR(AVERAGE(Tabel1[[#This Row],[In - R1a]:[In - R1b]]),"")</f>
        <v>5</v>
      </c>
      <c r="CA547">
        <v>4</v>
      </c>
      <c r="CB547">
        <v>3</v>
      </c>
      <c r="CD547">
        <v>5</v>
      </c>
      <c r="CE547">
        <f>IFERROR(AVERAGE(Tabel1[[#This Row],[In - R1]:[In - R5]]),"")</f>
        <v>4.25</v>
      </c>
      <c r="CF547">
        <v>5</v>
      </c>
      <c r="CG547">
        <v>5</v>
      </c>
      <c r="CH547">
        <v>5</v>
      </c>
      <c r="CI547">
        <f>IFERROR(AVERAGE(Tabel1[[#This Row],[In - C1a]:[In - C1c]]),"")</f>
        <v>5</v>
      </c>
      <c r="CJ547">
        <v>5</v>
      </c>
      <c r="CK547">
        <v>5</v>
      </c>
      <c r="CL547">
        <v>5</v>
      </c>
      <c r="CM547">
        <f>IFERROR(AVERAGE(Tabel1[[#This Row],[In - C1]:[In - C4]]),"")</f>
        <v>5</v>
      </c>
      <c r="CN547">
        <v>5</v>
      </c>
      <c r="CO547">
        <v>3</v>
      </c>
      <c r="CP547" t="s">
        <v>189</v>
      </c>
      <c r="CQ547">
        <f>IFERROR(AVERAGE(Tabel1[[#This Row],[In - F1a]:[In - F1c]]),"")</f>
        <v>4</v>
      </c>
      <c r="CR547">
        <v>4</v>
      </c>
      <c r="CS547">
        <v>3</v>
      </c>
      <c r="CT547">
        <f>IFERROR(AVERAGE(Tabel1[[#This Row],[In - F2a]:[In - F2b]]),"")</f>
        <v>3.5</v>
      </c>
      <c r="CU547">
        <v>2</v>
      </c>
      <c r="CV547">
        <f>IFERROR(AVERAGE(Tabel1[[#This Row],[In - F3a]:[In - F3a]]),"")</f>
        <v>2</v>
      </c>
      <c r="CW547">
        <v>2</v>
      </c>
      <c r="CX547">
        <f>IFERROR(AVERAGE(Tabel1[[#This Row],[In - F1]],Tabel1[[#This Row],[In - F2]],Tabel1[[#This Row],[In - F3]],Tabel1[[#This Row],[In - F4]]),"")</f>
        <v>2.875</v>
      </c>
      <c r="CY547">
        <v>5</v>
      </c>
      <c r="CZ547">
        <v>5</v>
      </c>
      <c r="DA547">
        <v>3</v>
      </c>
      <c r="DB547">
        <f>IFERROR(AVERAGE(Tabel1[[#This Row],[In - V1a]:[In - V1c]]),"")</f>
        <v>4.333333333333333</v>
      </c>
      <c r="DC547">
        <v>5</v>
      </c>
      <c r="DD547">
        <v>4</v>
      </c>
      <c r="DE547">
        <v>5</v>
      </c>
      <c r="DF547">
        <f>IFERROR(AVERAGE(Tabel1[[#This Row],[In - V2a]:[In - V2c]]),"")</f>
        <v>4.666666666666667</v>
      </c>
      <c r="DG547">
        <v>4</v>
      </c>
      <c r="DH547">
        <v>5</v>
      </c>
      <c r="DI547">
        <f>IFERROR(AVERAGE(Tabel1[[#This Row],[In - V3a]:[In - V3b]]),"")</f>
        <v>4.5</v>
      </c>
      <c r="DJ547">
        <v>5</v>
      </c>
      <c r="DK547">
        <f>IFERROR(AVERAGE(Tabel1[[#This Row],[In - V1]],Tabel1[[#This Row],[In - V2]],Tabel1[[#This Row],[In - V3]],Tabel1[[#This Row],[In - V4]]),"")</f>
        <v>4.625</v>
      </c>
      <c r="DL547">
        <v>4</v>
      </c>
      <c r="DM547">
        <v>5</v>
      </c>
      <c r="DN547">
        <f>IFERROR(AVERAGE(Tabel1[[#This Row],[In - A1a]:[In - A1b]]),"")</f>
        <v>4.5</v>
      </c>
      <c r="DO547">
        <v>4</v>
      </c>
      <c r="DP547">
        <v>5</v>
      </c>
      <c r="DQ547">
        <f>IFERROR(AVERAGE(Tabel1[[#This Row],[In - A2a]:[In - A2b]]),"")</f>
        <v>4.5</v>
      </c>
      <c r="DR547">
        <v>5</v>
      </c>
      <c r="DS547">
        <v>4</v>
      </c>
      <c r="DT547">
        <f>IFERROR(AVERAGE(Tabel1[[#This Row],[In - A3a]:[In - A3a]]),"")</f>
        <v>5</v>
      </c>
      <c r="DU547" t="s">
        <v>189</v>
      </c>
      <c r="DV547">
        <f>IFERROR(AVERAGE(Tabel1[[#This Row],[In - A1]],Tabel1[[#This Row],[In - A2]],Tabel1[[#This Row],[In - A3]],Tabel1[[#This Row],[In - A4]]),"")</f>
        <v>4.666666666666667</v>
      </c>
      <c r="DW547">
        <v>5</v>
      </c>
      <c r="DX547">
        <v>5</v>
      </c>
      <c r="DY547">
        <v>5</v>
      </c>
      <c r="DZ547">
        <f>IFERROR(AVERAGE(Tabel1[[#This Row],[Do - R1a]:[Do - R1c]]),"")</f>
        <v>5</v>
      </c>
      <c r="EA547">
        <v>4</v>
      </c>
      <c r="EB547">
        <v>3</v>
      </c>
      <c r="EC547" t="s">
        <v>189</v>
      </c>
      <c r="ED547">
        <v>5</v>
      </c>
      <c r="EE547">
        <f>IFERROR(AVERAGE(Tabel1[[#This Row],[Do - R1]:[Do - R5]]),"")</f>
        <v>4.25</v>
      </c>
      <c r="EF547">
        <v>5</v>
      </c>
      <c r="EG547">
        <v>5</v>
      </c>
      <c r="EH547">
        <v>5</v>
      </c>
      <c r="EI547">
        <f>IFERROR(AVERAGE(Tabel1[[#This Row],[Do - C1a]:[Do - C1c]]),"")</f>
        <v>5</v>
      </c>
      <c r="EJ547">
        <v>5</v>
      </c>
      <c r="EK547">
        <v>5</v>
      </c>
      <c r="EL547" t="s">
        <v>189</v>
      </c>
      <c r="EM547">
        <f>IFERROR(AVERAGE(Tabel1[[#This Row],[Do - C1]:[Do - C4]]),"")</f>
        <v>5</v>
      </c>
      <c r="EN547">
        <v>2</v>
      </c>
      <c r="EO547">
        <v>2</v>
      </c>
      <c r="EP547">
        <v>3</v>
      </c>
      <c r="EQ547">
        <f>IFERROR(AVERAGE(Tabel1[[#This Row],[Do - F1a]:[Do - F1c]]),"")</f>
        <v>2.3333333333333335</v>
      </c>
      <c r="ER547">
        <v>2</v>
      </c>
      <c r="ES547">
        <f>IFERROR(AVERAGE(Tabel1[[#This Row],[Do - F2a]:[Do - F2a]]),"")</f>
        <v>2</v>
      </c>
      <c r="ET547">
        <v>4</v>
      </c>
      <c r="EU547">
        <v>3</v>
      </c>
      <c r="EV547">
        <f>IFERROR(AVERAGE(Tabel1[[#This Row],[Do - F3a]:[Do - F3b]]),"")</f>
        <v>3.5</v>
      </c>
      <c r="EW547">
        <v>2</v>
      </c>
      <c r="EX547">
        <f>IFERROR(AVERAGE(Tabel1[[#This Row],[Do - F1]],Tabel1[[#This Row],[Do - F2]],Tabel1[[#This Row],[Do - F3]],Tabel1[[#This Row],[Do - F4]]),"")</f>
        <v>2.4583333333333335</v>
      </c>
      <c r="EY547">
        <v>4</v>
      </c>
      <c r="EZ547">
        <v>3</v>
      </c>
      <c r="FA547">
        <v>4</v>
      </c>
      <c r="FB547">
        <f>IFERROR(AVERAGE(Tabel1[[#This Row],[Do - V1a]:[Do - V1c]]),"")</f>
        <v>3.6666666666666665</v>
      </c>
      <c r="FC547">
        <v>5</v>
      </c>
      <c r="FD547">
        <v>4</v>
      </c>
      <c r="FE547">
        <f>IFERROR(AVERAGE(Tabel1[[#This Row],[Do - V2a]:[Do - V2b]]),"")</f>
        <v>4.5</v>
      </c>
      <c r="FF547">
        <v>4</v>
      </c>
      <c r="FG547">
        <f>IFERROR(AVERAGE(Tabel1[[#This Row],[Do - V3a]:[Do - V3a]]),"")</f>
        <v>4</v>
      </c>
      <c r="FH547">
        <v>5</v>
      </c>
      <c r="FI547">
        <f>IFERROR(AVERAGE(Tabel1[[#This Row],[Do - V1]],Tabel1[[#This Row],[Do - V2]],Tabel1[[#This Row],[Do - V3]],Tabel1[[#This Row],[Do - V4]]),"")</f>
        <v>4.2916666666666661</v>
      </c>
      <c r="FJ547">
        <v>5</v>
      </c>
      <c r="FK547">
        <v>4</v>
      </c>
      <c r="FL547">
        <v>4</v>
      </c>
      <c r="FM547">
        <f>IFERROR(AVERAGE(Tabel1[[#This Row],[Do - A1a]:[Do - A1c]]),"")</f>
        <v>4.333333333333333</v>
      </c>
      <c r="FN547">
        <v>5</v>
      </c>
      <c r="FO547">
        <v>4</v>
      </c>
      <c r="FP547">
        <f>IFERROR(AVERAGE(Tabel1[[#This Row],[Do - A2a]:[Do - A2b]]),"")</f>
        <v>4.5</v>
      </c>
      <c r="FQ547">
        <v>5</v>
      </c>
      <c r="FR547">
        <f>IFERROR(AVERAGE(Tabel1[[#This Row],[Do - A3a]:[Do - A3a]]),"")</f>
        <v>5</v>
      </c>
      <c r="FS547" t="s">
        <v>189</v>
      </c>
      <c r="FT547">
        <f>IFERROR(AVERAGE(Tabel1[[#This Row],[Do - A1]],Tabel1[[#This Row],[Do - A2]],Tabel1[[#This Row],[Do - A3]],Tabel1[[#This Row],[Do - A4]]),"")</f>
        <v>4.6111111111111107</v>
      </c>
      <c r="FU54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4.1129629629629632</v>
      </c>
      <c r="FV547" s="31" t="s">
        <v>2634</v>
      </c>
      <c r="FW547" t="b">
        <v>1</v>
      </c>
    </row>
    <row r="548" spans="1:179" x14ac:dyDescent="0.3">
      <c r="A548" s="13">
        <v>45971.522152777798</v>
      </c>
      <c r="B548" t="b">
        <v>0</v>
      </c>
      <c r="C548" t="s">
        <v>2635</v>
      </c>
      <c r="D548" t="s">
        <v>2636</v>
      </c>
      <c r="E548" t="s">
        <v>2637</v>
      </c>
      <c r="F548" s="14"/>
      <c r="G548" t="s">
        <v>2638</v>
      </c>
      <c r="H548" t="s">
        <v>194</v>
      </c>
      <c r="I548" t="s">
        <v>195</v>
      </c>
      <c r="J548" t="s">
        <v>196</v>
      </c>
      <c r="K548" t="s">
        <v>187</v>
      </c>
      <c r="L548" t="s">
        <v>218</v>
      </c>
      <c r="M548" t="s">
        <v>198</v>
      </c>
      <c r="N548" t="s">
        <v>199</v>
      </c>
      <c r="O548" t="s">
        <v>200</v>
      </c>
      <c r="P548" t="s">
        <v>187</v>
      </c>
      <c r="Q548" t="s">
        <v>235</v>
      </c>
      <c r="R548" t="s">
        <v>187</v>
      </c>
      <c r="S548" t="s">
        <v>202</v>
      </c>
      <c r="T548" t="s">
        <v>204</v>
      </c>
      <c r="U548" t="s">
        <v>285</v>
      </c>
      <c r="V548" t="s">
        <v>484</v>
      </c>
      <c r="W548" t="s">
        <v>207</v>
      </c>
      <c r="X548" t="s">
        <v>207</v>
      </c>
      <c r="Y548">
        <v>4</v>
      </c>
      <c r="Z548">
        <v>3</v>
      </c>
      <c r="AA548" t="s">
        <v>189</v>
      </c>
      <c r="AB548">
        <f>IFERROR(AVERAGE(Tabel1[[#This Row],[Up - R1a]:[Up - R1c]]),"")</f>
        <v>3.5</v>
      </c>
      <c r="AC548">
        <v>3</v>
      </c>
      <c r="AD548">
        <v>2</v>
      </c>
      <c r="AE548">
        <v>2</v>
      </c>
      <c r="AF548">
        <v>4</v>
      </c>
      <c r="AG548">
        <f>IFERROR(AVERAGE(Tabel1[[#This Row],[Up - R1]:[Up - R5]]),"")</f>
        <v>2.9</v>
      </c>
      <c r="AH548">
        <v>4</v>
      </c>
      <c r="AI548">
        <v>4</v>
      </c>
      <c r="AJ548">
        <v>3</v>
      </c>
      <c r="AK548">
        <f>IFERROR(AVERAGE(Tabel1[[#This Row],[Up - C1a]:[Up - C1c]]),"")</f>
        <v>3.6666666666666665</v>
      </c>
      <c r="AL548">
        <v>4</v>
      </c>
      <c r="AM548">
        <v>4</v>
      </c>
      <c r="AN548">
        <v>3</v>
      </c>
      <c r="AO548">
        <f>IFERROR(AVERAGE(Tabel1[[#This Row],[Up - C1]:[Up - C4]]),"")</f>
        <v>3.6666666666666665</v>
      </c>
      <c r="AP548">
        <v>3</v>
      </c>
      <c r="AQ548">
        <f>IFERROR(AVERAGE(Tabel1[[#This Row],[Up - F1a]:[Up - F1a]]),"")</f>
        <v>3</v>
      </c>
      <c r="AR548">
        <v>2</v>
      </c>
      <c r="AS548">
        <v>2</v>
      </c>
      <c r="AT548">
        <f>IFERROR(AVERAGE(Tabel1[[#This Row],[Up - F2a]:[Up - F2b]]),"")</f>
        <v>2</v>
      </c>
      <c r="AU548">
        <v>2</v>
      </c>
      <c r="AV548">
        <v>2</v>
      </c>
      <c r="AW548">
        <f>IFERROR(AVERAGE(Tabel1[[#This Row],[Up - F3a]:[Up - F3b]]),"")</f>
        <v>2</v>
      </c>
      <c r="AX548">
        <v>2</v>
      </c>
      <c r="AY548">
        <f>IFERROR(AVERAGE(Tabel1[[#This Row],[Up - F1]],Tabel1[[#This Row],[Up - F2]],Tabel1[[#This Row],[Up - F3]],Tabel1[[#This Row],[Up - F4]]),"")</f>
        <v>2.25</v>
      </c>
      <c r="AZ548">
        <v>2</v>
      </c>
      <c r="BA548" t="s">
        <v>189</v>
      </c>
      <c r="BB548">
        <f>IFERROR(AVERAGE(Tabel1[[#This Row],[Up - V1a]:[Up - V1b]]),"")</f>
        <v>2</v>
      </c>
      <c r="BC548">
        <v>3</v>
      </c>
      <c r="BD548">
        <v>3</v>
      </c>
      <c r="BE548">
        <v>4</v>
      </c>
      <c r="BF548">
        <f>IFERROR(AVERAGE(Tabel1[[#This Row],[Up - V2a]:[Up - V2c]]),"")</f>
        <v>3.3333333333333335</v>
      </c>
      <c r="BG548">
        <v>4</v>
      </c>
      <c r="BH548" t="s">
        <v>189</v>
      </c>
      <c r="BI548">
        <f>IFERROR(AVERAGE(Tabel1[[#This Row],[Up - V3a]:[Up - V3b]]),"")</f>
        <v>4</v>
      </c>
      <c r="BJ548">
        <v>4</v>
      </c>
      <c r="BK548">
        <f>IFERROR(AVERAGE(Tabel1[[#This Row],[Up - V1]],Tabel1[[#This Row],[Up - V2]],Tabel1[[#This Row],[Up - V3]],Tabel1[[#This Row],[Up - V4]]),"")</f>
        <v>3.3333333333333335</v>
      </c>
      <c r="BL548" t="s">
        <v>189</v>
      </c>
      <c r="BM548" t="s">
        <v>189</v>
      </c>
      <c r="BN548" t="s">
        <v>189</v>
      </c>
      <c r="BO548" t="s">
        <v>189</v>
      </c>
      <c r="BP548" t="str">
        <f>IFERROR(AVERAGE(Tabel1[[#This Row],[Up - A1a]:[Up - A1d]]),"")</f>
        <v/>
      </c>
      <c r="BQ548" t="s">
        <v>189</v>
      </c>
      <c r="BR548" t="s">
        <v>189</v>
      </c>
      <c r="BS548" t="str">
        <f>IFERROR(AVERAGE(Tabel1[[#This Row],[Up - A2a]:[Up - A2b]]),"")</f>
        <v/>
      </c>
      <c r="BT548" t="s">
        <v>189</v>
      </c>
      <c r="BU548" t="str">
        <f>IFERROR(AVERAGE(Tabel1[[#This Row],[Up - A3a]:[Up - A3a]]),"")</f>
        <v/>
      </c>
      <c r="BV548" t="s">
        <v>189</v>
      </c>
      <c r="BW548" t="str">
        <f>IFERROR(AVERAGE(Tabel1[[#This Row],[Up - A1]],Tabel1[[#This Row],[Up - A2]],Tabel1[[#This Row],[Up - A3]]),"")</f>
        <v/>
      </c>
      <c r="BX548">
        <v>4</v>
      </c>
      <c r="BY548">
        <v>5</v>
      </c>
      <c r="BZ548">
        <f>IFERROR(AVERAGE(Tabel1[[#This Row],[In - R1a]:[In - R1b]]),"")</f>
        <v>4.5</v>
      </c>
      <c r="CA548">
        <v>3</v>
      </c>
      <c r="CB548">
        <v>4</v>
      </c>
      <c r="CC548">
        <v>1</v>
      </c>
      <c r="CD548">
        <v>5</v>
      </c>
      <c r="CE548">
        <f>IFERROR(AVERAGE(Tabel1[[#This Row],[In - R1]:[In - R5]]),"")</f>
        <v>3.5</v>
      </c>
      <c r="CF548">
        <v>4</v>
      </c>
      <c r="CG548">
        <v>4</v>
      </c>
      <c r="CH548">
        <v>4</v>
      </c>
      <c r="CI548">
        <f>IFERROR(AVERAGE(Tabel1[[#This Row],[In - C1a]:[In - C1c]]),"")</f>
        <v>4</v>
      </c>
      <c r="CJ548">
        <v>4</v>
      </c>
      <c r="CK548">
        <v>3</v>
      </c>
      <c r="CL548">
        <v>3</v>
      </c>
      <c r="CM548">
        <f>IFERROR(AVERAGE(Tabel1[[#This Row],[In - C1]:[In - C4]]),"")</f>
        <v>3.5</v>
      </c>
      <c r="CN548">
        <v>3</v>
      </c>
      <c r="CO548">
        <v>4</v>
      </c>
      <c r="CP548">
        <v>1</v>
      </c>
      <c r="CQ548">
        <f>IFERROR(AVERAGE(Tabel1[[#This Row],[In - F1a]:[In - F1c]]),"")</f>
        <v>2.6666666666666665</v>
      </c>
      <c r="CR548">
        <v>3</v>
      </c>
      <c r="CS548">
        <v>2</v>
      </c>
      <c r="CT548">
        <f>IFERROR(AVERAGE(Tabel1[[#This Row],[In - F2a]:[In - F2b]]),"")</f>
        <v>2.5</v>
      </c>
      <c r="CU548">
        <v>4</v>
      </c>
      <c r="CV548">
        <f>IFERROR(AVERAGE(Tabel1[[#This Row],[In - F3a]:[In - F3a]]),"")</f>
        <v>4</v>
      </c>
      <c r="CW548" t="s">
        <v>189</v>
      </c>
      <c r="CX548">
        <f>IFERROR(AVERAGE(Tabel1[[#This Row],[In - F1]],Tabel1[[#This Row],[In - F2]],Tabel1[[#This Row],[In - F3]],Tabel1[[#This Row],[In - F4]]),"")</f>
        <v>3.0555555555555554</v>
      </c>
      <c r="CY548">
        <v>4</v>
      </c>
      <c r="CZ548">
        <v>4</v>
      </c>
      <c r="DA548">
        <v>3</v>
      </c>
      <c r="DB548">
        <f>IFERROR(AVERAGE(Tabel1[[#This Row],[In - V1a]:[In - V1c]]),"")</f>
        <v>3.6666666666666665</v>
      </c>
      <c r="DC548" t="s">
        <v>189</v>
      </c>
      <c r="DD548">
        <v>3</v>
      </c>
      <c r="DE548">
        <v>4</v>
      </c>
      <c r="DF548">
        <f>IFERROR(AVERAGE(Tabel1[[#This Row],[In - V2a]:[In - V2c]]),"")</f>
        <v>3.5</v>
      </c>
      <c r="DG548">
        <v>4</v>
      </c>
      <c r="DH548">
        <v>4</v>
      </c>
      <c r="DI548">
        <f>IFERROR(AVERAGE(Tabel1[[#This Row],[In - V3a]:[In - V3b]]),"")</f>
        <v>4</v>
      </c>
      <c r="DJ548">
        <v>4</v>
      </c>
      <c r="DK548">
        <f>IFERROR(AVERAGE(Tabel1[[#This Row],[In - V1]],Tabel1[[#This Row],[In - V2]],Tabel1[[#This Row],[In - V3]],Tabel1[[#This Row],[In - V4]]),"")</f>
        <v>3.7916666666666665</v>
      </c>
      <c r="DL548" t="s">
        <v>189</v>
      </c>
      <c r="DM548" t="s">
        <v>189</v>
      </c>
      <c r="DN548" t="str">
        <f>IFERROR(AVERAGE(Tabel1[[#This Row],[In - A1a]:[In - A1b]]),"")</f>
        <v/>
      </c>
      <c r="DO548" t="s">
        <v>189</v>
      </c>
      <c r="DP548" t="s">
        <v>189</v>
      </c>
      <c r="DQ548" t="str">
        <f>IFERROR(AVERAGE(Tabel1[[#This Row],[In - A2a]:[In - A2b]]),"")</f>
        <v/>
      </c>
      <c r="DR548" t="s">
        <v>189</v>
      </c>
      <c r="DS548" t="s">
        <v>189</v>
      </c>
      <c r="DT548" t="str">
        <f>IFERROR(AVERAGE(Tabel1[[#This Row],[In - A3a]:[In - A3a]]),"")</f>
        <v/>
      </c>
      <c r="DU548" t="s">
        <v>189</v>
      </c>
      <c r="DV548" t="str">
        <f>IFERROR(AVERAGE(Tabel1[[#This Row],[In - A1]],Tabel1[[#This Row],[In - A2]],Tabel1[[#This Row],[In - A3]],Tabel1[[#This Row],[In - A4]]),"")</f>
        <v/>
      </c>
      <c r="DW548">
        <v>2</v>
      </c>
      <c r="DX548">
        <v>5</v>
      </c>
      <c r="DY548">
        <v>2</v>
      </c>
      <c r="DZ548">
        <f>IFERROR(AVERAGE(Tabel1[[#This Row],[Do - R1a]:[Do - R1c]]),"")</f>
        <v>3</v>
      </c>
      <c r="EA548">
        <v>2</v>
      </c>
      <c r="EB548">
        <v>2</v>
      </c>
      <c r="EC548">
        <v>2</v>
      </c>
      <c r="ED548">
        <v>5</v>
      </c>
      <c r="EE548">
        <f>IFERROR(AVERAGE(Tabel1[[#This Row],[Do - R1]:[Do - R5]]),"")</f>
        <v>2.8</v>
      </c>
      <c r="EF548">
        <v>4</v>
      </c>
      <c r="EG548" t="s">
        <v>189</v>
      </c>
      <c r="EH548">
        <v>3</v>
      </c>
      <c r="EI548">
        <f>IFERROR(AVERAGE(Tabel1[[#This Row],[Do - C1a]:[Do - C1c]]),"")</f>
        <v>3.5</v>
      </c>
      <c r="EJ548">
        <v>2</v>
      </c>
      <c r="EK548" t="s">
        <v>189</v>
      </c>
      <c r="EL548">
        <v>4</v>
      </c>
      <c r="EM548">
        <f>IFERROR(AVERAGE(Tabel1[[#This Row],[Do - C1]:[Do - C4]]),"")</f>
        <v>3.1666666666666665</v>
      </c>
      <c r="EN548">
        <v>3</v>
      </c>
      <c r="EO548" t="s">
        <v>189</v>
      </c>
      <c r="EP548">
        <v>3</v>
      </c>
      <c r="EQ548">
        <f>IFERROR(AVERAGE(Tabel1[[#This Row],[Do - F1a]:[Do - F1c]]),"")</f>
        <v>3</v>
      </c>
      <c r="ER548">
        <v>2</v>
      </c>
      <c r="ES548">
        <f>IFERROR(AVERAGE(Tabel1[[#This Row],[Do - F2a]:[Do - F2a]]),"")</f>
        <v>2</v>
      </c>
      <c r="ET548">
        <v>2</v>
      </c>
      <c r="EU548">
        <v>3</v>
      </c>
      <c r="EV548">
        <f>IFERROR(AVERAGE(Tabel1[[#This Row],[Do - F3a]:[Do - F3b]]),"")</f>
        <v>2.5</v>
      </c>
      <c r="EW548" t="s">
        <v>189</v>
      </c>
      <c r="EX548">
        <f>IFERROR(AVERAGE(Tabel1[[#This Row],[Do - F1]],Tabel1[[#This Row],[Do - F2]],Tabel1[[#This Row],[Do - F3]],Tabel1[[#This Row],[Do - F4]]),"")</f>
        <v>2.5</v>
      </c>
      <c r="EY548">
        <v>3</v>
      </c>
      <c r="EZ548">
        <v>2</v>
      </c>
      <c r="FA548">
        <v>3</v>
      </c>
      <c r="FB548">
        <f>IFERROR(AVERAGE(Tabel1[[#This Row],[Do - V1a]:[Do - V1c]]),"")</f>
        <v>2.6666666666666665</v>
      </c>
      <c r="FC548">
        <v>2</v>
      </c>
      <c r="FD548" t="s">
        <v>189</v>
      </c>
      <c r="FE548">
        <f>IFERROR(AVERAGE(Tabel1[[#This Row],[Do - V2a]:[Do - V2b]]),"")</f>
        <v>2</v>
      </c>
      <c r="FF548" t="s">
        <v>189</v>
      </c>
      <c r="FG548" t="str">
        <f>IFERROR(AVERAGE(Tabel1[[#This Row],[Do - V3a]:[Do - V3a]]),"")</f>
        <v/>
      </c>
      <c r="FH548">
        <v>4</v>
      </c>
      <c r="FI548">
        <f>IFERROR(AVERAGE(Tabel1[[#This Row],[Do - V1]],Tabel1[[#This Row],[Do - V2]],Tabel1[[#This Row],[Do - V3]],Tabel1[[#This Row],[Do - V4]]),"")</f>
        <v>2.8888888888888888</v>
      </c>
      <c r="FJ548" t="s">
        <v>189</v>
      </c>
      <c r="FK548" t="s">
        <v>189</v>
      </c>
      <c r="FL548" t="s">
        <v>189</v>
      </c>
      <c r="FM548" t="str">
        <f>IFERROR(AVERAGE(Tabel1[[#This Row],[Do - A1a]:[Do - A1c]]),"")</f>
        <v/>
      </c>
      <c r="FN548" t="s">
        <v>189</v>
      </c>
      <c r="FO548" t="s">
        <v>189</v>
      </c>
      <c r="FP548" t="str">
        <f>IFERROR(AVERAGE(Tabel1[[#This Row],[Do - A2a]:[Do - A2b]]),"")</f>
        <v/>
      </c>
      <c r="FQ548" t="s">
        <v>189</v>
      </c>
      <c r="FR548" t="str">
        <f>IFERROR(AVERAGE(Tabel1[[#This Row],[Do - A3a]:[Do - A3a]]),"")</f>
        <v/>
      </c>
      <c r="FS548" t="s">
        <v>189</v>
      </c>
      <c r="FT548" t="str">
        <f>IFERROR(AVERAGE(Tabel1[[#This Row],[Do - A1]],Tabel1[[#This Row],[Do - A2]],Tabel1[[#This Row],[Do - A3]],Tabel1[[#This Row],[Do - A4]]),"")</f>
        <v/>
      </c>
      <c r="FU54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3.112731481481481</v>
      </c>
      <c r="FV548" s="31" t="s">
        <v>2639</v>
      </c>
      <c r="FW548" t="b">
        <v>1</v>
      </c>
    </row>
    <row r="549" spans="1:179" x14ac:dyDescent="0.3">
      <c r="A549" s="13">
        <v>45971.694340277798</v>
      </c>
      <c r="B549" t="b">
        <v>0</v>
      </c>
      <c r="C549" t="s">
        <v>2640</v>
      </c>
      <c r="D549" t="s">
        <v>864</v>
      </c>
      <c r="E549" t="s">
        <v>2622</v>
      </c>
      <c r="F549" s="14"/>
      <c r="G549" t="s">
        <v>2641</v>
      </c>
      <c r="H549" t="s">
        <v>194</v>
      </c>
      <c r="I549" t="s">
        <v>195</v>
      </c>
      <c r="J549" t="s">
        <v>196</v>
      </c>
      <c r="K549" t="s">
        <v>187</v>
      </c>
      <c r="L549" t="s">
        <v>249</v>
      </c>
      <c r="M549" t="s">
        <v>198</v>
      </c>
      <c r="N549" t="s">
        <v>199</v>
      </c>
      <c r="O549" t="s">
        <v>200</v>
      </c>
      <c r="P549" t="s">
        <v>187</v>
      </c>
      <c r="Q549" t="s">
        <v>235</v>
      </c>
      <c r="R549" t="s">
        <v>187</v>
      </c>
      <c r="S549" t="s">
        <v>235</v>
      </c>
      <c r="T549" t="s">
        <v>204</v>
      </c>
      <c r="U549" t="s">
        <v>205</v>
      </c>
      <c r="V549" t="s">
        <v>206</v>
      </c>
      <c r="W549" t="s">
        <v>207</v>
      </c>
      <c r="X549" t="s">
        <v>207</v>
      </c>
      <c r="Y549">
        <v>3</v>
      </c>
      <c r="Z549">
        <v>4</v>
      </c>
      <c r="AA549">
        <v>3</v>
      </c>
      <c r="AB549">
        <f>IFERROR(AVERAGE(Tabel1[[#This Row],[Up - R1a]:[Up - R1c]]),"")</f>
        <v>3.3333333333333335</v>
      </c>
      <c r="AC549">
        <v>3</v>
      </c>
      <c r="AD549">
        <v>5</v>
      </c>
      <c r="AE549">
        <v>2</v>
      </c>
      <c r="AF549">
        <v>2</v>
      </c>
      <c r="AG549">
        <f>IFERROR(AVERAGE(Tabel1[[#This Row],[Up - R1]:[Up - R5]]),"")</f>
        <v>3.0666666666666669</v>
      </c>
      <c r="AH549">
        <v>4</v>
      </c>
      <c r="AI549">
        <v>4</v>
      </c>
      <c r="AJ549">
        <v>3</v>
      </c>
      <c r="AK549">
        <f>IFERROR(AVERAGE(Tabel1[[#This Row],[Up - C1a]:[Up - C1c]]),"")</f>
        <v>3.6666666666666665</v>
      </c>
      <c r="AL549">
        <v>4</v>
      </c>
      <c r="AM549">
        <v>3</v>
      </c>
      <c r="AN549">
        <v>4</v>
      </c>
      <c r="AO549">
        <f>IFERROR(AVERAGE(Tabel1[[#This Row],[Up - C1]:[Up - C4]]),"")</f>
        <v>3.6666666666666665</v>
      </c>
      <c r="AP549">
        <v>3</v>
      </c>
      <c r="AQ549">
        <f>IFERROR(AVERAGE(Tabel1[[#This Row],[Up - F1a]:[Up - F1a]]),"")</f>
        <v>3</v>
      </c>
      <c r="AR549">
        <v>1</v>
      </c>
      <c r="AS549">
        <v>1</v>
      </c>
      <c r="AT549">
        <f>IFERROR(AVERAGE(Tabel1[[#This Row],[Up - F2a]:[Up - F2b]]),"")</f>
        <v>1</v>
      </c>
      <c r="AU549">
        <v>3</v>
      </c>
      <c r="AV549">
        <v>1</v>
      </c>
      <c r="AW549">
        <f>IFERROR(AVERAGE(Tabel1[[#This Row],[Up - F3a]:[Up - F3b]]),"")</f>
        <v>2</v>
      </c>
      <c r="AX549">
        <v>2</v>
      </c>
      <c r="AY549">
        <f>IFERROR(AVERAGE(Tabel1[[#This Row],[Up - F1]],Tabel1[[#This Row],[Up - F2]],Tabel1[[#This Row],[Up - F3]],Tabel1[[#This Row],[Up - F4]]),"")</f>
        <v>2</v>
      </c>
      <c r="AZ549">
        <v>4</v>
      </c>
      <c r="BA549">
        <v>3</v>
      </c>
      <c r="BB549">
        <f>IFERROR(AVERAGE(Tabel1[[#This Row],[Up - V1a]:[Up - V1b]]),"")</f>
        <v>3.5</v>
      </c>
      <c r="BC549">
        <v>4</v>
      </c>
      <c r="BD549">
        <v>3</v>
      </c>
      <c r="BE549">
        <v>3</v>
      </c>
      <c r="BF549">
        <f>IFERROR(AVERAGE(Tabel1[[#This Row],[Up - V2a]:[Up - V2c]]),"")</f>
        <v>3.3333333333333335</v>
      </c>
      <c r="BG549">
        <v>3</v>
      </c>
      <c r="BH549">
        <v>5</v>
      </c>
      <c r="BI549">
        <f>IFERROR(AVERAGE(Tabel1[[#This Row],[Up - V3a]:[Up - V3b]]),"")</f>
        <v>4</v>
      </c>
      <c r="BJ549" t="s">
        <v>189</v>
      </c>
      <c r="BK549">
        <f>IFERROR(AVERAGE(Tabel1[[#This Row],[Up - V1]],Tabel1[[#This Row],[Up - V2]],Tabel1[[#This Row],[Up - V3]],Tabel1[[#This Row],[Up - V4]]),"")</f>
        <v>3.6111111111111112</v>
      </c>
      <c r="BL549">
        <v>4</v>
      </c>
      <c r="BM549">
        <v>4</v>
      </c>
      <c r="BN549">
        <v>1</v>
      </c>
      <c r="BO549">
        <v>2</v>
      </c>
      <c r="BP549">
        <f>IFERROR(AVERAGE(Tabel1[[#This Row],[Up - A1a]:[Up - A1d]]),"")</f>
        <v>2.75</v>
      </c>
      <c r="BQ549">
        <v>2</v>
      </c>
      <c r="BR549">
        <v>4</v>
      </c>
      <c r="BS549">
        <f>IFERROR(AVERAGE(Tabel1[[#This Row],[Up - A2a]:[Up - A2b]]),"")</f>
        <v>3</v>
      </c>
      <c r="BT549">
        <v>3</v>
      </c>
      <c r="BU549">
        <f>IFERROR(AVERAGE(Tabel1[[#This Row],[Up - A3a]:[Up - A3a]]),"")</f>
        <v>3</v>
      </c>
      <c r="BV549">
        <v>2</v>
      </c>
      <c r="BW549">
        <f>IFERROR(AVERAGE(Tabel1[[#This Row],[Up - A1]],Tabel1[[#This Row],[Up - A2]],Tabel1[[#This Row],[Up - A3]]),"")</f>
        <v>2.9166666666666665</v>
      </c>
      <c r="BX549">
        <v>4</v>
      </c>
      <c r="BY549">
        <v>4</v>
      </c>
      <c r="BZ549">
        <f>IFERROR(AVERAGE(Tabel1[[#This Row],[In - R1a]:[In - R1b]]),"")</f>
        <v>4</v>
      </c>
      <c r="CA549">
        <v>3</v>
      </c>
      <c r="CB549">
        <v>4</v>
      </c>
      <c r="CC549">
        <v>2</v>
      </c>
      <c r="CD549">
        <v>2</v>
      </c>
      <c r="CE549">
        <f>IFERROR(AVERAGE(Tabel1[[#This Row],[In - R1]:[In - R5]]),"")</f>
        <v>3</v>
      </c>
      <c r="CF549">
        <v>4</v>
      </c>
      <c r="CG549">
        <v>4</v>
      </c>
      <c r="CH549">
        <v>5</v>
      </c>
      <c r="CI549">
        <f>IFERROR(AVERAGE(Tabel1[[#This Row],[In - C1a]:[In - C1c]]),"")</f>
        <v>4.333333333333333</v>
      </c>
      <c r="CJ549">
        <v>3</v>
      </c>
      <c r="CK549">
        <v>3</v>
      </c>
      <c r="CL549">
        <v>3</v>
      </c>
      <c r="CM549">
        <f>IFERROR(AVERAGE(Tabel1[[#This Row],[In - C1]:[In - C4]]),"")</f>
        <v>3.333333333333333</v>
      </c>
      <c r="CN549">
        <v>4</v>
      </c>
      <c r="CO549">
        <v>3</v>
      </c>
      <c r="CP549">
        <v>3</v>
      </c>
      <c r="CQ549">
        <f>IFERROR(AVERAGE(Tabel1[[#This Row],[In - F1a]:[In - F1c]]),"")</f>
        <v>3.3333333333333335</v>
      </c>
      <c r="CR549">
        <v>3</v>
      </c>
      <c r="CS549">
        <v>1</v>
      </c>
      <c r="CT549">
        <f>IFERROR(AVERAGE(Tabel1[[#This Row],[In - F2a]:[In - F2b]]),"")</f>
        <v>2</v>
      </c>
      <c r="CU549">
        <v>1</v>
      </c>
      <c r="CV549">
        <f>IFERROR(AVERAGE(Tabel1[[#This Row],[In - F3a]:[In - F3a]]),"")</f>
        <v>1</v>
      </c>
      <c r="CW549">
        <v>2</v>
      </c>
      <c r="CX549">
        <f>IFERROR(AVERAGE(Tabel1[[#This Row],[In - F1]],Tabel1[[#This Row],[In - F2]],Tabel1[[#This Row],[In - F3]],Tabel1[[#This Row],[In - F4]]),"")</f>
        <v>2.0833333333333335</v>
      </c>
      <c r="CY549">
        <v>3</v>
      </c>
      <c r="CZ549">
        <v>4</v>
      </c>
      <c r="DA549">
        <v>3</v>
      </c>
      <c r="DB549">
        <f>IFERROR(AVERAGE(Tabel1[[#This Row],[In - V1a]:[In - V1c]]),"")</f>
        <v>3.3333333333333335</v>
      </c>
      <c r="DC549">
        <v>3</v>
      </c>
      <c r="DD549">
        <v>3</v>
      </c>
      <c r="DE549">
        <v>4</v>
      </c>
      <c r="DF549">
        <f>IFERROR(AVERAGE(Tabel1[[#This Row],[In - V2a]:[In - V2c]]),"")</f>
        <v>3.3333333333333335</v>
      </c>
      <c r="DG549">
        <v>3</v>
      </c>
      <c r="DH549">
        <v>3</v>
      </c>
      <c r="DI549">
        <f>IFERROR(AVERAGE(Tabel1[[#This Row],[In - V3a]:[In - V3b]]),"")</f>
        <v>3</v>
      </c>
      <c r="DJ549" t="s">
        <v>189</v>
      </c>
      <c r="DK549">
        <f>IFERROR(AVERAGE(Tabel1[[#This Row],[In - V1]],Tabel1[[#This Row],[In - V2]],Tabel1[[#This Row],[In - V3]],Tabel1[[#This Row],[In - V4]]),"")</f>
        <v>3.2222222222222228</v>
      </c>
      <c r="DL549">
        <v>2</v>
      </c>
      <c r="DM549">
        <v>3</v>
      </c>
      <c r="DN549">
        <f>IFERROR(AVERAGE(Tabel1[[#This Row],[In - A1a]:[In - A1b]]),"")</f>
        <v>2.5</v>
      </c>
      <c r="DO549">
        <v>4</v>
      </c>
      <c r="DP549">
        <v>3</v>
      </c>
      <c r="DQ549">
        <f>IFERROR(AVERAGE(Tabel1[[#This Row],[In - A2a]:[In - A2b]]),"")</f>
        <v>3.5</v>
      </c>
      <c r="DR549">
        <v>3</v>
      </c>
      <c r="DS549">
        <v>2</v>
      </c>
      <c r="DT549">
        <f>IFERROR(AVERAGE(Tabel1[[#This Row],[In - A3a]:[In - A3a]]),"")</f>
        <v>3</v>
      </c>
      <c r="DU549" t="s">
        <v>189</v>
      </c>
      <c r="DV549">
        <f>IFERROR(AVERAGE(Tabel1[[#This Row],[In - A1]],Tabel1[[#This Row],[In - A2]],Tabel1[[#This Row],[In - A3]],Tabel1[[#This Row],[In - A4]]),"")</f>
        <v>3</v>
      </c>
      <c r="DW549">
        <v>3</v>
      </c>
      <c r="DX549">
        <v>4</v>
      </c>
      <c r="DY549">
        <v>2</v>
      </c>
      <c r="DZ549">
        <f>IFERROR(AVERAGE(Tabel1[[#This Row],[Do - R1a]:[Do - R1c]]),"")</f>
        <v>3</v>
      </c>
      <c r="EA549">
        <v>2</v>
      </c>
      <c r="EB549">
        <v>3</v>
      </c>
      <c r="EC549">
        <v>4</v>
      </c>
      <c r="ED549">
        <v>3</v>
      </c>
      <c r="EE549">
        <f>IFERROR(AVERAGE(Tabel1[[#This Row],[Do - R1]:[Do - R5]]),"")</f>
        <v>3</v>
      </c>
      <c r="EF549">
        <v>4</v>
      </c>
      <c r="EG549">
        <v>4</v>
      </c>
      <c r="EH549">
        <v>3</v>
      </c>
      <c r="EI549">
        <f>IFERROR(AVERAGE(Tabel1[[#This Row],[Do - C1a]:[Do - C1c]]),"")</f>
        <v>3.6666666666666665</v>
      </c>
      <c r="EJ549">
        <v>4</v>
      </c>
      <c r="EK549">
        <v>3</v>
      </c>
      <c r="EL549">
        <v>2</v>
      </c>
      <c r="EM549">
        <f>IFERROR(AVERAGE(Tabel1[[#This Row],[Do - C1]:[Do - C4]]),"")</f>
        <v>3.1666666666666665</v>
      </c>
      <c r="EN549">
        <v>4</v>
      </c>
      <c r="EO549">
        <v>4</v>
      </c>
      <c r="EP549">
        <v>3</v>
      </c>
      <c r="EQ549">
        <f>IFERROR(AVERAGE(Tabel1[[#This Row],[Do - F1a]:[Do - F1c]]),"")</f>
        <v>3.6666666666666665</v>
      </c>
      <c r="ER549">
        <v>2</v>
      </c>
      <c r="ES549">
        <f>IFERROR(AVERAGE(Tabel1[[#This Row],[Do - F2a]:[Do - F2a]]),"")</f>
        <v>2</v>
      </c>
      <c r="ET549">
        <v>3</v>
      </c>
      <c r="EU549">
        <v>4</v>
      </c>
      <c r="EV549">
        <f>IFERROR(AVERAGE(Tabel1[[#This Row],[Do - F3a]:[Do - F3b]]),"")</f>
        <v>3.5</v>
      </c>
      <c r="EW549">
        <v>2</v>
      </c>
      <c r="EX549">
        <f>IFERROR(AVERAGE(Tabel1[[#This Row],[Do - F1]],Tabel1[[#This Row],[Do - F2]],Tabel1[[#This Row],[Do - F3]],Tabel1[[#This Row],[Do - F4]]),"")</f>
        <v>2.7916666666666665</v>
      </c>
      <c r="EY549">
        <v>1</v>
      </c>
      <c r="EZ549">
        <v>2</v>
      </c>
      <c r="FA549">
        <v>4</v>
      </c>
      <c r="FB549">
        <f>IFERROR(AVERAGE(Tabel1[[#This Row],[Do - V1a]:[Do - V1c]]),"")</f>
        <v>2.3333333333333335</v>
      </c>
      <c r="FC549">
        <v>4</v>
      </c>
      <c r="FD549">
        <v>4</v>
      </c>
      <c r="FE549">
        <f>IFERROR(AVERAGE(Tabel1[[#This Row],[Do - V2a]:[Do - V2b]]),"")</f>
        <v>4</v>
      </c>
      <c r="FF549">
        <v>3</v>
      </c>
      <c r="FG549">
        <f>IFERROR(AVERAGE(Tabel1[[#This Row],[Do - V3a]:[Do - V3a]]),"")</f>
        <v>3</v>
      </c>
      <c r="FH549" t="s">
        <v>189</v>
      </c>
      <c r="FI549">
        <f>IFERROR(AVERAGE(Tabel1[[#This Row],[Do - V1]],Tabel1[[#This Row],[Do - V2]],Tabel1[[#This Row],[Do - V3]],Tabel1[[#This Row],[Do - V4]]),"")</f>
        <v>3.1111111111111112</v>
      </c>
      <c r="FJ549">
        <v>4</v>
      </c>
      <c r="FK549">
        <v>1</v>
      </c>
      <c r="FL549">
        <v>2</v>
      </c>
      <c r="FM549">
        <f>IFERROR(AVERAGE(Tabel1[[#This Row],[Do - A1a]:[Do - A1c]]),"")</f>
        <v>2.3333333333333335</v>
      </c>
      <c r="FN549">
        <v>4</v>
      </c>
      <c r="FO549">
        <v>4</v>
      </c>
      <c r="FP549">
        <f>IFERROR(AVERAGE(Tabel1[[#This Row],[Do - A2a]:[Do - A2b]]),"")</f>
        <v>4</v>
      </c>
      <c r="FQ549">
        <v>3</v>
      </c>
      <c r="FR549">
        <f>IFERROR(AVERAGE(Tabel1[[#This Row],[Do - A3a]:[Do - A3a]]),"")</f>
        <v>3</v>
      </c>
      <c r="FS549" t="s">
        <v>189</v>
      </c>
      <c r="FT549">
        <f>IFERROR(AVERAGE(Tabel1[[#This Row],[Do - A1]],Tabel1[[#This Row],[Do - A2]],Tabel1[[#This Row],[Do - A3]],Tabel1[[#This Row],[Do - A4]]),"")</f>
        <v>3.1111111111111112</v>
      </c>
      <c r="FU54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3.0053703703703705</v>
      </c>
      <c r="FV549" s="31" t="s">
        <v>2642</v>
      </c>
      <c r="FW549" t="b">
        <v>1</v>
      </c>
    </row>
    <row r="550" spans="1:179" x14ac:dyDescent="0.3">
      <c r="A550" s="13">
        <v>45972.479293981502</v>
      </c>
      <c r="B550" t="b">
        <v>0</v>
      </c>
      <c r="C550" t="s">
        <v>2643</v>
      </c>
      <c r="D550" t="s">
        <v>2644</v>
      </c>
      <c r="E550" t="s">
        <v>2645</v>
      </c>
      <c r="F550" s="14"/>
      <c r="G550" t="s">
        <v>2646</v>
      </c>
      <c r="H550" t="s">
        <v>194</v>
      </c>
      <c r="I550" t="s">
        <v>385</v>
      </c>
      <c r="K550" t="s">
        <v>187</v>
      </c>
      <c r="L550" t="s">
        <v>249</v>
      </c>
      <c r="M550" t="s">
        <v>198</v>
      </c>
      <c r="N550" t="s">
        <v>262</v>
      </c>
      <c r="O550" t="s">
        <v>200</v>
      </c>
      <c r="P550" t="s">
        <v>701</v>
      </c>
      <c r="Q550" t="s">
        <v>202</v>
      </c>
      <c r="R550" t="s">
        <v>202</v>
      </c>
      <c r="S550" t="s">
        <v>235</v>
      </c>
      <c r="T550" t="s">
        <v>236</v>
      </c>
      <c r="U550" t="s">
        <v>237</v>
      </c>
      <c r="V550" t="s">
        <v>206</v>
      </c>
      <c r="W550" t="s">
        <v>207</v>
      </c>
      <c r="X550" t="s">
        <v>207</v>
      </c>
      <c r="Y550">
        <v>4</v>
      </c>
      <c r="Z550">
        <v>2</v>
      </c>
      <c r="AA550" t="s">
        <v>189</v>
      </c>
      <c r="AB550">
        <f>IFERROR(AVERAGE(Tabel1[[#This Row],[Up - R1a]:[Up - R1c]]),"")</f>
        <v>3</v>
      </c>
      <c r="AC550">
        <v>4</v>
      </c>
      <c r="AD550">
        <v>5</v>
      </c>
      <c r="AE550">
        <v>1</v>
      </c>
      <c r="AF550">
        <v>5</v>
      </c>
      <c r="AG550">
        <f>IFERROR(AVERAGE(Tabel1[[#This Row],[Up - R1]:[Up - R5]]),"")</f>
        <v>3.6</v>
      </c>
      <c r="AH550">
        <v>5</v>
      </c>
      <c r="AI550">
        <v>5</v>
      </c>
      <c r="AJ550">
        <v>4</v>
      </c>
      <c r="AK550">
        <f>IFERROR(AVERAGE(Tabel1[[#This Row],[Up - C1a]:[Up - C1c]]),"")</f>
        <v>4.666666666666667</v>
      </c>
      <c r="AL550">
        <v>5</v>
      </c>
      <c r="AM550">
        <v>5</v>
      </c>
      <c r="AN550">
        <v>4</v>
      </c>
      <c r="AO550">
        <f>IFERROR(AVERAGE(Tabel1[[#This Row],[Up - C1]:[Up - C4]]),"")</f>
        <v>4.666666666666667</v>
      </c>
      <c r="AP550" t="s">
        <v>189</v>
      </c>
      <c r="AQ550" t="str">
        <f>IFERROR(AVERAGE(Tabel1[[#This Row],[Up - F1a]:[Up - F1a]]),"")</f>
        <v/>
      </c>
      <c r="AR550">
        <v>4</v>
      </c>
      <c r="AS550">
        <v>5</v>
      </c>
      <c r="AT550">
        <f>IFERROR(AVERAGE(Tabel1[[#This Row],[Up - F2a]:[Up - F2b]]),"")</f>
        <v>4.5</v>
      </c>
      <c r="AU550">
        <v>4</v>
      </c>
      <c r="AV550" t="s">
        <v>189</v>
      </c>
      <c r="AW550">
        <f>IFERROR(AVERAGE(Tabel1[[#This Row],[Up - F3a]:[Up - F3b]]),"")</f>
        <v>4</v>
      </c>
      <c r="AX550">
        <v>4</v>
      </c>
      <c r="AY550">
        <f>IFERROR(AVERAGE(Tabel1[[#This Row],[Up - F1]],Tabel1[[#This Row],[Up - F2]],Tabel1[[#This Row],[Up - F3]],Tabel1[[#This Row],[Up - F4]]),"")</f>
        <v>4.166666666666667</v>
      </c>
      <c r="AZ550">
        <v>5</v>
      </c>
      <c r="BA550">
        <v>3</v>
      </c>
      <c r="BB550">
        <f>IFERROR(AVERAGE(Tabel1[[#This Row],[Up - V1a]:[Up - V1b]]),"")</f>
        <v>4</v>
      </c>
      <c r="BC550">
        <v>4</v>
      </c>
      <c r="BD550">
        <v>4</v>
      </c>
      <c r="BE550">
        <v>4</v>
      </c>
      <c r="BF550">
        <f>IFERROR(AVERAGE(Tabel1[[#This Row],[Up - V2a]:[Up - V2c]]),"")</f>
        <v>4</v>
      </c>
      <c r="BG550">
        <v>3</v>
      </c>
      <c r="BH550">
        <v>4</v>
      </c>
      <c r="BI550">
        <f>IFERROR(AVERAGE(Tabel1[[#This Row],[Up - V3a]:[Up - V3b]]),"")</f>
        <v>3.5</v>
      </c>
      <c r="BJ550">
        <v>3</v>
      </c>
      <c r="BK550">
        <f>IFERROR(AVERAGE(Tabel1[[#This Row],[Up - V1]],Tabel1[[#This Row],[Up - V2]],Tabel1[[#This Row],[Up - V3]],Tabel1[[#This Row],[Up - V4]]),"")</f>
        <v>3.625</v>
      </c>
      <c r="BL550">
        <v>4</v>
      </c>
      <c r="BM550">
        <v>5</v>
      </c>
      <c r="BN550">
        <v>3</v>
      </c>
      <c r="BO550">
        <v>2</v>
      </c>
      <c r="BP550">
        <f>IFERROR(AVERAGE(Tabel1[[#This Row],[Up - A1a]:[Up - A1d]]),"")</f>
        <v>3.5</v>
      </c>
      <c r="BQ550" t="s">
        <v>189</v>
      </c>
      <c r="BR550">
        <v>4</v>
      </c>
      <c r="BS550">
        <f>IFERROR(AVERAGE(Tabel1[[#This Row],[Up - A2a]:[Up - A2b]]),"")</f>
        <v>4</v>
      </c>
      <c r="BT550">
        <v>4</v>
      </c>
      <c r="BU550">
        <f>IFERROR(AVERAGE(Tabel1[[#This Row],[Up - A3a]:[Up - A3a]]),"")</f>
        <v>4</v>
      </c>
      <c r="BV550">
        <v>4</v>
      </c>
      <c r="BW550">
        <f>IFERROR(AVERAGE(Tabel1[[#This Row],[Up - A1]],Tabel1[[#This Row],[Up - A2]],Tabel1[[#This Row],[Up - A3]]),"")</f>
        <v>3.8333333333333335</v>
      </c>
      <c r="BX550">
        <v>5</v>
      </c>
      <c r="BY550">
        <v>5</v>
      </c>
      <c r="BZ550">
        <f>IFERROR(AVERAGE(Tabel1[[#This Row],[In - R1a]:[In - R1b]]),"")</f>
        <v>5</v>
      </c>
      <c r="CA550">
        <v>5</v>
      </c>
      <c r="CB550">
        <v>3</v>
      </c>
      <c r="CC550">
        <v>5</v>
      </c>
      <c r="CD550">
        <v>5</v>
      </c>
      <c r="CE550">
        <f>IFERROR(AVERAGE(Tabel1[[#This Row],[In - R1]:[In - R5]]),"")</f>
        <v>4.5999999999999996</v>
      </c>
      <c r="CF550">
        <v>5</v>
      </c>
      <c r="CG550">
        <v>5</v>
      </c>
      <c r="CH550">
        <v>5</v>
      </c>
      <c r="CI550">
        <f>IFERROR(AVERAGE(Tabel1[[#This Row],[In - C1a]:[In - C1c]]),"")</f>
        <v>5</v>
      </c>
      <c r="CJ550">
        <v>5</v>
      </c>
      <c r="CK550">
        <v>5</v>
      </c>
      <c r="CL550">
        <v>4</v>
      </c>
      <c r="CM550">
        <f>IFERROR(AVERAGE(Tabel1[[#This Row],[In - C1]:[In - C4]]),"")</f>
        <v>4.75</v>
      </c>
      <c r="CN550">
        <v>5</v>
      </c>
      <c r="CO550">
        <v>5</v>
      </c>
      <c r="CP550">
        <v>4</v>
      </c>
      <c r="CQ550">
        <f>IFERROR(AVERAGE(Tabel1[[#This Row],[In - F1a]:[In - F1c]]),"")</f>
        <v>4.666666666666667</v>
      </c>
      <c r="CR550">
        <v>4</v>
      </c>
      <c r="CS550">
        <v>1</v>
      </c>
      <c r="CT550">
        <f>IFERROR(AVERAGE(Tabel1[[#This Row],[In - F2a]:[In - F2b]]),"")</f>
        <v>2.5</v>
      </c>
      <c r="CU550">
        <v>5</v>
      </c>
      <c r="CV550">
        <f>IFERROR(AVERAGE(Tabel1[[#This Row],[In - F3a]:[In - F3a]]),"")</f>
        <v>5</v>
      </c>
      <c r="CW550">
        <v>5</v>
      </c>
      <c r="CX550">
        <f>IFERROR(AVERAGE(Tabel1[[#This Row],[In - F1]],Tabel1[[#This Row],[In - F2]],Tabel1[[#This Row],[In - F3]],Tabel1[[#This Row],[In - F4]]),"")</f>
        <v>4.291666666666667</v>
      </c>
      <c r="CY550">
        <v>5</v>
      </c>
      <c r="CZ550">
        <v>5</v>
      </c>
      <c r="DA550">
        <v>4</v>
      </c>
      <c r="DB550">
        <f>IFERROR(AVERAGE(Tabel1[[#This Row],[In - V1a]:[In - V1c]]),"")</f>
        <v>4.666666666666667</v>
      </c>
      <c r="DC550">
        <v>2</v>
      </c>
      <c r="DD550">
        <v>4</v>
      </c>
      <c r="DE550">
        <v>5</v>
      </c>
      <c r="DF550">
        <f>IFERROR(AVERAGE(Tabel1[[#This Row],[In - V2a]:[In - V2c]]),"")</f>
        <v>3.6666666666666665</v>
      </c>
      <c r="DG550">
        <v>4</v>
      </c>
      <c r="DH550">
        <v>5</v>
      </c>
      <c r="DI550">
        <f>IFERROR(AVERAGE(Tabel1[[#This Row],[In - V3a]:[In - V3b]]),"")</f>
        <v>4.5</v>
      </c>
      <c r="DJ550">
        <v>4</v>
      </c>
      <c r="DK550">
        <f>IFERROR(AVERAGE(Tabel1[[#This Row],[In - V1]],Tabel1[[#This Row],[In - V2]],Tabel1[[#This Row],[In - V3]],Tabel1[[#This Row],[In - V4]]),"")</f>
        <v>4.2083333333333339</v>
      </c>
      <c r="DL550">
        <v>4</v>
      </c>
      <c r="DM550">
        <v>4</v>
      </c>
      <c r="DN550">
        <f>IFERROR(AVERAGE(Tabel1[[#This Row],[In - A1a]:[In - A1b]]),"")</f>
        <v>4</v>
      </c>
      <c r="DO550">
        <v>4</v>
      </c>
      <c r="DP550">
        <v>4</v>
      </c>
      <c r="DQ550">
        <f>IFERROR(AVERAGE(Tabel1[[#This Row],[In - A2a]:[In - A2b]]),"")</f>
        <v>4</v>
      </c>
      <c r="DR550">
        <v>4</v>
      </c>
      <c r="DS550">
        <v>4</v>
      </c>
      <c r="DT550">
        <f>IFERROR(AVERAGE(Tabel1[[#This Row],[In - A3a]:[In - A3a]]),"")</f>
        <v>4</v>
      </c>
      <c r="DU550">
        <v>4</v>
      </c>
      <c r="DV550">
        <f>IFERROR(AVERAGE(Tabel1[[#This Row],[In - A1]],Tabel1[[#This Row],[In - A2]],Tabel1[[#This Row],[In - A3]],Tabel1[[#This Row],[In - A4]]),"")</f>
        <v>4</v>
      </c>
      <c r="DW550">
        <v>3</v>
      </c>
      <c r="DX550">
        <v>4</v>
      </c>
      <c r="DY550" t="s">
        <v>189</v>
      </c>
      <c r="DZ550">
        <f>IFERROR(AVERAGE(Tabel1[[#This Row],[Do - R1a]:[Do - R1c]]),"")</f>
        <v>3.5</v>
      </c>
      <c r="EA550">
        <v>5</v>
      </c>
      <c r="EB550">
        <v>5</v>
      </c>
      <c r="EC550">
        <v>4</v>
      </c>
      <c r="ED550">
        <v>3</v>
      </c>
      <c r="EE550">
        <f>IFERROR(AVERAGE(Tabel1[[#This Row],[Do - R1]:[Do - R5]]),"")</f>
        <v>4.0999999999999996</v>
      </c>
      <c r="EF550">
        <v>5</v>
      </c>
      <c r="EG550">
        <v>4</v>
      </c>
      <c r="EH550">
        <v>4</v>
      </c>
      <c r="EI550">
        <f>IFERROR(AVERAGE(Tabel1[[#This Row],[Do - C1a]:[Do - C1c]]),"")</f>
        <v>4.333333333333333</v>
      </c>
      <c r="EJ550">
        <v>5</v>
      </c>
      <c r="EK550">
        <v>4</v>
      </c>
      <c r="EL550">
        <v>5</v>
      </c>
      <c r="EM550">
        <f>IFERROR(AVERAGE(Tabel1[[#This Row],[Do - C1]:[Do - C4]]),"")</f>
        <v>4.583333333333333</v>
      </c>
      <c r="EN550">
        <v>4</v>
      </c>
      <c r="EO550">
        <v>4</v>
      </c>
      <c r="EP550">
        <v>4</v>
      </c>
      <c r="EQ550">
        <f>IFERROR(AVERAGE(Tabel1[[#This Row],[Do - F1a]:[Do - F1c]]),"")</f>
        <v>4</v>
      </c>
      <c r="ER550">
        <v>2</v>
      </c>
      <c r="ES550">
        <f>IFERROR(AVERAGE(Tabel1[[#This Row],[Do - F2a]:[Do - F2a]]),"")</f>
        <v>2</v>
      </c>
      <c r="ET550">
        <v>4</v>
      </c>
      <c r="EU550">
        <v>4</v>
      </c>
      <c r="EV550">
        <f>IFERROR(AVERAGE(Tabel1[[#This Row],[Do - F3a]:[Do - F3b]]),"")</f>
        <v>4</v>
      </c>
      <c r="EW550">
        <v>2</v>
      </c>
      <c r="EX550">
        <f>IFERROR(AVERAGE(Tabel1[[#This Row],[Do - F1]],Tabel1[[#This Row],[Do - F2]],Tabel1[[#This Row],[Do - F3]],Tabel1[[#This Row],[Do - F4]]),"")</f>
        <v>3</v>
      </c>
      <c r="EY550">
        <v>2</v>
      </c>
      <c r="EZ550">
        <v>1</v>
      </c>
      <c r="FA550" t="s">
        <v>189</v>
      </c>
      <c r="FB550">
        <f>IFERROR(AVERAGE(Tabel1[[#This Row],[Do - V1a]:[Do - V1c]]),"")</f>
        <v>1.5</v>
      </c>
      <c r="FC550">
        <v>4</v>
      </c>
      <c r="FD550">
        <v>4</v>
      </c>
      <c r="FE550">
        <f>IFERROR(AVERAGE(Tabel1[[#This Row],[Do - V2a]:[Do - V2b]]),"")</f>
        <v>4</v>
      </c>
      <c r="FF550">
        <v>4</v>
      </c>
      <c r="FG550">
        <f>IFERROR(AVERAGE(Tabel1[[#This Row],[Do - V3a]:[Do - V3a]]),"")</f>
        <v>4</v>
      </c>
      <c r="FH550">
        <v>3</v>
      </c>
      <c r="FI550">
        <f>IFERROR(AVERAGE(Tabel1[[#This Row],[Do - V1]],Tabel1[[#This Row],[Do - V2]],Tabel1[[#This Row],[Do - V3]],Tabel1[[#This Row],[Do - V4]]),"")</f>
        <v>3.125</v>
      </c>
      <c r="FJ550">
        <v>4</v>
      </c>
      <c r="FK550">
        <v>4</v>
      </c>
      <c r="FL550">
        <v>5</v>
      </c>
      <c r="FM550">
        <f>IFERROR(AVERAGE(Tabel1[[#This Row],[Do - A1a]:[Do - A1c]]),"")</f>
        <v>4.333333333333333</v>
      </c>
      <c r="FN550">
        <v>3</v>
      </c>
      <c r="FO550">
        <v>5</v>
      </c>
      <c r="FP550">
        <f>IFERROR(AVERAGE(Tabel1[[#This Row],[Do - A2a]:[Do - A2b]]),"")</f>
        <v>4</v>
      </c>
      <c r="FQ550">
        <v>4</v>
      </c>
      <c r="FR550">
        <f>IFERROR(AVERAGE(Tabel1[[#This Row],[Do - A3a]:[Do - A3a]]),"")</f>
        <v>4</v>
      </c>
      <c r="FS550">
        <v>4</v>
      </c>
      <c r="FT550">
        <f>IFERROR(AVERAGE(Tabel1[[#This Row],[Do - A1]],Tabel1[[#This Row],[Do - A2]],Tabel1[[#This Row],[Do - A3]],Tabel1[[#This Row],[Do - A4]]),"")</f>
        <v>4.083333333333333</v>
      </c>
      <c r="FU55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4.0422222222222226</v>
      </c>
      <c r="FV550" s="31" t="s">
        <v>2647</v>
      </c>
      <c r="FW550" t="b">
        <v>1</v>
      </c>
    </row>
    <row r="551" spans="1:179" x14ac:dyDescent="0.3">
      <c r="A551" s="13">
        <v>45982.612812500003</v>
      </c>
      <c r="B551" t="b">
        <v>0</v>
      </c>
      <c r="C551" t="s">
        <v>2648</v>
      </c>
      <c r="D551" t="s">
        <v>1913</v>
      </c>
      <c r="E551" t="s">
        <v>2615</v>
      </c>
      <c r="F551" s="14"/>
      <c r="G551" t="s">
        <v>2649</v>
      </c>
      <c r="H551" t="s">
        <v>194</v>
      </c>
      <c r="I551" t="s">
        <v>195</v>
      </c>
      <c r="J551" t="s">
        <v>261</v>
      </c>
      <c r="K551" t="s">
        <v>235</v>
      </c>
      <c r="L551" t="s">
        <v>249</v>
      </c>
      <c r="M551" t="s">
        <v>233</v>
      </c>
      <c r="N551" t="s">
        <v>199</v>
      </c>
      <c r="O551" t="s">
        <v>200</v>
      </c>
      <c r="P551" t="s">
        <v>201</v>
      </c>
      <c r="Q551" t="s">
        <v>201</v>
      </c>
      <c r="R551" t="s">
        <v>235</v>
      </c>
      <c r="S551" t="s">
        <v>202</v>
      </c>
      <c r="T551" t="s">
        <v>204</v>
      </c>
      <c r="U551" t="s">
        <v>285</v>
      </c>
      <c r="V551" t="s">
        <v>359</v>
      </c>
      <c r="W551" t="s">
        <v>207</v>
      </c>
      <c r="X551" t="s">
        <v>395</v>
      </c>
      <c r="Y551">
        <v>3</v>
      </c>
      <c r="Z551">
        <v>3</v>
      </c>
      <c r="AB551">
        <f>IFERROR(AVERAGE(Tabel1[[#This Row],[Up - R1a]:[Up - R1c]]),"")</f>
        <v>3</v>
      </c>
      <c r="AC551">
        <v>2</v>
      </c>
      <c r="AD551">
        <v>3</v>
      </c>
      <c r="AE551">
        <v>2</v>
      </c>
      <c r="AG551">
        <f>IFERROR(AVERAGE(Tabel1[[#This Row],[Up - R1]:[Up - R5]]),"")</f>
        <v>2.5</v>
      </c>
      <c r="AH551">
        <v>4</v>
      </c>
      <c r="AI551">
        <v>1</v>
      </c>
      <c r="AJ551">
        <v>2</v>
      </c>
      <c r="AK551">
        <f>IFERROR(AVERAGE(Tabel1[[#This Row],[Up - C1a]:[Up - C1c]]),"")</f>
        <v>2.3333333333333335</v>
      </c>
      <c r="AL551">
        <v>3</v>
      </c>
      <c r="AM551">
        <v>2</v>
      </c>
      <c r="AN551">
        <v>3</v>
      </c>
      <c r="AO551">
        <f>IFERROR(AVERAGE(Tabel1[[#This Row],[Up - C1]:[Up - C4]]),"")</f>
        <v>2.5833333333333335</v>
      </c>
      <c r="AP551">
        <v>3</v>
      </c>
      <c r="AQ551">
        <f>IFERROR(AVERAGE(Tabel1[[#This Row],[Up - F1a]:[Up - F1a]]),"")</f>
        <v>3</v>
      </c>
      <c r="AR551">
        <v>1</v>
      </c>
      <c r="AS551">
        <v>2</v>
      </c>
      <c r="AT551">
        <f>IFERROR(AVERAGE(Tabel1[[#This Row],[Up - F2a]:[Up - F2b]]),"")</f>
        <v>1.5</v>
      </c>
      <c r="AU551">
        <v>3</v>
      </c>
      <c r="AV551">
        <v>2</v>
      </c>
      <c r="AW551">
        <f>IFERROR(AVERAGE(Tabel1[[#This Row],[Up - F3a]:[Up - F3b]]),"")</f>
        <v>2.5</v>
      </c>
      <c r="AX551">
        <v>3</v>
      </c>
      <c r="AY551">
        <f>IFERROR(AVERAGE(Tabel1[[#This Row],[Up - F1]],Tabel1[[#This Row],[Up - F2]],Tabel1[[#This Row],[Up - F3]],Tabel1[[#This Row],[Up - F4]]),"")</f>
        <v>2.5</v>
      </c>
      <c r="AZ551">
        <v>1</v>
      </c>
      <c r="BA551">
        <v>3</v>
      </c>
      <c r="BB551">
        <f>IFERROR(AVERAGE(Tabel1[[#This Row],[Up - V1a]:[Up - V1b]]),"")</f>
        <v>2</v>
      </c>
      <c r="BC551">
        <v>2</v>
      </c>
      <c r="BD551">
        <v>3</v>
      </c>
      <c r="BE551">
        <v>4</v>
      </c>
      <c r="BF551">
        <f>IFERROR(AVERAGE(Tabel1[[#This Row],[Up - V2a]:[Up - V2c]]),"")</f>
        <v>3</v>
      </c>
      <c r="BG551">
        <v>2</v>
      </c>
      <c r="BH551">
        <v>4</v>
      </c>
      <c r="BI551">
        <f>IFERROR(AVERAGE(Tabel1[[#This Row],[Up - V3a]:[Up - V3b]]),"")</f>
        <v>3</v>
      </c>
      <c r="BJ551" t="s">
        <v>189</v>
      </c>
      <c r="BK551">
        <f>IFERROR(AVERAGE(Tabel1[[#This Row],[Up - V1]],Tabel1[[#This Row],[Up - V2]],Tabel1[[#This Row],[Up - V3]],Tabel1[[#This Row],[Up - V4]]),"")</f>
        <v>2.6666666666666665</v>
      </c>
      <c r="BL551">
        <v>2</v>
      </c>
      <c r="BM551">
        <v>3</v>
      </c>
      <c r="BN551">
        <v>2</v>
      </c>
      <c r="BO551" t="s">
        <v>189</v>
      </c>
      <c r="BP551">
        <f>IFERROR(AVERAGE(Tabel1[[#This Row],[Up - A1a]:[Up - A1d]]),"")</f>
        <v>2.3333333333333335</v>
      </c>
      <c r="BQ551">
        <v>3</v>
      </c>
      <c r="BR551">
        <v>3</v>
      </c>
      <c r="BS551">
        <f>IFERROR(AVERAGE(Tabel1[[#This Row],[Up - A2a]:[Up - A2b]]),"")</f>
        <v>3</v>
      </c>
      <c r="BT551">
        <v>2</v>
      </c>
      <c r="BU551">
        <f>IFERROR(AVERAGE(Tabel1[[#This Row],[Up - A3a]:[Up - A3a]]),"")</f>
        <v>2</v>
      </c>
      <c r="BV551">
        <v>2</v>
      </c>
      <c r="BW551">
        <f>IFERROR(AVERAGE(Tabel1[[#This Row],[Up - A1]],Tabel1[[#This Row],[Up - A2]],Tabel1[[#This Row],[Up - A3]]),"")</f>
        <v>2.4444444444444446</v>
      </c>
      <c r="BX551">
        <v>4</v>
      </c>
      <c r="BY551">
        <v>3</v>
      </c>
      <c r="BZ551">
        <f>IFERROR(AVERAGE(Tabel1[[#This Row],[In - R1a]:[In - R1b]]),"")</f>
        <v>3.5</v>
      </c>
      <c r="CA551">
        <v>4</v>
      </c>
      <c r="CB551">
        <v>4</v>
      </c>
      <c r="CC551">
        <v>3</v>
      </c>
      <c r="CD551">
        <v>4</v>
      </c>
      <c r="CE551">
        <f>IFERROR(AVERAGE(Tabel1[[#This Row],[In - R1]:[In - R5]]),"")</f>
        <v>3.7</v>
      </c>
      <c r="CF551">
        <v>4</v>
      </c>
      <c r="CG551">
        <v>1</v>
      </c>
      <c r="CH551">
        <v>1</v>
      </c>
      <c r="CI551">
        <f>IFERROR(AVERAGE(Tabel1[[#This Row],[In - C1a]:[In - C1c]]),"")</f>
        <v>2</v>
      </c>
      <c r="CJ551">
        <v>2</v>
      </c>
      <c r="CK551">
        <v>1</v>
      </c>
      <c r="CL551">
        <v>3</v>
      </c>
      <c r="CM551">
        <f>IFERROR(AVERAGE(Tabel1[[#This Row],[In - C1]:[In - C4]]),"")</f>
        <v>2</v>
      </c>
      <c r="CN551">
        <v>3</v>
      </c>
      <c r="CO551">
        <v>3</v>
      </c>
      <c r="CP551">
        <v>3</v>
      </c>
      <c r="CQ551">
        <f>IFERROR(AVERAGE(Tabel1[[#This Row],[In - F1a]:[In - F1c]]),"")</f>
        <v>3</v>
      </c>
      <c r="CR551">
        <v>3</v>
      </c>
      <c r="CS551">
        <v>2</v>
      </c>
      <c r="CT551">
        <f>IFERROR(AVERAGE(Tabel1[[#This Row],[In - F2a]:[In - F2b]]),"")</f>
        <v>2.5</v>
      </c>
      <c r="CU551">
        <v>2</v>
      </c>
      <c r="CV551">
        <f>IFERROR(AVERAGE(Tabel1[[#This Row],[In - F3a]:[In - F3a]]),"")</f>
        <v>2</v>
      </c>
      <c r="CW551" t="s">
        <v>189</v>
      </c>
      <c r="CX551">
        <f>IFERROR(AVERAGE(Tabel1[[#This Row],[In - F1]],Tabel1[[#This Row],[In - F2]],Tabel1[[#This Row],[In - F3]],Tabel1[[#This Row],[In - F4]]),"")</f>
        <v>2.5</v>
      </c>
      <c r="CY551">
        <v>2</v>
      </c>
      <c r="CZ551">
        <v>2</v>
      </c>
      <c r="DA551">
        <v>1</v>
      </c>
      <c r="DB551">
        <f>IFERROR(AVERAGE(Tabel1[[#This Row],[In - V1a]:[In - V1c]]),"")</f>
        <v>1.6666666666666667</v>
      </c>
      <c r="DC551">
        <v>1</v>
      </c>
      <c r="DD551">
        <v>2</v>
      </c>
      <c r="DE551">
        <v>2</v>
      </c>
      <c r="DF551">
        <f>IFERROR(AVERAGE(Tabel1[[#This Row],[In - V2a]:[In - V2c]]),"")</f>
        <v>1.6666666666666667</v>
      </c>
      <c r="DG551">
        <v>2</v>
      </c>
      <c r="DH551">
        <v>3</v>
      </c>
      <c r="DI551">
        <f>IFERROR(AVERAGE(Tabel1[[#This Row],[In - V3a]:[In - V3b]]),"")</f>
        <v>2.5</v>
      </c>
      <c r="DJ551">
        <v>3</v>
      </c>
      <c r="DK551">
        <f>IFERROR(AVERAGE(Tabel1[[#This Row],[In - V1]],Tabel1[[#This Row],[In - V2]],Tabel1[[#This Row],[In - V3]],Tabel1[[#This Row],[In - V4]]),"")</f>
        <v>2.2083333333333335</v>
      </c>
      <c r="DL551">
        <v>2</v>
      </c>
      <c r="DM551">
        <v>2</v>
      </c>
      <c r="DN551">
        <f>IFERROR(AVERAGE(Tabel1[[#This Row],[In - A1a]:[In - A1b]]),"")</f>
        <v>2</v>
      </c>
      <c r="DO551">
        <v>2</v>
      </c>
      <c r="DP551">
        <v>2</v>
      </c>
      <c r="DQ551">
        <f>IFERROR(AVERAGE(Tabel1[[#This Row],[In - A2a]:[In - A2b]]),"")</f>
        <v>2</v>
      </c>
      <c r="DR551">
        <v>3</v>
      </c>
      <c r="DS551">
        <v>2</v>
      </c>
      <c r="DT551">
        <f>IFERROR(AVERAGE(Tabel1[[#This Row],[In - A3a]:[In - A3a]]),"")</f>
        <v>3</v>
      </c>
      <c r="DU551">
        <v>2</v>
      </c>
      <c r="DV551">
        <f>IFERROR(AVERAGE(Tabel1[[#This Row],[In - A1]],Tabel1[[#This Row],[In - A2]],Tabel1[[#This Row],[In - A3]],Tabel1[[#This Row],[In - A4]]),"")</f>
        <v>2.25</v>
      </c>
      <c r="DW551">
        <v>2</v>
      </c>
      <c r="DX551">
        <v>3</v>
      </c>
      <c r="DY551">
        <v>3</v>
      </c>
      <c r="DZ551">
        <f>IFERROR(AVERAGE(Tabel1[[#This Row],[Do - R1a]:[Do - R1c]]),"")</f>
        <v>2.6666666666666665</v>
      </c>
      <c r="EA551">
        <v>2</v>
      </c>
      <c r="EB551">
        <v>3</v>
      </c>
      <c r="EC551">
        <v>2</v>
      </c>
      <c r="EE551">
        <f>IFERROR(AVERAGE(Tabel1[[#This Row],[Do - R1]:[Do - R5]]),"")</f>
        <v>2.4166666666666665</v>
      </c>
      <c r="EF551">
        <v>4</v>
      </c>
      <c r="EH551">
        <v>2</v>
      </c>
      <c r="EI551">
        <f>IFERROR(AVERAGE(Tabel1[[#This Row],[Do - C1a]:[Do - C1c]]),"")</f>
        <v>3</v>
      </c>
      <c r="EJ551">
        <v>3</v>
      </c>
      <c r="EK551">
        <v>2</v>
      </c>
      <c r="EL551">
        <v>3</v>
      </c>
      <c r="EM551">
        <f>IFERROR(AVERAGE(Tabel1[[#This Row],[Do - C1]:[Do - C4]]),"")</f>
        <v>2.75</v>
      </c>
      <c r="EN551">
        <v>2</v>
      </c>
      <c r="EO551">
        <v>3</v>
      </c>
      <c r="EP551">
        <v>2</v>
      </c>
      <c r="EQ551">
        <f>IFERROR(AVERAGE(Tabel1[[#This Row],[Do - F1a]:[Do - F1c]]),"")</f>
        <v>2.3333333333333335</v>
      </c>
      <c r="ER551">
        <v>1</v>
      </c>
      <c r="ES551">
        <f>IFERROR(AVERAGE(Tabel1[[#This Row],[Do - F2a]:[Do - F2a]]),"")</f>
        <v>1</v>
      </c>
      <c r="ET551">
        <v>2</v>
      </c>
      <c r="EU551">
        <v>2</v>
      </c>
      <c r="EV551">
        <f>IFERROR(AVERAGE(Tabel1[[#This Row],[Do - F3a]:[Do - F3b]]),"")</f>
        <v>2</v>
      </c>
      <c r="EW551">
        <v>2</v>
      </c>
      <c r="EX551">
        <f>IFERROR(AVERAGE(Tabel1[[#This Row],[Do - F1]],Tabel1[[#This Row],[Do - F2]],Tabel1[[#This Row],[Do - F3]],Tabel1[[#This Row],[Do - F4]]),"")</f>
        <v>1.8333333333333335</v>
      </c>
      <c r="EY551">
        <v>2</v>
      </c>
      <c r="EZ551">
        <v>2</v>
      </c>
      <c r="FA551">
        <v>3</v>
      </c>
      <c r="FB551">
        <f>IFERROR(AVERAGE(Tabel1[[#This Row],[Do - V1a]:[Do - V1c]]),"")</f>
        <v>2.3333333333333335</v>
      </c>
      <c r="FC551">
        <v>2</v>
      </c>
      <c r="FD551">
        <v>3</v>
      </c>
      <c r="FE551">
        <f>IFERROR(AVERAGE(Tabel1[[#This Row],[Do - V2a]:[Do - V2b]]),"")</f>
        <v>2.5</v>
      </c>
      <c r="FF551">
        <v>2</v>
      </c>
      <c r="FG551">
        <f>IFERROR(AVERAGE(Tabel1[[#This Row],[Do - V3a]:[Do - V3a]]),"")</f>
        <v>2</v>
      </c>
      <c r="FH551" t="s">
        <v>189</v>
      </c>
      <c r="FI551">
        <f>IFERROR(AVERAGE(Tabel1[[#This Row],[Do - V1]],Tabel1[[#This Row],[Do - V2]],Tabel1[[#This Row],[Do - V3]],Tabel1[[#This Row],[Do - V4]]),"")</f>
        <v>2.2777777777777781</v>
      </c>
      <c r="FJ551">
        <v>4</v>
      </c>
      <c r="FK551">
        <v>2</v>
      </c>
      <c r="FL551" t="s">
        <v>189</v>
      </c>
      <c r="FM551">
        <f>IFERROR(AVERAGE(Tabel1[[#This Row],[Do - A1a]:[Do - A1c]]),"")</f>
        <v>3</v>
      </c>
      <c r="FN551">
        <v>3</v>
      </c>
      <c r="FO551">
        <v>3</v>
      </c>
      <c r="FP551">
        <f>IFERROR(AVERAGE(Tabel1[[#This Row],[Do - A2a]:[Do - A2b]]),"")</f>
        <v>3</v>
      </c>
      <c r="FQ551">
        <v>3</v>
      </c>
      <c r="FR551">
        <f>IFERROR(AVERAGE(Tabel1[[#This Row],[Do - A3a]:[Do - A3a]]),"")</f>
        <v>3</v>
      </c>
      <c r="FS551">
        <v>2</v>
      </c>
      <c r="FT551">
        <f>IFERROR(AVERAGE(Tabel1[[#This Row],[Do - A1]],Tabel1[[#This Row],[Do - A2]],Tabel1[[#This Row],[Do - A3]],Tabel1[[#This Row],[Do - A4]]),"")</f>
        <v>2.75</v>
      </c>
      <c r="FU55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2.4920370370370373</v>
      </c>
      <c r="FV551" s="31" t="s">
        <v>2650</v>
      </c>
      <c r="FW551" t="b">
        <v>1</v>
      </c>
    </row>
    <row r="552" spans="1:179" x14ac:dyDescent="0.3">
      <c r="A552" s="13">
        <v>45985.327303240701</v>
      </c>
      <c r="B552" t="b">
        <v>0</v>
      </c>
      <c r="C552" t="s">
        <v>2651</v>
      </c>
      <c r="D552" t="s">
        <v>2652</v>
      </c>
      <c r="E552" t="s">
        <v>2615</v>
      </c>
      <c r="F552" s="14"/>
      <c r="G552" t="s">
        <v>2653</v>
      </c>
      <c r="H552" t="s">
        <v>222</v>
      </c>
      <c r="I552" t="s">
        <v>195</v>
      </c>
      <c r="J552" t="s">
        <v>261</v>
      </c>
      <c r="K552" t="s">
        <v>235</v>
      </c>
      <c r="L552" t="s">
        <v>197</v>
      </c>
      <c r="M552" t="s">
        <v>233</v>
      </c>
      <c r="N552" t="s">
        <v>199</v>
      </c>
      <c r="O552" t="s">
        <v>200</v>
      </c>
      <c r="P552" t="s">
        <v>255</v>
      </c>
      <c r="Q552" t="s">
        <v>201</v>
      </c>
      <c r="R552" t="s">
        <v>201</v>
      </c>
      <c r="S552" t="s">
        <v>235</v>
      </c>
      <c r="T552" t="s">
        <v>204</v>
      </c>
      <c r="U552" t="s">
        <v>285</v>
      </c>
      <c r="V552" t="s">
        <v>359</v>
      </c>
      <c r="W552" t="s">
        <v>207</v>
      </c>
      <c r="X552" t="s">
        <v>207</v>
      </c>
      <c r="Y552">
        <v>1</v>
      </c>
      <c r="Z552">
        <v>3</v>
      </c>
      <c r="AA552">
        <v>2</v>
      </c>
      <c r="AB552">
        <f>IFERROR(AVERAGE(Tabel1[[#This Row],[Up - R1a]:[Up - R1c]]),"")</f>
        <v>2</v>
      </c>
      <c r="AC552">
        <v>3</v>
      </c>
      <c r="AD552">
        <v>2</v>
      </c>
      <c r="AE552">
        <v>3</v>
      </c>
      <c r="AF552">
        <v>4</v>
      </c>
      <c r="AG552">
        <f>IFERROR(AVERAGE(Tabel1[[#This Row],[Up - R1]:[Up - R5]]),"")</f>
        <v>2.8</v>
      </c>
      <c r="AH552">
        <v>4</v>
      </c>
      <c r="AI552">
        <v>4</v>
      </c>
      <c r="AJ552">
        <v>3</v>
      </c>
      <c r="AK552">
        <f>IFERROR(AVERAGE(Tabel1[[#This Row],[Up - C1a]:[Up - C1c]]),"")</f>
        <v>3.6666666666666665</v>
      </c>
      <c r="AL552">
        <v>3</v>
      </c>
      <c r="AM552">
        <v>3</v>
      </c>
      <c r="AN552">
        <v>2</v>
      </c>
      <c r="AO552">
        <f>IFERROR(AVERAGE(Tabel1[[#This Row],[Up - C1]:[Up - C4]]),"")</f>
        <v>2.9166666666666665</v>
      </c>
      <c r="AP552">
        <v>1</v>
      </c>
      <c r="AQ552">
        <f>IFERROR(AVERAGE(Tabel1[[#This Row],[Up - F1a]:[Up - F1a]]),"")</f>
        <v>1</v>
      </c>
      <c r="AR552">
        <v>1</v>
      </c>
      <c r="AS552">
        <v>1</v>
      </c>
      <c r="AT552">
        <f>IFERROR(AVERAGE(Tabel1[[#This Row],[Up - F2a]:[Up - F2b]]),"")</f>
        <v>1</v>
      </c>
      <c r="AU552">
        <v>1</v>
      </c>
      <c r="AV552">
        <v>1</v>
      </c>
      <c r="AW552">
        <f>IFERROR(AVERAGE(Tabel1[[#This Row],[Up - F3a]:[Up - F3b]]),"")</f>
        <v>1</v>
      </c>
      <c r="AX552">
        <v>1</v>
      </c>
      <c r="AY552">
        <f>IFERROR(AVERAGE(Tabel1[[#This Row],[Up - F1]],Tabel1[[#This Row],[Up - F2]],Tabel1[[#This Row],[Up - F3]],Tabel1[[#This Row],[Up - F4]]),"")</f>
        <v>1</v>
      </c>
      <c r="AZ552">
        <v>1</v>
      </c>
      <c r="BA552">
        <v>2</v>
      </c>
      <c r="BB552">
        <f>IFERROR(AVERAGE(Tabel1[[#This Row],[Up - V1a]:[Up - V1b]]),"")</f>
        <v>1.5</v>
      </c>
      <c r="BC552">
        <v>2</v>
      </c>
      <c r="BD552">
        <v>1</v>
      </c>
      <c r="BE552">
        <v>2</v>
      </c>
      <c r="BF552">
        <f>IFERROR(AVERAGE(Tabel1[[#This Row],[Up - V2a]:[Up - V2c]]),"")</f>
        <v>1.6666666666666667</v>
      </c>
      <c r="BG552">
        <v>2</v>
      </c>
      <c r="BH552">
        <v>4</v>
      </c>
      <c r="BI552">
        <f>IFERROR(AVERAGE(Tabel1[[#This Row],[Up - V3a]:[Up - V3b]]),"")</f>
        <v>3</v>
      </c>
      <c r="BJ552">
        <v>4</v>
      </c>
      <c r="BK552">
        <f>IFERROR(AVERAGE(Tabel1[[#This Row],[Up - V1]],Tabel1[[#This Row],[Up - V2]],Tabel1[[#This Row],[Up - V3]],Tabel1[[#This Row],[Up - V4]]),"")</f>
        <v>2.541666666666667</v>
      </c>
      <c r="BL552">
        <v>3</v>
      </c>
      <c r="BM552">
        <v>3</v>
      </c>
      <c r="BN552">
        <v>1</v>
      </c>
      <c r="BO552">
        <v>1</v>
      </c>
      <c r="BP552">
        <f>IFERROR(AVERAGE(Tabel1[[#This Row],[Up - A1a]:[Up - A1d]]),"")</f>
        <v>2</v>
      </c>
      <c r="BQ552">
        <v>3</v>
      </c>
      <c r="BR552">
        <v>3</v>
      </c>
      <c r="BS552">
        <f>IFERROR(AVERAGE(Tabel1[[#This Row],[Up - A2a]:[Up - A2b]]),"")</f>
        <v>3</v>
      </c>
      <c r="BT552">
        <v>3</v>
      </c>
      <c r="BU552">
        <f>IFERROR(AVERAGE(Tabel1[[#This Row],[Up - A3a]:[Up - A3a]]),"")</f>
        <v>3</v>
      </c>
      <c r="BV552">
        <v>3</v>
      </c>
      <c r="BW552">
        <f>IFERROR(AVERAGE(Tabel1[[#This Row],[Up - A1]],Tabel1[[#This Row],[Up - A2]],Tabel1[[#This Row],[Up - A3]]),"")</f>
        <v>2.6666666666666665</v>
      </c>
      <c r="BX552">
        <v>3</v>
      </c>
      <c r="BY552">
        <v>4</v>
      </c>
      <c r="BZ552">
        <f>IFERROR(AVERAGE(Tabel1[[#This Row],[In - R1a]:[In - R1b]]),"")</f>
        <v>3.5</v>
      </c>
      <c r="CA552">
        <v>3</v>
      </c>
      <c r="CB552">
        <v>3</v>
      </c>
      <c r="CC552">
        <v>1</v>
      </c>
      <c r="CD552">
        <v>5</v>
      </c>
      <c r="CE552">
        <f>IFERROR(AVERAGE(Tabel1[[#This Row],[In - R1]:[In - R5]]),"")</f>
        <v>3.1</v>
      </c>
      <c r="CF552">
        <v>5</v>
      </c>
      <c r="CG552">
        <v>3</v>
      </c>
      <c r="CH552">
        <v>4</v>
      </c>
      <c r="CI552">
        <f>IFERROR(AVERAGE(Tabel1[[#This Row],[In - C1a]:[In - C1c]]),"")</f>
        <v>4</v>
      </c>
      <c r="CJ552">
        <v>4</v>
      </c>
      <c r="CK552">
        <v>4</v>
      </c>
      <c r="CL552">
        <v>4</v>
      </c>
      <c r="CM552">
        <f>IFERROR(AVERAGE(Tabel1[[#This Row],[In - C1]:[In - C4]]),"")</f>
        <v>4</v>
      </c>
      <c r="CN552">
        <v>2</v>
      </c>
      <c r="CO552">
        <v>1</v>
      </c>
      <c r="CP552">
        <v>1</v>
      </c>
      <c r="CQ552">
        <f>IFERROR(AVERAGE(Tabel1[[#This Row],[In - F1a]:[In - F1c]]),"")</f>
        <v>1.3333333333333333</v>
      </c>
      <c r="CR552">
        <v>4</v>
      </c>
      <c r="CS552">
        <v>1</v>
      </c>
      <c r="CT552">
        <f>IFERROR(AVERAGE(Tabel1[[#This Row],[In - F2a]:[In - F2b]]),"")</f>
        <v>2.5</v>
      </c>
      <c r="CU552">
        <v>2</v>
      </c>
      <c r="CV552">
        <f>IFERROR(AVERAGE(Tabel1[[#This Row],[In - F3a]:[In - F3a]]),"")</f>
        <v>2</v>
      </c>
      <c r="CW552">
        <v>3</v>
      </c>
      <c r="CX552">
        <f>IFERROR(AVERAGE(Tabel1[[#This Row],[In - F1]],Tabel1[[#This Row],[In - F2]],Tabel1[[#This Row],[In - F3]],Tabel1[[#This Row],[In - F4]]),"")</f>
        <v>2.208333333333333</v>
      </c>
      <c r="CY552">
        <v>2</v>
      </c>
      <c r="CZ552">
        <v>2</v>
      </c>
      <c r="DA552">
        <v>2</v>
      </c>
      <c r="DB552">
        <f>IFERROR(AVERAGE(Tabel1[[#This Row],[In - V1a]:[In - V1c]]),"")</f>
        <v>2</v>
      </c>
      <c r="DC552">
        <v>2</v>
      </c>
      <c r="DD552">
        <v>2</v>
      </c>
      <c r="DE552">
        <v>2</v>
      </c>
      <c r="DF552">
        <f>IFERROR(AVERAGE(Tabel1[[#This Row],[In - V2a]:[In - V2c]]),"")</f>
        <v>2</v>
      </c>
      <c r="DG552">
        <v>2</v>
      </c>
      <c r="DH552">
        <v>4</v>
      </c>
      <c r="DI552">
        <f>IFERROR(AVERAGE(Tabel1[[#This Row],[In - V3a]:[In - V3b]]),"")</f>
        <v>3</v>
      </c>
      <c r="DJ552">
        <v>3</v>
      </c>
      <c r="DK552">
        <f>IFERROR(AVERAGE(Tabel1[[#This Row],[In - V1]],Tabel1[[#This Row],[In - V2]],Tabel1[[#This Row],[In - V3]],Tabel1[[#This Row],[In - V4]]),"")</f>
        <v>2.5</v>
      </c>
      <c r="DL552">
        <v>2</v>
      </c>
      <c r="DM552">
        <v>3</v>
      </c>
      <c r="DN552">
        <f>IFERROR(AVERAGE(Tabel1[[#This Row],[In - A1a]:[In - A1b]]),"")</f>
        <v>2.5</v>
      </c>
      <c r="DO552">
        <v>4</v>
      </c>
      <c r="DP552">
        <v>2</v>
      </c>
      <c r="DQ552">
        <f>IFERROR(AVERAGE(Tabel1[[#This Row],[In - A2a]:[In - A2b]]),"")</f>
        <v>3</v>
      </c>
      <c r="DR552">
        <v>4</v>
      </c>
      <c r="DS552">
        <v>3</v>
      </c>
      <c r="DT552">
        <f>IFERROR(AVERAGE(Tabel1[[#This Row],[In - A3a]:[In - A3a]]),"")</f>
        <v>4</v>
      </c>
      <c r="DU552">
        <v>3</v>
      </c>
      <c r="DV552">
        <f>IFERROR(AVERAGE(Tabel1[[#This Row],[In - A1]],Tabel1[[#This Row],[In - A2]],Tabel1[[#This Row],[In - A3]],Tabel1[[#This Row],[In - A4]]),"")</f>
        <v>3.125</v>
      </c>
      <c r="DW552">
        <v>1</v>
      </c>
      <c r="DX552">
        <v>5</v>
      </c>
      <c r="DY552">
        <v>1</v>
      </c>
      <c r="DZ552">
        <f>IFERROR(AVERAGE(Tabel1[[#This Row],[Do - R1a]:[Do - R1c]]),"")</f>
        <v>2.3333333333333335</v>
      </c>
      <c r="EA552">
        <v>1</v>
      </c>
      <c r="EB552">
        <v>2</v>
      </c>
      <c r="EC552">
        <v>3</v>
      </c>
      <c r="ED552">
        <v>3</v>
      </c>
      <c r="EE552">
        <f>IFERROR(AVERAGE(Tabel1[[#This Row],[Do - R1]:[Do - R5]]),"")</f>
        <v>2.2666666666666666</v>
      </c>
      <c r="EF552">
        <v>4</v>
      </c>
      <c r="EG552">
        <v>3</v>
      </c>
      <c r="EH552">
        <v>3</v>
      </c>
      <c r="EI552">
        <f>IFERROR(AVERAGE(Tabel1[[#This Row],[Do - C1a]:[Do - C1c]]),"")</f>
        <v>3.3333333333333335</v>
      </c>
      <c r="EJ552">
        <v>3</v>
      </c>
      <c r="EK552">
        <v>2</v>
      </c>
      <c r="EL552">
        <v>1</v>
      </c>
      <c r="EM552">
        <f>IFERROR(AVERAGE(Tabel1[[#This Row],[Do - C1]:[Do - C4]]),"")</f>
        <v>2.3333333333333335</v>
      </c>
      <c r="EN552">
        <v>1</v>
      </c>
      <c r="EO552">
        <v>1</v>
      </c>
      <c r="EP552">
        <v>3</v>
      </c>
      <c r="EQ552">
        <f>IFERROR(AVERAGE(Tabel1[[#This Row],[Do - F1a]:[Do - F1c]]),"")</f>
        <v>1.6666666666666667</v>
      </c>
      <c r="ER552">
        <v>1</v>
      </c>
      <c r="ES552">
        <f>IFERROR(AVERAGE(Tabel1[[#This Row],[Do - F2a]:[Do - F2a]]),"")</f>
        <v>1</v>
      </c>
      <c r="ET552">
        <v>1</v>
      </c>
      <c r="EU552">
        <v>1</v>
      </c>
      <c r="EV552">
        <f>IFERROR(AVERAGE(Tabel1[[#This Row],[Do - F3a]:[Do - F3b]]),"")</f>
        <v>1</v>
      </c>
      <c r="EW552">
        <v>1</v>
      </c>
      <c r="EX552">
        <f>IFERROR(AVERAGE(Tabel1[[#This Row],[Do - F1]],Tabel1[[#This Row],[Do - F2]],Tabel1[[#This Row],[Do - F3]],Tabel1[[#This Row],[Do - F4]]),"")</f>
        <v>1.1666666666666667</v>
      </c>
      <c r="EY552">
        <v>3</v>
      </c>
      <c r="EZ552">
        <v>1</v>
      </c>
      <c r="FA552">
        <v>2</v>
      </c>
      <c r="FB552">
        <f>IFERROR(AVERAGE(Tabel1[[#This Row],[Do - V1a]:[Do - V1c]]),"")</f>
        <v>2</v>
      </c>
      <c r="FC552">
        <v>4</v>
      </c>
      <c r="FD552">
        <v>1</v>
      </c>
      <c r="FE552">
        <f>IFERROR(AVERAGE(Tabel1[[#This Row],[Do - V2a]:[Do - V2b]]),"")</f>
        <v>2.5</v>
      </c>
      <c r="FF552">
        <v>2</v>
      </c>
      <c r="FG552">
        <f>IFERROR(AVERAGE(Tabel1[[#This Row],[Do - V3a]:[Do - V3a]]),"")</f>
        <v>2</v>
      </c>
      <c r="FH552">
        <v>3</v>
      </c>
      <c r="FI552">
        <f>IFERROR(AVERAGE(Tabel1[[#This Row],[Do - V1]],Tabel1[[#This Row],[Do - V2]],Tabel1[[#This Row],[Do - V3]],Tabel1[[#This Row],[Do - V4]]),"")</f>
        <v>2.375</v>
      </c>
      <c r="FJ552">
        <v>4</v>
      </c>
      <c r="FK552">
        <v>1</v>
      </c>
      <c r="FL552">
        <v>3</v>
      </c>
      <c r="FM552">
        <f>IFERROR(AVERAGE(Tabel1[[#This Row],[Do - A1a]:[Do - A1c]]),"")</f>
        <v>2.6666666666666665</v>
      </c>
      <c r="FN552">
        <v>4</v>
      </c>
      <c r="FO552">
        <v>4</v>
      </c>
      <c r="FP552">
        <f>IFERROR(AVERAGE(Tabel1[[#This Row],[Do - A2a]:[Do - A2b]]),"")</f>
        <v>4</v>
      </c>
      <c r="FQ552">
        <v>3</v>
      </c>
      <c r="FR552">
        <f>IFERROR(AVERAGE(Tabel1[[#This Row],[Do - A3a]:[Do - A3a]]),"")</f>
        <v>3</v>
      </c>
      <c r="FS552">
        <v>3</v>
      </c>
      <c r="FT552">
        <f>IFERROR(AVERAGE(Tabel1[[#This Row],[Do - A1]],Tabel1[[#This Row],[Do - A2]],Tabel1[[#This Row],[Do - A3]],Tabel1[[#This Row],[Do - A4]]),"")</f>
        <v>3.1666666666666665</v>
      </c>
      <c r="FU55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2.5444444444444438</v>
      </c>
      <c r="FV552" s="31" t="s">
        <v>2654</v>
      </c>
      <c r="FW552" t="b">
        <v>1</v>
      </c>
    </row>
    <row r="553" spans="1:179" x14ac:dyDescent="0.3">
      <c r="A553" s="13">
        <v>45985.424895833297</v>
      </c>
      <c r="B553" t="b">
        <v>0</v>
      </c>
      <c r="C553" t="s">
        <v>2655</v>
      </c>
      <c r="D553" t="s">
        <v>864</v>
      </c>
      <c r="E553" t="s">
        <v>2615</v>
      </c>
      <c r="F553" s="14"/>
      <c r="G553" t="s">
        <v>2656</v>
      </c>
      <c r="H553" t="s">
        <v>194</v>
      </c>
      <c r="I553" t="s">
        <v>195</v>
      </c>
      <c r="J553" t="s">
        <v>261</v>
      </c>
      <c r="K553" t="s">
        <v>235</v>
      </c>
      <c r="L553" t="s">
        <v>385</v>
      </c>
      <c r="M553" t="s">
        <v>198</v>
      </c>
      <c r="N553" t="s">
        <v>199</v>
      </c>
      <c r="O553" t="s">
        <v>256</v>
      </c>
      <c r="P553" t="s">
        <v>304</v>
      </c>
      <c r="Q553" t="s">
        <v>201</v>
      </c>
      <c r="R553" t="s">
        <v>203</v>
      </c>
      <c r="S553" t="s">
        <v>235</v>
      </c>
      <c r="T553" t="s">
        <v>236</v>
      </c>
      <c r="U553" t="s">
        <v>285</v>
      </c>
      <c r="V553" t="s">
        <v>359</v>
      </c>
      <c r="W553" t="s">
        <v>207</v>
      </c>
      <c r="X553" t="s">
        <v>395</v>
      </c>
      <c r="Y553" t="s">
        <v>189</v>
      </c>
      <c r="Z553" t="s">
        <v>189</v>
      </c>
      <c r="AA553" t="s">
        <v>189</v>
      </c>
      <c r="AB553" t="str">
        <f>IFERROR(AVERAGE(Tabel1[[#This Row],[Up - R1a]:[Up - R1c]]),"")</f>
        <v/>
      </c>
      <c r="AC553" t="s">
        <v>189</v>
      </c>
      <c r="AD553" t="s">
        <v>189</v>
      </c>
      <c r="AE553" t="s">
        <v>189</v>
      </c>
      <c r="AF553" t="s">
        <v>189</v>
      </c>
      <c r="AG553" t="str">
        <f>IFERROR(AVERAGE(Tabel1[[#This Row],[Up - R1]:[Up - R5]]),"")</f>
        <v/>
      </c>
      <c r="AH553" t="s">
        <v>189</v>
      </c>
      <c r="AI553" t="s">
        <v>189</v>
      </c>
      <c r="AJ553">
        <v>4</v>
      </c>
      <c r="AK553">
        <f>IFERROR(AVERAGE(Tabel1[[#This Row],[Up - C1a]:[Up - C1c]]),"")</f>
        <v>4</v>
      </c>
      <c r="AL553" t="s">
        <v>189</v>
      </c>
      <c r="AM553" t="s">
        <v>189</v>
      </c>
      <c r="AN553" t="s">
        <v>189</v>
      </c>
      <c r="AO553">
        <f>IFERROR(AVERAGE(Tabel1[[#This Row],[Up - C1]:[Up - C4]]),"")</f>
        <v>4</v>
      </c>
      <c r="AP553" t="s">
        <v>189</v>
      </c>
      <c r="AQ553" t="str">
        <f>IFERROR(AVERAGE(Tabel1[[#This Row],[Up - F1a]:[Up - F1a]]),"")</f>
        <v/>
      </c>
      <c r="AR553">
        <v>3</v>
      </c>
      <c r="AS553">
        <v>2</v>
      </c>
      <c r="AT553">
        <f>IFERROR(AVERAGE(Tabel1[[#This Row],[Up - F2a]:[Up - F2b]]),"")</f>
        <v>2.5</v>
      </c>
      <c r="AU553" t="s">
        <v>189</v>
      </c>
      <c r="AV553">
        <v>2</v>
      </c>
      <c r="AW553">
        <f>IFERROR(AVERAGE(Tabel1[[#This Row],[Up - F3a]:[Up - F3b]]),"")</f>
        <v>2</v>
      </c>
      <c r="AX553" t="s">
        <v>189</v>
      </c>
      <c r="AY553">
        <f>IFERROR(AVERAGE(Tabel1[[#This Row],[Up - F1]],Tabel1[[#This Row],[Up - F2]],Tabel1[[#This Row],[Up - F3]],Tabel1[[#This Row],[Up - F4]]),"")</f>
        <v>2.25</v>
      </c>
      <c r="AZ553" t="s">
        <v>189</v>
      </c>
      <c r="BA553" t="s">
        <v>189</v>
      </c>
      <c r="BB553" t="str">
        <f>IFERROR(AVERAGE(Tabel1[[#This Row],[Up - V1a]:[Up - V1b]]),"")</f>
        <v/>
      </c>
      <c r="BC553" t="s">
        <v>189</v>
      </c>
      <c r="BD553" t="s">
        <v>189</v>
      </c>
      <c r="BE553" t="s">
        <v>189</v>
      </c>
      <c r="BF553" t="str">
        <f>IFERROR(AVERAGE(Tabel1[[#This Row],[Up - V2a]:[Up - V2c]]),"")</f>
        <v/>
      </c>
      <c r="BH553" t="s">
        <v>189</v>
      </c>
      <c r="BI553" t="str">
        <f>IFERROR(AVERAGE(Tabel1[[#This Row],[Up - V3a]:[Up - V3b]]),"")</f>
        <v/>
      </c>
      <c r="BJ553" t="s">
        <v>189</v>
      </c>
      <c r="BK553" t="str">
        <f>IFERROR(AVERAGE(Tabel1[[#This Row],[Up - V1]],Tabel1[[#This Row],[Up - V2]],Tabel1[[#This Row],[Up - V3]],Tabel1[[#This Row],[Up - V4]]),"")</f>
        <v/>
      </c>
      <c r="BL553" t="s">
        <v>189</v>
      </c>
      <c r="BM553" t="s">
        <v>189</v>
      </c>
      <c r="BN553">
        <v>2</v>
      </c>
      <c r="BO553" t="s">
        <v>189</v>
      </c>
      <c r="BP553">
        <f>IFERROR(AVERAGE(Tabel1[[#This Row],[Up - A1a]:[Up - A1d]]),"")</f>
        <v>2</v>
      </c>
      <c r="BQ553" t="s">
        <v>189</v>
      </c>
      <c r="BR553" t="s">
        <v>189</v>
      </c>
      <c r="BS553" t="str">
        <f>IFERROR(AVERAGE(Tabel1[[#This Row],[Up - A2a]:[Up - A2b]]),"")</f>
        <v/>
      </c>
      <c r="BT553" t="s">
        <v>189</v>
      </c>
      <c r="BU553" t="str">
        <f>IFERROR(AVERAGE(Tabel1[[#This Row],[Up - A3a]:[Up - A3a]]),"")</f>
        <v/>
      </c>
      <c r="BV553" t="s">
        <v>189</v>
      </c>
      <c r="BW553">
        <f>IFERROR(AVERAGE(Tabel1[[#This Row],[Up - A1]],Tabel1[[#This Row],[Up - A2]],Tabel1[[#This Row],[Up - A3]]),"")</f>
        <v>2</v>
      </c>
      <c r="BX553">
        <v>4</v>
      </c>
      <c r="BY553">
        <v>4</v>
      </c>
      <c r="BZ553">
        <f>IFERROR(AVERAGE(Tabel1[[#This Row],[In - R1a]:[In - R1b]]),"")</f>
        <v>4</v>
      </c>
      <c r="CA553" t="s">
        <v>189</v>
      </c>
      <c r="CB553">
        <v>3</v>
      </c>
      <c r="CC553">
        <v>2</v>
      </c>
      <c r="CD553" t="s">
        <v>189</v>
      </c>
      <c r="CE553">
        <f>IFERROR(AVERAGE(Tabel1[[#This Row],[In - R1]:[In - R5]]),"")</f>
        <v>3</v>
      </c>
      <c r="CF553">
        <v>3</v>
      </c>
      <c r="CG553">
        <v>3</v>
      </c>
      <c r="CH553" t="s">
        <v>189</v>
      </c>
      <c r="CI553">
        <f>IFERROR(AVERAGE(Tabel1[[#This Row],[In - C1a]:[In - C1c]]),"")</f>
        <v>3</v>
      </c>
      <c r="CJ553" t="s">
        <v>189</v>
      </c>
      <c r="CK553" t="s">
        <v>189</v>
      </c>
      <c r="CL553" t="s">
        <v>189</v>
      </c>
      <c r="CM553">
        <f>IFERROR(AVERAGE(Tabel1[[#This Row],[In - C1]:[In - C4]]),"")</f>
        <v>3</v>
      </c>
      <c r="CN553" t="s">
        <v>189</v>
      </c>
      <c r="CO553">
        <v>2</v>
      </c>
      <c r="CP553">
        <v>3</v>
      </c>
      <c r="CQ553">
        <f>IFERROR(AVERAGE(Tabel1[[#This Row],[In - F1a]:[In - F1c]]),"")</f>
        <v>2.5</v>
      </c>
      <c r="CR553">
        <v>3</v>
      </c>
      <c r="CS553">
        <v>2</v>
      </c>
      <c r="CT553">
        <f>IFERROR(AVERAGE(Tabel1[[#This Row],[In - F2a]:[In - F2b]]),"")</f>
        <v>2.5</v>
      </c>
      <c r="CU553">
        <v>4</v>
      </c>
      <c r="CV553">
        <f>IFERROR(AVERAGE(Tabel1[[#This Row],[In - F3a]:[In - F3a]]),"")</f>
        <v>4</v>
      </c>
      <c r="CW553">
        <v>4</v>
      </c>
      <c r="CX553">
        <f>IFERROR(AVERAGE(Tabel1[[#This Row],[In - F1]],Tabel1[[#This Row],[In - F2]],Tabel1[[#This Row],[In - F3]],Tabel1[[#This Row],[In - F4]]),"")</f>
        <v>3.25</v>
      </c>
      <c r="CY553">
        <v>3</v>
      </c>
      <c r="CZ553" t="s">
        <v>189</v>
      </c>
      <c r="DA553" t="s">
        <v>189</v>
      </c>
      <c r="DB553">
        <f>IFERROR(AVERAGE(Tabel1[[#This Row],[In - V1a]:[In - V1c]]),"")</f>
        <v>3</v>
      </c>
      <c r="DC553" t="s">
        <v>189</v>
      </c>
      <c r="DD553" t="s">
        <v>189</v>
      </c>
      <c r="DF553" t="str">
        <f>IFERROR(AVERAGE(Tabel1[[#This Row],[In - V2a]:[In - V2c]]),"")</f>
        <v/>
      </c>
      <c r="DG553" t="s">
        <v>189</v>
      </c>
      <c r="DH553" t="s">
        <v>189</v>
      </c>
      <c r="DI553" t="str">
        <f>IFERROR(AVERAGE(Tabel1[[#This Row],[In - V3a]:[In - V3b]]),"")</f>
        <v/>
      </c>
      <c r="DJ553" t="s">
        <v>189</v>
      </c>
      <c r="DK553">
        <f>IFERROR(AVERAGE(Tabel1[[#This Row],[In - V1]],Tabel1[[#This Row],[In - V2]],Tabel1[[#This Row],[In - V3]],Tabel1[[#This Row],[In - V4]]),"")</f>
        <v>3</v>
      </c>
      <c r="DL553" t="s">
        <v>189</v>
      </c>
      <c r="DM553" t="s">
        <v>189</v>
      </c>
      <c r="DN553" t="str">
        <f>IFERROR(AVERAGE(Tabel1[[#This Row],[In - A1a]:[In - A1b]]),"")</f>
        <v/>
      </c>
      <c r="DO553" t="s">
        <v>189</v>
      </c>
      <c r="DP553" t="s">
        <v>189</v>
      </c>
      <c r="DQ553" t="str">
        <f>IFERROR(AVERAGE(Tabel1[[#This Row],[In - A2a]:[In - A2b]]),"")</f>
        <v/>
      </c>
      <c r="DR553" t="s">
        <v>189</v>
      </c>
      <c r="DS553">
        <v>2</v>
      </c>
      <c r="DT553" t="str">
        <f>IFERROR(AVERAGE(Tabel1[[#This Row],[In - A3a]:[In - A3a]]),"")</f>
        <v/>
      </c>
      <c r="DU553" t="s">
        <v>189</v>
      </c>
      <c r="DV553" t="str">
        <f>IFERROR(AVERAGE(Tabel1[[#This Row],[In - A1]],Tabel1[[#This Row],[In - A2]],Tabel1[[#This Row],[In - A3]],Tabel1[[#This Row],[In - A4]]),"")</f>
        <v/>
      </c>
      <c r="DW553">
        <v>2</v>
      </c>
      <c r="DX553">
        <v>4</v>
      </c>
      <c r="DY553">
        <v>2</v>
      </c>
      <c r="DZ553">
        <f>IFERROR(AVERAGE(Tabel1[[#This Row],[Do - R1a]:[Do - R1c]]),"")</f>
        <v>2.6666666666666665</v>
      </c>
      <c r="EA553" t="s">
        <v>189</v>
      </c>
      <c r="EB553" t="s">
        <v>189</v>
      </c>
      <c r="EC553" t="s">
        <v>189</v>
      </c>
      <c r="ED553" t="s">
        <v>189</v>
      </c>
      <c r="EE553">
        <f>IFERROR(AVERAGE(Tabel1[[#This Row],[Do - R1]:[Do - R5]]),"")</f>
        <v>2.6666666666666665</v>
      </c>
      <c r="EF553" t="s">
        <v>189</v>
      </c>
      <c r="EG553" t="s">
        <v>189</v>
      </c>
      <c r="EH553" t="s">
        <v>189</v>
      </c>
      <c r="EI553" t="str">
        <f>IFERROR(AVERAGE(Tabel1[[#This Row],[Do - C1a]:[Do - C1c]]),"")</f>
        <v/>
      </c>
      <c r="EJ553" t="s">
        <v>189</v>
      </c>
      <c r="EK553" t="s">
        <v>189</v>
      </c>
      <c r="EL553" t="s">
        <v>189</v>
      </c>
      <c r="EM553" t="str">
        <f>IFERROR(AVERAGE(Tabel1[[#This Row],[Do - C1]:[Do - C4]]),"")</f>
        <v/>
      </c>
      <c r="EN553" t="s">
        <v>189</v>
      </c>
      <c r="EO553" t="s">
        <v>189</v>
      </c>
      <c r="EP553">
        <v>4</v>
      </c>
      <c r="EQ553">
        <f>IFERROR(AVERAGE(Tabel1[[#This Row],[Do - F1a]:[Do - F1c]]),"")</f>
        <v>4</v>
      </c>
      <c r="ER553">
        <v>3</v>
      </c>
      <c r="ES553">
        <f>IFERROR(AVERAGE(Tabel1[[#This Row],[Do - F2a]:[Do - F2a]]),"")</f>
        <v>3</v>
      </c>
      <c r="ET553" t="s">
        <v>189</v>
      </c>
      <c r="EU553" t="s">
        <v>189</v>
      </c>
      <c r="EV553" t="str">
        <f>IFERROR(AVERAGE(Tabel1[[#This Row],[Do - F3a]:[Do - F3b]]),"")</f>
        <v/>
      </c>
      <c r="EW553" t="s">
        <v>189</v>
      </c>
      <c r="EX553">
        <f>IFERROR(AVERAGE(Tabel1[[#This Row],[Do - F1]],Tabel1[[#This Row],[Do - F2]],Tabel1[[#This Row],[Do - F3]],Tabel1[[#This Row],[Do - F4]]),"")</f>
        <v>3.5</v>
      </c>
      <c r="EY553" t="s">
        <v>189</v>
      </c>
      <c r="EZ553" t="s">
        <v>189</v>
      </c>
      <c r="FA553">
        <v>2</v>
      </c>
      <c r="FB553">
        <f>IFERROR(AVERAGE(Tabel1[[#This Row],[Do - V1a]:[Do - V1c]]),"")</f>
        <v>2</v>
      </c>
      <c r="FC553" t="s">
        <v>189</v>
      </c>
      <c r="FD553" t="s">
        <v>189</v>
      </c>
      <c r="FE553" t="str">
        <f>IFERROR(AVERAGE(Tabel1[[#This Row],[Do - V2a]:[Do - V2b]]),"")</f>
        <v/>
      </c>
      <c r="FF553" t="s">
        <v>189</v>
      </c>
      <c r="FG553" t="str">
        <f>IFERROR(AVERAGE(Tabel1[[#This Row],[Do - V3a]:[Do - V3a]]),"")</f>
        <v/>
      </c>
      <c r="FH553" t="s">
        <v>189</v>
      </c>
      <c r="FI553">
        <f>IFERROR(AVERAGE(Tabel1[[#This Row],[Do - V1]],Tabel1[[#This Row],[Do - V2]],Tabel1[[#This Row],[Do - V3]],Tabel1[[#This Row],[Do - V4]]),"")</f>
        <v>2</v>
      </c>
      <c r="FJ553" t="s">
        <v>189</v>
      </c>
      <c r="FK553">
        <v>2</v>
      </c>
      <c r="FL553" t="s">
        <v>189</v>
      </c>
      <c r="FM553">
        <f>IFERROR(AVERAGE(Tabel1[[#This Row],[Do - A1a]:[Do - A1c]]),"")</f>
        <v>2</v>
      </c>
      <c r="FN553" t="s">
        <v>189</v>
      </c>
      <c r="FO553" t="s">
        <v>189</v>
      </c>
      <c r="FP553" t="str">
        <f>IFERROR(AVERAGE(Tabel1[[#This Row],[Do - A2a]:[Do - A2b]]),"")</f>
        <v/>
      </c>
      <c r="FQ553" t="s">
        <v>189</v>
      </c>
      <c r="FR553" t="str">
        <f>IFERROR(AVERAGE(Tabel1[[#This Row],[Do - A3a]:[Do - A3a]]),"")</f>
        <v/>
      </c>
      <c r="FS553" t="s">
        <v>189</v>
      </c>
      <c r="FT553">
        <f>IFERROR(AVERAGE(Tabel1[[#This Row],[Do - A1]],Tabel1[[#This Row],[Do - A2]],Tabel1[[#This Row],[Do - A3]],Tabel1[[#This Row],[Do - A4]]),"")</f>
        <v>2</v>
      </c>
      <c r="FU55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2.7878787878787881</v>
      </c>
      <c r="FV553" s="31" t="s">
        <v>2657</v>
      </c>
      <c r="FW553" t="b">
        <v>1</v>
      </c>
    </row>
    <row r="554" spans="1:179" x14ac:dyDescent="0.3">
      <c r="A554" s="13">
        <v>45986.661747685197</v>
      </c>
      <c r="B554" t="b">
        <v>0</v>
      </c>
      <c r="C554" t="s">
        <v>2658</v>
      </c>
      <c r="D554" t="s">
        <v>1180</v>
      </c>
      <c r="E554" t="s">
        <v>2659</v>
      </c>
      <c r="F554" s="14"/>
      <c r="G554" t="s">
        <v>2660</v>
      </c>
      <c r="H554" t="s">
        <v>222</v>
      </c>
      <c r="I554" t="s">
        <v>322</v>
      </c>
      <c r="J554" t="s">
        <v>2661</v>
      </c>
      <c r="K554" t="s">
        <v>255</v>
      </c>
      <c r="L554" t="s">
        <v>218</v>
      </c>
      <c r="M554" t="s">
        <v>188</v>
      </c>
      <c r="N554" t="s">
        <v>199</v>
      </c>
      <c r="O554" t="s">
        <v>256</v>
      </c>
      <c r="P554" t="s">
        <v>304</v>
      </c>
      <c r="Q554" t="s">
        <v>255</v>
      </c>
      <c r="R554" t="s">
        <v>304</v>
      </c>
      <c r="U554" t="s">
        <v>349</v>
      </c>
      <c r="V554" t="s">
        <v>224</v>
      </c>
      <c r="W554" t="s">
        <v>395</v>
      </c>
      <c r="X554" t="s">
        <v>395</v>
      </c>
      <c r="Y554">
        <v>3</v>
      </c>
      <c r="Z554" t="s">
        <v>189</v>
      </c>
      <c r="AA554" t="s">
        <v>189</v>
      </c>
      <c r="AB554">
        <f>IFERROR(AVERAGE(Tabel1[[#This Row],[Up - R1a]:[Up - R1c]]),"")</f>
        <v>3</v>
      </c>
      <c r="AC554" t="s">
        <v>189</v>
      </c>
      <c r="AD554" t="s">
        <v>189</v>
      </c>
      <c r="AE554" t="s">
        <v>189</v>
      </c>
      <c r="AF554" t="s">
        <v>189</v>
      </c>
      <c r="AG554">
        <f>IFERROR(AVERAGE(Tabel1[[#This Row],[Up - R1]:[Up - R5]]),"")</f>
        <v>3</v>
      </c>
      <c r="AH554" t="s">
        <v>189</v>
      </c>
      <c r="AI554" t="s">
        <v>189</v>
      </c>
      <c r="AJ554" t="s">
        <v>189</v>
      </c>
      <c r="AK554" t="str">
        <f>IFERROR(AVERAGE(Tabel1[[#This Row],[Up - C1a]:[Up - C1c]]),"")</f>
        <v/>
      </c>
      <c r="AL554" t="s">
        <v>189</v>
      </c>
      <c r="AO554" t="str">
        <f>IFERROR(AVERAGE(Tabel1[[#This Row],[Up - C1]:[Up - C4]]),"")</f>
        <v/>
      </c>
      <c r="AQ554" t="str">
        <f>IFERROR(AVERAGE(Tabel1[[#This Row],[Up - F1a]:[Up - F1a]]),"")</f>
        <v/>
      </c>
      <c r="AT554" t="str">
        <f>IFERROR(AVERAGE(Tabel1[[#This Row],[Up - F2a]:[Up - F2b]]),"")</f>
        <v/>
      </c>
      <c r="AW554" t="str">
        <f>IFERROR(AVERAGE(Tabel1[[#This Row],[Up - F3a]:[Up - F3b]]),"")</f>
        <v/>
      </c>
      <c r="AY554" t="str">
        <f>IFERROR(AVERAGE(Tabel1[[#This Row],[Up - F1]],Tabel1[[#This Row],[Up - F2]],Tabel1[[#This Row],[Up - F3]],Tabel1[[#This Row],[Up - F4]]),"")</f>
        <v/>
      </c>
      <c r="BB554" t="str">
        <f>IFERROR(AVERAGE(Tabel1[[#This Row],[Up - V1a]:[Up - V1b]]),"")</f>
        <v/>
      </c>
      <c r="BF554" t="str">
        <f>IFERROR(AVERAGE(Tabel1[[#This Row],[Up - V2a]:[Up - V2c]]),"")</f>
        <v/>
      </c>
      <c r="BI554" t="str">
        <f>IFERROR(AVERAGE(Tabel1[[#This Row],[Up - V3a]:[Up - V3b]]),"")</f>
        <v/>
      </c>
      <c r="BK554" t="str">
        <f>IFERROR(AVERAGE(Tabel1[[#This Row],[Up - V1]],Tabel1[[#This Row],[Up - V2]],Tabel1[[#This Row],[Up - V3]],Tabel1[[#This Row],[Up - V4]]),"")</f>
        <v/>
      </c>
      <c r="BP554" t="str">
        <f>IFERROR(AVERAGE(Tabel1[[#This Row],[Up - A1a]:[Up - A1d]]),"")</f>
        <v/>
      </c>
      <c r="BS554" t="str">
        <f>IFERROR(AVERAGE(Tabel1[[#This Row],[Up - A2a]:[Up - A2b]]),"")</f>
        <v/>
      </c>
      <c r="BU554" t="str">
        <f>IFERROR(AVERAGE(Tabel1[[#This Row],[Up - A3a]:[Up - A3a]]),"")</f>
        <v/>
      </c>
      <c r="BW554" t="str">
        <f>IFERROR(AVERAGE(Tabel1[[#This Row],[Up - A1]],Tabel1[[#This Row],[Up - A2]],Tabel1[[#This Row],[Up - A3]]),"")</f>
        <v/>
      </c>
      <c r="BX554" t="s">
        <v>189</v>
      </c>
      <c r="BY554" t="s">
        <v>189</v>
      </c>
      <c r="BZ554" t="str">
        <f>IFERROR(AVERAGE(Tabel1[[#This Row],[In - R1a]:[In - R1b]]),"")</f>
        <v/>
      </c>
      <c r="CA554" t="s">
        <v>189</v>
      </c>
      <c r="CB554" t="s">
        <v>189</v>
      </c>
      <c r="CC554" t="s">
        <v>189</v>
      </c>
      <c r="CD554" t="s">
        <v>189</v>
      </c>
      <c r="CE554" t="str">
        <f>IFERROR(AVERAGE(Tabel1[[#This Row],[In - R1]:[In - R5]]),"")</f>
        <v/>
      </c>
      <c r="CF554">
        <v>2</v>
      </c>
      <c r="CG554">
        <v>3</v>
      </c>
      <c r="CH554">
        <v>2</v>
      </c>
      <c r="CI554">
        <f>IFERROR(AVERAGE(Tabel1[[#This Row],[In - C1a]:[In - C1c]]),"")</f>
        <v>2.3333333333333335</v>
      </c>
      <c r="CJ554" t="s">
        <v>189</v>
      </c>
      <c r="CK554">
        <v>3</v>
      </c>
      <c r="CL554" t="s">
        <v>189</v>
      </c>
      <c r="CM554">
        <f>IFERROR(AVERAGE(Tabel1[[#This Row],[In - C1]:[In - C4]]),"")</f>
        <v>2.666666666666667</v>
      </c>
      <c r="CN554">
        <v>4</v>
      </c>
      <c r="CO554">
        <v>1</v>
      </c>
      <c r="CP554" t="s">
        <v>189</v>
      </c>
      <c r="CQ554">
        <f>IFERROR(AVERAGE(Tabel1[[#This Row],[In - F1a]:[In - F1c]]),"")</f>
        <v>2.5</v>
      </c>
      <c r="CR554" t="s">
        <v>189</v>
      </c>
      <c r="CS554" t="s">
        <v>189</v>
      </c>
      <c r="CT554" t="str">
        <f>IFERROR(AVERAGE(Tabel1[[#This Row],[In - F2a]:[In - F2b]]),"")</f>
        <v/>
      </c>
      <c r="CU554" t="s">
        <v>189</v>
      </c>
      <c r="CV554" t="str">
        <f>IFERROR(AVERAGE(Tabel1[[#This Row],[In - F3a]:[In - F3a]]),"")</f>
        <v/>
      </c>
      <c r="CW554" t="s">
        <v>189</v>
      </c>
      <c r="CX554">
        <f>IFERROR(AVERAGE(Tabel1[[#This Row],[In - F1]],Tabel1[[#This Row],[In - F2]],Tabel1[[#This Row],[In - F3]],Tabel1[[#This Row],[In - F4]]),"")</f>
        <v>2.5</v>
      </c>
      <c r="CY554" t="s">
        <v>189</v>
      </c>
      <c r="CZ554">
        <v>3</v>
      </c>
      <c r="DA554" t="s">
        <v>189</v>
      </c>
      <c r="DB554">
        <f>IFERROR(AVERAGE(Tabel1[[#This Row],[In - V1a]:[In - V1c]]),"")</f>
        <v>3</v>
      </c>
      <c r="DC554" t="s">
        <v>189</v>
      </c>
      <c r="DD554">
        <v>1</v>
      </c>
      <c r="DE554">
        <v>2</v>
      </c>
      <c r="DF554">
        <f>IFERROR(AVERAGE(Tabel1[[#This Row],[In - V2a]:[In - V2c]]),"")</f>
        <v>1.5</v>
      </c>
      <c r="DG554">
        <v>2</v>
      </c>
      <c r="DH554">
        <v>3</v>
      </c>
      <c r="DI554">
        <f>IFERROR(AVERAGE(Tabel1[[#This Row],[In - V3a]:[In - V3b]]),"")</f>
        <v>2.5</v>
      </c>
      <c r="DJ554">
        <v>2</v>
      </c>
      <c r="DK554">
        <f>IFERROR(AVERAGE(Tabel1[[#This Row],[In - V1]],Tabel1[[#This Row],[In - V2]],Tabel1[[#This Row],[In - V3]],Tabel1[[#This Row],[In - V4]]),"")</f>
        <v>2.25</v>
      </c>
      <c r="DL554" t="s">
        <v>189</v>
      </c>
      <c r="DM554" t="s">
        <v>189</v>
      </c>
      <c r="DN554" t="str">
        <f>IFERROR(AVERAGE(Tabel1[[#This Row],[In - A1a]:[In - A1b]]),"")</f>
        <v/>
      </c>
      <c r="DO554" t="s">
        <v>189</v>
      </c>
      <c r="DP554">
        <v>4</v>
      </c>
      <c r="DQ554">
        <f>IFERROR(AVERAGE(Tabel1[[#This Row],[In - A2a]:[In - A2b]]),"")</f>
        <v>4</v>
      </c>
      <c r="DR554">
        <v>3</v>
      </c>
      <c r="DS554">
        <v>2</v>
      </c>
      <c r="DT554">
        <f>IFERROR(AVERAGE(Tabel1[[#This Row],[In - A3a]:[In - A3a]]),"")</f>
        <v>3</v>
      </c>
      <c r="DU554" t="s">
        <v>189</v>
      </c>
      <c r="DV554">
        <f>IFERROR(AVERAGE(Tabel1[[#This Row],[In - A1]],Tabel1[[#This Row],[In - A2]],Tabel1[[#This Row],[In - A3]],Tabel1[[#This Row],[In - A4]]),"")</f>
        <v>3.5</v>
      </c>
      <c r="DW554" t="s">
        <v>189</v>
      </c>
      <c r="DX554" t="s">
        <v>189</v>
      </c>
      <c r="DY554" t="s">
        <v>189</v>
      </c>
      <c r="DZ554" t="str">
        <f>IFERROR(AVERAGE(Tabel1[[#This Row],[Do - R1a]:[Do - R1c]]),"")</f>
        <v/>
      </c>
      <c r="EA554" t="s">
        <v>189</v>
      </c>
      <c r="EB554" t="s">
        <v>189</v>
      </c>
      <c r="EC554" t="s">
        <v>189</v>
      </c>
      <c r="ED554" t="s">
        <v>189</v>
      </c>
      <c r="EE554" t="str">
        <f>IFERROR(AVERAGE(Tabel1[[#This Row],[Do - R1]:[Do - R5]]),"")</f>
        <v/>
      </c>
      <c r="EI554" t="str">
        <f>IFERROR(AVERAGE(Tabel1[[#This Row],[Do - C1a]:[Do - C1c]]),"")</f>
        <v/>
      </c>
      <c r="EM554" t="str">
        <f>IFERROR(AVERAGE(Tabel1[[#This Row],[Do - C1]:[Do - C4]]),"")</f>
        <v/>
      </c>
      <c r="EQ554" t="str">
        <f>IFERROR(AVERAGE(Tabel1[[#This Row],[Do - F1a]:[Do - F1c]]),"")</f>
        <v/>
      </c>
      <c r="ES554" t="str">
        <f>IFERROR(AVERAGE(Tabel1[[#This Row],[Do - F2a]:[Do - F2a]]),"")</f>
        <v/>
      </c>
      <c r="EV554" t="str">
        <f>IFERROR(AVERAGE(Tabel1[[#This Row],[Do - F3a]:[Do - F3b]]),"")</f>
        <v/>
      </c>
      <c r="EX554" t="str">
        <f>IFERROR(AVERAGE(Tabel1[[#This Row],[Do - F1]],Tabel1[[#This Row],[Do - F2]],Tabel1[[#This Row],[Do - F3]],Tabel1[[#This Row],[Do - F4]]),"")</f>
        <v/>
      </c>
      <c r="FB554" t="str">
        <f>IFERROR(AVERAGE(Tabel1[[#This Row],[Do - V1a]:[Do - V1c]]),"")</f>
        <v/>
      </c>
      <c r="FE554" t="str">
        <f>IFERROR(AVERAGE(Tabel1[[#This Row],[Do - V2a]:[Do - V2b]]),"")</f>
        <v/>
      </c>
      <c r="FG554" t="str">
        <f>IFERROR(AVERAGE(Tabel1[[#This Row],[Do - V3a]:[Do - V3a]]),"")</f>
        <v/>
      </c>
      <c r="FI554" t="str">
        <f>IFERROR(AVERAGE(Tabel1[[#This Row],[Do - V1]],Tabel1[[#This Row],[Do - V2]],Tabel1[[#This Row],[Do - V3]],Tabel1[[#This Row],[Do - V4]]),"")</f>
        <v/>
      </c>
      <c r="FM554" t="str">
        <f>IFERROR(AVERAGE(Tabel1[[#This Row],[Do - A1a]:[Do - A1c]]),"")</f>
        <v/>
      </c>
      <c r="FP554" t="str">
        <f>IFERROR(AVERAGE(Tabel1[[#This Row],[Do - A2a]:[Do - A2b]]),"")</f>
        <v/>
      </c>
      <c r="FR554" t="str">
        <f>IFERROR(AVERAGE(Tabel1[[#This Row],[Do - A3a]:[Do - A3a]]),"")</f>
        <v/>
      </c>
      <c r="FT554" t="str">
        <f>IFERROR(AVERAGE(Tabel1[[#This Row],[Do - A1]],Tabel1[[#This Row],[Do - A2]],Tabel1[[#This Row],[Do - A3]],Tabel1[[#This Row],[Do - A4]]),"")</f>
        <v/>
      </c>
      <c r="FU55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2.7833333333333337</v>
      </c>
      <c r="FV554" s="31" t="s">
        <v>2662</v>
      </c>
      <c r="FW554" t="b">
        <v>1</v>
      </c>
    </row>
    <row r="555" spans="1:179" x14ac:dyDescent="0.3">
      <c r="A555" s="13">
        <v>46003.328067129602</v>
      </c>
      <c r="B555" t="b">
        <v>0</v>
      </c>
      <c r="C555" t="s">
        <v>2663</v>
      </c>
      <c r="D555" t="s">
        <v>2664</v>
      </c>
      <c r="E555" t="s">
        <v>2665</v>
      </c>
      <c r="F555" s="14"/>
      <c r="G555" t="s">
        <v>2666</v>
      </c>
      <c r="H555" t="s">
        <v>222</v>
      </c>
      <c r="Y555">
        <v>3</v>
      </c>
      <c r="Z555">
        <v>3</v>
      </c>
      <c r="AA555">
        <v>3</v>
      </c>
      <c r="AB555">
        <f>IFERROR(AVERAGE(Tabel1[[#This Row],[Up - R1a]:[Up - R1c]]),"")</f>
        <v>3</v>
      </c>
      <c r="AC555">
        <v>3</v>
      </c>
      <c r="AD555">
        <v>3</v>
      </c>
      <c r="AE555">
        <v>3</v>
      </c>
      <c r="AF555">
        <v>3</v>
      </c>
      <c r="AG555">
        <f>IFERROR(AVERAGE(Tabel1[[#This Row],[Up - R1]:[Up - R5]]),"")</f>
        <v>3</v>
      </c>
      <c r="AK555" t="str">
        <f>IFERROR(AVERAGE(Tabel1[[#This Row],[Up - C1a]:[Up - C1c]]),"")</f>
        <v/>
      </c>
      <c r="AO555" t="str">
        <f>IFERROR(AVERAGE(Tabel1[[#This Row],[Up - C1]:[Up - C4]]),"")</f>
        <v/>
      </c>
      <c r="AQ555" t="str">
        <f>IFERROR(AVERAGE(Tabel1[[#This Row],[Up - F1a]:[Up - F1a]]),"")</f>
        <v/>
      </c>
      <c r="AT555" t="str">
        <f>IFERROR(AVERAGE(Tabel1[[#This Row],[Up - F2a]:[Up - F2b]]),"")</f>
        <v/>
      </c>
      <c r="AW555" t="str">
        <f>IFERROR(AVERAGE(Tabel1[[#This Row],[Up - F3a]:[Up - F3b]]),"")</f>
        <v/>
      </c>
      <c r="AY555" t="str">
        <f>IFERROR(AVERAGE(Tabel1[[#This Row],[Up - F1]],Tabel1[[#This Row],[Up - F2]],Tabel1[[#This Row],[Up - F3]],Tabel1[[#This Row],[Up - F4]]),"")</f>
        <v/>
      </c>
      <c r="BB555" t="str">
        <f>IFERROR(AVERAGE(Tabel1[[#This Row],[Up - V1a]:[Up - V1b]]),"")</f>
        <v/>
      </c>
      <c r="BF555" t="str">
        <f>IFERROR(AVERAGE(Tabel1[[#This Row],[Up - V2a]:[Up - V2c]]),"")</f>
        <v/>
      </c>
      <c r="BI555" t="str">
        <f>IFERROR(AVERAGE(Tabel1[[#This Row],[Up - V3a]:[Up - V3b]]),"")</f>
        <v/>
      </c>
      <c r="BK555" t="str">
        <f>IFERROR(AVERAGE(Tabel1[[#This Row],[Up - V1]],Tabel1[[#This Row],[Up - V2]],Tabel1[[#This Row],[Up - V3]],Tabel1[[#This Row],[Up - V4]]),"")</f>
        <v/>
      </c>
      <c r="BP555" t="str">
        <f>IFERROR(AVERAGE(Tabel1[[#This Row],[Up - A1a]:[Up - A1d]]),"")</f>
        <v/>
      </c>
      <c r="BS555" t="str">
        <f>IFERROR(AVERAGE(Tabel1[[#This Row],[Up - A2a]:[Up - A2b]]),"")</f>
        <v/>
      </c>
      <c r="BU555" t="str">
        <f>IFERROR(AVERAGE(Tabel1[[#This Row],[Up - A3a]:[Up - A3a]]),"")</f>
        <v/>
      </c>
      <c r="BW555" t="str">
        <f>IFERROR(AVERAGE(Tabel1[[#This Row],[Up - A1]],Tabel1[[#This Row],[Up - A2]],Tabel1[[#This Row],[Up - A3]]),"")</f>
        <v/>
      </c>
      <c r="BX555">
        <v>3</v>
      </c>
      <c r="BY555">
        <v>3</v>
      </c>
      <c r="BZ555">
        <f>IFERROR(AVERAGE(Tabel1[[#This Row],[In - R1a]:[In - R1b]]),"")</f>
        <v>3</v>
      </c>
      <c r="CA555">
        <v>3</v>
      </c>
      <c r="CB555">
        <v>3</v>
      </c>
      <c r="CC555">
        <v>3</v>
      </c>
      <c r="CD555">
        <v>3</v>
      </c>
      <c r="CE555">
        <f>IFERROR(AVERAGE(Tabel1[[#This Row],[In - R1]:[In - R5]]),"")</f>
        <v>3</v>
      </c>
      <c r="CI555" t="str">
        <f>IFERROR(AVERAGE(Tabel1[[#This Row],[In - C1a]:[In - C1c]]),"")</f>
        <v/>
      </c>
      <c r="CM555" t="str">
        <f>IFERROR(AVERAGE(Tabel1[[#This Row],[In - C1]:[In - C4]]),"")</f>
        <v/>
      </c>
      <c r="CQ555" t="str">
        <f>IFERROR(AVERAGE(Tabel1[[#This Row],[In - F1a]:[In - F1c]]),"")</f>
        <v/>
      </c>
      <c r="CT555" t="str">
        <f>IFERROR(AVERAGE(Tabel1[[#This Row],[In - F2a]:[In - F2b]]),"")</f>
        <v/>
      </c>
      <c r="CV555" t="str">
        <f>IFERROR(AVERAGE(Tabel1[[#This Row],[In - F3a]:[In - F3a]]),"")</f>
        <v/>
      </c>
      <c r="CX555" t="str">
        <f>IFERROR(AVERAGE(Tabel1[[#This Row],[In - F1]],Tabel1[[#This Row],[In - F2]],Tabel1[[#This Row],[In - F3]],Tabel1[[#This Row],[In - F4]]),"")</f>
        <v/>
      </c>
      <c r="DB555" t="str">
        <f>IFERROR(AVERAGE(Tabel1[[#This Row],[In - V1a]:[In - V1c]]),"")</f>
        <v/>
      </c>
      <c r="DF555" t="str">
        <f>IFERROR(AVERAGE(Tabel1[[#This Row],[In - V2a]:[In - V2c]]),"")</f>
        <v/>
      </c>
      <c r="DI555" t="str">
        <f>IFERROR(AVERAGE(Tabel1[[#This Row],[In - V3a]:[In - V3b]]),"")</f>
        <v/>
      </c>
      <c r="DK555" t="str">
        <f>IFERROR(AVERAGE(Tabel1[[#This Row],[In - V1]],Tabel1[[#This Row],[In - V2]],Tabel1[[#This Row],[In - V3]],Tabel1[[#This Row],[In - V4]]),"")</f>
        <v/>
      </c>
      <c r="DN555" t="str">
        <f>IFERROR(AVERAGE(Tabel1[[#This Row],[In - A1a]:[In - A1b]]),"")</f>
        <v/>
      </c>
      <c r="DQ555" t="str">
        <f>IFERROR(AVERAGE(Tabel1[[#This Row],[In - A2a]:[In - A2b]]),"")</f>
        <v/>
      </c>
      <c r="DT555" t="str">
        <f>IFERROR(AVERAGE(Tabel1[[#This Row],[In - A3a]:[In - A3a]]),"")</f>
        <v/>
      </c>
      <c r="DV555" t="str">
        <f>IFERROR(AVERAGE(Tabel1[[#This Row],[In - A1]],Tabel1[[#This Row],[In - A2]],Tabel1[[#This Row],[In - A3]],Tabel1[[#This Row],[In - A4]]),"")</f>
        <v/>
      </c>
      <c r="DW555">
        <v>3</v>
      </c>
      <c r="DX555">
        <v>3</v>
      </c>
      <c r="DY555">
        <v>3</v>
      </c>
      <c r="DZ555">
        <f>IFERROR(AVERAGE(Tabel1[[#This Row],[Do - R1a]:[Do - R1c]]),"")</f>
        <v>3</v>
      </c>
      <c r="EA555">
        <v>3</v>
      </c>
      <c r="EB555">
        <v>3</v>
      </c>
      <c r="EC555">
        <v>4</v>
      </c>
      <c r="ED555">
        <v>3</v>
      </c>
      <c r="EE555">
        <f>IFERROR(AVERAGE(Tabel1[[#This Row],[Do - R1]:[Do - R5]]),"")</f>
        <v>3.2</v>
      </c>
      <c r="EI555" t="str">
        <f>IFERROR(AVERAGE(Tabel1[[#This Row],[Do - C1a]:[Do - C1c]]),"")</f>
        <v/>
      </c>
      <c r="EM555" t="str">
        <f>IFERROR(AVERAGE(Tabel1[[#This Row],[Do - C1]:[Do - C4]]),"")</f>
        <v/>
      </c>
      <c r="EQ555" t="str">
        <f>IFERROR(AVERAGE(Tabel1[[#This Row],[Do - F1a]:[Do - F1c]]),"")</f>
        <v/>
      </c>
      <c r="ES555" t="str">
        <f>IFERROR(AVERAGE(Tabel1[[#This Row],[Do - F2a]:[Do - F2a]]),"")</f>
        <v/>
      </c>
      <c r="EV555" t="str">
        <f>IFERROR(AVERAGE(Tabel1[[#This Row],[Do - F3a]:[Do - F3b]]),"")</f>
        <v/>
      </c>
      <c r="EX555" t="str">
        <f>IFERROR(AVERAGE(Tabel1[[#This Row],[Do - F1]],Tabel1[[#This Row],[Do - F2]],Tabel1[[#This Row],[Do - F3]],Tabel1[[#This Row],[Do - F4]]),"")</f>
        <v/>
      </c>
      <c r="FB555" t="str">
        <f>IFERROR(AVERAGE(Tabel1[[#This Row],[Do - V1a]:[Do - V1c]]),"")</f>
        <v/>
      </c>
      <c r="FE555" t="str">
        <f>IFERROR(AVERAGE(Tabel1[[#This Row],[Do - V2a]:[Do - V2b]]),"")</f>
        <v/>
      </c>
      <c r="FG555" t="str">
        <f>IFERROR(AVERAGE(Tabel1[[#This Row],[Do - V3a]:[Do - V3a]]),"")</f>
        <v/>
      </c>
      <c r="FI555" t="str">
        <f>IFERROR(AVERAGE(Tabel1[[#This Row],[Do - V1]],Tabel1[[#This Row],[Do - V2]],Tabel1[[#This Row],[Do - V3]],Tabel1[[#This Row],[Do - V4]]),"")</f>
        <v/>
      </c>
      <c r="FM555" t="str">
        <f>IFERROR(AVERAGE(Tabel1[[#This Row],[Do - A1a]:[Do - A1c]]),"")</f>
        <v/>
      </c>
      <c r="FP555" t="str">
        <f>IFERROR(AVERAGE(Tabel1[[#This Row],[Do - A2a]:[Do - A2b]]),"")</f>
        <v/>
      </c>
      <c r="FR555" t="str">
        <f>IFERROR(AVERAGE(Tabel1[[#This Row],[Do - A3a]:[Do - A3a]]),"")</f>
        <v/>
      </c>
      <c r="FT555" t="str">
        <f>IFERROR(AVERAGE(Tabel1[[#This Row],[Do - A1]],Tabel1[[#This Row],[Do - A2]],Tabel1[[#This Row],[Do - A3]],Tabel1[[#This Row],[Do - A4]]),"")</f>
        <v/>
      </c>
      <c r="FU55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3.0666666666666664</v>
      </c>
      <c r="FV555" s="31" t="s">
        <v>2667</v>
      </c>
      <c r="FW555" t="b">
        <v>1</v>
      </c>
    </row>
    <row r="556" spans="1:179" x14ac:dyDescent="0.3">
      <c r="A556" s="13">
        <v>46003.421388888899</v>
      </c>
      <c r="B556" t="b">
        <v>0</v>
      </c>
      <c r="C556" t="s">
        <v>2668</v>
      </c>
      <c r="D556" t="s">
        <v>1220</v>
      </c>
      <c r="E556" t="s">
        <v>2669</v>
      </c>
      <c r="F556" s="14"/>
      <c r="G556" t="s">
        <v>2670</v>
      </c>
      <c r="H556" t="s">
        <v>194</v>
      </c>
      <c r="AB556" t="str">
        <f>IFERROR(AVERAGE(Tabel1[[#This Row],[Up - R1a]:[Up - R1c]]),"")</f>
        <v/>
      </c>
      <c r="AG556" t="str">
        <f>IFERROR(AVERAGE(Tabel1[[#This Row],[Up - R1]:[Up - R5]]),"")</f>
        <v/>
      </c>
      <c r="AK556" t="str">
        <f>IFERROR(AVERAGE(Tabel1[[#This Row],[Up - C1a]:[Up - C1c]]),"")</f>
        <v/>
      </c>
      <c r="AO556" t="str">
        <f>IFERROR(AVERAGE(Tabel1[[#This Row],[Up - C1]:[Up - C4]]),"")</f>
        <v/>
      </c>
      <c r="AQ556" t="str">
        <f>IFERROR(AVERAGE(Tabel1[[#This Row],[Up - F1a]:[Up - F1a]]),"")</f>
        <v/>
      </c>
      <c r="AT556" t="str">
        <f>IFERROR(AVERAGE(Tabel1[[#This Row],[Up - F2a]:[Up - F2b]]),"")</f>
        <v/>
      </c>
      <c r="AW556" t="str">
        <f>IFERROR(AVERAGE(Tabel1[[#This Row],[Up - F3a]:[Up - F3b]]),"")</f>
        <v/>
      </c>
      <c r="AY556" t="str">
        <f>IFERROR(AVERAGE(Tabel1[[#This Row],[Up - F1]],Tabel1[[#This Row],[Up - F2]],Tabel1[[#This Row],[Up - F3]],Tabel1[[#This Row],[Up - F4]]),"")</f>
        <v/>
      </c>
      <c r="BB556" t="str">
        <f>IFERROR(AVERAGE(Tabel1[[#This Row],[Up - V1a]:[Up - V1b]]),"")</f>
        <v/>
      </c>
      <c r="BF556" t="str">
        <f>IFERROR(AVERAGE(Tabel1[[#This Row],[Up - V2a]:[Up - V2c]]),"")</f>
        <v/>
      </c>
      <c r="BI556" t="str">
        <f>IFERROR(AVERAGE(Tabel1[[#This Row],[Up - V3a]:[Up - V3b]]),"")</f>
        <v/>
      </c>
      <c r="BK556" t="str">
        <f>IFERROR(AVERAGE(Tabel1[[#This Row],[Up - V1]],Tabel1[[#This Row],[Up - V2]],Tabel1[[#This Row],[Up - V3]],Tabel1[[#This Row],[Up - V4]]),"")</f>
        <v/>
      </c>
      <c r="BP556" t="str">
        <f>IFERROR(AVERAGE(Tabel1[[#This Row],[Up - A1a]:[Up - A1d]]),"")</f>
        <v/>
      </c>
      <c r="BS556" t="str">
        <f>IFERROR(AVERAGE(Tabel1[[#This Row],[Up - A2a]:[Up - A2b]]),"")</f>
        <v/>
      </c>
      <c r="BU556" t="str">
        <f>IFERROR(AVERAGE(Tabel1[[#This Row],[Up - A3a]:[Up - A3a]]),"")</f>
        <v/>
      </c>
      <c r="BW556" t="str">
        <f>IFERROR(AVERAGE(Tabel1[[#This Row],[Up - A1]],Tabel1[[#This Row],[Up - A2]],Tabel1[[#This Row],[Up - A3]]),"")</f>
        <v/>
      </c>
      <c r="BZ556" t="str">
        <f>IFERROR(AVERAGE(Tabel1[[#This Row],[In - R1a]:[In - R1b]]),"")</f>
        <v/>
      </c>
      <c r="CE556" t="str">
        <f>IFERROR(AVERAGE(Tabel1[[#This Row],[In - R1]:[In - R5]]),"")</f>
        <v/>
      </c>
      <c r="CI556" t="str">
        <f>IFERROR(AVERAGE(Tabel1[[#This Row],[In - C1a]:[In - C1c]]),"")</f>
        <v/>
      </c>
      <c r="CM556" t="str">
        <f>IFERROR(AVERAGE(Tabel1[[#This Row],[In - C1]:[In - C4]]),"")</f>
        <v/>
      </c>
      <c r="CQ556" t="str">
        <f>IFERROR(AVERAGE(Tabel1[[#This Row],[In - F1a]:[In - F1c]]),"")</f>
        <v/>
      </c>
      <c r="CT556" t="str">
        <f>IFERROR(AVERAGE(Tabel1[[#This Row],[In - F2a]:[In - F2b]]),"")</f>
        <v/>
      </c>
      <c r="CV556" t="str">
        <f>IFERROR(AVERAGE(Tabel1[[#This Row],[In - F3a]:[In - F3a]]),"")</f>
        <v/>
      </c>
      <c r="CX556" t="str">
        <f>IFERROR(AVERAGE(Tabel1[[#This Row],[In - F1]],Tabel1[[#This Row],[In - F2]],Tabel1[[#This Row],[In - F3]],Tabel1[[#This Row],[In - F4]]),"")</f>
        <v/>
      </c>
      <c r="DB556" t="str">
        <f>IFERROR(AVERAGE(Tabel1[[#This Row],[In - V1a]:[In - V1c]]),"")</f>
        <v/>
      </c>
      <c r="DF556" t="str">
        <f>IFERROR(AVERAGE(Tabel1[[#This Row],[In - V2a]:[In - V2c]]),"")</f>
        <v/>
      </c>
      <c r="DI556" t="str">
        <f>IFERROR(AVERAGE(Tabel1[[#This Row],[In - V3a]:[In - V3b]]),"")</f>
        <v/>
      </c>
      <c r="DK556" t="str">
        <f>IFERROR(AVERAGE(Tabel1[[#This Row],[In - V1]],Tabel1[[#This Row],[In - V2]],Tabel1[[#This Row],[In - V3]],Tabel1[[#This Row],[In - V4]]),"")</f>
        <v/>
      </c>
      <c r="DN556" t="str">
        <f>IFERROR(AVERAGE(Tabel1[[#This Row],[In - A1a]:[In - A1b]]),"")</f>
        <v/>
      </c>
      <c r="DQ556" t="str">
        <f>IFERROR(AVERAGE(Tabel1[[#This Row],[In - A2a]:[In - A2b]]),"")</f>
        <v/>
      </c>
      <c r="DT556" t="str">
        <f>IFERROR(AVERAGE(Tabel1[[#This Row],[In - A3a]:[In - A3a]]),"")</f>
        <v/>
      </c>
      <c r="DV556" t="str">
        <f>IFERROR(AVERAGE(Tabel1[[#This Row],[In - A1]],Tabel1[[#This Row],[In - A2]],Tabel1[[#This Row],[In - A3]],Tabel1[[#This Row],[In - A4]]),"")</f>
        <v/>
      </c>
      <c r="DZ556" t="str">
        <f>IFERROR(AVERAGE(Tabel1[[#This Row],[Do - R1a]:[Do - R1c]]),"")</f>
        <v/>
      </c>
      <c r="EE556" t="str">
        <f>IFERROR(AVERAGE(Tabel1[[#This Row],[Do - R1]:[Do - R5]]),"")</f>
        <v/>
      </c>
      <c r="EI556" t="str">
        <f>IFERROR(AVERAGE(Tabel1[[#This Row],[Do - C1a]:[Do - C1c]]),"")</f>
        <v/>
      </c>
      <c r="EM556" t="str">
        <f>IFERROR(AVERAGE(Tabel1[[#This Row],[Do - C1]:[Do - C4]]),"")</f>
        <v/>
      </c>
      <c r="EQ556" t="str">
        <f>IFERROR(AVERAGE(Tabel1[[#This Row],[Do - F1a]:[Do - F1c]]),"")</f>
        <v/>
      </c>
      <c r="ES556" t="str">
        <f>IFERROR(AVERAGE(Tabel1[[#This Row],[Do - F2a]:[Do - F2a]]),"")</f>
        <v/>
      </c>
      <c r="EV556" t="str">
        <f>IFERROR(AVERAGE(Tabel1[[#This Row],[Do - F3a]:[Do - F3b]]),"")</f>
        <v/>
      </c>
      <c r="EX556" t="str">
        <f>IFERROR(AVERAGE(Tabel1[[#This Row],[Do - F1]],Tabel1[[#This Row],[Do - F2]],Tabel1[[#This Row],[Do - F3]],Tabel1[[#This Row],[Do - F4]]),"")</f>
        <v/>
      </c>
      <c r="FB556" t="str">
        <f>IFERROR(AVERAGE(Tabel1[[#This Row],[Do - V1a]:[Do - V1c]]),"")</f>
        <v/>
      </c>
      <c r="FE556" t="str">
        <f>IFERROR(AVERAGE(Tabel1[[#This Row],[Do - V2a]:[Do - V2b]]),"")</f>
        <v/>
      </c>
      <c r="FG556" t="str">
        <f>IFERROR(AVERAGE(Tabel1[[#This Row],[Do - V3a]:[Do - V3a]]),"")</f>
        <v/>
      </c>
      <c r="FI556" t="str">
        <f>IFERROR(AVERAGE(Tabel1[[#This Row],[Do - V1]],Tabel1[[#This Row],[Do - V2]],Tabel1[[#This Row],[Do - V3]],Tabel1[[#This Row],[Do - V4]]),"")</f>
        <v/>
      </c>
      <c r="FM556" t="str">
        <f>IFERROR(AVERAGE(Tabel1[[#This Row],[Do - A1a]:[Do - A1c]]),"")</f>
        <v/>
      </c>
      <c r="FP556" t="str">
        <f>IFERROR(AVERAGE(Tabel1[[#This Row],[Do - A2a]:[Do - A2b]]),"")</f>
        <v/>
      </c>
      <c r="FR556" t="str">
        <f>IFERROR(AVERAGE(Tabel1[[#This Row],[Do - A3a]:[Do - A3a]]),"")</f>
        <v/>
      </c>
      <c r="FT556" t="str">
        <f>IFERROR(AVERAGE(Tabel1[[#This Row],[Do - A1]],Tabel1[[#This Row],[Do - A2]],Tabel1[[#This Row],[Do - A3]],Tabel1[[#This Row],[Do - A4]]),"")</f>
        <v/>
      </c>
      <c r="FU556" t="str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/>
      </c>
      <c r="FV556" s="31" t="s">
        <v>2671</v>
      </c>
      <c r="FW556" t="b">
        <v>1</v>
      </c>
    </row>
    <row r="557" spans="1:179" x14ac:dyDescent="0.3">
      <c r="A557" s="13">
        <v>46006.560949074097</v>
      </c>
      <c r="B557" t="b">
        <v>0</v>
      </c>
      <c r="C557" t="s">
        <v>2672</v>
      </c>
      <c r="D557" t="s">
        <v>864</v>
      </c>
      <c r="E557" t="s">
        <v>2615</v>
      </c>
      <c r="F557" s="14"/>
      <c r="G557" t="s">
        <v>2673</v>
      </c>
      <c r="H557" t="s">
        <v>194</v>
      </c>
      <c r="I557" t="s">
        <v>195</v>
      </c>
      <c r="J557" t="s">
        <v>261</v>
      </c>
      <c r="K557" t="s">
        <v>235</v>
      </c>
      <c r="L557" t="s">
        <v>197</v>
      </c>
      <c r="M557" t="s">
        <v>188</v>
      </c>
      <c r="N557" t="s">
        <v>199</v>
      </c>
      <c r="O557" t="s">
        <v>200</v>
      </c>
      <c r="P557" t="s">
        <v>304</v>
      </c>
      <c r="Q557" t="s">
        <v>202</v>
      </c>
      <c r="R557" t="s">
        <v>187</v>
      </c>
      <c r="S557" t="s">
        <v>187</v>
      </c>
      <c r="T557" t="s">
        <v>204</v>
      </c>
      <c r="U557" t="s">
        <v>285</v>
      </c>
      <c r="V557" t="s">
        <v>224</v>
      </c>
      <c r="W557" t="s">
        <v>395</v>
      </c>
      <c r="X557" t="s">
        <v>395</v>
      </c>
      <c r="Y557">
        <v>3</v>
      </c>
      <c r="Z557">
        <v>5</v>
      </c>
      <c r="AA557">
        <v>2</v>
      </c>
      <c r="AB557">
        <f>IFERROR(AVERAGE(Tabel1[[#This Row],[Up - R1a]:[Up - R1c]]),"")</f>
        <v>3.3333333333333335</v>
      </c>
      <c r="AC557">
        <v>4</v>
      </c>
      <c r="AD557">
        <v>3</v>
      </c>
      <c r="AE557">
        <v>3</v>
      </c>
      <c r="AF557">
        <v>3</v>
      </c>
      <c r="AG557">
        <f>IFERROR(AVERAGE(Tabel1[[#This Row],[Up - R1]:[Up - R5]]),"")</f>
        <v>3.2666666666666671</v>
      </c>
      <c r="AH557">
        <v>5</v>
      </c>
      <c r="AI557">
        <v>3</v>
      </c>
      <c r="AJ557">
        <v>2</v>
      </c>
      <c r="AK557">
        <f>IFERROR(AVERAGE(Tabel1[[#This Row],[Up - C1a]:[Up - C1c]]),"")</f>
        <v>3.3333333333333335</v>
      </c>
      <c r="AL557">
        <v>2</v>
      </c>
      <c r="AM557">
        <v>3</v>
      </c>
      <c r="AN557">
        <v>3</v>
      </c>
      <c r="AO557">
        <f>IFERROR(AVERAGE(Tabel1[[#This Row],[Up - C1]:[Up - C4]]),"")</f>
        <v>2.8333333333333335</v>
      </c>
      <c r="AP557">
        <v>3</v>
      </c>
      <c r="AQ557">
        <f>IFERROR(AVERAGE(Tabel1[[#This Row],[Up - F1a]:[Up - F1a]]),"")</f>
        <v>3</v>
      </c>
      <c r="AR557">
        <v>1</v>
      </c>
      <c r="AS557">
        <v>1</v>
      </c>
      <c r="AT557">
        <f>IFERROR(AVERAGE(Tabel1[[#This Row],[Up - F2a]:[Up - F2b]]),"")</f>
        <v>1</v>
      </c>
      <c r="AU557">
        <v>3</v>
      </c>
      <c r="AV557">
        <v>2</v>
      </c>
      <c r="AW557">
        <f>IFERROR(AVERAGE(Tabel1[[#This Row],[Up - F3a]:[Up - F3b]]),"")</f>
        <v>2.5</v>
      </c>
      <c r="AX557">
        <v>4</v>
      </c>
      <c r="AY557">
        <f>IFERROR(AVERAGE(Tabel1[[#This Row],[Up - F1]],Tabel1[[#This Row],[Up - F2]],Tabel1[[#This Row],[Up - F3]],Tabel1[[#This Row],[Up - F4]]),"")</f>
        <v>2.625</v>
      </c>
      <c r="AZ557">
        <v>3</v>
      </c>
      <c r="BA557">
        <v>2</v>
      </c>
      <c r="BB557">
        <f>IFERROR(AVERAGE(Tabel1[[#This Row],[Up - V1a]:[Up - V1b]]),"")</f>
        <v>2.5</v>
      </c>
      <c r="BC557">
        <v>1</v>
      </c>
      <c r="BD557">
        <v>3</v>
      </c>
      <c r="BE557">
        <v>4</v>
      </c>
      <c r="BF557">
        <f>IFERROR(AVERAGE(Tabel1[[#This Row],[Up - V2a]:[Up - V2c]]),"")</f>
        <v>2.6666666666666665</v>
      </c>
      <c r="BG557">
        <v>3</v>
      </c>
      <c r="BH557">
        <v>4</v>
      </c>
      <c r="BI557">
        <f>IFERROR(AVERAGE(Tabel1[[#This Row],[Up - V3a]:[Up - V3b]]),"")</f>
        <v>3.5</v>
      </c>
      <c r="BJ557">
        <v>3</v>
      </c>
      <c r="BK557">
        <f>IFERROR(AVERAGE(Tabel1[[#This Row],[Up - V1]],Tabel1[[#This Row],[Up - V2]],Tabel1[[#This Row],[Up - V3]],Tabel1[[#This Row],[Up - V4]]),"")</f>
        <v>2.9166666666666665</v>
      </c>
      <c r="BL557">
        <v>3</v>
      </c>
      <c r="BM557">
        <v>1</v>
      </c>
      <c r="BN557">
        <v>2</v>
      </c>
      <c r="BO557">
        <v>2</v>
      </c>
      <c r="BP557">
        <f>IFERROR(AVERAGE(Tabel1[[#This Row],[Up - A1a]:[Up - A1d]]),"")</f>
        <v>2</v>
      </c>
      <c r="BQ557">
        <v>3</v>
      </c>
      <c r="BR557">
        <v>3</v>
      </c>
      <c r="BS557">
        <f>IFERROR(AVERAGE(Tabel1[[#This Row],[Up - A2a]:[Up - A2b]]),"")</f>
        <v>3</v>
      </c>
      <c r="BT557">
        <v>2</v>
      </c>
      <c r="BU557">
        <f>IFERROR(AVERAGE(Tabel1[[#This Row],[Up - A3a]:[Up - A3a]]),"")</f>
        <v>2</v>
      </c>
      <c r="BV557">
        <v>2</v>
      </c>
      <c r="BW557">
        <f>IFERROR(AVERAGE(Tabel1[[#This Row],[Up - A1]],Tabel1[[#This Row],[Up - A2]],Tabel1[[#This Row],[Up - A3]]),"")</f>
        <v>2.3333333333333335</v>
      </c>
      <c r="BX557">
        <v>2</v>
      </c>
      <c r="BY557">
        <v>4</v>
      </c>
      <c r="BZ557">
        <f>IFERROR(AVERAGE(Tabel1[[#This Row],[In - R1a]:[In - R1b]]),"")</f>
        <v>3</v>
      </c>
      <c r="CA557">
        <v>4</v>
      </c>
      <c r="CB557">
        <v>3</v>
      </c>
      <c r="CC557">
        <v>5</v>
      </c>
      <c r="CD557">
        <v>2</v>
      </c>
      <c r="CE557">
        <f>IFERROR(AVERAGE(Tabel1[[#This Row],[In - R1]:[In - R5]]),"")</f>
        <v>3.4</v>
      </c>
      <c r="CF557">
        <v>3</v>
      </c>
      <c r="CG557">
        <v>4</v>
      </c>
      <c r="CH557">
        <v>4</v>
      </c>
      <c r="CI557">
        <f>IFERROR(AVERAGE(Tabel1[[#This Row],[In - C1a]:[In - C1c]]),"")</f>
        <v>3.6666666666666665</v>
      </c>
      <c r="CJ557">
        <v>2</v>
      </c>
      <c r="CK557">
        <v>3</v>
      </c>
      <c r="CL557">
        <v>2</v>
      </c>
      <c r="CM557">
        <f>IFERROR(AVERAGE(Tabel1[[#This Row],[In - C1]:[In - C4]]),"")</f>
        <v>2.6666666666666665</v>
      </c>
      <c r="CN557">
        <v>3</v>
      </c>
      <c r="CO557">
        <v>4</v>
      </c>
      <c r="CP557">
        <v>1</v>
      </c>
      <c r="CQ557">
        <f>IFERROR(AVERAGE(Tabel1[[#This Row],[In - F1a]:[In - F1c]]),"")</f>
        <v>2.6666666666666665</v>
      </c>
      <c r="CR557">
        <v>2</v>
      </c>
      <c r="CS557">
        <v>3</v>
      </c>
      <c r="CT557">
        <f>IFERROR(AVERAGE(Tabel1[[#This Row],[In - F2a]:[In - F2b]]),"")</f>
        <v>2.5</v>
      </c>
      <c r="CU557">
        <v>2</v>
      </c>
      <c r="CV557">
        <f>IFERROR(AVERAGE(Tabel1[[#This Row],[In - F3a]:[In - F3a]]),"")</f>
        <v>2</v>
      </c>
      <c r="CW557">
        <v>2</v>
      </c>
      <c r="CX557">
        <f>IFERROR(AVERAGE(Tabel1[[#This Row],[In - F1]],Tabel1[[#This Row],[In - F2]],Tabel1[[#This Row],[In - F3]],Tabel1[[#This Row],[In - F4]]),"")</f>
        <v>2.2916666666666665</v>
      </c>
      <c r="CY557">
        <v>1</v>
      </c>
      <c r="CZ557">
        <v>3</v>
      </c>
      <c r="DA557">
        <v>3</v>
      </c>
      <c r="DB557">
        <f>IFERROR(AVERAGE(Tabel1[[#This Row],[In - V1a]:[In - V1c]]),"")</f>
        <v>2.3333333333333335</v>
      </c>
      <c r="DC557">
        <v>2</v>
      </c>
      <c r="DD557">
        <v>3</v>
      </c>
      <c r="DE557">
        <v>1</v>
      </c>
      <c r="DF557">
        <f>IFERROR(AVERAGE(Tabel1[[#This Row],[In - V2a]:[In - V2c]]),"")</f>
        <v>2</v>
      </c>
      <c r="DG557">
        <v>3</v>
      </c>
      <c r="DH557">
        <v>4</v>
      </c>
      <c r="DI557">
        <f>IFERROR(AVERAGE(Tabel1[[#This Row],[In - V3a]:[In - V3b]]),"")</f>
        <v>3.5</v>
      </c>
      <c r="DJ557">
        <v>3</v>
      </c>
      <c r="DK557">
        <f>IFERROR(AVERAGE(Tabel1[[#This Row],[In - V1]],Tabel1[[#This Row],[In - V2]],Tabel1[[#This Row],[In - V3]],Tabel1[[#This Row],[In - V4]]),"")</f>
        <v>2.7083333333333335</v>
      </c>
      <c r="DL557">
        <v>3</v>
      </c>
      <c r="DM557">
        <v>3</v>
      </c>
      <c r="DN557">
        <f>IFERROR(AVERAGE(Tabel1[[#This Row],[In - A1a]:[In - A1b]]),"")</f>
        <v>3</v>
      </c>
      <c r="DO557">
        <v>3</v>
      </c>
      <c r="DP557">
        <v>3</v>
      </c>
      <c r="DQ557">
        <f>IFERROR(AVERAGE(Tabel1[[#This Row],[In - A2a]:[In - A2b]]),"")</f>
        <v>3</v>
      </c>
      <c r="DR557">
        <v>2</v>
      </c>
      <c r="DS557">
        <v>3</v>
      </c>
      <c r="DT557">
        <f>IFERROR(AVERAGE(Tabel1[[#This Row],[In - A3a]:[In - A3a]]),"")</f>
        <v>2</v>
      </c>
      <c r="DU557">
        <v>3</v>
      </c>
      <c r="DV557">
        <f>IFERROR(AVERAGE(Tabel1[[#This Row],[In - A1]],Tabel1[[#This Row],[In - A2]],Tabel1[[#This Row],[In - A3]],Tabel1[[#This Row],[In - A4]]),"")</f>
        <v>2.75</v>
      </c>
      <c r="DW557">
        <v>4</v>
      </c>
      <c r="DX557">
        <v>2</v>
      </c>
      <c r="DY557">
        <v>3</v>
      </c>
      <c r="DZ557">
        <f>IFERROR(AVERAGE(Tabel1[[#This Row],[Do - R1a]:[Do - R1c]]),"")</f>
        <v>3</v>
      </c>
      <c r="EA557">
        <v>3</v>
      </c>
      <c r="EB557">
        <v>3</v>
      </c>
      <c r="EC557">
        <v>3</v>
      </c>
      <c r="ED557">
        <v>3</v>
      </c>
      <c r="EE557">
        <f>IFERROR(AVERAGE(Tabel1[[#This Row],[Do - R1]:[Do - R5]]),"")</f>
        <v>3</v>
      </c>
      <c r="EF557">
        <v>2</v>
      </c>
      <c r="EG557">
        <v>2</v>
      </c>
      <c r="EH557">
        <v>4</v>
      </c>
      <c r="EI557">
        <f>IFERROR(AVERAGE(Tabel1[[#This Row],[Do - C1a]:[Do - C1c]]),"")</f>
        <v>2.6666666666666665</v>
      </c>
      <c r="EJ557">
        <v>3</v>
      </c>
      <c r="EK557">
        <v>2</v>
      </c>
      <c r="EL557">
        <v>3</v>
      </c>
      <c r="EM557">
        <f>IFERROR(AVERAGE(Tabel1[[#This Row],[Do - C1]:[Do - C4]]),"")</f>
        <v>2.6666666666666665</v>
      </c>
      <c r="EN557">
        <v>3</v>
      </c>
      <c r="EO557">
        <v>4</v>
      </c>
      <c r="EP557">
        <v>2</v>
      </c>
      <c r="EQ557">
        <f>IFERROR(AVERAGE(Tabel1[[#This Row],[Do - F1a]:[Do - F1c]]),"")</f>
        <v>3</v>
      </c>
      <c r="ER557">
        <v>2</v>
      </c>
      <c r="ES557">
        <f>IFERROR(AVERAGE(Tabel1[[#This Row],[Do - F2a]:[Do - F2a]]),"")</f>
        <v>2</v>
      </c>
      <c r="ET557">
        <v>4</v>
      </c>
      <c r="EU557">
        <v>2</v>
      </c>
      <c r="EV557">
        <f>IFERROR(AVERAGE(Tabel1[[#This Row],[Do - F3a]:[Do - F3b]]),"")</f>
        <v>3</v>
      </c>
      <c r="EW557">
        <v>3</v>
      </c>
      <c r="EX557">
        <f>IFERROR(AVERAGE(Tabel1[[#This Row],[Do - F1]],Tabel1[[#This Row],[Do - F2]],Tabel1[[#This Row],[Do - F3]],Tabel1[[#This Row],[Do - F4]]),"")</f>
        <v>2.75</v>
      </c>
      <c r="EY557">
        <v>4</v>
      </c>
      <c r="EZ557">
        <v>1</v>
      </c>
      <c r="FA557">
        <v>3</v>
      </c>
      <c r="FB557">
        <f>IFERROR(AVERAGE(Tabel1[[#This Row],[Do - V1a]:[Do - V1c]]),"")</f>
        <v>2.6666666666666665</v>
      </c>
      <c r="FC557">
        <v>3</v>
      </c>
      <c r="FD557">
        <v>3</v>
      </c>
      <c r="FE557">
        <f>IFERROR(AVERAGE(Tabel1[[#This Row],[Do - V2a]:[Do - V2b]]),"")</f>
        <v>3</v>
      </c>
      <c r="FF557">
        <v>3</v>
      </c>
      <c r="FG557">
        <f>IFERROR(AVERAGE(Tabel1[[#This Row],[Do - V3a]:[Do - V3a]]),"")</f>
        <v>3</v>
      </c>
      <c r="FH557">
        <v>3</v>
      </c>
      <c r="FI557">
        <f>IFERROR(AVERAGE(Tabel1[[#This Row],[Do - V1]],Tabel1[[#This Row],[Do - V2]],Tabel1[[#This Row],[Do - V3]],Tabel1[[#This Row],[Do - V4]]),"")</f>
        <v>2.9166666666666665</v>
      </c>
      <c r="FJ557">
        <v>4</v>
      </c>
      <c r="FK557">
        <v>2</v>
      </c>
      <c r="FL557">
        <v>3</v>
      </c>
      <c r="FM557">
        <f>IFERROR(AVERAGE(Tabel1[[#This Row],[Do - A1a]:[Do - A1c]]),"")</f>
        <v>3</v>
      </c>
      <c r="FN557">
        <v>3</v>
      </c>
      <c r="FO557">
        <v>3</v>
      </c>
      <c r="FP557">
        <f>IFERROR(AVERAGE(Tabel1[[#This Row],[Do - A2a]:[Do - A2b]]),"")</f>
        <v>3</v>
      </c>
      <c r="FQ557">
        <v>3</v>
      </c>
      <c r="FR557">
        <f>IFERROR(AVERAGE(Tabel1[[#This Row],[Do - A3a]:[Do - A3a]]),"")</f>
        <v>3</v>
      </c>
      <c r="FS557">
        <v>3</v>
      </c>
      <c r="FT557">
        <f>IFERROR(AVERAGE(Tabel1[[#This Row],[Do - A1]],Tabel1[[#This Row],[Do - A2]],Tabel1[[#This Row],[Do - A3]],Tabel1[[#This Row],[Do - A4]]),"")</f>
        <v>3</v>
      </c>
      <c r="FU55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2.8083333333333331</v>
      </c>
      <c r="FV557" s="31" t="s">
        <v>2674</v>
      </c>
      <c r="FW557" t="b">
        <v>1</v>
      </c>
    </row>
    <row r="558" spans="1:179" x14ac:dyDescent="0.3">
      <c r="A558" s="13">
        <v>46043.894085648099</v>
      </c>
      <c r="B558" t="b">
        <v>0</v>
      </c>
      <c r="C558" t="s">
        <v>2675</v>
      </c>
      <c r="D558" t="s">
        <v>2676</v>
      </c>
      <c r="E558" t="s">
        <v>2677</v>
      </c>
      <c r="F558" s="14"/>
      <c r="G558" t="s">
        <v>2678</v>
      </c>
      <c r="H558" t="s">
        <v>222</v>
      </c>
      <c r="I558" t="s">
        <v>195</v>
      </c>
      <c r="J558" t="s">
        <v>212</v>
      </c>
      <c r="K558" t="s">
        <v>201</v>
      </c>
      <c r="L558" t="s">
        <v>249</v>
      </c>
      <c r="M558" t="s">
        <v>198</v>
      </c>
      <c r="N558" t="s">
        <v>262</v>
      </c>
      <c r="O558" t="s">
        <v>200</v>
      </c>
      <c r="P558" t="s">
        <v>255</v>
      </c>
      <c r="Q558" t="s">
        <v>201</v>
      </c>
      <c r="R558" t="s">
        <v>201</v>
      </c>
      <c r="S558" t="s">
        <v>202</v>
      </c>
      <c r="T558" t="s">
        <v>236</v>
      </c>
      <c r="U558" t="s">
        <v>349</v>
      </c>
      <c r="V558" t="s">
        <v>610</v>
      </c>
      <c r="W558" t="s">
        <v>207</v>
      </c>
      <c r="X558" t="s">
        <v>207</v>
      </c>
      <c r="Y558">
        <v>2</v>
      </c>
      <c r="Z558">
        <v>2</v>
      </c>
      <c r="AA558" t="s">
        <v>189</v>
      </c>
      <c r="AB558">
        <f>IFERROR(AVERAGE(Tabel1[[#This Row],[Up - R1a]:[Up - R1c]]),"")</f>
        <v>2</v>
      </c>
      <c r="AC558">
        <v>2</v>
      </c>
      <c r="AD558">
        <v>3</v>
      </c>
      <c r="AE558" t="s">
        <v>189</v>
      </c>
      <c r="AF558">
        <v>3</v>
      </c>
      <c r="AG558">
        <f>IFERROR(AVERAGE(Tabel1[[#This Row],[Up - R1]:[Up - R5]]),"")</f>
        <v>2.5</v>
      </c>
      <c r="AH558">
        <v>2</v>
      </c>
      <c r="AI558">
        <v>2</v>
      </c>
      <c r="AJ558">
        <v>3</v>
      </c>
      <c r="AK558">
        <f>IFERROR(AVERAGE(Tabel1[[#This Row],[Up - C1a]:[Up - C1c]]),"")</f>
        <v>2.3333333333333335</v>
      </c>
      <c r="AL558" t="s">
        <v>189</v>
      </c>
      <c r="AM558">
        <v>1</v>
      </c>
      <c r="AN558" t="s">
        <v>189</v>
      </c>
      <c r="AO558">
        <f>IFERROR(AVERAGE(Tabel1[[#This Row],[Up - C1]:[Up - C4]]),"")</f>
        <v>1.6666666666666667</v>
      </c>
      <c r="AP558">
        <v>1</v>
      </c>
      <c r="AQ558">
        <f>IFERROR(AVERAGE(Tabel1[[#This Row],[Up - F1a]:[Up - F1a]]),"")</f>
        <v>1</v>
      </c>
      <c r="AR558">
        <v>2</v>
      </c>
      <c r="AS558">
        <v>3</v>
      </c>
      <c r="AT558">
        <f>IFERROR(AVERAGE(Tabel1[[#This Row],[Up - F2a]:[Up - F2b]]),"")</f>
        <v>2.5</v>
      </c>
      <c r="AU558">
        <v>2</v>
      </c>
      <c r="AV558">
        <v>2</v>
      </c>
      <c r="AW558">
        <f>IFERROR(AVERAGE(Tabel1[[#This Row],[Up - F3a]:[Up - F3b]]),"")</f>
        <v>2</v>
      </c>
      <c r="AX558" t="s">
        <v>189</v>
      </c>
      <c r="AY558">
        <f>IFERROR(AVERAGE(Tabel1[[#This Row],[Up - F1]],Tabel1[[#This Row],[Up - F2]],Tabel1[[#This Row],[Up - F3]],Tabel1[[#This Row],[Up - F4]]),"")</f>
        <v>1.8333333333333333</v>
      </c>
      <c r="AZ558">
        <v>1</v>
      </c>
      <c r="BA558">
        <v>2</v>
      </c>
      <c r="BB558">
        <f>IFERROR(AVERAGE(Tabel1[[#This Row],[Up - V1a]:[Up - V1b]]),"")</f>
        <v>1.5</v>
      </c>
      <c r="BC558" t="s">
        <v>189</v>
      </c>
      <c r="BD558" t="s">
        <v>189</v>
      </c>
      <c r="BE558" t="s">
        <v>189</v>
      </c>
      <c r="BF558" t="str">
        <f>IFERROR(AVERAGE(Tabel1[[#This Row],[Up - V2a]:[Up - V2c]]),"")</f>
        <v/>
      </c>
      <c r="BG558">
        <v>1</v>
      </c>
      <c r="BH558">
        <v>2</v>
      </c>
      <c r="BI558">
        <f>IFERROR(AVERAGE(Tabel1[[#This Row],[Up - V3a]:[Up - V3b]]),"")</f>
        <v>1.5</v>
      </c>
      <c r="BJ558">
        <v>2</v>
      </c>
      <c r="BK558">
        <f>IFERROR(AVERAGE(Tabel1[[#This Row],[Up - V1]],Tabel1[[#This Row],[Up - V2]],Tabel1[[#This Row],[Up - V3]],Tabel1[[#This Row],[Up - V4]]),"")</f>
        <v>1.6666666666666667</v>
      </c>
      <c r="BL558">
        <v>4</v>
      </c>
      <c r="BM558">
        <v>3</v>
      </c>
      <c r="BN558">
        <v>4</v>
      </c>
      <c r="BO558" t="s">
        <v>189</v>
      </c>
      <c r="BP558">
        <f>IFERROR(AVERAGE(Tabel1[[#This Row],[Up - A1a]:[Up - A1d]]),"")</f>
        <v>3.6666666666666665</v>
      </c>
      <c r="BQ558" t="s">
        <v>189</v>
      </c>
      <c r="BR558" t="s">
        <v>189</v>
      </c>
      <c r="BS558" t="str">
        <f>IFERROR(AVERAGE(Tabel1[[#This Row],[Up - A2a]:[Up - A2b]]),"")</f>
        <v/>
      </c>
      <c r="BT558">
        <v>3</v>
      </c>
      <c r="BU558">
        <f>IFERROR(AVERAGE(Tabel1[[#This Row],[Up - A3a]:[Up - A3a]]),"")</f>
        <v>3</v>
      </c>
      <c r="BV558" t="s">
        <v>189</v>
      </c>
      <c r="BW558">
        <f>IFERROR(AVERAGE(Tabel1[[#This Row],[Up - A1]],Tabel1[[#This Row],[Up - A2]],Tabel1[[#This Row],[Up - A3]]),"")</f>
        <v>3.333333333333333</v>
      </c>
      <c r="BX558">
        <v>2</v>
      </c>
      <c r="BY558">
        <v>2</v>
      </c>
      <c r="BZ558">
        <f>IFERROR(AVERAGE(Tabel1[[#This Row],[In - R1a]:[In - R1b]]),"")</f>
        <v>2</v>
      </c>
      <c r="CA558">
        <v>3</v>
      </c>
      <c r="CB558">
        <v>1</v>
      </c>
      <c r="CC558">
        <v>2</v>
      </c>
      <c r="CD558">
        <v>4</v>
      </c>
      <c r="CE558">
        <f>IFERROR(AVERAGE(Tabel1[[#This Row],[In - R1]:[In - R5]]),"")</f>
        <v>2.4</v>
      </c>
      <c r="CF558">
        <v>3</v>
      </c>
      <c r="CG558">
        <v>2</v>
      </c>
      <c r="CH558">
        <v>2</v>
      </c>
      <c r="CI558">
        <f>IFERROR(AVERAGE(Tabel1[[#This Row],[In - C1a]:[In - C1c]]),"")</f>
        <v>2.3333333333333335</v>
      </c>
      <c r="CJ558">
        <v>4</v>
      </c>
      <c r="CK558">
        <v>2</v>
      </c>
      <c r="CL558">
        <v>4</v>
      </c>
      <c r="CM558">
        <f>IFERROR(AVERAGE(Tabel1[[#This Row],[In - C1]:[In - C4]]),"")</f>
        <v>3.0833333333333335</v>
      </c>
      <c r="CN558">
        <v>3</v>
      </c>
      <c r="CO558">
        <v>2</v>
      </c>
      <c r="CP558">
        <v>2</v>
      </c>
      <c r="CQ558">
        <f>IFERROR(AVERAGE(Tabel1[[#This Row],[In - F1a]:[In - F1c]]),"")</f>
        <v>2.3333333333333335</v>
      </c>
      <c r="CR558">
        <v>4</v>
      </c>
      <c r="CS558">
        <v>2</v>
      </c>
      <c r="CT558">
        <f>IFERROR(AVERAGE(Tabel1[[#This Row],[In - F2a]:[In - F2b]]),"")</f>
        <v>3</v>
      </c>
      <c r="CU558">
        <v>2</v>
      </c>
      <c r="CV558">
        <f>IFERROR(AVERAGE(Tabel1[[#This Row],[In - F3a]:[In - F3a]]),"")</f>
        <v>2</v>
      </c>
      <c r="CW558" t="s">
        <v>189</v>
      </c>
      <c r="CX558">
        <f>IFERROR(AVERAGE(Tabel1[[#This Row],[In - F1]],Tabel1[[#This Row],[In - F2]],Tabel1[[#This Row],[In - F3]],Tabel1[[#This Row],[In - F4]]),"")</f>
        <v>2.4444444444444446</v>
      </c>
      <c r="CY558">
        <v>3</v>
      </c>
      <c r="CZ558">
        <v>2</v>
      </c>
      <c r="DA558">
        <v>1</v>
      </c>
      <c r="DB558">
        <f>IFERROR(AVERAGE(Tabel1[[#This Row],[In - V1a]:[In - V1c]]),"")</f>
        <v>2</v>
      </c>
      <c r="DC558">
        <v>1</v>
      </c>
      <c r="DD558">
        <v>2</v>
      </c>
      <c r="DE558">
        <v>3</v>
      </c>
      <c r="DF558">
        <f>IFERROR(AVERAGE(Tabel1[[#This Row],[In - V2a]:[In - V2c]]),"")</f>
        <v>2</v>
      </c>
      <c r="DG558">
        <v>1</v>
      </c>
      <c r="DH558">
        <v>3</v>
      </c>
      <c r="DI558">
        <f>IFERROR(AVERAGE(Tabel1[[#This Row],[In - V3a]:[In - V3b]]),"")</f>
        <v>2</v>
      </c>
      <c r="DJ558">
        <v>3</v>
      </c>
      <c r="DK558">
        <f>IFERROR(AVERAGE(Tabel1[[#This Row],[In - V1]],Tabel1[[#This Row],[In - V2]],Tabel1[[#This Row],[In - V3]],Tabel1[[#This Row],[In - V4]]),"")</f>
        <v>2.25</v>
      </c>
      <c r="DL558">
        <v>2</v>
      </c>
      <c r="DM558">
        <v>2</v>
      </c>
      <c r="DN558">
        <f>IFERROR(AVERAGE(Tabel1[[#This Row],[In - A1a]:[In - A1b]]),"")</f>
        <v>2</v>
      </c>
      <c r="DO558">
        <v>4</v>
      </c>
      <c r="DP558">
        <v>2</v>
      </c>
      <c r="DQ558">
        <f>IFERROR(AVERAGE(Tabel1[[#This Row],[In - A2a]:[In - A2b]]),"")</f>
        <v>3</v>
      </c>
      <c r="DR558">
        <v>4</v>
      </c>
      <c r="DS558">
        <v>2</v>
      </c>
      <c r="DT558">
        <f>IFERROR(AVERAGE(Tabel1[[#This Row],[In - A3a]:[In - A3a]]),"")</f>
        <v>4</v>
      </c>
      <c r="DU558" t="s">
        <v>189</v>
      </c>
      <c r="DV558">
        <f>IFERROR(AVERAGE(Tabel1[[#This Row],[In - A1]],Tabel1[[#This Row],[In - A2]],Tabel1[[#This Row],[In - A3]],Tabel1[[#This Row],[In - A4]]),"")</f>
        <v>3</v>
      </c>
      <c r="DW558">
        <v>1</v>
      </c>
      <c r="DX558">
        <v>3</v>
      </c>
      <c r="DY558">
        <v>1</v>
      </c>
      <c r="DZ558">
        <f>IFERROR(AVERAGE(Tabel1[[#This Row],[Do - R1a]:[Do - R1c]]),"")</f>
        <v>1.6666666666666667</v>
      </c>
      <c r="EA558">
        <v>4</v>
      </c>
      <c r="EB558">
        <v>3</v>
      </c>
      <c r="EC558">
        <v>1</v>
      </c>
      <c r="ED558">
        <v>4</v>
      </c>
      <c r="EE558">
        <f>IFERROR(AVERAGE(Tabel1[[#This Row],[Do - R1]:[Do - R5]]),"")</f>
        <v>2.7333333333333334</v>
      </c>
      <c r="EF558">
        <v>3</v>
      </c>
      <c r="EG558">
        <v>3</v>
      </c>
      <c r="EH558">
        <v>3</v>
      </c>
      <c r="EI558">
        <f>IFERROR(AVERAGE(Tabel1[[#This Row],[Do - C1a]:[Do - C1c]]),"")</f>
        <v>3</v>
      </c>
      <c r="EJ558">
        <v>3</v>
      </c>
      <c r="EK558">
        <v>1</v>
      </c>
      <c r="EL558" t="s">
        <v>189</v>
      </c>
      <c r="EM558">
        <f>IFERROR(AVERAGE(Tabel1[[#This Row],[Do - C1]:[Do - C4]]),"")</f>
        <v>2.3333333333333335</v>
      </c>
      <c r="EN558">
        <v>2</v>
      </c>
      <c r="EO558">
        <v>2</v>
      </c>
      <c r="EP558" t="s">
        <v>189</v>
      </c>
      <c r="EQ558">
        <f>IFERROR(AVERAGE(Tabel1[[#This Row],[Do - F1a]:[Do - F1c]]),"")</f>
        <v>2</v>
      </c>
      <c r="ER558">
        <v>2</v>
      </c>
      <c r="ES558">
        <f>IFERROR(AVERAGE(Tabel1[[#This Row],[Do - F2a]:[Do - F2a]]),"")</f>
        <v>2</v>
      </c>
      <c r="ET558" t="s">
        <v>189</v>
      </c>
      <c r="EU558">
        <v>2</v>
      </c>
      <c r="EV558">
        <f>IFERROR(AVERAGE(Tabel1[[#This Row],[Do - F3a]:[Do - F3b]]),"")</f>
        <v>2</v>
      </c>
      <c r="EW558" t="s">
        <v>189</v>
      </c>
      <c r="EX558">
        <f>IFERROR(AVERAGE(Tabel1[[#This Row],[Do - F1]],Tabel1[[#This Row],[Do - F2]],Tabel1[[#This Row],[Do - F3]],Tabel1[[#This Row],[Do - F4]]),"")</f>
        <v>2</v>
      </c>
      <c r="EY558">
        <v>3</v>
      </c>
      <c r="EZ558" t="s">
        <v>189</v>
      </c>
      <c r="FA558">
        <v>2</v>
      </c>
      <c r="FB558">
        <f>IFERROR(AVERAGE(Tabel1[[#This Row],[Do - V1a]:[Do - V1c]]),"")</f>
        <v>2.5</v>
      </c>
      <c r="FC558" t="s">
        <v>189</v>
      </c>
      <c r="FD558">
        <v>2</v>
      </c>
      <c r="FE558">
        <f>IFERROR(AVERAGE(Tabel1[[#This Row],[Do - V2a]:[Do - V2b]]),"")</f>
        <v>2</v>
      </c>
      <c r="FF558">
        <v>1</v>
      </c>
      <c r="FG558">
        <f>IFERROR(AVERAGE(Tabel1[[#This Row],[Do - V3a]:[Do - V3a]]),"")</f>
        <v>1</v>
      </c>
      <c r="FH558">
        <v>3</v>
      </c>
      <c r="FI558">
        <f>IFERROR(AVERAGE(Tabel1[[#This Row],[Do - V1]],Tabel1[[#This Row],[Do - V2]],Tabel1[[#This Row],[Do - V3]],Tabel1[[#This Row],[Do - V4]]),"")</f>
        <v>2.125</v>
      </c>
      <c r="FJ558">
        <v>2</v>
      </c>
      <c r="FK558">
        <v>2</v>
      </c>
      <c r="FL558">
        <v>3</v>
      </c>
      <c r="FM558">
        <f>IFERROR(AVERAGE(Tabel1[[#This Row],[Do - A1a]:[Do - A1c]]),"")</f>
        <v>2.3333333333333335</v>
      </c>
      <c r="FN558" t="s">
        <v>189</v>
      </c>
      <c r="FO558">
        <v>4</v>
      </c>
      <c r="FP558">
        <f>IFERROR(AVERAGE(Tabel1[[#This Row],[Do - A2a]:[Do - A2b]]),"")</f>
        <v>4</v>
      </c>
      <c r="FQ558">
        <v>3</v>
      </c>
      <c r="FR558">
        <f>IFERROR(AVERAGE(Tabel1[[#This Row],[Do - A3a]:[Do - A3a]]),"")</f>
        <v>3</v>
      </c>
      <c r="FS558" t="s">
        <v>189</v>
      </c>
      <c r="FT558">
        <f>IFERROR(AVERAGE(Tabel1[[#This Row],[Do - A1]],Tabel1[[#This Row],[Do - A2]],Tabel1[[#This Row],[Do - A3]],Tabel1[[#This Row],[Do - A4]]),"")</f>
        <v>3.1111111111111112</v>
      </c>
      <c r="FU558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2.4320370370370368</v>
      </c>
      <c r="FV558" s="31" t="s">
        <v>2679</v>
      </c>
      <c r="FW558" t="b">
        <v>1</v>
      </c>
    </row>
    <row r="559" spans="1:179" x14ac:dyDescent="0.3">
      <c r="A559" s="13">
        <v>46044.336898148104</v>
      </c>
      <c r="B559" t="b">
        <v>0</v>
      </c>
      <c r="C559" t="s">
        <v>2680</v>
      </c>
      <c r="D559" t="s">
        <v>2681</v>
      </c>
      <c r="E559" t="s">
        <v>2677</v>
      </c>
      <c r="F559" s="14"/>
      <c r="G559" t="s">
        <v>2682</v>
      </c>
      <c r="H559" t="s">
        <v>222</v>
      </c>
      <c r="I559" t="s">
        <v>195</v>
      </c>
      <c r="J559" t="s">
        <v>212</v>
      </c>
      <c r="K559" t="s">
        <v>201</v>
      </c>
      <c r="L559" t="s">
        <v>218</v>
      </c>
      <c r="M559" t="s">
        <v>233</v>
      </c>
      <c r="N559" t="s">
        <v>262</v>
      </c>
      <c r="O559" t="s">
        <v>200</v>
      </c>
      <c r="Q559" t="s">
        <v>201</v>
      </c>
      <c r="R559" t="s">
        <v>201</v>
      </c>
      <c r="S559" t="s">
        <v>202</v>
      </c>
      <c r="T559" t="s">
        <v>204</v>
      </c>
      <c r="U559" t="s">
        <v>285</v>
      </c>
      <c r="V559" t="s">
        <v>224</v>
      </c>
      <c r="W559" t="s">
        <v>207</v>
      </c>
      <c r="X559" t="s">
        <v>207</v>
      </c>
      <c r="Y559">
        <v>1</v>
      </c>
      <c r="Z559">
        <v>3</v>
      </c>
      <c r="AA559">
        <v>5</v>
      </c>
      <c r="AB559">
        <f>IFERROR(AVERAGE(Tabel1[[#This Row],[Up - R1a]:[Up - R1c]]),"")</f>
        <v>3</v>
      </c>
      <c r="AC559" t="s">
        <v>189</v>
      </c>
      <c r="AD559" t="s">
        <v>189</v>
      </c>
      <c r="AE559">
        <v>1</v>
      </c>
      <c r="AF559" t="s">
        <v>189</v>
      </c>
      <c r="AG559">
        <f>IFERROR(AVERAGE(Tabel1[[#This Row],[Up - R1]:[Up - R5]]),"")</f>
        <v>2</v>
      </c>
      <c r="AH559">
        <v>2</v>
      </c>
      <c r="AI559" t="s">
        <v>189</v>
      </c>
      <c r="AJ559">
        <v>2</v>
      </c>
      <c r="AK559">
        <f>IFERROR(AVERAGE(Tabel1[[#This Row],[Up - C1a]:[Up - C1c]]),"")</f>
        <v>2</v>
      </c>
      <c r="AL559" t="s">
        <v>189</v>
      </c>
      <c r="AM559" t="s">
        <v>189</v>
      </c>
      <c r="AN559" t="s">
        <v>189</v>
      </c>
      <c r="AO559">
        <f>IFERROR(AVERAGE(Tabel1[[#This Row],[Up - C1]:[Up - C4]]),"")</f>
        <v>2</v>
      </c>
      <c r="AP559" t="s">
        <v>189</v>
      </c>
      <c r="AQ559" t="str">
        <f>IFERROR(AVERAGE(Tabel1[[#This Row],[Up - F1a]:[Up - F1a]]),"")</f>
        <v/>
      </c>
      <c r="AR559">
        <v>1</v>
      </c>
      <c r="AS559">
        <v>2</v>
      </c>
      <c r="AT559">
        <f>IFERROR(AVERAGE(Tabel1[[#This Row],[Up - F2a]:[Up - F2b]]),"")</f>
        <v>1.5</v>
      </c>
      <c r="AU559" t="s">
        <v>189</v>
      </c>
      <c r="AV559" t="s">
        <v>189</v>
      </c>
      <c r="AW559" t="str">
        <f>IFERROR(AVERAGE(Tabel1[[#This Row],[Up - F3a]:[Up - F3b]]),"")</f>
        <v/>
      </c>
      <c r="AX559" t="s">
        <v>189</v>
      </c>
      <c r="AY559">
        <f>IFERROR(AVERAGE(Tabel1[[#This Row],[Up - F1]],Tabel1[[#This Row],[Up - F2]],Tabel1[[#This Row],[Up - F3]],Tabel1[[#This Row],[Up - F4]]),"")</f>
        <v>1.5</v>
      </c>
      <c r="AZ559" t="s">
        <v>189</v>
      </c>
      <c r="BA559" t="s">
        <v>189</v>
      </c>
      <c r="BB559" t="str">
        <f>IFERROR(AVERAGE(Tabel1[[#This Row],[Up - V1a]:[Up - V1b]]),"")</f>
        <v/>
      </c>
      <c r="BC559" t="s">
        <v>189</v>
      </c>
      <c r="BD559" t="s">
        <v>189</v>
      </c>
      <c r="BE559" t="s">
        <v>189</v>
      </c>
      <c r="BF559" t="str">
        <f>IFERROR(AVERAGE(Tabel1[[#This Row],[Up - V2a]:[Up - V2c]]),"")</f>
        <v/>
      </c>
      <c r="BG559">
        <v>1</v>
      </c>
      <c r="BH559" t="s">
        <v>189</v>
      </c>
      <c r="BI559">
        <f>IFERROR(AVERAGE(Tabel1[[#This Row],[Up - V3a]:[Up - V3b]]),"")</f>
        <v>1</v>
      </c>
      <c r="BJ559" t="s">
        <v>189</v>
      </c>
      <c r="BK559">
        <f>IFERROR(AVERAGE(Tabel1[[#This Row],[Up - V1]],Tabel1[[#This Row],[Up - V2]],Tabel1[[#This Row],[Up - V3]],Tabel1[[#This Row],[Up - V4]]),"")</f>
        <v>1</v>
      </c>
      <c r="BL559">
        <v>4</v>
      </c>
      <c r="BM559">
        <v>4</v>
      </c>
      <c r="BN559">
        <v>2</v>
      </c>
      <c r="BO559" t="s">
        <v>189</v>
      </c>
      <c r="BP559">
        <f>IFERROR(AVERAGE(Tabel1[[#This Row],[Up - A1a]:[Up - A1d]]),"")</f>
        <v>3.3333333333333335</v>
      </c>
      <c r="BQ559" t="s">
        <v>189</v>
      </c>
      <c r="BR559">
        <v>4</v>
      </c>
      <c r="BS559">
        <f>IFERROR(AVERAGE(Tabel1[[#This Row],[Up - A2a]:[Up - A2b]]),"")</f>
        <v>4</v>
      </c>
      <c r="BT559" t="s">
        <v>189</v>
      </c>
      <c r="BU559" t="str">
        <f>IFERROR(AVERAGE(Tabel1[[#This Row],[Up - A3a]:[Up - A3a]]),"")</f>
        <v/>
      </c>
      <c r="BV559" t="s">
        <v>189</v>
      </c>
      <c r="BW559">
        <f>IFERROR(AVERAGE(Tabel1[[#This Row],[Up - A1]],Tabel1[[#This Row],[Up - A2]],Tabel1[[#This Row],[Up - A3]]),"")</f>
        <v>3.666666666666667</v>
      </c>
      <c r="BX559">
        <v>2</v>
      </c>
      <c r="BY559">
        <v>3</v>
      </c>
      <c r="BZ559">
        <f>IFERROR(AVERAGE(Tabel1[[#This Row],[In - R1a]:[In - R1b]]),"")</f>
        <v>2.5</v>
      </c>
      <c r="CA559">
        <v>5</v>
      </c>
      <c r="CB559" t="s">
        <v>189</v>
      </c>
      <c r="CC559">
        <v>3</v>
      </c>
      <c r="CD559" t="s">
        <v>189</v>
      </c>
      <c r="CE559">
        <f>IFERROR(AVERAGE(Tabel1[[#This Row],[In - R1]:[In - R5]]),"")</f>
        <v>3.5</v>
      </c>
      <c r="CF559">
        <v>4</v>
      </c>
      <c r="CG559">
        <v>4</v>
      </c>
      <c r="CH559">
        <v>3</v>
      </c>
      <c r="CI559">
        <f>IFERROR(AVERAGE(Tabel1[[#This Row],[In - C1a]:[In - C1c]]),"")</f>
        <v>3.6666666666666665</v>
      </c>
      <c r="CJ559">
        <v>4</v>
      </c>
      <c r="CK559" t="s">
        <v>189</v>
      </c>
      <c r="CL559" t="s">
        <v>189</v>
      </c>
      <c r="CM559">
        <f>IFERROR(AVERAGE(Tabel1[[#This Row],[In - C1]:[In - C4]]),"")</f>
        <v>3.833333333333333</v>
      </c>
      <c r="CN559">
        <v>4</v>
      </c>
      <c r="CO559">
        <v>3</v>
      </c>
      <c r="CP559">
        <v>1</v>
      </c>
      <c r="CQ559">
        <f>IFERROR(AVERAGE(Tabel1[[#This Row],[In - F1a]:[In - F1c]]),"")</f>
        <v>2.6666666666666665</v>
      </c>
      <c r="CR559">
        <v>5</v>
      </c>
      <c r="CS559">
        <v>1</v>
      </c>
      <c r="CT559">
        <f>IFERROR(AVERAGE(Tabel1[[#This Row],[In - F2a]:[In - F2b]]),"")</f>
        <v>3</v>
      </c>
      <c r="CU559">
        <v>1</v>
      </c>
      <c r="CV559">
        <f>IFERROR(AVERAGE(Tabel1[[#This Row],[In - F3a]:[In - F3a]]),"")</f>
        <v>1</v>
      </c>
      <c r="CW559" t="s">
        <v>189</v>
      </c>
      <c r="CX559">
        <f>IFERROR(AVERAGE(Tabel1[[#This Row],[In - F1]],Tabel1[[#This Row],[In - F2]],Tabel1[[#This Row],[In - F3]],Tabel1[[#This Row],[In - F4]]),"")</f>
        <v>2.2222222222222219</v>
      </c>
      <c r="CY559">
        <v>2</v>
      </c>
      <c r="CZ559">
        <v>4</v>
      </c>
      <c r="DA559">
        <v>3</v>
      </c>
      <c r="DB559">
        <f>IFERROR(AVERAGE(Tabel1[[#This Row],[In - V1a]:[In - V1c]]),"")</f>
        <v>3</v>
      </c>
      <c r="DC559">
        <v>2</v>
      </c>
      <c r="DD559">
        <v>3</v>
      </c>
      <c r="DE559">
        <v>3</v>
      </c>
      <c r="DF559">
        <f>IFERROR(AVERAGE(Tabel1[[#This Row],[In - V2a]:[In - V2c]]),"")</f>
        <v>2.6666666666666665</v>
      </c>
      <c r="DG559">
        <v>3</v>
      </c>
      <c r="DH559">
        <v>4</v>
      </c>
      <c r="DI559">
        <f>IFERROR(AVERAGE(Tabel1[[#This Row],[In - V3a]:[In - V3b]]),"")</f>
        <v>3.5</v>
      </c>
      <c r="DJ559" t="s">
        <v>189</v>
      </c>
      <c r="DK559">
        <f>IFERROR(AVERAGE(Tabel1[[#This Row],[In - V1]],Tabel1[[#This Row],[In - V2]],Tabel1[[#This Row],[In - V3]],Tabel1[[#This Row],[In - V4]]),"")</f>
        <v>3.0555555555555554</v>
      </c>
      <c r="DL559">
        <v>2</v>
      </c>
      <c r="DM559">
        <v>2</v>
      </c>
      <c r="DN559">
        <f>IFERROR(AVERAGE(Tabel1[[#This Row],[In - A1a]:[In - A1b]]),"")</f>
        <v>2</v>
      </c>
      <c r="DO559">
        <v>3</v>
      </c>
      <c r="DP559">
        <v>2</v>
      </c>
      <c r="DQ559">
        <f>IFERROR(AVERAGE(Tabel1[[#This Row],[In - A2a]:[In - A2b]]),"")</f>
        <v>2.5</v>
      </c>
      <c r="DR559" t="s">
        <v>189</v>
      </c>
      <c r="DS559">
        <v>1</v>
      </c>
      <c r="DT559" t="str">
        <f>IFERROR(AVERAGE(Tabel1[[#This Row],[In - A3a]:[In - A3a]]),"")</f>
        <v/>
      </c>
      <c r="DU559" t="s">
        <v>189</v>
      </c>
      <c r="DV559">
        <f>IFERROR(AVERAGE(Tabel1[[#This Row],[In - A1]],Tabel1[[#This Row],[In - A2]],Tabel1[[#This Row],[In - A3]],Tabel1[[#This Row],[In - A4]]),"")</f>
        <v>2.25</v>
      </c>
      <c r="DW559">
        <v>1</v>
      </c>
      <c r="DX559">
        <v>5</v>
      </c>
      <c r="DY559">
        <v>1</v>
      </c>
      <c r="DZ559">
        <f>IFERROR(AVERAGE(Tabel1[[#This Row],[Do - R1a]:[Do - R1c]]),"")</f>
        <v>2.3333333333333335</v>
      </c>
      <c r="EA559">
        <v>5</v>
      </c>
      <c r="EB559" t="s">
        <v>189</v>
      </c>
      <c r="EC559">
        <v>3</v>
      </c>
      <c r="ED559" t="s">
        <v>189</v>
      </c>
      <c r="EE559">
        <f>IFERROR(AVERAGE(Tabel1[[#This Row],[Do - R1]:[Do - R5]]),"")</f>
        <v>3.4444444444444446</v>
      </c>
      <c r="EF559">
        <v>4</v>
      </c>
      <c r="EG559">
        <v>4</v>
      </c>
      <c r="EH559">
        <v>3</v>
      </c>
      <c r="EI559">
        <f>IFERROR(AVERAGE(Tabel1[[#This Row],[Do - C1a]:[Do - C1c]]),"")</f>
        <v>3.6666666666666665</v>
      </c>
      <c r="EJ559">
        <v>3</v>
      </c>
      <c r="EK559" t="s">
        <v>189</v>
      </c>
      <c r="EL559" t="s">
        <v>189</v>
      </c>
      <c r="EM559">
        <f>IFERROR(AVERAGE(Tabel1[[#This Row],[Do - C1]:[Do - C4]]),"")</f>
        <v>3.333333333333333</v>
      </c>
      <c r="EN559" t="s">
        <v>189</v>
      </c>
      <c r="EO559">
        <v>1</v>
      </c>
      <c r="EP559">
        <v>3</v>
      </c>
      <c r="EQ559">
        <f>IFERROR(AVERAGE(Tabel1[[#This Row],[Do - F1a]:[Do - F1c]]),"")</f>
        <v>2</v>
      </c>
      <c r="ER559">
        <v>1</v>
      </c>
      <c r="ES559">
        <f>IFERROR(AVERAGE(Tabel1[[#This Row],[Do - F2a]:[Do - F2a]]),"")</f>
        <v>1</v>
      </c>
      <c r="ET559" t="s">
        <v>189</v>
      </c>
      <c r="EU559" t="s">
        <v>189</v>
      </c>
      <c r="EV559" t="str">
        <f>IFERROR(AVERAGE(Tabel1[[#This Row],[Do - F3a]:[Do - F3b]]),"")</f>
        <v/>
      </c>
      <c r="EW559" t="s">
        <v>189</v>
      </c>
      <c r="EX559">
        <f>IFERROR(AVERAGE(Tabel1[[#This Row],[Do - F1]],Tabel1[[#This Row],[Do - F2]],Tabel1[[#This Row],[Do - F3]],Tabel1[[#This Row],[Do - F4]]),"")</f>
        <v>1.5</v>
      </c>
      <c r="EY559" t="s">
        <v>189</v>
      </c>
      <c r="EZ559" t="s">
        <v>189</v>
      </c>
      <c r="FA559">
        <v>4</v>
      </c>
      <c r="FB559">
        <f>IFERROR(AVERAGE(Tabel1[[#This Row],[Do - V1a]:[Do - V1c]]),"")</f>
        <v>4</v>
      </c>
      <c r="FC559">
        <v>2</v>
      </c>
      <c r="FD559">
        <v>4</v>
      </c>
      <c r="FE559">
        <f>IFERROR(AVERAGE(Tabel1[[#This Row],[Do - V2a]:[Do - V2b]]),"")</f>
        <v>3</v>
      </c>
      <c r="FF559" t="s">
        <v>189</v>
      </c>
      <c r="FG559" t="str">
        <f>IFERROR(AVERAGE(Tabel1[[#This Row],[Do - V3a]:[Do - V3a]]),"")</f>
        <v/>
      </c>
      <c r="FH559" t="s">
        <v>189</v>
      </c>
      <c r="FI559">
        <f>IFERROR(AVERAGE(Tabel1[[#This Row],[Do - V1]],Tabel1[[#This Row],[Do - V2]],Tabel1[[#This Row],[Do - V3]],Tabel1[[#This Row],[Do - V4]]),"")</f>
        <v>3.5</v>
      </c>
      <c r="FJ559">
        <v>4</v>
      </c>
      <c r="FK559">
        <v>2</v>
      </c>
      <c r="FL559">
        <v>3</v>
      </c>
      <c r="FM559">
        <f>IFERROR(AVERAGE(Tabel1[[#This Row],[Do - A1a]:[Do - A1c]]),"")</f>
        <v>3</v>
      </c>
      <c r="FN559" t="s">
        <v>189</v>
      </c>
      <c r="FO559">
        <v>4</v>
      </c>
      <c r="FP559">
        <f>IFERROR(AVERAGE(Tabel1[[#This Row],[Do - A2a]:[Do - A2b]]),"")</f>
        <v>4</v>
      </c>
      <c r="FQ559" t="s">
        <v>189</v>
      </c>
      <c r="FR559" t="str">
        <f>IFERROR(AVERAGE(Tabel1[[#This Row],[Do - A3a]:[Do - A3a]]),"")</f>
        <v/>
      </c>
      <c r="FS559" t="s">
        <v>189</v>
      </c>
      <c r="FT559">
        <f>IFERROR(AVERAGE(Tabel1[[#This Row],[Do - A1]],Tabel1[[#This Row],[Do - A2]],Tabel1[[#This Row],[Do - A3]],Tabel1[[#This Row],[Do - A4]]),"")</f>
        <v>3.5</v>
      </c>
      <c r="FU559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2.6870370370370371</v>
      </c>
      <c r="FV559" s="31" t="s">
        <v>2683</v>
      </c>
      <c r="FW559" t="b">
        <v>1</v>
      </c>
    </row>
    <row r="560" spans="1:179" x14ac:dyDescent="0.3">
      <c r="A560" s="13">
        <v>46044.369826388902</v>
      </c>
      <c r="B560" t="b">
        <v>0</v>
      </c>
      <c r="C560" t="s">
        <v>2684</v>
      </c>
      <c r="D560" t="s">
        <v>2076</v>
      </c>
      <c r="E560" t="s">
        <v>2677</v>
      </c>
      <c r="F560" s="14"/>
      <c r="G560" t="s">
        <v>2685</v>
      </c>
      <c r="H560" t="s">
        <v>222</v>
      </c>
      <c r="I560" t="s">
        <v>195</v>
      </c>
      <c r="J560" t="s">
        <v>212</v>
      </c>
      <c r="K560" t="s">
        <v>201</v>
      </c>
      <c r="L560" t="s">
        <v>218</v>
      </c>
      <c r="M560" t="s">
        <v>233</v>
      </c>
      <c r="N560" t="s">
        <v>262</v>
      </c>
      <c r="O560" t="s">
        <v>200</v>
      </c>
      <c r="P560" t="s">
        <v>255</v>
      </c>
      <c r="Q560" t="s">
        <v>201</v>
      </c>
      <c r="R560" t="s">
        <v>201</v>
      </c>
      <c r="S560" t="s">
        <v>235</v>
      </c>
      <c r="T560" t="s">
        <v>236</v>
      </c>
      <c r="U560" t="s">
        <v>349</v>
      </c>
      <c r="V560" t="s">
        <v>224</v>
      </c>
      <c r="W560" t="s">
        <v>207</v>
      </c>
      <c r="X560" t="s">
        <v>207</v>
      </c>
      <c r="Y560">
        <v>1</v>
      </c>
      <c r="Z560">
        <v>3</v>
      </c>
      <c r="AA560">
        <v>3</v>
      </c>
      <c r="AB560">
        <f>IFERROR(AVERAGE(Tabel1[[#This Row],[Up - R1a]:[Up - R1c]]),"")</f>
        <v>2.3333333333333335</v>
      </c>
      <c r="AC560">
        <v>3</v>
      </c>
      <c r="AD560">
        <v>2</v>
      </c>
      <c r="AE560" t="s">
        <v>189</v>
      </c>
      <c r="AF560" t="s">
        <v>189</v>
      </c>
      <c r="AG560">
        <f>IFERROR(AVERAGE(Tabel1[[#This Row],[Up - R1]:[Up - R5]]),"")</f>
        <v>2.4444444444444446</v>
      </c>
      <c r="AH560">
        <v>3</v>
      </c>
      <c r="AI560">
        <v>4</v>
      </c>
      <c r="AJ560">
        <v>3</v>
      </c>
      <c r="AK560">
        <f>IFERROR(AVERAGE(Tabel1[[#This Row],[Up - C1a]:[Up - C1c]]),"")</f>
        <v>3.3333333333333335</v>
      </c>
      <c r="AL560">
        <v>1</v>
      </c>
      <c r="AM560">
        <v>1</v>
      </c>
      <c r="AN560">
        <v>3</v>
      </c>
      <c r="AO560">
        <f>IFERROR(AVERAGE(Tabel1[[#This Row],[Up - C1]:[Up - C4]]),"")</f>
        <v>2.0833333333333335</v>
      </c>
      <c r="AP560">
        <v>3</v>
      </c>
      <c r="AQ560">
        <f>IFERROR(AVERAGE(Tabel1[[#This Row],[Up - F1a]:[Up - F1a]]),"")</f>
        <v>3</v>
      </c>
      <c r="AR560">
        <v>1</v>
      </c>
      <c r="AS560">
        <v>3</v>
      </c>
      <c r="AT560">
        <f>IFERROR(AVERAGE(Tabel1[[#This Row],[Up - F2a]:[Up - F2b]]),"")</f>
        <v>2</v>
      </c>
      <c r="AU560">
        <v>1</v>
      </c>
      <c r="AV560">
        <v>1</v>
      </c>
      <c r="AW560">
        <f>IFERROR(AVERAGE(Tabel1[[#This Row],[Up - F3a]:[Up - F3b]]),"")</f>
        <v>1</v>
      </c>
      <c r="AX560">
        <v>3</v>
      </c>
      <c r="AY560">
        <f>IFERROR(AVERAGE(Tabel1[[#This Row],[Up - F1]],Tabel1[[#This Row],[Up - F2]],Tabel1[[#This Row],[Up - F3]],Tabel1[[#This Row],[Up - F4]]),"")</f>
        <v>2.25</v>
      </c>
      <c r="AZ560">
        <v>2</v>
      </c>
      <c r="BA560">
        <v>2</v>
      </c>
      <c r="BB560">
        <f>IFERROR(AVERAGE(Tabel1[[#This Row],[Up - V1a]:[Up - V1b]]),"")</f>
        <v>2</v>
      </c>
      <c r="BC560">
        <v>2</v>
      </c>
      <c r="BD560">
        <v>3</v>
      </c>
      <c r="BE560">
        <v>2</v>
      </c>
      <c r="BF560">
        <f>IFERROR(AVERAGE(Tabel1[[#This Row],[Up - V2a]:[Up - V2c]]),"")</f>
        <v>2.3333333333333335</v>
      </c>
      <c r="BG560">
        <v>1</v>
      </c>
      <c r="BH560">
        <v>1</v>
      </c>
      <c r="BI560">
        <f>IFERROR(AVERAGE(Tabel1[[#This Row],[Up - V3a]:[Up - V3b]]),"")</f>
        <v>1</v>
      </c>
      <c r="BJ560">
        <v>1</v>
      </c>
      <c r="BK560">
        <f>IFERROR(AVERAGE(Tabel1[[#This Row],[Up - V1]],Tabel1[[#This Row],[Up - V2]],Tabel1[[#This Row],[Up - V3]],Tabel1[[#This Row],[Up - V4]]),"")</f>
        <v>1.5833333333333335</v>
      </c>
      <c r="BL560">
        <v>3</v>
      </c>
      <c r="BM560">
        <v>3</v>
      </c>
      <c r="BN560">
        <v>2</v>
      </c>
      <c r="BO560" t="s">
        <v>189</v>
      </c>
      <c r="BP560">
        <f>IFERROR(AVERAGE(Tabel1[[#This Row],[Up - A1a]:[Up - A1d]]),"")</f>
        <v>2.6666666666666665</v>
      </c>
      <c r="BQ560" t="s">
        <v>189</v>
      </c>
      <c r="BR560">
        <v>4</v>
      </c>
      <c r="BS560">
        <f>IFERROR(AVERAGE(Tabel1[[#This Row],[Up - A2a]:[Up - A2b]]),"")</f>
        <v>4</v>
      </c>
      <c r="BT560">
        <v>3</v>
      </c>
      <c r="BU560">
        <f>IFERROR(AVERAGE(Tabel1[[#This Row],[Up - A3a]:[Up - A3a]]),"")</f>
        <v>3</v>
      </c>
      <c r="BV560">
        <v>2</v>
      </c>
      <c r="BW560">
        <f>IFERROR(AVERAGE(Tabel1[[#This Row],[Up - A1]],Tabel1[[#This Row],[Up - A2]],Tabel1[[#This Row],[Up - A3]]),"")</f>
        <v>3.2222222222222219</v>
      </c>
      <c r="BX560">
        <v>3</v>
      </c>
      <c r="BY560">
        <v>3</v>
      </c>
      <c r="BZ560">
        <f>IFERROR(AVERAGE(Tabel1[[#This Row],[In - R1a]:[In - R1b]]),"")</f>
        <v>3</v>
      </c>
      <c r="CA560">
        <v>3</v>
      </c>
      <c r="CB560">
        <v>2</v>
      </c>
      <c r="CC560">
        <v>3</v>
      </c>
      <c r="CD560">
        <v>5</v>
      </c>
      <c r="CE560">
        <f>IFERROR(AVERAGE(Tabel1[[#This Row],[In - R1]:[In - R5]]),"")</f>
        <v>3.2</v>
      </c>
      <c r="CF560">
        <v>4</v>
      </c>
      <c r="CG560">
        <v>4</v>
      </c>
      <c r="CH560">
        <v>3</v>
      </c>
      <c r="CI560">
        <f>IFERROR(AVERAGE(Tabel1[[#This Row],[In - C1a]:[In - C1c]]),"")</f>
        <v>3.6666666666666665</v>
      </c>
      <c r="CJ560">
        <v>3</v>
      </c>
      <c r="CK560">
        <v>2</v>
      </c>
      <c r="CL560">
        <v>1</v>
      </c>
      <c r="CM560">
        <f>IFERROR(AVERAGE(Tabel1[[#This Row],[In - C1]:[In - C4]]),"")</f>
        <v>2.4166666666666665</v>
      </c>
      <c r="CN560">
        <v>3</v>
      </c>
      <c r="CO560">
        <v>2</v>
      </c>
      <c r="CP560">
        <v>1</v>
      </c>
      <c r="CQ560">
        <f>IFERROR(AVERAGE(Tabel1[[#This Row],[In - F1a]:[In - F1c]]),"")</f>
        <v>2</v>
      </c>
      <c r="CR560">
        <v>3</v>
      </c>
      <c r="CS560">
        <v>1</v>
      </c>
      <c r="CT560">
        <f>IFERROR(AVERAGE(Tabel1[[#This Row],[In - F2a]:[In - F2b]]),"")</f>
        <v>2</v>
      </c>
      <c r="CU560">
        <v>1</v>
      </c>
      <c r="CV560">
        <f>IFERROR(AVERAGE(Tabel1[[#This Row],[In - F3a]:[In - F3a]]),"")</f>
        <v>1</v>
      </c>
      <c r="CW560">
        <v>4</v>
      </c>
      <c r="CX560">
        <f>IFERROR(AVERAGE(Tabel1[[#This Row],[In - F1]],Tabel1[[#This Row],[In - F2]],Tabel1[[#This Row],[In - F3]],Tabel1[[#This Row],[In - F4]]),"")</f>
        <v>2.25</v>
      </c>
      <c r="CY560">
        <v>2</v>
      </c>
      <c r="CZ560">
        <v>3</v>
      </c>
      <c r="DA560">
        <v>1</v>
      </c>
      <c r="DB560">
        <f>IFERROR(AVERAGE(Tabel1[[#This Row],[In - V1a]:[In - V1c]]),"")</f>
        <v>2</v>
      </c>
      <c r="DC560">
        <v>2</v>
      </c>
      <c r="DD560">
        <v>2</v>
      </c>
      <c r="DE560">
        <v>2</v>
      </c>
      <c r="DF560">
        <f>IFERROR(AVERAGE(Tabel1[[#This Row],[In - V2a]:[In - V2c]]),"")</f>
        <v>2</v>
      </c>
      <c r="DG560">
        <v>2</v>
      </c>
      <c r="DH560">
        <v>3</v>
      </c>
      <c r="DI560">
        <f>IFERROR(AVERAGE(Tabel1[[#This Row],[In - V3a]:[In - V3b]]),"")</f>
        <v>2.5</v>
      </c>
      <c r="DJ560">
        <v>2</v>
      </c>
      <c r="DK560">
        <f>IFERROR(AVERAGE(Tabel1[[#This Row],[In - V1]],Tabel1[[#This Row],[In - V2]],Tabel1[[#This Row],[In - V3]],Tabel1[[#This Row],[In - V4]]),"")</f>
        <v>2.125</v>
      </c>
      <c r="DL560">
        <v>2</v>
      </c>
      <c r="DM560">
        <v>2</v>
      </c>
      <c r="DN560">
        <f>IFERROR(AVERAGE(Tabel1[[#This Row],[In - A1a]:[In - A1b]]),"")</f>
        <v>2</v>
      </c>
      <c r="DO560">
        <v>2</v>
      </c>
      <c r="DP560">
        <v>2</v>
      </c>
      <c r="DQ560">
        <f>IFERROR(AVERAGE(Tabel1[[#This Row],[In - A2a]:[In - A2b]]),"")</f>
        <v>2</v>
      </c>
      <c r="DR560">
        <v>4</v>
      </c>
      <c r="DS560">
        <v>3</v>
      </c>
      <c r="DT560">
        <f>IFERROR(AVERAGE(Tabel1[[#This Row],[In - A3a]:[In - A3a]]),"")</f>
        <v>4</v>
      </c>
      <c r="DU560">
        <v>3</v>
      </c>
      <c r="DV560">
        <f>IFERROR(AVERAGE(Tabel1[[#This Row],[In - A1]],Tabel1[[#This Row],[In - A2]],Tabel1[[#This Row],[In - A3]],Tabel1[[#This Row],[In - A4]]),"")</f>
        <v>2.75</v>
      </c>
      <c r="DW560">
        <v>1</v>
      </c>
      <c r="DX560">
        <v>4</v>
      </c>
      <c r="DY560">
        <v>1</v>
      </c>
      <c r="DZ560">
        <f>IFERROR(AVERAGE(Tabel1[[#This Row],[Do - R1a]:[Do - R1c]]),"")</f>
        <v>2</v>
      </c>
      <c r="EA560">
        <v>3</v>
      </c>
      <c r="EB560">
        <v>3</v>
      </c>
      <c r="EC560">
        <v>1</v>
      </c>
      <c r="ED560">
        <v>4</v>
      </c>
      <c r="EE560">
        <f>IFERROR(AVERAGE(Tabel1[[#This Row],[Do - R1]:[Do - R5]]),"")</f>
        <v>2.6</v>
      </c>
      <c r="EF560">
        <v>3</v>
      </c>
      <c r="EG560">
        <v>4</v>
      </c>
      <c r="EH560">
        <v>3</v>
      </c>
      <c r="EI560">
        <f>IFERROR(AVERAGE(Tabel1[[#This Row],[Do - C1a]:[Do - C1c]]),"")</f>
        <v>3.3333333333333335</v>
      </c>
      <c r="EJ560">
        <v>3</v>
      </c>
      <c r="EK560">
        <v>2</v>
      </c>
      <c r="EL560">
        <v>3</v>
      </c>
      <c r="EM560">
        <f>IFERROR(AVERAGE(Tabel1[[#This Row],[Do - C1]:[Do - C4]]),"")</f>
        <v>2.8333333333333335</v>
      </c>
      <c r="EN560">
        <v>2</v>
      </c>
      <c r="EO560">
        <v>2</v>
      </c>
      <c r="EP560">
        <v>1</v>
      </c>
      <c r="EQ560">
        <f>IFERROR(AVERAGE(Tabel1[[#This Row],[Do - F1a]:[Do - F1c]]),"")</f>
        <v>1.6666666666666667</v>
      </c>
      <c r="ER560">
        <v>2</v>
      </c>
      <c r="ES560">
        <f>IFERROR(AVERAGE(Tabel1[[#This Row],[Do - F2a]:[Do - F2a]]),"")</f>
        <v>2</v>
      </c>
      <c r="ET560">
        <v>2</v>
      </c>
      <c r="EU560">
        <v>2</v>
      </c>
      <c r="EV560">
        <f>IFERROR(AVERAGE(Tabel1[[#This Row],[Do - F3a]:[Do - F3b]]),"")</f>
        <v>2</v>
      </c>
      <c r="EW560">
        <v>3</v>
      </c>
      <c r="EX560">
        <f>IFERROR(AVERAGE(Tabel1[[#This Row],[Do - F1]],Tabel1[[#This Row],[Do - F2]],Tabel1[[#This Row],[Do - F3]],Tabel1[[#This Row],[Do - F4]]),"")</f>
        <v>2.166666666666667</v>
      </c>
      <c r="EY560">
        <v>2</v>
      </c>
      <c r="EZ560">
        <v>2</v>
      </c>
      <c r="FA560">
        <v>3</v>
      </c>
      <c r="FB560">
        <f>IFERROR(AVERAGE(Tabel1[[#This Row],[Do - V1a]:[Do - V1c]]),"")</f>
        <v>2.3333333333333335</v>
      </c>
      <c r="FC560">
        <v>2</v>
      </c>
      <c r="FD560">
        <v>4</v>
      </c>
      <c r="FE560">
        <f>IFERROR(AVERAGE(Tabel1[[#This Row],[Do - V2a]:[Do - V2b]]),"")</f>
        <v>3</v>
      </c>
      <c r="FF560">
        <v>2</v>
      </c>
      <c r="FG560">
        <f>IFERROR(AVERAGE(Tabel1[[#This Row],[Do - V3a]:[Do - V3a]]),"")</f>
        <v>2</v>
      </c>
      <c r="FH560">
        <v>2</v>
      </c>
      <c r="FI560">
        <f>IFERROR(AVERAGE(Tabel1[[#This Row],[Do - V1]],Tabel1[[#This Row],[Do - V2]],Tabel1[[#This Row],[Do - V3]],Tabel1[[#This Row],[Do - V4]]),"")</f>
        <v>2.3333333333333335</v>
      </c>
      <c r="FJ560">
        <v>3</v>
      </c>
      <c r="FK560">
        <v>1</v>
      </c>
      <c r="FL560">
        <v>2</v>
      </c>
      <c r="FM560">
        <f>IFERROR(AVERAGE(Tabel1[[#This Row],[Do - A1a]:[Do - A1c]]),"")</f>
        <v>2</v>
      </c>
      <c r="FO560">
        <v>4</v>
      </c>
      <c r="FP560">
        <f>IFERROR(AVERAGE(Tabel1[[#This Row],[Do - A2a]:[Do - A2b]]),"")</f>
        <v>4</v>
      </c>
      <c r="FQ560">
        <v>3</v>
      </c>
      <c r="FR560">
        <f>IFERROR(AVERAGE(Tabel1[[#This Row],[Do - A3a]:[Do - A3a]]),"")</f>
        <v>3</v>
      </c>
      <c r="FS560">
        <v>3</v>
      </c>
      <c r="FT560">
        <f>IFERROR(AVERAGE(Tabel1[[#This Row],[Do - A1]],Tabel1[[#This Row],[Do - A2]],Tabel1[[#This Row],[Do - A3]],Tabel1[[#This Row],[Do - A4]]),"")</f>
        <v>3</v>
      </c>
      <c r="FU560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2.4838888888888895</v>
      </c>
      <c r="FV560" s="31" t="s">
        <v>2686</v>
      </c>
      <c r="FW560" t="b">
        <v>1</v>
      </c>
    </row>
    <row r="561" spans="1:179" x14ac:dyDescent="0.3">
      <c r="A561" s="13">
        <v>46044.432800925897</v>
      </c>
      <c r="B561" t="b">
        <v>0</v>
      </c>
      <c r="C561" t="s">
        <v>2687</v>
      </c>
      <c r="D561" t="s">
        <v>1583</v>
      </c>
      <c r="E561" t="s">
        <v>2677</v>
      </c>
      <c r="F561" s="14"/>
      <c r="G561" t="s">
        <v>2688</v>
      </c>
      <c r="H561" t="s">
        <v>222</v>
      </c>
      <c r="I561" t="s">
        <v>195</v>
      </c>
      <c r="J561" t="s">
        <v>212</v>
      </c>
      <c r="K561" t="s">
        <v>201</v>
      </c>
      <c r="L561" t="s">
        <v>218</v>
      </c>
      <c r="M561" t="s">
        <v>188</v>
      </c>
      <c r="N561" t="s">
        <v>262</v>
      </c>
      <c r="O561" t="s">
        <v>200</v>
      </c>
      <c r="P561" t="s">
        <v>255</v>
      </c>
      <c r="Q561" t="s">
        <v>201</v>
      </c>
      <c r="R561" t="s">
        <v>201</v>
      </c>
      <c r="S561" t="s">
        <v>202</v>
      </c>
      <c r="T561" t="s">
        <v>236</v>
      </c>
      <c r="U561" t="s">
        <v>285</v>
      </c>
      <c r="V561" t="s">
        <v>224</v>
      </c>
      <c r="W561" t="s">
        <v>305</v>
      </c>
      <c r="X561" t="s">
        <v>207</v>
      </c>
      <c r="Y561">
        <v>1</v>
      </c>
      <c r="Z561">
        <v>1</v>
      </c>
      <c r="AA561">
        <v>1</v>
      </c>
      <c r="AB561">
        <f>IFERROR(AVERAGE(Tabel1[[#This Row],[Up - R1a]:[Up - R1c]]),"")</f>
        <v>1</v>
      </c>
      <c r="AC561">
        <v>1</v>
      </c>
      <c r="AD561">
        <v>4</v>
      </c>
      <c r="AE561">
        <v>1</v>
      </c>
      <c r="AF561">
        <v>4</v>
      </c>
      <c r="AG561">
        <f>IFERROR(AVERAGE(Tabel1[[#This Row],[Up - R1]:[Up - R5]]),"")</f>
        <v>2.2000000000000002</v>
      </c>
      <c r="AH561">
        <v>2</v>
      </c>
      <c r="AI561">
        <v>3</v>
      </c>
      <c r="AJ561">
        <v>2</v>
      </c>
      <c r="AK561">
        <f>IFERROR(AVERAGE(Tabel1[[#This Row],[Up - C1a]:[Up - C1c]]),"")</f>
        <v>2.3333333333333335</v>
      </c>
      <c r="AL561">
        <v>1</v>
      </c>
      <c r="AM561">
        <v>1</v>
      </c>
      <c r="AN561">
        <v>3</v>
      </c>
      <c r="AO561">
        <f>IFERROR(AVERAGE(Tabel1[[#This Row],[Up - C1]:[Up - C4]]),"")</f>
        <v>1.8333333333333335</v>
      </c>
      <c r="AP561">
        <v>1</v>
      </c>
      <c r="AQ561">
        <f>IFERROR(AVERAGE(Tabel1[[#This Row],[Up - F1a]:[Up - F1a]]),"")</f>
        <v>1</v>
      </c>
      <c r="AR561">
        <v>1</v>
      </c>
      <c r="AS561">
        <v>2</v>
      </c>
      <c r="AT561">
        <f>IFERROR(AVERAGE(Tabel1[[#This Row],[Up - F2a]:[Up - F2b]]),"")</f>
        <v>1.5</v>
      </c>
      <c r="AU561">
        <v>2</v>
      </c>
      <c r="AV561">
        <v>1</v>
      </c>
      <c r="AW561">
        <f>IFERROR(AVERAGE(Tabel1[[#This Row],[Up - F3a]:[Up - F3b]]),"")</f>
        <v>1.5</v>
      </c>
      <c r="AX561">
        <v>3</v>
      </c>
      <c r="AY561">
        <f>IFERROR(AVERAGE(Tabel1[[#This Row],[Up - F1]],Tabel1[[#This Row],[Up - F2]],Tabel1[[#This Row],[Up - F3]],Tabel1[[#This Row],[Up - F4]]),"")</f>
        <v>1.75</v>
      </c>
      <c r="AZ561">
        <v>1</v>
      </c>
      <c r="BA561">
        <v>2</v>
      </c>
      <c r="BB561">
        <f>IFERROR(AVERAGE(Tabel1[[#This Row],[Up - V1a]:[Up - V1b]]),"")</f>
        <v>1.5</v>
      </c>
      <c r="BC561">
        <v>2</v>
      </c>
      <c r="BD561">
        <v>2</v>
      </c>
      <c r="BE561">
        <v>2</v>
      </c>
      <c r="BF561">
        <f>IFERROR(AVERAGE(Tabel1[[#This Row],[Up - V2a]:[Up - V2c]]),"")</f>
        <v>2</v>
      </c>
      <c r="BG561">
        <v>1</v>
      </c>
      <c r="BH561">
        <v>1</v>
      </c>
      <c r="BI561">
        <f>IFERROR(AVERAGE(Tabel1[[#This Row],[Up - V3a]:[Up - V3b]]),"")</f>
        <v>1</v>
      </c>
      <c r="BJ561">
        <v>2</v>
      </c>
      <c r="BK561">
        <f>IFERROR(AVERAGE(Tabel1[[#This Row],[Up - V1]],Tabel1[[#This Row],[Up - V2]],Tabel1[[#This Row],[Up - V3]],Tabel1[[#This Row],[Up - V4]]),"")</f>
        <v>1.625</v>
      </c>
      <c r="BL561">
        <v>3</v>
      </c>
      <c r="BM561">
        <v>2</v>
      </c>
      <c r="BN561">
        <v>2</v>
      </c>
      <c r="BO561">
        <v>2</v>
      </c>
      <c r="BP561">
        <f>IFERROR(AVERAGE(Tabel1[[#This Row],[Up - A1a]:[Up - A1d]]),"")</f>
        <v>2.25</v>
      </c>
      <c r="BQ561">
        <v>2</v>
      </c>
      <c r="BR561">
        <v>4</v>
      </c>
      <c r="BS561">
        <f>IFERROR(AVERAGE(Tabel1[[#This Row],[Up - A2a]:[Up - A2b]]),"")</f>
        <v>3</v>
      </c>
      <c r="BT561">
        <v>3</v>
      </c>
      <c r="BU561">
        <f>IFERROR(AVERAGE(Tabel1[[#This Row],[Up - A3a]:[Up - A3a]]),"")</f>
        <v>3</v>
      </c>
      <c r="BV561">
        <v>2</v>
      </c>
      <c r="BW561">
        <f>IFERROR(AVERAGE(Tabel1[[#This Row],[Up - A1]],Tabel1[[#This Row],[Up - A2]],Tabel1[[#This Row],[Up - A3]]),"")</f>
        <v>2.75</v>
      </c>
      <c r="BX561">
        <v>1</v>
      </c>
      <c r="BY561">
        <v>1</v>
      </c>
      <c r="BZ561">
        <f>IFERROR(AVERAGE(Tabel1[[#This Row],[In - R1a]:[In - R1b]]),"")</f>
        <v>1</v>
      </c>
      <c r="CA561">
        <v>1</v>
      </c>
      <c r="CB561">
        <v>1</v>
      </c>
      <c r="CC561">
        <v>1</v>
      </c>
      <c r="CD561">
        <v>3</v>
      </c>
      <c r="CE561">
        <f>IFERROR(AVERAGE(Tabel1[[#This Row],[In - R1]:[In - R5]]),"")</f>
        <v>1.4</v>
      </c>
      <c r="CF561">
        <v>3</v>
      </c>
      <c r="CG561">
        <v>2</v>
      </c>
      <c r="CH561">
        <v>2</v>
      </c>
      <c r="CI561">
        <f>IFERROR(AVERAGE(Tabel1[[#This Row],[In - C1a]:[In - C1c]]),"")</f>
        <v>2.3333333333333335</v>
      </c>
      <c r="CJ561">
        <v>3</v>
      </c>
      <c r="CK561">
        <v>2</v>
      </c>
      <c r="CL561">
        <v>4</v>
      </c>
      <c r="CM561">
        <f>IFERROR(AVERAGE(Tabel1[[#This Row],[In - C1]:[In - C4]]),"")</f>
        <v>2.8333333333333335</v>
      </c>
      <c r="CN561">
        <v>3</v>
      </c>
      <c r="CO561">
        <v>3</v>
      </c>
      <c r="CP561">
        <v>1</v>
      </c>
      <c r="CQ561">
        <f>IFERROR(AVERAGE(Tabel1[[#This Row],[In - F1a]:[In - F1c]]),"")</f>
        <v>2.3333333333333335</v>
      </c>
      <c r="CR561">
        <v>3</v>
      </c>
      <c r="CS561">
        <v>2</v>
      </c>
      <c r="CT561">
        <f>IFERROR(AVERAGE(Tabel1[[#This Row],[In - F2a]:[In - F2b]]),"")</f>
        <v>2.5</v>
      </c>
      <c r="CU561">
        <v>1</v>
      </c>
      <c r="CV561">
        <f>IFERROR(AVERAGE(Tabel1[[#This Row],[In - F3a]:[In - F3a]]),"")</f>
        <v>1</v>
      </c>
      <c r="CW561">
        <v>2</v>
      </c>
      <c r="CX561">
        <f>IFERROR(AVERAGE(Tabel1[[#This Row],[In - F1]],Tabel1[[#This Row],[In - F2]],Tabel1[[#This Row],[In - F3]],Tabel1[[#This Row],[In - F4]]),"")</f>
        <v>1.9583333333333335</v>
      </c>
      <c r="CY561">
        <v>1</v>
      </c>
      <c r="CZ561">
        <v>3</v>
      </c>
      <c r="DA561">
        <v>1</v>
      </c>
      <c r="DB561">
        <f>IFERROR(AVERAGE(Tabel1[[#This Row],[In - V1a]:[In - V1c]]),"")</f>
        <v>1.6666666666666667</v>
      </c>
      <c r="DC561">
        <v>2</v>
      </c>
      <c r="DD561">
        <v>2</v>
      </c>
      <c r="DE561">
        <v>1</v>
      </c>
      <c r="DF561">
        <f>IFERROR(AVERAGE(Tabel1[[#This Row],[In - V2a]:[In - V2c]]),"")</f>
        <v>1.6666666666666667</v>
      </c>
      <c r="DG561">
        <v>1</v>
      </c>
      <c r="DH561">
        <v>1</v>
      </c>
      <c r="DI561">
        <f>IFERROR(AVERAGE(Tabel1[[#This Row],[In - V3a]:[In - V3b]]),"")</f>
        <v>1</v>
      </c>
      <c r="DJ561">
        <v>1</v>
      </c>
      <c r="DK561">
        <f>IFERROR(AVERAGE(Tabel1[[#This Row],[In - V1]],Tabel1[[#This Row],[In - V2]],Tabel1[[#This Row],[In - V3]],Tabel1[[#This Row],[In - V4]]),"")</f>
        <v>1.3333333333333335</v>
      </c>
      <c r="DL561">
        <v>3</v>
      </c>
      <c r="DM561">
        <v>1</v>
      </c>
      <c r="DN561">
        <f>IFERROR(AVERAGE(Tabel1[[#This Row],[In - A1a]:[In - A1b]]),"")</f>
        <v>2</v>
      </c>
      <c r="DO561">
        <v>3</v>
      </c>
      <c r="DP561">
        <v>3</v>
      </c>
      <c r="DQ561">
        <f>IFERROR(AVERAGE(Tabel1[[#This Row],[In - A2a]:[In - A2b]]),"")</f>
        <v>3</v>
      </c>
      <c r="DR561">
        <v>3</v>
      </c>
      <c r="DS561">
        <v>1</v>
      </c>
      <c r="DT561">
        <f>IFERROR(AVERAGE(Tabel1[[#This Row],[In - A3a]:[In - A3a]]),"")</f>
        <v>3</v>
      </c>
      <c r="DU561">
        <v>2</v>
      </c>
      <c r="DV561">
        <f>IFERROR(AVERAGE(Tabel1[[#This Row],[In - A1]],Tabel1[[#This Row],[In - A2]],Tabel1[[#This Row],[In - A3]],Tabel1[[#This Row],[In - A4]]),"")</f>
        <v>2.5</v>
      </c>
      <c r="DW561">
        <v>1</v>
      </c>
      <c r="DX561">
        <v>4</v>
      </c>
      <c r="DY561">
        <v>1</v>
      </c>
      <c r="DZ561">
        <f>IFERROR(AVERAGE(Tabel1[[#This Row],[Do - R1a]:[Do - R1c]]),"")</f>
        <v>2</v>
      </c>
      <c r="EA561">
        <v>3</v>
      </c>
      <c r="EB561">
        <v>1</v>
      </c>
      <c r="EC561">
        <v>1</v>
      </c>
      <c r="ED561">
        <v>3</v>
      </c>
      <c r="EE561">
        <f>IFERROR(AVERAGE(Tabel1[[#This Row],[Do - R1]:[Do - R5]]),"")</f>
        <v>2</v>
      </c>
      <c r="EF561">
        <v>2</v>
      </c>
      <c r="EG561">
        <v>2</v>
      </c>
      <c r="EH561">
        <v>2</v>
      </c>
      <c r="EI561">
        <f>IFERROR(AVERAGE(Tabel1[[#This Row],[Do - C1a]:[Do - C1c]]),"")</f>
        <v>2</v>
      </c>
      <c r="EJ561">
        <v>4</v>
      </c>
      <c r="EK561">
        <v>1</v>
      </c>
      <c r="EL561">
        <v>4</v>
      </c>
      <c r="EM561">
        <f>IFERROR(AVERAGE(Tabel1[[#This Row],[Do - C1]:[Do - C4]]),"")</f>
        <v>2.75</v>
      </c>
      <c r="EN561">
        <v>3</v>
      </c>
      <c r="EO561">
        <v>2</v>
      </c>
      <c r="EP561">
        <v>1</v>
      </c>
      <c r="EQ561">
        <f>IFERROR(AVERAGE(Tabel1[[#This Row],[Do - F1a]:[Do - F1c]]),"")</f>
        <v>2</v>
      </c>
      <c r="ER561">
        <v>3</v>
      </c>
      <c r="ES561">
        <f>IFERROR(AVERAGE(Tabel1[[#This Row],[Do - F2a]:[Do - F2a]]),"")</f>
        <v>3</v>
      </c>
      <c r="ET561">
        <v>3</v>
      </c>
      <c r="EU561">
        <v>2</v>
      </c>
      <c r="EV561">
        <f>IFERROR(AVERAGE(Tabel1[[#This Row],[Do - F3a]:[Do - F3b]]),"")</f>
        <v>2.5</v>
      </c>
      <c r="EW561">
        <v>2</v>
      </c>
      <c r="EX561">
        <f>IFERROR(AVERAGE(Tabel1[[#This Row],[Do - F1]],Tabel1[[#This Row],[Do - F2]],Tabel1[[#This Row],[Do - F3]],Tabel1[[#This Row],[Do - F4]]),"")</f>
        <v>2.375</v>
      </c>
      <c r="EY561">
        <v>3</v>
      </c>
      <c r="EZ561">
        <v>3</v>
      </c>
      <c r="FA561">
        <v>1</v>
      </c>
      <c r="FB561">
        <f>IFERROR(AVERAGE(Tabel1[[#This Row],[Do - V1a]:[Do - V1c]]),"")</f>
        <v>2.3333333333333335</v>
      </c>
      <c r="FC561">
        <v>2</v>
      </c>
      <c r="FD561">
        <v>3</v>
      </c>
      <c r="FE561">
        <f>IFERROR(AVERAGE(Tabel1[[#This Row],[Do - V2a]:[Do - V2b]]),"")</f>
        <v>2.5</v>
      </c>
      <c r="FF561">
        <v>1</v>
      </c>
      <c r="FG561">
        <f>IFERROR(AVERAGE(Tabel1[[#This Row],[Do - V3a]:[Do - V3a]]),"")</f>
        <v>1</v>
      </c>
      <c r="FH561">
        <v>2</v>
      </c>
      <c r="FI561">
        <f>IFERROR(AVERAGE(Tabel1[[#This Row],[Do - V1]],Tabel1[[#This Row],[Do - V2]],Tabel1[[#This Row],[Do - V3]],Tabel1[[#This Row],[Do - V4]]),"")</f>
        <v>1.9583333333333335</v>
      </c>
      <c r="FJ561">
        <v>3</v>
      </c>
      <c r="FK561">
        <v>1</v>
      </c>
      <c r="FL561">
        <v>3</v>
      </c>
      <c r="FM561">
        <f>IFERROR(AVERAGE(Tabel1[[#This Row],[Do - A1a]:[Do - A1c]]),"")</f>
        <v>2.3333333333333335</v>
      </c>
      <c r="FN561">
        <v>1</v>
      </c>
      <c r="FO561">
        <v>4</v>
      </c>
      <c r="FP561">
        <f>IFERROR(AVERAGE(Tabel1[[#This Row],[Do - A2a]:[Do - A2b]]),"")</f>
        <v>2.5</v>
      </c>
      <c r="FQ561">
        <v>3</v>
      </c>
      <c r="FR561">
        <f>IFERROR(AVERAGE(Tabel1[[#This Row],[Do - A3a]:[Do - A3a]]),"")</f>
        <v>3</v>
      </c>
      <c r="FS561">
        <v>2</v>
      </c>
      <c r="FT561">
        <f>IFERROR(AVERAGE(Tabel1[[#This Row],[Do - A1]],Tabel1[[#This Row],[Do - A2]],Tabel1[[#This Row],[Do - A3]],Tabel1[[#This Row],[Do - A4]]),"")</f>
        <v>2.4583333333333335</v>
      </c>
      <c r="FU561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2.1149999999999998</v>
      </c>
      <c r="FV561" s="31" t="s">
        <v>2689</v>
      </c>
      <c r="FW561" t="b">
        <v>1</v>
      </c>
    </row>
    <row r="562" spans="1:179" x14ac:dyDescent="0.3">
      <c r="A562" s="13">
        <v>46044.438645833303</v>
      </c>
      <c r="B562" t="b">
        <v>0</v>
      </c>
      <c r="C562" t="s">
        <v>2690</v>
      </c>
      <c r="D562" t="s">
        <v>1180</v>
      </c>
      <c r="E562" t="s">
        <v>2691</v>
      </c>
      <c r="F562" s="14"/>
      <c r="G562" t="s">
        <v>2692</v>
      </c>
      <c r="H562" t="s">
        <v>222</v>
      </c>
      <c r="I562" t="s">
        <v>195</v>
      </c>
      <c r="J562" t="s">
        <v>261</v>
      </c>
      <c r="K562" t="s">
        <v>202</v>
      </c>
      <c r="L562" t="s">
        <v>218</v>
      </c>
      <c r="M562" t="s">
        <v>198</v>
      </c>
      <c r="N562" t="s">
        <v>479</v>
      </c>
      <c r="P562" t="s">
        <v>304</v>
      </c>
      <c r="Q562" t="s">
        <v>235</v>
      </c>
      <c r="S562" t="s">
        <v>201</v>
      </c>
      <c r="T562" t="s">
        <v>204</v>
      </c>
      <c r="U562" t="s">
        <v>205</v>
      </c>
      <c r="V562" t="s">
        <v>206</v>
      </c>
      <c r="W562" t="s">
        <v>305</v>
      </c>
      <c r="X562" t="s">
        <v>207</v>
      </c>
      <c r="Y562">
        <v>3</v>
      </c>
      <c r="Z562">
        <v>2</v>
      </c>
      <c r="AA562" t="s">
        <v>189</v>
      </c>
      <c r="AB562">
        <f>IFERROR(AVERAGE(Tabel1[[#This Row],[Up - R1a]:[Up - R1c]]),"")</f>
        <v>2.5</v>
      </c>
      <c r="AC562">
        <v>2</v>
      </c>
      <c r="AD562">
        <v>2</v>
      </c>
      <c r="AE562">
        <v>2</v>
      </c>
      <c r="AF562" t="s">
        <v>189</v>
      </c>
      <c r="AG562">
        <f>IFERROR(AVERAGE(Tabel1[[#This Row],[Up - R1]:[Up - R5]]),"")</f>
        <v>2.125</v>
      </c>
      <c r="AH562">
        <v>3</v>
      </c>
      <c r="AI562">
        <v>3</v>
      </c>
      <c r="AK562">
        <f>IFERROR(AVERAGE(Tabel1[[#This Row],[Up - C1a]:[Up - C1c]]),"")</f>
        <v>3</v>
      </c>
      <c r="AL562">
        <v>4</v>
      </c>
      <c r="AM562">
        <v>3</v>
      </c>
      <c r="AN562">
        <v>2</v>
      </c>
      <c r="AO562">
        <f>IFERROR(AVERAGE(Tabel1[[#This Row],[Up - C1]:[Up - C4]]),"")</f>
        <v>3</v>
      </c>
      <c r="AP562">
        <v>2</v>
      </c>
      <c r="AQ562">
        <f>IFERROR(AVERAGE(Tabel1[[#This Row],[Up - F1a]:[Up - F1a]]),"")</f>
        <v>2</v>
      </c>
      <c r="AR562">
        <v>1</v>
      </c>
      <c r="AS562">
        <v>3</v>
      </c>
      <c r="AT562">
        <f>IFERROR(AVERAGE(Tabel1[[#This Row],[Up - F2a]:[Up - F2b]]),"")</f>
        <v>2</v>
      </c>
      <c r="AU562">
        <v>2</v>
      </c>
      <c r="AV562">
        <v>2</v>
      </c>
      <c r="AW562">
        <f>IFERROR(AVERAGE(Tabel1[[#This Row],[Up - F3a]:[Up - F3b]]),"")</f>
        <v>2</v>
      </c>
      <c r="AX562">
        <v>2</v>
      </c>
      <c r="AY562">
        <f>IFERROR(AVERAGE(Tabel1[[#This Row],[Up - F1]],Tabel1[[#This Row],[Up - F2]],Tabel1[[#This Row],[Up - F3]],Tabel1[[#This Row],[Up - F4]]),"")</f>
        <v>2</v>
      </c>
      <c r="AZ562">
        <v>3</v>
      </c>
      <c r="BA562">
        <v>4</v>
      </c>
      <c r="BB562">
        <f>IFERROR(AVERAGE(Tabel1[[#This Row],[Up - V1a]:[Up - V1b]]),"")</f>
        <v>3.5</v>
      </c>
      <c r="BC562">
        <v>2</v>
      </c>
      <c r="BD562" t="s">
        <v>189</v>
      </c>
      <c r="BE562">
        <v>3</v>
      </c>
      <c r="BF562">
        <f>IFERROR(AVERAGE(Tabel1[[#This Row],[Up - V2a]:[Up - V2c]]),"")</f>
        <v>2.5</v>
      </c>
      <c r="BG562">
        <v>4</v>
      </c>
      <c r="BH562">
        <v>3</v>
      </c>
      <c r="BI562">
        <f>IFERROR(AVERAGE(Tabel1[[#This Row],[Up - V3a]:[Up - V3b]]),"")</f>
        <v>3.5</v>
      </c>
      <c r="BJ562">
        <v>3</v>
      </c>
      <c r="BK562">
        <f>IFERROR(AVERAGE(Tabel1[[#This Row],[Up - V1]],Tabel1[[#This Row],[Up - V2]],Tabel1[[#This Row],[Up - V3]],Tabel1[[#This Row],[Up - V4]]),"")</f>
        <v>3.125</v>
      </c>
      <c r="BL562">
        <v>4</v>
      </c>
      <c r="BM562">
        <v>3</v>
      </c>
      <c r="BN562">
        <v>3</v>
      </c>
      <c r="BO562">
        <v>3</v>
      </c>
      <c r="BP562">
        <f>IFERROR(AVERAGE(Tabel1[[#This Row],[Up - A1a]:[Up - A1d]]),"")</f>
        <v>3.25</v>
      </c>
      <c r="BQ562">
        <v>3</v>
      </c>
      <c r="BR562">
        <v>1</v>
      </c>
      <c r="BS562">
        <f>IFERROR(AVERAGE(Tabel1[[#This Row],[Up - A2a]:[Up - A2b]]),"")</f>
        <v>2</v>
      </c>
      <c r="BT562">
        <v>3</v>
      </c>
      <c r="BU562">
        <f>IFERROR(AVERAGE(Tabel1[[#This Row],[Up - A3a]:[Up - A3a]]),"")</f>
        <v>3</v>
      </c>
      <c r="BV562" t="s">
        <v>189</v>
      </c>
      <c r="BW562">
        <f>IFERROR(AVERAGE(Tabel1[[#This Row],[Up - A1]],Tabel1[[#This Row],[Up - A2]],Tabel1[[#This Row],[Up - A3]]),"")</f>
        <v>2.75</v>
      </c>
      <c r="BX562">
        <v>3</v>
      </c>
      <c r="BY562">
        <v>2</v>
      </c>
      <c r="BZ562">
        <f>IFERROR(AVERAGE(Tabel1[[#This Row],[In - R1a]:[In - R1b]]),"")</f>
        <v>2.5</v>
      </c>
      <c r="CA562">
        <v>5</v>
      </c>
      <c r="CB562">
        <v>2</v>
      </c>
      <c r="CC562">
        <v>1</v>
      </c>
      <c r="CD562">
        <v>4</v>
      </c>
      <c r="CE562">
        <f>IFERROR(AVERAGE(Tabel1[[#This Row],[In - R1]:[In - R5]]),"")</f>
        <v>2.9</v>
      </c>
      <c r="CF562">
        <v>4</v>
      </c>
      <c r="CG562">
        <v>4</v>
      </c>
      <c r="CI562">
        <f>IFERROR(AVERAGE(Tabel1[[#This Row],[In - C1a]:[In - C1c]]),"")</f>
        <v>4</v>
      </c>
      <c r="CJ562">
        <v>4</v>
      </c>
      <c r="CK562">
        <v>4</v>
      </c>
      <c r="CL562">
        <v>4</v>
      </c>
      <c r="CM562">
        <f>IFERROR(AVERAGE(Tabel1[[#This Row],[In - C1]:[In - C4]]),"")</f>
        <v>4</v>
      </c>
      <c r="CN562">
        <v>3</v>
      </c>
      <c r="CO562">
        <v>4</v>
      </c>
      <c r="CP562">
        <v>1</v>
      </c>
      <c r="CQ562">
        <f>IFERROR(AVERAGE(Tabel1[[#This Row],[In - F1a]:[In - F1c]]),"")</f>
        <v>2.6666666666666665</v>
      </c>
      <c r="CR562">
        <v>4</v>
      </c>
      <c r="CS562">
        <v>1</v>
      </c>
      <c r="CT562">
        <f>IFERROR(AVERAGE(Tabel1[[#This Row],[In - F2a]:[In - F2b]]),"")</f>
        <v>2.5</v>
      </c>
      <c r="CU562">
        <v>1</v>
      </c>
      <c r="CV562">
        <f>IFERROR(AVERAGE(Tabel1[[#This Row],[In - F3a]:[In - F3a]]),"")</f>
        <v>1</v>
      </c>
      <c r="CW562">
        <v>3</v>
      </c>
      <c r="CX562">
        <f>IFERROR(AVERAGE(Tabel1[[#This Row],[In - F1]],Tabel1[[#This Row],[In - F2]],Tabel1[[#This Row],[In - F3]],Tabel1[[#This Row],[In - F4]]),"")</f>
        <v>2.2916666666666665</v>
      </c>
      <c r="CY562">
        <v>4</v>
      </c>
      <c r="CZ562">
        <v>4</v>
      </c>
      <c r="DA562">
        <v>4</v>
      </c>
      <c r="DB562">
        <f>IFERROR(AVERAGE(Tabel1[[#This Row],[In - V1a]:[In - V1c]]),"")</f>
        <v>4</v>
      </c>
      <c r="DC562">
        <v>4</v>
      </c>
      <c r="DD562">
        <v>4</v>
      </c>
      <c r="DE562">
        <v>4</v>
      </c>
      <c r="DF562">
        <f>IFERROR(AVERAGE(Tabel1[[#This Row],[In - V2a]:[In - V2c]]),"")</f>
        <v>4</v>
      </c>
      <c r="DG562">
        <v>4</v>
      </c>
      <c r="DH562">
        <v>4</v>
      </c>
      <c r="DI562">
        <f>IFERROR(AVERAGE(Tabel1[[#This Row],[In - V3a]:[In - V3b]]),"")</f>
        <v>4</v>
      </c>
      <c r="DJ562">
        <v>4</v>
      </c>
      <c r="DK562">
        <f>IFERROR(AVERAGE(Tabel1[[#This Row],[In - V1]],Tabel1[[#This Row],[In - V2]],Tabel1[[#This Row],[In - V3]],Tabel1[[#This Row],[In - V4]]),"")</f>
        <v>4</v>
      </c>
      <c r="DL562">
        <v>4</v>
      </c>
      <c r="DM562">
        <v>4</v>
      </c>
      <c r="DN562">
        <f>IFERROR(AVERAGE(Tabel1[[#This Row],[In - A1a]:[In - A1b]]),"")</f>
        <v>4</v>
      </c>
      <c r="DO562">
        <v>1</v>
      </c>
      <c r="DP562">
        <v>4</v>
      </c>
      <c r="DQ562">
        <f>IFERROR(AVERAGE(Tabel1[[#This Row],[In - A2a]:[In - A2b]]),"")</f>
        <v>2.5</v>
      </c>
      <c r="DR562">
        <v>4</v>
      </c>
      <c r="DS562">
        <v>3</v>
      </c>
      <c r="DT562">
        <f>IFERROR(AVERAGE(Tabel1[[#This Row],[In - A3a]:[In - A3a]]),"")</f>
        <v>4</v>
      </c>
      <c r="DU562">
        <v>2</v>
      </c>
      <c r="DV562">
        <f>IFERROR(AVERAGE(Tabel1[[#This Row],[In - A1]],Tabel1[[#This Row],[In - A2]],Tabel1[[#This Row],[In - A3]],Tabel1[[#This Row],[In - A4]]),"")</f>
        <v>3.125</v>
      </c>
      <c r="DW562">
        <v>1</v>
      </c>
      <c r="DX562">
        <v>5</v>
      </c>
      <c r="DY562">
        <v>1</v>
      </c>
      <c r="DZ562">
        <f>IFERROR(AVERAGE(Tabel1[[#This Row],[Do - R1a]:[Do - R1c]]),"")</f>
        <v>2.3333333333333335</v>
      </c>
      <c r="EA562">
        <v>4</v>
      </c>
      <c r="EB562">
        <v>2</v>
      </c>
      <c r="EC562">
        <v>3</v>
      </c>
      <c r="ED562" t="s">
        <v>189</v>
      </c>
      <c r="EE562">
        <f>IFERROR(AVERAGE(Tabel1[[#This Row],[Do - R1]:[Do - R5]]),"")</f>
        <v>2.8333333333333335</v>
      </c>
      <c r="EF562">
        <v>4</v>
      </c>
      <c r="EG562">
        <v>4</v>
      </c>
      <c r="EI562">
        <f>IFERROR(AVERAGE(Tabel1[[#This Row],[Do - C1a]:[Do - C1c]]),"")</f>
        <v>4</v>
      </c>
      <c r="EJ562">
        <v>4</v>
      </c>
      <c r="EK562" t="s">
        <v>189</v>
      </c>
      <c r="EL562" t="s">
        <v>189</v>
      </c>
      <c r="EM562">
        <f>IFERROR(AVERAGE(Tabel1[[#This Row],[Do - C1]:[Do - C4]]),"")</f>
        <v>4</v>
      </c>
      <c r="EN562">
        <v>2</v>
      </c>
      <c r="EO562">
        <v>2</v>
      </c>
      <c r="EP562">
        <v>2</v>
      </c>
      <c r="EQ562">
        <f>IFERROR(AVERAGE(Tabel1[[#This Row],[Do - F1a]:[Do - F1c]]),"")</f>
        <v>2</v>
      </c>
      <c r="ER562">
        <v>2</v>
      </c>
      <c r="ES562">
        <f>IFERROR(AVERAGE(Tabel1[[#This Row],[Do - F2a]:[Do - F2a]]),"")</f>
        <v>2</v>
      </c>
      <c r="ET562">
        <v>1</v>
      </c>
      <c r="EU562" t="s">
        <v>189</v>
      </c>
      <c r="EV562">
        <f>IFERROR(AVERAGE(Tabel1[[#This Row],[Do - F3a]:[Do - F3b]]),"")</f>
        <v>1</v>
      </c>
      <c r="EW562">
        <v>5</v>
      </c>
      <c r="EX562">
        <f>IFERROR(AVERAGE(Tabel1[[#This Row],[Do - F1]],Tabel1[[#This Row],[Do - F2]],Tabel1[[#This Row],[Do - F3]],Tabel1[[#This Row],[Do - F4]]),"")</f>
        <v>2.5</v>
      </c>
      <c r="EY562">
        <v>3</v>
      </c>
      <c r="EZ562" t="s">
        <v>189</v>
      </c>
      <c r="FA562">
        <v>4</v>
      </c>
      <c r="FB562">
        <f>IFERROR(AVERAGE(Tabel1[[#This Row],[Do - V1a]:[Do - V1c]]),"")</f>
        <v>3.5</v>
      </c>
      <c r="FC562" t="s">
        <v>189</v>
      </c>
      <c r="FD562" t="s">
        <v>189</v>
      </c>
      <c r="FE562" t="str">
        <f>IFERROR(AVERAGE(Tabel1[[#This Row],[Do - V2a]:[Do - V2b]]),"")</f>
        <v/>
      </c>
      <c r="FF562" t="s">
        <v>189</v>
      </c>
      <c r="FG562" t="str">
        <f>IFERROR(AVERAGE(Tabel1[[#This Row],[Do - V3a]:[Do - V3a]]),"")</f>
        <v/>
      </c>
      <c r="FH562" t="s">
        <v>189</v>
      </c>
      <c r="FI562">
        <f>IFERROR(AVERAGE(Tabel1[[#This Row],[Do - V1]],Tabel1[[#This Row],[Do - V2]],Tabel1[[#This Row],[Do - V3]],Tabel1[[#This Row],[Do - V4]]),"")</f>
        <v>3.5</v>
      </c>
      <c r="FJ562">
        <v>4</v>
      </c>
      <c r="FK562">
        <v>3</v>
      </c>
      <c r="FL562" t="s">
        <v>189</v>
      </c>
      <c r="FM562">
        <f>IFERROR(AVERAGE(Tabel1[[#This Row],[Do - A1a]:[Do - A1c]]),"")</f>
        <v>3.5</v>
      </c>
      <c r="FN562">
        <v>1</v>
      </c>
      <c r="FO562">
        <v>1</v>
      </c>
      <c r="FP562">
        <f>IFERROR(AVERAGE(Tabel1[[#This Row],[Do - A2a]:[Do - A2b]]),"")</f>
        <v>1</v>
      </c>
      <c r="FQ562" t="s">
        <v>189</v>
      </c>
      <c r="FR562" t="str">
        <f>IFERROR(AVERAGE(Tabel1[[#This Row],[Do - A3a]:[Do - A3a]]),"")</f>
        <v/>
      </c>
      <c r="FS562" t="s">
        <v>189</v>
      </c>
      <c r="FT562">
        <f>IFERROR(AVERAGE(Tabel1[[#This Row],[Do - A1]],Tabel1[[#This Row],[Do - A2]],Tabel1[[#This Row],[Do - A3]],Tabel1[[#This Row],[Do - A4]]),"")</f>
        <v>2.25</v>
      </c>
      <c r="FU562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2.96</v>
      </c>
      <c r="FV562" s="31" t="s">
        <v>2693</v>
      </c>
      <c r="FW562" t="b">
        <v>1</v>
      </c>
    </row>
    <row r="563" spans="1:179" x14ac:dyDescent="0.3">
      <c r="A563" s="13">
        <v>46048.344953703701</v>
      </c>
      <c r="B563" t="b">
        <v>0</v>
      </c>
      <c r="C563" t="s">
        <v>2694</v>
      </c>
      <c r="D563" t="s">
        <v>2695</v>
      </c>
      <c r="E563" t="s">
        <v>2677</v>
      </c>
      <c r="F563" s="14"/>
      <c r="G563" t="s">
        <v>2696</v>
      </c>
      <c r="H563" t="s">
        <v>222</v>
      </c>
      <c r="I563" t="s">
        <v>195</v>
      </c>
      <c r="J563" t="s">
        <v>212</v>
      </c>
      <c r="K563" t="s">
        <v>201</v>
      </c>
      <c r="L563" t="s">
        <v>218</v>
      </c>
      <c r="M563" t="s">
        <v>198</v>
      </c>
      <c r="N563" t="s">
        <v>262</v>
      </c>
      <c r="O563" t="s">
        <v>200</v>
      </c>
      <c r="P563" t="s">
        <v>255</v>
      </c>
      <c r="Q563" t="s">
        <v>201</v>
      </c>
      <c r="R563" t="s">
        <v>201</v>
      </c>
      <c r="S563" t="s">
        <v>235</v>
      </c>
      <c r="T563" t="s">
        <v>236</v>
      </c>
      <c r="U563" t="s">
        <v>237</v>
      </c>
      <c r="V563" t="s">
        <v>224</v>
      </c>
      <c r="W563" t="s">
        <v>207</v>
      </c>
      <c r="X563" t="s">
        <v>207</v>
      </c>
      <c r="Y563">
        <v>2</v>
      </c>
      <c r="Z563">
        <v>4</v>
      </c>
      <c r="AA563" t="s">
        <v>189</v>
      </c>
      <c r="AB563">
        <f>IFERROR(AVERAGE(Tabel1[[#This Row],[Up - R1a]:[Up - R1c]]),"")</f>
        <v>3</v>
      </c>
      <c r="AC563">
        <v>2</v>
      </c>
      <c r="AD563">
        <v>4</v>
      </c>
      <c r="AE563">
        <v>1</v>
      </c>
      <c r="AF563" t="s">
        <v>189</v>
      </c>
      <c r="AG563">
        <f>IFERROR(AVERAGE(Tabel1[[#This Row],[Up - R1]:[Up - R5]]),"")</f>
        <v>2.5</v>
      </c>
      <c r="AH563">
        <v>3</v>
      </c>
      <c r="AI563">
        <v>2</v>
      </c>
      <c r="AJ563">
        <v>2</v>
      </c>
      <c r="AK563">
        <f>IFERROR(AVERAGE(Tabel1[[#This Row],[Up - C1a]:[Up - C1c]]),"")</f>
        <v>2.3333333333333335</v>
      </c>
      <c r="AL563" t="s">
        <v>189</v>
      </c>
      <c r="AM563">
        <v>1</v>
      </c>
      <c r="AN563" t="s">
        <v>189</v>
      </c>
      <c r="AO563">
        <f>IFERROR(AVERAGE(Tabel1[[#This Row],[Up - C1]:[Up - C4]]),"")</f>
        <v>1.6666666666666667</v>
      </c>
      <c r="AP563">
        <v>3</v>
      </c>
      <c r="AQ563">
        <f>IFERROR(AVERAGE(Tabel1[[#This Row],[Up - F1a]:[Up - F1a]]),"")</f>
        <v>3</v>
      </c>
      <c r="AR563">
        <v>1</v>
      </c>
      <c r="AS563">
        <v>5</v>
      </c>
      <c r="AT563">
        <f>IFERROR(AVERAGE(Tabel1[[#This Row],[Up - F2a]:[Up - F2b]]),"")</f>
        <v>3</v>
      </c>
      <c r="AU563">
        <v>1</v>
      </c>
      <c r="AV563">
        <v>1</v>
      </c>
      <c r="AW563">
        <f>IFERROR(AVERAGE(Tabel1[[#This Row],[Up - F3a]:[Up - F3b]]),"")</f>
        <v>1</v>
      </c>
      <c r="AX563">
        <v>2</v>
      </c>
      <c r="AY563">
        <f>IFERROR(AVERAGE(Tabel1[[#This Row],[Up - F1]],Tabel1[[#This Row],[Up - F2]],Tabel1[[#This Row],[Up - F3]],Tabel1[[#This Row],[Up - F4]]),"")</f>
        <v>2.25</v>
      </c>
      <c r="AZ563">
        <v>2</v>
      </c>
      <c r="BA563">
        <v>1</v>
      </c>
      <c r="BB563">
        <f>IFERROR(AVERAGE(Tabel1[[#This Row],[Up - V1a]:[Up - V1b]]),"")</f>
        <v>1.5</v>
      </c>
      <c r="BC563">
        <v>1</v>
      </c>
      <c r="BD563" t="s">
        <v>189</v>
      </c>
      <c r="BE563">
        <v>2</v>
      </c>
      <c r="BF563">
        <f>IFERROR(AVERAGE(Tabel1[[#This Row],[Up - V2a]:[Up - V2c]]),"")</f>
        <v>1.5</v>
      </c>
      <c r="BG563" t="s">
        <v>189</v>
      </c>
      <c r="BH563">
        <v>2</v>
      </c>
      <c r="BI563">
        <f>IFERROR(AVERAGE(Tabel1[[#This Row],[Up - V3a]:[Up - V3b]]),"")</f>
        <v>2</v>
      </c>
      <c r="BJ563" t="s">
        <v>189</v>
      </c>
      <c r="BK563">
        <f>IFERROR(AVERAGE(Tabel1[[#This Row],[Up - V1]],Tabel1[[#This Row],[Up - V2]],Tabel1[[#This Row],[Up - V3]],Tabel1[[#This Row],[Up - V4]]),"")</f>
        <v>1.6666666666666667</v>
      </c>
      <c r="BL563">
        <v>3</v>
      </c>
      <c r="BM563" t="s">
        <v>189</v>
      </c>
      <c r="BN563">
        <v>1</v>
      </c>
      <c r="BO563" t="s">
        <v>189</v>
      </c>
      <c r="BP563">
        <f>IFERROR(AVERAGE(Tabel1[[#This Row],[Up - A1a]:[Up - A1d]]),"")</f>
        <v>2</v>
      </c>
      <c r="BQ563" t="s">
        <v>189</v>
      </c>
      <c r="BR563">
        <v>5</v>
      </c>
      <c r="BS563">
        <f>IFERROR(AVERAGE(Tabel1[[#This Row],[Up - A2a]:[Up - A2b]]),"")</f>
        <v>5</v>
      </c>
      <c r="BT563">
        <v>3</v>
      </c>
      <c r="BU563">
        <f>IFERROR(AVERAGE(Tabel1[[#This Row],[Up - A3a]:[Up - A3a]]),"")</f>
        <v>3</v>
      </c>
      <c r="BV563" t="s">
        <v>189</v>
      </c>
      <c r="BW563">
        <f>IFERROR(AVERAGE(Tabel1[[#This Row],[Up - A1]],Tabel1[[#This Row],[Up - A2]],Tabel1[[#This Row],[Up - A3]]),"")</f>
        <v>3.3333333333333335</v>
      </c>
      <c r="BX563">
        <v>2</v>
      </c>
      <c r="BY563">
        <v>4</v>
      </c>
      <c r="BZ563">
        <f>IFERROR(AVERAGE(Tabel1[[#This Row],[In - R1a]:[In - R1b]]),"")</f>
        <v>3</v>
      </c>
      <c r="CA563">
        <v>2</v>
      </c>
      <c r="CB563">
        <v>2</v>
      </c>
      <c r="CC563">
        <v>3</v>
      </c>
      <c r="CD563">
        <v>5</v>
      </c>
      <c r="CE563">
        <f>IFERROR(AVERAGE(Tabel1[[#This Row],[In - R1]:[In - R5]]),"")</f>
        <v>3</v>
      </c>
      <c r="CF563">
        <v>5</v>
      </c>
      <c r="CG563">
        <v>3</v>
      </c>
      <c r="CH563">
        <v>3</v>
      </c>
      <c r="CI563">
        <f>IFERROR(AVERAGE(Tabel1[[#This Row],[In - C1a]:[In - C1c]]),"")</f>
        <v>3.6666666666666665</v>
      </c>
      <c r="CJ563">
        <v>4</v>
      </c>
      <c r="CK563">
        <v>2</v>
      </c>
      <c r="CL563">
        <v>5</v>
      </c>
      <c r="CM563">
        <f>IFERROR(AVERAGE(Tabel1[[#This Row],[In - C1]:[In - C4]]),"")</f>
        <v>3.6666666666666665</v>
      </c>
      <c r="CN563">
        <v>4</v>
      </c>
      <c r="CO563">
        <v>2</v>
      </c>
      <c r="CP563">
        <v>1</v>
      </c>
      <c r="CQ563">
        <f>IFERROR(AVERAGE(Tabel1[[#This Row],[In - F1a]:[In - F1c]]),"")</f>
        <v>2.3333333333333335</v>
      </c>
      <c r="CR563">
        <v>5</v>
      </c>
      <c r="CS563">
        <v>2</v>
      </c>
      <c r="CT563">
        <f>IFERROR(AVERAGE(Tabel1[[#This Row],[In - F2a]:[In - F2b]]),"")</f>
        <v>3.5</v>
      </c>
      <c r="CU563">
        <v>1</v>
      </c>
      <c r="CV563">
        <f>IFERROR(AVERAGE(Tabel1[[#This Row],[In - F3a]:[In - F3a]]),"")</f>
        <v>1</v>
      </c>
      <c r="CW563">
        <v>4</v>
      </c>
      <c r="CX563">
        <f>IFERROR(AVERAGE(Tabel1[[#This Row],[In - F1]],Tabel1[[#This Row],[In - F2]],Tabel1[[#This Row],[In - F3]],Tabel1[[#This Row],[In - F4]]),"")</f>
        <v>2.7083333333333335</v>
      </c>
      <c r="CY563">
        <v>2</v>
      </c>
      <c r="CZ563">
        <v>3</v>
      </c>
      <c r="DA563">
        <v>3</v>
      </c>
      <c r="DB563">
        <f>IFERROR(AVERAGE(Tabel1[[#This Row],[In - V1a]:[In - V1c]]),"")</f>
        <v>2.6666666666666665</v>
      </c>
      <c r="DC563">
        <v>2</v>
      </c>
      <c r="DD563">
        <v>3</v>
      </c>
      <c r="DE563">
        <v>2</v>
      </c>
      <c r="DF563">
        <f>IFERROR(AVERAGE(Tabel1[[#This Row],[In - V2a]:[In - V2c]]),"")</f>
        <v>2.3333333333333335</v>
      </c>
      <c r="DG563">
        <v>2</v>
      </c>
      <c r="DH563">
        <v>3</v>
      </c>
      <c r="DI563">
        <f>IFERROR(AVERAGE(Tabel1[[#This Row],[In - V3a]:[In - V3b]]),"")</f>
        <v>2.5</v>
      </c>
      <c r="DJ563">
        <v>3</v>
      </c>
      <c r="DK563">
        <f>IFERROR(AVERAGE(Tabel1[[#This Row],[In - V1]],Tabel1[[#This Row],[In - V2]],Tabel1[[#This Row],[In - V3]],Tabel1[[#This Row],[In - V4]]),"")</f>
        <v>2.625</v>
      </c>
      <c r="DL563">
        <v>2</v>
      </c>
      <c r="DM563">
        <v>4</v>
      </c>
      <c r="DN563">
        <f>IFERROR(AVERAGE(Tabel1[[#This Row],[In - A1a]:[In - A1b]]),"")</f>
        <v>3</v>
      </c>
      <c r="DO563">
        <v>3</v>
      </c>
      <c r="DP563">
        <v>3</v>
      </c>
      <c r="DQ563">
        <f>IFERROR(AVERAGE(Tabel1[[#This Row],[In - A2a]:[In - A2b]]),"")</f>
        <v>3</v>
      </c>
      <c r="DR563">
        <v>4</v>
      </c>
      <c r="DS563">
        <v>2</v>
      </c>
      <c r="DT563">
        <f>IFERROR(AVERAGE(Tabel1[[#This Row],[In - A3a]:[In - A3a]]),"")</f>
        <v>4</v>
      </c>
      <c r="DU563">
        <v>4</v>
      </c>
      <c r="DV563">
        <f>IFERROR(AVERAGE(Tabel1[[#This Row],[In - A1]],Tabel1[[#This Row],[In - A2]],Tabel1[[#This Row],[In - A3]],Tabel1[[#This Row],[In - A4]]),"")</f>
        <v>3.5</v>
      </c>
      <c r="DW563">
        <v>2</v>
      </c>
      <c r="DX563">
        <v>5</v>
      </c>
      <c r="DY563">
        <v>2</v>
      </c>
      <c r="DZ563">
        <f>IFERROR(AVERAGE(Tabel1[[#This Row],[Do - R1a]:[Do - R1c]]),"")</f>
        <v>3</v>
      </c>
      <c r="EA563">
        <v>4</v>
      </c>
      <c r="EB563">
        <v>4</v>
      </c>
      <c r="EC563" t="s">
        <v>189</v>
      </c>
      <c r="ED563">
        <v>4</v>
      </c>
      <c r="EE563">
        <f>IFERROR(AVERAGE(Tabel1[[#This Row],[Do - R1]:[Do - R5]]),"")</f>
        <v>3.75</v>
      </c>
      <c r="EF563">
        <v>4</v>
      </c>
      <c r="EG563">
        <v>4</v>
      </c>
      <c r="EH563">
        <v>3</v>
      </c>
      <c r="EI563">
        <f>IFERROR(AVERAGE(Tabel1[[#This Row],[Do - C1a]:[Do - C1c]]),"")</f>
        <v>3.6666666666666665</v>
      </c>
      <c r="EJ563">
        <v>2</v>
      </c>
      <c r="EK563">
        <v>2</v>
      </c>
      <c r="EL563">
        <v>3</v>
      </c>
      <c r="EM563">
        <f>IFERROR(AVERAGE(Tabel1[[#This Row],[Do - C1]:[Do - C4]]),"")</f>
        <v>2.6666666666666665</v>
      </c>
      <c r="EN563">
        <v>3</v>
      </c>
      <c r="EO563" t="s">
        <v>189</v>
      </c>
      <c r="EP563">
        <v>1</v>
      </c>
      <c r="EQ563">
        <f>IFERROR(AVERAGE(Tabel1[[#This Row],[Do - F1a]:[Do - F1c]]),"")</f>
        <v>2</v>
      </c>
      <c r="ER563">
        <v>1</v>
      </c>
      <c r="ES563">
        <f>IFERROR(AVERAGE(Tabel1[[#This Row],[Do - F2a]:[Do - F2a]]),"")</f>
        <v>1</v>
      </c>
      <c r="ET563">
        <v>3</v>
      </c>
      <c r="EU563">
        <v>3</v>
      </c>
      <c r="EV563">
        <f>IFERROR(AVERAGE(Tabel1[[#This Row],[Do - F3a]:[Do - F3b]]),"")</f>
        <v>3</v>
      </c>
      <c r="EW563">
        <v>2</v>
      </c>
      <c r="EX563">
        <f>IFERROR(AVERAGE(Tabel1[[#This Row],[Do - F1]],Tabel1[[#This Row],[Do - F2]],Tabel1[[#This Row],[Do - F3]],Tabel1[[#This Row],[Do - F4]]),"")</f>
        <v>2</v>
      </c>
      <c r="EY563">
        <v>3</v>
      </c>
      <c r="EZ563">
        <v>1</v>
      </c>
      <c r="FA563">
        <v>2</v>
      </c>
      <c r="FB563">
        <f>IFERROR(AVERAGE(Tabel1[[#This Row],[Do - V1a]:[Do - V1c]]),"")</f>
        <v>2</v>
      </c>
      <c r="FC563">
        <v>2</v>
      </c>
      <c r="FD563">
        <v>3</v>
      </c>
      <c r="FE563">
        <f>IFERROR(AVERAGE(Tabel1[[#This Row],[Do - V2a]:[Do - V2b]]),"")</f>
        <v>2.5</v>
      </c>
      <c r="FF563">
        <v>1</v>
      </c>
      <c r="FG563">
        <f>IFERROR(AVERAGE(Tabel1[[#This Row],[Do - V3a]:[Do - V3a]]),"")</f>
        <v>1</v>
      </c>
      <c r="FH563">
        <v>3</v>
      </c>
      <c r="FI563">
        <f>IFERROR(AVERAGE(Tabel1[[#This Row],[Do - V1]],Tabel1[[#This Row],[Do - V2]],Tabel1[[#This Row],[Do - V3]],Tabel1[[#This Row],[Do - V4]]),"")</f>
        <v>2.125</v>
      </c>
      <c r="FJ563">
        <v>3</v>
      </c>
      <c r="FK563">
        <v>1</v>
      </c>
      <c r="FL563">
        <v>2</v>
      </c>
      <c r="FM563">
        <f>IFERROR(AVERAGE(Tabel1[[#This Row],[Do - A1a]:[Do - A1c]]),"")</f>
        <v>2</v>
      </c>
      <c r="FN563">
        <v>3</v>
      </c>
      <c r="FO563">
        <v>5</v>
      </c>
      <c r="FP563">
        <f>IFERROR(AVERAGE(Tabel1[[#This Row],[Do - A2a]:[Do - A2b]]),"")</f>
        <v>4</v>
      </c>
      <c r="FQ563">
        <v>4</v>
      </c>
      <c r="FR563">
        <f>IFERROR(AVERAGE(Tabel1[[#This Row],[Do - A3a]:[Do - A3a]]),"")</f>
        <v>4</v>
      </c>
      <c r="FS563">
        <v>2</v>
      </c>
      <c r="FT563">
        <f>IFERROR(AVERAGE(Tabel1[[#This Row],[Do - A1]],Tabel1[[#This Row],[Do - A2]],Tabel1[[#This Row],[Do - A3]],Tabel1[[#This Row],[Do - A4]]),"")</f>
        <v>3</v>
      </c>
      <c r="FU563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2.6972222222222224</v>
      </c>
      <c r="FV563" s="31" t="s">
        <v>2697</v>
      </c>
      <c r="FW563" t="b">
        <v>1</v>
      </c>
    </row>
    <row r="564" spans="1:179" x14ac:dyDescent="0.3">
      <c r="A564" s="13">
        <v>46048.3921990741</v>
      </c>
      <c r="B564" t="b">
        <v>0</v>
      </c>
      <c r="C564" t="s">
        <v>2698</v>
      </c>
      <c r="D564" t="s">
        <v>2699</v>
      </c>
      <c r="E564" t="s">
        <v>2677</v>
      </c>
      <c r="F564" s="14"/>
      <c r="G564" t="s">
        <v>2700</v>
      </c>
      <c r="H564" t="s">
        <v>222</v>
      </c>
      <c r="I564" t="s">
        <v>195</v>
      </c>
      <c r="J564" t="s">
        <v>533</v>
      </c>
      <c r="K564" t="s">
        <v>201</v>
      </c>
      <c r="L564" t="s">
        <v>218</v>
      </c>
      <c r="M564" t="s">
        <v>188</v>
      </c>
      <c r="N564" t="s">
        <v>262</v>
      </c>
      <c r="O564" t="s">
        <v>200</v>
      </c>
      <c r="P564" t="s">
        <v>255</v>
      </c>
      <c r="R564" t="s">
        <v>203</v>
      </c>
      <c r="S564" t="s">
        <v>201</v>
      </c>
      <c r="T564" t="s">
        <v>236</v>
      </c>
      <c r="U564" t="s">
        <v>205</v>
      </c>
      <c r="V564" t="s">
        <v>484</v>
      </c>
      <c r="W564" t="s">
        <v>207</v>
      </c>
      <c r="X564" t="s">
        <v>207</v>
      </c>
      <c r="Y564">
        <v>2</v>
      </c>
      <c r="Z564" t="s">
        <v>189</v>
      </c>
      <c r="AA564">
        <v>1</v>
      </c>
      <c r="AB564">
        <f>IFERROR(AVERAGE(Tabel1[[#This Row],[Up - R1a]:[Up - R1c]]),"")</f>
        <v>1.5</v>
      </c>
      <c r="AC564" t="s">
        <v>189</v>
      </c>
      <c r="AD564" t="s">
        <v>189</v>
      </c>
      <c r="AE564" t="s">
        <v>189</v>
      </c>
      <c r="AF564" t="s">
        <v>189</v>
      </c>
      <c r="AG564">
        <f>IFERROR(AVERAGE(Tabel1[[#This Row],[Up - R1]:[Up - R5]]),"")</f>
        <v>1.5</v>
      </c>
      <c r="AH564" t="s">
        <v>189</v>
      </c>
      <c r="AI564" t="s">
        <v>189</v>
      </c>
      <c r="AJ564" t="s">
        <v>189</v>
      </c>
      <c r="AK564" t="str">
        <f>IFERROR(AVERAGE(Tabel1[[#This Row],[Up - C1a]:[Up - C1c]]),"")</f>
        <v/>
      </c>
      <c r="AL564" t="s">
        <v>189</v>
      </c>
      <c r="AM564" t="s">
        <v>189</v>
      </c>
      <c r="AN564" t="s">
        <v>189</v>
      </c>
      <c r="AO564" t="str">
        <f>IFERROR(AVERAGE(Tabel1[[#This Row],[Up - C1]:[Up - C4]]),"")</f>
        <v/>
      </c>
      <c r="AP564" t="s">
        <v>189</v>
      </c>
      <c r="AQ564" t="str">
        <f>IFERROR(AVERAGE(Tabel1[[#This Row],[Up - F1a]:[Up - F1a]]),"")</f>
        <v/>
      </c>
      <c r="AR564" t="s">
        <v>189</v>
      </c>
      <c r="AS564" t="s">
        <v>189</v>
      </c>
      <c r="AT564" t="str">
        <f>IFERROR(AVERAGE(Tabel1[[#This Row],[Up - F2a]:[Up - F2b]]),"")</f>
        <v/>
      </c>
      <c r="AU564" t="s">
        <v>189</v>
      </c>
      <c r="AV564" t="s">
        <v>189</v>
      </c>
      <c r="AW564" t="str">
        <f>IFERROR(AVERAGE(Tabel1[[#This Row],[Up - F3a]:[Up - F3b]]),"")</f>
        <v/>
      </c>
      <c r="AX564" t="s">
        <v>189</v>
      </c>
      <c r="AY564" t="str">
        <f>IFERROR(AVERAGE(Tabel1[[#This Row],[Up - F1]],Tabel1[[#This Row],[Up - F2]],Tabel1[[#This Row],[Up - F3]],Tabel1[[#This Row],[Up - F4]]),"")</f>
        <v/>
      </c>
      <c r="AZ564" t="s">
        <v>189</v>
      </c>
      <c r="BA564" t="s">
        <v>189</v>
      </c>
      <c r="BB564" t="str">
        <f>IFERROR(AVERAGE(Tabel1[[#This Row],[Up - V1a]:[Up - V1b]]),"")</f>
        <v/>
      </c>
      <c r="BC564" t="s">
        <v>189</v>
      </c>
      <c r="BD564" t="s">
        <v>189</v>
      </c>
      <c r="BE564" t="s">
        <v>189</v>
      </c>
      <c r="BF564" t="str">
        <f>IFERROR(AVERAGE(Tabel1[[#This Row],[Up - V2a]:[Up - V2c]]),"")</f>
        <v/>
      </c>
      <c r="BG564" t="s">
        <v>189</v>
      </c>
      <c r="BH564" t="s">
        <v>189</v>
      </c>
      <c r="BI564" t="str">
        <f>IFERROR(AVERAGE(Tabel1[[#This Row],[Up - V3a]:[Up - V3b]]),"")</f>
        <v/>
      </c>
      <c r="BJ564" t="s">
        <v>189</v>
      </c>
      <c r="BK564" t="str">
        <f>IFERROR(AVERAGE(Tabel1[[#This Row],[Up - V1]],Tabel1[[#This Row],[Up - V2]],Tabel1[[#This Row],[Up - V3]],Tabel1[[#This Row],[Up - V4]]),"")</f>
        <v/>
      </c>
      <c r="BL564" t="s">
        <v>189</v>
      </c>
      <c r="BM564" t="s">
        <v>189</v>
      </c>
      <c r="BN564" t="s">
        <v>189</v>
      </c>
      <c r="BO564" t="s">
        <v>189</v>
      </c>
      <c r="BP564" t="str">
        <f>IFERROR(AVERAGE(Tabel1[[#This Row],[Up - A1a]:[Up - A1d]]),"")</f>
        <v/>
      </c>
      <c r="BQ564" t="s">
        <v>189</v>
      </c>
      <c r="BR564" t="s">
        <v>189</v>
      </c>
      <c r="BS564" t="str">
        <f>IFERROR(AVERAGE(Tabel1[[#This Row],[Up - A2a]:[Up - A2b]]),"")</f>
        <v/>
      </c>
      <c r="BT564" t="s">
        <v>189</v>
      </c>
      <c r="BU564" t="str">
        <f>IFERROR(AVERAGE(Tabel1[[#This Row],[Up - A3a]:[Up - A3a]]),"")</f>
        <v/>
      </c>
      <c r="BV564" t="s">
        <v>189</v>
      </c>
      <c r="BW564" t="str">
        <f>IFERROR(AVERAGE(Tabel1[[#This Row],[Up - A1]],Tabel1[[#This Row],[Up - A2]],Tabel1[[#This Row],[Up - A3]]),"")</f>
        <v/>
      </c>
      <c r="BX564">
        <v>3</v>
      </c>
      <c r="BY564">
        <v>2</v>
      </c>
      <c r="BZ564">
        <f>IFERROR(AVERAGE(Tabel1[[#This Row],[In - R1a]:[In - R1b]]),"")</f>
        <v>2.5</v>
      </c>
      <c r="CA564">
        <v>4</v>
      </c>
      <c r="CB564">
        <v>3</v>
      </c>
      <c r="CC564">
        <v>2</v>
      </c>
      <c r="CD564">
        <v>5</v>
      </c>
      <c r="CE564">
        <f>IFERROR(AVERAGE(Tabel1[[#This Row],[In - R1]:[In - R5]]),"")</f>
        <v>3.3</v>
      </c>
      <c r="CF564">
        <v>4</v>
      </c>
      <c r="CG564">
        <v>4</v>
      </c>
      <c r="CH564">
        <v>4</v>
      </c>
      <c r="CI564">
        <f>IFERROR(AVERAGE(Tabel1[[#This Row],[In - C1a]:[In - C1c]]),"")</f>
        <v>4</v>
      </c>
      <c r="CJ564">
        <v>4</v>
      </c>
      <c r="CK564">
        <v>3</v>
      </c>
      <c r="CL564">
        <v>5</v>
      </c>
      <c r="CM564">
        <f>IFERROR(AVERAGE(Tabel1[[#This Row],[In - C1]:[In - C4]]),"")</f>
        <v>4</v>
      </c>
      <c r="CN564">
        <v>4</v>
      </c>
      <c r="CO564">
        <v>2</v>
      </c>
      <c r="CP564">
        <v>1</v>
      </c>
      <c r="CQ564">
        <f>IFERROR(AVERAGE(Tabel1[[#This Row],[In - F1a]:[In - F1c]]),"")</f>
        <v>2.3333333333333335</v>
      </c>
      <c r="CR564">
        <v>1</v>
      </c>
      <c r="CS564">
        <v>4</v>
      </c>
      <c r="CT564">
        <f>IFERROR(AVERAGE(Tabel1[[#This Row],[In - F2a]:[In - F2b]]),"")</f>
        <v>2.5</v>
      </c>
      <c r="CU564">
        <v>4</v>
      </c>
      <c r="CV564">
        <f>IFERROR(AVERAGE(Tabel1[[#This Row],[In - F3a]:[In - F3a]]),"")</f>
        <v>4</v>
      </c>
      <c r="CW564">
        <v>1</v>
      </c>
      <c r="CX564">
        <f>IFERROR(AVERAGE(Tabel1[[#This Row],[In - F1]],Tabel1[[#This Row],[In - F2]],Tabel1[[#This Row],[In - F3]],Tabel1[[#This Row],[In - F4]]),"")</f>
        <v>2.4583333333333335</v>
      </c>
      <c r="CY564">
        <v>4</v>
      </c>
      <c r="CZ564">
        <v>2</v>
      </c>
      <c r="DA564">
        <v>4</v>
      </c>
      <c r="DB564">
        <f>IFERROR(AVERAGE(Tabel1[[#This Row],[In - V1a]:[In - V1c]]),"")</f>
        <v>3.3333333333333335</v>
      </c>
      <c r="DC564">
        <v>3</v>
      </c>
      <c r="DD564">
        <v>3</v>
      </c>
      <c r="DE564">
        <v>4</v>
      </c>
      <c r="DF564">
        <f>IFERROR(AVERAGE(Tabel1[[#This Row],[In - V2a]:[In - V2c]]),"")</f>
        <v>3.3333333333333335</v>
      </c>
      <c r="DG564" t="s">
        <v>189</v>
      </c>
      <c r="DH564">
        <v>3</v>
      </c>
      <c r="DI564">
        <f>IFERROR(AVERAGE(Tabel1[[#This Row],[In - V3a]:[In - V3b]]),"")</f>
        <v>3</v>
      </c>
      <c r="DJ564">
        <v>4</v>
      </c>
      <c r="DK564">
        <f>IFERROR(AVERAGE(Tabel1[[#This Row],[In - V1]],Tabel1[[#This Row],[In - V2]],Tabel1[[#This Row],[In - V3]],Tabel1[[#This Row],[In - V4]]),"")</f>
        <v>3.416666666666667</v>
      </c>
      <c r="DL564">
        <v>3</v>
      </c>
      <c r="DM564">
        <v>4</v>
      </c>
      <c r="DN564">
        <f>IFERROR(AVERAGE(Tabel1[[#This Row],[In - A1a]:[In - A1b]]),"")</f>
        <v>3.5</v>
      </c>
      <c r="DO564" t="s">
        <v>189</v>
      </c>
      <c r="DP564">
        <v>3</v>
      </c>
      <c r="DQ564">
        <f>IFERROR(AVERAGE(Tabel1[[#This Row],[In - A2a]:[In - A2b]]),"")</f>
        <v>3</v>
      </c>
      <c r="DR564">
        <v>5</v>
      </c>
      <c r="DS564">
        <v>2</v>
      </c>
      <c r="DT564">
        <f>IFERROR(AVERAGE(Tabel1[[#This Row],[In - A3a]:[In - A3a]]),"")</f>
        <v>5</v>
      </c>
      <c r="DU564">
        <v>4</v>
      </c>
      <c r="DV564">
        <f>IFERROR(AVERAGE(Tabel1[[#This Row],[In - A1]],Tabel1[[#This Row],[In - A2]],Tabel1[[#This Row],[In - A3]],Tabel1[[#This Row],[In - A4]]),"")</f>
        <v>3.875</v>
      </c>
      <c r="DW564">
        <v>2</v>
      </c>
      <c r="DX564">
        <v>5</v>
      </c>
      <c r="DY564">
        <v>2</v>
      </c>
      <c r="DZ564">
        <f>IFERROR(AVERAGE(Tabel1[[#This Row],[Do - R1a]:[Do - R1c]]),"")</f>
        <v>3</v>
      </c>
      <c r="EA564">
        <v>4</v>
      </c>
      <c r="EB564">
        <v>4</v>
      </c>
      <c r="EC564">
        <v>1</v>
      </c>
      <c r="ED564">
        <v>4</v>
      </c>
      <c r="EE564">
        <f>IFERROR(AVERAGE(Tabel1[[#This Row],[Do - R1]:[Do - R5]]),"")</f>
        <v>3.2</v>
      </c>
      <c r="EF564">
        <v>4</v>
      </c>
      <c r="EG564">
        <v>3</v>
      </c>
      <c r="EH564">
        <v>3</v>
      </c>
      <c r="EI564">
        <f>IFERROR(AVERAGE(Tabel1[[#This Row],[Do - C1a]:[Do - C1c]]),"")</f>
        <v>3.3333333333333335</v>
      </c>
      <c r="EJ564">
        <v>3</v>
      </c>
      <c r="EK564">
        <v>3</v>
      </c>
      <c r="EL564">
        <v>4</v>
      </c>
      <c r="EM564">
        <f>IFERROR(AVERAGE(Tabel1[[#This Row],[Do - C1]:[Do - C4]]),"")</f>
        <v>3.3333333333333335</v>
      </c>
      <c r="EN564">
        <v>3</v>
      </c>
      <c r="EO564">
        <v>2</v>
      </c>
      <c r="EP564">
        <v>1</v>
      </c>
      <c r="EQ564">
        <f>IFERROR(AVERAGE(Tabel1[[#This Row],[Do - F1a]:[Do - F1c]]),"")</f>
        <v>2</v>
      </c>
      <c r="ER564">
        <v>3</v>
      </c>
      <c r="ES564">
        <f>IFERROR(AVERAGE(Tabel1[[#This Row],[Do - F2a]:[Do - F2a]]),"")</f>
        <v>3</v>
      </c>
      <c r="ET564">
        <v>4</v>
      </c>
      <c r="EU564">
        <v>3</v>
      </c>
      <c r="EV564">
        <f>IFERROR(AVERAGE(Tabel1[[#This Row],[Do - F3a]:[Do - F3b]]),"")</f>
        <v>3.5</v>
      </c>
      <c r="EW564">
        <v>1</v>
      </c>
      <c r="EX564">
        <f>IFERROR(AVERAGE(Tabel1[[#This Row],[Do - F1]],Tabel1[[#This Row],[Do - F2]],Tabel1[[#This Row],[Do - F3]],Tabel1[[#This Row],[Do - F4]]),"")</f>
        <v>2.375</v>
      </c>
      <c r="EY564">
        <v>3</v>
      </c>
      <c r="EZ564">
        <v>2</v>
      </c>
      <c r="FA564">
        <v>2</v>
      </c>
      <c r="FB564">
        <f>IFERROR(AVERAGE(Tabel1[[#This Row],[Do - V1a]:[Do - V1c]]),"")</f>
        <v>2.3333333333333335</v>
      </c>
      <c r="FC564">
        <v>3</v>
      </c>
      <c r="FD564">
        <v>2</v>
      </c>
      <c r="FE564">
        <f>IFERROR(AVERAGE(Tabel1[[#This Row],[Do - V2a]:[Do - V2b]]),"")</f>
        <v>2.5</v>
      </c>
      <c r="FF564">
        <v>3</v>
      </c>
      <c r="FG564">
        <f>IFERROR(AVERAGE(Tabel1[[#This Row],[Do - V3a]:[Do - V3a]]),"")</f>
        <v>3</v>
      </c>
      <c r="FH564">
        <v>4</v>
      </c>
      <c r="FI564">
        <f>IFERROR(AVERAGE(Tabel1[[#This Row],[Do - V1]],Tabel1[[#This Row],[Do - V2]],Tabel1[[#This Row],[Do - V3]],Tabel1[[#This Row],[Do - V4]]),"")</f>
        <v>2.9583333333333335</v>
      </c>
      <c r="FJ564">
        <v>3</v>
      </c>
      <c r="FK564">
        <v>2</v>
      </c>
      <c r="FL564">
        <v>3</v>
      </c>
      <c r="FM564">
        <f>IFERROR(AVERAGE(Tabel1[[#This Row],[Do - A1a]:[Do - A1c]]),"")</f>
        <v>2.6666666666666665</v>
      </c>
      <c r="FN564">
        <v>4</v>
      </c>
      <c r="FO564">
        <v>4</v>
      </c>
      <c r="FP564">
        <f>IFERROR(AVERAGE(Tabel1[[#This Row],[Do - A2a]:[Do - A2b]]),"")</f>
        <v>4</v>
      </c>
      <c r="FQ564">
        <v>2</v>
      </c>
      <c r="FR564">
        <f>IFERROR(AVERAGE(Tabel1[[#This Row],[Do - A3a]:[Do - A3a]]),"")</f>
        <v>2</v>
      </c>
      <c r="FS564">
        <v>3</v>
      </c>
      <c r="FT564">
        <f>IFERROR(AVERAGE(Tabel1[[#This Row],[Do - A1]],Tabel1[[#This Row],[Do - A2]],Tabel1[[#This Row],[Do - A3]],Tabel1[[#This Row],[Do - A4]]),"")</f>
        <v>2.9166666666666665</v>
      </c>
      <c r="FU564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3.0303030303030298</v>
      </c>
      <c r="FV564" s="31" t="s">
        <v>2701</v>
      </c>
      <c r="FW564" t="b">
        <v>1</v>
      </c>
    </row>
    <row r="565" spans="1:179" x14ac:dyDescent="0.3">
      <c r="A565" s="13">
        <v>46050.584687499999</v>
      </c>
      <c r="B565" t="b">
        <v>0</v>
      </c>
      <c r="C565" t="s">
        <v>2702</v>
      </c>
      <c r="D565" t="s">
        <v>2703</v>
      </c>
      <c r="E565" t="s">
        <v>2677</v>
      </c>
      <c r="F565" s="14"/>
      <c r="G565" t="s">
        <v>2704</v>
      </c>
      <c r="H565" t="s">
        <v>222</v>
      </c>
      <c r="I565" t="s">
        <v>195</v>
      </c>
      <c r="J565" t="s">
        <v>406</v>
      </c>
      <c r="K565" t="s">
        <v>201</v>
      </c>
      <c r="L565" t="s">
        <v>385</v>
      </c>
      <c r="M565" t="s">
        <v>233</v>
      </c>
      <c r="N565" t="s">
        <v>262</v>
      </c>
      <c r="P565" t="s">
        <v>304</v>
      </c>
      <c r="Q565" t="s">
        <v>201</v>
      </c>
      <c r="R565" t="s">
        <v>304</v>
      </c>
      <c r="S565" t="s">
        <v>202</v>
      </c>
      <c r="V565" t="s">
        <v>224</v>
      </c>
      <c r="W565" t="s">
        <v>306</v>
      </c>
      <c r="X565" t="s">
        <v>207</v>
      </c>
      <c r="Y565" t="s">
        <v>189</v>
      </c>
      <c r="Z565" t="s">
        <v>189</v>
      </c>
      <c r="AA565" t="s">
        <v>189</v>
      </c>
      <c r="AB565" t="str">
        <f>IFERROR(AVERAGE(Tabel1[[#This Row],[Up - R1a]:[Up - R1c]]),"")</f>
        <v/>
      </c>
      <c r="AE565" t="s">
        <v>189</v>
      </c>
      <c r="AF565" t="s">
        <v>189</v>
      </c>
      <c r="AG565" t="str">
        <f>IFERROR(AVERAGE(Tabel1[[#This Row],[Up - R1]:[Up - R5]]),"")</f>
        <v/>
      </c>
      <c r="AH565">
        <v>3</v>
      </c>
      <c r="AI565">
        <v>3</v>
      </c>
      <c r="AJ565">
        <v>4</v>
      </c>
      <c r="AK565">
        <f>IFERROR(AVERAGE(Tabel1[[#This Row],[Up - C1a]:[Up - C1c]]),"")</f>
        <v>3.3333333333333335</v>
      </c>
      <c r="AL565" t="s">
        <v>189</v>
      </c>
      <c r="AM565" t="s">
        <v>189</v>
      </c>
      <c r="AN565" t="s">
        <v>189</v>
      </c>
      <c r="AO565">
        <f>IFERROR(AVERAGE(Tabel1[[#This Row],[Up - C1]:[Up - C4]]),"")</f>
        <v>3.3333333333333335</v>
      </c>
      <c r="AP565" t="s">
        <v>189</v>
      </c>
      <c r="AQ565" t="str">
        <f>IFERROR(AVERAGE(Tabel1[[#This Row],[Up - F1a]:[Up - F1a]]),"")</f>
        <v/>
      </c>
      <c r="AR565">
        <v>1</v>
      </c>
      <c r="AS565">
        <v>1</v>
      </c>
      <c r="AT565">
        <f>IFERROR(AVERAGE(Tabel1[[#This Row],[Up - F2a]:[Up - F2b]]),"")</f>
        <v>1</v>
      </c>
      <c r="AU565">
        <v>4</v>
      </c>
      <c r="AV565" t="s">
        <v>189</v>
      </c>
      <c r="AW565">
        <f>IFERROR(AVERAGE(Tabel1[[#This Row],[Up - F3a]:[Up - F3b]]),"")</f>
        <v>4</v>
      </c>
      <c r="AX565" t="s">
        <v>189</v>
      </c>
      <c r="AY565">
        <f>IFERROR(AVERAGE(Tabel1[[#This Row],[Up - F1]],Tabel1[[#This Row],[Up - F2]],Tabel1[[#This Row],[Up - F3]],Tabel1[[#This Row],[Up - F4]]),"")</f>
        <v>2.5</v>
      </c>
      <c r="AZ565" t="s">
        <v>189</v>
      </c>
      <c r="BA565" t="s">
        <v>189</v>
      </c>
      <c r="BB565" t="str">
        <f>IFERROR(AVERAGE(Tabel1[[#This Row],[Up - V1a]:[Up - V1b]]),"")</f>
        <v/>
      </c>
      <c r="BC565" t="s">
        <v>189</v>
      </c>
      <c r="BD565" t="s">
        <v>189</v>
      </c>
      <c r="BE565">
        <v>3</v>
      </c>
      <c r="BF565">
        <f>IFERROR(AVERAGE(Tabel1[[#This Row],[Up - V2a]:[Up - V2c]]),"")</f>
        <v>3</v>
      </c>
      <c r="BG565" t="s">
        <v>189</v>
      </c>
      <c r="BH565">
        <v>1</v>
      </c>
      <c r="BI565">
        <f>IFERROR(AVERAGE(Tabel1[[#This Row],[Up - V3a]:[Up - V3b]]),"")</f>
        <v>1</v>
      </c>
      <c r="BJ565" t="s">
        <v>189</v>
      </c>
      <c r="BK565">
        <f>IFERROR(AVERAGE(Tabel1[[#This Row],[Up - V1]],Tabel1[[#This Row],[Up - V2]],Tabel1[[#This Row],[Up - V3]],Tabel1[[#This Row],[Up - V4]]),"")</f>
        <v>2</v>
      </c>
      <c r="BL565" t="s">
        <v>189</v>
      </c>
      <c r="BM565" t="s">
        <v>189</v>
      </c>
      <c r="BN565" t="s">
        <v>189</v>
      </c>
      <c r="BO565" t="s">
        <v>189</v>
      </c>
      <c r="BP565" t="str">
        <f>IFERROR(AVERAGE(Tabel1[[#This Row],[Up - A1a]:[Up - A1d]]),"")</f>
        <v/>
      </c>
      <c r="BQ565" t="s">
        <v>189</v>
      </c>
      <c r="BR565" t="s">
        <v>189</v>
      </c>
      <c r="BS565" t="str">
        <f>IFERROR(AVERAGE(Tabel1[[#This Row],[Up - A2a]:[Up - A2b]]),"")</f>
        <v/>
      </c>
      <c r="BT565" t="s">
        <v>189</v>
      </c>
      <c r="BU565" t="str">
        <f>IFERROR(AVERAGE(Tabel1[[#This Row],[Up - A3a]:[Up - A3a]]),"")</f>
        <v/>
      </c>
      <c r="BW565" t="str">
        <f>IFERROR(AVERAGE(Tabel1[[#This Row],[Up - A1]],Tabel1[[#This Row],[Up - A2]],Tabel1[[#This Row],[Up - A3]]),"")</f>
        <v/>
      </c>
      <c r="BX565" t="s">
        <v>189</v>
      </c>
      <c r="BY565" t="s">
        <v>189</v>
      </c>
      <c r="BZ565" t="str">
        <f>IFERROR(AVERAGE(Tabel1[[#This Row],[In - R1a]:[In - R1b]]),"")</f>
        <v/>
      </c>
      <c r="CA565" t="s">
        <v>189</v>
      </c>
      <c r="CB565" t="s">
        <v>189</v>
      </c>
      <c r="CC565" t="s">
        <v>189</v>
      </c>
      <c r="CD565" t="s">
        <v>189</v>
      </c>
      <c r="CE565" t="str">
        <f>IFERROR(AVERAGE(Tabel1[[#This Row],[In - R1]:[In - R5]]),"")</f>
        <v/>
      </c>
      <c r="CF565">
        <v>4</v>
      </c>
      <c r="CG565">
        <v>4</v>
      </c>
      <c r="CH565">
        <v>2</v>
      </c>
      <c r="CI565">
        <f>IFERROR(AVERAGE(Tabel1[[#This Row],[In - C1a]:[In - C1c]]),"")</f>
        <v>3.3333333333333335</v>
      </c>
      <c r="CJ565" t="s">
        <v>189</v>
      </c>
      <c r="CK565" t="s">
        <v>189</v>
      </c>
      <c r="CL565" t="s">
        <v>189</v>
      </c>
      <c r="CM565">
        <f>IFERROR(AVERAGE(Tabel1[[#This Row],[In - C1]:[In - C4]]),"")</f>
        <v>3.3333333333333335</v>
      </c>
      <c r="CN565">
        <v>4</v>
      </c>
      <c r="CO565">
        <v>3</v>
      </c>
      <c r="CP565">
        <v>1</v>
      </c>
      <c r="CQ565">
        <f>IFERROR(AVERAGE(Tabel1[[#This Row],[In - F1a]:[In - F1c]]),"")</f>
        <v>2.6666666666666665</v>
      </c>
      <c r="CR565">
        <v>3</v>
      </c>
      <c r="CS565">
        <v>1</v>
      </c>
      <c r="CT565">
        <f>IFERROR(AVERAGE(Tabel1[[#This Row],[In - F2a]:[In - F2b]]),"")</f>
        <v>2</v>
      </c>
      <c r="CU565">
        <v>1</v>
      </c>
      <c r="CV565">
        <f>IFERROR(AVERAGE(Tabel1[[#This Row],[In - F3a]:[In - F3a]]),"")</f>
        <v>1</v>
      </c>
      <c r="CW565" t="s">
        <v>189</v>
      </c>
      <c r="CX565">
        <f>IFERROR(AVERAGE(Tabel1[[#This Row],[In - F1]],Tabel1[[#This Row],[In - F2]],Tabel1[[#This Row],[In - F3]],Tabel1[[#This Row],[In - F4]]),"")</f>
        <v>1.8888888888888886</v>
      </c>
      <c r="CY565">
        <v>4</v>
      </c>
      <c r="CZ565">
        <v>5</v>
      </c>
      <c r="DA565">
        <v>5</v>
      </c>
      <c r="DB565">
        <f>IFERROR(AVERAGE(Tabel1[[#This Row],[In - V1a]:[In - V1c]]),"")</f>
        <v>4.666666666666667</v>
      </c>
      <c r="DC565">
        <v>4</v>
      </c>
      <c r="DD565">
        <v>4</v>
      </c>
      <c r="DE565">
        <v>4</v>
      </c>
      <c r="DF565">
        <f>IFERROR(AVERAGE(Tabel1[[#This Row],[In - V2a]:[In - V2c]]),"")</f>
        <v>4</v>
      </c>
      <c r="DG565">
        <v>4</v>
      </c>
      <c r="DH565">
        <v>4</v>
      </c>
      <c r="DI565">
        <f>IFERROR(AVERAGE(Tabel1[[#This Row],[In - V3a]:[In - V3b]]),"")</f>
        <v>4</v>
      </c>
      <c r="DJ565" t="s">
        <v>189</v>
      </c>
      <c r="DK565">
        <f>IFERROR(AVERAGE(Tabel1[[#This Row],[In - V1]],Tabel1[[#This Row],[In - V2]],Tabel1[[#This Row],[In - V3]],Tabel1[[#This Row],[In - V4]]),"")</f>
        <v>4.2222222222222223</v>
      </c>
      <c r="DL565">
        <v>3</v>
      </c>
      <c r="DM565">
        <v>1</v>
      </c>
      <c r="DN565">
        <f>IFERROR(AVERAGE(Tabel1[[#This Row],[In - A1a]:[In - A1b]]),"")</f>
        <v>2</v>
      </c>
      <c r="DO565">
        <v>2</v>
      </c>
      <c r="DP565">
        <v>1</v>
      </c>
      <c r="DQ565">
        <f>IFERROR(AVERAGE(Tabel1[[#This Row],[In - A2a]:[In - A2b]]),"")</f>
        <v>1.5</v>
      </c>
      <c r="DR565">
        <v>4</v>
      </c>
      <c r="DS565">
        <v>3</v>
      </c>
      <c r="DT565">
        <f>IFERROR(AVERAGE(Tabel1[[#This Row],[In - A3a]:[In - A3a]]),"")</f>
        <v>4</v>
      </c>
      <c r="DU565" t="s">
        <v>189</v>
      </c>
      <c r="DV565">
        <f>IFERROR(AVERAGE(Tabel1[[#This Row],[In - A1]],Tabel1[[#This Row],[In - A2]],Tabel1[[#This Row],[In - A3]],Tabel1[[#This Row],[In - A4]]),"")</f>
        <v>2.5</v>
      </c>
      <c r="DW565" t="s">
        <v>189</v>
      </c>
      <c r="DX565" t="s">
        <v>189</v>
      </c>
      <c r="DY565" t="s">
        <v>189</v>
      </c>
      <c r="DZ565" t="str">
        <f>IFERROR(AVERAGE(Tabel1[[#This Row],[Do - R1a]:[Do - R1c]]),"")</f>
        <v/>
      </c>
      <c r="EA565" t="s">
        <v>189</v>
      </c>
      <c r="EB565" t="s">
        <v>189</v>
      </c>
      <c r="EC565" t="s">
        <v>189</v>
      </c>
      <c r="ED565" t="s">
        <v>189</v>
      </c>
      <c r="EE565" t="str">
        <f>IFERROR(AVERAGE(Tabel1[[#This Row],[Do - R1]:[Do - R5]]),"")</f>
        <v/>
      </c>
      <c r="EF565">
        <v>4</v>
      </c>
      <c r="EH565">
        <v>4</v>
      </c>
      <c r="EI565">
        <f>IFERROR(AVERAGE(Tabel1[[#This Row],[Do - C1a]:[Do - C1c]]),"")</f>
        <v>4</v>
      </c>
      <c r="EJ565" t="s">
        <v>189</v>
      </c>
      <c r="EK565" t="s">
        <v>189</v>
      </c>
      <c r="EL565" t="s">
        <v>189</v>
      </c>
      <c r="EM565">
        <f>IFERROR(AVERAGE(Tabel1[[#This Row],[Do - C1]:[Do - C4]]),"")</f>
        <v>4</v>
      </c>
      <c r="EN565">
        <v>2</v>
      </c>
      <c r="EO565" t="s">
        <v>189</v>
      </c>
      <c r="EP565">
        <v>1</v>
      </c>
      <c r="EQ565">
        <f>IFERROR(AVERAGE(Tabel1[[#This Row],[Do - F1a]:[Do - F1c]]),"")</f>
        <v>1.5</v>
      </c>
      <c r="ER565">
        <v>5</v>
      </c>
      <c r="ES565">
        <f>IFERROR(AVERAGE(Tabel1[[#This Row],[Do - F2a]:[Do - F2a]]),"")</f>
        <v>5</v>
      </c>
      <c r="ET565">
        <v>4</v>
      </c>
      <c r="EU565" t="s">
        <v>189</v>
      </c>
      <c r="EV565">
        <f>IFERROR(AVERAGE(Tabel1[[#This Row],[Do - F3a]:[Do - F3b]]),"")</f>
        <v>4</v>
      </c>
      <c r="EW565" t="s">
        <v>189</v>
      </c>
      <c r="EX565">
        <f>IFERROR(AVERAGE(Tabel1[[#This Row],[Do - F1]],Tabel1[[#This Row],[Do - F2]],Tabel1[[#This Row],[Do - F3]],Tabel1[[#This Row],[Do - F4]]),"")</f>
        <v>3.5</v>
      </c>
      <c r="EY565" t="s">
        <v>189</v>
      </c>
      <c r="EZ565" t="s">
        <v>189</v>
      </c>
      <c r="FA565" t="s">
        <v>189</v>
      </c>
      <c r="FB565" t="str">
        <f>IFERROR(AVERAGE(Tabel1[[#This Row],[Do - V1a]:[Do - V1c]]),"")</f>
        <v/>
      </c>
      <c r="FC565" t="s">
        <v>189</v>
      </c>
      <c r="FD565">
        <v>5</v>
      </c>
      <c r="FE565">
        <f>IFERROR(AVERAGE(Tabel1[[#This Row],[Do - V2a]:[Do - V2b]]),"")</f>
        <v>5</v>
      </c>
      <c r="FF565">
        <v>5</v>
      </c>
      <c r="FG565">
        <f>IFERROR(AVERAGE(Tabel1[[#This Row],[Do - V3a]:[Do - V3a]]),"")</f>
        <v>5</v>
      </c>
      <c r="FH565" t="s">
        <v>189</v>
      </c>
      <c r="FI565">
        <f>IFERROR(AVERAGE(Tabel1[[#This Row],[Do - V1]],Tabel1[[#This Row],[Do - V2]],Tabel1[[#This Row],[Do - V3]],Tabel1[[#This Row],[Do - V4]]),"")</f>
        <v>5</v>
      </c>
      <c r="FJ565" t="s">
        <v>189</v>
      </c>
      <c r="FK565" t="s">
        <v>189</v>
      </c>
      <c r="FL565" t="s">
        <v>189</v>
      </c>
      <c r="FM565" t="str">
        <f>IFERROR(AVERAGE(Tabel1[[#This Row],[Do - A1a]:[Do - A1c]]),"")</f>
        <v/>
      </c>
      <c r="FN565">
        <v>5</v>
      </c>
      <c r="FO565">
        <v>5</v>
      </c>
      <c r="FP565">
        <f>IFERROR(AVERAGE(Tabel1[[#This Row],[Do - A2a]:[Do - A2b]]),"")</f>
        <v>5</v>
      </c>
      <c r="FQ565">
        <v>2</v>
      </c>
      <c r="FR565">
        <f>IFERROR(AVERAGE(Tabel1[[#This Row],[Do - A3a]:[Do - A3a]]),"")</f>
        <v>2</v>
      </c>
      <c r="FS565" t="s">
        <v>189</v>
      </c>
      <c r="FT565">
        <f>IFERROR(AVERAGE(Tabel1[[#This Row],[Do - A1]],Tabel1[[#This Row],[Do - A2]],Tabel1[[#This Row],[Do - A3]],Tabel1[[#This Row],[Do - A4]]),"")</f>
        <v>3.5</v>
      </c>
      <c r="FU565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3.2525252525252526</v>
      </c>
      <c r="FV565" s="31" t="s">
        <v>2705</v>
      </c>
      <c r="FW565" t="b">
        <v>1</v>
      </c>
    </row>
    <row r="566" spans="1:179" x14ac:dyDescent="0.3">
      <c r="A566" s="13">
        <v>46050.665775463</v>
      </c>
      <c r="B566" t="b">
        <v>0</v>
      </c>
      <c r="C566" t="s">
        <v>2706</v>
      </c>
      <c r="D566" t="s">
        <v>2707</v>
      </c>
      <c r="E566" t="s">
        <v>2677</v>
      </c>
      <c r="F566" s="14"/>
      <c r="G566" t="s">
        <v>2708</v>
      </c>
      <c r="H566" t="s">
        <v>222</v>
      </c>
      <c r="I566" t="s">
        <v>195</v>
      </c>
      <c r="J566" t="s">
        <v>905</v>
      </c>
      <c r="K566" t="s">
        <v>201</v>
      </c>
      <c r="L566" t="s">
        <v>218</v>
      </c>
      <c r="M566" t="s">
        <v>188</v>
      </c>
      <c r="N566" t="s">
        <v>262</v>
      </c>
      <c r="O566" t="s">
        <v>200</v>
      </c>
      <c r="P566" t="s">
        <v>701</v>
      </c>
      <c r="Q566" t="s">
        <v>201</v>
      </c>
      <c r="R566" t="s">
        <v>201</v>
      </c>
      <c r="S566" t="s">
        <v>202</v>
      </c>
      <c r="T566" t="s">
        <v>348</v>
      </c>
      <c r="U566" t="s">
        <v>285</v>
      </c>
      <c r="W566" t="s">
        <v>395</v>
      </c>
      <c r="X566" t="s">
        <v>207</v>
      </c>
      <c r="Y566">
        <v>2</v>
      </c>
      <c r="Z566">
        <v>4</v>
      </c>
      <c r="AA566" t="s">
        <v>189</v>
      </c>
      <c r="AB566">
        <f>IFERROR(AVERAGE(Tabel1[[#This Row],[Up - R1a]:[Up - R1c]]),"")</f>
        <v>3</v>
      </c>
      <c r="AC566" t="s">
        <v>189</v>
      </c>
      <c r="AD566" t="s">
        <v>189</v>
      </c>
      <c r="AE566" t="s">
        <v>189</v>
      </c>
      <c r="AF566" t="s">
        <v>189</v>
      </c>
      <c r="AG566">
        <f>IFERROR(AVERAGE(Tabel1[[#This Row],[Up - R1]:[Up - R5]]),"")</f>
        <v>3</v>
      </c>
      <c r="AH566">
        <v>1</v>
      </c>
      <c r="AI566">
        <v>1</v>
      </c>
      <c r="AJ566">
        <v>1</v>
      </c>
      <c r="AK566">
        <f>IFERROR(AVERAGE(Tabel1[[#This Row],[Up - C1a]:[Up - C1c]]),"")</f>
        <v>1</v>
      </c>
      <c r="AL566" t="s">
        <v>189</v>
      </c>
      <c r="AM566" t="s">
        <v>189</v>
      </c>
      <c r="AN566" t="s">
        <v>189</v>
      </c>
      <c r="AO566">
        <f>IFERROR(AVERAGE(Tabel1[[#This Row],[Up - C1]:[Up - C4]]),"")</f>
        <v>1</v>
      </c>
      <c r="AP566" t="s">
        <v>189</v>
      </c>
      <c r="AQ566" t="str">
        <f>IFERROR(AVERAGE(Tabel1[[#This Row],[Up - F1a]:[Up - F1a]]),"")</f>
        <v/>
      </c>
      <c r="AR566">
        <v>1</v>
      </c>
      <c r="AS566">
        <v>2</v>
      </c>
      <c r="AT566">
        <f>IFERROR(AVERAGE(Tabel1[[#This Row],[Up - F2a]:[Up - F2b]]),"")</f>
        <v>1.5</v>
      </c>
      <c r="AU566">
        <v>2</v>
      </c>
      <c r="AV566" t="s">
        <v>189</v>
      </c>
      <c r="AW566">
        <f>IFERROR(AVERAGE(Tabel1[[#This Row],[Up - F3a]:[Up - F3b]]),"")</f>
        <v>2</v>
      </c>
      <c r="AX566" t="s">
        <v>189</v>
      </c>
      <c r="AY566">
        <f>IFERROR(AVERAGE(Tabel1[[#This Row],[Up - F1]],Tabel1[[#This Row],[Up - F2]],Tabel1[[#This Row],[Up - F3]],Tabel1[[#This Row],[Up - F4]]),"")</f>
        <v>1.75</v>
      </c>
      <c r="AZ566" t="s">
        <v>189</v>
      </c>
      <c r="BA566" t="s">
        <v>189</v>
      </c>
      <c r="BB566" t="str">
        <f>IFERROR(AVERAGE(Tabel1[[#This Row],[Up - V1a]:[Up - V1b]]),"")</f>
        <v/>
      </c>
      <c r="BC566" t="s">
        <v>189</v>
      </c>
      <c r="BD566" t="s">
        <v>189</v>
      </c>
      <c r="BE566">
        <v>1</v>
      </c>
      <c r="BF566">
        <f>IFERROR(AVERAGE(Tabel1[[#This Row],[Up - V2a]:[Up - V2c]]),"")</f>
        <v>1</v>
      </c>
      <c r="BG566">
        <v>1</v>
      </c>
      <c r="BH566">
        <v>1</v>
      </c>
      <c r="BI566">
        <f>IFERROR(AVERAGE(Tabel1[[#This Row],[Up - V3a]:[Up - V3b]]),"")</f>
        <v>1</v>
      </c>
      <c r="BJ566" t="s">
        <v>189</v>
      </c>
      <c r="BK566">
        <f>IFERROR(AVERAGE(Tabel1[[#This Row],[Up - V1]],Tabel1[[#This Row],[Up - V2]],Tabel1[[#This Row],[Up - V3]],Tabel1[[#This Row],[Up - V4]]),"")</f>
        <v>1</v>
      </c>
      <c r="BL566">
        <v>2</v>
      </c>
      <c r="BM566" t="s">
        <v>189</v>
      </c>
      <c r="BN566">
        <v>4</v>
      </c>
      <c r="BO566">
        <v>3</v>
      </c>
      <c r="BP566">
        <f>IFERROR(AVERAGE(Tabel1[[#This Row],[Up - A1a]:[Up - A1d]]),"")</f>
        <v>3</v>
      </c>
      <c r="BQ566" t="s">
        <v>189</v>
      </c>
      <c r="BR566" t="s">
        <v>189</v>
      </c>
      <c r="BS566" t="str">
        <f>IFERROR(AVERAGE(Tabel1[[#This Row],[Up - A2a]:[Up - A2b]]),"")</f>
        <v/>
      </c>
      <c r="BT566">
        <v>2</v>
      </c>
      <c r="BU566">
        <f>IFERROR(AVERAGE(Tabel1[[#This Row],[Up - A3a]:[Up - A3a]]),"")</f>
        <v>2</v>
      </c>
      <c r="BV566" t="s">
        <v>189</v>
      </c>
      <c r="BW566">
        <f>IFERROR(AVERAGE(Tabel1[[#This Row],[Up - A1]],Tabel1[[#This Row],[Up - A2]],Tabel1[[#This Row],[Up - A3]]),"")</f>
        <v>2.5</v>
      </c>
      <c r="BX566">
        <v>2</v>
      </c>
      <c r="BY566">
        <v>3</v>
      </c>
      <c r="BZ566">
        <f>IFERROR(AVERAGE(Tabel1[[#This Row],[In - R1a]:[In - R1b]]),"")</f>
        <v>2.5</v>
      </c>
      <c r="CA566">
        <v>4</v>
      </c>
      <c r="CB566" t="s">
        <v>189</v>
      </c>
      <c r="CC566">
        <v>3</v>
      </c>
      <c r="CD566">
        <v>3</v>
      </c>
      <c r="CE566">
        <f>IFERROR(AVERAGE(Tabel1[[#This Row],[In - R1]:[In - R5]]),"")</f>
        <v>3.125</v>
      </c>
      <c r="CF566">
        <v>4</v>
      </c>
      <c r="CG566">
        <v>4</v>
      </c>
      <c r="CH566">
        <v>3</v>
      </c>
      <c r="CI566">
        <f>IFERROR(AVERAGE(Tabel1[[#This Row],[In - C1a]:[In - C1c]]),"")</f>
        <v>3.6666666666666665</v>
      </c>
      <c r="CJ566">
        <v>4</v>
      </c>
      <c r="CK566">
        <v>2</v>
      </c>
      <c r="CL566" t="s">
        <v>189</v>
      </c>
      <c r="CM566">
        <f>IFERROR(AVERAGE(Tabel1[[#This Row],[In - C1]:[In - C4]]),"")</f>
        <v>3.2222222222222219</v>
      </c>
      <c r="CN566">
        <v>4</v>
      </c>
      <c r="CO566">
        <v>2</v>
      </c>
      <c r="CP566">
        <v>1</v>
      </c>
      <c r="CQ566">
        <f>IFERROR(AVERAGE(Tabel1[[#This Row],[In - F1a]:[In - F1c]]),"")</f>
        <v>2.3333333333333335</v>
      </c>
      <c r="CR566">
        <v>2</v>
      </c>
      <c r="CS566">
        <v>1</v>
      </c>
      <c r="CT566">
        <f>IFERROR(AVERAGE(Tabel1[[#This Row],[In - F2a]:[In - F2b]]),"")</f>
        <v>1.5</v>
      </c>
      <c r="CU566">
        <v>1</v>
      </c>
      <c r="CV566">
        <f>IFERROR(AVERAGE(Tabel1[[#This Row],[In - F3a]:[In - F3a]]),"")</f>
        <v>1</v>
      </c>
      <c r="CW566" t="s">
        <v>189</v>
      </c>
      <c r="CX566">
        <f>IFERROR(AVERAGE(Tabel1[[#This Row],[In - F1]],Tabel1[[#This Row],[In - F2]],Tabel1[[#This Row],[In - F3]],Tabel1[[#This Row],[In - F4]]),"")</f>
        <v>1.6111111111111114</v>
      </c>
      <c r="CY566">
        <v>2</v>
      </c>
      <c r="DB566">
        <f>IFERROR(AVERAGE(Tabel1[[#This Row],[In - V1a]:[In - V1c]]),"")</f>
        <v>2</v>
      </c>
      <c r="DF566" t="str">
        <f>IFERROR(AVERAGE(Tabel1[[#This Row],[In - V2a]:[In - V2c]]),"")</f>
        <v/>
      </c>
      <c r="DI566" t="str">
        <f>IFERROR(AVERAGE(Tabel1[[#This Row],[In - V3a]:[In - V3b]]),"")</f>
        <v/>
      </c>
      <c r="DK566">
        <f>IFERROR(AVERAGE(Tabel1[[#This Row],[In - V1]],Tabel1[[#This Row],[In - V2]],Tabel1[[#This Row],[In - V3]],Tabel1[[#This Row],[In - V4]]),"")</f>
        <v>2</v>
      </c>
      <c r="DL566">
        <v>2</v>
      </c>
      <c r="DM566">
        <v>2</v>
      </c>
      <c r="DN566">
        <f>IFERROR(AVERAGE(Tabel1[[#This Row],[In - A1a]:[In - A1b]]),"")</f>
        <v>2</v>
      </c>
      <c r="DO566">
        <v>2</v>
      </c>
      <c r="DP566">
        <v>1</v>
      </c>
      <c r="DQ566">
        <f>IFERROR(AVERAGE(Tabel1[[#This Row],[In - A2a]:[In - A2b]]),"")</f>
        <v>1.5</v>
      </c>
      <c r="DR566">
        <v>4</v>
      </c>
      <c r="DS566">
        <v>2</v>
      </c>
      <c r="DT566">
        <f>IFERROR(AVERAGE(Tabel1[[#This Row],[In - A3a]:[In - A3a]]),"")</f>
        <v>4</v>
      </c>
      <c r="DU566">
        <v>3</v>
      </c>
      <c r="DV566">
        <f>IFERROR(AVERAGE(Tabel1[[#This Row],[In - A1]],Tabel1[[#This Row],[In - A2]],Tabel1[[#This Row],[In - A3]],Tabel1[[#This Row],[In - A4]]),"")</f>
        <v>2.625</v>
      </c>
      <c r="DW566">
        <v>1</v>
      </c>
      <c r="DX566">
        <v>5</v>
      </c>
      <c r="DY566">
        <v>1</v>
      </c>
      <c r="DZ566">
        <f>IFERROR(AVERAGE(Tabel1[[#This Row],[Do - R1a]:[Do - R1c]]),"")</f>
        <v>2.3333333333333335</v>
      </c>
      <c r="EA566">
        <v>3</v>
      </c>
      <c r="EB566" t="s">
        <v>189</v>
      </c>
      <c r="EC566">
        <v>1</v>
      </c>
      <c r="ED566" t="s">
        <v>189</v>
      </c>
      <c r="EE566">
        <f>IFERROR(AVERAGE(Tabel1[[#This Row],[Do - R1]:[Do - R5]]),"")</f>
        <v>2.1111111111111112</v>
      </c>
      <c r="EF566">
        <v>3</v>
      </c>
      <c r="EG566">
        <v>2</v>
      </c>
      <c r="EH566">
        <v>3</v>
      </c>
      <c r="EI566">
        <f>IFERROR(AVERAGE(Tabel1[[#This Row],[Do - C1a]:[Do - C1c]]),"")</f>
        <v>2.6666666666666665</v>
      </c>
      <c r="EJ566">
        <v>4</v>
      </c>
      <c r="EK566">
        <v>1</v>
      </c>
      <c r="EL566">
        <v>1</v>
      </c>
      <c r="EM566">
        <f>IFERROR(AVERAGE(Tabel1[[#This Row],[Do - C1]:[Do - C4]]),"")</f>
        <v>2.1666666666666665</v>
      </c>
      <c r="EN566">
        <v>2</v>
      </c>
      <c r="EO566">
        <v>1</v>
      </c>
      <c r="EP566">
        <v>1</v>
      </c>
      <c r="EQ566">
        <f>IFERROR(AVERAGE(Tabel1[[#This Row],[Do - F1a]:[Do - F1c]]),"")</f>
        <v>1.3333333333333333</v>
      </c>
      <c r="ER566">
        <v>3</v>
      </c>
      <c r="ES566">
        <f>IFERROR(AVERAGE(Tabel1[[#This Row],[Do - F2a]:[Do - F2a]]),"")</f>
        <v>3</v>
      </c>
      <c r="ET566">
        <v>2</v>
      </c>
      <c r="EU566">
        <v>2</v>
      </c>
      <c r="EV566">
        <f>IFERROR(AVERAGE(Tabel1[[#This Row],[Do - F3a]:[Do - F3b]]),"")</f>
        <v>2</v>
      </c>
      <c r="EW566" t="s">
        <v>189</v>
      </c>
      <c r="EX566">
        <f>IFERROR(AVERAGE(Tabel1[[#This Row],[Do - F1]],Tabel1[[#This Row],[Do - F2]],Tabel1[[#This Row],[Do - F3]],Tabel1[[#This Row],[Do - F4]]),"")</f>
        <v>2.1111111111111112</v>
      </c>
      <c r="EY566">
        <v>4</v>
      </c>
      <c r="EZ566" t="s">
        <v>189</v>
      </c>
      <c r="FA566" t="s">
        <v>189</v>
      </c>
      <c r="FB566">
        <f>IFERROR(AVERAGE(Tabel1[[#This Row],[Do - V1a]:[Do - V1c]]),"")</f>
        <v>4</v>
      </c>
      <c r="FC566">
        <v>1</v>
      </c>
      <c r="FD566">
        <v>4</v>
      </c>
      <c r="FE566">
        <f>IFERROR(AVERAGE(Tabel1[[#This Row],[Do - V2a]:[Do - V2b]]),"")</f>
        <v>2.5</v>
      </c>
      <c r="FF566">
        <v>3</v>
      </c>
      <c r="FG566">
        <f>IFERROR(AVERAGE(Tabel1[[#This Row],[Do - V3a]:[Do - V3a]]),"")</f>
        <v>3</v>
      </c>
      <c r="FH566" t="s">
        <v>189</v>
      </c>
      <c r="FI566">
        <f>IFERROR(AVERAGE(Tabel1[[#This Row],[Do - V1]],Tabel1[[#This Row],[Do - V2]],Tabel1[[#This Row],[Do - V3]],Tabel1[[#This Row],[Do - V4]]),"")</f>
        <v>3.1666666666666665</v>
      </c>
      <c r="FJ566" t="s">
        <v>189</v>
      </c>
      <c r="FK566">
        <v>1</v>
      </c>
      <c r="FL566">
        <v>2</v>
      </c>
      <c r="FM566">
        <f>IFERROR(AVERAGE(Tabel1[[#This Row],[Do - A1a]:[Do - A1c]]),"")</f>
        <v>1.5</v>
      </c>
      <c r="FN566" t="s">
        <v>189</v>
      </c>
      <c r="FO566" t="s">
        <v>189</v>
      </c>
      <c r="FP566" t="str">
        <f>IFERROR(AVERAGE(Tabel1[[#This Row],[Do - A2a]:[Do - A2b]]),"")</f>
        <v/>
      </c>
      <c r="FQ566">
        <v>2</v>
      </c>
      <c r="FR566">
        <f>IFERROR(AVERAGE(Tabel1[[#This Row],[Do - A3a]:[Do - A3a]]),"")</f>
        <v>2</v>
      </c>
      <c r="FS566" t="s">
        <v>189</v>
      </c>
      <c r="FT566">
        <f>IFERROR(AVERAGE(Tabel1[[#This Row],[Do - A1]],Tabel1[[#This Row],[Do - A2]],Tabel1[[#This Row],[Do - A3]],Tabel1[[#This Row],[Do - A4]]),"")</f>
        <v>1.75</v>
      </c>
      <c r="FU566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2.2092592592592593</v>
      </c>
      <c r="FV566" s="31" t="s">
        <v>2709</v>
      </c>
      <c r="FW566" t="b">
        <v>1</v>
      </c>
    </row>
    <row r="567" spans="1:179" x14ac:dyDescent="0.3">
      <c r="A567" s="13">
        <v>46054.500381944403</v>
      </c>
      <c r="B567" t="b">
        <v>0</v>
      </c>
      <c r="C567" t="s">
        <v>2710</v>
      </c>
      <c r="D567" t="s">
        <v>2711</v>
      </c>
      <c r="E567" t="s">
        <v>2677</v>
      </c>
      <c r="F567" s="14"/>
      <c r="G567" t="s">
        <v>2712</v>
      </c>
      <c r="H567" t="s">
        <v>222</v>
      </c>
      <c r="I567" t="s">
        <v>195</v>
      </c>
      <c r="J567" t="s">
        <v>533</v>
      </c>
      <c r="K567" t="s">
        <v>201</v>
      </c>
      <c r="L567" t="s">
        <v>197</v>
      </c>
      <c r="M567" t="s">
        <v>198</v>
      </c>
      <c r="N567" t="s">
        <v>262</v>
      </c>
      <c r="U567" t="s">
        <v>285</v>
      </c>
      <c r="Y567">
        <v>3</v>
      </c>
      <c r="Z567" t="s">
        <v>189</v>
      </c>
      <c r="AA567" t="s">
        <v>189</v>
      </c>
      <c r="AB567">
        <f>IFERROR(AVERAGE(Tabel1[[#This Row],[Up - R1a]:[Up - R1c]]),"")</f>
        <v>3</v>
      </c>
      <c r="AC567" t="s">
        <v>189</v>
      </c>
      <c r="AD567">
        <v>5</v>
      </c>
      <c r="AE567" t="s">
        <v>189</v>
      </c>
      <c r="AF567" t="s">
        <v>189</v>
      </c>
      <c r="AG567">
        <f>IFERROR(AVERAGE(Tabel1[[#This Row],[Up - R1]:[Up - R5]]),"")</f>
        <v>4</v>
      </c>
      <c r="AH567" t="s">
        <v>189</v>
      </c>
      <c r="AI567">
        <v>4</v>
      </c>
      <c r="AJ567">
        <v>3</v>
      </c>
      <c r="AK567">
        <f>IFERROR(AVERAGE(Tabel1[[#This Row],[Up - C1a]:[Up - C1c]]),"")</f>
        <v>3.5</v>
      </c>
      <c r="AL567" t="s">
        <v>189</v>
      </c>
      <c r="AM567" t="s">
        <v>189</v>
      </c>
      <c r="AN567" t="s">
        <v>189</v>
      </c>
      <c r="AO567">
        <f>IFERROR(AVERAGE(Tabel1[[#This Row],[Up - C1]:[Up - C4]]),"")</f>
        <v>3.5</v>
      </c>
      <c r="AP567" t="s">
        <v>189</v>
      </c>
      <c r="AQ567" t="str">
        <f>IFERROR(AVERAGE(Tabel1[[#This Row],[Up - F1a]:[Up - F1a]]),"")</f>
        <v/>
      </c>
      <c r="AR567">
        <v>2</v>
      </c>
      <c r="AS567">
        <v>3</v>
      </c>
      <c r="AT567">
        <f>IFERROR(AVERAGE(Tabel1[[#This Row],[Up - F2a]:[Up - F2b]]),"")</f>
        <v>2.5</v>
      </c>
      <c r="AU567" t="s">
        <v>189</v>
      </c>
      <c r="AV567">
        <v>3</v>
      </c>
      <c r="AW567">
        <f>IFERROR(AVERAGE(Tabel1[[#This Row],[Up - F3a]:[Up - F3b]]),"")</f>
        <v>3</v>
      </c>
      <c r="AX567" t="s">
        <v>189</v>
      </c>
      <c r="AY567">
        <f>IFERROR(AVERAGE(Tabel1[[#This Row],[Up - F1]],Tabel1[[#This Row],[Up - F2]],Tabel1[[#This Row],[Up - F3]],Tabel1[[#This Row],[Up - F4]]),"")</f>
        <v>2.75</v>
      </c>
      <c r="AZ567" t="s">
        <v>189</v>
      </c>
      <c r="BA567" t="s">
        <v>189</v>
      </c>
      <c r="BB567" t="str">
        <f>IFERROR(AVERAGE(Tabel1[[#This Row],[Up - V1a]:[Up - V1b]]),"")</f>
        <v/>
      </c>
      <c r="BC567" t="s">
        <v>189</v>
      </c>
      <c r="BD567" t="s">
        <v>189</v>
      </c>
      <c r="BE567" t="s">
        <v>189</v>
      </c>
      <c r="BF567" t="str">
        <f>IFERROR(AVERAGE(Tabel1[[#This Row],[Up - V2a]:[Up - V2c]]),"")</f>
        <v/>
      </c>
      <c r="BG567" t="s">
        <v>189</v>
      </c>
      <c r="BH567" t="s">
        <v>189</v>
      </c>
      <c r="BI567" t="str">
        <f>IFERROR(AVERAGE(Tabel1[[#This Row],[Up - V3a]:[Up - V3b]]),"")</f>
        <v/>
      </c>
      <c r="BJ567" t="s">
        <v>189</v>
      </c>
      <c r="BK567" t="str">
        <f>IFERROR(AVERAGE(Tabel1[[#This Row],[Up - V1]],Tabel1[[#This Row],[Up - V2]],Tabel1[[#This Row],[Up - V3]],Tabel1[[#This Row],[Up - V4]]),"")</f>
        <v/>
      </c>
      <c r="BL567" t="s">
        <v>189</v>
      </c>
      <c r="BM567" t="s">
        <v>189</v>
      </c>
      <c r="BN567" t="s">
        <v>189</v>
      </c>
      <c r="BO567" t="s">
        <v>189</v>
      </c>
      <c r="BP567" t="str">
        <f>IFERROR(AVERAGE(Tabel1[[#This Row],[Up - A1a]:[Up - A1d]]),"")</f>
        <v/>
      </c>
      <c r="BQ567" t="s">
        <v>189</v>
      </c>
      <c r="BR567" t="s">
        <v>189</v>
      </c>
      <c r="BS567" t="str">
        <f>IFERROR(AVERAGE(Tabel1[[#This Row],[Up - A2a]:[Up - A2b]]),"")</f>
        <v/>
      </c>
      <c r="BT567" t="s">
        <v>189</v>
      </c>
      <c r="BU567" t="str">
        <f>IFERROR(AVERAGE(Tabel1[[#This Row],[Up - A3a]:[Up - A3a]]),"")</f>
        <v/>
      </c>
      <c r="BV567" t="s">
        <v>189</v>
      </c>
      <c r="BW567" t="str">
        <f>IFERROR(AVERAGE(Tabel1[[#This Row],[Up - A1]],Tabel1[[#This Row],[Up - A2]],Tabel1[[#This Row],[Up - A3]]),"")</f>
        <v/>
      </c>
      <c r="BX567">
        <v>2</v>
      </c>
      <c r="BZ567">
        <f>IFERROR(AVERAGE(Tabel1[[#This Row],[In - R1a]:[In - R1b]]),"")</f>
        <v>2</v>
      </c>
      <c r="CA567">
        <v>3</v>
      </c>
      <c r="CB567" t="s">
        <v>189</v>
      </c>
      <c r="CC567">
        <v>2</v>
      </c>
      <c r="CD567" t="s">
        <v>189</v>
      </c>
      <c r="CE567">
        <f>IFERROR(AVERAGE(Tabel1[[#This Row],[In - R1]:[In - R5]]),"")</f>
        <v>2.3333333333333335</v>
      </c>
      <c r="CF567">
        <v>4</v>
      </c>
      <c r="CG567">
        <v>5</v>
      </c>
      <c r="CH567">
        <v>3</v>
      </c>
      <c r="CI567">
        <f>IFERROR(AVERAGE(Tabel1[[#This Row],[In - C1a]:[In - C1c]]),"")</f>
        <v>4</v>
      </c>
      <c r="CJ567">
        <v>4</v>
      </c>
      <c r="CK567">
        <v>3</v>
      </c>
      <c r="CL567">
        <v>3</v>
      </c>
      <c r="CM567">
        <f>IFERROR(AVERAGE(Tabel1[[#This Row],[In - C1]:[In - C4]]),"")</f>
        <v>3.5</v>
      </c>
      <c r="CN567">
        <v>3</v>
      </c>
      <c r="CO567">
        <v>4</v>
      </c>
      <c r="CP567">
        <v>3</v>
      </c>
      <c r="CQ567">
        <f>IFERROR(AVERAGE(Tabel1[[#This Row],[In - F1a]:[In - F1c]]),"")</f>
        <v>3.3333333333333335</v>
      </c>
      <c r="CR567">
        <v>3</v>
      </c>
      <c r="CS567">
        <v>4</v>
      </c>
      <c r="CT567">
        <f>IFERROR(AVERAGE(Tabel1[[#This Row],[In - F2a]:[In - F2b]]),"")</f>
        <v>3.5</v>
      </c>
      <c r="CU567">
        <v>5</v>
      </c>
      <c r="CV567">
        <f>IFERROR(AVERAGE(Tabel1[[#This Row],[In - F3a]:[In - F3a]]),"")</f>
        <v>5</v>
      </c>
      <c r="CW567" t="s">
        <v>189</v>
      </c>
      <c r="CX567">
        <f>IFERROR(AVERAGE(Tabel1[[#This Row],[In - F1]],Tabel1[[#This Row],[In - F2]],Tabel1[[#This Row],[In - F3]],Tabel1[[#This Row],[In - F4]]),"")</f>
        <v>3.9444444444444446</v>
      </c>
      <c r="CY567">
        <v>2</v>
      </c>
      <c r="CZ567">
        <v>5</v>
      </c>
      <c r="DA567">
        <v>1</v>
      </c>
      <c r="DB567">
        <f>IFERROR(AVERAGE(Tabel1[[#This Row],[In - V1a]:[In - V1c]]),"")</f>
        <v>2.6666666666666665</v>
      </c>
      <c r="DC567">
        <v>1</v>
      </c>
      <c r="DD567">
        <v>2</v>
      </c>
      <c r="DE567">
        <v>4</v>
      </c>
      <c r="DF567">
        <f>IFERROR(AVERAGE(Tabel1[[#This Row],[In - V2a]:[In - V2c]]),"")</f>
        <v>2.3333333333333335</v>
      </c>
      <c r="DG567">
        <v>2</v>
      </c>
      <c r="DH567">
        <v>3</v>
      </c>
      <c r="DI567">
        <f>IFERROR(AVERAGE(Tabel1[[#This Row],[In - V3a]:[In - V3b]]),"")</f>
        <v>2.5</v>
      </c>
      <c r="DJ567">
        <v>1</v>
      </c>
      <c r="DK567">
        <f>IFERROR(AVERAGE(Tabel1[[#This Row],[In - V1]],Tabel1[[#This Row],[In - V2]],Tabel1[[#This Row],[In - V3]],Tabel1[[#This Row],[In - V4]]),"")</f>
        <v>2.125</v>
      </c>
      <c r="DL567">
        <v>1</v>
      </c>
      <c r="DM567">
        <v>1</v>
      </c>
      <c r="DN567">
        <f>IFERROR(AVERAGE(Tabel1[[#This Row],[In - A1a]:[In - A1b]]),"")</f>
        <v>1</v>
      </c>
      <c r="DO567" t="s">
        <v>189</v>
      </c>
      <c r="DP567">
        <v>2</v>
      </c>
      <c r="DQ567">
        <f>IFERROR(AVERAGE(Tabel1[[#This Row],[In - A2a]:[In - A2b]]),"")</f>
        <v>2</v>
      </c>
      <c r="DR567">
        <v>3</v>
      </c>
      <c r="DS567">
        <v>3</v>
      </c>
      <c r="DT567">
        <f>IFERROR(AVERAGE(Tabel1[[#This Row],[In - A3a]:[In - A3a]]),"")</f>
        <v>3</v>
      </c>
      <c r="DU567">
        <v>1</v>
      </c>
      <c r="DV567">
        <f>IFERROR(AVERAGE(Tabel1[[#This Row],[In - A1]],Tabel1[[#This Row],[In - A2]],Tabel1[[#This Row],[In - A3]],Tabel1[[#This Row],[In - A4]]),"")</f>
        <v>1.75</v>
      </c>
      <c r="DW567" t="s">
        <v>189</v>
      </c>
      <c r="DX567">
        <v>3</v>
      </c>
      <c r="DY567">
        <v>2</v>
      </c>
      <c r="DZ567">
        <f>IFERROR(AVERAGE(Tabel1[[#This Row],[Do - R1a]:[Do - R1c]]),"")</f>
        <v>2.5</v>
      </c>
      <c r="EA567" t="s">
        <v>189</v>
      </c>
      <c r="EB567" t="s">
        <v>189</v>
      </c>
      <c r="ED567" t="s">
        <v>189</v>
      </c>
      <c r="EE567">
        <f>IFERROR(AVERAGE(Tabel1[[#This Row],[Do - R1]:[Do - R5]]),"")</f>
        <v>2.5</v>
      </c>
      <c r="EF567" t="s">
        <v>189</v>
      </c>
      <c r="EG567">
        <v>4</v>
      </c>
      <c r="EH567">
        <v>4</v>
      </c>
      <c r="EI567">
        <f>IFERROR(AVERAGE(Tabel1[[#This Row],[Do - C1a]:[Do - C1c]]),"")</f>
        <v>4</v>
      </c>
      <c r="EJ567">
        <v>4</v>
      </c>
      <c r="EK567">
        <v>3</v>
      </c>
      <c r="EL567" t="s">
        <v>189</v>
      </c>
      <c r="EM567">
        <f>IFERROR(AVERAGE(Tabel1[[#This Row],[Do - C1]:[Do - C4]]),"")</f>
        <v>3.6666666666666665</v>
      </c>
      <c r="EN567" t="s">
        <v>189</v>
      </c>
      <c r="EO567" t="s">
        <v>189</v>
      </c>
      <c r="EP567" t="s">
        <v>189</v>
      </c>
      <c r="EQ567" t="str">
        <f>IFERROR(AVERAGE(Tabel1[[#This Row],[Do - F1a]:[Do - F1c]]),"")</f>
        <v/>
      </c>
      <c r="ER567" t="s">
        <v>189</v>
      </c>
      <c r="ES567" t="str">
        <f>IFERROR(AVERAGE(Tabel1[[#This Row],[Do - F2a]:[Do - F2a]]),"")</f>
        <v/>
      </c>
      <c r="ET567" t="s">
        <v>189</v>
      </c>
      <c r="EU567" t="s">
        <v>189</v>
      </c>
      <c r="EV567" t="str">
        <f>IFERROR(AVERAGE(Tabel1[[#This Row],[Do - F3a]:[Do - F3b]]),"")</f>
        <v/>
      </c>
      <c r="EW567" t="s">
        <v>189</v>
      </c>
      <c r="EX567" t="str">
        <f>IFERROR(AVERAGE(Tabel1[[#This Row],[Do - F1]],Tabel1[[#This Row],[Do - F2]],Tabel1[[#This Row],[Do - F3]],Tabel1[[#This Row],[Do - F4]]),"")</f>
        <v/>
      </c>
      <c r="EY567" t="s">
        <v>189</v>
      </c>
      <c r="EZ567" t="s">
        <v>189</v>
      </c>
      <c r="FA567" t="s">
        <v>189</v>
      </c>
      <c r="FB567" t="str">
        <f>IFERROR(AVERAGE(Tabel1[[#This Row],[Do - V1a]:[Do - V1c]]),"")</f>
        <v/>
      </c>
      <c r="FC567" t="s">
        <v>189</v>
      </c>
      <c r="FD567" t="s">
        <v>189</v>
      </c>
      <c r="FE567" t="str">
        <f>IFERROR(AVERAGE(Tabel1[[#This Row],[Do - V2a]:[Do - V2b]]),"")</f>
        <v/>
      </c>
      <c r="FF567" t="s">
        <v>189</v>
      </c>
      <c r="FG567" t="str">
        <f>IFERROR(AVERAGE(Tabel1[[#This Row],[Do - V3a]:[Do - V3a]]),"")</f>
        <v/>
      </c>
      <c r="FH567" t="s">
        <v>189</v>
      </c>
      <c r="FI567" t="str">
        <f>IFERROR(AVERAGE(Tabel1[[#This Row],[Do - V1]],Tabel1[[#This Row],[Do - V2]],Tabel1[[#This Row],[Do - V3]],Tabel1[[#This Row],[Do - V4]]),"")</f>
        <v/>
      </c>
      <c r="FJ567" t="s">
        <v>189</v>
      </c>
      <c r="FK567">
        <v>3</v>
      </c>
      <c r="FL567" t="s">
        <v>189</v>
      </c>
      <c r="FM567">
        <f>IFERROR(AVERAGE(Tabel1[[#This Row],[Do - A1a]:[Do - A1c]]),"")</f>
        <v>3</v>
      </c>
      <c r="FN567" t="s">
        <v>189</v>
      </c>
      <c r="FO567" t="s">
        <v>189</v>
      </c>
      <c r="FP567" t="str">
        <f>IFERROR(AVERAGE(Tabel1[[#This Row],[Do - A2a]:[Do - A2b]]),"")</f>
        <v/>
      </c>
      <c r="FQ567" t="s">
        <v>189</v>
      </c>
      <c r="FR567" t="str">
        <f>IFERROR(AVERAGE(Tabel1[[#This Row],[Do - A3a]:[Do - A3a]]),"")</f>
        <v/>
      </c>
      <c r="FS567" t="s">
        <v>189</v>
      </c>
      <c r="FT567">
        <f>IFERROR(AVERAGE(Tabel1[[#This Row],[Do - A1]],Tabel1[[#This Row],[Do - A2]],Tabel1[[#This Row],[Do - A3]],Tabel1[[#This Row],[Do - A4]]),"")</f>
        <v>3</v>
      </c>
      <c r="FU567">
        <f>IFERROR(AVERAGE(Tabel1[[#This Row],[Up - R]],Tabel1[[#This Row],[Up - C]],Tabel1[[#This Row],[Up - F]],Tabel1[[#This Row],[Up - V]],Tabel1[[#This Row],[Up - A]],Tabel1[[#This Row],[In - R]],Tabel1[[#This Row],[In - C]],Tabel1[[#This Row],[In - F]],Tabel1[[#This Row],[In - V]],Tabel1[[#This Row],[In - A]],Tabel1[[#This Row],[Do - R]],Tabel1[[#This Row],[Do - C]],Tabel1[[#This Row],[Do - F]],Tabel1[[#This Row],[Do - V]],Tabel1[[#This Row],[Do - A]]),"")</f>
        <v>3.006313131313131</v>
      </c>
      <c r="FV567" s="31" t="s">
        <v>2713</v>
      </c>
      <c r="FW567" t="b">
        <v>1</v>
      </c>
    </row>
  </sheetData>
  <phoneticPr fontId="6" type="noConversion"/>
  <hyperlinks>
    <hyperlink ref="G168" r:id="rId1" xr:uid="{5A6C7A1B-5639-4CA8-94DA-B916C988373B}"/>
    <hyperlink ref="G119" r:id="rId2" xr:uid="{1E99418D-7125-4434-B745-9340CE3C540D}"/>
    <hyperlink ref="G161" r:id="rId3" xr:uid="{72EC0A07-71D0-4C33-B4B3-43843BA47CDD}"/>
    <hyperlink ref="G187" r:id="rId4" xr:uid="{9D6DD37C-E38C-48C1-830A-F24A6946C351}"/>
    <hyperlink ref="G189" r:id="rId5" xr:uid="{CC016419-9A0C-46C8-B8F7-DC1B838091A8}"/>
    <hyperlink ref="G190" r:id="rId6" xr:uid="{517C9F29-1D6F-44C1-B852-F7BA2E2C7E14}"/>
    <hyperlink ref="G191" r:id="rId7" xr:uid="{E941EA28-F7B4-4435-A4AA-C8E5A5A9BF13}"/>
    <hyperlink ref="G209" r:id="rId8" xr:uid="{93531FDD-3E3C-446F-9EAB-1807BDE3A00F}"/>
    <hyperlink ref="G210" r:id="rId9" xr:uid="{55E7BE48-1AEC-44BB-9D67-9FD649CD6774}"/>
    <hyperlink ref="G211" r:id="rId10" xr:uid="{73181C9B-2384-45A6-87E6-4EAAC7079BC1}"/>
    <hyperlink ref="G173" r:id="rId11" xr:uid="{5DFCE78E-6E55-4276-A698-AD7C3252561F}"/>
    <hyperlink ref="G8" r:id="rId12" xr:uid="{F2BB4AA1-14E1-4D50-A648-BA942CBE421D}"/>
    <hyperlink ref="G38" r:id="rId13" xr:uid="{1DD6A090-68C3-4BC8-BAF7-5BE295BC0AAD}"/>
    <hyperlink ref="G45" r:id="rId14" xr:uid="{7399112E-A438-4EDE-8A47-83B7AE3E4144}"/>
    <hyperlink ref="G250" r:id="rId15" xr:uid="{3E00C5B2-C0A2-4569-863D-B670692BA9B0}"/>
    <hyperlink ref="G376" r:id="rId16" xr:uid="{F5291923-1EB1-4754-8A5A-42EFE45DCF13}"/>
    <hyperlink ref="G377" r:id="rId17" xr:uid="{8C673B37-AD22-4CD5-AF0E-1355347E281D}"/>
    <hyperlink ref="G378" r:id="rId18" xr:uid="{1BA9891A-F724-47C5-BB58-9D0B9095ACCC}"/>
    <hyperlink ref="G404" r:id="rId19" xr:uid="{42A18378-E92D-42DE-AAA2-EF177D484569}"/>
    <hyperlink ref="G382" r:id="rId20" xr:uid="{04C0C2E2-1760-4263-B62B-2592B1494EE3}"/>
    <hyperlink ref="G216" r:id="rId21" xr:uid="{762B7B86-601D-48E4-9DA4-BBF11244BB0E}"/>
    <hyperlink ref="G340" r:id="rId22" xr:uid="{C18D6B5D-72AE-4244-833B-6B8B7832BCD1}"/>
    <hyperlink ref="G409" r:id="rId23" xr:uid="{A892C4FF-F7AC-402A-877A-E086ACAC1A76}"/>
    <hyperlink ref="G343" r:id="rId24" xr:uid="{BE2F49E0-A358-48C5-B91C-2F7CA10428F7}"/>
    <hyperlink ref="G336" r:id="rId25" xr:uid="{92CFCA9E-F7C5-4EC2-8479-8FC1B35E6810}"/>
    <hyperlink ref="G159" r:id="rId26" xr:uid="{094F46A1-B35D-4D13-B125-B06B61328B5B}"/>
    <hyperlink ref="G338" r:id="rId27" xr:uid="{DD22D0A3-450C-430B-A079-1068B8A8E8D6}"/>
  </hyperlinks>
  <pageMargins left="0.7" right="0.7" top="0.75" bottom="0.75" header="0.3" footer="0.3"/>
  <legacyDrawing r:id="rId28"/>
  <tableParts count="1">
    <tablePart r:id="rId2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047B5B9B0CAE4F8AA9F1AEC2160DBB" ma:contentTypeVersion="15" ma:contentTypeDescription="Een nieuw document maken." ma:contentTypeScope="" ma:versionID="9356f23f5228802b4113473d06e6b945">
  <xsd:schema xmlns:xsd="http://www.w3.org/2001/XMLSchema" xmlns:xs="http://www.w3.org/2001/XMLSchema" xmlns:p="http://schemas.microsoft.com/office/2006/metadata/properties" xmlns:ns2="643ea481-74aa-4276-8f6c-087ad9ea67e3" xmlns:ns3="1c455da7-782a-489c-a931-1cb439b693d1" targetNamespace="http://schemas.microsoft.com/office/2006/metadata/properties" ma:root="true" ma:fieldsID="3e30fc67c08956688320e70279c39015" ns2:_="" ns3:_="">
    <xsd:import namespace="643ea481-74aa-4276-8f6c-087ad9ea67e3"/>
    <xsd:import namespace="1c455da7-782a-489c-a931-1cb439b693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ea481-74aa-4276-8f6c-087ad9ea6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1c6a0e08-1576-455b-af28-552984f92f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55da7-782a-489c-a931-1cb439b693d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533c889-3c03-42c3-ae15-9d7df7a3c28b}" ma:internalName="TaxCatchAll" ma:showField="CatchAllData" ma:web="1c455da7-782a-489c-a931-1cb439b693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455da7-782a-489c-a931-1cb439b693d1" xsi:nil="true"/>
    <lcf76f155ced4ddcb4097134ff3c332f xmlns="643ea481-74aa-4276-8f6c-087ad9ea67e3">
      <Terms xmlns="http://schemas.microsoft.com/office/infopath/2007/PartnerControls"/>
    </lcf76f155ced4ddcb4097134ff3c332f>
    <SharedWithUsers xmlns="1c455da7-782a-489c-a931-1cb439b693d1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BAFCA2E-BA4A-46E5-AAF3-39EAEC526A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416243-8B3E-4895-9A53-4F65D6027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3ea481-74aa-4276-8f6c-087ad9ea67e3"/>
    <ds:schemaRef ds:uri="1c455da7-782a-489c-a931-1cb439b69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9F313-C30A-42AD-B234-61E33DEBB92D}">
  <ds:schemaRefs>
    <ds:schemaRef ds:uri="http://schemas.microsoft.com/office/2006/metadata/properties"/>
    <ds:schemaRef ds:uri="http://schemas.microsoft.com/office/infopath/2007/PartnerControls"/>
    <ds:schemaRef ds:uri="1c455da7-782a-489c-a931-1cb439b693d1"/>
    <ds:schemaRef ds:uri="643ea481-74aa-4276-8f6c-087ad9ea67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MasterData</vt:lpstr>
      <vt:lpstr>CountUncheckedRows</vt:lpstr>
      <vt:lpstr>MasterData</vt:lpstr>
      <vt:lpstr>Progress</vt:lpstr>
      <vt:lpstr>ResilienceScanMasterData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Ronald de Boer</cp:lastModifiedBy>
  <cp:revision/>
  <dcterms:created xsi:type="dcterms:W3CDTF">2023-12-13T09:01:59Z</dcterms:created>
  <dcterms:modified xsi:type="dcterms:W3CDTF">2026-02-02T08:25:34Z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0x0101007A047B5B9B0CAE4F8AA9F1AEC2160DBB</vt:lpwstr>
  </property>
  <property fmtid="{D5CDD505-2E9C-101B-9397-08002B2CF9AE}" pid="3" name="MediaServiceImageTags">
    <vt:lpwstr/>
  </property>
  <property fmtid="{D5CDD505-2E9C-101B-9397-08002B2CF9AE}" pid="4" name="Order">
    <vt:r8>31900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